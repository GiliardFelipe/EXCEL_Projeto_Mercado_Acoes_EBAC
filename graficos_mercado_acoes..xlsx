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ística" sheetId="2" r:id="rId6"/>
    <sheet state="visible" name="cliente" sheetId="3" r:id="rId7"/>
    <sheet state="visible" name="tendencia_temporal" sheetId="4" r:id="rId8"/>
    <sheet state="visible" name="compra_venda" sheetId="5" r:id="rId9"/>
    <sheet state="visible" name="cliente_compra_venda" sheetId="6" r:id="rId10"/>
    <sheet state="visible" name="cliente_lucro_prejuízo" sheetId="7" r:id="rId11"/>
    <sheet state="visible" name="gráficos" sheetId="8" r:id="rId12"/>
  </sheets>
  <definedNames>
    <definedName hidden="1" localSheetId="0" name="_xlnm._FilterDatabase">mercado_acoes!$A$1:$K$2001</definedName>
    <definedName hidden="1" localSheetId="0" name="Z_5B0A98C8_E1CB_4A86_AC2A_F46B73ACB4F4_.wvu.FilterData">mercado_acoes!$A$1:$K$2001</definedName>
    <definedName hidden="1" localSheetId="0" name="Z_8CD6AE66_8E1F_4F43_8727_6FCE41D565DE_.wvu.FilterData">mercado_acoes!$A$1:$K$2001</definedName>
    <definedName hidden="1" localSheetId="0" name="Z_D718D4ED_1EBF_47E8_9517_701740D3DC63_.wvu.FilterData">mercado_acoes!$A$1:$K$2001</definedName>
  </definedNames>
  <calcPr/>
  <customWorkbookViews>
    <customWorkbookView activeSheetId="0" maximized="1" windowHeight="0" windowWidth="0" guid="{D718D4ED-1EBF-47E8-9517-701740D3DC63}" name="Operações de vendas"/>
    <customWorkbookView activeSheetId="0" maximized="1" windowHeight="0" windowWidth="0" guid="{5B0A98C8-E1CB-4A86-AC2A-F46B73ACB4F4}" name="Filtro 1"/>
    <customWorkbookView activeSheetId="0" maximized="1" windowHeight="0" windowWidth="0" guid="{8CD6AE66-8E1F-4F43-8727-6FCE41D565DE}" name="Operações de compra"/>
  </customWorkbookViews>
  <pivotCaches>
    <pivotCache cacheId="0" r:id="rId13"/>
  </pivotCaches>
</workbook>
</file>

<file path=xl/sharedStrings.xml><?xml version="1.0" encoding="utf-8"?>
<sst xmlns="http://schemas.openxmlformats.org/spreadsheetml/2006/main" count="8169" uniqueCount="249">
  <si>
    <t>Código Cliente</t>
  </si>
  <si>
    <t>Nome Cliente</t>
  </si>
  <si>
    <t>Email Cliente</t>
  </si>
  <si>
    <t>Operação</t>
  </si>
  <si>
    <t>Stickes</t>
  </si>
  <si>
    <t>Preço</t>
  </si>
  <si>
    <t>Data</t>
  </si>
  <si>
    <t>Dia</t>
  </si>
  <si>
    <t>Mês</t>
  </si>
  <si>
    <t>Ano</t>
  </si>
  <si>
    <t>Valor padronizado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</si>
  <si>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</si>
  <si>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</si>
  <si>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</si>
  <si>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</si>
  <si>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</si>
  <si>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</si>
  <si>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</si>
  <si>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</si>
  <si>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</si>
  <si>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</si>
  <si>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</si>
  <si>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</si>
  <si>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</si>
  <si>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</si>
  <si>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</si>
  <si>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</si>
  <si>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</si>
  <si>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</si>
  <si>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</si>
  <si>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</si>
  <si>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</si>
  <si>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</si>
  <si>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</si>
  <si>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</si>
  <si>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</si>
  <si>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</si>
  <si>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</si>
  <si>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</si>
  <si>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</si>
  <si>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</si>
  <si>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</si>
  <si>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</si>
  <si>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</si>
  <si>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</si>
  <si>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</si>
  <si>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</si>
  <si>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</si>
  <si>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</si>
  <si>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</si>
  <si>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</si>
  <si>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</si>
  <si>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</si>
  <si>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</si>
  <si>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</si>
  <si>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</si>
  <si>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</si>
  <si>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</si>
  <si>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</si>
  <si>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</si>
  <si>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</si>
  <si>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</si>
  <si>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</si>
  <si>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</si>
  <si>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</si>
  <si>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</si>
  <si>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</si>
  <si>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</si>
  <si>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</si>
  <si>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</si>
  <si>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</si>
  <si>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</si>
  <si>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</si>
  <si>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</si>
  <si>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</si>
  <si>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</si>
  <si>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</si>
  <si>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</si>
  <si>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</si>
  <si>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</si>
  <si>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</si>
  <si>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</si>
  <si>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</si>
  <si>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</si>
  <si>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</si>
  <si>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</si>
  <si>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</si>
  <si>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</si>
  <si>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</si>
  <si>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</si>
  <si>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</si>
  <si>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</si>
  <si>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</si>
  <si>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</si>
  <si>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</si>
  <si>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</si>
  <si>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</si>
  <si>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</si>
  <si>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</si>
  <si>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</si>
  <si>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</si>
  <si>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</si>
  <si>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</si>
  <si>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</si>
  <si>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</si>
  <si>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</si>
  <si>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</si>
  <si>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</si>
  <si>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</si>
  <si>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</si>
  <si>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</si>
  <si>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</si>
  <si>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</si>
  <si>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</si>
  <si>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</si>
  <si>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</si>
  <si>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</si>
  <si>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</si>
  <si>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</si>
  <si>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</si>
  <si>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</si>
  <si>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</si>
  <si>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</si>
  <si>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</si>
  <si>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</si>
  <si>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</si>
  <si>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</si>
  <si>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</si>
  <si>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</si>
  <si>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</si>
  <si>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</si>
  <si>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</si>
  <si>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</si>
  <si>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</si>
  <si>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</si>
  <si>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</si>
  <si>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</si>
  <si>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</si>
  <si>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</si>
  <si>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</si>
  <si>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</si>
  <si>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</si>
  <si>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</si>
  <si>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</si>
  <si>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</si>
  <si>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</si>
  <si>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</si>
  <si>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</si>
  <si>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</si>
  <si>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</si>
  <si>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</si>
  <si>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</si>
  <si>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</si>
  <si>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</si>
  <si>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</si>
  <si>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</si>
  <si>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</si>
  <si>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</si>
  <si>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</si>
  <si>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</si>
  <si>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</si>
  <si>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</si>
  <si>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</si>
  <si>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</si>
  <si>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</si>
  <si>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</si>
  <si>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</si>
  <si>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</si>
  <si>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</si>
  <si>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</si>
  <si>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</si>
  <si>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</si>
  <si>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</si>
  <si>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</si>
  <si>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</si>
  <si>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</si>
  <si>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</si>
  <si>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</si>
  <si>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</si>
  <si>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</si>
  <si>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</si>
  <si>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</si>
  <si>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</si>
  <si>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</si>
  <si>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</si>
  <si>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</si>
  <si>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</si>
  <si>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</si>
  <si>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</si>
  <si>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</si>
  <si>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</si>
  <si>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</si>
  <si>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</si>
  <si>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</si>
  <si>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</si>
  <si>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</si>
  <si>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</si>
  <si>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</si>
  <si>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</si>
  <si>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</si>
  <si>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</si>
  <si>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</si>
  <si>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</si>
  <si>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</si>
  <si>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</si>
  <si>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</si>
  <si>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</si>
  <si>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</si>
  <si>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</si>
  <si>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</si>
  <si>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</si>
  <si>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</si>
  <si>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</si>
  <si>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</si>
  <si>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</si>
  <si>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</si>
  <si>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</si>
  <si>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</si>
  <si>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</si>
  <si>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Estatísticas</t>
  </si>
  <si>
    <t>soma</t>
  </si>
  <si>
    <t>mínimo</t>
  </si>
  <si>
    <t>máximo</t>
  </si>
  <si>
    <t>média</t>
  </si>
  <si>
    <t>mediana</t>
  </si>
  <si>
    <t>moda</t>
  </si>
  <si>
    <t>intervalo</t>
  </si>
  <si>
    <t>variancia</t>
  </si>
  <si>
    <t>desvio padrão</t>
  </si>
  <si>
    <t>Dados do cliente</t>
  </si>
  <si>
    <t>Coluna 1</t>
  </si>
  <si>
    <t>Código</t>
  </si>
  <si>
    <t>E-mail</t>
  </si>
  <si>
    <t>Nome</t>
  </si>
  <si>
    <t>E-mail do Cliente</t>
  </si>
  <si>
    <t>Cont Compra e Venda</t>
  </si>
  <si>
    <t>Soma Compra e Venda</t>
  </si>
  <si>
    <t>Média Compra e Venda</t>
  </si>
  <si>
    <t>Perfil</t>
  </si>
  <si>
    <t>Quantidade de operações</t>
  </si>
  <si>
    <t>Prev. quantidade de operações mês 12 (dezembro)</t>
  </si>
  <si>
    <t>Diferença entre Previsão e Valor real</t>
  </si>
  <si>
    <t>Quantidade de Operações</t>
  </si>
  <si>
    <t xml:space="preserve">Soma de Preço  </t>
  </si>
  <si>
    <t>Total geral</t>
  </si>
  <si>
    <t>Valores</t>
  </si>
  <si>
    <t>Soma dos Preços</t>
  </si>
  <si>
    <t>LUCRO
TOTAL</t>
  </si>
  <si>
    <t xml:space="preserve">Soma de Preços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</si>
</sst>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24.0"/>
      <color theme="1"/>
      <name val="Arial"/>
      <scheme val="minor"/>
    </font>
    <font>
      <b/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7">
    <border/>
    <border>
      <bottom style="thick">
        <color rgb="FF76A5AF"/>
      </bottom>
    </border>
    <border>
      <left style="thick">
        <color rgb="FFD9D2E9"/>
      </left>
      <right style="thick">
        <color rgb="FFD9D2E9"/>
      </right>
      <top style="thick">
        <color rgb="FFD9D2E9"/>
      </top>
      <bottom style="thick">
        <color rgb="FFD9D2E9"/>
      </bottom>
    </border>
    <border>
      <left style="thick">
        <color rgb="FFD9D2E9"/>
      </left>
      <right style="thick">
        <color rgb="FFD9D2E9"/>
      </right>
      <top style="thick">
        <color rgb="FFD9D2E9"/>
      </top>
    </border>
    <border>
      <left style="thick">
        <color rgb="FFD9D2E9"/>
      </left>
      <right style="thick">
        <color rgb="FFD9D2E9"/>
      </right>
      <bottom style="thick">
        <color rgb="FFD9D2E9"/>
      </bottom>
    </border>
    <border>
      <right style="thick">
        <color rgb="FFD9D2E9"/>
      </right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49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3" xfId="0" applyFont="1" applyNumberFormat="1"/>
    <xf borderId="0" fillId="3" fontId="1" numFmtId="3" xfId="0" applyAlignment="1" applyFill="1" applyFont="1" applyNumberFormat="1">
      <alignment horizontal="center"/>
    </xf>
    <xf borderId="0" fillId="4" fontId="1" numFmtId="0" xfId="0" applyAlignment="1" applyFill="1" applyFont="1">
      <alignment horizontal="center"/>
    </xf>
    <xf borderId="0" fillId="3" fontId="1" numFmtId="0" xfId="0" applyAlignment="1" applyFont="1">
      <alignment horizontal="center"/>
    </xf>
    <xf borderId="0" fillId="4" fontId="1" numFmtId="49" xfId="0" applyAlignment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" numFmtId="164" xfId="0" applyFont="1" applyNumberFormat="1"/>
    <xf borderId="0" fillId="0" fontId="1" numFmtId="0" xfId="0" applyFont="1"/>
    <xf borderId="0" fillId="0" fontId="2" numFmtId="3" xfId="0" applyFont="1" applyNumberFormat="1"/>
    <xf borderId="0" fillId="0" fontId="1" numFmtId="49" xfId="0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1" fillId="5" fontId="7" numFmtId="0" xfId="0" applyBorder="1" applyFill="1" applyFont="1"/>
    <xf borderId="1" fillId="5" fontId="2" numFmtId="0" xfId="0" applyBorder="1" applyFont="1"/>
    <xf borderId="0" fillId="5" fontId="2" numFmtId="49" xfId="0" applyFont="1" applyNumberFormat="1"/>
    <xf borderId="0" fillId="6" fontId="2" numFmtId="0" xfId="0" applyFill="1" applyFont="1"/>
    <xf borderId="0" fillId="6" fontId="2" numFmtId="164" xfId="0" applyFont="1" applyNumberFormat="1"/>
    <xf borderId="0" fillId="5" fontId="2" numFmtId="0" xfId="0" applyFont="1"/>
    <xf borderId="0" fillId="7" fontId="7" numFmtId="0" xfId="0" applyFill="1" applyFont="1"/>
    <xf borderId="0" fillId="8" fontId="2" numFmtId="0" xfId="0" applyFill="1" applyFont="1"/>
    <xf borderId="0" fillId="8" fontId="2" numFmtId="49" xfId="0" applyFont="1" applyNumberFormat="1"/>
    <xf borderId="0" fillId="9" fontId="2" numFmtId="0" xfId="0" applyFill="1" applyFont="1"/>
    <xf borderId="0" fillId="8" fontId="7" numFmtId="0" xfId="0" applyFont="1"/>
    <xf borderId="0" fillId="10" fontId="2" numFmtId="0" xfId="0" applyFill="1" applyFont="1"/>
    <xf borderId="0" fillId="11" fontId="2" numFmtId="0" xfId="0" applyFill="1" applyFont="1"/>
    <xf borderId="0" fillId="10" fontId="2" numFmtId="164" xfId="0" applyFont="1" applyNumberFormat="1"/>
    <xf borderId="2" fillId="12" fontId="2" numFmtId="0" xfId="0" applyBorder="1" applyFill="1" applyFont="1"/>
    <xf borderId="2" fillId="12" fontId="8" numFmtId="0" xfId="0" applyBorder="1" applyFont="1"/>
    <xf borderId="3" fillId="12" fontId="2" numFmtId="0" xfId="0" applyAlignment="1" applyBorder="1" applyFont="1">
      <alignment horizontal="center" readingOrder="0"/>
    </xf>
    <xf borderId="0" fillId="7" fontId="2" numFmtId="0" xfId="0" applyFont="1"/>
    <xf borderId="4" fillId="12" fontId="2" numFmtId="0" xfId="0" applyAlignment="1" applyBorder="1" applyFont="1">
      <alignment horizontal="center" readingOrder="0"/>
    </xf>
    <xf borderId="5" fillId="12" fontId="2" numFmtId="0" xfId="0" applyBorder="1" applyFont="1"/>
    <xf borderId="0" fillId="11" fontId="2" numFmtId="164" xfId="0" applyFont="1" applyNumberFormat="1"/>
    <xf borderId="6" fillId="11" fontId="2" numFmtId="164" xfId="0" applyBorder="1" applyFont="1" applyNumberFormat="1"/>
    <xf borderId="0" fillId="11" fontId="3" numFmtId="164" xfId="0" applyFont="1" applyNumberFormat="1"/>
    <xf borderId="0" fillId="7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estatíst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tístic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ndencia_tempo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400">
                <a:solidFill>
                  <a:srgbClr val="000000"/>
                </a:solidFill>
                <a:latin typeface="Arial"/>
              </a:defRPr>
            </a:pPr>
            <a:r>
              <a:rPr b="0" i="1" sz="2400">
                <a:solidFill>
                  <a:srgbClr val="000000"/>
                </a:solidFill>
                <a:latin typeface="Arial"/>
              </a:rPr>
              <a:t>Tendência Temporal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tendencia_temporal!$C$1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tendencia_temporal!$B$2:$B$13</c:f>
            </c:strRef>
          </c:cat>
          <c:val>
            <c:numRef>
              <c:f>tendencia_temporal!$C$2:$C$13</c:f>
              <c:numCache/>
            </c:numRef>
          </c:val>
        </c:ser>
        <c:ser>
          <c:idx val="1"/>
          <c:order val="1"/>
          <c:tx>
            <c:strRef>
              <c:f>tendencia_temporal!$D$1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tendencia_temporal!$B$2:$B$13</c:f>
            </c:strRef>
          </c:cat>
          <c:val>
            <c:numRef>
              <c:f>tendencia_temporal!$D$2:$D$13</c:f>
              <c:numCache/>
            </c:numRef>
          </c:val>
        </c:ser>
        <c:ser>
          <c:idx val="2"/>
          <c:order val="2"/>
          <c:tx>
            <c:strRef>
              <c:f>tendencia_temporal!$E$1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tendencia_temporal!$B$2:$B$13</c:f>
            </c:strRef>
          </c:cat>
          <c:val>
            <c:numRef>
              <c:f>tendencia_temporal!$E$2:$E$13</c:f>
              <c:numCache/>
            </c:numRef>
          </c:val>
        </c:ser>
        <c:axId val="2059431188"/>
        <c:axId val="1087200959"/>
      </c:barChart>
      <c:catAx>
        <c:axId val="2059431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200959"/>
      </c:catAx>
      <c:valAx>
        <c:axId val="1087200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431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400">
                <a:solidFill>
                  <a:srgbClr val="000000"/>
                </a:solidFill>
                <a:latin typeface="+mn-lt"/>
              </a:defRPr>
            </a:pPr>
            <a:r>
              <a:rPr b="0" i="1" sz="2400">
                <a:solidFill>
                  <a:srgbClr val="000000"/>
                </a:solidFill>
                <a:latin typeface="+mn-lt"/>
              </a:rPr>
              <a:t>Compra e venda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compra_venda!$B$1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compra_venda!$A$2:$A$4</c:f>
            </c:strRef>
          </c:cat>
          <c:val>
            <c:numRef>
              <c:f>compra_venda!$B$2:$B$4</c:f>
              <c:numCache/>
            </c:numRef>
          </c:val>
        </c:ser>
        <c:ser>
          <c:idx val="1"/>
          <c:order val="1"/>
          <c:tx>
            <c:strRef>
              <c:f>compra_venda!$C$1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compra_venda!$A$2:$A$4</c:f>
            </c:strRef>
          </c:cat>
          <c:val>
            <c:numRef>
              <c:f>compra_venda!$C$2:$C$4</c:f>
              <c:numCache/>
            </c:numRef>
          </c:val>
        </c:ser>
        <c:axId val="178595047"/>
        <c:axId val="159136072"/>
      </c:barChart>
      <c:catAx>
        <c:axId val="1785950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36072"/>
      </c:catAx>
      <c:valAx>
        <c:axId val="159136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950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400">
                <a:solidFill>
                  <a:srgbClr val="000000"/>
                </a:solidFill>
                <a:latin typeface="+mn-lt"/>
              </a:defRPr>
            </a:pPr>
            <a:r>
              <a:rPr b="0" i="1" sz="2400">
                <a:solidFill>
                  <a:srgbClr val="000000"/>
                </a:solidFill>
                <a:latin typeface="+mn-lt"/>
              </a:rPr>
              <a:t>Cliente, compra e venda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cliente_compra_venda!$C$2:$C$3</c:f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cliente_compra_venda!$C$4:$C$89</c:f>
              <c:numCache/>
            </c:numRef>
          </c:yVal>
        </c:ser>
        <c:ser>
          <c:idx val="1"/>
          <c:order val="1"/>
          <c:tx>
            <c:strRef>
              <c:f>cliente_compra_venda!$D$2:$D$3</c:f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0124D"/>
              </a:solidFill>
              <a:ln cmpd="sng">
                <a:solidFill>
                  <a:srgbClr val="20124D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cliente_compra_venda!$D$4:$D$89</c:f>
              <c:numCache/>
            </c:numRef>
          </c:yVal>
        </c:ser>
        <c:ser>
          <c:idx val="2"/>
          <c:order val="2"/>
          <c:tx>
            <c:strRef>
              <c:f>cliente_compra_venda!$E$2:$E$3</c:f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FFFF"/>
              </a:solidFill>
              <a:ln cmpd="sng">
                <a:solidFill>
                  <a:srgbClr val="00FFFF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cliente_compra_venda!$E$4:$E$89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3105"/>
        <c:axId val="775873470"/>
      </c:scatterChart>
      <c:valAx>
        <c:axId val="13572931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+mn-lt"/>
              </a:defRPr>
            </a:pPr>
          </a:p>
        </c:txPr>
        <c:crossAx val="775873470"/>
      </c:valAx>
      <c:valAx>
        <c:axId val="775873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293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400">
                <a:solidFill>
                  <a:srgbClr val="000000"/>
                </a:solidFill>
                <a:latin typeface="+mn-lt"/>
              </a:defRPr>
            </a:pPr>
            <a:r>
              <a:rPr b="0" i="1" sz="2400">
                <a:solidFill>
                  <a:srgbClr val="000000"/>
                </a:solidFill>
                <a:latin typeface="+mn-lt"/>
              </a:rPr>
              <a:t>Cliente, lucro e prejuízo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'cliente_lucro_prejuízo'!$A$2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'cliente_lucro_prejuízo'!$E$2</c:f>
            </c:strRef>
          </c:xVal>
          <c:yVal>
            <c:numRef>
              <c:f>'cliente_lucro_prejuízo'!$C$2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'cliente_lucro_prejuízo'!$A$3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'cliente_lucro_prejuízo'!$E$3</c:f>
            </c:strRef>
          </c:xVal>
          <c:yVal>
            <c:numRef>
              <c:f>'cliente_lucro_prejuízo'!$C$3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'cliente_lucro_prejuízo'!$A$4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'cliente_lucro_prejuízo'!$E$4</c:f>
            </c:strRef>
          </c:xVal>
          <c:yVal>
            <c:numRef>
              <c:f>'cliente_lucro_prejuízo'!$C$4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'cliente_lucro_prejuízo'!$A$5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'cliente_lucro_prejuízo'!$E$5</c:f>
            </c:strRef>
          </c:xVal>
          <c:yVal>
            <c:numRef>
              <c:f>'cliente_lucro_prejuízo'!$C$5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'cliente_lucro_prejuízo'!$A$6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'cliente_lucro_prejuízo'!$E$6</c:f>
            </c:strRef>
          </c:xVal>
          <c:yVal>
            <c:numRef>
              <c:f>'cliente_lucro_prejuízo'!$C$6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'cliente_lucro_prejuízo'!$A$7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'cliente_lucro_prejuízo'!$E$7</c:f>
            </c:strRef>
          </c:xVal>
          <c:yVal>
            <c:numRef>
              <c:f>'cliente_lucro_prejuízo'!$C$7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'cliente_lucro_prejuízo'!$A$8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'cliente_lucro_prejuízo'!$E$8</c:f>
            </c:strRef>
          </c:xVal>
          <c:yVal>
            <c:numRef>
              <c:f>'cliente_lucro_prejuízo'!$C$8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'cliente_lucro_prejuízo'!$A$9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'cliente_lucro_prejuízo'!$E$9</c:f>
            </c:strRef>
          </c:xVal>
          <c:yVal>
            <c:numRef>
              <c:f>'cliente_lucro_prejuízo'!$C$9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705537044"/>
        <c:axId val="1095003233"/>
      </c:bubbleChart>
      <c:valAx>
        <c:axId val="7055370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003233"/>
      </c:valAx>
      <c:valAx>
        <c:axId val="1095003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537044"/>
      </c:valAx>
    </c:plotArea>
    <c:legend>
      <c:legendPos val="r"/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5715000" cy="2657475"/>
    <xdr:pic>
      <xdr:nvPicPr>
        <xdr:cNvPr id="50062806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0</xdr:row>
      <xdr:rowOff>9525</xdr:rowOff>
    </xdr:from>
    <xdr:ext cx="4829175" cy="26574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228600</xdr:colOff>
      <xdr:row>0</xdr:row>
      <xdr:rowOff>0</xdr:rowOff>
    </xdr:from>
    <xdr:ext cx="5191125" cy="26670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180975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76200</xdr:colOff>
      <xdr:row>14</xdr:row>
      <xdr:rowOff>180975</xdr:rowOff>
    </xdr:from>
    <xdr:ext cx="4829175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228600</xdr:colOff>
      <xdr:row>14</xdr:row>
      <xdr:rowOff>180975</xdr:rowOff>
    </xdr:from>
    <xdr:ext cx="5191125" cy="3533775"/>
    <xdr:pic>
      <xdr:nvPicPr>
        <xdr:cNvPr id="204539218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1" sheet="mercado_acoes"/>
  </cacheSource>
  <cacheFields>
    <cacheField name="Código Cliente" numFmtId="3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49">
      <sharedItems>
        <s v="Compra"/>
        <s v="Venda"/>
      </sharedItems>
    </cacheField>
    <cacheField name="Stickes" numFmtId="0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ç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Mê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no" numFmtId="0">
      <sharedItems containsSemiMixedTypes="0" containsString="0" containsNumber="1" containsInteger="1">
        <n v="2023.0"/>
      </sharedItems>
    </cacheField>
    <cacheField name="Valor padronizado" numFmtId="0">
      <sharedItems containsSemiMixedTypes="0" containsString="0" containsNumber="1">
        <n v="0.11395289946821979"/>
        <n v="0.6583945302608255"/>
        <n v="0.2581666244618891"/>
        <n v="0.4867054950620411"/>
        <n v="0.2109394783489491"/>
        <n v="0.13484426437072675"/>
        <n v="0.29412509496074957"/>
        <n v="0.5753355279817676"/>
        <n v="0.8114712585464675"/>
        <n v="0.7011901747277792"/>
        <n v="0.32527222081539625"/>
        <n v="0.9830336794125094"/>
        <n v="0.3657888072929856"/>
        <n v="0.12167637376551024"/>
        <n v="0.2751329450493796"/>
        <n v="0.24195998987085335"/>
        <n v="0.8665484932894403"/>
        <n v="0.1894150417827298"/>
        <n v="0.43884527728538875"/>
        <n v="0.1418080526715624"/>
        <n v="0.47644973410990127"/>
        <n v="0.609141554824006"/>
        <n v="0.39225120283616105"/>
        <n v="0.4922765257027096"/>
        <n v="0.11167384147885538"/>
        <n v="0.8731324385920487"/>
        <n v="0.9265636870093695"/>
        <n v="0.5831856166118005"/>
        <n v="0.12610787541149657"/>
        <n v="0.1751076221828311"/>
        <n v="0.6761205368447709"/>
        <n v="0.44150417827298055"/>
        <n v="0.11382628513547731"/>
        <n v="0.45998987085338067"/>
        <n v="0.9004811344644214"/>
        <n v="0.9744239047860218"/>
        <n v="0.2563940238034945"/>
        <n v="0.023676880222841222"/>
        <n v="0.11433274246644719"/>
        <n v="0.1366168650291213"/>
        <n v="0.7080273486958724"/>
        <n v="0.09040263357812103"/>
        <n v="0.5715370979994935"/>
        <n v="0.22372752595593817"/>
        <n v="0.531780197518359"/>
        <n v="0.11813117244872119"/>
        <n v="0.003165358318561661"/>
        <n v="0.5126614332742466"/>
        <n v="0.11230691314256773"/>
        <n v="0.5148138769308686"/>
        <n v="0.785008863003292"/>
        <n v="0.34654342871613064"/>
        <n v="0.3428716130665991"/>
        <n v="0.3218536338313497"/>
        <n v="0.6833375538110914"/>
        <n v="0.9475816662446189"/>
        <n v="0.14206128133704735"/>
        <n v="0.3303367941250949"/>
        <n v="0.40200050645733093"/>
        <n v="0.46100278551532037"/>
        <n v="0.010888832615852115"/>
        <n v="0.023297037224613827"/>
        <n v="0.38693340086097744"/>
        <n v="0.15370979994935424"/>
        <n v="0.5107622182831096"/>
        <n v="0.5654596100278552"/>
        <n v="0.043048873132438596"/>
        <n v="0.11686502912129651"/>
        <n v="0.11572550012661431"/>
        <n v="0.4315016459863257"/>
        <n v="0.196252215750823"/>
        <n v="0.08369207394277033"/>
        <n v="0.747531020511522"/>
        <n v="0.1806786528234996"/>
        <n v="0.1406685236768802"/>
        <n v="0.051658647758926306"/>
        <n v="0.1320587490503925"/>
        <n v="0.8837680425424157"/>
        <n v="0.6352241073689542"/>
        <n v="0.23904786021777663"/>
        <n v="0.11939731577614585"/>
        <n v="0.6078754114965814"/>
        <n v="0.37781716890351985"/>
        <n v="0.016713091922005572"/>
        <n v="0.4811344644213725"/>
        <n v="0.3785768548999746"/>
        <n v="0.13256520638136235"/>
        <n v="0.39199797417067606"/>
        <n v="0.1339579640415295"/>
        <n v="0.0962268928842745"/>
        <n v="0.21853633831349706"/>
        <n v="0.11914408711066092"/>
        <n v="0.46125601418080525"/>
        <n v="0.365915421625728"/>
        <n v="0.02481640921752342"/>
        <n v="0.6601671309192201"/>
        <n v="0.032160040516586476"/>
        <n v="0.1293998480628007"/>
        <n v="0.1177513294504937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4"/>
        <n v="0.5807799442896936"/>
        <n v="0.07926057229678399"/>
        <n v="0.22866548493289438"/>
        <n v="0.1381362370220309"/>
        <n v="0.13218536338313497"/>
        <n v="0.6894150417827298"/>
        <n v="0.1440871106609268"/>
        <n v="0.9331476323119777"/>
        <n v="0.5064573309698658"/>
        <n v="0.25474803747784247"/>
        <n v="0.3894656875158268"/>
        <n v="0.43112180298809827"/>
        <n v="0.3685743226133198"/>
        <n v="0.17371486452266394"/>
        <n v="0.15155735629273231"/>
        <n v="0.8067865282349962"/>
        <n v="0.02633578121043302"/>
        <n v="0.14269435300075967"/>
        <n v="0.5260825525449481"/>
        <n v="0.19321347176500375"/>
        <n v="0.15421625728032412"/>
        <n v="0.4591035705241834"/>
        <n v="0.01278804760698911"/>
        <n v="0.01418080526715624"/>
        <n v="0.14168143833881994"/>
        <n v="0.17320840719169409"/>
        <n v="0.34021271207900733"/>
        <n v="0.4672068878197012"/>
        <n v="0.9203595847049886"/>
        <n v="0.7571537097999493"/>
        <n v="0.16257280324132692"/>
        <n v="0.33476829577108125"/>
        <n v="0.23132438592048618"/>
        <n v="0.4097239807546214"/>
        <n v="0.8609774626487718"/>
        <n v="0.14725246897948846"/>
        <n v="0.012914661939731575"/>
        <n v="0.33869334008609775"/>
        <n v="0.43390731830843254"/>
        <n v="0.025069637883008353"/>
        <n v="0.21980248164092173"/>
        <n v="0.12003038743985817"/>
        <n v="0.3835148138769308"/>
        <n v="0.06938465434287161"/>
        <n v="0.15219042795644466"/>
        <n v="0.24499873385667253"/>
        <n v="0.14497341099012406"/>
        <n v="0.11737148645226639"/>
        <n v="0.9918966827044822"/>
        <n v="0.27348695872372747"/>
        <n v="0.3757913395796404"/>
        <n v="0.42694353000759694"/>
        <n v="0.3798429982273993"/>
        <n v="0.03152696885287415"/>
        <n v="0.2524689794884781"/>
        <n v="0.9585971131932135"/>
        <n v="0.11952393010888832"/>
        <n v="0.17219549252975436"/>
        <n v="0.25993922512028356"/>
        <n v="0.17485439351734614"/>
        <n v="0.7518359078247657"/>
        <n v="0.3674347936186376"/>
        <n v="0.38465434287161304"/>
        <n v="0.7487971638389466"/>
        <n v="0.03722461382628514"/>
        <n v="0.24309951886553555"/>
        <n v="0.21321853633831347"/>
        <n v="0.4650544441630793"/>
        <n v="0.33970625474803745"/>
        <n v="0.04368194479615092"/>
        <n v="0.007723474297290451"/>
        <n v="0.03557862750063308"/>
        <n v="0.7028361610534313"/>
        <n v="0.49658141301595343"/>
        <n v="0.7652570270954673"/>
        <n v="0.2070144340339326"/>
        <n v="0.15522917194226385"/>
        <n v="0.5573562927323373"/>
        <n v="0.051278804760698904"/>
        <n v="0.2458850341858698"/>
        <n v="0.11331982780450746"/>
        <n v="0.188655355786275"/>
        <n v="0.13408457837427196"/>
        <n v="0.23297037224613823"/>
        <n v="0.699797417067612"/>
        <n v="0.03000759685996455"/>
        <n v="0.44289693593314766"/>
        <n v="0.19296024309951884"/>
        <n v="0.7167637376551025"/>
        <n v="0.027728538870600155"/>
        <n v="0.034439098505950866"/>
        <n v="0.22157508229931627"/>
        <n v="0.31337047353760444"/>
        <n v="0.5565966067358825"/>
        <n v="0.5089896176247152"/>
        <n v="0.2218283109648012"/>
        <n v="0.13155229171942262"/>
        <n v="0.11648518612306911"/>
        <n v="0.1311724487211952"/>
        <n v="0.711192707014434"/>
        <n v="0.4884780957204356"/>
        <n v="0.24082046087617118"/>
        <n v="0.008356545961002784"/>
        <n v="0.186756140795138"/>
        <n v="0.14839199797417066"/>
        <n v="0.10610281083818686"/>
        <n v="0.30805267156242083"/>
        <n v="0.30349455558369204"/>
        <n v="0.3067865282349962"/>
        <n v="0.1572550012661433"/>
        <n v="0.17067612053684475"/>
        <n v="0.15750822993162825"/>
        <n v="0.29627753861737144"/>
        <n v="0.11407951380096226"/>
        <n v="0.18004558115978728"/>
        <n v="0.16687769055457077"/>
        <n v="0.22613319827804507"/>
        <n v="0.41390225373512285"/>
        <n v="0.40238034945555834"/>
        <n v="0.14193466700430488"/>
        <n v="0.4989870853380603"/>
        <n v="0.49886047100531783"/>
        <n v="0.17181564953152695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499"/>
        <n v="0.1580146872625981"/>
        <n v="0.17029627753861734"/>
        <n v="0.43947834894910104"/>
        <n v="0.22777918460369712"/>
        <n v="0.005064573309698657"/>
        <n v="0.3651557356292732"/>
        <n v="0.5712838693340087"/>
        <n v="0.20726766269941757"/>
        <n v="0.0030387439858191945"/>
        <n v="0.22701949860724233"/>
        <n v="0.42086604203595845"/>
        <n v="0.8324892377817168"/>
        <n v="0.439731577614586"/>
        <n v="0.48569258040010127"/>
        <n v="0.14813876930868572"/>
        <n v="0.69815143074196"/>
        <n v="0.20308938971891616"/>
        <n v="0.10002532286654849"/>
        <n v="0.1953659154216257"/>
        <n v="0.364016206634591"/>
        <n v="0.1259812610787541"/>
        <n v="0.1410483666751076"/>
        <n v="0.14396049632818433"/>
        <n v="0.04963281843504684"/>
        <n v="0.35186123069131425"/>
        <n v="0.013927576601671307"/>
        <n v="0.9421372499366928"/>
        <n v="0.3062800709040263"/>
        <n v="0.1392757660167131"/>
        <n v="0.17662699417574068"/>
        <n v="0.8573056469992404"/>
        <n v="0.36528234996201564"/>
        <n v="0.026209166877690558"/>
        <n v="0.012028361610534312"/>
        <n v="0.02722208153963029"/>
        <n v="0.14016206634591033"/>
        <n v="0.42010635603950364"/>
        <n v="0.4453026082552545"/>
        <n v="0.3236262344897442"/>
        <n v="0.1648518612306913"/>
        <n v="0.12116991643454036"/>
        <n v="0.009369460622942517"/>
        <n v="0.13180552038490756"/>
        <n v="0.40339326411749804"/>
        <n v="0.5971131932134718"/>
        <n v="0.04228918713598379"/>
        <n v="0.2967839959483413"/>
        <n v="0.316789060521651"/>
        <n v="0.2510762218283109"/>
        <n v="0.38110914155482395"/>
        <n v="0.19220055710306405"/>
        <n v="0.31552291719422637"/>
        <n v="0.33071663712332233"/>
        <n v="0.4541656115472272"/>
        <n v="0.14003545201316786"/>
        <n v="0.16168650291212963"/>
        <n v="0.6891618131172448"/>
        <n v="0.41567485439351737"/>
        <n v="0.027601924537857682"/>
        <n v="0.010382375284882249"/>
        <n v="0.18422385414028866"/>
        <n v="0.8595847049886046"/>
        <n v="0.21233223600911622"/>
        <n v="0.16421878956697897"/>
        <n v="0.013800962268928843"/>
        <n v="0.7077741200303874"/>
        <n v="0.6768802228412256"/>
        <n v="0.012408204608761709"/>
        <n v="0.615345657128387"/>
        <n v="0.5904026335781211"/>
        <n v="0.726133198278045"/>
        <n v="0.11927070144340339"/>
        <n v="0.15130412762724738"/>
        <n v="0.11876424411243351"/>
        <n v="0.27525955938212204"/>
        <n v="0.18612306913142565"/>
        <n v="0.11243352747531019"/>
        <n v="0.39718916181311725"/>
        <n v="0.11661180045581158"/>
        <n v="0.3671815649531527"/>
        <n v="0.3632565206381362"/>
        <n v="0.12079007343631297"/>
        <n v="0.3004558115978729"/>
        <n v="0.1991643454038997"/>
        <n v="0.11635857179032666"/>
        <n v="0.17409470752089135"/>
        <n v="0.1538364142820967"/>
        <n v="0.37161306659913895"/>
        <n v="0.42605722967839965"/>
        <n v="0.012154975943276775"/>
        <n v="0.04861990377310711"/>
        <n v="0.3086857432261332"/>
        <n v="0.3403393264117498"/>
        <n v="0.8859204861990376"/>
        <n v="0.21587743732590528"/>
        <n v="0.21600405165864772"/>
        <n v="1.0"/>
        <n v="0.1972651304127627"/>
        <n v="0.515193719929096"/>
        <n v="0.4742972904532793"/>
        <n v="0.11256014180805266"/>
        <n v="0.4664472018232464"/>
        <n v="0.22651304127627248"/>
        <n v="0.2165105089896176"/>
        <n v="0.11597872879209926"/>
        <n v="0.4902506963788301"/>
        <n v="0.3441377563940238"/>
        <n v="0.37325905292479106"/>
        <n v="0.16738414788554062"/>
        <n v="0.8651557356292732"/>
        <n v="0.5867308179285895"/>
        <n v="0.1652317042289187"/>
        <n v="0.714991136996708"/>
        <n v="0.3740187389212459"/>
        <n v="0.20194986072423396"/>
        <n v="0.4582172701949861"/>
        <n v="0.24411243352747528"/>
        <n v="0.09420106356039504"/>
        <n v="0.3609774626487718"/>
        <n v="0.1399088376804254"/>
        <n v="0.13243859204861988"/>
        <n v="0.605343124841732"/>
        <n v="0.21815649531526968"/>
        <n v="0.13775639402380346"/>
        <n v="0.2627247404406179"/>
        <n v="0.184856925804001"/>
        <n v="0.4949354266903014"/>
        <n v="0.44707520891364905"/>
        <n v="0.4851861230691314"/>
        <n v="0.04469485945809066"/>
        <n v="0.3221068624968346"/>
        <n v="0.8253988351481387"/>
        <n v="0.14915168397062545"/>
        <n v="0.27120790073436307"/>
        <n v="0.4189668270448215"/>
        <n v="0.22461382628513546"/>
        <n v="0.15244365662192957"/>
        <n v="0.7705748290706508"/>
        <n v="0.13421119270701443"/>
        <n v="0.40124082046087617"/>
        <n v="0.0037984299822739938"/>
        <n v="0.13623702203089388"/>
        <n v="0.17865282349962014"/>
        <n v="0.40706507976702966"/>
        <n v="0.05140541909344138"/>
        <n v="0.24955684983540136"/>
        <n v="0.22739934160546973"/>
        <n v="0.41681438338819954"/>
        <n v="0.47746264877184097"/>
        <n v="0.14535325398835144"/>
        <n v="0.1825778678146366"/>
        <n v="0.028741453532539877"/>
        <n v="0.1368700936946062"/>
        <n v="0.3502152443656622"/>
        <n v="0.24449227652570268"/>
        <n v="0.009496074955684981"/>
        <n v="0.3055203849075715"/>
        <n v="0.013041276272474044"/>
        <n v="0.4973410990124082"/>
        <n v="0.14434033932641172"/>
        <n v="0.46226892884274506"/>
        <n v="0.16725753355279815"/>
        <n v="0.1690301342111927"/>
        <n v="0.1345910357052418"/>
        <n v="0.44454292225879966"/>
        <n v="0.17232210686249683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47"/>
        <n v="0.4891111673841479"/>
        <n v="0.7729805013927576"/>
        <n v="0.5526715624208661"/>
        <n v="0.13446442137249934"/>
        <n v="0.3649025069637883"/>
        <n v="0.1557356292732337"/>
        <n v="0.41162319574575845"/>
        <n v="0.23588250189921497"/>
        <n v="0.4868321093947835"/>
        <n v="0.4803747784249177"/>
        <n v="0.9347936186376297"/>
        <n v="0.3195745758419853"/>
        <n v="0.40351987845024057"/>
        <n v="0.4958217270194986"/>
        <n v="0.03102051152190428"/>
        <n v="0.39174474550519117"/>
        <n v="0.39908837680425424"/>
        <n v="0.27601924537857686"/>
        <n v="0.3432514560648265"/>
        <n v="0.11977715877437324"/>
        <n v="0.24044061787794374"/>
        <n v="0.1749810078500886"/>
        <n v="0.7914661939731578"/>
        <n v="0.3645226639655609"/>
        <n v="0.6030640668523677"/>
        <n v="0.37870346923271714"/>
        <n v="0.4960749556849835"/>
        <n v="0.3576854899974677"/>
        <n v="0.31299063053937703"/>
        <n v="0.13940238034945554"/>
        <n v="0.765763484426437"/>
        <n v="0.14775892631045834"/>
        <n v="0.2550012661433274"/>
        <n v="0.43099518865535585"/>
        <n v="0.45175993922512026"/>
        <n v="0.5448214737908331"/>
        <n v="0.6602937452519626"/>
        <n v="0.27753861737148644"/>
        <n v="0.7477842491770068"/>
        <n v="0.005824259306153456"/>
        <n v="0.050898961762471516"/>
        <n v="0.5954672068878197"/>
        <n v="0.8988351481387694"/>
        <n v="0.3514813876930868"/>
        <n v="0.5882501899214991"/>
        <n v="0.35452013167890606"/>
        <n v="0.16991643454038996"/>
        <n v="0.3313497087870346"/>
        <n v="0.8631299063053938"/>
        <n v="0.14320081033172952"/>
        <n v="0.1296530767282856"/>
        <n v="0.15231704228918713"/>
        <n v="0.20562167637376547"/>
        <n v="0.16877690554570776"/>
        <n v="0.12990630539377057"/>
        <n v="0.7013167890605216"/>
        <n v="0.3290706507976703"/>
        <n v="0.41326918207141045"/>
        <n v="0.756773866801722"/>
        <n v="0.3180552038490757"/>
        <n v="0.05077234742972904"/>
        <n v="0.0024056723221068618"/>
        <n v="0.28310964801215494"/>
        <n v="0.11534565712838692"/>
        <n v="0.09660673588250189"/>
        <n v="0.15408964294758165"/>
        <n v="0.04203595847049886"/>
        <n v="0.16700430488731324"/>
        <n v="0.27019498607242337"/>
        <n v="0.006204102304380855"/>
        <n v="0.41263611040769815"/>
        <n v="0.11838440111420612"/>
        <n v="0.15814130159534057"/>
        <n v="0.456824512534819"/>
        <n v="0.35211445935679914"/>
        <n v="0.11610534312484172"/>
        <n v="0.4061787794378324"/>
        <n v="0.15029121296530765"/>
        <n v="0.6406685236768802"/>
        <n v="0.3294504937958977"/>
        <n v="0.5933147632311977"/>
        <n v="0.12154975943276777"/>
        <n v="0.11445935679918966"/>
        <n v="0.23347682957710808"/>
        <n v="0.19903773107115724"/>
        <n v="0.15826791592808306"/>
        <n v="0.9826538364142821"/>
        <n v="0.16611800455811596"/>
        <n v="0.19688528741453531"/>
        <n v="0.2883008356545961"/>
        <n v="0.703595847049886"/>
        <n v="0.13294504937958976"/>
        <n v="0.1618131172448721"/>
        <n v="0.7627247404406179"/>
        <n v="0.3013421119270701"/>
        <n v="0.8571790326664979"/>
        <n v="0.03304634084578374"/>
        <n v="0.16510508989617623"/>
        <n v="0.42681691567485436"/>
        <n v="0.47151177513294507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4"/>
        <n v="0.1305393770574829"/>
        <n v="0.29146619397315776"/>
        <n v="0.5196252215750824"/>
        <n v="0.45492529754368194"/>
        <n v="0.1930868574322613"/>
        <n v="0.07989364396049634"/>
        <n v="0.20536844770828055"/>
        <n v="0.1675107622182831"/>
        <n v="0.17852620916687767"/>
        <n v="0.7508229931628261"/>
        <n v="0.11104076981514306"/>
        <n v="0.175360850848316"/>
        <n v="0.19182071410483664"/>
        <n v="0.5858445175993923"/>
        <n v="0.42757660167130923"/>
        <n v="0.015446948594580906"/>
        <n v="0.2018232463914915"/>
        <n v="0.12889339073183084"/>
        <n v="0.32299316282603185"/>
        <n v="0.29893643960496324"/>
        <n v="0.3455305140541909"/>
        <n v="0.4696125601418081"/>
        <n v="0.9298556596606735"/>
        <n v="0.02418333755381109"/>
        <n v="0.139528994682198"/>
        <n v="0.6985312737401874"/>
        <n v="0.21549759432767787"/>
        <n v="0.38237528488224864"/>
        <n v="0.8645226639655609"/>
        <n v="0.1478855406432008"/>
        <n v="0.5791339579640415"/>
        <n v="0.8236262344897441"/>
        <n v="0.1938465434287161"/>
        <n v="0.840086097746265"/>
        <n v="0.16573816155988857"/>
        <n v="0.36199037731071154"/>
        <n v="0.013167890605216507"/>
        <n v="0.3114712585464674"/>
        <n v="0.44846796657381616"/>
        <n v="0.65092428462902"/>
        <n v="0.4983540136743479"/>
        <n v="0.02595593821220562"/>
        <n v="0.0022790579893643952"/>
        <n v="0.2826031906811851"/>
        <n v="0.13522410736895416"/>
        <n v="0.03013421119270701"/>
        <n v="0.6616865029121297"/>
        <n v="0.16383894656875156"/>
        <n v="0.026462395543175483"/>
        <n v="0.5901494049126361"/>
        <n v="0.3775639402380349"/>
        <n v="0.5103823752848823"/>
        <n v="0.47379083312230946"/>
        <n v="0.03760445682451253"/>
        <n v="0.024436566219296022"/>
        <n v="0.13497087870346922"/>
        <n v="0.13598379336540894"/>
        <n v="0.7327171435806533"/>
        <n v="0.4604963281843505"/>
        <n v="0.22448721195239302"/>
        <n v="0.84907571537098"/>
        <n v="0.6419346670043049"/>
        <n v="0.13142567738668015"/>
        <n v="0.1532033426183844"/>
        <n v="0.30792605722967836"/>
        <n v="0.5083565459610029"/>
        <n v="0.5869840465940744"/>
        <n v="0.147125854646746"/>
        <n v="0.22638642694352998"/>
        <n v="0.14459356799189668"/>
        <n v="0.2156242086604203"/>
        <n v="0.17548746518105848"/>
        <n v="0.15776145859711319"/>
        <n v="0.7722208153963028"/>
        <n v="0.26158521144593566"/>
        <n v="0.43428716130665995"/>
        <n v="0.39085844517599394"/>
        <n v="0.22891871359837931"/>
        <n v="0.577361357305647"/>
        <n v="0.11458597113193211"/>
        <n v="0.18270448214737908"/>
        <n v="0.2024563180552038"/>
        <n v="0.16649784755634336"/>
        <n v="0.48202076475056976"/>
        <n v="0.7203089389718916"/>
        <n v="0.08685743226133198"/>
        <n v="0.39022537351228154"/>
        <n v="0.7356292732337301"/>
        <n v="0.11711825778678146"/>
        <n v="0.41187642441124334"/>
        <n v="0.6763737655102557"/>
        <n v="0.39503671815649527"/>
        <n v="0.14573309698657888"/>
        <n v="0.17751329450493794"/>
        <n v="0.16624461889085843"/>
        <n v="0.41352241073689544"/>
        <n v="0.11889085844517597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1"/>
        <n v="0.6331982780450748"/>
        <n v="0.0354520131678906"/>
        <n v="0.12041023043808559"/>
        <n v="0.28614839199797415"/>
        <n v="0.3976956191440871"/>
        <n v="0.2715877437325905"/>
        <n v="0.13332489237781717"/>
        <n v="0.6162319574575842"/>
        <n v="0.16358571790326665"/>
        <n v="0.27374018738921246"/>
        <n v="0.25360850848316024"/>
        <n v="0.015826791592808302"/>
        <n v="0.03291972651304127"/>
        <n v="0.4778424917700684"/>
        <n v="0.5111420612813371"/>
        <n v="0.4123828817422132"/>
        <n v="0.42972904532793116"/>
        <n v="0.14687262598126108"/>
        <n v="0.8050139275766016"/>
        <n v="0.13585717903266648"/>
        <n v="0.17295517852620915"/>
        <n v="0.5710306406685237"/>
        <n v="0.3885793871866295"/>
        <n v="0.10926816915674853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26"/>
        <n v="0.6438338819954419"/>
        <n v="0.01987845024056723"/>
        <n v="0.475563433780704"/>
        <n v="0.22144846796657378"/>
        <n v="0.0027855153203342614"/>
        <n v="0.1467460116485186"/>
        <n v="0.01101544694859458"/>
        <n v="0.36654849328944034"/>
        <n v="0.5175993922512029"/>
        <n v="0.1901747277791846"/>
        <n v="0.20346923271714357"/>
        <n v="0.29184603697138517"/>
        <n v="0.3199544188402127"/>
        <n v="0.4825272220815396"/>
        <n v="0.2833628766776399"/>
        <n v="0.5733096986578881"/>
        <n v="0.3405925550772347"/>
        <n v="0.39554317548746515"/>
        <n v="0.628640162066346"/>
        <n v="0.3927576601671309"/>
        <n v="0.8099518865535578"/>
        <n v="0.03570524183337554"/>
        <n v="0.5449480881235756"/>
        <n v="0.6193973157761459"/>
        <n v="0.18359078247657634"/>
        <n v="0.3573056469992403"/>
        <n v="0.143327424664472"/>
        <n v="0.36870093694606226"/>
        <n v="0.014434033932641173"/>
        <n v="0.4718916181311725"/>
        <n v="0.37363889592301847"/>
        <n v="0.3297037224613826"/>
        <n v="0.36566219296024305"/>
        <n v="0.19207394277032155"/>
        <n v="0.40959736642187894"/>
        <n v="0.36059761965054443"/>
        <n v="0.39744239047860214"/>
        <n v="0.8637629779691061"/>
        <n v="0.21929602430995188"/>
        <n v="0.5729298556596606"/>
        <n v="0.014813876930868575"/>
        <n v="0.14142820967333503"/>
        <n v="0.9591035705241833"/>
        <n v="0.14244112433527475"/>
        <n v="0.48467966573816157"/>
        <n v="0.11547227146112939"/>
        <n v="0.015193719929095972"/>
        <n v="0.32881742213218534"/>
        <n v="0.3153963028614839"/>
        <n v="0.42415801468726255"/>
        <n v="0.45239301088883266"/>
        <n v="0.45505191187642446"/>
        <n v="0.35325398835148136"/>
        <n v="0.5178526209166878"/>
        <n v="0.09723980754621424"/>
        <n v="0.47075208913649025"/>
        <n v="0.18992149911369965"/>
        <n v="0.8089389718916181"/>
        <n v="0.33324892377817167"/>
        <n v="0.2972904532793112"/>
        <n v="0.20055710306406685"/>
        <n v="0.38997214484679665"/>
        <n v="0.692200557103064"/>
        <n v="0.13104583438845277"/>
        <n v="0.4832869080779944"/>
        <n v="0.19258040010129146"/>
        <n v="0.29665738161559885"/>
        <n v="0.18447708280577357"/>
        <n v="0.19030134211192704"/>
        <n v="0.12066345910357051"/>
        <n v="0.4761965054444163"/>
        <n v="0.3366675107622183"/>
        <n v="0.12281590276019244"/>
        <n v="0.700050645733097"/>
        <n v="0.16092681691567484"/>
        <n v="0.01570017726006584"/>
        <n v="0.44720182324639146"/>
        <n v="0.01823246391491517"/>
        <n v="0.1444669536591542"/>
        <n v="0.15864775892631044"/>
        <n v="0.5492529754368195"/>
        <n v="0.3584451759939225"/>
        <n v="0.12572803241326916"/>
        <n v="0.6012914661939731"/>
        <n v="0.22056216763737652"/>
        <n v="0.03076728285641934"/>
        <n v="0.4496074955684984"/>
        <n v="0.7501899214991137"/>
        <n v="0.01911876424411243"/>
        <n v="0.11762471511775131"/>
        <n v="0.4874651810584958"/>
        <n v="0.017852620916687767"/>
        <n v="0.21954925297543681"/>
        <n v="0.0419093441377564"/>
        <n v="0.25538110914155476"/>
        <n v="0.1799189668270448"/>
        <n v="0.11965054444163077"/>
        <n v="0.6337047353760445"/>
        <n v="0.19334008609774625"/>
        <n v="0.0196252215750823"/>
        <n v="0.8541402886806787"/>
        <n v="0.5878703469232717"/>
        <n v="0.13611040769815141"/>
        <n v="0.11559888579387184"/>
        <n v="0.16915674854393517"/>
        <n v="0.13674347936186373"/>
        <n v="0.030514054190934413"/>
        <n v="0.23322360091162317"/>
        <n v="0.17447455051911875"/>
        <n v="0.17282856419346668"/>
        <n v="0.4963281843504685"/>
        <n v="0.02570270954672069"/>
        <n v="0.11699164345403897"/>
        <n v="0.19409977209420104"/>
        <n v="0.23841478855406428"/>
        <n v="0.46391491516839706"/>
        <n v="0.23562927323373004"/>
        <n v="0.6961256014180806"/>
        <n v="0.17054950620410228"/>
        <n v="0.1927070144340339"/>
        <n v="0.07812104330210179"/>
        <n v="0.7779184603697139"/>
        <n v="0.46986578880729296"/>
        <n v="0.2541149658141301"/>
        <n v="0.7434793618637631"/>
        <n v="0.16016713091922002"/>
        <n v="0.12509496074955684"/>
        <n v="0.8293238794631552"/>
        <n v="0.13269182071410482"/>
        <n v="0.2180298809825272"/>
        <n v="0.13079260572296783"/>
        <n v="0.13965560901494048"/>
        <n v="0.22537351228159028"/>
        <n v="0.40554570777412"/>
        <n v="0.1709293492023297"/>
        <n v="0.27437325905292476"/>
        <n v="0.1713091922005571"/>
        <n v="0.5138009622689289"/>
        <n v="0.22689288427449983"/>
        <n v="0.15700177260065837"/>
        <n v="0.17194226386426942"/>
        <n v="0.5158267915928083"/>
        <n v="0.4932894403646493"/>
        <n v="0.43935173461635857"/>
        <n v="0.04608761711825779"/>
        <n v="0.005191187642441123"/>
        <n v="0.1738414788554064"/>
        <n v="0.1334515067105596"/>
        <n v="0.4592301848569258"/>
        <n v="0.2037224613826285"/>
        <n v="0.051911876424411245"/>
        <n v="0.4563180552038491"/>
        <n v="0.20676120536844766"/>
        <n v="0.39389718916181304"/>
        <n v="0.4003545201316789"/>
        <n v="0.1568751582679159"/>
        <n v="0.46252215750822995"/>
        <n v="0.3100785008863003"/>
        <n v="0.16143327424664472"/>
        <n v="0.3789566978982021"/>
        <n v="0.13762977969106102"/>
        <n v="0.15079767029627753"/>
        <n v="0.43669283362876676"/>
        <n v="0.03203342618384401"/>
        <n v="0.18194479615092427"/>
        <n v="0.03140035452013167"/>
        <n v="0.2387946315522917"/>
        <n v="0.02203089389718916"/>
        <n v="0.02886806786528235"/>
        <n v="0.962268928842745"/>
        <n v="0.14130159534059256"/>
        <n v="0.7693086857432262"/>
        <n v="0.44580906558622435"/>
        <n v="0.23448974423904784"/>
        <n v="0.6254748037477843"/>
        <n v="0.39149151683970623"/>
        <n v="0.07027095467206887"/>
        <n v="0.3535072170169663"/>
        <n v="0.18245125348189414"/>
        <n v="0.6301595340592555"/>
        <n v="0.2676626994175741"/>
        <n v="0.3588250189921499"/>
        <n v="0.16497847556343376"/>
        <n v="0.17472777918460367"/>
        <n v="0.18878197011901746"/>
        <n v="0.24651810584958214"/>
        <n v="0.11623195745758419"/>
        <n v="0.037351228159027604"/>
        <n v="0.0013927576601671292"/>
        <n v="0.3373005824259306"/>
        <n v="0.27842491770068367"/>
        <n v="0.7910863509749304"/>
        <n v="0.17308179285895162"/>
        <n v="0.4080779944289694"/>
        <n v="0.03228665484932894"/>
        <n v="0.033679412509496076"/>
        <n v="0.41225626740947074"/>
        <n v="0.23360344390985058"/>
        <n v="0.15560901494049126"/>
        <n v="0.44112433527475314"/>
        <n v="0.0882501899214991"/>
        <n v="0.24563180552038488"/>
        <n v="0.39339073183084317"/>
        <n v="0.19967080273486956"/>
        <n v="0.8709799949354268"/>
        <n v="0.09116231957457584"/>
        <n v="0.3898455305140542"/>
        <n v="0.25626740947075205"/>
        <n v="0.34097239807546215"/>
        <n v="0.6987845024056724"/>
        <n v="0.32387946315522914"/>
        <n v="0.43909850595087363"/>
        <n v="0.4232717143580653"/>
        <n v="0.23271714358065332"/>
        <n v="0.12674094707520892"/>
        <n v="0.199797417067612"/>
        <n v="0.2500633071663712"/>
        <n v="0.40921752342365153"/>
        <n v="0.9383388199544188"/>
        <n v="0.7343631299063054"/>
        <n v="0.11863762977969104"/>
        <n v="0.2871613066599139"/>
        <n v="0.5253228665484933"/>
        <n v="0.23221068624968344"/>
        <n v="0.2587996961256014"/>
        <n v="0.3565459610027855"/>
        <n v="0.8703469232717145"/>
        <n v="0.37731071157255003"/>
        <n v="0.0"/>
        <n v="0.160420359584705"/>
        <n v="0.7499366928336287"/>
        <n v="0.03798429982273993"/>
        <n v="0.8133704735376045"/>
        <n v="0.15877437325905291"/>
        <n v="0.3546467460116485"/>
        <n v="0.1977715877437326"/>
        <n v="0.21942263864269432"/>
        <n v="0.41542162572803243"/>
        <n v="0.028361610534312486"/>
        <n v="0.04127627247404406"/>
        <n v="0.4767029627753862"/>
        <n v="0.4935426690301342"/>
        <n v="0.675360850848316"/>
        <n v="0.4888579387186629"/>
        <n v="0.37705748290706503"/>
        <n v="0.5017726006583946"/>
        <n v="0.11344644213724991"/>
        <n v="0.2977969106102811"/>
        <n v="0.5098759179539124"/>
        <n v="0.04418840212712079"/>
        <n v="0.1915674854393517"/>
        <n v="0.14054190934413774"/>
        <n v="0.12192960243099517"/>
        <n v="0.4216257280324133"/>
        <n v="0.4950620410230438"/>
        <n v="0.4078247657634844"/>
        <n v="0.8650291212965309"/>
        <n v="0.24905039250443148"/>
        <n v="0.1128133704735376"/>
        <n v="0.15117751329450493"/>
        <n v="0.12914661939731575"/>
        <n v="0.03646492782983033"/>
        <n v="0.5122815902760193"/>
        <n v="0.004684730311471257"/>
        <n v="0.13876930868574322"/>
        <n v="0.013674347936186373"/>
        <n v="0.43985819194732845"/>
        <n v="0.4409977209420107"/>
        <n v="0.2704482147379083"/>
        <n v="0.18473031147125854"/>
        <n v="0.020638136237022032"/>
        <n v="0.12268928842744997"/>
        <n v="0.015067105596353509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3"/>
        <n v="0.701696632058749"/>
        <n v="0.5959736642187895"/>
        <n v="0.1252215750822993"/>
        <n v="0.3636363636363636"/>
        <n v="0.26399088376804253"/>
        <n v="0.25525449480881235"/>
        <n v="0.12319574575841984"/>
        <n v="0.44264370726766267"/>
        <n v="0.7755127880476069"/>
        <n v="0.39731577614585967"/>
        <n v="0.44618890858445176"/>
        <n v="0.6131932134717649"/>
        <n v="0.29982273993416053"/>
        <n v="0.4775892631045835"/>
        <n v="0.7585464674601164"/>
        <n v="0.3275512788047607"/>
        <n v="0.6563687009369461"/>
        <n v="0.20650797670296275"/>
        <n v="0.5037984299822741"/>
        <n v="0.16219296024309948"/>
        <n v="0.43466700430488736"/>
        <n v="0.16244618890858445"/>
        <n v="0.007976702962775384"/>
        <n v="0.38414788554064316"/>
        <n v="0.4845530514054191"/>
        <n v="0.016206634591035704"/>
        <n v="0.3987085338060268"/>
        <n v="0.39478348949101033"/>
        <n v="0.1526968852874145"/>
        <n v="0.07419599898708534"/>
        <n v="0.16269941757406936"/>
        <n v="0.17346163585717903"/>
        <n v="0.15143074195998985"/>
        <n v="0.14358065332995695"/>
        <n v="0.20992656368700935"/>
        <n v="0.8272980501392758"/>
        <n v="0.4930362116991644"/>
        <n v="0.11673841478855404"/>
        <n v="0.4163079260572297"/>
        <n v="0.1248417320840719"/>
        <n v="0.42669030134211194"/>
        <n v="0.14345403899721448"/>
        <n v="0.01949860724233983"/>
        <n v="0.21676373765510257"/>
        <n v="0.34882248670549504"/>
        <n v="0.6273740187389213"/>
        <n v="0.20498860471005315"/>
        <n v="0.17523423651557354"/>
        <n v="0.024689794884780954"/>
        <n v="0.18308432514560646"/>
        <n v="0.15332995695112686"/>
        <n v="0.02380349455558369"/>
        <n v="0.5359584704988605"/>
        <n v="0.022284122562674095"/>
        <n v="0.16282603190681183"/>
        <n v="0.14649278298303364"/>
        <n v="0.6913142567738668"/>
        <n v="0.4539123828817422"/>
        <n v="0.48100785008863"/>
        <n v="0.27715877437325903"/>
        <n v="0.18169156748543933"/>
        <n v="0.13028614839199795"/>
        <n v="0.24993669283362874"/>
        <n v="0.8057736135730564"/>
        <n v="0.13357812104330208"/>
        <n v="0.3730058242593061"/>
        <n v="0.05115219042795644"/>
        <n v="0.11218029880982526"/>
        <n v="0.3612306913142567"/>
        <n v="0.44517599392251206"/>
        <n v="0.1678906052165105"/>
        <n v="0.19068118511015444"/>
        <n v="0.22271461129399847"/>
        <n v="0.5007596859964548"/>
        <n v="0.3200810331729551"/>
        <n v="0.20410230438085591"/>
        <n v="0.029880982527222086"/>
        <n v="0.360217776652317"/>
        <n v="0.046847303114712587"/>
        <n v="0.5553304634084578"/>
        <n v="0.3617371486452266"/>
        <n v="0.03899721448467967"/>
        <n v="0.3308432514560648"/>
        <n v="0.11192707014434033"/>
        <n v="0.8483160293745251"/>
        <n v="0.13066599139022536"/>
        <n v="0.5696378830083565"/>
        <n v="0.38908584451759937"/>
        <n v="0.26031906811851097"/>
        <n v="0.1610534312484173"/>
        <n v="0.724233983286908"/>
        <n v="0.023930108888326158"/>
        <n v="0.15105089896176246"/>
        <n v="0.5897695619144088"/>
        <n v="0.11724487211952392"/>
        <n v="0.19587237275259556"/>
        <n v="0.4187135983793365"/>
        <n v="0.318688275512788"/>
        <n v="0.5783742719675867"/>
        <n v="0.7834894910103823"/>
        <n v="0.39364396049632816"/>
        <n v="0.2075208913649025"/>
        <n v="0.22625981261078754"/>
        <n v="0.8998480628007091"/>
        <n v="0.7989364396049633"/>
        <n v="0.33641428209673335"/>
        <n v="0.18460369713851607"/>
        <n v="0.36072423398328685"/>
        <n v="0.23335021524436564"/>
        <n v="0.02924791086350974"/>
        <n v="0.13636363636363635"/>
        <n v="0.1391491516839706"/>
        <n v="0.7368954165611548"/>
        <n v="0.35603950367181564"/>
        <n v="0.6250949607495568"/>
        <n v="0.2600658394530261"/>
        <n v="0.35717903266649786"/>
        <n v="0.7409470752089137"/>
        <n v="0.03494555583692074"/>
        <n v="0.25892631045834386"/>
        <n v="0.23474297290453278"/>
        <n v="0.23081792858951633"/>
        <n v="0.1663712332236009"/>
        <n v="0.21992909597366422"/>
        <n v="0.4882248670549506"/>
        <n v="0.5943276778931376"/>
        <n v="0.17080273486958722"/>
        <n v="0.3066599139022537"/>
        <n v="0.33008356545961004"/>
        <n v="0.32248670549506203"/>
        <n v="0.12420866042035957"/>
        <n v="0.34198531273740185"/>
        <n v="0.335781210433021"/>
        <n v="0.4209926563687009"/>
        <n v="0.39680931881488984"/>
        <n v="0.5067105596353507"/>
        <n v="0.9290959736642188"/>
        <n v="0.15649531526968852"/>
        <n v="0.771714358065333"/>
        <n v="0.016586477589263102"/>
        <n v="0.5863509749303621"/>
        <n v="0.8083059002279058"/>
        <n v="0.12648771840972395"/>
        <n v="0.42846290200050646"/>
        <n v="0.23968093188148898"/>
        <n v="0.31438338819954414"/>
        <n v="0.34502405672322106"/>
        <n v="0.38364142820967334"/>
        <n v="0.18511015446948592"/>
        <n v="0.6381362370220309"/>
        <n v="0.11015446948594579"/>
        <n v="0.43757913395796405"/>
        <n v="0.7175234236515573"/>
        <n v="0.6656115472271461"/>
        <n v="0.021017979235249427"/>
        <n v="0.37958976956191437"/>
        <n v="0.11357305646999238"/>
        <n v="0.13788300835654593"/>
        <n v="0.3816155988857939"/>
        <n v="0.328184350468473"/>
        <n v="0.24550519118764244"/>
        <n v="0.8557862750063308"/>
        <n v="0.3626234489744239"/>
        <n v="0.41757406938465436"/>
        <n v="0.2848822486705495"/>
        <n v="0.6420612813370473"/>
        <n v="0.2672828564193466"/>
        <n v="0.2328437579133958"/>
        <n v="0.17257533552798174"/>
        <n v="0.038617371486452265"/>
        <n v="0.39427703216004045"/>
        <n v="0.07343631299063054"/>
        <n v="0.512788047606989"/>
        <n v="0.3957964041529501"/>
        <n v="0.34641681438338817"/>
        <n v="0.6697898202076475"/>
        <n v="0.8926310458343885"/>
        <n v="0.2085338060268422"/>
        <n v="0.5440617877943784"/>
        <n v="0.171562420866042"/>
        <n v="8.863003291972658E-4"/>
        <n v="0.011268675614079512"/>
        <n v="0.14155482400607747"/>
        <n v="0.4839199797417068"/>
        <n v="0.025576095213978217"/>
        <n v="0.3131172448721195"/>
        <n v="0.5351987845024057"/>
        <n v="7.596859964547993E-4"/>
        <n v="0.416940997720942"/>
        <n v="0.3462902000506457"/>
        <n v="0.1463661686502912"/>
        <n v="0.04431501645986326"/>
        <n v="0.671815649531527"/>
        <n v="0.21790326664978477"/>
        <n v="0.2437325905292479"/>
        <n v="0.17915928083059"/>
        <n v="0.4943023550265891"/>
        <n v="0.6592808305900227"/>
        <n v="0.3352747531020511"/>
        <n v="0.5524183337553811"/>
        <n v="0.31425677386680173"/>
        <n v="0.04988604710053178"/>
        <n v="0.3856672575335528"/>
        <n v="0.8005824259306153"/>
        <n v="0.15003798429982274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26"/>
        <n v="0.688655355786275"/>
        <n v="0.18498354013674345"/>
        <n v="0.23043808559128892"/>
        <n v="0.1629526462395543"/>
        <n v="0.3050139275766017"/>
        <n v="0.5763484426437073"/>
        <n v="0.6048366675107623"/>
        <n v="0.8952899468219803"/>
        <n v="0.14307419599898707"/>
        <n v="0.01633324892377817"/>
        <n v="0.1229425170929349"/>
        <n v="0.14611293998480626"/>
        <n v="0.1040769815143074"/>
        <n v="0.24120030387439859"/>
        <n v="0.7247404406178779"/>
        <n v="0.10116485186123068"/>
        <n v="0.6356039503671815"/>
        <n v="0.038743985819194734"/>
        <n v="0.45378576854899977"/>
        <n v="0.38338819954418835"/>
        <n v="0.3921245885034186"/>
        <n v="0.5262091668776906"/>
        <n v="0.04102304380855913"/>
        <n v="0.2628513547733603"/>
        <n v="0.19093441377563938"/>
        <n v="0.9703722461382628"/>
        <n v="0.03038743985819195"/>
        <n v="0.2769055457077741"/>
        <n v="0.6818181818181818"/>
        <n v="0.02912129653076728"/>
        <n v="0.18131172448721192"/>
        <n v="0.052038490757153714"/>
        <n v="0.47974170676120537"/>
        <n v="0.26082552544948084"/>
        <n v="0.019371992909597367"/>
        <n v="0.05064573309698658"/>
        <n v="0.42175234236515574"/>
        <n v="0.4199797417067612"/>
        <n v="0.15890098759179536"/>
        <n v="0.038110914155482394"/>
        <n v="0.18080526715624207"/>
        <n v="0.9494808812357559"/>
        <n v="0.4364396049632819"/>
        <n v="0.11496581413015954"/>
        <n v="0.7042289187135984"/>
        <n v="0.0016459863256520623"/>
        <n v="0.40997720942010635"/>
        <n v="0.44973410990124085"/>
        <n v="0.14231451000253226"/>
        <n v="0.21157255001266143"/>
        <n v="0.40820460876171183"/>
        <n v="0.1923271714358065"/>
        <n v="0.42390478602177767"/>
        <n v="0.5804001012914662"/>
        <n v="0.3803494555583692"/>
        <n v="0.156621929602431"/>
        <n v="0.269561914408711"/>
        <n v="0.34831602937452516"/>
        <n v="0.1818181818181818"/>
        <n v="0.21068624968346417"/>
        <n v="0.21524436566219296"/>
        <n v="0.26626994175740687"/>
        <n v="0.9098505950873639"/>
        <n v="0.4499873385667258"/>
        <n v="0.13712332236009114"/>
        <n v="0.3752848822486705"/>
        <n v="0.006077487971638389"/>
        <n v="0.6629526462395543"/>
        <n v="0.3466700430488731"/>
        <n v="0.17105596353507216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4"/>
        <n v="0.4753102051152191"/>
        <n v="0.492656368700937"/>
        <n v="0.19815143074195996"/>
        <n v="0.34907571537098"/>
        <n v="0.7027095467206887"/>
        <n v="0.3562927323373006"/>
        <n v="0.026715624208660423"/>
        <n v="0.3838946568751582"/>
        <n v="0.7537351228159027"/>
        <n v="0.7836161053431248"/>
        <n v="0.5177260065839453"/>
        <n v="0.12395543175487464"/>
        <n v="0.44808812357558875"/>
        <n v="0.20574829070650796"/>
        <n v="0.5078500886300329"/>
        <n v="0.014307419599898709"/>
        <n v="0.30020258293238794"/>
        <n v="0.17358825018992147"/>
        <n v="0.42289187135983797"/>
        <n v="0.18586984046594074"/>
        <n v="0.17434793618637628"/>
        <n v="0.6020511521904279"/>
        <n v="0.1316789060521651"/>
        <n v="0.7298050139275766"/>
        <n v="0.16345910357052418"/>
        <n v="0.4160546973917447"/>
        <n v="0.19080779944289694"/>
        <n v="0.4729045327931122"/>
        <n v="0.2623448974423904"/>
        <n v="0.2142314510002532"/>
        <n v="0.6771334515067106"/>
        <n v="0.8599645479868321"/>
        <n v="0.016080020258293234"/>
        <n v="0.006837173968093188"/>
        <n v="0.17599392251202833"/>
        <n v="0.21030640668523676"/>
        <n v="0.17460116485186122"/>
        <n v="0.5044315016459864"/>
        <n v="0.8308432514560649"/>
        <n v="0.18283109648012152"/>
        <n v="0.4183337553811092"/>
        <n v="0.014560648265383643"/>
        <n v="0.7923524943023551"/>
        <n v="0.02190427956444669"/>
        <n v="0.39566978982020756"/>
        <n v="0.11825778678146365"/>
        <n v="0.30754621423145095"/>
        <n v="0.017726006583945304"/>
        <n v="0.9402380349455558"/>
        <n v="0.020764750569764494"/>
        <n v="0.1919473284375791"/>
        <n v="0.1323119777158774"/>
        <n v="0.4427703216004052"/>
        <n v="0.01747277791846037"/>
        <n v="0.6125601418080526"/>
        <n v="0.1561154722714611"/>
        <n v="0.16535831856166117"/>
        <n v="0.13851608002025828"/>
        <n v="0.022157508229931625"/>
        <n v="0.6477589263104584"/>
        <n v="0.035958470498860466"/>
        <n v="0.7360091162319574"/>
        <n v="0.41212965307672833"/>
        <n v="0.11509242846290199"/>
        <n v="0.035198784502405676"/>
        <n v="0.14877184097239807"/>
        <n v="0.4615092428462902"/>
        <n v="0.14699924031400352"/>
        <n v="0.24791086350974928"/>
        <n v="0.08445175993922512"/>
        <n v="0.1583945302608255"/>
        <n v="0.18713598379336538"/>
        <n v="0.13370473537604455"/>
        <n v="0.7636110407698151"/>
        <n v="0.3844011142061281"/>
        <n v="0.43061534565712845"/>
        <n v="0.8461635857179032"/>
        <n v="0.09584704988604709"/>
        <n v="0.12129653076728285"/>
        <n v="0.4618890858445176"/>
        <n v="0.15966067358825017"/>
        <n v="0.2071410483666751"/>
        <n v="0.4054190934413776"/>
        <n v="0.12306913142567737"/>
        <n v="0.9556849835401368"/>
        <n v="0.5688781970119017"/>
        <n v="0.18700936946062294"/>
        <n v="0.2705748290706508"/>
        <n v="0.3542669030134211"/>
        <n v="0.1595340592555077"/>
        <n v="0.18321093947834893"/>
        <n v="0.5992656368700937"/>
        <n v="0.8176753608508482"/>
        <n v="0.44226386426943526"/>
        <n v="0.43631299063053935"/>
        <n v="0.8638895923018486"/>
        <n v="0.22018232463914914"/>
        <n v="0.6533299569511268"/>
        <n v="0.11800455811597871"/>
        <n v="0.28323626234489746"/>
        <n v="0.9068118511015447"/>
        <n v="0.21499113699670802"/>
        <n v="0.12142314510002532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56"/>
        <n v="0.4446695365915422"/>
        <n v="0.00848316029374525"/>
        <n v="0.4670802734869587"/>
        <n v="0.9237781716890352"/>
        <n v="0.24347936186376298"/>
        <n v="0.41808052671562423"/>
        <n v="0.3440111420612813"/>
        <n v="0.40769815143074195"/>
        <n v="0.6458597113193214"/>
        <n v="0.35439351734616353"/>
        <n v="0.42111927070144345"/>
        <n v="0.8121043302101798"/>
        <n v="0.47252468979488477"/>
        <n v="0.41250949607495574"/>
        <n v="0.3375538110914155"/>
        <n v="0.13129906305393768"/>
        <n v="0.39630286148391997"/>
        <n v="0.47315776145859717"/>
        <n v="0.2153709799949354"/>
        <n v="0.13471765003798428"/>
        <n v="0.6925804001012915"/>
        <n v="0.1591542162572803"/>
        <n v="0.21245885034185866"/>
        <n v="0.7100531780197519"/>
        <n v="0.03317295517852621"/>
        <n v="0.42770321600405165"/>
        <n v="0.326285135477336"/>
        <n v="0.021397822233476832"/>
        <n v="0.6942263864269436"/>
        <n v="0.18688275512788044"/>
        <n v="0.5407698151430742"/>
        <n v="0.39465687515826786"/>
        <n v="0.3007090402633578"/>
        <n v="0.407444922765257"/>
        <n v="0.5354520131678907"/>
        <n v="0.4613826285135478"/>
        <n v="0.41415548240060773"/>
        <n v="0.3828817422132185"/>
        <n v="0.1795391238288174"/>
        <n v="0.1973917447455052"/>
        <n v="0.47480374778424916"/>
        <n v="0.16333248923778168"/>
        <n v="0.19637883008356544"/>
        <n v="0.6892884274499874"/>
        <n v="0.8527475310205116"/>
        <n v="0.4786021777665232"/>
        <n v="0.32565206381362366"/>
        <n v="0.5012661433274247"/>
        <n v="0.18207141048366673"/>
        <n v="0.18726259812610785"/>
        <n v="0.4763231197771588"/>
        <n v="0.1328184350468473"/>
        <n v="0.6645986325652063"/>
        <n v="0.034818941504178275"/>
        <n v="0.6492782983033679"/>
        <n v="0.4049126361104077"/>
        <n v="0.38933907318308425"/>
        <n v="0.11787794378323624"/>
        <n v="0.8428716130665992"/>
        <n v="0.12813370473537603"/>
        <n v="0.6375031653583185"/>
        <n v="0.13509749303621169"/>
        <n v="0.3746518105849582"/>
        <n v="0.3475563433780704"/>
        <n v="0.1659913902253735"/>
        <n v="0.011395289946821981"/>
        <n v="0.4808812357558876"/>
        <n v="0.25386173714864524"/>
        <n v="0.6080020258293238"/>
        <n v="0.1724487211952393"/>
        <n v="0.39351734616358575"/>
        <n v="0.1802988098252722"/>
        <n v="0.8676880222841226"/>
        <n v="0.16940997720942008"/>
        <n v="0.30729298556596607"/>
        <n v="0.42643707267662695"/>
        <n v="0.16396556090149403"/>
        <n v="0.5801468726259812"/>
        <n v="0.9199797417067611"/>
        <n v="0.18435046847303113"/>
        <n v="0.948467966573816"/>
        <n v="0.6538364142820967"/>
        <n v="0.352620916687769"/>
        <n v="0.04570777412003039"/>
        <n v="0.3870600151937199"/>
        <n v="0.23018485692580398"/>
        <n v="0.12686756140795136"/>
        <n v="0.15510255760952138"/>
        <n v="0.3727525955938212"/>
        <n v="0.21967586730817926"/>
        <n v="0.1343378070397569"/>
        <n v="0.23069131425677383"/>
        <n v="0.24094707520891362"/>
        <n v="0.29994935426690295"/>
        <n v="0.4841732084071917"/>
        <n v="0.19941757406938465"/>
        <n v="0.1640921752342365"/>
        <n v="0.16320587490503924"/>
        <n v="0.19929095973664215"/>
        <n v="0.14472018232463915"/>
        <n v="0.4259306153456571"/>
        <n v="0.7837427196758674"/>
        <n v="0.21714358065332992"/>
        <n v="0.3321093947834895"/>
        <n v="0.22765257027095467"/>
        <n v="0.3845277285388706"/>
        <n v="0.04950620410230438"/>
        <n v="0.02266396556090149"/>
        <n v="0.281210433021018"/>
        <n v="0.23423651557356293"/>
        <n v="0.5687515826791593"/>
        <n v="0.6407951380096226"/>
        <n v="0.216890351987845"/>
        <n v="0.5373512281590276"/>
        <n v="0.3637629779691061"/>
        <n v="0.30488731324385915"/>
        <n v="0.16307926057229677"/>
        <n v="0.44340339326411754"/>
        <n v="0.02544948088123575"/>
        <n v="0.8046340845783742"/>
        <n v="0.37920992656368696"/>
        <n v="0.1980248164092175"/>
        <n v="0.37148645226639654"/>
        <n v="0.00810331729551785"/>
        <n v="0.15193719929095972"/>
        <n v="0.45479868321093947"/>
        <n v="0.24423904786021775"/>
        <n v="0.19106102810838185"/>
        <n v="0.35363383134970877"/>
        <n v="0.954672068878197"/>
        <n v="0.535831856166118"/>
        <n v="0.37427196758673076"/>
        <n v="0.4978475563433781"/>
        <n v="0.1354773360344391"/>
        <n v="0.3099518865535579"/>
        <n v="0.17637376551025574"/>
        <n v="0.25664725246897946"/>
        <n v="0.1667510762218283"/>
        <n v="0.9897442390478602"/>
        <n v="0.25614079513800964"/>
        <n v="0.33337553811091414"/>
        <n v="0.6644720182324639"/>
        <n v="0.3399594834135224"/>
        <n v="0.3779437832362623"/>
        <n v="0.5267156242086604"/>
        <n v="0.8552798176753608"/>
        <n v="0.11420612813370472"/>
        <n v="0.7346163585717903"/>
        <n v="0.16080020258293237"/>
        <n v="0.38186882755127877"/>
        <n v="0.3298303367941251"/>
        <n v="0.2991896682704482"/>
        <n v="0.1697898202076475"/>
        <n v="0.32058749050392504"/>
        <n v="0.3043808559128893"/>
        <n v="0.6519371992909597"/>
        <n v="0.31286401620663457"/>
        <n v="0.13307166371233223"/>
        <n v="0.15092428462902"/>
        <n v="0.32780450747024564"/>
        <n v="0.1765003798429982"/>
        <n v="0.1309192200557103"/>
        <n v="0.16231957457584195"/>
        <n v="0.42947581666244616"/>
        <n v="0.6045834388452772"/>
        <n v="0.32742466447201823"/>
        <n v="0.10331729551785261"/>
        <n v="0.16155988857938716"/>
        <n v="0.26437072676626994"/>
        <n v="0.1892884274499873"/>
        <n v="0.3190681185110154"/>
        <n v="0.39756900481134466"/>
        <n v="0.12750063307166368"/>
        <n v="0.9466953659154216"/>
        <n v="0.5538110914155482"/>
        <n v="0.27247404406178777"/>
        <n v="0.33818688275512787"/>
        <n v="0.3178019751835907"/>
        <n v="0.28070397569004807"/>
        <n v="0.15598885793871864"/>
        <n v="0.050265890098759175"/>
        <n v="0.37477842491770064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3"/>
        <n v="0.2938718662952646"/>
        <n v="0.865915421625728"/>
        <n v="0.2052418333755381"/>
        <n v="0.1701696632058749"/>
        <n v="0.21613066599139022"/>
        <n v="0.481261078754115"/>
        <n v="0.5383641428209673"/>
        <n v="0.47708280577361356"/>
        <n v="0.45403899721448465"/>
        <n v="0.42567738668017224"/>
        <n v="0.7823499620157002"/>
        <n v="0.8022284122562674"/>
        <n v="0.13737655102557608"/>
        <n v="0.3069131425677386"/>
        <n v="0.14585971131932132"/>
        <n v="0.44884780957204357"/>
        <n v="0.35097493036211697"/>
        <n v="0.3346416814383388"/>
        <n v="0.8418586984046594"/>
        <n v="0.8784502405672323"/>
        <n v="0.45138009622689296"/>
        <n v="0.21701696632058748"/>
        <n v="0.5115219042795645"/>
        <n v="0.2433527475310204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numFmtId="49" outline="0" multipleItemSelectionAllowed="1" showAll="0" sortType="ascending">
      <items>
        <item x="0"/>
        <item x="1"/>
        <item t="default"/>
      </items>
    </pivotField>
    <pivotField name="Stic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ç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padron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3"/>
  </rowFields>
  <colFields>
    <field x="-2"/>
  </colFields>
  <dataFields>
    <dataField name="Quantidade de Operações" fld="3" subtotal="count" baseField="0"/>
    <dataField name="Soma de Preço  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0" dataCaption="" compact="0" compactData="0">
  <location ref="A1:G90" firstHeaderRow="0" firstDataRow="2" firstDataCol="1"/>
  <pivotFields>
    <pivotField name="Códig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>
      <items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Col" dataField="1" compact="0" numFmtId="49" outline="0" multipleItemSelectionAllowed="1" showAll="0" sortType="ascending">
      <items>
        <item x="0"/>
        <item x="1"/>
        <item t="default"/>
      </items>
    </pivotField>
    <pivotField name="Stic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ç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padron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1"/>
  </rowFields>
  <colFields>
    <field x="3"/>
    <field x="-2"/>
  </colFields>
  <dataFields>
    <dataField name="Quantidade de Operações" fld="3" subtotal="count" baseField="0"/>
    <dataField name="Soma dos Preços" fld="5" baseField="0"/>
  </dataFields>
</pivotTableDefinition>
</file>

<file path=xl/pivotTables/pivotTable3.xml><?xml version="1.0" encoding="utf-8"?>
<pivotTableDefinition xmlns="http://schemas.openxmlformats.org/spreadsheetml/2006/main" name="cliente_lucro_prejuízo" cacheId="0" dataCaption="" compact="0" compactData="0">
  <location ref="A3:G12" firstHeaderRow="0" firstDataRow="2" firstDataCol="1" rowPageCount="1" colPageCount="1"/>
  <pivotFields>
    <pivotField name="Códig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t="default"/>
      </items>
    </pivotField>
    <pivotField name="Operação" axis="axisCol" dataField="1" compact="0" numFmtId="49" outline="0" multipleItemSelectionAllowed="1" showAll="0" sortType="ascending">
      <items>
        <item x="0"/>
        <item x="1"/>
        <item t="default"/>
      </items>
    </pivotField>
    <pivotField name="Stickes" axis="axisRow" compact="0" outline="0" multipleItemSelectionAllowed="1" showAll="0" sortType="ascending">
      <items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ç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Valor padron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4"/>
  </rowFields>
  <colFields>
    <field x="3"/>
    <field x="-2"/>
  </colFields>
  <pageFields>
    <pageField fld="2"/>
  </pageFields>
  <dataFields>
    <dataField name="Quantidade de Operações" fld="3" subtotal="count" baseField="0"/>
    <dataField name="Soma de Preços " fld="5" baseField="0"/>
  </dataFields>
</pivotTableDefinition>
</file>

<file path=xl/tables/table1.xml><?xml version="1.0" encoding="utf-8"?>
<table xmlns="http://schemas.openxmlformats.org/spreadsheetml/2006/main" ref="A1:J2" displayName="Estatísticas" name="Estatísticas" id="1">
  <tableColumns count="10">
    <tableColumn name="Estatísticas" id="1"/>
    <tableColumn name="soma" id="2"/>
    <tableColumn name="mínimo" id="3"/>
    <tableColumn name="máximo" id="4"/>
    <tableColumn name="média" id="5"/>
    <tableColumn name="mediana" id="6"/>
    <tableColumn name="moda" id="7"/>
    <tableColumn name="intervalo" id="8"/>
    <tableColumn name="variancia" id="9"/>
    <tableColumn name="desvio padrão" id="10"/>
  </tableColumns>
  <tableStyleInfo name="estatística-style" showColumnStripes="0" showFirstColumn="1" showLastColumn="1" showRowStripes="1"/>
</table>
</file>

<file path=xl/tables/table2.xml><?xml version="1.0" encoding="utf-8"?>
<table xmlns="http://schemas.openxmlformats.org/spreadsheetml/2006/main" ref="L1:M4" displayName="Dados_do_Cliente" name="Dados_do_Cliente" id="2">
  <tableColumns count="2">
    <tableColumn name="Dados do cliente" id="1"/>
    <tableColumn name="Coluna 1" id="2"/>
  </tableColumns>
  <tableStyleInfo name="estatística-style 2" showColumnStripes="0" showFirstColumn="1" showLastColumn="1" showRowStripes="1"/>
</table>
</file>

<file path=xl/tables/table3.xml><?xml version="1.0" encoding="utf-8"?>
<table xmlns="http://schemas.openxmlformats.org/spreadsheetml/2006/main" ref="A1:B4" displayName="Cliente" name="Cliente" id="3">
  <tableColumns count="2">
    <tableColumn name="Dados do cliente" id="1"/>
    <tableColumn name="Coluna 1" id="2"/>
  </tableColumns>
  <tableStyleInfo name="cliente-style" showColumnStripes="0" showFirstColumn="1" showLastColumn="1" showRowStripes="1"/>
</table>
</file>

<file path=xl/tables/table4.xml><?xml version="1.0" encoding="utf-8"?>
<table xmlns="http://schemas.openxmlformats.org/spreadsheetml/2006/main" ref="D1:E6" displayName="Dados_Cliente" name="Dados_Cliente" id="4">
  <tableColumns count="2">
    <tableColumn name="Dados do cliente" id="1"/>
    <tableColumn name="Coluna 1" id="2"/>
  </tableColumns>
  <tableStyleInfo name="cliente-style 2" showColumnStripes="0" showFirstColumn="1" showLastColumn="1" showRowStripes="1"/>
</table>
</file>

<file path=xl/tables/table5.xml><?xml version="1.0" encoding="utf-8"?>
<table xmlns="http://schemas.openxmlformats.org/spreadsheetml/2006/main" ref="A1:E13" displayName="Tendencia_temporal" name="Tendencia_temporal" id="5">
  <tableColumns count="5">
    <tableColumn name="Ano" id="1"/>
    <tableColumn name="Mês" id="2"/>
    <tableColumn name="Quantidade de operações" id="3"/>
    <tableColumn name="Prev. quantidade de operações mês 12 (dezembro)" id="4"/>
    <tableColumn name="Diferença entre Previsão e Valor real" id="5"/>
  </tableColumns>
  <tableStyleInfo name="tendencia_tempo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7.75"/>
    <col customWidth="1" min="3" max="3" width="29.25"/>
    <col customWidth="1" min="4" max="4" width="12.63"/>
    <col customWidth="1" min="5" max="5" width="10.75"/>
    <col customWidth="1" min="6" max="6" width="12.63"/>
    <col customWidth="1" min="8" max="8" width="8.25"/>
    <col customWidth="1" min="9" max="9" width="8.88"/>
    <col customWidth="1" min="10" max="10" width="10.13"/>
    <col customWidth="1" min="11" max="11" width="18.88"/>
    <col customWidth="1" min="12" max="12" width="14.38"/>
    <col customWidth="1" min="13" max="13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/>
      <c r="M1" s="8"/>
    </row>
    <row r="2" ht="15.75" customHeight="1">
      <c r="A2" s="9">
        <v>30.0</v>
      </c>
      <c r="B2" s="10" t="s">
        <v>11</v>
      </c>
      <c r="C2" s="11" t="s">
        <v>12</v>
      </c>
      <c r="D2" s="12" t="s">
        <v>13</v>
      </c>
      <c r="E2" s="11" t="s">
        <v>14</v>
      </c>
      <c r="F2" s="13">
        <v>10.3</v>
      </c>
      <c r="G2" s="14">
        <v>44927.0</v>
      </c>
      <c r="H2" s="15">
        <f t="shared" ref="H2:H2001" si="1">DAY(G2)</f>
        <v>1</v>
      </c>
      <c r="I2" s="16">
        <f t="shared" ref="I2:I2001" si="2">MONTH(G2)</f>
        <v>1</v>
      </c>
      <c r="J2" s="15">
        <f t="shared" ref="J2:J2001" si="3">YEAR(G2)</f>
        <v>2023</v>
      </c>
      <c r="K2" s="16">
        <f>STANDARDIZE(F2,'estatística'!$C$2,'estatística'!$H$2)</f>
        <v>0.1139528995</v>
      </c>
      <c r="L2" s="17"/>
      <c r="M2" s="8"/>
    </row>
    <row r="3" ht="15.75" customHeight="1">
      <c r="A3" s="9">
        <v>78.0</v>
      </c>
      <c r="B3" s="10" t="s">
        <v>15</v>
      </c>
      <c r="C3" s="11" t="s">
        <v>16</v>
      </c>
      <c r="D3" s="10" t="s">
        <v>17</v>
      </c>
      <c r="E3" s="11" t="s">
        <v>18</v>
      </c>
      <c r="F3" s="13">
        <v>53.3</v>
      </c>
      <c r="G3" s="14">
        <v>44927.0</v>
      </c>
      <c r="H3" s="15">
        <f t="shared" si="1"/>
        <v>1</v>
      </c>
      <c r="I3" s="16">
        <f t="shared" si="2"/>
        <v>1</v>
      </c>
      <c r="J3" s="15">
        <f t="shared" si="3"/>
        <v>2023</v>
      </c>
      <c r="K3" s="16">
        <f>STANDARDIZE(F3,'estatística'!$C$2,'estatística'!$H$2)</f>
        <v>0.6583945303</v>
      </c>
      <c r="L3" s="18"/>
      <c r="M3" s="8"/>
    </row>
    <row r="4" ht="15.75" customHeight="1">
      <c r="A4" s="9">
        <v>50.0</v>
      </c>
      <c r="B4" s="10" t="s">
        <v>19</v>
      </c>
      <c r="C4" s="11" t="s">
        <v>20</v>
      </c>
      <c r="D4" s="10" t="s">
        <v>13</v>
      </c>
      <c r="E4" s="11" t="s">
        <v>21</v>
      </c>
      <c r="F4" s="13">
        <v>21.69</v>
      </c>
      <c r="G4" s="14">
        <v>44927.0</v>
      </c>
      <c r="H4" s="15">
        <f t="shared" si="1"/>
        <v>1</v>
      </c>
      <c r="I4" s="16">
        <f t="shared" si="2"/>
        <v>1</v>
      </c>
      <c r="J4" s="15">
        <f t="shared" si="3"/>
        <v>2023</v>
      </c>
      <c r="K4" s="16">
        <f>STANDARDIZE(F4,'estatística'!$C$2,'estatística'!$H$2)</f>
        <v>0.2581666245</v>
      </c>
      <c r="L4" s="18"/>
      <c r="M4" s="8"/>
    </row>
    <row r="5" ht="15.75" customHeight="1">
      <c r="A5" s="9">
        <v>80.0</v>
      </c>
      <c r="B5" s="10" t="s">
        <v>22</v>
      </c>
      <c r="C5" s="11" t="s">
        <v>23</v>
      </c>
      <c r="D5" s="10" t="s">
        <v>17</v>
      </c>
      <c r="E5" s="11" t="s">
        <v>24</v>
      </c>
      <c r="F5" s="13">
        <v>39.74</v>
      </c>
      <c r="G5" s="14">
        <v>44928.0</v>
      </c>
      <c r="H5" s="15">
        <f t="shared" si="1"/>
        <v>2</v>
      </c>
      <c r="I5" s="16">
        <f t="shared" si="2"/>
        <v>1</v>
      </c>
      <c r="J5" s="15">
        <f t="shared" si="3"/>
        <v>2023</v>
      </c>
      <c r="K5" s="16">
        <f>STANDARDIZE(F5,'estatística'!$C$2,'estatística'!$H$2)</f>
        <v>0.4867054951</v>
      </c>
      <c r="L5" s="18"/>
      <c r="M5" s="8"/>
    </row>
    <row r="6" ht="15.75" customHeight="1">
      <c r="A6" s="9">
        <v>68.0</v>
      </c>
      <c r="B6" s="10" t="s">
        <v>25</v>
      </c>
      <c r="C6" s="11" t="s">
        <v>26</v>
      </c>
      <c r="D6" s="10" t="s">
        <v>13</v>
      </c>
      <c r="E6" s="11" t="s">
        <v>27</v>
      </c>
      <c r="F6" s="13">
        <v>17.96</v>
      </c>
      <c r="G6" s="14">
        <v>44928.0</v>
      </c>
      <c r="H6" s="15">
        <f t="shared" si="1"/>
        <v>2</v>
      </c>
      <c r="I6" s="16">
        <f t="shared" si="2"/>
        <v>1</v>
      </c>
      <c r="J6" s="15">
        <f t="shared" si="3"/>
        <v>2023</v>
      </c>
      <c r="K6" s="16">
        <f>STANDARDIZE(F6,'estatística'!$C$2,'estatística'!$H$2)</f>
        <v>0.2109394783</v>
      </c>
      <c r="L6" s="18"/>
      <c r="M6" s="8"/>
    </row>
    <row r="7" ht="15.75" customHeight="1">
      <c r="A7" s="9">
        <v>48.0</v>
      </c>
      <c r="B7" s="10" t="s">
        <v>25</v>
      </c>
      <c r="C7" s="11" t="s">
        <v>28</v>
      </c>
      <c r="D7" s="10" t="s">
        <v>17</v>
      </c>
      <c r="E7" s="11" t="s">
        <v>29</v>
      </c>
      <c r="F7" s="13">
        <v>11.95</v>
      </c>
      <c r="G7" s="14">
        <v>44928.0</v>
      </c>
      <c r="H7" s="15">
        <f t="shared" si="1"/>
        <v>2</v>
      </c>
      <c r="I7" s="16">
        <f t="shared" si="2"/>
        <v>1</v>
      </c>
      <c r="J7" s="15">
        <f t="shared" si="3"/>
        <v>2023</v>
      </c>
      <c r="K7" s="16">
        <f>STANDARDIZE(F7,'estatística'!$C$2,'estatística'!$H$2)</f>
        <v>0.1348442644</v>
      </c>
      <c r="L7" s="18"/>
      <c r="M7" s="8"/>
    </row>
    <row r="8" ht="15.75" customHeight="1">
      <c r="A8" s="9">
        <v>100.0</v>
      </c>
      <c r="B8" s="10" t="s">
        <v>30</v>
      </c>
      <c r="C8" s="11" t="s">
        <v>31</v>
      </c>
      <c r="D8" s="10" t="s">
        <v>13</v>
      </c>
      <c r="E8" s="11" t="s">
        <v>32</v>
      </c>
      <c r="F8" s="13">
        <v>24.53</v>
      </c>
      <c r="G8" s="14">
        <v>44928.0</v>
      </c>
      <c r="H8" s="15">
        <f t="shared" si="1"/>
        <v>2</v>
      </c>
      <c r="I8" s="16">
        <f t="shared" si="2"/>
        <v>1</v>
      </c>
      <c r="J8" s="15">
        <f t="shared" si="3"/>
        <v>2023</v>
      </c>
      <c r="K8" s="16">
        <f>STANDARDIZE(F8,'estatística'!$C$2,'estatística'!$H$2)</f>
        <v>0.294125095</v>
      </c>
      <c r="L8" s="18"/>
      <c r="M8" s="8"/>
    </row>
    <row r="9" ht="15.75" customHeight="1">
      <c r="A9" s="9">
        <v>30.0</v>
      </c>
      <c r="B9" s="10" t="s">
        <v>11</v>
      </c>
      <c r="C9" s="11" t="s">
        <v>12</v>
      </c>
      <c r="D9" s="10" t="s">
        <v>13</v>
      </c>
      <c r="E9" s="11" t="s">
        <v>33</v>
      </c>
      <c r="F9" s="13">
        <v>46.74</v>
      </c>
      <c r="G9" s="14">
        <v>44928.0</v>
      </c>
      <c r="H9" s="15">
        <f t="shared" si="1"/>
        <v>2</v>
      </c>
      <c r="I9" s="16">
        <f t="shared" si="2"/>
        <v>1</v>
      </c>
      <c r="J9" s="15">
        <f t="shared" si="3"/>
        <v>2023</v>
      </c>
      <c r="K9" s="16">
        <f>STANDARDIZE(F9,'estatística'!$C$2,'estatística'!$H$2)</f>
        <v>0.575335528</v>
      </c>
      <c r="L9" s="18"/>
      <c r="M9" s="8"/>
    </row>
    <row r="10" ht="15.75" customHeight="1">
      <c r="A10" s="9">
        <v>81.0</v>
      </c>
      <c r="B10" s="10" t="s">
        <v>34</v>
      </c>
      <c r="C10" s="11" t="s">
        <v>35</v>
      </c>
      <c r="D10" s="10" t="s">
        <v>17</v>
      </c>
      <c r="E10" s="11" t="s">
        <v>36</v>
      </c>
      <c r="F10" s="13">
        <v>65.39</v>
      </c>
      <c r="G10" s="14">
        <v>44928.0</v>
      </c>
      <c r="H10" s="15">
        <f t="shared" si="1"/>
        <v>2</v>
      </c>
      <c r="I10" s="16">
        <f t="shared" si="2"/>
        <v>1</v>
      </c>
      <c r="J10" s="15">
        <f t="shared" si="3"/>
        <v>2023</v>
      </c>
      <c r="K10" s="16">
        <f>STANDARDIZE(F10,'estatística'!$C$2,'estatística'!$H$2)</f>
        <v>0.8114712585</v>
      </c>
      <c r="L10" s="18"/>
      <c r="M10" s="8"/>
    </row>
    <row r="11" ht="15.75" customHeight="1">
      <c r="A11" s="9">
        <v>15.0</v>
      </c>
      <c r="B11" s="10" t="s">
        <v>37</v>
      </c>
      <c r="C11" s="11" t="s">
        <v>38</v>
      </c>
      <c r="D11" s="10" t="s">
        <v>17</v>
      </c>
      <c r="E11" s="11" t="s">
        <v>39</v>
      </c>
      <c r="F11" s="13">
        <v>56.68</v>
      </c>
      <c r="G11" s="14">
        <v>44929.0</v>
      </c>
      <c r="H11" s="15">
        <f t="shared" si="1"/>
        <v>3</v>
      </c>
      <c r="I11" s="16">
        <f t="shared" si="2"/>
        <v>1</v>
      </c>
      <c r="J11" s="15">
        <f t="shared" si="3"/>
        <v>2023</v>
      </c>
      <c r="K11" s="16">
        <f>STANDARDIZE(F11,'estatística'!$C$2,'estatística'!$H$2)</f>
        <v>0.7011901747</v>
      </c>
      <c r="L11" s="18"/>
      <c r="M11" s="8"/>
    </row>
    <row r="12" ht="15.75" customHeight="1">
      <c r="A12" s="9">
        <v>86.0</v>
      </c>
      <c r="B12" s="10" t="s">
        <v>40</v>
      </c>
      <c r="C12" s="11" t="s">
        <v>41</v>
      </c>
      <c r="D12" s="10" t="s">
        <v>17</v>
      </c>
      <c r="E12" s="11" t="s">
        <v>24</v>
      </c>
      <c r="F12" s="13">
        <v>26.99</v>
      </c>
      <c r="G12" s="14">
        <v>44929.0</v>
      </c>
      <c r="H12" s="15">
        <f t="shared" si="1"/>
        <v>3</v>
      </c>
      <c r="I12" s="16">
        <f t="shared" si="2"/>
        <v>1</v>
      </c>
      <c r="J12" s="15">
        <f t="shared" si="3"/>
        <v>2023</v>
      </c>
      <c r="K12" s="16">
        <f>STANDARDIZE(F12,'estatística'!$C$2,'estatística'!$H$2)</f>
        <v>0.3252722208</v>
      </c>
      <c r="L12" s="18"/>
      <c r="M12" s="8"/>
    </row>
    <row r="13" ht="15.75" customHeight="1">
      <c r="A13" s="9">
        <v>60.0</v>
      </c>
      <c r="B13" s="10" t="s">
        <v>42</v>
      </c>
      <c r="C13" s="11" t="s">
        <v>43</v>
      </c>
      <c r="D13" s="10" t="s">
        <v>17</v>
      </c>
      <c r="E13" s="11" t="s">
        <v>36</v>
      </c>
      <c r="F13" s="13">
        <v>78.94</v>
      </c>
      <c r="G13" s="14">
        <v>44929.0</v>
      </c>
      <c r="H13" s="15">
        <f t="shared" si="1"/>
        <v>3</v>
      </c>
      <c r="I13" s="16">
        <f t="shared" si="2"/>
        <v>1</v>
      </c>
      <c r="J13" s="15">
        <f t="shared" si="3"/>
        <v>2023</v>
      </c>
      <c r="K13" s="16">
        <f>STANDARDIZE(F13,'estatística'!$C$2,'estatística'!$H$2)</f>
        <v>0.9830336794</v>
      </c>
      <c r="L13" s="18"/>
      <c r="M13" s="8"/>
    </row>
    <row r="14" ht="15.75" customHeight="1">
      <c r="A14" s="9">
        <v>97.0</v>
      </c>
      <c r="B14" s="10" t="s">
        <v>44</v>
      </c>
      <c r="C14" s="11" t="s">
        <v>45</v>
      </c>
      <c r="D14" s="10" t="s">
        <v>17</v>
      </c>
      <c r="E14" s="11" t="s">
        <v>32</v>
      </c>
      <c r="F14" s="13">
        <v>30.19</v>
      </c>
      <c r="G14" s="14">
        <v>44929.0</v>
      </c>
      <c r="H14" s="15">
        <f t="shared" si="1"/>
        <v>3</v>
      </c>
      <c r="I14" s="16">
        <f t="shared" si="2"/>
        <v>1</v>
      </c>
      <c r="J14" s="15">
        <f t="shared" si="3"/>
        <v>2023</v>
      </c>
      <c r="K14" s="16">
        <f>STANDARDIZE(F14,'estatística'!$C$2,'estatística'!$H$2)</f>
        <v>0.3657888073</v>
      </c>
      <c r="L14" s="18"/>
      <c r="M14" s="8"/>
    </row>
    <row r="15" ht="15.75" customHeight="1">
      <c r="A15" s="9">
        <v>99.0</v>
      </c>
      <c r="B15" s="10" t="s">
        <v>46</v>
      </c>
      <c r="C15" s="11" t="s">
        <v>47</v>
      </c>
      <c r="D15" s="10" t="s">
        <v>17</v>
      </c>
      <c r="E15" s="11" t="s">
        <v>48</v>
      </c>
      <c r="F15" s="13">
        <v>10.91</v>
      </c>
      <c r="G15" s="14">
        <v>44930.0</v>
      </c>
      <c r="H15" s="15">
        <f t="shared" si="1"/>
        <v>4</v>
      </c>
      <c r="I15" s="16">
        <f t="shared" si="2"/>
        <v>1</v>
      </c>
      <c r="J15" s="15">
        <f t="shared" si="3"/>
        <v>2023</v>
      </c>
      <c r="K15" s="16">
        <f>STANDARDIZE(F15,'estatística'!$C$2,'estatística'!$H$2)</f>
        <v>0.1216763738</v>
      </c>
      <c r="L15" s="18"/>
      <c r="M15" s="8"/>
    </row>
    <row r="16" ht="15.75" customHeight="1">
      <c r="A16" s="9">
        <v>28.0</v>
      </c>
      <c r="B16" s="10" t="s">
        <v>49</v>
      </c>
      <c r="C16" s="11" t="s">
        <v>50</v>
      </c>
      <c r="D16" s="10" t="s">
        <v>13</v>
      </c>
      <c r="E16" s="11" t="s">
        <v>32</v>
      </c>
      <c r="F16" s="13">
        <v>23.03</v>
      </c>
      <c r="G16" s="14">
        <v>44930.0</v>
      </c>
      <c r="H16" s="15">
        <f t="shared" si="1"/>
        <v>4</v>
      </c>
      <c r="I16" s="16">
        <f t="shared" si="2"/>
        <v>1</v>
      </c>
      <c r="J16" s="15">
        <f t="shared" si="3"/>
        <v>2023</v>
      </c>
      <c r="K16" s="16">
        <f>STANDARDIZE(F16,'estatística'!$C$2,'estatística'!$H$2)</f>
        <v>0.275132945</v>
      </c>
      <c r="L16" s="18"/>
      <c r="M16" s="8"/>
    </row>
    <row r="17" ht="15.75" customHeight="1">
      <c r="A17" s="9">
        <v>3.0</v>
      </c>
      <c r="B17" s="10" t="s">
        <v>51</v>
      </c>
      <c r="C17" s="11" t="s">
        <v>52</v>
      </c>
      <c r="D17" s="10" t="s">
        <v>13</v>
      </c>
      <c r="E17" s="11" t="s">
        <v>21</v>
      </c>
      <c r="F17" s="13">
        <v>20.41</v>
      </c>
      <c r="G17" s="14">
        <v>44930.0</v>
      </c>
      <c r="H17" s="15">
        <f t="shared" si="1"/>
        <v>4</v>
      </c>
      <c r="I17" s="16">
        <f t="shared" si="2"/>
        <v>1</v>
      </c>
      <c r="J17" s="15">
        <f t="shared" si="3"/>
        <v>2023</v>
      </c>
      <c r="K17" s="16">
        <f>STANDARDIZE(F17,'estatística'!$C$2,'estatística'!$H$2)</f>
        <v>0.2419599899</v>
      </c>
      <c r="L17" s="18"/>
      <c r="M17" s="8"/>
    </row>
    <row r="18" ht="15.75" customHeight="1">
      <c r="A18" s="9">
        <v>2.0</v>
      </c>
      <c r="B18" s="10" t="s">
        <v>53</v>
      </c>
      <c r="C18" s="11" t="s">
        <v>54</v>
      </c>
      <c r="D18" s="10" t="s">
        <v>13</v>
      </c>
      <c r="E18" s="11" t="s">
        <v>36</v>
      </c>
      <c r="F18" s="13">
        <v>69.74</v>
      </c>
      <c r="G18" s="14">
        <v>44930.0</v>
      </c>
      <c r="H18" s="15">
        <f t="shared" si="1"/>
        <v>4</v>
      </c>
      <c r="I18" s="16">
        <f t="shared" si="2"/>
        <v>1</v>
      </c>
      <c r="J18" s="15">
        <f t="shared" si="3"/>
        <v>2023</v>
      </c>
      <c r="K18" s="16">
        <f>STANDARDIZE(F18,'estatística'!$C$2,'estatística'!$H$2)</f>
        <v>0.8665484933</v>
      </c>
      <c r="L18" s="18"/>
      <c r="M18" s="8"/>
    </row>
    <row r="19" ht="15.75" customHeight="1">
      <c r="A19" s="9">
        <v>54.0</v>
      </c>
      <c r="B19" s="10" t="s">
        <v>55</v>
      </c>
      <c r="C19" s="11" t="s">
        <v>56</v>
      </c>
      <c r="D19" s="10" t="s">
        <v>17</v>
      </c>
      <c r="E19" s="11" t="s">
        <v>57</v>
      </c>
      <c r="F19" s="13">
        <v>16.26</v>
      </c>
      <c r="G19" s="14">
        <v>44930.0</v>
      </c>
      <c r="H19" s="15">
        <f t="shared" si="1"/>
        <v>4</v>
      </c>
      <c r="I19" s="16">
        <f t="shared" si="2"/>
        <v>1</v>
      </c>
      <c r="J19" s="15">
        <f t="shared" si="3"/>
        <v>2023</v>
      </c>
      <c r="K19" s="16">
        <f>STANDARDIZE(F19,'estatística'!$C$2,'estatística'!$H$2)</f>
        <v>0.1894150418</v>
      </c>
      <c r="L19" s="18"/>
      <c r="M19" s="8"/>
    </row>
    <row r="20" ht="15.75" customHeight="1">
      <c r="A20" s="9">
        <v>39.0</v>
      </c>
      <c r="B20" s="10" t="s">
        <v>58</v>
      </c>
      <c r="C20" s="11" t="s">
        <v>59</v>
      </c>
      <c r="D20" s="10" t="s">
        <v>17</v>
      </c>
      <c r="E20" s="11" t="s">
        <v>18</v>
      </c>
      <c r="F20" s="13">
        <v>35.96</v>
      </c>
      <c r="G20" s="14">
        <v>44931.0</v>
      </c>
      <c r="H20" s="15">
        <f t="shared" si="1"/>
        <v>5</v>
      </c>
      <c r="I20" s="16">
        <f t="shared" si="2"/>
        <v>1</v>
      </c>
      <c r="J20" s="15">
        <f t="shared" si="3"/>
        <v>2023</v>
      </c>
      <c r="K20" s="16">
        <f>STANDARDIZE(F20,'estatística'!$C$2,'estatística'!$H$2)</f>
        <v>0.4388452773</v>
      </c>
      <c r="L20" s="18"/>
      <c r="M20" s="8"/>
    </row>
    <row r="21" ht="15.75" customHeight="1">
      <c r="A21" s="9">
        <v>36.0</v>
      </c>
      <c r="B21" s="10" t="s">
        <v>60</v>
      </c>
      <c r="C21" s="11" t="s">
        <v>61</v>
      </c>
      <c r="D21" s="10" t="s">
        <v>17</v>
      </c>
      <c r="E21" s="11" t="s">
        <v>62</v>
      </c>
      <c r="F21" s="13">
        <v>12.5</v>
      </c>
      <c r="G21" s="14">
        <v>44931.0</v>
      </c>
      <c r="H21" s="15">
        <f t="shared" si="1"/>
        <v>5</v>
      </c>
      <c r="I21" s="16">
        <f t="shared" si="2"/>
        <v>1</v>
      </c>
      <c r="J21" s="15">
        <f t="shared" si="3"/>
        <v>2023</v>
      </c>
      <c r="K21" s="16">
        <f>STANDARDIZE(F21,'estatística'!$C$2,'estatística'!$H$2)</f>
        <v>0.1418080527</v>
      </c>
      <c r="L21" s="18"/>
      <c r="M21" s="8"/>
    </row>
    <row r="22" ht="15.75" customHeight="1">
      <c r="A22" s="9">
        <v>43.0</v>
      </c>
      <c r="B22" s="10" t="s">
        <v>63</v>
      </c>
      <c r="C22" s="11" t="s">
        <v>64</v>
      </c>
      <c r="D22" s="10" t="s">
        <v>13</v>
      </c>
      <c r="E22" s="11" t="s">
        <v>65</v>
      </c>
      <c r="F22" s="13">
        <v>38.93</v>
      </c>
      <c r="G22" s="14">
        <v>44931.0</v>
      </c>
      <c r="H22" s="15">
        <f t="shared" si="1"/>
        <v>5</v>
      </c>
      <c r="I22" s="16">
        <f t="shared" si="2"/>
        <v>1</v>
      </c>
      <c r="J22" s="15">
        <f t="shared" si="3"/>
        <v>2023</v>
      </c>
      <c r="K22" s="16">
        <f>STANDARDIZE(F22,'estatística'!$C$2,'estatística'!$H$2)</f>
        <v>0.4764497341</v>
      </c>
      <c r="L22" s="18"/>
      <c r="M22" s="8"/>
    </row>
    <row r="23" ht="15.75" customHeight="1">
      <c r="A23" s="9">
        <v>83.0</v>
      </c>
      <c r="B23" s="10" t="s">
        <v>66</v>
      </c>
      <c r="C23" s="11" t="s">
        <v>67</v>
      </c>
      <c r="D23" s="10" t="s">
        <v>17</v>
      </c>
      <c r="E23" s="11" t="s">
        <v>33</v>
      </c>
      <c r="F23" s="13">
        <v>49.41</v>
      </c>
      <c r="G23" s="14">
        <v>44931.0</v>
      </c>
      <c r="H23" s="15">
        <f t="shared" si="1"/>
        <v>5</v>
      </c>
      <c r="I23" s="16">
        <f t="shared" si="2"/>
        <v>1</v>
      </c>
      <c r="J23" s="15">
        <f t="shared" si="3"/>
        <v>2023</v>
      </c>
      <c r="K23" s="16">
        <f>STANDARDIZE(F23,'estatística'!$C$2,'estatística'!$H$2)</f>
        <v>0.6091415548</v>
      </c>
      <c r="L23" s="18"/>
      <c r="M23" s="8"/>
    </row>
    <row r="24" ht="15.75" customHeight="1">
      <c r="A24" s="9">
        <v>39.0</v>
      </c>
      <c r="B24" s="10" t="s">
        <v>58</v>
      </c>
      <c r="C24" s="11" t="s">
        <v>59</v>
      </c>
      <c r="D24" s="10" t="s">
        <v>17</v>
      </c>
      <c r="E24" s="11" t="s">
        <v>32</v>
      </c>
      <c r="F24" s="13">
        <v>32.28</v>
      </c>
      <c r="G24" s="14">
        <v>44931.0</v>
      </c>
      <c r="H24" s="15">
        <f t="shared" si="1"/>
        <v>5</v>
      </c>
      <c r="I24" s="16">
        <f t="shared" si="2"/>
        <v>1</v>
      </c>
      <c r="J24" s="15">
        <f t="shared" si="3"/>
        <v>2023</v>
      </c>
      <c r="K24" s="16">
        <f>STANDARDIZE(F24,'estatística'!$C$2,'estatística'!$H$2)</f>
        <v>0.3922512028</v>
      </c>
      <c r="L24" s="18"/>
      <c r="M24" s="8"/>
    </row>
    <row r="25" ht="15.75" customHeight="1">
      <c r="A25" s="9">
        <v>30.0</v>
      </c>
      <c r="B25" s="10" t="s">
        <v>11</v>
      </c>
      <c r="C25" s="11" t="s">
        <v>12</v>
      </c>
      <c r="D25" s="10" t="s">
        <v>13</v>
      </c>
      <c r="E25" s="11" t="s">
        <v>39</v>
      </c>
      <c r="F25" s="13">
        <v>40.18</v>
      </c>
      <c r="G25" s="14">
        <v>44932.0</v>
      </c>
      <c r="H25" s="15">
        <f t="shared" si="1"/>
        <v>6</v>
      </c>
      <c r="I25" s="16">
        <f t="shared" si="2"/>
        <v>1</v>
      </c>
      <c r="J25" s="15">
        <f t="shared" si="3"/>
        <v>2023</v>
      </c>
      <c r="K25" s="16">
        <f>STANDARDIZE(F25,'estatística'!$C$2,'estatística'!$H$2)</f>
        <v>0.4922765257</v>
      </c>
      <c r="L25" s="18"/>
      <c r="M25" s="8"/>
    </row>
    <row r="26" ht="15.75" customHeight="1">
      <c r="A26" s="9">
        <v>80.0</v>
      </c>
      <c r="B26" s="10" t="s">
        <v>22</v>
      </c>
      <c r="C26" s="11" t="s">
        <v>23</v>
      </c>
      <c r="D26" s="10" t="s">
        <v>17</v>
      </c>
      <c r="E26" s="11" t="s">
        <v>68</v>
      </c>
      <c r="F26" s="13">
        <v>10.12</v>
      </c>
      <c r="G26" s="14">
        <v>44932.0</v>
      </c>
      <c r="H26" s="15">
        <f t="shared" si="1"/>
        <v>6</v>
      </c>
      <c r="I26" s="16">
        <f t="shared" si="2"/>
        <v>1</v>
      </c>
      <c r="J26" s="15">
        <f t="shared" si="3"/>
        <v>2023</v>
      </c>
      <c r="K26" s="16">
        <f>STANDARDIZE(F26,'estatística'!$C$2,'estatística'!$H$2)</f>
        <v>0.1116738415</v>
      </c>
      <c r="L26" s="18"/>
      <c r="M26" s="8"/>
    </row>
    <row r="27" ht="15.75" customHeight="1">
      <c r="A27" s="9">
        <v>79.0</v>
      </c>
      <c r="B27" s="10" t="s">
        <v>69</v>
      </c>
      <c r="C27" s="11" t="s">
        <v>70</v>
      </c>
      <c r="D27" s="10" t="s">
        <v>13</v>
      </c>
      <c r="E27" s="11" t="s">
        <v>36</v>
      </c>
      <c r="F27" s="13">
        <v>70.26</v>
      </c>
      <c r="G27" s="14">
        <v>44932.0</v>
      </c>
      <c r="H27" s="15">
        <f t="shared" si="1"/>
        <v>6</v>
      </c>
      <c r="I27" s="16">
        <f t="shared" si="2"/>
        <v>1</v>
      </c>
      <c r="J27" s="15">
        <f t="shared" si="3"/>
        <v>2023</v>
      </c>
      <c r="K27" s="16">
        <f>STANDARDIZE(F27,'estatística'!$C$2,'estatística'!$H$2)</f>
        <v>0.8731324386</v>
      </c>
      <c r="L27" s="18"/>
      <c r="M27" s="8"/>
    </row>
    <row r="28" ht="15.75" customHeight="1">
      <c r="A28" s="9">
        <v>59.0</v>
      </c>
      <c r="B28" s="10" t="s">
        <v>71</v>
      </c>
      <c r="C28" s="11" t="s">
        <v>72</v>
      </c>
      <c r="D28" s="10" t="s">
        <v>17</v>
      </c>
      <c r="E28" s="11" t="s">
        <v>36</v>
      </c>
      <c r="F28" s="13">
        <v>74.48</v>
      </c>
      <c r="G28" s="14">
        <v>44932.0</v>
      </c>
      <c r="H28" s="15">
        <f t="shared" si="1"/>
        <v>6</v>
      </c>
      <c r="I28" s="16">
        <f t="shared" si="2"/>
        <v>1</v>
      </c>
      <c r="J28" s="15">
        <f t="shared" si="3"/>
        <v>2023</v>
      </c>
      <c r="K28" s="16">
        <f>STANDARDIZE(F28,'estatística'!$C$2,'estatística'!$H$2)</f>
        <v>0.926563687</v>
      </c>
      <c r="L28" s="18"/>
      <c r="M28" s="8"/>
    </row>
    <row r="29" ht="15.75" customHeight="1">
      <c r="A29" s="9">
        <v>61.0</v>
      </c>
      <c r="B29" s="10" t="s">
        <v>73</v>
      </c>
      <c r="C29" s="11" t="s">
        <v>74</v>
      </c>
      <c r="D29" s="10" t="s">
        <v>13</v>
      </c>
      <c r="E29" s="11" t="s">
        <v>39</v>
      </c>
      <c r="F29" s="13">
        <v>47.36</v>
      </c>
      <c r="G29" s="14">
        <v>44932.0</v>
      </c>
      <c r="H29" s="15">
        <f t="shared" si="1"/>
        <v>6</v>
      </c>
      <c r="I29" s="16">
        <f t="shared" si="2"/>
        <v>1</v>
      </c>
      <c r="J29" s="15">
        <f t="shared" si="3"/>
        <v>2023</v>
      </c>
      <c r="K29" s="16">
        <f>STANDARDIZE(F29,'estatística'!$C$2,'estatística'!$H$2)</f>
        <v>0.5831856166</v>
      </c>
      <c r="L29" s="18"/>
      <c r="M29" s="8"/>
    </row>
    <row r="30" ht="15.75" customHeight="1">
      <c r="A30" s="9">
        <v>8.0</v>
      </c>
      <c r="B30" s="10" t="s">
        <v>75</v>
      </c>
      <c r="C30" s="11" t="s">
        <v>76</v>
      </c>
      <c r="D30" s="10" t="s">
        <v>13</v>
      </c>
      <c r="E30" s="11" t="s">
        <v>62</v>
      </c>
      <c r="F30" s="13">
        <v>11.26</v>
      </c>
      <c r="G30" s="14">
        <v>44932.0</v>
      </c>
      <c r="H30" s="15">
        <f t="shared" si="1"/>
        <v>6</v>
      </c>
      <c r="I30" s="16">
        <f t="shared" si="2"/>
        <v>1</v>
      </c>
      <c r="J30" s="15">
        <f t="shared" si="3"/>
        <v>2023</v>
      </c>
      <c r="K30" s="16">
        <f>STANDARDIZE(F30,'estatística'!$C$2,'estatística'!$H$2)</f>
        <v>0.1261078754</v>
      </c>
      <c r="L30" s="18"/>
      <c r="M30" s="8"/>
    </row>
    <row r="31" ht="15.75" customHeight="1">
      <c r="A31" s="9">
        <v>86.0</v>
      </c>
      <c r="B31" s="10" t="s">
        <v>40</v>
      </c>
      <c r="C31" s="11" t="s">
        <v>41</v>
      </c>
      <c r="D31" s="10" t="s">
        <v>13</v>
      </c>
      <c r="E31" s="11" t="s">
        <v>77</v>
      </c>
      <c r="F31" s="13">
        <v>15.13</v>
      </c>
      <c r="G31" s="14">
        <v>44933.0</v>
      </c>
      <c r="H31" s="15">
        <f t="shared" si="1"/>
        <v>7</v>
      </c>
      <c r="I31" s="16">
        <f t="shared" si="2"/>
        <v>1</v>
      </c>
      <c r="J31" s="15">
        <f t="shared" si="3"/>
        <v>2023</v>
      </c>
      <c r="K31" s="16">
        <f>STANDARDIZE(F31,'estatística'!$C$2,'estatística'!$H$2)</f>
        <v>0.1751076222</v>
      </c>
      <c r="L31" s="18"/>
      <c r="M31" s="8"/>
    </row>
    <row r="32" ht="15.75" customHeight="1">
      <c r="A32" s="9">
        <v>95.0</v>
      </c>
      <c r="B32" s="10" t="s">
        <v>78</v>
      </c>
      <c r="C32" s="11" t="s">
        <v>79</v>
      </c>
      <c r="D32" s="10" t="s">
        <v>17</v>
      </c>
      <c r="E32" s="11" t="s">
        <v>18</v>
      </c>
      <c r="F32" s="13">
        <v>54.7</v>
      </c>
      <c r="G32" s="14">
        <v>44933.0</v>
      </c>
      <c r="H32" s="15">
        <f t="shared" si="1"/>
        <v>7</v>
      </c>
      <c r="I32" s="16">
        <f t="shared" si="2"/>
        <v>1</v>
      </c>
      <c r="J32" s="15">
        <f t="shared" si="3"/>
        <v>2023</v>
      </c>
      <c r="K32" s="16">
        <f>STANDARDIZE(F32,'estatística'!$C$2,'estatística'!$H$2)</f>
        <v>0.6761205368</v>
      </c>
      <c r="L32" s="18"/>
      <c r="M32" s="8"/>
    </row>
    <row r="33" ht="15.75" customHeight="1">
      <c r="A33" s="9">
        <v>78.0</v>
      </c>
      <c r="B33" s="10" t="s">
        <v>15</v>
      </c>
      <c r="C33" s="11" t="s">
        <v>16</v>
      </c>
      <c r="D33" s="10" t="s">
        <v>13</v>
      </c>
      <c r="E33" s="11" t="s">
        <v>80</v>
      </c>
      <c r="F33" s="13">
        <v>36.17</v>
      </c>
      <c r="G33" s="14">
        <v>44934.0</v>
      </c>
      <c r="H33" s="15">
        <f t="shared" si="1"/>
        <v>8</v>
      </c>
      <c r="I33" s="16">
        <f t="shared" si="2"/>
        <v>1</v>
      </c>
      <c r="J33" s="15">
        <f t="shared" si="3"/>
        <v>2023</v>
      </c>
      <c r="K33" s="16">
        <f>STANDARDIZE(F33,'estatística'!$C$2,'estatística'!$H$2)</f>
        <v>0.4415041783</v>
      </c>
      <c r="L33" s="18"/>
      <c r="M33" s="8"/>
    </row>
    <row r="34" ht="15.75" customHeight="1">
      <c r="A34" s="9">
        <v>91.0</v>
      </c>
      <c r="B34" s="10" t="s">
        <v>81</v>
      </c>
      <c r="C34" s="11" t="s">
        <v>82</v>
      </c>
      <c r="D34" s="10" t="s">
        <v>17</v>
      </c>
      <c r="E34" s="11" t="s">
        <v>48</v>
      </c>
      <c r="F34" s="13">
        <v>10.29</v>
      </c>
      <c r="G34" s="14">
        <v>44934.0</v>
      </c>
      <c r="H34" s="15">
        <f t="shared" si="1"/>
        <v>8</v>
      </c>
      <c r="I34" s="16">
        <f t="shared" si="2"/>
        <v>1</v>
      </c>
      <c r="J34" s="15">
        <f t="shared" si="3"/>
        <v>2023</v>
      </c>
      <c r="K34" s="16">
        <f>STANDARDIZE(F34,'estatística'!$C$2,'estatística'!$H$2)</f>
        <v>0.1138262851</v>
      </c>
      <c r="L34" s="18"/>
      <c r="M34" s="8"/>
    </row>
    <row r="35" ht="15.75" customHeight="1">
      <c r="A35" s="9">
        <v>7.0</v>
      </c>
      <c r="B35" s="10" t="s">
        <v>83</v>
      </c>
      <c r="C35" s="11" t="s">
        <v>84</v>
      </c>
      <c r="D35" s="10" t="s">
        <v>17</v>
      </c>
      <c r="E35" s="11" t="s">
        <v>80</v>
      </c>
      <c r="F35" s="13">
        <v>37.63</v>
      </c>
      <c r="G35" s="14">
        <v>44934.0</v>
      </c>
      <c r="H35" s="15">
        <f t="shared" si="1"/>
        <v>8</v>
      </c>
      <c r="I35" s="16">
        <f t="shared" si="2"/>
        <v>1</v>
      </c>
      <c r="J35" s="15">
        <f t="shared" si="3"/>
        <v>2023</v>
      </c>
      <c r="K35" s="16">
        <f>STANDARDIZE(F35,'estatística'!$C$2,'estatística'!$H$2)</f>
        <v>0.4599898709</v>
      </c>
      <c r="L35" s="18"/>
      <c r="M35" s="8"/>
    </row>
    <row r="36" ht="15.75" customHeight="1">
      <c r="A36" s="9">
        <v>38.0</v>
      </c>
      <c r="B36" s="10" t="s">
        <v>85</v>
      </c>
      <c r="C36" s="11" t="s">
        <v>86</v>
      </c>
      <c r="D36" s="10" t="s">
        <v>17</v>
      </c>
      <c r="E36" s="11" t="s">
        <v>36</v>
      </c>
      <c r="F36" s="13">
        <v>72.42</v>
      </c>
      <c r="G36" s="14">
        <v>44934.0</v>
      </c>
      <c r="H36" s="15">
        <f t="shared" si="1"/>
        <v>8</v>
      </c>
      <c r="I36" s="16">
        <f t="shared" si="2"/>
        <v>1</v>
      </c>
      <c r="J36" s="15">
        <f t="shared" si="3"/>
        <v>2023</v>
      </c>
      <c r="K36" s="16">
        <f>STANDARDIZE(F36,'estatística'!$C$2,'estatística'!$H$2)</f>
        <v>0.9004811345</v>
      </c>
      <c r="L36" s="18"/>
      <c r="M36" s="8"/>
    </row>
    <row r="37" ht="15.75" customHeight="1">
      <c r="A37" s="9">
        <v>4.0</v>
      </c>
      <c r="B37" s="10" t="s">
        <v>87</v>
      </c>
      <c r="C37" s="11" t="s">
        <v>88</v>
      </c>
      <c r="D37" s="10" t="s">
        <v>13</v>
      </c>
      <c r="E37" s="11" t="s">
        <v>36</v>
      </c>
      <c r="F37" s="13">
        <v>78.26</v>
      </c>
      <c r="G37" s="14">
        <v>44934.0</v>
      </c>
      <c r="H37" s="15">
        <f t="shared" si="1"/>
        <v>8</v>
      </c>
      <c r="I37" s="16">
        <f t="shared" si="2"/>
        <v>1</v>
      </c>
      <c r="J37" s="15">
        <f t="shared" si="3"/>
        <v>2023</v>
      </c>
      <c r="K37" s="16">
        <f>STANDARDIZE(F37,'estatística'!$C$2,'estatística'!$H$2)</f>
        <v>0.9744239048</v>
      </c>
      <c r="L37" s="18"/>
      <c r="M37" s="8"/>
    </row>
    <row r="38" ht="15.75" customHeight="1">
      <c r="A38" s="9">
        <v>47.0</v>
      </c>
      <c r="B38" s="10" t="s">
        <v>89</v>
      </c>
      <c r="C38" s="11" t="s">
        <v>90</v>
      </c>
      <c r="D38" s="10" t="s">
        <v>17</v>
      </c>
      <c r="E38" s="11" t="s">
        <v>57</v>
      </c>
      <c r="F38" s="13">
        <v>21.55</v>
      </c>
      <c r="G38" s="14">
        <v>44934.0</v>
      </c>
      <c r="H38" s="15">
        <f t="shared" si="1"/>
        <v>8</v>
      </c>
      <c r="I38" s="16">
        <f t="shared" si="2"/>
        <v>1</v>
      </c>
      <c r="J38" s="15">
        <f t="shared" si="3"/>
        <v>2023</v>
      </c>
      <c r="K38" s="16">
        <f>STANDARDIZE(F38,'estatística'!$C$2,'estatística'!$H$2)</f>
        <v>0.2563940238</v>
      </c>
      <c r="L38" s="18"/>
      <c r="M38" s="8"/>
    </row>
    <row r="39" ht="15.75" customHeight="1">
      <c r="A39" s="9">
        <v>48.0</v>
      </c>
      <c r="B39" s="10" t="s">
        <v>25</v>
      </c>
      <c r="C39" s="11" t="s">
        <v>28</v>
      </c>
      <c r="D39" s="10" t="s">
        <v>17</v>
      </c>
      <c r="E39" s="11" t="s">
        <v>91</v>
      </c>
      <c r="F39" s="13">
        <v>3.17</v>
      </c>
      <c r="G39" s="14">
        <v>44934.0</v>
      </c>
      <c r="H39" s="15">
        <f t="shared" si="1"/>
        <v>8</v>
      </c>
      <c r="I39" s="16">
        <f t="shared" si="2"/>
        <v>1</v>
      </c>
      <c r="J39" s="15">
        <f t="shared" si="3"/>
        <v>2023</v>
      </c>
      <c r="K39" s="16">
        <f>STANDARDIZE(F39,'estatística'!$C$2,'estatística'!$H$2)</f>
        <v>0.02367688022</v>
      </c>
      <c r="L39" s="18"/>
      <c r="M39" s="8"/>
    </row>
    <row r="40" ht="15.75" customHeight="1">
      <c r="A40" s="9">
        <v>81.0</v>
      </c>
      <c r="B40" s="10" t="s">
        <v>34</v>
      </c>
      <c r="C40" s="11" t="s">
        <v>35</v>
      </c>
      <c r="D40" s="10" t="s">
        <v>13</v>
      </c>
      <c r="E40" s="11" t="s">
        <v>14</v>
      </c>
      <c r="F40" s="13">
        <v>10.33</v>
      </c>
      <c r="G40" s="14">
        <v>44935.0</v>
      </c>
      <c r="H40" s="15">
        <f t="shared" si="1"/>
        <v>9</v>
      </c>
      <c r="I40" s="16">
        <f t="shared" si="2"/>
        <v>1</v>
      </c>
      <c r="J40" s="15">
        <f t="shared" si="3"/>
        <v>2023</v>
      </c>
      <c r="K40" s="16">
        <f>STANDARDIZE(F40,'estatística'!$C$2,'estatística'!$H$2)</f>
        <v>0.1143327425</v>
      </c>
      <c r="L40" s="18"/>
      <c r="M40" s="8"/>
    </row>
    <row r="41" ht="15.75" customHeight="1">
      <c r="A41" s="9">
        <v>29.0</v>
      </c>
      <c r="B41" s="10" t="s">
        <v>92</v>
      </c>
      <c r="C41" s="11" t="s">
        <v>93</v>
      </c>
      <c r="D41" s="10" t="s">
        <v>13</v>
      </c>
      <c r="E41" s="11" t="s">
        <v>48</v>
      </c>
      <c r="F41" s="13">
        <v>12.09</v>
      </c>
      <c r="G41" s="14">
        <v>44935.0</v>
      </c>
      <c r="H41" s="15">
        <f t="shared" si="1"/>
        <v>9</v>
      </c>
      <c r="I41" s="16">
        <f t="shared" si="2"/>
        <v>1</v>
      </c>
      <c r="J41" s="15">
        <f t="shared" si="3"/>
        <v>2023</v>
      </c>
      <c r="K41" s="16">
        <f>STANDARDIZE(F41,'estatística'!$C$2,'estatística'!$H$2)</f>
        <v>0.136616865</v>
      </c>
      <c r="L41" s="18"/>
      <c r="M41" s="8"/>
    </row>
    <row r="42" ht="15.75" customHeight="1">
      <c r="A42" s="9">
        <v>59.0</v>
      </c>
      <c r="B42" s="10" t="s">
        <v>71</v>
      </c>
      <c r="C42" s="11" t="s">
        <v>72</v>
      </c>
      <c r="D42" s="10" t="s">
        <v>13</v>
      </c>
      <c r="E42" s="11" t="s">
        <v>33</v>
      </c>
      <c r="F42" s="13">
        <v>57.22</v>
      </c>
      <c r="G42" s="14">
        <v>44936.0</v>
      </c>
      <c r="H42" s="15">
        <f t="shared" si="1"/>
        <v>10</v>
      </c>
      <c r="I42" s="16">
        <f t="shared" si="2"/>
        <v>1</v>
      </c>
      <c r="J42" s="15">
        <f t="shared" si="3"/>
        <v>2023</v>
      </c>
      <c r="K42" s="16">
        <f>STANDARDIZE(F42,'estatística'!$C$2,'estatística'!$H$2)</f>
        <v>0.7080273487</v>
      </c>
      <c r="L42" s="18"/>
      <c r="M42" s="8"/>
    </row>
    <row r="43" ht="15.75" customHeight="1">
      <c r="A43" s="9">
        <v>60.0</v>
      </c>
      <c r="B43" s="10" t="s">
        <v>42</v>
      </c>
      <c r="C43" s="11" t="s">
        <v>43</v>
      </c>
      <c r="D43" s="10" t="s">
        <v>17</v>
      </c>
      <c r="E43" s="11" t="s">
        <v>48</v>
      </c>
      <c r="F43" s="13">
        <v>8.44</v>
      </c>
      <c r="G43" s="14">
        <v>44936.0</v>
      </c>
      <c r="H43" s="15">
        <f t="shared" si="1"/>
        <v>10</v>
      </c>
      <c r="I43" s="16">
        <f t="shared" si="2"/>
        <v>1</v>
      </c>
      <c r="J43" s="15">
        <f t="shared" si="3"/>
        <v>2023</v>
      </c>
      <c r="K43" s="16">
        <f>STANDARDIZE(F43,'estatística'!$C$2,'estatística'!$H$2)</f>
        <v>0.09040263358</v>
      </c>
      <c r="L43" s="18"/>
      <c r="M43" s="8"/>
    </row>
    <row r="44" ht="15.75" customHeight="1">
      <c r="A44" s="9">
        <v>43.0</v>
      </c>
      <c r="B44" s="10" t="s">
        <v>63</v>
      </c>
      <c r="C44" s="11" t="s">
        <v>64</v>
      </c>
      <c r="D44" s="10" t="s">
        <v>17</v>
      </c>
      <c r="E44" s="11" t="s">
        <v>33</v>
      </c>
      <c r="F44" s="13">
        <v>46.44</v>
      </c>
      <c r="G44" s="14">
        <v>44936.0</v>
      </c>
      <c r="H44" s="15">
        <f t="shared" si="1"/>
        <v>10</v>
      </c>
      <c r="I44" s="16">
        <f t="shared" si="2"/>
        <v>1</v>
      </c>
      <c r="J44" s="15">
        <f t="shared" si="3"/>
        <v>2023</v>
      </c>
      <c r="K44" s="16">
        <f>STANDARDIZE(F44,'estatística'!$C$2,'estatística'!$H$2)</f>
        <v>0.571537098</v>
      </c>
      <c r="L44" s="18"/>
      <c r="M44" s="8"/>
    </row>
    <row r="45" ht="15.75" customHeight="1">
      <c r="A45" s="9">
        <v>74.0</v>
      </c>
      <c r="B45" s="10" t="s">
        <v>11</v>
      </c>
      <c r="C45" s="11" t="s">
        <v>94</v>
      </c>
      <c r="D45" s="10" t="s">
        <v>17</v>
      </c>
      <c r="E45" s="11" t="s">
        <v>57</v>
      </c>
      <c r="F45" s="13">
        <v>18.97</v>
      </c>
      <c r="G45" s="14">
        <v>44936.0</v>
      </c>
      <c r="H45" s="15">
        <f t="shared" si="1"/>
        <v>10</v>
      </c>
      <c r="I45" s="16">
        <f t="shared" si="2"/>
        <v>1</v>
      </c>
      <c r="J45" s="15">
        <f t="shared" si="3"/>
        <v>2023</v>
      </c>
      <c r="K45" s="16">
        <f>STANDARDIZE(F45,'estatística'!$C$2,'estatística'!$H$2)</f>
        <v>0.223727526</v>
      </c>
      <c r="L45" s="18"/>
      <c r="M45" s="8"/>
    </row>
    <row r="46" ht="15.75" customHeight="1">
      <c r="A46" s="9">
        <v>100.0</v>
      </c>
      <c r="B46" s="10" t="s">
        <v>30</v>
      </c>
      <c r="C46" s="11" t="s">
        <v>31</v>
      </c>
      <c r="D46" s="10" t="s">
        <v>17</v>
      </c>
      <c r="E46" s="11" t="s">
        <v>39</v>
      </c>
      <c r="F46" s="13">
        <v>43.3</v>
      </c>
      <c r="G46" s="14">
        <v>44936.0</v>
      </c>
      <c r="H46" s="15">
        <f t="shared" si="1"/>
        <v>10</v>
      </c>
      <c r="I46" s="16">
        <f t="shared" si="2"/>
        <v>1</v>
      </c>
      <c r="J46" s="15">
        <f t="shared" si="3"/>
        <v>2023</v>
      </c>
      <c r="K46" s="16">
        <f>STANDARDIZE(F46,'estatística'!$C$2,'estatística'!$H$2)</f>
        <v>0.5317801975</v>
      </c>
      <c r="L46" s="18"/>
      <c r="M46" s="8"/>
    </row>
    <row r="47" ht="15.75" customHeight="1">
      <c r="A47" s="9">
        <v>35.0</v>
      </c>
      <c r="B47" s="10" t="s">
        <v>95</v>
      </c>
      <c r="C47" s="11" t="s">
        <v>96</v>
      </c>
      <c r="D47" s="10" t="s">
        <v>17</v>
      </c>
      <c r="E47" s="11" t="s">
        <v>62</v>
      </c>
      <c r="F47" s="13">
        <v>10.63</v>
      </c>
      <c r="G47" s="14">
        <v>44937.0</v>
      </c>
      <c r="H47" s="15">
        <f t="shared" si="1"/>
        <v>11</v>
      </c>
      <c r="I47" s="16">
        <f t="shared" si="2"/>
        <v>1</v>
      </c>
      <c r="J47" s="15">
        <f t="shared" si="3"/>
        <v>2023</v>
      </c>
      <c r="K47" s="16">
        <f>STANDARDIZE(F47,'estatística'!$C$2,'estatística'!$H$2)</f>
        <v>0.1181311724</v>
      </c>
      <c r="L47" s="18"/>
      <c r="M47" s="8"/>
    </row>
    <row r="48" ht="15.75" customHeight="1">
      <c r="A48" s="9">
        <v>56.0</v>
      </c>
      <c r="B48" s="10" t="s">
        <v>97</v>
      </c>
      <c r="C48" s="11" t="s">
        <v>98</v>
      </c>
      <c r="D48" s="10" t="s">
        <v>17</v>
      </c>
      <c r="E48" s="11" t="s">
        <v>91</v>
      </c>
      <c r="F48" s="13">
        <v>1.55</v>
      </c>
      <c r="G48" s="14">
        <v>44937.0</v>
      </c>
      <c r="H48" s="15">
        <f t="shared" si="1"/>
        <v>11</v>
      </c>
      <c r="I48" s="16">
        <f t="shared" si="2"/>
        <v>1</v>
      </c>
      <c r="J48" s="15">
        <f t="shared" si="3"/>
        <v>2023</v>
      </c>
      <c r="K48" s="16">
        <f>STANDARDIZE(F48,'estatística'!$C$2,'estatística'!$H$2)</f>
        <v>0.003165358319</v>
      </c>
      <c r="L48" s="18"/>
      <c r="M48" s="8"/>
    </row>
    <row r="49" ht="15.75" customHeight="1">
      <c r="A49" s="9">
        <v>93.0</v>
      </c>
      <c r="B49" s="10" t="s">
        <v>99</v>
      </c>
      <c r="C49" s="11" t="s">
        <v>100</v>
      </c>
      <c r="D49" s="10" t="s">
        <v>13</v>
      </c>
      <c r="E49" s="11" t="s">
        <v>80</v>
      </c>
      <c r="F49" s="13">
        <v>41.79</v>
      </c>
      <c r="G49" s="14">
        <v>44937.0</v>
      </c>
      <c r="H49" s="15">
        <f t="shared" si="1"/>
        <v>11</v>
      </c>
      <c r="I49" s="16">
        <f t="shared" si="2"/>
        <v>1</v>
      </c>
      <c r="J49" s="15">
        <f t="shared" si="3"/>
        <v>2023</v>
      </c>
      <c r="K49" s="16">
        <f>STANDARDIZE(F49,'estatística'!$C$2,'estatística'!$H$2)</f>
        <v>0.5126614333</v>
      </c>
      <c r="L49" s="18"/>
      <c r="M49" s="8"/>
    </row>
    <row r="50" ht="15.75" customHeight="1">
      <c r="A50" s="9">
        <v>22.0</v>
      </c>
      <c r="B50" s="10" t="s">
        <v>101</v>
      </c>
      <c r="C50" s="11" t="s">
        <v>102</v>
      </c>
      <c r="D50" s="10" t="s">
        <v>17</v>
      </c>
      <c r="E50" s="11" t="s">
        <v>14</v>
      </c>
      <c r="F50" s="13">
        <v>10.17</v>
      </c>
      <c r="G50" s="14">
        <v>44937.0</v>
      </c>
      <c r="H50" s="15">
        <f t="shared" si="1"/>
        <v>11</v>
      </c>
      <c r="I50" s="16">
        <f t="shared" si="2"/>
        <v>1</v>
      </c>
      <c r="J50" s="15">
        <f t="shared" si="3"/>
        <v>2023</v>
      </c>
      <c r="K50" s="16">
        <f>STANDARDIZE(F50,'estatística'!$C$2,'estatística'!$H$2)</f>
        <v>0.1123069131</v>
      </c>
      <c r="L50" s="18"/>
      <c r="M50" s="8"/>
    </row>
    <row r="51" ht="15.75" customHeight="1">
      <c r="A51" s="9">
        <v>59.0</v>
      </c>
      <c r="B51" s="10" t="s">
        <v>71</v>
      </c>
      <c r="C51" s="11" t="s">
        <v>72</v>
      </c>
      <c r="D51" s="10" t="s">
        <v>13</v>
      </c>
      <c r="E51" s="11" t="s">
        <v>80</v>
      </c>
      <c r="F51" s="13">
        <v>41.96</v>
      </c>
      <c r="G51" s="14">
        <v>44937.0</v>
      </c>
      <c r="H51" s="15">
        <f t="shared" si="1"/>
        <v>11</v>
      </c>
      <c r="I51" s="16">
        <f t="shared" si="2"/>
        <v>1</v>
      </c>
      <c r="J51" s="15">
        <f t="shared" si="3"/>
        <v>2023</v>
      </c>
      <c r="K51" s="16">
        <f>STANDARDIZE(F51,'estatística'!$C$2,'estatística'!$H$2)</f>
        <v>0.5148138769</v>
      </c>
      <c r="L51" s="18"/>
      <c r="M51" s="8"/>
    </row>
    <row r="52" ht="15.75" customHeight="1">
      <c r="A52" s="9">
        <v>72.0</v>
      </c>
      <c r="B52" s="10" t="s">
        <v>103</v>
      </c>
      <c r="C52" s="11" t="s">
        <v>104</v>
      </c>
      <c r="D52" s="10" t="s">
        <v>13</v>
      </c>
      <c r="E52" s="11" t="s">
        <v>33</v>
      </c>
      <c r="F52" s="13">
        <v>63.3</v>
      </c>
      <c r="G52" s="14">
        <v>44938.0</v>
      </c>
      <c r="H52" s="15">
        <f t="shared" si="1"/>
        <v>12</v>
      </c>
      <c r="I52" s="16">
        <f t="shared" si="2"/>
        <v>1</v>
      </c>
      <c r="J52" s="15">
        <f t="shared" si="3"/>
        <v>2023</v>
      </c>
      <c r="K52" s="16">
        <f>STANDARDIZE(F52,'estatística'!$C$2,'estatística'!$H$2)</f>
        <v>0.785008863</v>
      </c>
      <c r="L52" s="18"/>
      <c r="M52" s="8"/>
    </row>
    <row r="53" ht="15.75" customHeight="1">
      <c r="A53" s="9">
        <v>89.0</v>
      </c>
      <c r="B53" s="10" t="s">
        <v>105</v>
      </c>
      <c r="C53" s="11" t="s">
        <v>106</v>
      </c>
      <c r="D53" s="10" t="s">
        <v>17</v>
      </c>
      <c r="E53" s="11" t="s">
        <v>107</v>
      </c>
      <c r="F53" s="13">
        <v>28.67</v>
      </c>
      <c r="G53" s="14">
        <v>44938.0</v>
      </c>
      <c r="H53" s="15">
        <f t="shared" si="1"/>
        <v>12</v>
      </c>
      <c r="I53" s="16">
        <f t="shared" si="2"/>
        <v>1</v>
      </c>
      <c r="J53" s="15">
        <f t="shared" si="3"/>
        <v>2023</v>
      </c>
      <c r="K53" s="16">
        <f>STANDARDIZE(F53,'estatística'!$C$2,'estatística'!$H$2)</f>
        <v>0.3465434287</v>
      </c>
      <c r="L53" s="18"/>
      <c r="M53" s="8"/>
    </row>
    <row r="54" ht="15.75" customHeight="1">
      <c r="A54" s="9">
        <v>79.0</v>
      </c>
      <c r="B54" s="10" t="s">
        <v>69</v>
      </c>
      <c r="C54" s="11" t="s">
        <v>70</v>
      </c>
      <c r="D54" s="10" t="s">
        <v>17</v>
      </c>
      <c r="E54" s="11" t="s">
        <v>24</v>
      </c>
      <c r="F54" s="13">
        <v>28.38</v>
      </c>
      <c r="G54" s="14">
        <v>44938.0</v>
      </c>
      <c r="H54" s="15">
        <f t="shared" si="1"/>
        <v>12</v>
      </c>
      <c r="I54" s="16">
        <f t="shared" si="2"/>
        <v>1</v>
      </c>
      <c r="J54" s="15">
        <f t="shared" si="3"/>
        <v>2023</v>
      </c>
      <c r="K54" s="16">
        <f>STANDARDIZE(F54,'estatística'!$C$2,'estatística'!$H$2)</f>
        <v>0.3428716131</v>
      </c>
      <c r="L54" s="18"/>
      <c r="M54" s="8"/>
    </row>
    <row r="55" ht="15.75" customHeight="1">
      <c r="A55" s="9">
        <v>4.0</v>
      </c>
      <c r="B55" s="10" t="s">
        <v>87</v>
      </c>
      <c r="C55" s="11" t="s">
        <v>88</v>
      </c>
      <c r="D55" s="10" t="s">
        <v>13</v>
      </c>
      <c r="E55" s="11" t="s">
        <v>32</v>
      </c>
      <c r="F55" s="13">
        <v>26.72</v>
      </c>
      <c r="G55" s="14">
        <v>44938.0</v>
      </c>
      <c r="H55" s="15">
        <f t="shared" si="1"/>
        <v>12</v>
      </c>
      <c r="I55" s="16">
        <f t="shared" si="2"/>
        <v>1</v>
      </c>
      <c r="J55" s="15">
        <f t="shared" si="3"/>
        <v>2023</v>
      </c>
      <c r="K55" s="16">
        <f>STANDARDIZE(F55,'estatística'!$C$2,'estatística'!$H$2)</f>
        <v>0.3218536338</v>
      </c>
      <c r="L55" s="18"/>
      <c r="M55" s="8"/>
    </row>
    <row r="56" ht="15.75" customHeight="1">
      <c r="A56" s="9">
        <v>13.0</v>
      </c>
      <c r="B56" s="10" t="s">
        <v>108</v>
      </c>
      <c r="C56" s="11" t="s">
        <v>109</v>
      </c>
      <c r="D56" s="10" t="s">
        <v>17</v>
      </c>
      <c r="E56" s="11" t="s">
        <v>39</v>
      </c>
      <c r="F56" s="13">
        <v>55.27</v>
      </c>
      <c r="G56" s="14">
        <v>44938.0</v>
      </c>
      <c r="H56" s="15">
        <f t="shared" si="1"/>
        <v>12</v>
      </c>
      <c r="I56" s="16">
        <f t="shared" si="2"/>
        <v>1</v>
      </c>
      <c r="J56" s="15">
        <f t="shared" si="3"/>
        <v>2023</v>
      </c>
      <c r="K56" s="16">
        <f>STANDARDIZE(F56,'estatística'!$C$2,'estatística'!$H$2)</f>
        <v>0.6833375538</v>
      </c>
      <c r="L56" s="18"/>
      <c r="M56" s="8"/>
    </row>
    <row r="57" ht="15.75" customHeight="1">
      <c r="A57" s="9">
        <v>74.0</v>
      </c>
      <c r="B57" s="10" t="s">
        <v>11</v>
      </c>
      <c r="C57" s="11" t="s">
        <v>94</v>
      </c>
      <c r="D57" s="10" t="s">
        <v>17</v>
      </c>
      <c r="E57" s="11" t="s">
        <v>36</v>
      </c>
      <c r="F57" s="13">
        <v>76.14</v>
      </c>
      <c r="G57" s="14">
        <v>44938.0</v>
      </c>
      <c r="H57" s="15">
        <f t="shared" si="1"/>
        <v>12</v>
      </c>
      <c r="I57" s="16">
        <f t="shared" si="2"/>
        <v>1</v>
      </c>
      <c r="J57" s="15">
        <f t="shared" si="3"/>
        <v>2023</v>
      </c>
      <c r="K57" s="16">
        <f>STANDARDIZE(F57,'estatística'!$C$2,'estatística'!$H$2)</f>
        <v>0.9475816662</v>
      </c>
      <c r="L57" s="18"/>
      <c r="M57" s="8"/>
    </row>
    <row r="58" ht="15.75" customHeight="1">
      <c r="A58" s="9">
        <v>48.0</v>
      </c>
      <c r="B58" s="10" t="s">
        <v>25</v>
      </c>
      <c r="C58" s="11" t="s">
        <v>28</v>
      </c>
      <c r="D58" s="10" t="s">
        <v>17</v>
      </c>
      <c r="E58" s="11" t="s">
        <v>62</v>
      </c>
      <c r="F58" s="13">
        <v>12.52</v>
      </c>
      <c r="G58" s="14">
        <v>44938.0</v>
      </c>
      <c r="H58" s="15">
        <f t="shared" si="1"/>
        <v>12</v>
      </c>
      <c r="I58" s="16">
        <f t="shared" si="2"/>
        <v>1</v>
      </c>
      <c r="J58" s="15">
        <f t="shared" si="3"/>
        <v>2023</v>
      </c>
      <c r="K58" s="16">
        <f>STANDARDIZE(F58,'estatística'!$C$2,'estatística'!$H$2)</f>
        <v>0.1420612813</v>
      </c>
      <c r="L58" s="18"/>
      <c r="M58" s="8"/>
    </row>
    <row r="59" ht="15.75" customHeight="1">
      <c r="A59" s="9">
        <v>24.0</v>
      </c>
      <c r="B59" s="10" t="s">
        <v>110</v>
      </c>
      <c r="C59" s="11" t="s">
        <v>111</v>
      </c>
      <c r="D59" s="10" t="s">
        <v>17</v>
      </c>
      <c r="E59" s="11" t="s">
        <v>32</v>
      </c>
      <c r="F59" s="13">
        <v>27.39</v>
      </c>
      <c r="G59" s="14">
        <v>44938.0</v>
      </c>
      <c r="H59" s="15">
        <f t="shared" si="1"/>
        <v>12</v>
      </c>
      <c r="I59" s="16">
        <f t="shared" si="2"/>
        <v>1</v>
      </c>
      <c r="J59" s="15">
        <f t="shared" si="3"/>
        <v>2023</v>
      </c>
      <c r="K59" s="16">
        <f>STANDARDIZE(F59,'estatística'!$C$2,'estatística'!$H$2)</f>
        <v>0.3303367941</v>
      </c>
      <c r="L59" s="18"/>
      <c r="M59" s="8"/>
    </row>
    <row r="60" ht="15.75" customHeight="1">
      <c r="A60" s="9">
        <v>84.0</v>
      </c>
      <c r="B60" s="10" t="s">
        <v>112</v>
      </c>
      <c r="C60" s="11" t="s">
        <v>113</v>
      </c>
      <c r="D60" s="10" t="s">
        <v>13</v>
      </c>
      <c r="E60" s="11" t="s">
        <v>80</v>
      </c>
      <c r="F60" s="13">
        <v>33.05</v>
      </c>
      <c r="G60" s="14">
        <v>44938.0</v>
      </c>
      <c r="H60" s="15">
        <f t="shared" si="1"/>
        <v>12</v>
      </c>
      <c r="I60" s="16">
        <f t="shared" si="2"/>
        <v>1</v>
      </c>
      <c r="J60" s="15">
        <f t="shared" si="3"/>
        <v>2023</v>
      </c>
      <c r="K60" s="16">
        <f>STANDARDIZE(F60,'estatística'!$C$2,'estatística'!$H$2)</f>
        <v>0.4020005065</v>
      </c>
      <c r="L60" s="18"/>
      <c r="M60" s="8"/>
    </row>
    <row r="61" ht="15.75" customHeight="1">
      <c r="A61" s="9">
        <v>7.0</v>
      </c>
      <c r="B61" s="10" t="s">
        <v>83</v>
      </c>
      <c r="C61" s="11" t="s">
        <v>84</v>
      </c>
      <c r="D61" s="10" t="s">
        <v>13</v>
      </c>
      <c r="E61" s="11" t="s">
        <v>24</v>
      </c>
      <c r="F61" s="13">
        <v>37.71</v>
      </c>
      <c r="G61" s="14">
        <v>44939.0</v>
      </c>
      <c r="H61" s="15">
        <f t="shared" si="1"/>
        <v>13</v>
      </c>
      <c r="I61" s="16">
        <f t="shared" si="2"/>
        <v>1</v>
      </c>
      <c r="J61" s="15">
        <f t="shared" si="3"/>
        <v>2023</v>
      </c>
      <c r="K61" s="16">
        <f>STANDARDIZE(F61,'estatística'!$C$2,'estatística'!$H$2)</f>
        <v>0.4610027855</v>
      </c>
      <c r="L61" s="18"/>
      <c r="M61" s="8"/>
    </row>
    <row r="62" ht="15.75" customHeight="1">
      <c r="A62" s="9">
        <v>60.0</v>
      </c>
      <c r="B62" s="10" t="s">
        <v>42</v>
      </c>
      <c r="C62" s="11" t="s">
        <v>43</v>
      </c>
      <c r="D62" s="10" t="s">
        <v>17</v>
      </c>
      <c r="E62" s="11" t="s">
        <v>91</v>
      </c>
      <c r="F62" s="13">
        <v>2.16</v>
      </c>
      <c r="G62" s="14">
        <v>44939.0</v>
      </c>
      <c r="H62" s="15">
        <f t="shared" si="1"/>
        <v>13</v>
      </c>
      <c r="I62" s="16">
        <f t="shared" si="2"/>
        <v>1</v>
      </c>
      <c r="J62" s="15">
        <f t="shared" si="3"/>
        <v>2023</v>
      </c>
      <c r="K62" s="16">
        <f>STANDARDIZE(F62,'estatística'!$C$2,'estatística'!$H$2)</f>
        <v>0.01088883262</v>
      </c>
      <c r="L62" s="18"/>
      <c r="M62" s="8"/>
    </row>
    <row r="63" ht="15.75" customHeight="1">
      <c r="A63" s="9">
        <v>46.0</v>
      </c>
      <c r="B63" s="10" t="s">
        <v>114</v>
      </c>
      <c r="C63" s="11" t="s">
        <v>115</v>
      </c>
      <c r="D63" s="10" t="s">
        <v>13</v>
      </c>
      <c r="E63" s="11" t="s">
        <v>116</v>
      </c>
      <c r="F63" s="13">
        <v>3.14</v>
      </c>
      <c r="G63" s="14">
        <v>44939.0</v>
      </c>
      <c r="H63" s="15">
        <f t="shared" si="1"/>
        <v>13</v>
      </c>
      <c r="I63" s="16">
        <f t="shared" si="2"/>
        <v>1</v>
      </c>
      <c r="J63" s="15">
        <f t="shared" si="3"/>
        <v>2023</v>
      </c>
      <c r="K63" s="16">
        <f>STANDARDIZE(F63,'estatística'!$C$2,'estatística'!$H$2)</f>
        <v>0.02329703722</v>
      </c>
      <c r="L63" s="18"/>
      <c r="M63" s="8"/>
    </row>
    <row r="64" ht="15.75" customHeight="1">
      <c r="A64" s="9">
        <v>93.0</v>
      </c>
      <c r="B64" s="10" t="s">
        <v>99</v>
      </c>
      <c r="C64" s="11" t="s">
        <v>100</v>
      </c>
      <c r="D64" s="10" t="s">
        <v>17</v>
      </c>
      <c r="E64" s="11" t="s">
        <v>32</v>
      </c>
      <c r="F64" s="13">
        <v>31.86</v>
      </c>
      <c r="G64" s="14">
        <v>44939.0</v>
      </c>
      <c r="H64" s="15">
        <f t="shared" si="1"/>
        <v>13</v>
      </c>
      <c r="I64" s="16">
        <f t="shared" si="2"/>
        <v>1</v>
      </c>
      <c r="J64" s="15">
        <f t="shared" si="3"/>
        <v>2023</v>
      </c>
      <c r="K64" s="16">
        <f>STANDARDIZE(F64,'estatística'!$C$2,'estatística'!$H$2)</f>
        <v>0.3869334009</v>
      </c>
      <c r="L64" s="18"/>
      <c r="M64" s="8"/>
    </row>
    <row r="65" ht="15.75" customHeight="1">
      <c r="A65" s="9">
        <v>69.0</v>
      </c>
      <c r="B65" s="10" t="s">
        <v>75</v>
      </c>
      <c r="C65" s="11" t="s">
        <v>117</v>
      </c>
      <c r="D65" s="10" t="s">
        <v>13</v>
      </c>
      <c r="E65" s="11" t="s">
        <v>68</v>
      </c>
      <c r="F65" s="13">
        <v>13.44</v>
      </c>
      <c r="G65" s="14">
        <v>44940.0</v>
      </c>
      <c r="H65" s="15">
        <f t="shared" si="1"/>
        <v>14</v>
      </c>
      <c r="I65" s="16">
        <f t="shared" si="2"/>
        <v>1</v>
      </c>
      <c r="J65" s="15">
        <f t="shared" si="3"/>
        <v>2023</v>
      </c>
      <c r="K65" s="16">
        <f>STANDARDIZE(F65,'estatística'!$C$2,'estatística'!$H$2)</f>
        <v>0.1537097999</v>
      </c>
      <c r="L65" s="18"/>
      <c r="M65" s="8"/>
    </row>
    <row r="66" ht="15.75" customHeight="1">
      <c r="A66" s="9">
        <v>32.0</v>
      </c>
      <c r="B66" s="10" t="s">
        <v>118</v>
      </c>
      <c r="C66" s="11" t="s">
        <v>119</v>
      </c>
      <c r="D66" s="10" t="s">
        <v>17</v>
      </c>
      <c r="E66" s="11" t="s">
        <v>39</v>
      </c>
      <c r="F66" s="13">
        <v>41.64</v>
      </c>
      <c r="G66" s="14">
        <v>44940.0</v>
      </c>
      <c r="H66" s="15">
        <f t="shared" si="1"/>
        <v>14</v>
      </c>
      <c r="I66" s="16">
        <f t="shared" si="2"/>
        <v>1</v>
      </c>
      <c r="J66" s="15">
        <f t="shared" si="3"/>
        <v>2023</v>
      </c>
      <c r="K66" s="16">
        <f>STANDARDIZE(F66,'estatística'!$C$2,'estatística'!$H$2)</f>
        <v>0.5107622183</v>
      </c>
      <c r="L66" s="18"/>
      <c r="M66" s="8"/>
    </row>
    <row r="67" ht="15.75" customHeight="1">
      <c r="A67" s="9">
        <v>84.0</v>
      </c>
      <c r="B67" s="10" t="s">
        <v>112</v>
      </c>
      <c r="C67" s="11" t="s">
        <v>113</v>
      </c>
      <c r="D67" s="10" t="s">
        <v>13</v>
      </c>
      <c r="E67" s="11" t="s">
        <v>39</v>
      </c>
      <c r="F67" s="13">
        <v>45.96</v>
      </c>
      <c r="G67" s="14">
        <v>44940.0</v>
      </c>
      <c r="H67" s="15">
        <f t="shared" si="1"/>
        <v>14</v>
      </c>
      <c r="I67" s="16">
        <f t="shared" si="2"/>
        <v>1</v>
      </c>
      <c r="J67" s="15">
        <f t="shared" si="3"/>
        <v>2023</v>
      </c>
      <c r="K67" s="16">
        <f>STANDARDIZE(F67,'estatística'!$C$2,'estatística'!$H$2)</f>
        <v>0.56545961</v>
      </c>
      <c r="L67" s="18"/>
      <c r="M67" s="8"/>
    </row>
    <row r="68" ht="15.75" customHeight="1">
      <c r="A68" s="9">
        <v>10.0</v>
      </c>
      <c r="B68" s="10" t="s">
        <v>120</v>
      </c>
      <c r="C68" s="11" t="s">
        <v>121</v>
      </c>
      <c r="D68" s="10" t="s">
        <v>13</v>
      </c>
      <c r="E68" s="11" t="s">
        <v>116</v>
      </c>
      <c r="F68" s="13">
        <v>4.7</v>
      </c>
      <c r="G68" s="14">
        <v>44940.0</v>
      </c>
      <c r="H68" s="15">
        <f t="shared" si="1"/>
        <v>14</v>
      </c>
      <c r="I68" s="16">
        <f t="shared" si="2"/>
        <v>1</v>
      </c>
      <c r="J68" s="15">
        <f t="shared" si="3"/>
        <v>2023</v>
      </c>
      <c r="K68" s="16">
        <f>STANDARDIZE(F68,'estatística'!$C$2,'estatística'!$H$2)</f>
        <v>0.04304887313</v>
      </c>
      <c r="L68" s="18"/>
      <c r="M68" s="8"/>
    </row>
    <row r="69" ht="15.75" customHeight="1">
      <c r="A69" s="9">
        <v>71.0</v>
      </c>
      <c r="B69" s="10" t="s">
        <v>122</v>
      </c>
      <c r="C69" s="11" t="s">
        <v>123</v>
      </c>
      <c r="D69" s="10" t="s">
        <v>17</v>
      </c>
      <c r="E69" s="11" t="s">
        <v>14</v>
      </c>
      <c r="F69" s="13">
        <v>10.53</v>
      </c>
      <c r="G69" s="14">
        <v>44940.0</v>
      </c>
      <c r="H69" s="15">
        <f t="shared" si="1"/>
        <v>14</v>
      </c>
      <c r="I69" s="16">
        <f t="shared" si="2"/>
        <v>1</v>
      </c>
      <c r="J69" s="15">
        <f t="shared" si="3"/>
        <v>2023</v>
      </c>
      <c r="K69" s="16">
        <f>STANDARDIZE(F69,'estatística'!$C$2,'estatística'!$H$2)</f>
        <v>0.1168650291</v>
      </c>
      <c r="L69" s="18"/>
      <c r="M69" s="8"/>
    </row>
    <row r="70" ht="15.75" customHeight="1">
      <c r="A70" s="9">
        <v>70.0</v>
      </c>
      <c r="B70" s="10" t="s">
        <v>124</v>
      </c>
      <c r="C70" s="11" t="s">
        <v>125</v>
      </c>
      <c r="D70" s="10" t="s">
        <v>17</v>
      </c>
      <c r="E70" s="11" t="s">
        <v>14</v>
      </c>
      <c r="F70" s="13">
        <v>10.44</v>
      </c>
      <c r="G70" s="14">
        <v>44940.0</v>
      </c>
      <c r="H70" s="15">
        <f t="shared" si="1"/>
        <v>14</v>
      </c>
      <c r="I70" s="16">
        <f t="shared" si="2"/>
        <v>1</v>
      </c>
      <c r="J70" s="15">
        <f t="shared" si="3"/>
        <v>2023</v>
      </c>
      <c r="K70" s="16">
        <f>STANDARDIZE(F70,'estatística'!$C$2,'estatística'!$H$2)</f>
        <v>0.1157255001</v>
      </c>
      <c r="L70" s="18"/>
      <c r="M70" s="8"/>
    </row>
    <row r="71" ht="15.75" customHeight="1">
      <c r="A71" s="9">
        <v>50.0</v>
      </c>
      <c r="B71" s="10" t="s">
        <v>19</v>
      </c>
      <c r="C71" s="11" t="s">
        <v>20</v>
      </c>
      <c r="D71" s="10" t="s">
        <v>17</v>
      </c>
      <c r="E71" s="11" t="s">
        <v>80</v>
      </c>
      <c r="F71" s="13">
        <v>35.38</v>
      </c>
      <c r="G71" s="14">
        <v>44940.0</v>
      </c>
      <c r="H71" s="15">
        <f t="shared" si="1"/>
        <v>14</v>
      </c>
      <c r="I71" s="16">
        <f t="shared" si="2"/>
        <v>1</v>
      </c>
      <c r="J71" s="15">
        <f t="shared" si="3"/>
        <v>2023</v>
      </c>
      <c r="K71" s="16">
        <f>STANDARDIZE(F71,'estatística'!$C$2,'estatística'!$H$2)</f>
        <v>0.431501646</v>
      </c>
      <c r="L71" s="18"/>
      <c r="M71" s="8"/>
    </row>
    <row r="72" ht="15.75" customHeight="1">
      <c r="A72" s="9">
        <v>29.0</v>
      </c>
      <c r="B72" s="10" t="s">
        <v>92</v>
      </c>
      <c r="C72" s="11" t="s">
        <v>93</v>
      </c>
      <c r="D72" s="10" t="s">
        <v>13</v>
      </c>
      <c r="E72" s="11" t="s">
        <v>57</v>
      </c>
      <c r="F72" s="13">
        <v>16.8</v>
      </c>
      <c r="G72" s="14">
        <v>44940.0</v>
      </c>
      <c r="H72" s="15">
        <f t="shared" si="1"/>
        <v>14</v>
      </c>
      <c r="I72" s="16">
        <f t="shared" si="2"/>
        <v>1</v>
      </c>
      <c r="J72" s="15">
        <f t="shared" si="3"/>
        <v>2023</v>
      </c>
      <c r="K72" s="16">
        <f>STANDARDIZE(F72,'estatística'!$C$2,'estatística'!$H$2)</f>
        <v>0.1962522158</v>
      </c>
      <c r="L72" s="18"/>
      <c r="M72" s="8"/>
    </row>
    <row r="73" ht="15.75" customHeight="1">
      <c r="A73" s="9">
        <v>46.0</v>
      </c>
      <c r="B73" s="10" t="s">
        <v>114</v>
      </c>
      <c r="C73" s="11" t="s">
        <v>115</v>
      </c>
      <c r="D73" s="10" t="s">
        <v>13</v>
      </c>
      <c r="E73" s="11" t="s">
        <v>48</v>
      </c>
      <c r="F73" s="13">
        <v>7.91</v>
      </c>
      <c r="G73" s="14">
        <v>44940.0</v>
      </c>
      <c r="H73" s="15">
        <f t="shared" si="1"/>
        <v>14</v>
      </c>
      <c r="I73" s="16">
        <f t="shared" si="2"/>
        <v>1</v>
      </c>
      <c r="J73" s="15">
        <f t="shared" si="3"/>
        <v>2023</v>
      </c>
      <c r="K73" s="16">
        <f>STANDARDIZE(F73,'estatística'!$C$2,'estatística'!$H$2)</f>
        <v>0.08369207394</v>
      </c>
      <c r="L73" s="18"/>
      <c r="M73" s="8"/>
    </row>
    <row r="74" ht="15.75" customHeight="1">
      <c r="A74" s="9">
        <v>25.0</v>
      </c>
      <c r="B74" s="10" t="s">
        <v>126</v>
      </c>
      <c r="C74" s="11" t="s">
        <v>127</v>
      </c>
      <c r="D74" s="10" t="s">
        <v>17</v>
      </c>
      <c r="E74" s="11" t="s">
        <v>36</v>
      </c>
      <c r="F74" s="13">
        <v>60.34</v>
      </c>
      <c r="G74" s="14">
        <v>44941.0</v>
      </c>
      <c r="H74" s="15">
        <f t="shared" si="1"/>
        <v>15</v>
      </c>
      <c r="I74" s="16">
        <f t="shared" si="2"/>
        <v>1</v>
      </c>
      <c r="J74" s="15">
        <f t="shared" si="3"/>
        <v>2023</v>
      </c>
      <c r="K74" s="16">
        <f>STANDARDIZE(F74,'estatística'!$C$2,'estatística'!$H$2)</f>
        <v>0.7475310205</v>
      </c>
      <c r="L74" s="18"/>
      <c r="M74" s="8"/>
    </row>
    <row r="75" ht="15.75" customHeight="1">
      <c r="A75" s="9">
        <v>99.0</v>
      </c>
      <c r="B75" s="10" t="s">
        <v>46</v>
      </c>
      <c r="C75" s="11" t="s">
        <v>47</v>
      </c>
      <c r="D75" s="10" t="s">
        <v>17</v>
      </c>
      <c r="E75" s="11" t="s">
        <v>27</v>
      </c>
      <c r="F75" s="13">
        <v>15.57</v>
      </c>
      <c r="G75" s="14">
        <v>44941.0</v>
      </c>
      <c r="H75" s="15">
        <f t="shared" si="1"/>
        <v>15</v>
      </c>
      <c r="I75" s="16">
        <f t="shared" si="2"/>
        <v>1</v>
      </c>
      <c r="J75" s="15">
        <f t="shared" si="3"/>
        <v>2023</v>
      </c>
      <c r="K75" s="16">
        <f>STANDARDIZE(F75,'estatística'!$C$2,'estatística'!$H$2)</f>
        <v>0.1806786528</v>
      </c>
      <c r="L75" s="18"/>
      <c r="M75" s="8"/>
    </row>
    <row r="76" ht="15.75" customHeight="1">
      <c r="A76" s="9">
        <v>62.0</v>
      </c>
      <c r="B76" s="10" t="s">
        <v>128</v>
      </c>
      <c r="C76" s="11" t="s">
        <v>129</v>
      </c>
      <c r="D76" s="10" t="s">
        <v>13</v>
      </c>
      <c r="E76" s="11" t="s">
        <v>21</v>
      </c>
      <c r="F76" s="13">
        <v>12.41</v>
      </c>
      <c r="G76" s="14">
        <v>44941.0</v>
      </c>
      <c r="H76" s="15">
        <f t="shared" si="1"/>
        <v>15</v>
      </c>
      <c r="I76" s="16">
        <f t="shared" si="2"/>
        <v>1</v>
      </c>
      <c r="J76" s="15">
        <f t="shared" si="3"/>
        <v>2023</v>
      </c>
      <c r="K76" s="16">
        <f>STANDARDIZE(F76,'estatística'!$C$2,'estatística'!$H$2)</f>
        <v>0.1406685237</v>
      </c>
      <c r="L76" s="18"/>
      <c r="M76" s="8"/>
    </row>
    <row r="77" ht="15.75" customHeight="1">
      <c r="A77" s="9">
        <v>66.0</v>
      </c>
      <c r="B77" s="10" t="s">
        <v>122</v>
      </c>
      <c r="C77" s="11" t="s">
        <v>130</v>
      </c>
      <c r="D77" s="10" t="s">
        <v>13</v>
      </c>
      <c r="E77" s="11" t="s">
        <v>116</v>
      </c>
      <c r="F77" s="13">
        <v>5.38</v>
      </c>
      <c r="G77" s="14">
        <v>44941.0</v>
      </c>
      <c r="H77" s="15">
        <f t="shared" si="1"/>
        <v>15</v>
      </c>
      <c r="I77" s="16">
        <f t="shared" si="2"/>
        <v>1</v>
      </c>
      <c r="J77" s="15">
        <f t="shared" si="3"/>
        <v>2023</v>
      </c>
      <c r="K77" s="16">
        <f>STANDARDIZE(F77,'estatística'!$C$2,'estatística'!$H$2)</f>
        <v>0.05165864776</v>
      </c>
      <c r="L77" s="18"/>
      <c r="M77" s="8"/>
    </row>
    <row r="78" ht="15.75" customHeight="1">
      <c r="A78" s="9">
        <v>64.0</v>
      </c>
      <c r="B78" s="10" t="s">
        <v>131</v>
      </c>
      <c r="C78" s="11" t="s">
        <v>132</v>
      </c>
      <c r="D78" s="10" t="s">
        <v>17</v>
      </c>
      <c r="E78" s="11" t="s">
        <v>48</v>
      </c>
      <c r="F78" s="13">
        <v>11.73</v>
      </c>
      <c r="G78" s="14">
        <v>44941.0</v>
      </c>
      <c r="H78" s="15">
        <f t="shared" si="1"/>
        <v>15</v>
      </c>
      <c r="I78" s="16">
        <f t="shared" si="2"/>
        <v>1</v>
      </c>
      <c r="J78" s="15">
        <f t="shared" si="3"/>
        <v>2023</v>
      </c>
      <c r="K78" s="16">
        <f>STANDARDIZE(F78,'estatística'!$C$2,'estatística'!$H$2)</f>
        <v>0.1320587491</v>
      </c>
      <c r="L78" s="18"/>
      <c r="M78" s="8"/>
    </row>
    <row r="79" ht="15.75" customHeight="1">
      <c r="A79" s="9">
        <v>83.0</v>
      </c>
      <c r="B79" s="10" t="s">
        <v>66</v>
      </c>
      <c r="C79" s="11" t="s">
        <v>67</v>
      </c>
      <c r="D79" s="10" t="s">
        <v>17</v>
      </c>
      <c r="E79" s="11" t="s">
        <v>36</v>
      </c>
      <c r="F79" s="13">
        <v>71.1</v>
      </c>
      <c r="G79" s="14">
        <v>44942.0</v>
      </c>
      <c r="H79" s="15">
        <f t="shared" si="1"/>
        <v>16</v>
      </c>
      <c r="I79" s="16">
        <f t="shared" si="2"/>
        <v>1</v>
      </c>
      <c r="J79" s="15">
        <f t="shared" si="3"/>
        <v>2023</v>
      </c>
      <c r="K79" s="16">
        <f>STANDARDIZE(F79,'estatística'!$C$2,'estatística'!$H$2)</f>
        <v>0.8837680425</v>
      </c>
      <c r="L79" s="18"/>
      <c r="M79" s="8"/>
    </row>
    <row r="80" ht="15.75" customHeight="1">
      <c r="A80" s="9">
        <v>20.0</v>
      </c>
      <c r="B80" s="10" t="s">
        <v>133</v>
      </c>
      <c r="C80" s="11" t="s">
        <v>134</v>
      </c>
      <c r="D80" s="10" t="s">
        <v>13</v>
      </c>
      <c r="E80" s="11" t="s">
        <v>18</v>
      </c>
      <c r="F80" s="13">
        <v>51.47</v>
      </c>
      <c r="G80" s="14">
        <v>44942.0</v>
      </c>
      <c r="H80" s="15">
        <f t="shared" si="1"/>
        <v>16</v>
      </c>
      <c r="I80" s="16">
        <f t="shared" si="2"/>
        <v>1</v>
      </c>
      <c r="J80" s="15">
        <f t="shared" si="3"/>
        <v>2023</v>
      </c>
      <c r="K80" s="16">
        <f>STANDARDIZE(F80,'estatística'!$C$2,'estatística'!$H$2)</f>
        <v>0.6352241074</v>
      </c>
      <c r="L80" s="18"/>
      <c r="M80" s="8"/>
    </row>
    <row r="81" ht="15.75" customHeight="1">
      <c r="A81" s="9">
        <v>96.0</v>
      </c>
      <c r="B81" s="10" t="s">
        <v>135</v>
      </c>
      <c r="C81" s="11" t="s">
        <v>136</v>
      </c>
      <c r="D81" s="10" t="s">
        <v>13</v>
      </c>
      <c r="E81" s="11" t="s">
        <v>24</v>
      </c>
      <c r="F81" s="13">
        <v>20.18</v>
      </c>
      <c r="G81" s="14">
        <v>44942.0</v>
      </c>
      <c r="H81" s="15">
        <f t="shared" si="1"/>
        <v>16</v>
      </c>
      <c r="I81" s="16">
        <f t="shared" si="2"/>
        <v>1</v>
      </c>
      <c r="J81" s="15">
        <f t="shared" si="3"/>
        <v>2023</v>
      </c>
      <c r="K81" s="16">
        <f>STANDARDIZE(F81,'estatística'!$C$2,'estatística'!$H$2)</f>
        <v>0.2390478602</v>
      </c>
      <c r="L81" s="18"/>
      <c r="M81" s="8"/>
    </row>
    <row r="82" ht="15.75" customHeight="1">
      <c r="A82" s="9">
        <v>62.0</v>
      </c>
      <c r="B82" s="10" t="s">
        <v>128</v>
      </c>
      <c r="C82" s="11" t="s">
        <v>129</v>
      </c>
      <c r="D82" s="10" t="s">
        <v>13</v>
      </c>
      <c r="E82" s="11" t="s">
        <v>14</v>
      </c>
      <c r="F82" s="13">
        <v>10.73</v>
      </c>
      <c r="G82" s="14">
        <v>44942.0</v>
      </c>
      <c r="H82" s="15">
        <f t="shared" si="1"/>
        <v>16</v>
      </c>
      <c r="I82" s="16">
        <f t="shared" si="2"/>
        <v>1</v>
      </c>
      <c r="J82" s="15">
        <f t="shared" si="3"/>
        <v>2023</v>
      </c>
      <c r="K82" s="16">
        <f>STANDARDIZE(F82,'estatística'!$C$2,'estatística'!$H$2)</f>
        <v>0.1193973158</v>
      </c>
      <c r="L82" s="18"/>
      <c r="M82" s="8"/>
    </row>
    <row r="83" ht="15.75" customHeight="1">
      <c r="A83" s="9">
        <v>58.0</v>
      </c>
      <c r="B83" s="10" t="s">
        <v>137</v>
      </c>
      <c r="C83" s="11" t="s">
        <v>138</v>
      </c>
      <c r="D83" s="10" t="s">
        <v>17</v>
      </c>
      <c r="E83" s="11" t="s">
        <v>33</v>
      </c>
      <c r="F83" s="13">
        <v>49.31</v>
      </c>
      <c r="G83" s="14">
        <v>44942.0</v>
      </c>
      <c r="H83" s="15">
        <f t="shared" si="1"/>
        <v>16</v>
      </c>
      <c r="I83" s="16">
        <f t="shared" si="2"/>
        <v>1</v>
      </c>
      <c r="J83" s="15">
        <f t="shared" si="3"/>
        <v>2023</v>
      </c>
      <c r="K83" s="16">
        <f>STANDARDIZE(F83,'estatística'!$C$2,'estatística'!$H$2)</f>
        <v>0.6078754115</v>
      </c>
      <c r="L83" s="18"/>
      <c r="M83" s="8"/>
    </row>
    <row r="84" ht="15.75" customHeight="1">
      <c r="A84" s="9">
        <v>5.0</v>
      </c>
      <c r="B84" s="10" t="s">
        <v>139</v>
      </c>
      <c r="C84" s="11" t="s">
        <v>140</v>
      </c>
      <c r="D84" s="10" t="s">
        <v>13</v>
      </c>
      <c r="E84" s="11" t="s">
        <v>65</v>
      </c>
      <c r="F84" s="13">
        <v>31.14</v>
      </c>
      <c r="G84" s="14">
        <v>44943.0</v>
      </c>
      <c r="H84" s="15">
        <f t="shared" si="1"/>
        <v>17</v>
      </c>
      <c r="I84" s="16">
        <f t="shared" si="2"/>
        <v>1</v>
      </c>
      <c r="J84" s="15">
        <f t="shared" si="3"/>
        <v>2023</v>
      </c>
      <c r="K84" s="16">
        <f>STANDARDIZE(F84,'estatística'!$C$2,'estatística'!$H$2)</f>
        <v>0.3778171689</v>
      </c>
      <c r="L84" s="18"/>
      <c r="M84" s="8"/>
    </row>
    <row r="85" ht="15.75" customHeight="1">
      <c r="A85" s="9">
        <v>77.0</v>
      </c>
      <c r="B85" s="10" t="s">
        <v>11</v>
      </c>
      <c r="C85" s="11" t="s">
        <v>141</v>
      </c>
      <c r="D85" s="10" t="s">
        <v>17</v>
      </c>
      <c r="E85" s="11" t="s">
        <v>91</v>
      </c>
      <c r="F85" s="13">
        <v>2.62</v>
      </c>
      <c r="G85" s="14">
        <v>44943.0</v>
      </c>
      <c r="H85" s="15">
        <f t="shared" si="1"/>
        <v>17</v>
      </c>
      <c r="I85" s="16">
        <f t="shared" si="2"/>
        <v>1</v>
      </c>
      <c r="J85" s="15">
        <f t="shared" si="3"/>
        <v>2023</v>
      </c>
      <c r="K85" s="16">
        <f>STANDARDIZE(F85,'estatística'!$C$2,'estatística'!$H$2)</f>
        <v>0.01671309192</v>
      </c>
      <c r="L85" s="18"/>
      <c r="M85" s="8"/>
    </row>
    <row r="86" ht="15.75" customHeight="1">
      <c r="A86" s="9">
        <v>89.0</v>
      </c>
      <c r="B86" s="10" t="s">
        <v>105</v>
      </c>
      <c r="C86" s="11" t="s">
        <v>106</v>
      </c>
      <c r="D86" s="10" t="s">
        <v>13</v>
      </c>
      <c r="E86" s="11" t="s">
        <v>18</v>
      </c>
      <c r="F86" s="13">
        <v>39.3</v>
      </c>
      <c r="G86" s="14">
        <v>44943.0</v>
      </c>
      <c r="H86" s="15">
        <f t="shared" si="1"/>
        <v>17</v>
      </c>
      <c r="I86" s="16">
        <f t="shared" si="2"/>
        <v>1</v>
      </c>
      <c r="J86" s="15">
        <f t="shared" si="3"/>
        <v>2023</v>
      </c>
      <c r="K86" s="16">
        <f>STANDARDIZE(F86,'estatística'!$C$2,'estatística'!$H$2)</f>
        <v>0.4811344644</v>
      </c>
      <c r="L86" s="18"/>
      <c r="M86" s="8"/>
    </row>
    <row r="87" ht="15.75" customHeight="1">
      <c r="A87" s="9">
        <v>96.0</v>
      </c>
      <c r="B87" s="10" t="s">
        <v>135</v>
      </c>
      <c r="C87" s="11" t="s">
        <v>136</v>
      </c>
      <c r="D87" s="10" t="s">
        <v>17</v>
      </c>
      <c r="E87" s="11" t="s">
        <v>107</v>
      </c>
      <c r="F87" s="13">
        <v>31.2</v>
      </c>
      <c r="G87" s="14">
        <v>44943.0</v>
      </c>
      <c r="H87" s="15">
        <f t="shared" si="1"/>
        <v>17</v>
      </c>
      <c r="I87" s="16">
        <f t="shared" si="2"/>
        <v>1</v>
      </c>
      <c r="J87" s="15">
        <f t="shared" si="3"/>
        <v>2023</v>
      </c>
      <c r="K87" s="16">
        <f>STANDARDIZE(F87,'estatística'!$C$2,'estatística'!$H$2)</f>
        <v>0.3785768549</v>
      </c>
      <c r="L87" s="18"/>
      <c r="M87" s="8"/>
    </row>
    <row r="88" ht="15.75" customHeight="1">
      <c r="A88" s="9">
        <v>42.0</v>
      </c>
      <c r="B88" s="10" t="s">
        <v>60</v>
      </c>
      <c r="C88" s="11" t="s">
        <v>142</v>
      </c>
      <c r="D88" s="10" t="s">
        <v>17</v>
      </c>
      <c r="E88" s="11" t="s">
        <v>62</v>
      </c>
      <c r="F88" s="13">
        <v>11.77</v>
      </c>
      <c r="G88" s="14">
        <v>44943.0</v>
      </c>
      <c r="H88" s="15">
        <f t="shared" si="1"/>
        <v>17</v>
      </c>
      <c r="I88" s="16">
        <f t="shared" si="2"/>
        <v>1</v>
      </c>
      <c r="J88" s="15">
        <f t="shared" si="3"/>
        <v>2023</v>
      </c>
      <c r="K88" s="16">
        <f>STANDARDIZE(F88,'estatística'!$C$2,'estatística'!$H$2)</f>
        <v>0.1325652064</v>
      </c>
      <c r="L88" s="18"/>
      <c r="M88" s="8"/>
    </row>
    <row r="89" ht="15.75" customHeight="1">
      <c r="A89" s="9">
        <v>20.0</v>
      </c>
      <c r="B89" s="10" t="s">
        <v>133</v>
      </c>
      <c r="C89" s="11" t="s">
        <v>134</v>
      </c>
      <c r="D89" s="10" t="s">
        <v>17</v>
      </c>
      <c r="E89" s="11" t="s">
        <v>32</v>
      </c>
      <c r="F89" s="13">
        <v>32.26</v>
      </c>
      <c r="G89" s="14">
        <v>44943.0</v>
      </c>
      <c r="H89" s="15">
        <f t="shared" si="1"/>
        <v>17</v>
      </c>
      <c r="I89" s="16">
        <f t="shared" si="2"/>
        <v>1</v>
      </c>
      <c r="J89" s="15">
        <f t="shared" si="3"/>
        <v>2023</v>
      </c>
      <c r="K89" s="16">
        <f>STANDARDIZE(F89,'estatística'!$C$2,'estatística'!$H$2)</f>
        <v>0.3919979742</v>
      </c>
      <c r="L89" s="18"/>
      <c r="M89" s="8"/>
    </row>
    <row r="90" ht="15.75" customHeight="1">
      <c r="A90" s="9">
        <v>14.0</v>
      </c>
      <c r="B90" s="10" t="s">
        <v>143</v>
      </c>
      <c r="C90" s="11" t="s">
        <v>144</v>
      </c>
      <c r="D90" s="10" t="s">
        <v>13</v>
      </c>
      <c r="E90" s="11" t="s">
        <v>77</v>
      </c>
      <c r="F90" s="13">
        <v>11.88</v>
      </c>
      <c r="G90" s="14">
        <v>44943.0</v>
      </c>
      <c r="H90" s="15">
        <f t="shared" si="1"/>
        <v>17</v>
      </c>
      <c r="I90" s="16">
        <f t="shared" si="2"/>
        <v>1</v>
      </c>
      <c r="J90" s="15">
        <f t="shared" si="3"/>
        <v>2023</v>
      </c>
      <c r="K90" s="16">
        <f>STANDARDIZE(F90,'estatística'!$C$2,'estatística'!$H$2)</f>
        <v>0.133957964</v>
      </c>
      <c r="L90" s="18"/>
      <c r="M90" s="8"/>
    </row>
    <row r="91" ht="15.75" customHeight="1">
      <c r="A91" s="9">
        <v>27.0</v>
      </c>
      <c r="B91" s="10" t="s">
        <v>145</v>
      </c>
      <c r="C91" s="11" t="s">
        <v>146</v>
      </c>
      <c r="D91" s="10" t="s">
        <v>17</v>
      </c>
      <c r="E91" s="11" t="s">
        <v>48</v>
      </c>
      <c r="F91" s="13">
        <v>8.9</v>
      </c>
      <c r="G91" s="14">
        <v>44944.0</v>
      </c>
      <c r="H91" s="15">
        <f t="shared" si="1"/>
        <v>18</v>
      </c>
      <c r="I91" s="16">
        <f t="shared" si="2"/>
        <v>1</v>
      </c>
      <c r="J91" s="15">
        <f t="shared" si="3"/>
        <v>2023</v>
      </c>
      <c r="K91" s="16">
        <f>STANDARDIZE(F91,'estatística'!$C$2,'estatística'!$H$2)</f>
        <v>0.09622689288</v>
      </c>
      <c r="L91" s="18"/>
      <c r="M91" s="8"/>
    </row>
    <row r="92" ht="15.75" customHeight="1">
      <c r="A92" s="9">
        <v>50.0</v>
      </c>
      <c r="B92" s="10" t="s">
        <v>19</v>
      </c>
      <c r="C92" s="11" t="s">
        <v>20</v>
      </c>
      <c r="D92" s="10" t="s">
        <v>17</v>
      </c>
      <c r="E92" s="11" t="s">
        <v>27</v>
      </c>
      <c r="F92" s="13">
        <v>18.56</v>
      </c>
      <c r="G92" s="14">
        <v>44944.0</v>
      </c>
      <c r="H92" s="15">
        <f t="shared" si="1"/>
        <v>18</v>
      </c>
      <c r="I92" s="16">
        <f t="shared" si="2"/>
        <v>1</v>
      </c>
      <c r="J92" s="15">
        <f t="shared" si="3"/>
        <v>2023</v>
      </c>
      <c r="K92" s="16">
        <f>STANDARDIZE(F92,'estatística'!$C$2,'estatística'!$H$2)</f>
        <v>0.2185363383</v>
      </c>
      <c r="L92" s="18"/>
      <c r="M92" s="8"/>
    </row>
    <row r="93" ht="15.75" customHeight="1">
      <c r="A93" s="9">
        <v>93.0</v>
      </c>
      <c r="B93" s="10" t="s">
        <v>99</v>
      </c>
      <c r="C93" s="11" t="s">
        <v>100</v>
      </c>
      <c r="D93" s="10" t="s">
        <v>13</v>
      </c>
      <c r="E93" s="11" t="s">
        <v>68</v>
      </c>
      <c r="F93" s="13">
        <v>10.71</v>
      </c>
      <c r="G93" s="14">
        <v>44944.0</v>
      </c>
      <c r="H93" s="15">
        <f t="shared" si="1"/>
        <v>18</v>
      </c>
      <c r="I93" s="16">
        <f t="shared" si="2"/>
        <v>1</v>
      </c>
      <c r="J93" s="15">
        <f t="shared" si="3"/>
        <v>2023</v>
      </c>
      <c r="K93" s="16">
        <f>STANDARDIZE(F93,'estatística'!$C$2,'estatística'!$H$2)</f>
        <v>0.1191440871</v>
      </c>
      <c r="L93" s="18"/>
      <c r="M93" s="8"/>
    </row>
    <row r="94" ht="15.75" customHeight="1">
      <c r="A94" s="9">
        <v>16.0</v>
      </c>
      <c r="B94" s="10" t="s">
        <v>147</v>
      </c>
      <c r="C94" s="11" t="s">
        <v>148</v>
      </c>
      <c r="D94" s="10" t="s">
        <v>13</v>
      </c>
      <c r="E94" s="11" t="s">
        <v>80</v>
      </c>
      <c r="F94" s="13">
        <v>37.73</v>
      </c>
      <c r="G94" s="14">
        <v>44944.0</v>
      </c>
      <c r="H94" s="15">
        <f t="shared" si="1"/>
        <v>18</v>
      </c>
      <c r="I94" s="16">
        <f t="shared" si="2"/>
        <v>1</v>
      </c>
      <c r="J94" s="15">
        <f t="shared" si="3"/>
        <v>2023</v>
      </c>
      <c r="K94" s="16">
        <f>STANDARDIZE(F94,'estatística'!$C$2,'estatística'!$H$2)</f>
        <v>0.4612560142</v>
      </c>
      <c r="L94" s="18"/>
      <c r="M94" s="8"/>
    </row>
    <row r="95" ht="15.75" customHeight="1">
      <c r="A95" s="9">
        <v>42.0</v>
      </c>
      <c r="B95" s="10" t="s">
        <v>60</v>
      </c>
      <c r="C95" s="11" t="s">
        <v>142</v>
      </c>
      <c r="D95" s="10" t="s">
        <v>17</v>
      </c>
      <c r="E95" s="11" t="s">
        <v>107</v>
      </c>
      <c r="F95" s="13">
        <v>30.2</v>
      </c>
      <c r="G95" s="14">
        <v>44944.0</v>
      </c>
      <c r="H95" s="15">
        <f t="shared" si="1"/>
        <v>18</v>
      </c>
      <c r="I95" s="16">
        <f t="shared" si="2"/>
        <v>1</v>
      </c>
      <c r="J95" s="15">
        <f t="shared" si="3"/>
        <v>2023</v>
      </c>
      <c r="K95" s="16">
        <f>STANDARDIZE(F95,'estatística'!$C$2,'estatística'!$H$2)</f>
        <v>0.3659154216</v>
      </c>
      <c r="L95" s="18"/>
      <c r="M95" s="8"/>
    </row>
    <row r="96" ht="15.75" customHeight="1">
      <c r="A96" s="9">
        <v>54.0</v>
      </c>
      <c r="B96" s="10" t="s">
        <v>55</v>
      </c>
      <c r="C96" s="11" t="s">
        <v>56</v>
      </c>
      <c r="D96" s="10" t="s">
        <v>17</v>
      </c>
      <c r="E96" s="11" t="s">
        <v>91</v>
      </c>
      <c r="F96" s="13">
        <v>3.26</v>
      </c>
      <c r="G96" s="14">
        <v>44945.0</v>
      </c>
      <c r="H96" s="15">
        <f t="shared" si="1"/>
        <v>19</v>
      </c>
      <c r="I96" s="16">
        <f t="shared" si="2"/>
        <v>1</v>
      </c>
      <c r="J96" s="15">
        <f t="shared" si="3"/>
        <v>2023</v>
      </c>
      <c r="K96" s="16">
        <f>STANDARDIZE(F96,'estatística'!$C$2,'estatística'!$H$2)</f>
        <v>0.02481640922</v>
      </c>
      <c r="L96" s="18"/>
      <c r="M96" s="8"/>
    </row>
    <row r="97" ht="15.75" customHeight="1">
      <c r="A97" s="9">
        <v>34.0</v>
      </c>
      <c r="B97" s="10" t="s">
        <v>149</v>
      </c>
      <c r="C97" s="11" t="s">
        <v>150</v>
      </c>
      <c r="D97" s="10" t="s">
        <v>13</v>
      </c>
      <c r="E97" s="11" t="s">
        <v>18</v>
      </c>
      <c r="F97" s="13">
        <v>53.44</v>
      </c>
      <c r="G97" s="14">
        <v>44945.0</v>
      </c>
      <c r="H97" s="15">
        <f t="shared" si="1"/>
        <v>19</v>
      </c>
      <c r="I97" s="16">
        <f t="shared" si="2"/>
        <v>1</v>
      </c>
      <c r="J97" s="15">
        <f t="shared" si="3"/>
        <v>2023</v>
      </c>
      <c r="K97" s="16">
        <f>STANDARDIZE(F97,'estatística'!$C$2,'estatística'!$H$2)</f>
        <v>0.6601671309</v>
      </c>
      <c r="L97" s="18"/>
      <c r="M97" s="8"/>
    </row>
    <row r="98" ht="15.75" customHeight="1">
      <c r="A98" s="9">
        <v>49.0</v>
      </c>
      <c r="B98" s="10" t="s">
        <v>151</v>
      </c>
      <c r="C98" s="11" t="s">
        <v>152</v>
      </c>
      <c r="D98" s="10" t="s">
        <v>17</v>
      </c>
      <c r="E98" s="11" t="s">
        <v>91</v>
      </c>
      <c r="F98" s="13">
        <v>3.84</v>
      </c>
      <c r="G98" s="14">
        <v>44945.0</v>
      </c>
      <c r="H98" s="15">
        <f t="shared" si="1"/>
        <v>19</v>
      </c>
      <c r="I98" s="16">
        <f t="shared" si="2"/>
        <v>1</v>
      </c>
      <c r="J98" s="15">
        <f t="shared" si="3"/>
        <v>2023</v>
      </c>
      <c r="K98" s="16">
        <f>STANDARDIZE(F98,'estatística'!$C$2,'estatística'!$H$2)</f>
        <v>0.03216004052</v>
      </c>
      <c r="L98" s="18"/>
      <c r="M98" s="8"/>
    </row>
    <row r="99" ht="15.75" customHeight="1">
      <c r="A99" s="9">
        <v>69.0</v>
      </c>
      <c r="B99" s="10" t="s">
        <v>75</v>
      </c>
      <c r="C99" s="11" t="s">
        <v>117</v>
      </c>
      <c r="D99" s="10" t="s">
        <v>13</v>
      </c>
      <c r="E99" s="11" t="s">
        <v>62</v>
      </c>
      <c r="F99" s="13">
        <v>11.52</v>
      </c>
      <c r="G99" s="14">
        <v>44946.0</v>
      </c>
      <c r="H99" s="15">
        <f t="shared" si="1"/>
        <v>20</v>
      </c>
      <c r="I99" s="16">
        <f t="shared" si="2"/>
        <v>1</v>
      </c>
      <c r="J99" s="15">
        <f t="shared" si="3"/>
        <v>2023</v>
      </c>
      <c r="K99" s="16">
        <f>STANDARDIZE(F99,'estatística'!$C$2,'estatística'!$H$2)</f>
        <v>0.1293998481</v>
      </c>
      <c r="L99" s="18"/>
      <c r="M99" s="8"/>
    </row>
    <row r="100" ht="15.75" customHeight="1">
      <c r="A100" s="9">
        <v>83.0</v>
      </c>
      <c r="B100" s="10" t="s">
        <v>66</v>
      </c>
      <c r="C100" s="11" t="s">
        <v>67</v>
      </c>
      <c r="D100" s="10" t="s">
        <v>17</v>
      </c>
      <c r="E100" s="11" t="s">
        <v>14</v>
      </c>
      <c r="F100" s="13">
        <v>10.6</v>
      </c>
      <c r="G100" s="14">
        <v>44946.0</v>
      </c>
      <c r="H100" s="15">
        <f t="shared" si="1"/>
        <v>20</v>
      </c>
      <c r="I100" s="16">
        <f t="shared" si="2"/>
        <v>1</v>
      </c>
      <c r="J100" s="15">
        <f t="shared" si="3"/>
        <v>2023</v>
      </c>
      <c r="K100" s="16">
        <f>STANDARDIZE(F100,'estatística'!$C$2,'estatística'!$H$2)</f>
        <v>0.1177513295</v>
      </c>
      <c r="L100" s="18"/>
      <c r="M100" s="8"/>
    </row>
    <row r="101" ht="15.75" customHeight="1">
      <c r="A101" s="9">
        <v>61.0</v>
      </c>
      <c r="B101" s="10" t="s">
        <v>73</v>
      </c>
      <c r="C101" s="11" t="s">
        <v>74</v>
      </c>
      <c r="D101" s="10" t="s">
        <v>13</v>
      </c>
      <c r="E101" s="11" t="s">
        <v>18</v>
      </c>
      <c r="F101" s="13">
        <v>44.79</v>
      </c>
      <c r="G101" s="14">
        <v>44946.0</v>
      </c>
      <c r="H101" s="15">
        <f t="shared" si="1"/>
        <v>20</v>
      </c>
      <c r="I101" s="16">
        <f t="shared" si="2"/>
        <v>1</v>
      </c>
      <c r="J101" s="15">
        <f t="shared" si="3"/>
        <v>2023</v>
      </c>
      <c r="K101" s="16">
        <f>STANDARDIZE(F101,'estatística'!$C$2,'estatística'!$H$2)</f>
        <v>0.5506457331</v>
      </c>
      <c r="L101" s="18"/>
    </row>
    <row r="102" ht="15.75" customHeight="1">
      <c r="A102" s="9">
        <v>2.0</v>
      </c>
      <c r="B102" s="10" t="s">
        <v>53</v>
      </c>
      <c r="C102" s="11" t="s">
        <v>54</v>
      </c>
      <c r="D102" s="10" t="s">
        <v>13</v>
      </c>
      <c r="E102" s="11" t="s">
        <v>68</v>
      </c>
      <c r="F102" s="13">
        <v>11.45</v>
      </c>
      <c r="G102" s="14">
        <v>44946.0</v>
      </c>
      <c r="H102" s="15">
        <f t="shared" si="1"/>
        <v>20</v>
      </c>
      <c r="I102" s="16">
        <f t="shared" si="2"/>
        <v>1</v>
      </c>
      <c r="J102" s="15">
        <f t="shared" si="3"/>
        <v>2023</v>
      </c>
      <c r="K102" s="16">
        <f>STANDARDIZE(F102,'estatística'!$C$2,'estatística'!$H$2)</f>
        <v>0.1285135477</v>
      </c>
    </row>
    <row r="103" ht="15.75" customHeight="1">
      <c r="A103" s="9">
        <v>36.0</v>
      </c>
      <c r="B103" s="10" t="s">
        <v>60</v>
      </c>
      <c r="C103" s="11" t="s">
        <v>61</v>
      </c>
      <c r="D103" s="10" t="s">
        <v>17</v>
      </c>
      <c r="E103" s="11" t="s">
        <v>77</v>
      </c>
      <c r="F103" s="13">
        <v>14.58</v>
      </c>
      <c r="G103" s="14">
        <v>44946.0</v>
      </c>
      <c r="H103" s="15">
        <f t="shared" si="1"/>
        <v>20</v>
      </c>
      <c r="I103" s="16">
        <f t="shared" si="2"/>
        <v>1</v>
      </c>
      <c r="J103" s="15">
        <f t="shared" si="3"/>
        <v>2023</v>
      </c>
      <c r="K103" s="16">
        <f>STANDARDIZE(F103,'estatística'!$C$2,'estatística'!$H$2)</f>
        <v>0.1681438339</v>
      </c>
    </row>
    <row r="104" ht="15.75" customHeight="1">
      <c r="A104" s="9">
        <v>80.0</v>
      </c>
      <c r="B104" s="10" t="s">
        <v>22</v>
      </c>
      <c r="C104" s="11" t="s">
        <v>23</v>
      </c>
      <c r="D104" s="10" t="s">
        <v>13</v>
      </c>
      <c r="E104" s="11" t="s">
        <v>33</v>
      </c>
      <c r="F104" s="13">
        <v>47.9</v>
      </c>
      <c r="G104" s="14">
        <v>44946.0</v>
      </c>
      <c r="H104" s="15">
        <f t="shared" si="1"/>
        <v>20</v>
      </c>
      <c r="I104" s="16">
        <f t="shared" si="2"/>
        <v>1</v>
      </c>
      <c r="J104" s="15">
        <f t="shared" si="3"/>
        <v>2023</v>
      </c>
      <c r="K104" s="16">
        <f>STANDARDIZE(F104,'estatística'!$C$2,'estatística'!$H$2)</f>
        <v>0.5900227906</v>
      </c>
    </row>
    <row r="105" ht="15.75" customHeight="1">
      <c r="A105" s="9">
        <v>3.0</v>
      </c>
      <c r="B105" s="10" t="s">
        <v>51</v>
      </c>
      <c r="C105" s="11" t="s">
        <v>52</v>
      </c>
      <c r="D105" s="10" t="s">
        <v>17</v>
      </c>
      <c r="E105" s="11" t="s">
        <v>57</v>
      </c>
      <c r="F105" s="13">
        <v>21.59</v>
      </c>
      <c r="G105" s="14">
        <v>44946.0</v>
      </c>
      <c r="H105" s="15">
        <f t="shared" si="1"/>
        <v>20</v>
      </c>
      <c r="I105" s="16">
        <f t="shared" si="2"/>
        <v>1</v>
      </c>
      <c r="J105" s="15">
        <f t="shared" si="3"/>
        <v>2023</v>
      </c>
      <c r="K105" s="16">
        <f>STANDARDIZE(F105,'estatística'!$C$2,'estatística'!$H$2)</f>
        <v>0.2569004811</v>
      </c>
    </row>
    <row r="106" ht="15.75" customHeight="1">
      <c r="A106" s="9">
        <v>52.0</v>
      </c>
      <c r="B106" s="10" t="s">
        <v>153</v>
      </c>
      <c r="C106" s="11" t="s">
        <v>154</v>
      </c>
      <c r="D106" s="10" t="s">
        <v>17</v>
      </c>
      <c r="E106" s="11" t="s">
        <v>39</v>
      </c>
      <c r="F106" s="13">
        <v>53.3</v>
      </c>
      <c r="G106" s="14">
        <v>44946.0</v>
      </c>
      <c r="H106" s="15">
        <f t="shared" si="1"/>
        <v>20</v>
      </c>
      <c r="I106" s="16">
        <f t="shared" si="2"/>
        <v>1</v>
      </c>
      <c r="J106" s="15">
        <f t="shared" si="3"/>
        <v>2023</v>
      </c>
      <c r="K106" s="16">
        <f>STANDARDIZE(F106,'estatística'!$C$2,'estatística'!$H$2)</f>
        <v>0.6583945303</v>
      </c>
    </row>
    <row r="107" ht="15.75" customHeight="1">
      <c r="A107" s="9">
        <v>16.0</v>
      </c>
      <c r="B107" s="10" t="s">
        <v>147</v>
      </c>
      <c r="C107" s="11" t="s">
        <v>148</v>
      </c>
      <c r="D107" s="10" t="s">
        <v>13</v>
      </c>
      <c r="E107" s="11" t="s">
        <v>62</v>
      </c>
      <c r="F107" s="13">
        <v>12.59</v>
      </c>
      <c r="G107" s="14">
        <v>44946.0</v>
      </c>
      <c r="H107" s="15">
        <f t="shared" si="1"/>
        <v>20</v>
      </c>
      <c r="I107" s="16">
        <f t="shared" si="2"/>
        <v>1</v>
      </c>
      <c r="J107" s="15">
        <f t="shared" si="3"/>
        <v>2023</v>
      </c>
      <c r="K107" s="16">
        <f>STANDARDIZE(F107,'estatística'!$C$2,'estatística'!$H$2)</f>
        <v>0.1429475817</v>
      </c>
    </row>
    <row r="108" ht="15.75" customHeight="1">
      <c r="A108" s="9">
        <v>62.0</v>
      </c>
      <c r="B108" s="10" t="s">
        <v>128</v>
      </c>
      <c r="C108" s="11" t="s">
        <v>129</v>
      </c>
      <c r="D108" s="10" t="s">
        <v>17</v>
      </c>
      <c r="E108" s="11" t="s">
        <v>57</v>
      </c>
      <c r="F108" s="13">
        <v>24.87</v>
      </c>
      <c r="G108" s="14">
        <v>44946.0</v>
      </c>
      <c r="H108" s="15">
        <f t="shared" si="1"/>
        <v>20</v>
      </c>
      <c r="I108" s="16">
        <f t="shared" si="2"/>
        <v>1</v>
      </c>
      <c r="J108" s="15">
        <f t="shared" si="3"/>
        <v>2023</v>
      </c>
      <c r="K108" s="16">
        <f>STANDARDIZE(F108,'estatística'!$C$2,'estatística'!$H$2)</f>
        <v>0.2984299823</v>
      </c>
    </row>
    <row r="109" ht="15.75" customHeight="1">
      <c r="A109" s="9">
        <v>6.0</v>
      </c>
      <c r="B109" s="10" t="s">
        <v>155</v>
      </c>
      <c r="C109" s="11" t="s">
        <v>156</v>
      </c>
      <c r="D109" s="10" t="s">
        <v>17</v>
      </c>
      <c r="E109" s="11" t="s">
        <v>91</v>
      </c>
      <c r="F109" s="13">
        <v>2.95</v>
      </c>
      <c r="G109" s="14">
        <v>44947.0</v>
      </c>
      <c r="H109" s="15">
        <f t="shared" si="1"/>
        <v>21</v>
      </c>
      <c r="I109" s="16">
        <f t="shared" si="2"/>
        <v>1</v>
      </c>
      <c r="J109" s="15">
        <f t="shared" si="3"/>
        <v>2023</v>
      </c>
      <c r="K109" s="16">
        <f>STANDARDIZE(F109,'estatística'!$C$2,'estatística'!$H$2)</f>
        <v>0.0208913649</v>
      </c>
    </row>
    <row r="110" ht="15.75" customHeight="1">
      <c r="A110" s="9">
        <v>95.0</v>
      </c>
      <c r="B110" s="10" t="s">
        <v>78</v>
      </c>
      <c r="C110" s="11" t="s">
        <v>79</v>
      </c>
      <c r="D110" s="10" t="s">
        <v>13</v>
      </c>
      <c r="E110" s="11" t="s">
        <v>33</v>
      </c>
      <c r="F110" s="13">
        <v>47.17</v>
      </c>
      <c r="G110" s="14">
        <v>44947.0</v>
      </c>
      <c r="H110" s="15">
        <f t="shared" si="1"/>
        <v>21</v>
      </c>
      <c r="I110" s="16">
        <f t="shared" si="2"/>
        <v>1</v>
      </c>
      <c r="J110" s="15">
        <f t="shared" si="3"/>
        <v>2023</v>
      </c>
      <c r="K110" s="16">
        <f>STANDARDIZE(F110,'estatística'!$C$2,'estatística'!$H$2)</f>
        <v>0.5807799443</v>
      </c>
    </row>
    <row r="111" ht="15.75" customHeight="1">
      <c r="A111" s="9">
        <v>40.0</v>
      </c>
      <c r="B111" s="10" t="s">
        <v>92</v>
      </c>
      <c r="C111" s="11" t="s">
        <v>157</v>
      </c>
      <c r="D111" s="10" t="s">
        <v>17</v>
      </c>
      <c r="E111" s="11" t="s">
        <v>48</v>
      </c>
      <c r="F111" s="13">
        <v>7.56</v>
      </c>
      <c r="G111" s="14">
        <v>44947.0</v>
      </c>
      <c r="H111" s="15">
        <f t="shared" si="1"/>
        <v>21</v>
      </c>
      <c r="I111" s="16">
        <f t="shared" si="2"/>
        <v>1</v>
      </c>
      <c r="J111" s="15">
        <f t="shared" si="3"/>
        <v>2023</v>
      </c>
      <c r="K111" s="16">
        <f>STANDARDIZE(F111,'estatística'!$C$2,'estatística'!$H$2)</f>
        <v>0.0792605723</v>
      </c>
    </row>
    <row r="112" ht="15.75" customHeight="1">
      <c r="A112" s="9">
        <v>71.0</v>
      </c>
      <c r="B112" s="10" t="s">
        <v>122</v>
      </c>
      <c r="C112" s="11" t="s">
        <v>123</v>
      </c>
      <c r="D112" s="10" t="s">
        <v>13</v>
      </c>
      <c r="E112" s="11" t="s">
        <v>48</v>
      </c>
      <c r="F112" s="13">
        <v>19.36</v>
      </c>
      <c r="G112" s="14">
        <v>44948.0</v>
      </c>
      <c r="H112" s="15">
        <f t="shared" si="1"/>
        <v>22</v>
      </c>
      <c r="I112" s="16">
        <f t="shared" si="2"/>
        <v>1</v>
      </c>
      <c r="J112" s="15">
        <f t="shared" si="3"/>
        <v>2023</v>
      </c>
      <c r="K112" s="16">
        <f>STANDARDIZE(F112,'estatística'!$C$2,'estatística'!$H$2)</f>
        <v>0.2286654849</v>
      </c>
    </row>
    <row r="113" ht="15.75" customHeight="1">
      <c r="A113" s="9">
        <v>21.0</v>
      </c>
      <c r="B113" s="10" t="s">
        <v>158</v>
      </c>
      <c r="C113" s="11" t="s">
        <v>159</v>
      </c>
      <c r="D113" s="10" t="s">
        <v>17</v>
      </c>
      <c r="E113" s="11" t="s">
        <v>29</v>
      </c>
      <c r="F113" s="13">
        <v>12.21</v>
      </c>
      <c r="G113" s="14">
        <v>44948.0</v>
      </c>
      <c r="H113" s="15">
        <f t="shared" si="1"/>
        <v>22</v>
      </c>
      <c r="I113" s="16">
        <f t="shared" si="2"/>
        <v>1</v>
      </c>
      <c r="J113" s="15">
        <f t="shared" si="3"/>
        <v>2023</v>
      </c>
      <c r="K113" s="16">
        <f>STANDARDIZE(F113,'estatística'!$C$2,'estatística'!$H$2)</f>
        <v>0.138136237</v>
      </c>
    </row>
    <row r="114" ht="15.75" customHeight="1">
      <c r="A114" s="9">
        <v>12.0</v>
      </c>
      <c r="B114" s="10" t="s">
        <v>160</v>
      </c>
      <c r="C114" s="11" t="s">
        <v>161</v>
      </c>
      <c r="D114" s="10" t="s">
        <v>13</v>
      </c>
      <c r="E114" s="11" t="s">
        <v>62</v>
      </c>
      <c r="F114" s="13">
        <v>11.74</v>
      </c>
      <c r="G114" s="14">
        <v>44948.0</v>
      </c>
      <c r="H114" s="15">
        <f t="shared" si="1"/>
        <v>22</v>
      </c>
      <c r="I114" s="16">
        <f t="shared" si="2"/>
        <v>1</v>
      </c>
      <c r="J114" s="15">
        <f t="shared" si="3"/>
        <v>2023</v>
      </c>
      <c r="K114" s="16">
        <f>STANDARDIZE(F114,'estatística'!$C$2,'estatística'!$H$2)</f>
        <v>0.1321853634</v>
      </c>
    </row>
    <row r="115" ht="15.75" customHeight="1">
      <c r="A115" s="9">
        <v>16.0</v>
      </c>
      <c r="B115" s="10" t="s">
        <v>147</v>
      </c>
      <c r="C115" s="11" t="s">
        <v>148</v>
      </c>
      <c r="D115" s="10" t="s">
        <v>17</v>
      </c>
      <c r="E115" s="11" t="s">
        <v>18</v>
      </c>
      <c r="F115" s="13">
        <v>55.75</v>
      </c>
      <c r="G115" s="14">
        <v>44948.0</v>
      </c>
      <c r="H115" s="15">
        <f t="shared" si="1"/>
        <v>22</v>
      </c>
      <c r="I115" s="16">
        <f t="shared" si="2"/>
        <v>1</v>
      </c>
      <c r="J115" s="15">
        <f t="shared" si="3"/>
        <v>2023</v>
      </c>
      <c r="K115" s="16">
        <f>STANDARDIZE(F115,'estatística'!$C$2,'estatística'!$H$2)</f>
        <v>0.6894150418</v>
      </c>
    </row>
    <row r="116" ht="15.75" customHeight="1">
      <c r="A116" s="9">
        <v>24.0</v>
      </c>
      <c r="B116" s="10" t="s">
        <v>110</v>
      </c>
      <c r="C116" s="11" t="s">
        <v>111</v>
      </c>
      <c r="D116" s="10" t="s">
        <v>13</v>
      </c>
      <c r="E116" s="11" t="s">
        <v>21</v>
      </c>
      <c r="F116" s="13">
        <v>12.68</v>
      </c>
      <c r="G116" s="14">
        <v>44948.0</v>
      </c>
      <c r="H116" s="15">
        <f t="shared" si="1"/>
        <v>22</v>
      </c>
      <c r="I116" s="16">
        <f t="shared" si="2"/>
        <v>1</v>
      </c>
      <c r="J116" s="15">
        <f t="shared" si="3"/>
        <v>2023</v>
      </c>
      <c r="K116" s="16">
        <f>STANDARDIZE(F116,'estatística'!$C$2,'estatística'!$H$2)</f>
        <v>0.1440871107</v>
      </c>
    </row>
    <row r="117" ht="15.75" customHeight="1">
      <c r="A117" s="9">
        <v>57.0</v>
      </c>
      <c r="B117" s="10" t="s">
        <v>60</v>
      </c>
      <c r="C117" s="11" t="s">
        <v>162</v>
      </c>
      <c r="D117" s="10" t="s">
        <v>17</v>
      </c>
      <c r="E117" s="11" t="s">
        <v>36</v>
      </c>
      <c r="F117" s="13">
        <v>75.0</v>
      </c>
      <c r="G117" s="14">
        <v>44948.0</v>
      </c>
      <c r="H117" s="15">
        <f t="shared" si="1"/>
        <v>22</v>
      </c>
      <c r="I117" s="16">
        <f t="shared" si="2"/>
        <v>1</v>
      </c>
      <c r="J117" s="15">
        <f t="shared" si="3"/>
        <v>2023</v>
      </c>
      <c r="K117" s="16">
        <f>STANDARDIZE(F117,'estatística'!$C$2,'estatística'!$H$2)</f>
        <v>0.9331476323</v>
      </c>
    </row>
    <row r="118" ht="15.75" customHeight="1">
      <c r="A118" s="9">
        <v>66.0</v>
      </c>
      <c r="B118" s="10" t="s">
        <v>122</v>
      </c>
      <c r="C118" s="11" t="s">
        <v>130</v>
      </c>
      <c r="D118" s="10" t="s">
        <v>17</v>
      </c>
      <c r="E118" s="11" t="s">
        <v>39</v>
      </c>
      <c r="F118" s="13">
        <v>41.3</v>
      </c>
      <c r="G118" s="14">
        <v>44949.0</v>
      </c>
      <c r="H118" s="15">
        <f t="shared" si="1"/>
        <v>23</v>
      </c>
      <c r="I118" s="16">
        <f t="shared" si="2"/>
        <v>1</v>
      </c>
      <c r="J118" s="15">
        <f t="shared" si="3"/>
        <v>2023</v>
      </c>
      <c r="K118" s="16">
        <f>STANDARDIZE(F118,'estatística'!$C$2,'estatística'!$H$2)</f>
        <v>0.506457331</v>
      </c>
    </row>
    <row r="119" ht="15.75" customHeight="1">
      <c r="A119" s="9">
        <v>33.0</v>
      </c>
      <c r="B119" s="10" t="s">
        <v>163</v>
      </c>
      <c r="C119" s="11" t="s">
        <v>164</v>
      </c>
      <c r="D119" s="10" t="s">
        <v>17</v>
      </c>
      <c r="E119" s="11" t="s">
        <v>32</v>
      </c>
      <c r="F119" s="13">
        <v>21.42</v>
      </c>
      <c r="G119" s="14">
        <v>44949.0</v>
      </c>
      <c r="H119" s="15">
        <f t="shared" si="1"/>
        <v>23</v>
      </c>
      <c r="I119" s="16">
        <f t="shared" si="2"/>
        <v>1</v>
      </c>
      <c r="J119" s="15">
        <f t="shared" si="3"/>
        <v>2023</v>
      </c>
      <c r="K119" s="16">
        <f>STANDARDIZE(F119,'estatística'!$C$2,'estatística'!$H$2)</f>
        <v>0.2547480375</v>
      </c>
    </row>
    <row r="120" ht="15.75" customHeight="1">
      <c r="A120" s="9">
        <v>15.0</v>
      </c>
      <c r="B120" s="10" t="s">
        <v>37</v>
      </c>
      <c r="C120" s="11" t="s">
        <v>38</v>
      </c>
      <c r="D120" s="10" t="s">
        <v>17</v>
      </c>
      <c r="E120" s="11" t="s">
        <v>80</v>
      </c>
      <c r="F120" s="13">
        <v>32.06</v>
      </c>
      <c r="G120" s="14">
        <v>44949.0</v>
      </c>
      <c r="H120" s="15">
        <f t="shared" si="1"/>
        <v>23</v>
      </c>
      <c r="I120" s="16">
        <f t="shared" si="2"/>
        <v>1</v>
      </c>
      <c r="J120" s="15">
        <f t="shared" si="3"/>
        <v>2023</v>
      </c>
      <c r="K120" s="16">
        <f>STANDARDIZE(F120,'estatística'!$C$2,'estatística'!$H$2)</f>
        <v>0.3894656875</v>
      </c>
    </row>
    <row r="121" ht="15.75" customHeight="1">
      <c r="A121" s="9">
        <v>19.0</v>
      </c>
      <c r="B121" s="10" t="s">
        <v>25</v>
      </c>
      <c r="C121" s="11" t="s">
        <v>165</v>
      </c>
      <c r="D121" s="10" t="s">
        <v>13</v>
      </c>
      <c r="E121" s="11" t="s">
        <v>65</v>
      </c>
      <c r="F121" s="13">
        <v>35.35</v>
      </c>
      <c r="G121" s="14">
        <v>44949.0</v>
      </c>
      <c r="H121" s="15">
        <f t="shared" si="1"/>
        <v>23</v>
      </c>
      <c r="I121" s="16">
        <f t="shared" si="2"/>
        <v>1</v>
      </c>
      <c r="J121" s="15">
        <f t="shared" si="3"/>
        <v>2023</v>
      </c>
      <c r="K121" s="16">
        <f>STANDARDIZE(F121,'estatística'!$C$2,'estatística'!$H$2)</f>
        <v>0.431121803</v>
      </c>
    </row>
    <row r="122" ht="15.75" customHeight="1">
      <c r="A122" s="9">
        <v>71.0</v>
      </c>
      <c r="B122" s="10" t="s">
        <v>122</v>
      </c>
      <c r="C122" s="11" t="s">
        <v>123</v>
      </c>
      <c r="D122" s="10" t="s">
        <v>17</v>
      </c>
      <c r="E122" s="11" t="s">
        <v>107</v>
      </c>
      <c r="F122" s="13">
        <v>30.41</v>
      </c>
      <c r="G122" s="14">
        <v>44949.0</v>
      </c>
      <c r="H122" s="15">
        <f t="shared" si="1"/>
        <v>23</v>
      </c>
      <c r="I122" s="16">
        <f t="shared" si="2"/>
        <v>1</v>
      </c>
      <c r="J122" s="15">
        <f t="shared" si="3"/>
        <v>2023</v>
      </c>
      <c r="K122" s="16">
        <f>STANDARDIZE(F122,'estatística'!$C$2,'estatística'!$H$2)</f>
        <v>0.3685743226</v>
      </c>
    </row>
    <row r="123" ht="15.75" customHeight="1">
      <c r="A123" s="9">
        <v>91.0</v>
      </c>
      <c r="B123" s="10" t="s">
        <v>81</v>
      </c>
      <c r="C123" s="11" t="s">
        <v>82</v>
      </c>
      <c r="D123" s="10" t="s">
        <v>13</v>
      </c>
      <c r="E123" s="11" t="s">
        <v>21</v>
      </c>
      <c r="F123" s="13">
        <v>15.02</v>
      </c>
      <c r="G123" s="14">
        <v>44949.0</v>
      </c>
      <c r="H123" s="15">
        <f t="shared" si="1"/>
        <v>23</v>
      </c>
      <c r="I123" s="16">
        <f t="shared" si="2"/>
        <v>1</v>
      </c>
      <c r="J123" s="15">
        <f t="shared" si="3"/>
        <v>2023</v>
      </c>
      <c r="K123" s="16">
        <f>STANDARDIZE(F123,'estatística'!$C$2,'estatística'!$H$2)</f>
        <v>0.1737148645</v>
      </c>
    </row>
    <row r="124" ht="15.75" customHeight="1">
      <c r="A124" s="9">
        <v>5.0</v>
      </c>
      <c r="B124" s="10" t="s">
        <v>139</v>
      </c>
      <c r="C124" s="11" t="s">
        <v>140</v>
      </c>
      <c r="D124" s="10" t="s">
        <v>13</v>
      </c>
      <c r="E124" s="11" t="s">
        <v>68</v>
      </c>
      <c r="F124" s="13">
        <v>13.27</v>
      </c>
      <c r="G124" s="14">
        <v>44949.0</v>
      </c>
      <c r="H124" s="15">
        <f t="shared" si="1"/>
        <v>23</v>
      </c>
      <c r="I124" s="16">
        <f t="shared" si="2"/>
        <v>1</v>
      </c>
      <c r="J124" s="15">
        <f t="shared" si="3"/>
        <v>2023</v>
      </c>
      <c r="K124" s="16">
        <f>STANDARDIZE(F124,'estatística'!$C$2,'estatística'!$H$2)</f>
        <v>0.1515573563</v>
      </c>
    </row>
    <row r="125" ht="15.75" customHeight="1">
      <c r="A125" s="9">
        <v>1.0</v>
      </c>
      <c r="B125" s="10" t="s">
        <v>166</v>
      </c>
      <c r="C125" s="11" t="s">
        <v>167</v>
      </c>
      <c r="D125" s="10" t="s">
        <v>17</v>
      </c>
      <c r="E125" s="11" t="s">
        <v>33</v>
      </c>
      <c r="F125" s="13">
        <v>65.02</v>
      </c>
      <c r="G125" s="14">
        <v>44949.0</v>
      </c>
      <c r="H125" s="15">
        <f t="shared" si="1"/>
        <v>23</v>
      </c>
      <c r="I125" s="16">
        <f t="shared" si="2"/>
        <v>1</v>
      </c>
      <c r="J125" s="15">
        <f t="shared" si="3"/>
        <v>2023</v>
      </c>
      <c r="K125" s="16">
        <f>STANDARDIZE(F125,'estatística'!$C$2,'estatística'!$H$2)</f>
        <v>0.8067865282</v>
      </c>
    </row>
    <row r="126" ht="15.75" customHeight="1">
      <c r="A126" s="9">
        <v>93.0</v>
      </c>
      <c r="B126" s="10" t="s">
        <v>99</v>
      </c>
      <c r="C126" s="11" t="s">
        <v>100</v>
      </c>
      <c r="D126" s="10" t="s">
        <v>13</v>
      </c>
      <c r="E126" s="11" t="s">
        <v>116</v>
      </c>
      <c r="F126" s="13">
        <v>3.38</v>
      </c>
      <c r="G126" s="14">
        <v>44949.0</v>
      </c>
      <c r="H126" s="15">
        <f t="shared" si="1"/>
        <v>23</v>
      </c>
      <c r="I126" s="16">
        <f t="shared" si="2"/>
        <v>1</v>
      </c>
      <c r="J126" s="15">
        <f t="shared" si="3"/>
        <v>2023</v>
      </c>
      <c r="K126" s="16">
        <f>STANDARDIZE(F126,'estatística'!$C$2,'estatística'!$H$2)</f>
        <v>0.02633578121</v>
      </c>
    </row>
    <row r="127" ht="15.75" customHeight="1">
      <c r="A127" s="9">
        <v>98.0</v>
      </c>
      <c r="B127" s="10" t="s">
        <v>131</v>
      </c>
      <c r="C127" s="11" t="s">
        <v>168</v>
      </c>
      <c r="D127" s="10" t="s">
        <v>17</v>
      </c>
      <c r="E127" s="11" t="s">
        <v>77</v>
      </c>
      <c r="F127" s="13">
        <v>12.57</v>
      </c>
      <c r="G127" s="14">
        <v>44949.0</v>
      </c>
      <c r="H127" s="15">
        <f t="shared" si="1"/>
        <v>23</v>
      </c>
      <c r="I127" s="16">
        <f t="shared" si="2"/>
        <v>1</v>
      </c>
      <c r="J127" s="15">
        <f t="shared" si="3"/>
        <v>2023</v>
      </c>
      <c r="K127" s="16">
        <f>STANDARDIZE(F127,'estatística'!$C$2,'estatística'!$H$2)</f>
        <v>0.142694353</v>
      </c>
    </row>
    <row r="128" ht="15.75" customHeight="1">
      <c r="A128" s="9">
        <v>92.0</v>
      </c>
      <c r="B128" s="10" t="s">
        <v>81</v>
      </c>
      <c r="C128" s="11" t="s">
        <v>169</v>
      </c>
      <c r="D128" s="10" t="s">
        <v>17</v>
      </c>
      <c r="E128" s="11" t="s">
        <v>24</v>
      </c>
      <c r="F128" s="13">
        <v>42.85</v>
      </c>
      <c r="G128" s="14">
        <v>44950.0</v>
      </c>
      <c r="H128" s="15">
        <f t="shared" si="1"/>
        <v>24</v>
      </c>
      <c r="I128" s="16">
        <f t="shared" si="2"/>
        <v>1</v>
      </c>
      <c r="J128" s="15">
        <f t="shared" si="3"/>
        <v>2023</v>
      </c>
      <c r="K128" s="16">
        <f>STANDARDIZE(F128,'estatística'!$C$2,'estatística'!$H$2)</f>
        <v>0.5260825525</v>
      </c>
    </row>
    <row r="129" ht="15.75" customHeight="1">
      <c r="A129" s="9">
        <v>38.0</v>
      </c>
      <c r="B129" s="10" t="s">
        <v>85</v>
      </c>
      <c r="C129" s="11" t="s">
        <v>86</v>
      </c>
      <c r="D129" s="10" t="s">
        <v>13</v>
      </c>
      <c r="E129" s="11" t="s">
        <v>27</v>
      </c>
      <c r="F129" s="13">
        <v>16.56</v>
      </c>
      <c r="G129" s="14">
        <v>44950.0</v>
      </c>
      <c r="H129" s="15">
        <f t="shared" si="1"/>
        <v>24</v>
      </c>
      <c r="I129" s="16">
        <f t="shared" si="2"/>
        <v>1</v>
      </c>
      <c r="J129" s="15">
        <f t="shared" si="3"/>
        <v>2023</v>
      </c>
      <c r="K129" s="16">
        <f>STANDARDIZE(F129,'estatística'!$C$2,'estatística'!$H$2)</f>
        <v>0.1932134718</v>
      </c>
    </row>
    <row r="130" ht="15.75" customHeight="1">
      <c r="A130" s="9">
        <v>96.0</v>
      </c>
      <c r="B130" s="10" t="s">
        <v>135</v>
      </c>
      <c r="C130" s="11" t="s">
        <v>136</v>
      </c>
      <c r="D130" s="10" t="s">
        <v>17</v>
      </c>
      <c r="E130" s="11" t="s">
        <v>29</v>
      </c>
      <c r="F130" s="13">
        <v>13.48</v>
      </c>
      <c r="G130" s="14">
        <v>44950.0</v>
      </c>
      <c r="H130" s="15">
        <f t="shared" si="1"/>
        <v>24</v>
      </c>
      <c r="I130" s="16">
        <f t="shared" si="2"/>
        <v>1</v>
      </c>
      <c r="J130" s="15">
        <f t="shared" si="3"/>
        <v>2023</v>
      </c>
      <c r="K130" s="16">
        <f>STANDARDIZE(F130,'estatística'!$C$2,'estatística'!$H$2)</f>
        <v>0.1542162573</v>
      </c>
    </row>
    <row r="131" ht="15.75" customHeight="1">
      <c r="A131" s="9">
        <v>1.0</v>
      </c>
      <c r="B131" s="10" t="s">
        <v>166</v>
      </c>
      <c r="C131" s="11" t="s">
        <v>167</v>
      </c>
      <c r="D131" s="10" t="s">
        <v>17</v>
      </c>
      <c r="E131" s="11" t="s">
        <v>18</v>
      </c>
      <c r="F131" s="13">
        <v>37.56</v>
      </c>
      <c r="G131" s="14">
        <v>44950.0</v>
      </c>
      <c r="H131" s="15">
        <f t="shared" si="1"/>
        <v>24</v>
      </c>
      <c r="I131" s="16">
        <f t="shared" si="2"/>
        <v>1</v>
      </c>
      <c r="J131" s="15">
        <f t="shared" si="3"/>
        <v>2023</v>
      </c>
      <c r="K131" s="16">
        <f>STANDARDIZE(F131,'estatística'!$C$2,'estatística'!$H$2)</f>
        <v>0.4591035705</v>
      </c>
    </row>
    <row r="132" ht="15.75" customHeight="1">
      <c r="A132" s="9">
        <v>69.0</v>
      </c>
      <c r="B132" s="10" t="s">
        <v>75</v>
      </c>
      <c r="C132" s="11" t="s">
        <v>117</v>
      </c>
      <c r="D132" s="10" t="s">
        <v>17</v>
      </c>
      <c r="E132" s="11" t="s">
        <v>116</v>
      </c>
      <c r="F132" s="13">
        <v>2.31</v>
      </c>
      <c r="G132" s="14">
        <v>44950.0</v>
      </c>
      <c r="H132" s="15">
        <f t="shared" si="1"/>
        <v>24</v>
      </c>
      <c r="I132" s="16">
        <f t="shared" si="2"/>
        <v>1</v>
      </c>
      <c r="J132" s="15">
        <f t="shared" si="3"/>
        <v>2023</v>
      </c>
      <c r="K132" s="16">
        <f>STANDARDIZE(F132,'estatística'!$C$2,'estatística'!$H$2)</f>
        <v>0.01278804761</v>
      </c>
    </row>
    <row r="133" ht="15.75" customHeight="1">
      <c r="A133" s="9">
        <v>43.0</v>
      </c>
      <c r="B133" s="10" t="s">
        <v>63</v>
      </c>
      <c r="C133" s="11" t="s">
        <v>64</v>
      </c>
      <c r="D133" s="10" t="s">
        <v>13</v>
      </c>
      <c r="E133" s="11" t="s">
        <v>116</v>
      </c>
      <c r="F133" s="13">
        <v>2.42</v>
      </c>
      <c r="G133" s="14">
        <v>44950.0</v>
      </c>
      <c r="H133" s="15">
        <f t="shared" si="1"/>
        <v>24</v>
      </c>
      <c r="I133" s="16">
        <f t="shared" si="2"/>
        <v>1</v>
      </c>
      <c r="J133" s="15">
        <f t="shared" si="3"/>
        <v>2023</v>
      </c>
      <c r="K133" s="16">
        <f>STANDARDIZE(F133,'estatística'!$C$2,'estatística'!$H$2)</f>
        <v>0.01418080527</v>
      </c>
    </row>
    <row r="134" ht="15.75" customHeight="1">
      <c r="A134" s="9">
        <v>14.0</v>
      </c>
      <c r="B134" s="10" t="s">
        <v>143</v>
      </c>
      <c r="C134" s="11" t="s">
        <v>144</v>
      </c>
      <c r="D134" s="10" t="s">
        <v>13</v>
      </c>
      <c r="E134" s="11" t="s">
        <v>29</v>
      </c>
      <c r="F134" s="13">
        <v>12.49</v>
      </c>
      <c r="G134" s="14">
        <v>44951.0</v>
      </c>
      <c r="H134" s="15">
        <f t="shared" si="1"/>
        <v>25</v>
      </c>
      <c r="I134" s="16">
        <f t="shared" si="2"/>
        <v>1</v>
      </c>
      <c r="J134" s="15">
        <f t="shared" si="3"/>
        <v>2023</v>
      </c>
      <c r="K134" s="16">
        <f>STANDARDIZE(F134,'estatística'!$C$2,'estatística'!$H$2)</f>
        <v>0.1416814383</v>
      </c>
    </row>
    <row r="135" ht="15.75" customHeight="1">
      <c r="A135" s="9">
        <v>43.0</v>
      </c>
      <c r="B135" s="10" t="s">
        <v>63</v>
      </c>
      <c r="C135" s="11" t="s">
        <v>64</v>
      </c>
      <c r="D135" s="10" t="s">
        <v>17</v>
      </c>
      <c r="E135" s="11" t="s">
        <v>21</v>
      </c>
      <c r="F135" s="13">
        <v>14.98</v>
      </c>
      <c r="G135" s="14">
        <v>44951.0</v>
      </c>
      <c r="H135" s="15">
        <f t="shared" si="1"/>
        <v>25</v>
      </c>
      <c r="I135" s="16">
        <f t="shared" si="2"/>
        <v>1</v>
      </c>
      <c r="J135" s="15">
        <f t="shared" si="3"/>
        <v>2023</v>
      </c>
      <c r="K135" s="16">
        <f>STANDARDIZE(F135,'estatística'!$C$2,'estatística'!$H$2)</f>
        <v>0.1732084072</v>
      </c>
    </row>
    <row r="136" ht="15.75" customHeight="1">
      <c r="A136" s="9">
        <v>85.0</v>
      </c>
      <c r="B136" s="10" t="s">
        <v>170</v>
      </c>
      <c r="C136" s="11" t="s">
        <v>171</v>
      </c>
      <c r="D136" s="10" t="s">
        <v>13</v>
      </c>
      <c r="E136" s="11" t="s">
        <v>24</v>
      </c>
      <c r="F136" s="13">
        <v>32.06</v>
      </c>
      <c r="G136" s="14">
        <v>44952.0</v>
      </c>
      <c r="H136" s="15">
        <f t="shared" si="1"/>
        <v>26</v>
      </c>
      <c r="I136" s="16">
        <f t="shared" si="2"/>
        <v>1</v>
      </c>
      <c r="J136" s="15">
        <f t="shared" si="3"/>
        <v>2023</v>
      </c>
      <c r="K136" s="16">
        <f>STANDARDIZE(F136,'estatística'!$C$2,'estatística'!$H$2)</f>
        <v>0.3894656875</v>
      </c>
    </row>
    <row r="137" ht="15.75" customHeight="1">
      <c r="A137" s="9">
        <v>62.0</v>
      </c>
      <c r="B137" s="10" t="s">
        <v>128</v>
      </c>
      <c r="C137" s="11" t="s">
        <v>129</v>
      </c>
      <c r="D137" s="10" t="s">
        <v>17</v>
      </c>
      <c r="E137" s="11" t="s">
        <v>24</v>
      </c>
      <c r="F137" s="13">
        <v>28.17</v>
      </c>
      <c r="G137" s="14">
        <v>44952.0</v>
      </c>
      <c r="H137" s="15">
        <f t="shared" si="1"/>
        <v>26</v>
      </c>
      <c r="I137" s="16">
        <f t="shared" si="2"/>
        <v>1</v>
      </c>
      <c r="J137" s="15">
        <f t="shared" si="3"/>
        <v>2023</v>
      </c>
      <c r="K137" s="16">
        <f>STANDARDIZE(F137,'estatística'!$C$2,'estatística'!$H$2)</f>
        <v>0.3402127121</v>
      </c>
    </row>
    <row r="138" ht="15.75" customHeight="1">
      <c r="A138" s="9">
        <v>33.0</v>
      </c>
      <c r="B138" s="10" t="s">
        <v>163</v>
      </c>
      <c r="C138" s="11" t="s">
        <v>164</v>
      </c>
      <c r="D138" s="10" t="s">
        <v>13</v>
      </c>
      <c r="E138" s="11" t="s">
        <v>80</v>
      </c>
      <c r="F138" s="13">
        <v>38.2</v>
      </c>
      <c r="G138" s="14">
        <v>44952.0</v>
      </c>
      <c r="H138" s="15">
        <f t="shared" si="1"/>
        <v>26</v>
      </c>
      <c r="I138" s="16">
        <f t="shared" si="2"/>
        <v>1</v>
      </c>
      <c r="J138" s="15">
        <f t="shared" si="3"/>
        <v>2023</v>
      </c>
      <c r="K138" s="16">
        <f>STANDARDIZE(F138,'estatística'!$C$2,'estatística'!$H$2)</f>
        <v>0.4672068878</v>
      </c>
    </row>
    <row r="139" ht="15.75" customHeight="1">
      <c r="A139" s="9">
        <v>27.0</v>
      </c>
      <c r="B139" s="10" t="s">
        <v>145</v>
      </c>
      <c r="C139" s="11" t="s">
        <v>146</v>
      </c>
      <c r="D139" s="10" t="s">
        <v>13</v>
      </c>
      <c r="E139" s="11" t="s">
        <v>36</v>
      </c>
      <c r="F139" s="13">
        <v>73.99</v>
      </c>
      <c r="G139" s="14">
        <v>44952.0</v>
      </c>
      <c r="H139" s="15">
        <f t="shared" si="1"/>
        <v>26</v>
      </c>
      <c r="I139" s="16">
        <f t="shared" si="2"/>
        <v>1</v>
      </c>
      <c r="J139" s="15">
        <f t="shared" si="3"/>
        <v>2023</v>
      </c>
      <c r="K139" s="16">
        <f>STANDARDIZE(F139,'estatística'!$C$2,'estatística'!$H$2)</f>
        <v>0.9203595847</v>
      </c>
    </row>
    <row r="140" ht="15.75" customHeight="1">
      <c r="A140" s="9">
        <v>25.0</v>
      </c>
      <c r="B140" s="10" t="s">
        <v>126</v>
      </c>
      <c r="C140" s="11" t="s">
        <v>127</v>
      </c>
      <c r="D140" s="10" t="s">
        <v>17</v>
      </c>
      <c r="E140" s="11" t="s">
        <v>36</v>
      </c>
      <c r="F140" s="13">
        <v>61.1</v>
      </c>
      <c r="G140" s="14">
        <v>44953.0</v>
      </c>
      <c r="H140" s="15">
        <f t="shared" si="1"/>
        <v>27</v>
      </c>
      <c r="I140" s="16">
        <f t="shared" si="2"/>
        <v>1</v>
      </c>
      <c r="J140" s="15">
        <f t="shared" si="3"/>
        <v>2023</v>
      </c>
      <c r="K140" s="16">
        <f>STANDARDIZE(F140,'estatística'!$C$2,'estatística'!$H$2)</f>
        <v>0.7571537098</v>
      </c>
    </row>
    <row r="141" ht="15.75" customHeight="1">
      <c r="A141" s="9">
        <v>17.0</v>
      </c>
      <c r="B141" s="10" t="s">
        <v>172</v>
      </c>
      <c r="C141" s="11" t="s">
        <v>173</v>
      </c>
      <c r="D141" s="10" t="s">
        <v>13</v>
      </c>
      <c r="E141" s="11" t="s">
        <v>29</v>
      </c>
      <c r="F141" s="13">
        <v>14.14</v>
      </c>
      <c r="G141" s="14">
        <v>44953.0</v>
      </c>
      <c r="H141" s="15">
        <f t="shared" si="1"/>
        <v>27</v>
      </c>
      <c r="I141" s="16">
        <f t="shared" si="2"/>
        <v>1</v>
      </c>
      <c r="J141" s="15">
        <f t="shared" si="3"/>
        <v>2023</v>
      </c>
      <c r="K141" s="16">
        <f>STANDARDIZE(F141,'estatística'!$C$2,'estatística'!$H$2)</f>
        <v>0.1625728032</v>
      </c>
    </row>
    <row r="142" ht="15.75" customHeight="1">
      <c r="A142" s="9">
        <v>98.0</v>
      </c>
      <c r="B142" s="10" t="s">
        <v>131</v>
      </c>
      <c r="C142" s="11" t="s">
        <v>168</v>
      </c>
      <c r="D142" s="10" t="s">
        <v>13</v>
      </c>
      <c r="E142" s="11" t="s">
        <v>65</v>
      </c>
      <c r="F142" s="13">
        <v>27.74</v>
      </c>
      <c r="G142" s="14">
        <v>44953.0</v>
      </c>
      <c r="H142" s="15">
        <f t="shared" si="1"/>
        <v>27</v>
      </c>
      <c r="I142" s="16">
        <f t="shared" si="2"/>
        <v>1</v>
      </c>
      <c r="J142" s="15">
        <f t="shared" si="3"/>
        <v>2023</v>
      </c>
      <c r="K142" s="16">
        <f>STANDARDIZE(F142,'estatística'!$C$2,'estatística'!$H$2)</f>
        <v>0.3347682958</v>
      </c>
    </row>
    <row r="143" ht="15.75" customHeight="1">
      <c r="A143" s="9">
        <v>39.0</v>
      </c>
      <c r="B143" s="10" t="s">
        <v>58</v>
      </c>
      <c r="C143" s="11" t="s">
        <v>59</v>
      </c>
      <c r="D143" s="10" t="s">
        <v>13</v>
      </c>
      <c r="E143" s="11" t="s">
        <v>48</v>
      </c>
      <c r="F143" s="13">
        <v>19.57</v>
      </c>
      <c r="G143" s="14">
        <v>44953.0</v>
      </c>
      <c r="H143" s="15">
        <f t="shared" si="1"/>
        <v>27</v>
      </c>
      <c r="I143" s="16">
        <f t="shared" si="2"/>
        <v>1</v>
      </c>
      <c r="J143" s="15">
        <f t="shared" si="3"/>
        <v>2023</v>
      </c>
      <c r="K143" s="16">
        <f>STANDARDIZE(F143,'estatística'!$C$2,'estatística'!$H$2)</f>
        <v>0.2313243859</v>
      </c>
    </row>
    <row r="144" ht="15.75" customHeight="1">
      <c r="A144" s="9">
        <v>25.0</v>
      </c>
      <c r="B144" s="10" t="s">
        <v>126</v>
      </c>
      <c r="C144" s="11" t="s">
        <v>127</v>
      </c>
      <c r="D144" s="10" t="s">
        <v>17</v>
      </c>
      <c r="E144" s="11" t="s">
        <v>32</v>
      </c>
      <c r="F144" s="13">
        <v>33.66</v>
      </c>
      <c r="G144" s="14">
        <v>44953.0</v>
      </c>
      <c r="H144" s="15">
        <f t="shared" si="1"/>
        <v>27</v>
      </c>
      <c r="I144" s="16">
        <f t="shared" si="2"/>
        <v>1</v>
      </c>
      <c r="J144" s="15">
        <f t="shared" si="3"/>
        <v>2023</v>
      </c>
      <c r="K144" s="16">
        <f>STANDARDIZE(F144,'estatística'!$C$2,'estatística'!$H$2)</f>
        <v>0.4097239808</v>
      </c>
    </row>
    <row r="145" ht="15.75" customHeight="1">
      <c r="A145" s="9">
        <v>55.0</v>
      </c>
      <c r="B145" s="10" t="s">
        <v>174</v>
      </c>
      <c r="C145" s="11" t="s">
        <v>175</v>
      </c>
      <c r="D145" s="10" t="s">
        <v>17</v>
      </c>
      <c r="E145" s="11" t="s">
        <v>33</v>
      </c>
      <c r="F145" s="13">
        <v>69.3</v>
      </c>
      <c r="G145" s="14">
        <v>44953.0</v>
      </c>
      <c r="H145" s="15">
        <f t="shared" si="1"/>
        <v>27</v>
      </c>
      <c r="I145" s="16">
        <f t="shared" si="2"/>
        <v>1</v>
      </c>
      <c r="J145" s="15">
        <f t="shared" si="3"/>
        <v>2023</v>
      </c>
      <c r="K145" s="16">
        <f>STANDARDIZE(F145,'estatística'!$C$2,'estatística'!$H$2)</f>
        <v>0.8609774626</v>
      </c>
    </row>
    <row r="146" ht="15.75" customHeight="1">
      <c r="A146" s="9">
        <v>67.0</v>
      </c>
      <c r="B146" s="10" t="s">
        <v>176</v>
      </c>
      <c r="C146" s="11" t="s">
        <v>177</v>
      </c>
      <c r="D146" s="10" t="s">
        <v>17</v>
      </c>
      <c r="E146" s="11" t="s">
        <v>68</v>
      </c>
      <c r="F146" s="13">
        <v>12.93</v>
      </c>
      <c r="G146" s="14">
        <v>44953.0</v>
      </c>
      <c r="H146" s="15">
        <f t="shared" si="1"/>
        <v>27</v>
      </c>
      <c r="I146" s="16">
        <f t="shared" si="2"/>
        <v>1</v>
      </c>
      <c r="J146" s="15">
        <f t="shared" si="3"/>
        <v>2023</v>
      </c>
      <c r="K146" s="16">
        <f>STANDARDIZE(F146,'estatística'!$C$2,'estatística'!$H$2)</f>
        <v>0.147252469</v>
      </c>
    </row>
    <row r="147" ht="15.75" customHeight="1">
      <c r="A147" s="9">
        <v>68.0</v>
      </c>
      <c r="B147" s="10" t="s">
        <v>25</v>
      </c>
      <c r="C147" s="11" t="s">
        <v>26</v>
      </c>
      <c r="D147" s="10" t="s">
        <v>17</v>
      </c>
      <c r="E147" s="11" t="s">
        <v>116</v>
      </c>
      <c r="F147" s="13">
        <v>2.32</v>
      </c>
      <c r="G147" s="14">
        <v>44953.0</v>
      </c>
      <c r="H147" s="15">
        <f t="shared" si="1"/>
        <v>27</v>
      </c>
      <c r="I147" s="16">
        <f t="shared" si="2"/>
        <v>1</v>
      </c>
      <c r="J147" s="15">
        <f t="shared" si="3"/>
        <v>2023</v>
      </c>
      <c r="K147" s="16">
        <f>STANDARDIZE(F147,'estatística'!$C$2,'estatística'!$H$2)</f>
        <v>0.01291466194</v>
      </c>
    </row>
    <row r="148" ht="15.75" customHeight="1">
      <c r="A148" s="9">
        <v>14.0</v>
      </c>
      <c r="B148" s="10" t="s">
        <v>143</v>
      </c>
      <c r="C148" s="11" t="s">
        <v>144</v>
      </c>
      <c r="D148" s="10" t="s">
        <v>13</v>
      </c>
      <c r="E148" s="11" t="s">
        <v>107</v>
      </c>
      <c r="F148" s="13">
        <v>28.05</v>
      </c>
      <c r="G148" s="14">
        <v>44953.0</v>
      </c>
      <c r="H148" s="15">
        <f t="shared" si="1"/>
        <v>27</v>
      </c>
      <c r="I148" s="16">
        <f t="shared" si="2"/>
        <v>1</v>
      </c>
      <c r="J148" s="15">
        <f t="shared" si="3"/>
        <v>2023</v>
      </c>
      <c r="K148" s="16">
        <f>STANDARDIZE(F148,'estatística'!$C$2,'estatística'!$H$2)</f>
        <v>0.3386933401</v>
      </c>
    </row>
    <row r="149" ht="15.75" customHeight="1">
      <c r="A149" s="9">
        <v>59.0</v>
      </c>
      <c r="B149" s="10" t="s">
        <v>71</v>
      </c>
      <c r="C149" s="11" t="s">
        <v>72</v>
      </c>
      <c r="D149" s="10" t="s">
        <v>17</v>
      </c>
      <c r="E149" s="11" t="s">
        <v>65</v>
      </c>
      <c r="F149" s="13">
        <v>35.57</v>
      </c>
      <c r="G149" s="14">
        <v>44954.0</v>
      </c>
      <c r="H149" s="15">
        <f t="shared" si="1"/>
        <v>28</v>
      </c>
      <c r="I149" s="16">
        <f t="shared" si="2"/>
        <v>1</v>
      </c>
      <c r="J149" s="15">
        <f t="shared" si="3"/>
        <v>2023</v>
      </c>
      <c r="K149" s="16">
        <f>STANDARDIZE(F149,'estatística'!$C$2,'estatística'!$H$2)</f>
        <v>0.4339073183</v>
      </c>
    </row>
    <row r="150" ht="15.75" customHeight="1">
      <c r="A150" s="9">
        <v>50.0</v>
      </c>
      <c r="B150" s="10" t="s">
        <v>19</v>
      </c>
      <c r="C150" s="11" t="s">
        <v>20</v>
      </c>
      <c r="D150" s="10" t="s">
        <v>17</v>
      </c>
      <c r="E150" s="11" t="s">
        <v>91</v>
      </c>
      <c r="F150" s="13">
        <v>3.28</v>
      </c>
      <c r="G150" s="14">
        <v>44954.0</v>
      </c>
      <c r="H150" s="15">
        <f t="shared" si="1"/>
        <v>28</v>
      </c>
      <c r="I150" s="16">
        <f t="shared" si="2"/>
        <v>1</v>
      </c>
      <c r="J150" s="15">
        <f t="shared" si="3"/>
        <v>2023</v>
      </c>
      <c r="K150" s="16">
        <f>STANDARDIZE(F150,'estatística'!$C$2,'estatística'!$H$2)</f>
        <v>0.02506963788</v>
      </c>
    </row>
    <row r="151" ht="15.75" customHeight="1">
      <c r="A151" s="9">
        <v>33.0</v>
      </c>
      <c r="B151" s="10" t="s">
        <v>163</v>
      </c>
      <c r="C151" s="11" t="s">
        <v>164</v>
      </c>
      <c r="D151" s="10" t="s">
        <v>17</v>
      </c>
      <c r="E151" s="11" t="s">
        <v>27</v>
      </c>
      <c r="F151" s="13">
        <v>18.66</v>
      </c>
      <c r="G151" s="14">
        <v>44954.0</v>
      </c>
      <c r="H151" s="15">
        <f t="shared" si="1"/>
        <v>28</v>
      </c>
      <c r="I151" s="16">
        <f t="shared" si="2"/>
        <v>1</v>
      </c>
      <c r="J151" s="15">
        <f t="shared" si="3"/>
        <v>2023</v>
      </c>
      <c r="K151" s="16">
        <f>STANDARDIZE(F151,'estatística'!$C$2,'estatística'!$H$2)</f>
        <v>0.2198024816</v>
      </c>
    </row>
    <row r="152" ht="15.75" customHeight="1">
      <c r="A152" s="9">
        <v>100.0</v>
      </c>
      <c r="B152" s="10" t="s">
        <v>30</v>
      </c>
      <c r="C152" s="11" t="s">
        <v>31</v>
      </c>
      <c r="D152" s="10" t="s">
        <v>17</v>
      </c>
      <c r="E152" s="11" t="s">
        <v>14</v>
      </c>
      <c r="F152" s="13">
        <v>10.78</v>
      </c>
      <c r="G152" s="14">
        <v>44954.0</v>
      </c>
      <c r="H152" s="15">
        <f t="shared" si="1"/>
        <v>28</v>
      </c>
      <c r="I152" s="16">
        <f t="shared" si="2"/>
        <v>1</v>
      </c>
      <c r="J152" s="15">
        <f t="shared" si="3"/>
        <v>2023</v>
      </c>
      <c r="K152" s="16">
        <f>STANDARDIZE(F152,'estatística'!$C$2,'estatística'!$H$2)</f>
        <v>0.1200303874</v>
      </c>
    </row>
    <row r="153" ht="15.75" customHeight="1">
      <c r="A153" s="9">
        <v>88.0</v>
      </c>
      <c r="B153" s="10" t="s">
        <v>172</v>
      </c>
      <c r="C153" s="11" t="s">
        <v>178</v>
      </c>
      <c r="D153" s="10" t="s">
        <v>13</v>
      </c>
      <c r="E153" s="11" t="s">
        <v>24</v>
      </c>
      <c r="F153" s="13">
        <v>31.59</v>
      </c>
      <c r="G153" s="14">
        <v>44954.0</v>
      </c>
      <c r="H153" s="15">
        <f t="shared" si="1"/>
        <v>28</v>
      </c>
      <c r="I153" s="16">
        <f t="shared" si="2"/>
        <v>1</v>
      </c>
      <c r="J153" s="15">
        <f t="shared" si="3"/>
        <v>2023</v>
      </c>
      <c r="K153" s="16">
        <f>STANDARDIZE(F153,'estatística'!$C$2,'estatística'!$H$2)</f>
        <v>0.3835148139</v>
      </c>
    </row>
    <row r="154" ht="15.75" customHeight="1">
      <c r="A154" s="9">
        <v>4.0</v>
      </c>
      <c r="B154" s="10" t="s">
        <v>87</v>
      </c>
      <c r="C154" s="11" t="s">
        <v>88</v>
      </c>
      <c r="D154" s="10" t="s">
        <v>13</v>
      </c>
      <c r="E154" s="11" t="s">
        <v>48</v>
      </c>
      <c r="F154" s="13">
        <v>6.78</v>
      </c>
      <c r="G154" s="14">
        <v>44958.0</v>
      </c>
      <c r="H154" s="15">
        <f t="shared" si="1"/>
        <v>1</v>
      </c>
      <c r="I154" s="16">
        <f t="shared" si="2"/>
        <v>2</v>
      </c>
      <c r="J154" s="15">
        <f t="shared" si="3"/>
        <v>2023</v>
      </c>
      <c r="K154" s="16">
        <f>STANDARDIZE(F154,'estatística'!$C$2,'estatística'!$H$2)</f>
        <v>0.06938465434</v>
      </c>
    </row>
    <row r="155" ht="15.75" customHeight="1">
      <c r="A155" s="9">
        <v>85.0</v>
      </c>
      <c r="B155" s="10" t="s">
        <v>170</v>
      </c>
      <c r="C155" s="11" t="s">
        <v>171</v>
      </c>
      <c r="D155" s="10" t="s">
        <v>17</v>
      </c>
      <c r="E155" s="11" t="s">
        <v>21</v>
      </c>
      <c r="F155" s="13">
        <v>13.32</v>
      </c>
      <c r="G155" s="14">
        <v>44958.0</v>
      </c>
      <c r="H155" s="15">
        <f t="shared" si="1"/>
        <v>1</v>
      </c>
      <c r="I155" s="16">
        <f t="shared" si="2"/>
        <v>2</v>
      </c>
      <c r="J155" s="15">
        <f t="shared" si="3"/>
        <v>2023</v>
      </c>
      <c r="K155" s="16">
        <f>STANDARDIZE(F155,'estatística'!$C$2,'estatística'!$H$2)</f>
        <v>0.152190428</v>
      </c>
    </row>
    <row r="156" ht="15.75" customHeight="1">
      <c r="A156" s="9">
        <v>28.0</v>
      </c>
      <c r="B156" s="10" t="s">
        <v>49</v>
      </c>
      <c r="C156" s="11" t="s">
        <v>50</v>
      </c>
      <c r="D156" s="10" t="s">
        <v>13</v>
      </c>
      <c r="E156" s="11" t="s">
        <v>21</v>
      </c>
      <c r="F156" s="13">
        <v>20.65</v>
      </c>
      <c r="G156" s="14">
        <v>44958.0</v>
      </c>
      <c r="H156" s="15">
        <f t="shared" si="1"/>
        <v>1</v>
      </c>
      <c r="I156" s="16">
        <f t="shared" si="2"/>
        <v>2</v>
      </c>
      <c r="J156" s="15">
        <f t="shared" si="3"/>
        <v>2023</v>
      </c>
      <c r="K156" s="16">
        <f>STANDARDIZE(F156,'estatística'!$C$2,'estatística'!$H$2)</f>
        <v>0.2449987339</v>
      </c>
    </row>
    <row r="157" ht="15.75" customHeight="1">
      <c r="A157" s="9">
        <v>55.0</v>
      </c>
      <c r="B157" s="10" t="s">
        <v>174</v>
      </c>
      <c r="C157" s="11" t="s">
        <v>175</v>
      </c>
      <c r="D157" s="10" t="s">
        <v>17</v>
      </c>
      <c r="E157" s="11" t="s">
        <v>29</v>
      </c>
      <c r="F157" s="13">
        <v>12.75</v>
      </c>
      <c r="G157" s="14">
        <v>44959.0</v>
      </c>
      <c r="H157" s="15">
        <f t="shared" si="1"/>
        <v>2</v>
      </c>
      <c r="I157" s="16">
        <f t="shared" si="2"/>
        <v>2</v>
      </c>
      <c r="J157" s="15">
        <f t="shared" si="3"/>
        <v>2023</v>
      </c>
      <c r="K157" s="16">
        <f>STANDARDIZE(F157,'estatística'!$C$2,'estatística'!$H$2)</f>
        <v>0.144973411</v>
      </c>
    </row>
    <row r="158" ht="15.75" customHeight="1">
      <c r="A158" s="9">
        <v>2.0</v>
      </c>
      <c r="B158" s="10" t="s">
        <v>53</v>
      </c>
      <c r="C158" s="11" t="s">
        <v>54</v>
      </c>
      <c r="D158" s="10" t="s">
        <v>13</v>
      </c>
      <c r="E158" s="11" t="s">
        <v>14</v>
      </c>
      <c r="F158" s="13">
        <v>10.57</v>
      </c>
      <c r="G158" s="14">
        <v>44959.0</v>
      </c>
      <c r="H158" s="15">
        <f t="shared" si="1"/>
        <v>2</v>
      </c>
      <c r="I158" s="16">
        <f t="shared" si="2"/>
        <v>2</v>
      </c>
      <c r="J158" s="15">
        <f t="shared" si="3"/>
        <v>2023</v>
      </c>
      <c r="K158" s="16">
        <f>STANDARDIZE(F158,'estatística'!$C$2,'estatística'!$H$2)</f>
        <v>0.1173714865</v>
      </c>
    </row>
    <row r="159" ht="15.75" customHeight="1">
      <c r="A159" s="9">
        <v>67.0</v>
      </c>
      <c r="B159" s="10" t="s">
        <v>176</v>
      </c>
      <c r="C159" s="11" t="s">
        <v>177</v>
      </c>
      <c r="D159" s="10" t="s">
        <v>13</v>
      </c>
      <c r="E159" s="11" t="s">
        <v>36</v>
      </c>
      <c r="F159" s="13">
        <v>79.64</v>
      </c>
      <c r="G159" s="14">
        <v>44959.0</v>
      </c>
      <c r="H159" s="15">
        <f t="shared" si="1"/>
        <v>2</v>
      </c>
      <c r="I159" s="16">
        <f t="shared" si="2"/>
        <v>2</v>
      </c>
      <c r="J159" s="15">
        <f t="shared" si="3"/>
        <v>2023</v>
      </c>
      <c r="K159" s="16">
        <f>STANDARDIZE(F159,'estatística'!$C$2,'estatística'!$H$2)</f>
        <v>0.9918966827</v>
      </c>
    </row>
    <row r="160" ht="15.75" customHeight="1">
      <c r="A160" s="9">
        <v>9.0</v>
      </c>
      <c r="B160" s="10" t="s">
        <v>179</v>
      </c>
      <c r="C160" s="11" t="s">
        <v>180</v>
      </c>
      <c r="D160" s="10" t="s">
        <v>17</v>
      </c>
      <c r="E160" s="11" t="s">
        <v>91</v>
      </c>
      <c r="F160" s="13">
        <v>3.28</v>
      </c>
      <c r="G160" s="14">
        <v>44959.0</v>
      </c>
      <c r="H160" s="15">
        <f t="shared" si="1"/>
        <v>2</v>
      </c>
      <c r="I160" s="16">
        <f t="shared" si="2"/>
        <v>2</v>
      </c>
      <c r="J160" s="15">
        <f t="shared" si="3"/>
        <v>2023</v>
      </c>
      <c r="K160" s="16">
        <f>STANDARDIZE(F160,'estatística'!$C$2,'estatística'!$H$2)</f>
        <v>0.02506963788</v>
      </c>
    </row>
    <row r="161" ht="15.75" customHeight="1">
      <c r="A161" s="9">
        <v>34.0</v>
      </c>
      <c r="B161" s="10" t="s">
        <v>149</v>
      </c>
      <c r="C161" s="11" t="s">
        <v>150</v>
      </c>
      <c r="D161" s="10" t="s">
        <v>17</v>
      </c>
      <c r="E161" s="11" t="s">
        <v>57</v>
      </c>
      <c r="F161" s="13">
        <v>22.9</v>
      </c>
      <c r="G161" s="14">
        <v>44959.0</v>
      </c>
      <c r="H161" s="15">
        <f t="shared" si="1"/>
        <v>2</v>
      </c>
      <c r="I161" s="16">
        <f t="shared" si="2"/>
        <v>2</v>
      </c>
      <c r="J161" s="15">
        <f t="shared" si="3"/>
        <v>2023</v>
      </c>
      <c r="K161" s="16">
        <f>STANDARDIZE(F161,'estatística'!$C$2,'estatística'!$H$2)</f>
        <v>0.2734869587</v>
      </c>
    </row>
    <row r="162" ht="15.75" customHeight="1">
      <c r="A162" s="9">
        <v>38.0</v>
      </c>
      <c r="B162" s="10" t="s">
        <v>85</v>
      </c>
      <c r="C162" s="11" t="s">
        <v>86</v>
      </c>
      <c r="D162" s="10" t="s">
        <v>13</v>
      </c>
      <c r="E162" s="11" t="s">
        <v>107</v>
      </c>
      <c r="F162" s="13">
        <v>30.98</v>
      </c>
      <c r="G162" s="14">
        <v>44959.0</v>
      </c>
      <c r="H162" s="15">
        <f t="shared" si="1"/>
        <v>2</v>
      </c>
      <c r="I162" s="16">
        <f t="shared" si="2"/>
        <v>2</v>
      </c>
      <c r="J162" s="15">
        <f t="shared" si="3"/>
        <v>2023</v>
      </c>
      <c r="K162" s="16">
        <f>STANDARDIZE(F162,'estatística'!$C$2,'estatística'!$H$2)</f>
        <v>0.3757913396</v>
      </c>
    </row>
    <row r="163" ht="15.75" customHeight="1">
      <c r="A163" s="9">
        <v>95.0</v>
      </c>
      <c r="B163" s="10" t="s">
        <v>78</v>
      </c>
      <c r="C163" s="11" t="s">
        <v>79</v>
      </c>
      <c r="D163" s="10" t="s">
        <v>13</v>
      </c>
      <c r="E163" s="11" t="s">
        <v>80</v>
      </c>
      <c r="F163" s="13">
        <v>35.02</v>
      </c>
      <c r="G163" s="14">
        <v>44959.0</v>
      </c>
      <c r="H163" s="15">
        <f t="shared" si="1"/>
        <v>2</v>
      </c>
      <c r="I163" s="16">
        <f t="shared" si="2"/>
        <v>2</v>
      </c>
      <c r="J163" s="15">
        <f t="shared" si="3"/>
        <v>2023</v>
      </c>
      <c r="K163" s="16">
        <f>STANDARDIZE(F163,'estatística'!$C$2,'estatística'!$H$2)</f>
        <v>0.42694353</v>
      </c>
    </row>
    <row r="164" ht="15.75" customHeight="1">
      <c r="A164" s="9">
        <v>20.0</v>
      </c>
      <c r="B164" s="10" t="s">
        <v>133</v>
      </c>
      <c r="C164" s="11" t="s">
        <v>134</v>
      </c>
      <c r="D164" s="10" t="s">
        <v>13</v>
      </c>
      <c r="E164" s="11" t="s">
        <v>107</v>
      </c>
      <c r="F164" s="13">
        <v>31.3</v>
      </c>
      <c r="G164" s="14">
        <v>44959.0</v>
      </c>
      <c r="H164" s="15">
        <f t="shared" si="1"/>
        <v>2</v>
      </c>
      <c r="I164" s="16">
        <f t="shared" si="2"/>
        <v>2</v>
      </c>
      <c r="J164" s="15">
        <f t="shared" si="3"/>
        <v>2023</v>
      </c>
      <c r="K164" s="16">
        <f>STANDARDIZE(F164,'estatística'!$C$2,'estatística'!$H$2)</f>
        <v>0.3798429982</v>
      </c>
    </row>
    <row r="165" ht="15.75" customHeight="1">
      <c r="A165" s="9">
        <v>21.0</v>
      </c>
      <c r="B165" s="10" t="s">
        <v>158</v>
      </c>
      <c r="C165" s="11" t="s">
        <v>159</v>
      </c>
      <c r="D165" s="10" t="s">
        <v>17</v>
      </c>
      <c r="E165" s="11" t="s">
        <v>91</v>
      </c>
      <c r="F165" s="13">
        <v>3.79</v>
      </c>
      <c r="G165" s="14">
        <v>44960.0</v>
      </c>
      <c r="H165" s="15">
        <f t="shared" si="1"/>
        <v>3</v>
      </c>
      <c r="I165" s="16">
        <f t="shared" si="2"/>
        <v>2</v>
      </c>
      <c r="J165" s="15">
        <f t="shared" si="3"/>
        <v>2023</v>
      </c>
      <c r="K165" s="16">
        <f>STANDARDIZE(F165,'estatística'!$C$2,'estatística'!$H$2)</f>
        <v>0.03152696885</v>
      </c>
    </row>
    <row r="166" ht="15.75" customHeight="1">
      <c r="A166" s="9">
        <v>15.0</v>
      </c>
      <c r="B166" s="10" t="s">
        <v>37</v>
      </c>
      <c r="C166" s="11" t="s">
        <v>38</v>
      </c>
      <c r="D166" s="10" t="s">
        <v>13</v>
      </c>
      <c r="E166" s="11" t="s">
        <v>57</v>
      </c>
      <c r="F166" s="13">
        <v>21.24</v>
      </c>
      <c r="G166" s="14">
        <v>44960.0</v>
      </c>
      <c r="H166" s="15">
        <f t="shared" si="1"/>
        <v>3</v>
      </c>
      <c r="I166" s="16">
        <f t="shared" si="2"/>
        <v>2</v>
      </c>
      <c r="J166" s="15">
        <f t="shared" si="3"/>
        <v>2023</v>
      </c>
      <c r="K166" s="16">
        <f>STANDARDIZE(F166,'estatística'!$C$2,'estatística'!$H$2)</f>
        <v>0.2524689795</v>
      </c>
    </row>
    <row r="167" ht="15.75" customHeight="1">
      <c r="A167" s="9">
        <v>65.0</v>
      </c>
      <c r="B167" s="10" t="s">
        <v>181</v>
      </c>
      <c r="C167" s="11" t="s">
        <v>182</v>
      </c>
      <c r="D167" s="10" t="s">
        <v>17</v>
      </c>
      <c r="E167" s="11" t="s">
        <v>36</v>
      </c>
      <c r="F167" s="13">
        <v>77.01</v>
      </c>
      <c r="G167" s="14">
        <v>44960.0</v>
      </c>
      <c r="H167" s="15">
        <f t="shared" si="1"/>
        <v>3</v>
      </c>
      <c r="I167" s="16">
        <f t="shared" si="2"/>
        <v>2</v>
      </c>
      <c r="J167" s="15">
        <f t="shared" si="3"/>
        <v>2023</v>
      </c>
      <c r="K167" s="16">
        <f>STANDARDIZE(F167,'estatística'!$C$2,'estatística'!$H$2)</f>
        <v>0.9585971132</v>
      </c>
    </row>
    <row r="168" ht="15.75" customHeight="1">
      <c r="A168" s="9">
        <v>54.0</v>
      </c>
      <c r="B168" s="10" t="s">
        <v>55</v>
      </c>
      <c r="C168" s="11" t="s">
        <v>56</v>
      </c>
      <c r="D168" s="10" t="s">
        <v>17</v>
      </c>
      <c r="E168" s="11" t="s">
        <v>62</v>
      </c>
      <c r="F168" s="13">
        <v>10.74</v>
      </c>
      <c r="G168" s="14">
        <v>44960.0</v>
      </c>
      <c r="H168" s="15">
        <f t="shared" si="1"/>
        <v>3</v>
      </c>
      <c r="I168" s="16">
        <f t="shared" si="2"/>
        <v>2</v>
      </c>
      <c r="J168" s="15">
        <f t="shared" si="3"/>
        <v>2023</v>
      </c>
      <c r="K168" s="16">
        <f>STANDARDIZE(F168,'estatística'!$C$2,'estatística'!$H$2)</f>
        <v>0.1195239301</v>
      </c>
    </row>
    <row r="169" ht="15.75" customHeight="1">
      <c r="A169" s="9">
        <v>36.0</v>
      </c>
      <c r="B169" s="10" t="s">
        <v>60</v>
      </c>
      <c r="C169" s="11" t="s">
        <v>61</v>
      </c>
      <c r="D169" s="10" t="s">
        <v>17</v>
      </c>
      <c r="E169" s="11" t="s">
        <v>27</v>
      </c>
      <c r="F169" s="13">
        <v>14.9</v>
      </c>
      <c r="G169" s="14">
        <v>44960.0</v>
      </c>
      <c r="H169" s="15">
        <f t="shared" si="1"/>
        <v>3</v>
      </c>
      <c r="I169" s="16">
        <f t="shared" si="2"/>
        <v>2</v>
      </c>
      <c r="J169" s="15">
        <f t="shared" si="3"/>
        <v>2023</v>
      </c>
      <c r="K169" s="16">
        <f>STANDARDIZE(F169,'estatística'!$C$2,'estatística'!$H$2)</f>
        <v>0.1721954925</v>
      </c>
    </row>
    <row r="170" ht="15.75" customHeight="1">
      <c r="A170" s="9">
        <v>60.0</v>
      </c>
      <c r="B170" s="10" t="s">
        <v>42</v>
      </c>
      <c r="C170" s="11" t="s">
        <v>43</v>
      </c>
      <c r="D170" s="10" t="s">
        <v>13</v>
      </c>
      <c r="E170" s="11" t="s">
        <v>32</v>
      </c>
      <c r="F170" s="13">
        <v>21.83</v>
      </c>
      <c r="G170" s="14">
        <v>44960.0</v>
      </c>
      <c r="H170" s="15">
        <f t="shared" si="1"/>
        <v>3</v>
      </c>
      <c r="I170" s="16">
        <f t="shared" si="2"/>
        <v>2</v>
      </c>
      <c r="J170" s="15">
        <f t="shared" si="3"/>
        <v>2023</v>
      </c>
      <c r="K170" s="16">
        <f>STANDARDIZE(F170,'estatística'!$C$2,'estatística'!$H$2)</f>
        <v>0.2599392251</v>
      </c>
    </row>
    <row r="171" ht="15.75" customHeight="1">
      <c r="A171" s="9">
        <v>21.0</v>
      </c>
      <c r="B171" s="10" t="s">
        <v>158</v>
      </c>
      <c r="C171" s="11" t="s">
        <v>159</v>
      </c>
      <c r="D171" s="10" t="s">
        <v>17</v>
      </c>
      <c r="E171" s="11" t="s">
        <v>21</v>
      </c>
      <c r="F171" s="13">
        <v>15.11</v>
      </c>
      <c r="G171" s="14">
        <v>44960.0</v>
      </c>
      <c r="H171" s="15">
        <f t="shared" si="1"/>
        <v>3</v>
      </c>
      <c r="I171" s="16">
        <f t="shared" si="2"/>
        <v>2</v>
      </c>
      <c r="J171" s="15">
        <f t="shared" si="3"/>
        <v>2023</v>
      </c>
      <c r="K171" s="16">
        <f>STANDARDIZE(F171,'estatística'!$C$2,'estatística'!$H$2)</f>
        <v>0.1748543935</v>
      </c>
    </row>
    <row r="172" ht="15.75" customHeight="1">
      <c r="A172" s="9">
        <v>26.0</v>
      </c>
      <c r="B172" s="10" t="s">
        <v>183</v>
      </c>
      <c r="C172" s="11" t="s">
        <v>184</v>
      </c>
      <c r="D172" s="10" t="s">
        <v>17</v>
      </c>
      <c r="E172" s="11" t="s">
        <v>33</v>
      </c>
      <c r="F172" s="13">
        <v>60.68</v>
      </c>
      <c r="G172" s="14">
        <v>44960.0</v>
      </c>
      <c r="H172" s="15">
        <f t="shared" si="1"/>
        <v>3</v>
      </c>
      <c r="I172" s="16">
        <f t="shared" si="2"/>
        <v>2</v>
      </c>
      <c r="J172" s="15">
        <f t="shared" si="3"/>
        <v>2023</v>
      </c>
      <c r="K172" s="16">
        <f>STANDARDIZE(F172,'estatística'!$C$2,'estatística'!$H$2)</f>
        <v>0.7518359078</v>
      </c>
    </row>
    <row r="173" ht="15.75" customHeight="1">
      <c r="A173" s="9">
        <v>33.0</v>
      </c>
      <c r="B173" s="10" t="s">
        <v>163</v>
      </c>
      <c r="C173" s="11" t="s">
        <v>164</v>
      </c>
      <c r="D173" s="10" t="s">
        <v>13</v>
      </c>
      <c r="E173" s="11" t="s">
        <v>32</v>
      </c>
      <c r="F173" s="13">
        <v>30.32</v>
      </c>
      <c r="G173" s="14">
        <v>44960.0</v>
      </c>
      <c r="H173" s="15">
        <f t="shared" si="1"/>
        <v>3</v>
      </c>
      <c r="I173" s="16">
        <f t="shared" si="2"/>
        <v>2</v>
      </c>
      <c r="J173" s="15">
        <f t="shared" si="3"/>
        <v>2023</v>
      </c>
      <c r="K173" s="16">
        <f>STANDARDIZE(F173,'estatística'!$C$2,'estatística'!$H$2)</f>
        <v>0.3674347936</v>
      </c>
    </row>
    <row r="174" ht="15.75" customHeight="1">
      <c r="A174" s="9">
        <v>85.0</v>
      </c>
      <c r="B174" s="10" t="s">
        <v>170</v>
      </c>
      <c r="C174" s="11" t="s">
        <v>171</v>
      </c>
      <c r="D174" s="10" t="s">
        <v>13</v>
      </c>
      <c r="E174" s="11" t="s">
        <v>107</v>
      </c>
      <c r="F174" s="13">
        <v>31.68</v>
      </c>
      <c r="G174" s="14">
        <v>44961.0</v>
      </c>
      <c r="H174" s="15">
        <f t="shared" si="1"/>
        <v>4</v>
      </c>
      <c r="I174" s="16">
        <f t="shared" si="2"/>
        <v>2</v>
      </c>
      <c r="J174" s="15">
        <f t="shared" si="3"/>
        <v>2023</v>
      </c>
      <c r="K174" s="16">
        <f>STANDARDIZE(F174,'estatística'!$C$2,'estatística'!$H$2)</f>
        <v>0.3846543429</v>
      </c>
    </row>
    <row r="175" ht="15.75" customHeight="1">
      <c r="A175" s="9">
        <v>96.0</v>
      </c>
      <c r="B175" s="10" t="s">
        <v>135</v>
      </c>
      <c r="C175" s="11" t="s">
        <v>136</v>
      </c>
      <c r="D175" s="10" t="s">
        <v>13</v>
      </c>
      <c r="E175" s="11" t="s">
        <v>33</v>
      </c>
      <c r="F175" s="13">
        <v>60.44</v>
      </c>
      <c r="G175" s="14">
        <v>44961.0</v>
      </c>
      <c r="H175" s="15">
        <f t="shared" si="1"/>
        <v>4</v>
      </c>
      <c r="I175" s="16">
        <f t="shared" si="2"/>
        <v>2</v>
      </c>
      <c r="J175" s="15">
        <f t="shared" si="3"/>
        <v>2023</v>
      </c>
      <c r="K175" s="16">
        <f>STANDARDIZE(F175,'estatística'!$C$2,'estatística'!$H$2)</f>
        <v>0.7487971638</v>
      </c>
    </row>
    <row r="176" ht="15.75" customHeight="1">
      <c r="A176" s="9">
        <v>76.0</v>
      </c>
      <c r="B176" s="10" t="s">
        <v>185</v>
      </c>
      <c r="C176" s="11" t="s">
        <v>186</v>
      </c>
      <c r="D176" s="10" t="s">
        <v>17</v>
      </c>
      <c r="E176" s="11" t="s">
        <v>91</v>
      </c>
      <c r="F176" s="13">
        <v>4.24</v>
      </c>
      <c r="G176" s="14">
        <v>44961.0</v>
      </c>
      <c r="H176" s="15">
        <f t="shared" si="1"/>
        <v>4</v>
      </c>
      <c r="I176" s="16">
        <f t="shared" si="2"/>
        <v>2</v>
      </c>
      <c r="J176" s="15">
        <f t="shared" si="3"/>
        <v>2023</v>
      </c>
      <c r="K176" s="16">
        <f>STANDARDIZE(F176,'estatística'!$C$2,'estatística'!$H$2)</f>
        <v>0.03722461383</v>
      </c>
    </row>
    <row r="177" ht="15.75" customHeight="1">
      <c r="A177" s="9">
        <v>100.0</v>
      </c>
      <c r="B177" s="10" t="s">
        <v>30</v>
      </c>
      <c r="C177" s="11" t="s">
        <v>31</v>
      </c>
      <c r="D177" s="10" t="s">
        <v>17</v>
      </c>
      <c r="E177" s="11" t="s">
        <v>57</v>
      </c>
      <c r="F177" s="13">
        <v>20.5</v>
      </c>
      <c r="G177" s="14">
        <v>44961.0</v>
      </c>
      <c r="H177" s="15">
        <f t="shared" si="1"/>
        <v>4</v>
      </c>
      <c r="I177" s="16">
        <f t="shared" si="2"/>
        <v>2</v>
      </c>
      <c r="J177" s="15">
        <f t="shared" si="3"/>
        <v>2023</v>
      </c>
      <c r="K177" s="16">
        <f>STANDARDIZE(F177,'estatística'!$C$2,'estatística'!$H$2)</f>
        <v>0.2430995189</v>
      </c>
    </row>
    <row r="178" ht="15.75" customHeight="1">
      <c r="A178" s="9">
        <v>86.0</v>
      </c>
      <c r="B178" s="10" t="s">
        <v>40</v>
      </c>
      <c r="C178" s="11" t="s">
        <v>41</v>
      </c>
      <c r="D178" s="10" t="s">
        <v>13</v>
      </c>
      <c r="E178" s="11" t="s">
        <v>24</v>
      </c>
      <c r="F178" s="13">
        <v>18.14</v>
      </c>
      <c r="G178" s="14">
        <v>44962.0</v>
      </c>
      <c r="H178" s="15">
        <f t="shared" si="1"/>
        <v>5</v>
      </c>
      <c r="I178" s="16">
        <f t="shared" si="2"/>
        <v>2</v>
      </c>
      <c r="J178" s="15">
        <f t="shared" si="3"/>
        <v>2023</v>
      </c>
      <c r="K178" s="16">
        <f>STANDARDIZE(F178,'estatística'!$C$2,'estatística'!$H$2)</f>
        <v>0.2132185363</v>
      </c>
    </row>
    <row r="179" ht="15.75" customHeight="1">
      <c r="A179" s="9">
        <v>3.0</v>
      </c>
      <c r="B179" s="10" t="s">
        <v>51</v>
      </c>
      <c r="C179" s="11" t="s">
        <v>52</v>
      </c>
      <c r="D179" s="10" t="s">
        <v>17</v>
      </c>
      <c r="E179" s="11" t="s">
        <v>80</v>
      </c>
      <c r="F179" s="13">
        <v>38.03</v>
      </c>
      <c r="G179" s="14">
        <v>44962.0</v>
      </c>
      <c r="H179" s="15">
        <f t="shared" si="1"/>
        <v>5</v>
      </c>
      <c r="I179" s="16">
        <f t="shared" si="2"/>
        <v>2</v>
      </c>
      <c r="J179" s="15">
        <f t="shared" si="3"/>
        <v>2023</v>
      </c>
      <c r="K179" s="16">
        <f>STANDARDIZE(F179,'estatística'!$C$2,'estatística'!$H$2)</f>
        <v>0.4650544442</v>
      </c>
    </row>
    <row r="180" ht="15.75" customHeight="1">
      <c r="A180" s="9">
        <v>40.0</v>
      </c>
      <c r="B180" s="10" t="s">
        <v>92</v>
      </c>
      <c r="C180" s="11" t="s">
        <v>157</v>
      </c>
      <c r="D180" s="10" t="s">
        <v>17</v>
      </c>
      <c r="E180" s="11" t="s">
        <v>107</v>
      </c>
      <c r="F180" s="13">
        <v>28.13</v>
      </c>
      <c r="G180" s="14">
        <v>44962.0</v>
      </c>
      <c r="H180" s="15">
        <f t="shared" si="1"/>
        <v>5</v>
      </c>
      <c r="I180" s="16">
        <f t="shared" si="2"/>
        <v>2</v>
      </c>
      <c r="J180" s="15">
        <f t="shared" si="3"/>
        <v>2023</v>
      </c>
      <c r="K180" s="16">
        <f>STANDARDIZE(F180,'estatística'!$C$2,'estatística'!$H$2)</f>
        <v>0.3397062547</v>
      </c>
    </row>
    <row r="181" ht="15.75" customHeight="1">
      <c r="A181" s="9">
        <v>100.0</v>
      </c>
      <c r="B181" s="10" t="s">
        <v>30</v>
      </c>
      <c r="C181" s="11" t="s">
        <v>31</v>
      </c>
      <c r="D181" s="10" t="s">
        <v>17</v>
      </c>
      <c r="E181" s="11" t="s">
        <v>116</v>
      </c>
      <c r="F181" s="13">
        <v>4.75</v>
      </c>
      <c r="G181" s="14">
        <v>44962.0</v>
      </c>
      <c r="H181" s="15">
        <f t="shared" si="1"/>
        <v>5</v>
      </c>
      <c r="I181" s="16">
        <f t="shared" si="2"/>
        <v>2</v>
      </c>
      <c r="J181" s="15">
        <f t="shared" si="3"/>
        <v>2023</v>
      </c>
      <c r="K181" s="16">
        <f>STANDARDIZE(F181,'estatística'!$C$2,'estatística'!$H$2)</f>
        <v>0.0436819448</v>
      </c>
    </row>
    <row r="182" ht="15.75" customHeight="1">
      <c r="A182" s="9">
        <v>66.0</v>
      </c>
      <c r="B182" s="10" t="s">
        <v>122</v>
      </c>
      <c r="C182" s="11" t="s">
        <v>130</v>
      </c>
      <c r="D182" s="10" t="s">
        <v>13</v>
      </c>
      <c r="E182" s="11" t="s">
        <v>91</v>
      </c>
      <c r="F182" s="13">
        <v>1.91</v>
      </c>
      <c r="G182" s="14">
        <v>44962.0</v>
      </c>
      <c r="H182" s="15">
        <f t="shared" si="1"/>
        <v>5</v>
      </c>
      <c r="I182" s="16">
        <f t="shared" si="2"/>
        <v>2</v>
      </c>
      <c r="J182" s="15">
        <f t="shared" si="3"/>
        <v>2023</v>
      </c>
      <c r="K182" s="16">
        <f>STANDARDIZE(F182,'estatística'!$C$2,'estatística'!$H$2)</f>
        <v>0.007723474297</v>
      </c>
    </row>
    <row r="183" ht="15.75" customHeight="1">
      <c r="A183" s="9">
        <v>5.0</v>
      </c>
      <c r="B183" s="10" t="s">
        <v>139</v>
      </c>
      <c r="C183" s="11" t="s">
        <v>140</v>
      </c>
      <c r="D183" s="10" t="s">
        <v>13</v>
      </c>
      <c r="E183" s="11" t="s">
        <v>116</v>
      </c>
      <c r="F183" s="13">
        <v>4.11</v>
      </c>
      <c r="G183" s="14">
        <v>44962.0</v>
      </c>
      <c r="H183" s="15">
        <f t="shared" si="1"/>
        <v>5</v>
      </c>
      <c r="I183" s="16">
        <f t="shared" si="2"/>
        <v>2</v>
      </c>
      <c r="J183" s="15">
        <f t="shared" si="3"/>
        <v>2023</v>
      </c>
      <c r="K183" s="16">
        <f>STANDARDIZE(F183,'estatística'!$C$2,'estatística'!$H$2)</f>
        <v>0.0355786275</v>
      </c>
    </row>
    <row r="184" ht="15.75" customHeight="1">
      <c r="A184" s="9">
        <v>79.0</v>
      </c>
      <c r="B184" s="10" t="s">
        <v>69</v>
      </c>
      <c r="C184" s="11" t="s">
        <v>70</v>
      </c>
      <c r="D184" s="10" t="s">
        <v>13</v>
      </c>
      <c r="E184" s="11" t="s">
        <v>33</v>
      </c>
      <c r="F184" s="13">
        <v>56.81</v>
      </c>
      <c r="G184" s="14">
        <v>44963.0</v>
      </c>
      <c r="H184" s="15">
        <f t="shared" si="1"/>
        <v>6</v>
      </c>
      <c r="I184" s="16">
        <f t="shared" si="2"/>
        <v>2</v>
      </c>
      <c r="J184" s="15">
        <f t="shared" si="3"/>
        <v>2023</v>
      </c>
      <c r="K184" s="16">
        <f>STANDARDIZE(F184,'estatística'!$C$2,'estatística'!$H$2)</f>
        <v>0.7028361611</v>
      </c>
    </row>
    <row r="185" ht="15.75" customHeight="1">
      <c r="A185" s="9">
        <v>43.0</v>
      </c>
      <c r="B185" s="10" t="s">
        <v>63</v>
      </c>
      <c r="C185" s="11" t="s">
        <v>64</v>
      </c>
      <c r="D185" s="10" t="s">
        <v>13</v>
      </c>
      <c r="E185" s="11" t="s">
        <v>80</v>
      </c>
      <c r="F185" s="13">
        <v>40.52</v>
      </c>
      <c r="G185" s="14">
        <v>44963.0</v>
      </c>
      <c r="H185" s="15">
        <f t="shared" si="1"/>
        <v>6</v>
      </c>
      <c r="I185" s="16">
        <f t="shared" si="2"/>
        <v>2</v>
      </c>
      <c r="J185" s="15">
        <f t="shared" si="3"/>
        <v>2023</v>
      </c>
      <c r="K185" s="16">
        <f>STANDARDIZE(F185,'estatística'!$C$2,'estatística'!$H$2)</f>
        <v>0.496581413</v>
      </c>
    </row>
    <row r="186" ht="15.75" customHeight="1">
      <c r="A186" s="9">
        <v>4.0</v>
      </c>
      <c r="B186" s="10" t="s">
        <v>87</v>
      </c>
      <c r="C186" s="11" t="s">
        <v>88</v>
      </c>
      <c r="D186" s="10" t="s">
        <v>13</v>
      </c>
      <c r="E186" s="11" t="s">
        <v>33</v>
      </c>
      <c r="F186" s="13">
        <v>61.74</v>
      </c>
      <c r="G186" s="14">
        <v>44963.0</v>
      </c>
      <c r="H186" s="15">
        <f t="shared" si="1"/>
        <v>6</v>
      </c>
      <c r="I186" s="16">
        <f t="shared" si="2"/>
        <v>2</v>
      </c>
      <c r="J186" s="15">
        <f t="shared" si="3"/>
        <v>2023</v>
      </c>
      <c r="K186" s="16">
        <f>STANDARDIZE(F186,'estatística'!$C$2,'estatística'!$H$2)</f>
        <v>0.7652570271</v>
      </c>
    </row>
    <row r="187" ht="15.75" customHeight="1">
      <c r="A187" s="9">
        <v>32.0</v>
      </c>
      <c r="B187" s="10" t="s">
        <v>118</v>
      </c>
      <c r="C187" s="11" t="s">
        <v>119</v>
      </c>
      <c r="D187" s="10" t="s">
        <v>17</v>
      </c>
      <c r="E187" s="11" t="s">
        <v>27</v>
      </c>
      <c r="F187" s="13">
        <v>17.65</v>
      </c>
      <c r="G187" s="14">
        <v>44963.0</v>
      </c>
      <c r="H187" s="15">
        <f t="shared" si="1"/>
        <v>6</v>
      </c>
      <c r="I187" s="16">
        <f t="shared" si="2"/>
        <v>2</v>
      </c>
      <c r="J187" s="15">
        <f t="shared" si="3"/>
        <v>2023</v>
      </c>
      <c r="K187" s="16">
        <f>STANDARDIZE(F187,'estatística'!$C$2,'estatística'!$H$2)</f>
        <v>0.207014434</v>
      </c>
    </row>
    <row r="188" ht="15.75" customHeight="1">
      <c r="A188" s="9">
        <v>88.0</v>
      </c>
      <c r="B188" s="10" t="s">
        <v>172</v>
      </c>
      <c r="C188" s="11" t="s">
        <v>178</v>
      </c>
      <c r="D188" s="10" t="s">
        <v>17</v>
      </c>
      <c r="E188" s="11" t="s">
        <v>29</v>
      </c>
      <c r="F188" s="13">
        <v>13.56</v>
      </c>
      <c r="G188" s="14">
        <v>44963.0</v>
      </c>
      <c r="H188" s="15">
        <f t="shared" si="1"/>
        <v>6</v>
      </c>
      <c r="I188" s="16">
        <f t="shared" si="2"/>
        <v>2</v>
      </c>
      <c r="J188" s="15">
        <f t="shared" si="3"/>
        <v>2023</v>
      </c>
      <c r="K188" s="16">
        <f>STANDARDIZE(F188,'estatística'!$C$2,'estatística'!$H$2)</f>
        <v>0.1552291719</v>
      </c>
    </row>
    <row r="189" ht="15.75" customHeight="1">
      <c r="A189" s="9">
        <v>83.0</v>
      </c>
      <c r="B189" s="10" t="s">
        <v>66</v>
      </c>
      <c r="C189" s="11" t="s">
        <v>67</v>
      </c>
      <c r="D189" s="10" t="s">
        <v>13</v>
      </c>
      <c r="E189" s="11" t="s">
        <v>39</v>
      </c>
      <c r="F189" s="13">
        <v>45.32</v>
      </c>
      <c r="G189" s="14">
        <v>44963.0</v>
      </c>
      <c r="H189" s="15">
        <f t="shared" si="1"/>
        <v>6</v>
      </c>
      <c r="I189" s="16">
        <f t="shared" si="2"/>
        <v>2</v>
      </c>
      <c r="J189" s="15">
        <f t="shared" si="3"/>
        <v>2023</v>
      </c>
      <c r="K189" s="16">
        <f>STANDARDIZE(F189,'estatística'!$C$2,'estatística'!$H$2)</f>
        <v>0.5573562927</v>
      </c>
    </row>
    <row r="190" ht="15.75" customHeight="1">
      <c r="A190" s="9">
        <v>39.0</v>
      </c>
      <c r="B190" s="10" t="s">
        <v>58</v>
      </c>
      <c r="C190" s="11" t="s">
        <v>59</v>
      </c>
      <c r="D190" s="10" t="s">
        <v>13</v>
      </c>
      <c r="E190" s="11" t="s">
        <v>116</v>
      </c>
      <c r="F190" s="13">
        <v>5.35</v>
      </c>
      <c r="G190" s="14">
        <v>44963.0</v>
      </c>
      <c r="H190" s="15">
        <f t="shared" si="1"/>
        <v>6</v>
      </c>
      <c r="I190" s="16">
        <f t="shared" si="2"/>
        <v>2</v>
      </c>
      <c r="J190" s="15">
        <f t="shared" si="3"/>
        <v>2023</v>
      </c>
      <c r="K190" s="16">
        <f>STANDARDIZE(F190,'estatística'!$C$2,'estatística'!$H$2)</f>
        <v>0.05127880476</v>
      </c>
    </row>
    <row r="191" ht="15.75" customHeight="1">
      <c r="A191" s="9">
        <v>44.0</v>
      </c>
      <c r="B191" s="10" t="s">
        <v>187</v>
      </c>
      <c r="C191" s="11" t="s">
        <v>188</v>
      </c>
      <c r="D191" s="10" t="s">
        <v>13</v>
      </c>
      <c r="E191" s="11" t="s">
        <v>24</v>
      </c>
      <c r="F191" s="13">
        <v>20.72</v>
      </c>
      <c r="G191" s="14">
        <v>44963.0</v>
      </c>
      <c r="H191" s="15">
        <f t="shared" si="1"/>
        <v>6</v>
      </c>
      <c r="I191" s="16">
        <f t="shared" si="2"/>
        <v>2</v>
      </c>
      <c r="J191" s="15">
        <f t="shared" si="3"/>
        <v>2023</v>
      </c>
      <c r="K191" s="16">
        <f>STANDARDIZE(F191,'estatística'!$C$2,'estatística'!$H$2)</f>
        <v>0.2458850342</v>
      </c>
    </row>
    <row r="192" ht="15.75" customHeight="1">
      <c r="A192" s="9">
        <v>34.0</v>
      </c>
      <c r="B192" s="10" t="s">
        <v>149</v>
      </c>
      <c r="C192" s="11" t="s">
        <v>150</v>
      </c>
      <c r="D192" s="10" t="s">
        <v>17</v>
      </c>
      <c r="E192" s="11" t="s">
        <v>14</v>
      </c>
      <c r="F192" s="13">
        <v>10.25</v>
      </c>
      <c r="G192" s="14">
        <v>44964.0</v>
      </c>
      <c r="H192" s="15">
        <f t="shared" si="1"/>
        <v>7</v>
      </c>
      <c r="I192" s="16">
        <f t="shared" si="2"/>
        <v>2</v>
      </c>
      <c r="J192" s="15">
        <f t="shared" si="3"/>
        <v>2023</v>
      </c>
      <c r="K192" s="16">
        <f>STANDARDIZE(F192,'estatística'!$C$2,'estatística'!$H$2)</f>
        <v>0.1133198278</v>
      </c>
    </row>
    <row r="193" ht="15.75" customHeight="1">
      <c r="A193" s="9">
        <v>25.0</v>
      </c>
      <c r="B193" s="10" t="s">
        <v>126</v>
      </c>
      <c r="C193" s="11" t="s">
        <v>127</v>
      </c>
      <c r="D193" s="10" t="s">
        <v>13</v>
      </c>
      <c r="E193" s="11" t="s">
        <v>77</v>
      </c>
      <c r="F193" s="13">
        <v>16.2</v>
      </c>
      <c r="G193" s="14">
        <v>44964.0</v>
      </c>
      <c r="H193" s="15">
        <f t="shared" si="1"/>
        <v>7</v>
      </c>
      <c r="I193" s="16">
        <f t="shared" si="2"/>
        <v>2</v>
      </c>
      <c r="J193" s="15">
        <f t="shared" si="3"/>
        <v>2023</v>
      </c>
      <c r="K193" s="16">
        <f>STANDARDIZE(F193,'estatística'!$C$2,'estatística'!$H$2)</f>
        <v>0.1886553558</v>
      </c>
    </row>
    <row r="194" ht="15.75" customHeight="1">
      <c r="A194" s="9">
        <v>80.0</v>
      </c>
      <c r="B194" s="10" t="s">
        <v>22</v>
      </c>
      <c r="C194" s="11" t="s">
        <v>23</v>
      </c>
      <c r="D194" s="10" t="s">
        <v>17</v>
      </c>
      <c r="E194" s="11" t="s">
        <v>68</v>
      </c>
      <c r="F194" s="13">
        <v>11.89</v>
      </c>
      <c r="G194" s="14">
        <v>44964.0</v>
      </c>
      <c r="H194" s="15">
        <f t="shared" si="1"/>
        <v>7</v>
      </c>
      <c r="I194" s="16">
        <f t="shared" si="2"/>
        <v>2</v>
      </c>
      <c r="J194" s="15">
        <f t="shared" si="3"/>
        <v>2023</v>
      </c>
      <c r="K194" s="16">
        <f>STANDARDIZE(F194,'estatística'!$C$2,'estatística'!$H$2)</f>
        <v>0.1340845784</v>
      </c>
    </row>
    <row r="195" ht="15.75" customHeight="1">
      <c r="A195" s="9">
        <v>56.0</v>
      </c>
      <c r="B195" s="10" t="s">
        <v>97</v>
      </c>
      <c r="C195" s="11" t="s">
        <v>98</v>
      </c>
      <c r="D195" s="10" t="s">
        <v>17</v>
      </c>
      <c r="E195" s="11" t="s">
        <v>57</v>
      </c>
      <c r="F195" s="13">
        <v>19.7</v>
      </c>
      <c r="G195" s="14">
        <v>44964.0</v>
      </c>
      <c r="H195" s="15">
        <f t="shared" si="1"/>
        <v>7</v>
      </c>
      <c r="I195" s="16">
        <f t="shared" si="2"/>
        <v>2</v>
      </c>
      <c r="J195" s="15">
        <f t="shared" si="3"/>
        <v>2023</v>
      </c>
      <c r="K195" s="16">
        <f>STANDARDIZE(F195,'estatística'!$C$2,'estatística'!$H$2)</f>
        <v>0.2329703722</v>
      </c>
    </row>
    <row r="196" ht="15.75" customHeight="1">
      <c r="A196" s="9">
        <v>54.0</v>
      </c>
      <c r="B196" s="10" t="s">
        <v>55</v>
      </c>
      <c r="C196" s="11" t="s">
        <v>56</v>
      </c>
      <c r="D196" s="10" t="s">
        <v>13</v>
      </c>
      <c r="E196" s="11" t="s">
        <v>39</v>
      </c>
      <c r="F196" s="13">
        <v>56.57</v>
      </c>
      <c r="G196" s="14">
        <v>44965.0</v>
      </c>
      <c r="H196" s="15">
        <f t="shared" si="1"/>
        <v>8</v>
      </c>
      <c r="I196" s="16">
        <f t="shared" si="2"/>
        <v>2</v>
      </c>
      <c r="J196" s="15">
        <f t="shared" si="3"/>
        <v>2023</v>
      </c>
      <c r="K196" s="16">
        <f>STANDARDIZE(F196,'estatística'!$C$2,'estatística'!$H$2)</f>
        <v>0.6997974171</v>
      </c>
    </row>
    <row r="197" ht="15.75" customHeight="1">
      <c r="A197" s="9">
        <v>68.0</v>
      </c>
      <c r="B197" s="10" t="s">
        <v>25</v>
      </c>
      <c r="C197" s="11" t="s">
        <v>26</v>
      </c>
      <c r="D197" s="10" t="s">
        <v>17</v>
      </c>
      <c r="E197" s="11" t="s">
        <v>116</v>
      </c>
      <c r="F197" s="13">
        <v>3.67</v>
      </c>
      <c r="G197" s="14">
        <v>44965.0</v>
      </c>
      <c r="H197" s="15">
        <f t="shared" si="1"/>
        <v>8</v>
      </c>
      <c r="I197" s="16">
        <f t="shared" si="2"/>
        <v>2</v>
      </c>
      <c r="J197" s="15">
        <f t="shared" si="3"/>
        <v>2023</v>
      </c>
      <c r="K197" s="16">
        <f>STANDARDIZE(F197,'estatística'!$C$2,'estatística'!$H$2)</f>
        <v>0.03000759686</v>
      </c>
    </row>
    <row r="198" ht="15.75" customHeight="1">
      <c r="A198" s="9">
        <v>76.0</v>
      </c>
      <c r="B198" s="10" t="s">
        <v>185</v>
      </c>
      <c r="C198" s="11" t="s">
        <v>186</v>
      </c>
      <c r="D198" s="10" t="s">
        <v>17</v>
      </c>
      <c r="E198" s="11" t="s">
        <v>65</v>
      </c>
      <c r="F198" s="13">
        <v>36.28</v>
      </c>
      <c r="G198" s="14">
        <v>44965.0</v>
      </c>
      <c r="H198" s="15">
        <f t="shared" si="1"/>
        <v>8</v>
      </c>
      <c r="I198" s="16">
        <f t="shared" si="2"/>
        <v>2</v>
      </c>
      <c r="J198" s="15">
        <f t="shared" si="3"/>
        <v>2023</v>
      </c>
      <c r="K198" s="16">
        <f>STANDARDIZE(F198,'estatística'!$C$2,'estatística'!$H$2)</f>
        <v>0.4428969359</v>
      </c>
    </row>
    <row r="199" ht="15.75" customHeight="1">
      <c r="A199" s="9">
        <v>15.0</v>
      </c>
      <c r="B199" s="10" t="s">
        <v>37</v>
      </c>
      <c r="C199" s="11" t="s">
        <v>38</v>
      </c>
      <c r="D199" s="10" t="s">
        <v>17</v>
      </c>
      <c r="E199" s="11" t="s">
        <v>27</v>
      </c>
      <c r="F199" s="13">
        <v>16.54</v>
      </c>
      <c r="G199" s="14">
        <v>44966.0</v>
      </c>
      <c r="H199" s="15">
        <f t="shared" si="1"/>
        <v>9</v>
      </c>
      <c r="I199" s="16">
        <f t="shared" si="2"/>
        <v>2</v>
      </c>
      <c r="J199" s="15">
        <f t="shared" si="3"/>
        <v>2023</v>
      </c>
      <c r="K199" s="16">
        <f>STANDARDIZE(F199,'estatística'!$C$2,'estatística'!$H$2)</f>
        <v>0.1929602431</v>
      </c>
    </row>
    <row r="200" ht="15.75" customHeight="1">
      <c r="A200" s="9">
        <v>48.0</v>
      </c>
      <c r="B200" s="10" t="s">
        <v>25</v>
      </c>
      <c r="C200" s="11" t="s">
        <v>28</v>
      </c>
      <c r="D200" s="10" t="s">
        <v>13</v>
      </c>
      <c r="E200" s="11" t="s">
        <v>33</v>
      </c>
      <c r="F200" s="13">
        <v>57.91</v>
      </c>
      <c r="G200" s="14">
        <v>44966.0</v>
      </c>
      <c r="H200" s="15">
        <f t="shared" si="1"/>
        <v>9</v>
      </c>
      <c r="I200" s="16">
        <f t="shared" si="2"/>
        <v>2</v>
      </c>
      <c r="J200" s="15">
        <f t="shared" si="3"/>
        <v>2023</v>
      </c>
      <c r="K200" s="16">
        <f>STANDARDIZE(F200,'estatística'!$C$2,'estatística'!$H$2)</f>
        <v>0.7167637377</v>
      </c>
    </row>
    <row r="201" ht="15.75" customHeight="1">
      <c r="A201" s="9">
        <v>70.0</v>
      </c>
      <c r="B201" s="10" t="s">
        <v>124</v>
      </c>
      <c r="C201" s="11" t="s">
        <v>125</v>
      </c>
      <c r="D201" s="10" t="s">
        <v>13</v>
      </c>
      <c r="E201" s="11" t="s">
        <v>91</v>
      </c>
      <c r="F201" s="13">
        <v>3.49</v>
      </c>
      <c r="G201" s="14">
        <v>44966.0</v>
      </c>
      <c r="H201" s="15">
        <f t="shared" si="1"/>
        <v>9</v>
      </c>
      <c r="I201" s="16">
        <f t="shared" si="2"/>
        <v>2</v>
      </c>
      <c r="J201" s="15">
        <f t="shared" si="3"/>
        <v>2023</v>
      </c>
      <c r="K201" s="16">
        <f>STANDARDIZE(F201,'estatística'!$C$2,'estatística'!$H$2)</f>
        <v>0.02772853887</v>
      </c>
    </row>
    <row r="202" ht="15.75" customHeight="1">
      <c r="A202" s="9">
        <v>41.0</v>
      </c>
      <c r="B202" s="10" t="s">
        <v>189</v>
      </c>
      <c r="C202" s="11" t="s">
        <v>190</v>
      </c>
      <c r="D202" s="10" t="s">
        <v>13</v>
      </c>
      <c r="E202" s="11" t="s">
        <v>116</v>
      </c>
      <c r="F202" s="13">
        <v>4.02</v>
      </c>
      <c r="G202" s="14">
        <v>44966.0</v>
      </c>
      <c r="H202" s="15">
        <f t="shared" si="1"/>
        <v>9</v>
      </c>
      <c r="I202" s="16">
        <f t="shared" si="2"/>
        <v>2</v>
      </c>
      <c r="J202" s="15">
        <f t="shared" si="3"/>
        <v>2023</v>
      </c>
      <c r="K202" s="16">
        <f>STANDARDIZE(F202,'estatística'!$C$2,'estatística'!$H$2)</f>
        <v>0.03443909851</v>
      </c>
    </row>
    <row r="203" ht="15.75" customHeight="1">
      <c r="A203" s="9">
        <v>74.0</v>
      </c>
      <c r="B203" s="10" t="s">
        <v>11</v>
      </c>
      <c r="C203" s="11" t="s">
        <v>94</v>
      </c>
      <c r="D203" s="10" t="s">
        <v>17</v>
      </c>
      <c r="E203" s="11" t="s">
        <v>21</v>
      </c>
      <c r="F203" s="13">
        <v>18.8</v>
      </c>
      <c r="G203" s="14">
        <v>44967.0</v>
      </c>
      <c r="H203" s="15">
        <f t="shared" si="1"/>
        <v>10</v>
      </c>
      <c r="I203" s="16">
        <f t="shared" si="2"/>
        <v>2</v>
      </c>
      <c r="J203" s="15">
        <f t="shared" si="3"/>
        <v>2023</v>
      </c>
      <c r="K203" s="16">
        <f>STANDARDIZE(F203,'estatística'!$C$2,'estatística'!$H$2)</f>
        <v>0.2215750823</v>
      </c>
    </row>
    <row r="204" ht="15.75" customHeight="1">
      <c r="A204" s="9">
        <v>46.0</v>
      </c>
      <c r="B204" s="10" t="s">
        <v>114</v>
      </c>
      <c r="C204" s="11" t="s">
        <v>115</v>
      </c>
      <c r="D204" s="10" t="s">
        <v>17</v>
      </c>
      <c r="E204" s="11" t="s">
        <v>32</v>
      </c>
      <c r="F204" s="13">
        <v>26.05</v>
      </c>
      <c r="G204" s="14">
        <v>44967.0</v>
      </c>
      <c r="H204" s="15">
        <f t="shared" si="1"/>
        <v>10</v>
      </c>
      <c r="I204" s="16">
        <f t="shared" si="2"/>
        <v>2</v>
      </c>
      <c r="J204" s="15">
        <f t="shared" si="3"/>
        <v>2023</v>
      </c>
      <c r="K204" s="16">
        <f>STANDARDIZE(F204,'estatística'!$C$2,'estatística'!$H$2)</f>
        <v>0.3133704735</v>
      </c>
    </row>
    <row r="205" ht="15.75" customHeight="1">
      <c r="A205" s="9">
        <v>67.0</v>
      </c>
      <c r="B205" s="10" t="s">
        <v>176</v>
      </c>
      <c r="C205" s="11" t="s">
        <v>177</v>
      </c>
      <c r="D205" s="10" t="s">
        <v>17</v>
      </c>
      <c r="E205" s="11" t="s">
        <v>18</v>
      </c>
      <c r="F205" s="13">
        <v>45.26</v>
      </c>
      <c r="G205" s="14">
        <v>44967.0</v>
      </c>
      <c r="H205" s="15">
        <f t="shared" si="1"/>
        <v>10</v>
      </c>
      <c r="I205" s="16">
        <f t="shared" si="2"/>
        <v>2</v>
      </c>
      <c r="J205" s="15">
        <f t="shared" si="3"/>
        <v>2023</v>
      </c>
      <c r="K205" s="16">
        <f>STANDARDIZE(F205,'estatística'!$C$2,'estatística'!$H$2)</f>
        <v>0.5565966067</v>
      </c>
    </row>
    <row r="206" ht="15.75" customHeight="1">
      <c r="A206" s="9">
        <v>40.0</v>
      </c>
      <c r="B206" s="10" t="s">
        <v>92</v>
      </c>
      <c r="C206" s="11" t="s">
        <v>157</v>
      </c>
      <c r="D206" s="10" t="s">
        <v>17</v>
      </c>
      <c r="E206" s="11" t="s">
        <v>24</v>
      </c>
      <c r="F206" s="13">
        <v>41.5</v>
      </c>
      <c r="G206" s="14">
        <v>44967.0</v>
      </c>
      <c r="H206" s="15">
        <f t="shared" si="1"/>
        <v>10</v>
      </c>
      <c r="I206" s="16">
        <f t="shared" si="2"/>
        <v>2</v>
      </c>
      <c r="J206" s="15">
        <f t="shared" si="3"/>
        <v>2023</v>
      </c>
      <c r="K206" s="16">
        <f>STANDARDIZE(F206,'estatística'!$C$2,'estatística'!$H$2)</f>
        <v>0.5089896176</v>
      </c>
    </row>
    <row r="207" ht="15.75" customHeight="1">
      <c r="A207" s="9">
        <v>6.0</v>
      </c>
      <c r="B207" s="10" t="s">
        <v>155</v>
      </c>
      <c r="C207" s="11" t="s">
        <v>156</v>
      </c>
      <c r="D207" s="10" t="s">
        <v>17</v>
      </c>
      <c r="E207" s="11" t="s">
        <v>57</v>
      </c>
      <c r="F207" s="13">
        <v>18.82</v>
      </c>
      <c r="G207" s="14">
        <v>44967.0</v>
      </c>
      <c r="H207" s="15">
        <f t="shared" si="1"/>
        <v>10</v>
      </c>
      <c r="I207" s="16">
        <f t="shared" si="2"/>
        <v>2</v>
      </c>
      <c r="J207" s="15">
        <f t="shared" si="3"/>
        <v>2023</v>
      </c>
      <c r="K207" s="16">
        <f>STANDARDIZE(F207,'estatística'!$C$2,'estatística'!$H$2)</f>
        <v>0.221828311</v>
      </c>
    </row>
    <row r="208" ht="15.75" customHeight="1">
      <c r="A208" s="9">
        <v>46.0</v>
      </c>
      <c r="B208" s="10" t="s">
        <v>114</v>
      </c>
      <c r="C208" s="11" t="s">
        <v>115</v>
      </c>
      <c r="D208" s="10" t="s">
        <v>13</v>
      </c>
      <c r="E208" s="11" t="s">
        <v>62</v>
      </c>
      <c r="F208" s="13">
        <v>11.69</v>
      </c>
      <c r="G208" s="14">
        <v>44967.0</v>
      </c>
      <c r="H208" s="15">
        <f t="shared" si="1"/>
        <v>10</v>
      </c>
      <c r="I208" s="16">
        <f t="shared" si="2"/>
        <v>2</v>
      </c>
      <c r="J208" s="15">
        <f t="shared" si="3"/>
        <v>2023</v>
      </c>
      <c r="K208" s="16">
        <f>STANDARDIZE(F208,'estatística'!$C$2,'estatística'!$H$2)</f>
        <v>0.1315522917</v>
      </c>
    </row>
    <row r="209" ht="15.75" customHeight="1">
      <c r="A209" s="9">
        <v>47.0</v>
      </c>
      <c r="B209" s="10" t="s">
        <v>89</v>
      </c>
      <c r="C209" s="11" t="s">
        <v>90</v>
      </c>
      <c r="D209" s="10" t="s">
        <v>13</v>
      </c>
      <c r="E209" s="11" t="s">
        <v>14</v>
      </c>
      <c r="F209" s="13">
        <v>10.5</v>
      </c>
      <c r="G209" s="14">
        <v>44967.0</v>
      </c>
      <c r="H209" s="15">
        <f t="shared" si="1"/>
        <v>10</v>
      </c>
      <c r="I209" s="16">
        <f t="shared" si="2"/>
        <v>2</v>
      </c>
      <c r="J209" s="15">
        <f t="shared" si="3"/>
        <v>2023</v>
      </c>
      <c r="K209" s="16">
        <f>STANDARDIZE(F209,'estatística'!$C$2,'estatística'!$H$2)</f>
        <v>0.1164851861</v>
      </c>
    </row>
    <row r="210" ht="15.75" customHeight="1">
      <c r="A210" s="9">
        <v>30.0</v>
      </c>
      <c r="B210" s="10" t="s">
        <v>11</v>
      </c>
      <c r="C210" s="11" t="s">
        <v>12</v>
      </c>
      <c r="D210" s="10" t="s">
        <v>13</v>
      </c>
      <c r="E210" s="11" t="s">
        <v>21</v>
      </c>
      <c r="F210" s="13">
        <v>11.66</v>
      </c>
      <c r="G210" s="14">
        <v>44967.0</v>
      </c>
      <c r="H210" s="15">
        <f t="shared" si="1"/>
        <v>10</v>
      </c>
      <c r="I210" s="16">
        <f t="shared" si="2"/>
        <v>2</v>
      </c>
      <c r="J210" s="15">
        <f t="shared" si="3"/>
        <v>2023</v>
      </c>
      <c r="K210" s="16">
        <f>STANDARDIZE(F210,'estatística'!$C$2,'estatística'!$H$2)</f>
        <v>0.1311724487</v>
      </c>
    </row>
    <row r="211" ht="15.75" customHeight="1">
      <c r="A211" s="9">
        <v>90.0</v>
      </c>
      <c r="B211" s="10" t="s">
        <v>191</v>
      </c>
      <c r="C211" s="11" t="s">
        <v>192</v>
      </c>
      <c r="D211" s="10" t="s">
        <v>17</v>
      </c>
      <c r="E211" s="11" t="s">
        <v>33</v>
      </c>
      <c r="F211" s="13">
        <v>57.47</v>
      </c>
      <c r="G211" s="14">
        <v>44967.0</v>
      </c>
      <c r="H211" s="15">
        <f t="shared" si="1"/>
        <v>10</v>
      </c>
      <c r="I211" s="16">
        <f t="shared" si="2"/>
        <v>2</v>
      </c>
      <c r="J211" s="15">
        <f t="shared" si="3"/>
        <v>2023</v>
      </c>
      <c r="K211" s="16">
        <f>STANDARDIZE(F211,'estatística'!$C$2,'estatística'!$H$2)</f>
        <v>0.711192707</v>
      </c>
    </row>
    <row r="212" ht="15.75" customHeight="1">
      <c r="A212" s="9">
        <v>45.0</v>
      </c>
      <c r="B212" s="10" t="s">
        <v>193</v>
      </c>
      <c r="C212" s="11" t="s">
        <v>194</v>
      </c>
      <c r="D212" s="10" t="s">
        <v>17</v>
      </c>
      <c r="E212" s="11" t="s">
        <v>48</v>
      </c>
      <c r="F212" s="13">
        <v>14.14</v>
      </c>
      <c r="G212" s="14">
        <v>44968.0</v>
      </c>
      <c r="H212" s="15">
        <f t="shared" si="1"/>
        <v>11</v>
      </c>
      <c r="I212" s="16">
        <f t="shared" si="2"/>
        <v>2</v>
      </c>
      <c r="J212" s="15">
        <f t="shared" si="3"/>
        <v>2023</v>
      </c>
      <c r="K212" s="16">
        <f>STANDARDIZE(F212,'estatística'!$C$2,'estatística'!$H$2)</f>
        <v>0.1625728032</v>
      </c>
    </row>
    <row r="213" ht="15.75" customHeight="1">
      <c r="A213" s="9">
        <v>100.0</v>
      </c>
      <c r="B213" s="10" t="s">
        <v>30</v>
      </c>
      <c r="C213" s="11" t="s">
        <v>31</v>
      </c>
      <c r="D213" s="10" t="s">
        <v>13</v>
      </c>
      <c r="E213" s="11" t="s">
        <v>80</v>
      </c>
      <c r="F213" s="13">
        <v>39.88</v>
      </c>
      <c r="G213" s="14">
        <v>44968.0</v>
      </c>
      <c r="H213" s="15">
        <f t="shared" si="1"/>
        <v>11</v>
      </c>
      <c r="I213" s="16">
        <f t="shared" si="2"/>
        <v>2</v>
      </c>
      <c r="J213" s="15">
        <f t="shared" si="3"/>
        <v>2023</v>
      </c>
      <c r="K213" s="16">
        <f>STANDARDIZE(F213,'estatística'!$C$2,'estatística'!$H$2)</f>
        <v>0.4884780957</v>
      </c>
    </row>
    <row r="214" ht="15.75" customHeight="1">
      <c r="A214" s="9">
        <v>6.0</v>
      </c>
      <c r="B214" s="10" t="s">
        <v>155</v>
      </c>
      <c r="C214" s="11" t="s">
        <v>156</v>
      </c>
      <c r="D214" s="10" t="s">
        <v>17</v>
      </c>
      <c r="E214" s="11" t="s">
        <v>27</v>
      </c>
      <c r="F214" s="13">
        <v>20.32</v>
      </c>
      <c r="G214" s="14">
        <v>44968.0</v>
      </c>
      <c r="H214" s="15">
        <f t="shared" si="1"/>
        <v>11</v>
      </c>
      <c r="I214" s="16">
        <f t="shared" si="2"/>
        <v>2</v>
      </c>
      <c r="J214" s="15">
        <f t="shared" si="3"/>
        <v>2023</v>
      </c>
      <c r="K214" s="16">
        <f>STANDARDIZE(F214,'estatística'!$C$2,'estatística'!$H$2)</f>
        <v>0.2408204609</v>
      </c>
    </row>
    <row r="215" ht="15.75" customHeight="1">
      <c r="A215" s="9">
        <v>91.0</v>
      </c>
      <c r="B215" s="10" t="s">
        <v>81</v>
      </c>
      <c r="C215" s="11" t="s">
        <v>82</v>
      </c>
      <c r="D215" s="10" t="s">
        <v>13</v>
      </c>
      <c r="E215" s="11" t="s">
        <v>91</v>
      </c>
      <c r="F215" s="13">
        <v>1.96</v>
      </c>
      <c r="G215" s="14">
        <v>44968.0</v>
      </c>
      <c r="H215" s="15">
        <f t="shared" si="1"/>
        <v>11</v>
      </c>
      <c r="I215" s="16">
        <f t="shared" si="2"/>
        <v>2</v>
      </c>
      <c r="J215" s="15">
        <f t="shared" si="3"/>
        <v>2023</v>
      </c>
      <c r="K215" s="16">
        <f>STANDARDIZE(F215,'estatística'!$C$2,'estatística'!$H$2)</f>
        <v>0.008356545961</v>
      </c>
    </row>
    <row r="216" ht="15.75" customHeight="1">
      <c r="A216" s="9">
        <v>32.0</v>
      </c>
      <c r="B216" s="10" t="s">
        <v>118</v>
      </c>
      <c r="C216" s="11" t="s">
        <v>119</v>
      </c>
      <c r="D216" s="10" t="s">
        <v>13</v>
      </c>
      <c r="E216" s="11" t="s">
        <v>57</v>
      </c>
      <c r="F216" s="13">
        <v>16.05</v>
      </c>
      <c r="G216" s="14">
        <v>44968.0</v>
      </c>
      <c r="H216" s="15">
        <f t="shared" si="1"/>
        <v>11</v>
      </c>
      <c r="I216" s="16">
        <f t="shared" si="2"/>
        <v>2</v>
      </c>
      <c r="J216" s="15">
        <f t="shared" si="3"/>
        <v>2023</v>
      </c>
      <c r="K216" s="16">
        <f>STANDARDIZE(F216,'estatística'!$C$2,'estatística'!$H$2)</f>
        <v>0.1867561408</v>
      </c>
    </row>
    <row r="217" ht="15.75" customHeight="1">
      <c r="A217" s="9">
        <v>77.0</v>
      </c>
      <c r="B217" s="10" t="s">
        <v>11</v>
      </c>
      <c r="C217" s="11" t="s">
        <v>141</v>
      </c>
      <c r="D217" s="10" t="s">
        <v>13</v>
      </c>
      <c r="E217" s="11" t="s">
        <v>77</v>
      </c>
      <c r="F217" s="13">
        <v>13.02</v>
      </c>
      <c r="G217" s="14">
        <v>44968.0</v>
      </c>
      <c r="H217" s="15">
        <f t="shared" si="1"/>
        <v>11</v>
      </c>
      <c r="I217" s="16">
        <f t="shared" si="2"/>
        <v>2</v>
      </c>
      <c r="J217" s="15">
        <f t="shared" si="3"/>
        <v>2023</v>
      </c>
      <c r="K217" s="16">
        <f>STANDARDIZE(F217,'estatística'!$C$2,'estatística'!$H$2)</f>
        <v>0.148391998</v>
      </c>
    </row>
    <row r="218" ht="15.75" customHeight="1">
      <c r="A218" s="9">
        <v>35.0</v>
      </c>
      <c r="B218" s="10" t="s">
        <v>95</v>
      </c>
      <c r="C218" s="11" t="s">
        <v>96</v>
      </c>
      <c r="D218" s="10" t="s">
        <v>17</v>
      </c>
      <c r="E218" s="11" t="s">
        <v>62</v>
      </c>
      <c r="F218" s="13">
        <v>12.09</v>
      </c>
      <c r="G218" s="14">
        <v>44968.0</v>
      </c>
      <c r="H218" s="15">
        <f t="shared" si="1"/>
        <v>11</v>
      </c>
      <c r="I218" s="16">
        <f t="shared" si="2"/>
        <v>2</v>
      </c>
      <c r="J218" s="15">
        <f t="shared" si="3"/>
        <v>2023</v>
      </c>
      <c r="K218" s="16">
        <f>STANDARDIZE(F218,'estatística'!$C$2,'estatística'!$H$2)</f>
        <v>0.136616865</v>
      </c>
    </row>
    <row r="219" ht="15.75" customHeight="1">
      <c r="A219" s="9">
        <v>91.0</v>
      </c>
      <c r="B219" s="10" t="s">
        <v>81</v>
      </c>
      <c r="C219" s="11" t="s">
        <v>82</v>
      </c>
      <c r="D219" s="10" t="s">
        <v>17</v>
      </c>
      <c r="E219" s="11" t="s">
        <v>91</v>
      </c>
      <c r="F219" s="13">
        <v>3.49</v>
      </c>
      <c r="G219" s="14">
        <v>44968.0</v>
      </c>
      <c r="H219" s="15">
        <f t="shared" si="1"/>
        <v>11</v>
      </c>
      <c r="I219" s="16">
        <f t="shared" si="2"/>
        <v>2</v>
      </c>
      <c r="J219" s="15">
        <f t="shared" si="3"/>
        <v>2023</v>
      </c>
      <c r="K219" s="16">
        <f>STANDARDIZE(F219,'estatística'!$C$2,'estatística'!$H$2)</f>
        <v>0.02772853887</v>
      </c>
    </row>
    <row r="220" ht="15.75" customHeight="1">
      <c r="A220" s="9">
        <v>95.0</v>
      </c>
      <c r="B220" s="10" t="s">
        <v>78</v>
      </c>
      <c r="C220" s="11" t="s">
        <v>79</v>
      </c>
      <c r="D220" s="10" t="s">
        <v>17</v>
      </c>
      <c r="E220" s="11" t="s">
        <v>48</v>
      </c>
      <c r="F220" s="13">
        <v>9.68</v>
      </c>
      <c r="G220" s="14">
        <v>44968.0</v>
      </c>
      <c r="H220" s="15">
        <f t="shared" si="1"/>
        <v>11</v>
      </c>
      <c r="I220" s="16">
        <f t="shared" si="2"/>
        <v>2</v>
      </c>
      <c r="J220" s="15">
        <f t="shared" si="3"/>
        <v>2023</v>
      </c>
      <c r="K220" s="16">
        <f>STANDARDIZE(F220,'estatística'!$C$2,'estatística'!$H$2)</f>
        <v>0.1061028108</v>
      </c>
    </row>
    <row r="221" ht="15.75" customHeight="1">
      <c r="A221" s="9">
        <v>84.0</v>
      </c>
      <c r="B221" s="10" t="s">
        <v>112</v>
      </c>
      <c r="C221" s="11" t="s">
        <v>113</v>
      </c>
      <c r="D221" s="10" t="s">
        <v>13</v>
      </c>
      <c r="E221" s="11" t="s">
        <v>107</v>
      </c>
      <c r="F221" s="13">
        <v>25.63</v>
      </c>
      <c r="G221" s="14">
        <v>44968.0</v>
      </c>
      <c r="H221" s="15">
        <f t="shared" si="1"/>
        <v>11</v>
      </c>
      <c r="I221" s="16">
        <f t="shared" si="2"/>
        <v>2</v>
      </c>
      <c r="J221" s="15">
        <f t="shared" si="3"/>
        <v>2023</v>
      </c>
      <c r="K221" s="16">
        <f>STANDARDIZE(F221,'estatística'!$C$2,'estatística'!$H$2)</f>
        <v>0.3080526716</v>
      </c>
    </row>
    <row r="222" ht="15.75" customHeight="1">
      <c r="A222" s="9">
        <v>59.0</v>
      </c>
      <c r="B222" s="10" t="s">
        <v>71</v>
      </c>
      <c r="C222" s="11" t="s">
        <v>72</v>
      </c>
      <c r="D222" s="10" t="s">
        <v>13</v>
      </c>
      <c r="E222" s="11" t="s">
        <v>57</v>
      </c>
      <c r="F222" s="13">
        <v>25.27</v>
      </c>
      <c r="G222" s="14">
        <v>44968.0</v>
      </c>
      <c r="H222" s="15">
        <f t="shared" si="1"/>
        <v>11</v>
      </c>
      <c r="I222" s="16">
        <f t="shared" si="2"/>
        <v>2</v>
      </c>
      <c r="J222" s="15">
        <f t="shared" si="3"/>
        <v>2023</v>
      </c>
      <c r="K222" s="16">
        <f>STANDARDIZE(F222,'estatística'!$C$2,'estatística'!$H$2)</f>
        <v>0.3034945556</v>
      </c>
    </row>
    <row r="223" ht="15.75" customHeight="1">
      <c r="A223" s="9">
        <v>33.0</v>
      </c>
      <c r="B223" s="10" t="s">
        <v>163</v>
      </c>
      <c r="C223" s="11" t="s">
        <v>164</v>
      </c>
      <c r="D223" s="10" t="s">
        <v>13</v>
      </c>
      <c r="E223" s="11" t="s">
        <v>24</v>
      </c>
      <c r="F223" s="13">
        <v>25.53</v>
      </c>
      <c r="G223" s="14">
        <v>44968.0</v>
      </c>
      <c r="H223" s="15">
        <f t="shared" si="1"/>
        <v>11</v>
      </c>
      <c r="I223" s="16">
        <f t="shared" si="2"/>
        <v>2</v>
      </c>
      <c r="J223" s="15">
        <f t="shared" si="3"/>
        <v>2023</v>
      </c>
      <c r="K223" s="16">
        <f>STANDARDIZE(F223,'estatística'!$C$2,'estatística'!$H$2)</f>
        <v>0.3067865282</v>
      </c>
    </row>
    <row r="224" ht="15.75" customHeight="1">
      <c r="A224" s="9">
        <v>9.0</v>
      </c>
      <c r="B224" s="10" t="s">
        <v>179</v>
      </c>
      <c r="C224" s="11" t="s">
        <v>180</v>
      </c>
      <c r="D224" s="10" t="s">
        <v>13</v>
      </c>
      <c r="E224" s="11" t="s">
        <v>29</v>
      </c>
      <c r="F224" s="13">
        <v>13.72</v>
      </c>
      <c r="G224" s="14">
        <v>44969.0</v>
      </c>
      <c r="H224" s="15">
        <f t="shared" si="1"/>
        <v>12</v>
      </c>
      <c r="I224" s="16">
        <f t="shared" si="2"/>
        <v>2</v>
      </c>
      <c r="J224" s="15">
        <f t="shared" si="3"/>
        <v>2023</v>
      </c>
      <c r="K224" s="16">
        <f>STANDARDIZE(F224,'estatística'!$C$2,'estatística'!$H$2)</f>
        <v>0.1572550013</v>
      </c>
    </row>
    <row r="225" ht="15.75" customHeight="1">
      <c r="A225" s="9">
        <v>27.0</v>
      </c>
      <c r="B225" s="10" t="s">
        <v>145</v>
      </c>
      <c r="C225" s="11" t="s">
        <v>146</v>
      </c>
      <c r="D225" s="10" t="s">
        <v>17</v>
      </c>
      <c r="E225" s="11" t="s">
        <v>80</v>
      </c>
      <c r="F225" s="13">
        <v>36.28</v>
      </c>
      <c r="G225" s="14">
        <v>44969.0</v>
      </c>
      <c r="H225" s="15">
        <f t="shared" si="1"/>
        <v>12</v>
      </c>
      <c r="I225" s="16">
        <f t="shared" si="2"/>
        <v>2</v>
      </c>
      <c r="J225" s="15">
        <f t="shared" si="3"/>
        <v>2023</v>
      </c>
      <c r="K225" s="16">
        <f>STANDARDIZE(F225,'estatística'!$C$2,'estatística'!$H$2)</f>
        <v>0.4428969359</v>
      </c>
    </row>
    <row r="226" ht="15.75" customHeight="1">
      <c r="A226" s="9">
        <v>38.0</v>
      </c>
      <c r="B226" s="10" t="s">
        <v>85</v>
      </c>
      <c r="C226" s="11" t="s">
        <v>86</v>
      </c>
      <c r="D226" s="10" t="s">
        <v>13</v>
      </c>
      <c r="E226" s="11" t="s">
        <v>27</v>
      </c>
      <c r="F226" s="13">
        <v>14.78</v>
      </c>
      <c r="G226" s="14">
        <v>44969.0</v>
      </c>
      <c r="H226" s="15">
        <f t="shared" si="1"/>
        <v>12</v>
      </c>
      <c r="I226" s="16">
        <f t="shared" si="2"/>
        <v>2</v>
      </c>
      <c r="J226" s="15">
        <f t="shared" si="3"/>
        <v>2023</v>
      </c>
      <c r="K226" s="16">
        <f>STANDARDIZE(F226,'estatística'!$C$2,'estatística'!$H$2)</f>
        <v>0.1706761205</v>
      </c>
    </row>
    <row r="227" ht="15.75" customHeight="1">
      <c r="A227" s="9">
        <v>73.0</v>
      </c>
      <c r="B227" s="10" t="s">
        <v>195</v>
      </c>
      <c r="C227" s="11" t="s">
        <v>196</v>
      </c>
      <c r="D227" s="10" t="s">
        <v>17</v>
      </c>
      <c r="E227" s="11" t="s">
        <v>29</v>
      </c>
      <c r="F227" s="13">
        <v>13.74</v>
      </c>
      <c r="G227" s="14">
        <v>44969.0</v>
      </c>
      <c r="H227" s="15">
        <f t="shared" si="1"/>
        <v>12</v>
      </c>
      <c r="I227" s="16">
        <f t="shared" si="2"/>
        <v>2</v>
      </c>
      <c r="J227" s="15">
        <f t="shared" si="3"/>
        <v>2023</v>
      </c>
      <c r="K227" s="16">
        <f>STANDARDIZE(F227,'estatística'!$C$2,'estatística'!$H$2)</f>
        <v>0.1575082299</v>
      </c>
    </row>
    <row r="228" ht="15.75" customHeight="1">
      <c r="A228" s="9">
        <v>20.0</v>
      </c>
      <c r="B228" s="10" t="s">
        <v>133</v>
      </c>
      <c r="C228" s="11" t="s">
        <v>134</v>
      </c>
      <c r="D228" s="10" t="s">
        <v>13</v>
      </c>
      <c r="E228" s="11" t="s">
        <v>32</v>
      </c>
      <c r="F228" s="13">
        <v>24.7</v>
      </c>
      <c r="G228" s="14">
        <v>44969.0</v>
      </c>
      <c r="H228" s="15">
        <f t="shared" si="1"/>
        <v>12</v>
      </c>
      <c r="I228" s="16">
        <f t="shared" si="2"/>
        <v>2</v>
      </c>
      <c r="J228" s="15">
        <f t="shared" si="3"/>
        <v>2023</v>
      </c>
      <c r="K228" s="16">
        <f>STANDARDIZE(F228,'estatística'!$C$2,'estatística'!$H$2)</f>
        <v>0.2962775386</v>
      </c>
    </row>
    <row r="229" ht="15.75" customHeight="1">
      <c r="A229" s="9">
        <v>47.0</v>
      </c>
      <c r="B229" s="10" t="s">
        <v>89</v>
      </c>
      <c r="C229" s="11" t="s">
        <v>90</v>
      </c>
      <c r="D229" s="10" t="s">
        <v>13</v>
      </c>
      <c r="E229" s="11" t="s">
        <v>14</v>
      </c>
      <c r="F229" s="13">
        <v>10.31</v>
      </c>
      <c r="G229" s="14">
        <v>44969.0</v>
      </c>
      <c r="H229" s="15">
        <f t="shared" si="1"/>
        <v>12</v>
      </c>
      <c r="I229" s="16">
        <f t="shared" si="2"/>
        <v>2</v>
      </c>
      <c r="J229" s="15">
        <f t="shared" si="3"/>
        <v>2023</v>
      </c>
      <c r="K229" s="16">
        <f>STANDARDIZE(F229,'estatística'!$C$2,'estatística'!$H$2)</f>
        <v>0.1140795138</v>
      </c>
    </row>
    <row r="230" ht="15.75" customHeight="1">
      <c r="A230" s="9">
        <v>36.0</v>
      </c>
      <c r="B230" s="10" t="s">
        <v>60</v>
      </c>
      <c r="C230" s="11" t="s">
        <v>61</v>
      </c>
      <c r="D230" s="10" t="s">
        <v>13</v>
      </c>
      <c r="E230" s="11" t="s">
        <v>48</v>
      </c>
      <c r="F230" s="13">
        <v>15.52</v>
      </c>
      <c r="G230" s="14">
        <v>44970.0</v>
      </c>
      <c r="H230" s="15">
        <f t="shared" si="1"/>
        <v>13</v>
      </c>
      <c r="I230" s="16">
        <f t="shared" si="2"/>
        <v>2</v>
      </c>
      <c r="J230" s="15">
        <f t="shared" si="3"/>
        <v>2023</v>
      </c>
      <c r="K230" s="16">
        <f>STANDARDIZE(F230,'estatística'!$C$2,'estatística'!$H$2)</f>
        <v>0.1800455812</v>
      </c>
    </row>
    <row r="231" ht="15.75" customHeight="1">
      <c r="A231" s="9">
        <v>43.0</v>
      </c>
      <c r="B231" s="10" t="s">
        <v>63</v>
      </c>
      <c r="C231" s="11" t="s">
        <v>64</v>
      </c>
      <c r="D231" s="10" t="s">
        <v>17</v>
      </c>
      <c r="E231" s="11" t="s">
        <v>77</v>
      </c>
      <c r="F231" s="13">
        <v>14.48</v>
      </c>
      <c r="G231" s="14">
        <v>44970.0</v>
      </c>
      <c r="H231" s="15">
        <f t="shared" si="1"/>
        <v>13</v>
      </c>
      <c r="I231" s="16">
        <f t="shared" si="2"/>
        <v>2</v>
      </c>
      <c r="J231" s="15">
        <f t="shared" si="3"/>
        <v>2023</v>
      </c>
      <c r="K231" s="16">
        <f>STANDARDIZE(F231,'estatística'!$C$2,'estatística'!$H$2)</f>
        <v>0.1668776906</v>
      </c>
    </row>
    <row r="232" ht="15.75" customHeight="1">
      <c r="A232" s="9">
        <v>3.0</v>
      </c>
      <c r="B232" s="10" t="s">
        <v>51</v>
      </c>
      <c r="C232" s="11" t="s">
        <v>52</v>
      </c>
      <c r="D232" s="10" t="s">
        <v>13</v>
      </c>
      <c r="E232" s="11" t="s">
        <v>48</v>
      </c>
      <c r="F232" s="13">
        <v>19.16</v>
      </c>
      <c r="G232" s="14">
        <v>44970.0</v>
      </c>
      <c r="H232" s="15">
        <f t="shared" si="1"/>
        <v>13</v>
      </c>
      <c r="I232" s="16">
        <f t="shared" si="2"/>
        <v>2</v>
      </c>
      <c r="J232" s="15">
        <f t="shared" si="3"/>
        <v>2023</v>
      </c>
      <c r="K232" s="16">
        <f>STANDARDIZE(F232,'estatística'!$C$2,'estatística'!$H$2)</f>
        <v>0.2261331983</v>
      </c>
    </row>
    <row r="233" ht="15.75" customHeight="1">
      <c r="A233" s="9">
        <v>63.0</v>
      </c>
      <c r="B233" s="10" t="s">
        <v>197</v>
      </c>
      <c r="C233" s="11" t="s">
        <v>198</v>
      </c>
      <c r="D233" s="10" t="s">
        <v>17</v>
      </c>
      <c r="E233" s="11" t="s">
        <v>32</v>
      </c>
      <c r="F233" s="13">
        <v>33.99</v>
      </c>
      <c r="G233" s="14">
        <v>44970.0</v>
      </c>
      <c r="H233" s="15">
        <f t="shared" si="1"/>
        <v>13</v>
      </c>
      <c r="I233" s="16">
        <f t="shared" si="2"/>
        <v>2</v>
      </c>
      <c r="J233" s="15">
        <f t="shared" si="3"/>
        <v>2023</v>
      </c>
      <c r="K233" s="16">
        <f>STANDARDIZE(F233,'estatística'!$C$2,'estatística'!$H$2)</f>
        <v>0.4139022537</v>
      </c>
    </row>
    <row r="234" ht="15.75" customHeight="1">
      <c r="A234" s="9">
        <v>2.0</v>
      </c>
      <c r="B234" s="10" t="s">
        <v>53</v>
      </c>
      <c r="C234" s="11" t="s">
        <v>54</v>
      </c>
      <c r="D234" s="10" t="s">
        <v>17</v>
      </c>
      <c r="E234" s="11" t="s">
        <v>32</v>
      </c>
      <c r="F234" s="13">
        <v>33.08</v>
      </c>
      <c r="G234" s="14">
        <v>44970.0</v>
      </c>
      <c r="H234" s="15">
        <f t="shared" si="1"/>
        <v>13</v>
      </c>
      <c r="I234" s="16">
        <f t="shared" si="2"/>
        <v>2</v>
      </c>
      <c r="J234" s="15">
        <f t="shared" si="3"/>
        <v>2023</v>
      </c>
      <c r="K234" s="16">
        <f>STANDARDIZE(F234,'estatística'!$C$2,'estatística'!$H$2)</f>
        <v>0.4023803495</v>
      </c>
    </row>
    <row r="235" ht="15.75" customHeight="1">
      <c r="A235" s="9">
        <v>99.0</v>
      </c>
      <c r="B235" s="10" t="s">
        <v>46</v>
      </c>
      <c r="C235" s="11" t="s">
        <v>47</v>
      </c>
      <c r="D235" s="10" t="s">
        <v>17</v>
      </c>
      <c r="E235" s="11" t="s">
        <v>62</v>
      </c>
      <c r="F235" s="13">
        <v>12.51</v>
      </c>
      <c r="G235" s="14">
        <v>44971.0</v>
      </c>
      <c r="H235" s="15">
        <f t="shared" si="1"/>
        <v>14</v>
      </c>
      <c r="I235" s="16">
        <f t="shared" si="2"/>
        <v>2</v>
      </c>
      <c r="J235" s="15">
        <f t="shared" si="3"/>
        <v>2023</v>
      </c>
      <c r="K235" s="16">
        <f>STANDARDIZE(F235,'estatística'!$C$2,'estatística'!$H$2)</f>
        <v>0.141934667</v>
      </c>
    </row>
    <row r="236" ht="15.75" customHeight="1">
      <c r="A236" s="9">
        <v>67.0</v>
      </c>
      <c r="B236" s="10" t="s">
        <v>176</v>
      </c>
      <c r="C236" s="11" t="s">
        <v>177</v>
      </c>
      <c r="D236" s="10" t="s">
        <v>17</v>
      </c>
      <c r="E236" s="11" t="s">
        <v>80</v>
      </c>
      <c r="F236" s="13">
        <v>40.71</v>
      </c>
      <c r="G236" s="14">
        <v>44971.0</v>
      </c>
      <c r="H236" s="15">
        <f t="shared" si="1"/>
        <v>14</v>
      </c>
      <c r="I236" s="16">
        <f t="shared" si="2"/>
        <v>2</v>
      </c>
      <c r="J236" s="15">
        <f t="shared" si="3"/>
        <v>2023</v>
      </c>
      <c r="K236" s="16">
        <f>STANDARDIZE(F236,'estatística'!$C$2,'estatística'!$H$2)</f>
        <v>0.4989870853</v>
      </c>
    </row>
    <row r="237" ht="15.75" customHeight="1">
      <c r="A237" s="9">
        <v>98.0</v>
      </c>
      <c r="B237" s="10" t="s">
        <v>131</v>
      </c>
      <c r="C237" s="11" t="s">
        <v>168</v>
      </c>
      <c r="D237" s="10" t="s">
        <v>17</v>
      </c>
      <c r="E237" s="11" t="s">
        <v>39</v>
      </c>
      <c r="F237" s="13">
        <v>40.7</v>
      </c>
      <c r="G237" s="14">
        <v>44971.0</v>
      </c>
      <c r="H237" s="15">
        <f t="shared" si="1"/>
        <v>14</v>
      </c>
      <c r="I237" s="16">
        <f t="shared" si="2"/>
        <v>2</v>
      </c>
      <c r="J237" s="15">
        <f t="shared" si="3"/>
        <v>2023</v>
      </c>
      <c r="K237" s="16">
        <f>STANDARDIZE(F237,'estatística'!$C$2,'estatística'!$H$2)</f>
        <v>0.498860471</v>
      </c>
    </row>
    <row r="238" ht="15.75" customHeight="1">
      <c r="A238" s="9">
        <v>57.0</v>
      </c>
      <c r="B238" s="10" t="s">
        <v>60</v>
      </c>
      <c r="C238" s="11" t="s">
        <v>162</v>
      </c>
      <c r="D238" s="10" t="s">
        <v>17</v>
      </c>
      <c r="E238" s="11" t="s">
        <v>29</v>
      </c>
      <c r="F238" s="13">
        <v>14.87</v>
      </c>
      <c r="G238" s="14">
        <v>44971.0</v>
      </c>
      <c r="H238" s="15">
        <f t="shared" si="1"/>
        <v>14</v>
      </c>
      <c r="I238" s="16">
        <f t="shared" si="2"/>
        <v>2</v>
      </c>
      <c r="J238" s="15">
        <f t="shared" si="3"/>
        <v>2023</v>
      </c>
      <c r="K238" s="16">
        <f>STANDARDIZE(F238,'estatística'!$C$2,'estatística'!$H$2)</f>
        <v>0.1718156495</v>
      </c>
    </row>
    <row r="239" ht="15.75" customHeight="1">
      <c r="A239" s="9">
        <v>61.0</v>
      </c>
      <c r="B239" s="10" t="s">
        <v>73</v>
      </c>
      <c r="C239" s="11" t="s">
        <v>74</v>
      </c>
      <c r="D239" s="10" t="s">
        <v>17</v>
      </c>
      <c r="E239" s="11" t="s">
        <v>39</v>
      </c>
      <c r="F239" s="13">
        <v>53.27</v>
      </c>
      <c r="G239" s="14">
        <v>44971.0</v>
      </c>
      <c r="H239" s="15">
        <f t="shared" si="1"/>
        <v>14</v>
      </c>
      <c r="I239" s="16">
        <f t="shared" si="2"/>
        <v>2</v>
      </c>
      <c r="J239" s="15">
        <f t="shared" si="3"/>
        <v>2023</v>
      </c>
      <c r="K239" s="16">
        <f>STANDARDIZE(F239,'estatística'!$C$2,'estatística'!$H$2)</f>
        <v>0.6580146873</v>
      </c>
    </row>
    <row r="240" ht="15.75" customHeight="1">
      <c r="A240" s="9">
        <v>57.0</v>
      </c>
      <c r="B240" s="10" t="s">
        <v>60</v>
      </c>
      <c r="C240" s="11" t="s">
        <v>162</v>
      </c>
      <c r="D240" s="10" t="s">
        <v>13</v>
      </c>
      <c r="E240" s="11" t="s">
        <v>116</v>
      </c>
      <c r="F240" s="13">
        <v>4.44</v>
      </c>
      <c r="G240" s="14">
        <v>44971.0</v>
      </c>
      <c r="H240" s="15">
        <f t="shared" si="1"/>
        <v>14</v>
      </c>
      <c r="I240" s="16">
        <f t="shared" si="2"/>
        <v>2</v>
      </c>
      <c r="J240" s="15">
        <f t="shared" si="3"/>
        <v>2023</v>
      </c>
      <c r="K240" s="16">
        <f>STANDARDIZE(F240,'estatística'!$C$2,'estatística'!$H$2)</f>
        <v>0.03975690048</v>
      </c>
    </row>
    <row r="241" ht="15.75" customHeight="1">
      <c r="A241" s="9">
        <v>11.0</v>
      </c>
      <c r="B241" s="10" t="s">
        <v>199</v>
      </c>
      <c r="C241" s="11" t="s">
        <v>200</v>
      </c>
      <c r="D241" s="10" t="s">
        <v>13</v>
      </c>
      <c r="E241" s="11" t="s">
        <v>65</v>
      </c>
      <c r="F241" s="13">
        <v>38.09</v>
      </c>
      <c r="G241" s="14">
        <v>44971.0</v>
      </c>
      <c r="H241" s="15">
        <f t="shared" si="1"/>
        <v>14</v>
      </c>
      <c r="I241" s="16">
        <f t="shared" si="2"/>
        <v>2</v>
      </c>
      <c r="J241" s="15">
        <f t="shared" si="3"/>
        <v>2023</v>
      </c>
      <c r="K241" s="16">
        <f>STANDARDIZE(F241,'estatística'!$C$2,'estatística'!$H$2)</f>
        <v>0.4658141302</v>
      </c>
    </row>
    <row r="242" ht="15.75" customHeight="1">
      <c r="A242" s="9">
        <v>72.0</v>
      </c>
      <c r="B242" s="10" t="s">
        <v>103</v>
      </c>
      <c r="C242" s="11" t="s">
        <v>104</v>
      </c>
      <c r="D242" s="10" t="s">
        <v>17</v>
      </c>
      <c r="E242" s="11" t="s">
        <v>116</v>
      </c>
      <c r="F242" s="13">
        <v>3.86</v>
      </c>
      <c r="G242" s="14">
        <v>44971.0</v>
      </c>
      <c r="H242" s="15">
        <f t="shared" si="1"/>
        <v>14</v>
      </c>
      <c r="I242" s="16">
        <f t="shared" si="2"/>
        <v>2</v>
      </c>
      <c r="J242" s="15">
        <f t="shared" si="3"/>
        <v>2023</v>
      </c>
      <c r="K242" s="16">
        <f>STANDARDIZE(F242,'estatística'!$C$2,'estatística'!$H$2)</f>
        <v>0.03241326918</v>
      </c>
    </row>
    <row r="243" ht="15.75" customHeight="1">
      <c r="A243" s="9">
        <v>24.0</v>
      </c>
      <c r="B243" s="10" t="s">
        <v>110</v>
      </c>
      <c r="C243" s="11" t="s">
        <v>111</v>
      </c>
      <c r="D243" s="10" t="s">
        <v>17</v>
      </c>
      <c r="E243" s="11" t="s">
        <v>107</v>
      </c>
      <c r="F243" s="13">
        <v>27.86</v>
      </c>
      <c r="G243" s="14">
        <v>44971.0</v>
      </c>
      <c r="H243" s="15">
        <f t="shared" si="1"/>
        <v>14</v>
      </c>
      <c r="I243" s="16">
        <f t="shared" si="2"/>
        <v>2</v>
      </c>
      <c r="J243" s="15">
        <f t="shared" si="3"/>
        <v>2023</v>
      </c>
      <c r="K243" s="16">
        <f>STANDARDIZE(F243,'estatística'!$C$2,'estatística'!$H$2)</f>
        <v>0.3362876678</v>
      </c>
    </row>
    <row r="244" ht="15.75" customHeight="1">
      <c r="A244" s="9">
        <v>38.0</v>
      </c>
      <c r="B244" s="10" t="s">
        <v>85</v>
      </c>
      <c r="C244" s="11" t="s">
        <v>86</v>
      </c>
      <c r="D244" s="10" t="s">
        <v>13</v>
      </c>
      <c r="E244" s="11" t="s">
        <v>18</v>
      </c>
      <c r="F244" s="13">
        <v>46.48</v>
      </c>
      <c r="G244" s="14">
        <v>44971.0</v>
      </c>
      <c r="H244" s="15">
        <f t="shared" si="1"/>
        <v>14</v>
      </c>
      <c r="I244" s="16">
        <f t="shared" si="2"/>
        <v>2</v>
      </c>
      <c r="J244" s="15">
        <f t="shared" si="3"/>
        <v>2023</v>
      </c>
      <c r="K244" s="16">
        <f>STANDARDIZE(F244,'estatística'!$C$2,'estatística'!$H$2)</f>
        <v>0.5720435553</v>
      </c>
    </row>
    <row r="245" ht="15.75" customHeight="1">
      <c r="A245" s="9">
        <v>17.0</v>
      </c>
      <c r="B245" s="10" t="s">
        <v>172</v>
      </c>
      <c r="C245" s="11" t="s">
        <v>173</v>
      </c>
      <c r="D245" s="10" t="s">
        <v>17</v>
      </c>
      <c r="E245" s="11" t="s">
        <v>36</v>
      </c>
      <c r="F245" s="13">
        <v>76.16</v>
      </c>
      <c r="G245" s="14">
        <v>44971.0</v>
      </c>
      <c r="H245" s="15">
        <f t="shared" si="1"/>
        <v>14</v>
      </c>
      <c r="I245" s="16">
        <f t="shared" si="2"/>
        <v>2</v>
      </c>
      <c r="J245" s="15">
        <f t="shared" si="3"/>
        <v>2023</v>
      </c>
      <c r="K245" s="16">
        <f>STANDARDIZE(F245,'estatística'!$C$2,'estatística'!$H$2)</f>
        <v>0.9478348949</v>
      </c>
    </row>
    <row r="246" ht="15.75" customHeight="1">
      <c r="A246" s="9">
        <v>61.0</v>
      </c>
      <c r="B246" s="10" t="s">
        <v>73</v>
      </c>
      <c r="C246" s="11" t="s">
        <v>74</v>
      </c>
      <c r="D246" s="10" t="s">
        <v>17</v>
      </c>
      <c r="E246" s="11" t="s">
        <v>14</v>
      </c>
      <c r="F246" s="13">
        <v>10.24</v>
      </c>
      <c r="G246" s="14">
        <v>44971.0</v>
      </c>
      <c r="H246" s="15">
        <f t="shared" si="1"/>
        <v>14</v>
      </c>
      <c r="I246" s="16">
        <f t="shared" si="2"/>
        <v>2</v>
      </c>
      <c r="J246" s="15">
        <f t="shared" si="3"/>
        <v>2023</v>
      </c>
      <c r="K246" s="16">
        <f>STANDARDIZE(F246,'estatística'!$C$2,'estatística'!$H$2)</f>
        <v>0.1131932135</v>
      </c>
    </row>
    <row r="247" ht="15.75" customHeight="1">
      <c r="A247" s="9">
        <v>20.0</v>
      </c>
      <c r="B247" s="10" t="s">
        <v>133</v>
      </c>
      <c r="C247" s="11" t="s">
        <v>134</v>
      </c>
      <c r="D247" s="10" t="s">
        <v>13</v>
      </c>
      <c r="E247" s="11" t="s">
        <v>14</v>
      </c>
      <c r="F247" s="13">
        <v>10.71</v>
      </c>
      <c r="G247" s="14">
        <v>44972.0</v>
      </c>
      <c r="H247" s="15">
        <f t="shared" si="1"/>
        <v>15</v>
      </c>
      <c r="I247" s="16">
        <f t="shared" si="2"/>
        <v>2</v>
      </c>
      <c r="J247" s="15">
        <f t="shared" si="3"/>
        <v>2023</v>
      </c>
      <c r="K247" s="16">
        <f>STANDARDIZE(F247,'estatística'!$C$2,'estatística'!$H$2)</f>
        <v>0.1191440871</v>
      </c>
    </row>
    <row r="248" ht="15.75" customHeight="1">
      <c r="A248" s="9">
        <v>66.0</v>
      </c>
      <c r="B248" s="10" t="s">
        <v>122</v>
      </c>
      <c r="C248" s="11" t="s">
        <v>130</v>
      </c>
      <c r="D248" s="10" t="s">
        <v>13</v>
      </c>
      <c r="E248" s="11" t="s">
        <v>27</v>
      </c>
      <c r="F248" s="13">
        <v>13.78</v>
      </c>
      <c r="G248" s="14">
        <v>44972.0</v>
      </c>
      <c r="H248" s="15">
        <f t="shared" si="1"/>
        <v>15</v>
      </c>
      <c r="I248" s="16">
        <f t="shared" si="2"/>
        <v>2</v>
      </c>
      <c r="J248" s="15">
        <f t="shared" si="3"/>
        <v>2023</v>
      </c>
      <c r="K248" s="16">
        <f>STANDARDIZE(F248,'estatística'!$C$2,'estatística'!$H$2)</f>
        <v>0.1580146873</v>
      </c>
    </row>
    <row r="249" ht="15.75" customHeight="1">
      <c r="A249" s="9">
        <v>63.0</v>
      </c>
      <c r="B249" s="10" t="s">
        <v>197</v>
      </c>
      <c r="C249" s="11" t="s">
        <v>198</v>
      </c>
      <c r="D249" s="10" t="s">
        <v>13</v>
      </c>
      <c r="E249" s="11" t="s">
        <v>29</v>
      </c>
      <c r="F249" s="13">
        <v>13.72</v>
      </c>
      <c r="G249" s="14">
        <v>44972.0</v>
      </c>
      <c r="H249" s="15">
        <f t="shared" si="1"/>
        <v>15</v>
      </c>
      <c r="I249" s="16">
        <f t="shared" si="2"/>
        <v>2</v>
      </c>
      <c r="J249" s="15">
        <f t="shared" si="3"/>
        <v>2023</v>
      </c>
      <c r="K249" s="16">
        <f>STANDARDIZE(F249,'estatística'!$C$2,'estatística'!$H$2)</f>
        <v>0.1572550013</v>
      </c>
    </row>
    <row r="250" ht="15.75" customHeight="1">
      <c r="A250" s="9">
        <v>31.0</v>
      </c>
      <c r="B250" s="10" t="s">
        <v>201</v>
      </c>
      <c r="C250" s="11" t="s">
        <v>202</v>
      </c>
      <c r="D250" s="10" t="s">
        <v>13</v>
      </c>
      <c r="E250" s="11" t="s">
        <v>29</v>
      </c>
      <c r="F250" s="13">
        <v>14.75</v>
      </c>
      <c r="G250" s="14">
        <v>44972.0</v>
      </c>
      <c r="H250" s="15">
        <f t="shared" si="1"/>
        <v>15</v>
      </c>
      <c r="I250" s="16">
        <f t="shared" si="2"/>
        <v>2</v>
      </c>
      <c r="J250" s="15">
        <f t="shared" si="3"/>
        <v>2023</v>
      </c>
      <c r="K250" s="16">
        <f>STANDARDIZE(F250,'estatística'!$C$2,'estatística'!$H$2)</f>
        <v>0.1702962775</v>
      </c>
    </row>
    <row r="251" ht="15.75" customHeight="1">
      <c r="A251" s="9">
        <v>2.0</v>
      </c>
      <c r="B251" s="10" t="s">
        <v>53</v>
      </c>
      <c r="C251" s="11" t="s">
        <v>54</v>
      </c>
      <c r="D251" s="10" t="s">
        <v>13</v>
      </c>
      <c r="E251" s="11" t="s">
        <v>65</v>
      </c>
      <c r="F251" s="13">
        <v>36.01</v>
      </c>
      <c r="G251" s="14">
        <v>44972.0</v>
      </c>
      <c r="H251" s="15">
        <f t="shared" si="1"/>
        <v>15</v>
      </c>
      <c r="I251" s="16">
        <f t="shared" si="2"/>
        <v>2</v>
      </c>
      <c r="J251" s="15">
        <f t="shared" si="3"/>
        <v>2023</v>
      </c>
      <c r="K251" s="16">
        <f>STANDARDIZE(F251,'estatística'!$C$2,'estatística'!$H$2)</f>
        <v>0.4394783489</v>
      </c>
    </row>
    <row r="252" ht="15.75" customHeight="1">
      <c r="A252" s="9">
        <v>42.0</v>
      </c>
      <c r="B252" s="10" t="s">
        <v>60</v>
      </c>
      <c r="C252" s="11" t="s">
        <v>142</v>
      </c>
      <c r="D252" s="10" t="s">
        <v>17</v>
      </c>
      <c r="E252" s="11" t="s">
        <v>27</v>
      </c>
      <c r="F252" s="13">
        <v>19.29</v>
      </c>
      <c r="G252" s="14">
        <v>44973.0</v>
      </c>
      <c r="H252" s="15">
        <f t="shared" si="1"/>
        <v>16</v>
      </c>
      <c r="I252" s="16">
        <f t="shared" si="2"/>
        <v>2</v>
      </c>
      <c r="J252" s="15">
        <f t="shared" si="3"/>
        <v>2023</v>
      </c>
      <c r="K252" s="16">
        <f>STANDARDIZE(F252,'estatística'!$C$2,'estatística'!$H$2)</f>
        <v>0.2277791846</v>
      </c>
    </row>
    <row r="253" ht="15.75" customHeight="1">
      <c r="A253" s="9">
        <v>30.0</v>
      </c>
      <c r="B253" s="10" t="s">
        <v>11</v>
      </c>
      <c r="C253" s="11" t="s">
        <v>12</v>
      </c>
      <c r="D253" s="10" t="s">
        <v>13</v>
      </c>
      <c r="E253" s="11" t="s">
        <v>91</v>
      </c>
      <c r="F253" s="13">
        <v>1.7</v>
      </c>
      <c r="G253" s="14">
        <v>44973.0</v>
      </c>
      <c r="H253" s="15">
        <f t="shared" si="1"/>
        <v>16</v>
      </c>
      <c r="I253" s="16">
        <f t="shared" si="2"/>
        <v>2</v>
      </c>
      <c r="J253" s="15">
        <f t="shared" si="3"/>
        <v>2023</v>
      </c>
      <c r="K253" s="16">
        <f>STANDARDIZE(F253,'estatística'!$C$2,'estatística'!$H$2)</f>
        <v>0.00506457331</v>
      </c>
    </row>
    <row r="254" ht="15.75" customHeight="1">
      <c r="A254" s="9">
        <v>32.0</v>
      </c>
      <c r="B254" s="10" t="s">
        <v>118</v>
      </c>
      <c r="C254" s="11" t="s">
        <v>119</v>
      </c>
      <c r="D254" s="10" t="s">
        <v>13</v>
      </c>
      <c r="E254" s="11" t="s">
        <v>107</v>
      </c>
      <c r="F254" s="13">
        <v>30.14</v>
      </c>
      <c r="G254" s="14">
        <v>44973.0</v>
      </c>
      <c r="H254" s="15">
        <f t="shared" si="1"/>
        <v>16</v>
      </c>
      <c r="I254" s="16">
        <f t="shared" si="2"/>
        <v>2</v>
      </c>
      <c r="J254" s="15">
        <f t="shared" si="3"/>
        <v>2023</v>
      </c>
      <c r="K254" s="16">
        <f>STANDARDIZE(F254,'estatística'!$C$2,'estatística'!$H$2)</f>
        <v>0.3651557356</v>
      </c>
    </row>
    <row r="255" ht="15.75" customHeight="1">
      <c r="A255" s="9">
        <v>84.0</v>
      </c>
      <c r="B255" s="10" t="s">
        <v>112</v>
      </c>
      <c r="C255" s="11" t="s">
        <v>113</v>
      </c>
      <c r="D255" s="10" t="s">
        <v>13</v>
      </c>
      <c r="E255" s="11" t="s">
        <v>39</v>
      </c>
      <c r="F255" s="13">
        <v>46.42</v>
      </c>
      <c r="G255" s="14">
        <v>44973.0</v>
      </c>
      <c r="H255" s="15">
        <f t="shared" si="1"/>
        <v>16</v>
      </c>
      <c r="I255" s="16">
        <f t="shared" si="2"/>
        <v>2</v>
      </c>
      <c r="J255" s="15">
        <f t="shared" si="3"/>
        <v>2023</v>
      </c>
      <c r="K255" s="16">
        <f>STANDARDIZE(F255,'estatística'!$C$2,'estatística'!$H$2)</f>
        <v>0.5712838693</v>
      </c>
    </row>
    <row r="256" ht="15.75" customHeight="1">
      <c r="A256" s="9">
        <v>48.0</v>
      </c>
      <c r="B256" s="10" t="s">
        <v>25</v>
      </c>
      <c r="C256" s="11" t="s">
        <v>28</v>
      </c>
      <c r="D256" s="10" t="s">
        <v>17</v>
      </c>
      <c r="E256" s="11" t="s">
        <v>27</v>
      </c>
      <c r="F256" s="13">
        <v>17.67</v>
      </c>
      <c r="G256" s="14">
        <v>44974.0</v>
      </c>
      <c r="H256" s="15">
        <f t="shared" si="1"/>
        <v>17</v>
      </c>
      <c r="I256" s="16">
        <f t="shared" si="2"/>
        <v>2</v>
      </c>
      <c r="J256" s="15">
        <f t="shared" si="3"/>
        <v>2023</v>
      </c>
      <c r="K256" s="16">
        <f>STANDARDIZE(F256,'estatística'!$C$2,'estatística'!$H$2)</f>
        <v>0.2072676627</v>
      </c>
    </row>
    <row r="257" ht="15.75" customHeight="1">
      <c r="A257" s="9">
        <v>82.0</v>
      </c>
      <c r="B257" s="10" t="s">
        <v>203</v>
      </c>
      <c r="C257" s="11" t="s">
        <v>204</v>
      </c>
      <c r="D257" s="10" t="s">
        <v>13</v>
      </c>
      <c r="E257" s="11" t="s">
        <v>91</v>
      </c>
      <c r="F257" s="13">
        <v>1.54</v>
      </c>
      <c r="G257" s="14">
        <v>44974.0</v>
      </c>
      <c r="H257" s="15">
        <f t="shared" si="1"/>
        <v>17</v>
      </c>
      <c r="I257" s="16">
        <f t="shared" si="2"/>
        <v>2</v>
      </c>
      <c r="J257" s="15">
        <f t="shared" si="3"/>
        <v>2023</v>
      </c>
      <c r="K257" s="16">
        <f>STANDARDIZE(F257,'estatística'!$C$2,'estatística'!$H$2)</f>
        <v>0.003038743986</v>
      </c>
    </row>
    <row r="258" ht="15.75" customHeight="1">
      <c r="A258" s="9">
        <v>67.0</v>
      </c>
      <c r="B258" s="10" t="s">
        <v>176</v>
      </c>
      <c r="C258" s="11" t="s">
        <v>177</v>
      </c>
      <c r="D258" s="10" t="s">
        <v>13</v>
      </c>
      <c r="E258" s="11" t="s">
        <v>24</v>
      </c>
      <c r="F258" s="13">
        <v>19.23</v>
      </c>
      <c r="G258" s="14">
        <v>44974.0</v>
      </c>
      <c r="H258" s="15">
        <f t="shared" si="1"/>
        <v>17</v>
      </c>
      <c r="I258" s="16">
        <f t="shared" si="2"/>
        <v>2</v>
      </c>
      <c r="J258" s="15">
        <f t="shared" si="3"/>
        <v>2023</v>
      </c>
      <c r="K258" s="16">
        <f>STANDARDIZE(F258,'estatística'!$C$2,'estatística'!$H$2)</f>
        <v>0.2270194986</v>
      </c>
    </row>
    <row r="259" ht="15.75" customHeight="1">
      <c r="A259" s="9">
        <v>49.0</v>
      </c>
      <c r="B259" s="10" t="s">
        <v>151</v>
      </c>
      <c r="C259" s="11" t="s">
        <v>152</v>
      </c>
      <c r="D259" s="10" t="s">
        <v>13</v>
      </c>
      <c r="E259" s="11" t="s">
        <v>32</v>
      </c>
      <c r="F259" s="13">
        <v>34.54</v>
      </c>
      <c r="G259" s="14">
        <v>44974.0</v>
      </c>
      <c r="H259" s="15">
        <f t="shared" si="1"/>
        <v>17</v>
      </c>
      <c r="I259" s="16">
        <f t="shared" si="2"/>
        <v>2</v>
      </c>
      <c r="J259" s="15">
        <f t="shared" si="3"/>
        <v>2023</v>
      </c>
      <c r="K259" s="16">
        <f>STANDARDIZE(F259,'estatística'!$C$2,'estatística'!$H$2)</f>
        <v>0.420866042</v>
      </c>
    </row>
    <row r="260" ht="15.75" customHeight="1">
      <c r="A260" s="9">
        <v>74.0</v>
      </c>
      <c r="B260" s="10" t="s">
        <v>11</v>
      </c>
      <c r="C260" s="11" t="s">
        <v>94</v>
      </c>
      <c r="D260" s="10" t="s">
        <v>17</v>
      </c>
      <c r="E260" s="11" t="s">
        <v>36</v>
      </c>
      <c r="F260" s="13">
        <v>67.05</v>
      </c>
      <c r="G260" s="14">
        <v>44974.0</v>
      </c>
      <c r="H260" s="15">
        <f t="shared" si="1"/>
        <v>17</v>
      </c>
      <c r="I260" s="16">
        <f t="shared" si="2"/>
        <v>2</v>
      </c>
      <c r="J260" s="15">
        <f t="shared" si="3"/>
        <v>2023</v>
      </c>
      <c r="K260" s="16">
        <f>STANDARDIZE(F260,'estatística'!$C$2,'estatística'!$H$2)</f>
        <v>0.8324892378</v>
      </c>
    </row>
    <row r="261" ht="15.75" customHeight="1">
      <c r="A261" s="9">
        <v>34.0</v>
      </c>
      <c r="B261" s="10" t="s">
        <v>149</v>
      </c>
      <c r="C261" s="11" t="s">
        <v>150</v>
      </c>
      <c r="D261" s="10" t="s">
        <v>13</v>
      </c>
      <c r="E261" s="11" t="s">
        <v>24</v>
      </c>
      <c r="F261" s="13">
        <v>36.03</v>
      </c>
      <c r="G261" s="14">
        <v>44975.0</v>
      </c>
      <c r="H261" s="15">
        <f t="shared" si="1"/>
        <v>18</v>
      </c>
      <c r="I261" s="16">
        <f t="shared" si="2"/>
        <v>2</v>
      </c>
      <c r="J261" s="15">
        <f t="shared" si="3"/>
        <v>2023</v>
      </c>
      <c r="K261" s="16">
        <f>STANDARDIZE(F261,'estatística'!$C$2,'estatística'!$H$2)</f>
        <v>0.4397315776</v>
      </c>
    </row>
    <row r="262" ht="15.75" customHeight="1">
      <c r="A262" s="9">
        <v>3.0</v>
      </c>
      <c r="B262" s="10" t="s">
        <v>51</v>
      </c>
      <c r="C262" s="11" t="s">
        <v>52</v>
      </c>
      <c r="D262" s="10" t="s">
        <v>13</v>
      </c>
      <c r="E262" s="11" t="s">
        <v>80</v>
      </c>
      <c r="F262" s="13">
        <v>39.66</v>
      </c>
      <c r="G262" s="14">
        <v>44975.0</v>
      </c>
      <c r="H262" s="15">
        <f t="shared" si="1"/>
        <v>18</v>
      </c>
      <c r="I262" s="16">
        <f t="shared" si="2"/>
        <v>2</v>
      </c>
      <c r="J262" s="15">
        <f t="shared" si="3"/>
        <v>2023</v>
      </c>
      <c r="K262" s="16">
        <f>STANDARDIZE(F262,'estatística'!$C$2,'estatística'!$H$2)</f>
        <v>0.4856925804</v>
      </c>
    </row>
    <row r="263" ht="15.75" customHeight="1">
      <c r="A263" s="9">
        <v>58.0</v>
      </c>
      <c r="B263" s="10" t="s">
        <v>137</v>
      </c>
      <c r="C263" s="11" t="s">
        <v>138</v>
      </c>
      <c r="D263" s="10" t="s">
        <v>13</v>
      </c>
      <c r="E263" s="11" t="s">
        <v>68</v>
      </c>
      <c r="F263" s="13">
        <v>13.0</v>
      </c>
      <c r="G263" s="14">
        <v>44975.0</v>
      </c>
      <c r="H263" s="15">
        <f t="shared" si="1"/>
        <v>18</v>
      </c>
      <c r="I263" s="16">
        <f t="shared" si="2"/>
        <v>2</v>
      </c>
      <c r="J263" s="15">
        <f t="shared" si="3"/>
        <v>2023</v>
      </c>
      <c r="K263" s="16">
        <f>STANDARDIZE(F263,'estatística'!$C$2,'estatística'!$H$2)</f>
        <v>0.1481387693</v>
      </c>
    </row>
    <row r="264" ht="15.75" customHeight="1">
      <c r="A264" s="9">
        <v>77.0</v>
      </c>
      <c r="B264" s="10" t="s">
        <v>11</v>
      </c>
      <c r="C264" s="11" t="s">
        <v>141</v>
      </c>
      <c r="D264" s="10" t="s">
        <v>13</v>
      </c>
      <c r="E264" s="11" t="s">
        <v>18</v>
      </c>
      <c r="F264" s="13">
        <v>56.44</v>
      </c>
      <c r="G264" s="14">
        <v>44975.0</v>
      </c>
      <c r="H264" s="15">
        <f t="shared" si="1"/>
        <v>18</v>
      </c>
      <c r="I264" s="16">
        <f t="shared" si="2"/>
        <v>2</v>
      </c>
      <c r="J264" s="15">
        <f t="shared" si="3"/>
        <v>2023</v>
      </c>
      <c r="K264" s="16">
        <f>STANDARDIZE(F264,'estatística'!$C$2,'estatística'!$H$2)</f>
        <v>0.6981514307</v>
      </c>
    </row>
    <row r="265" ht="15.75" customHeight="1">
      <c r="A265" s="9">
        <v>31.0</v>
      </c>
      <c r="B265" s="10" t="s">
        <v>201</v>
      </c>
      <c r="C265" s="11" t="s">
        <v>202</v>
      </c>
      <c r="D265" s="10" t="s">
        <v>17</v>
      </c>
      <c r="E265" s="11" t="s">
        <v>27</v>
      </c>
      <c r="F265" s="13">
        <v>17.34</v>
      </c>
      <c r="G265" s="14">
        <v>44975.0</v>
      </c>
      <c r="H265" s="15">
        <f t="shared" si="1"/>
        <v>18</v>
      </c>
      <c r="I265" s="16">
        <f t="shared" si="2"/>
        <v>2</v>
      </c>
      <c r="J265" s="15">
        <f t="shared" si="3"/>
        <v>2023</v>
      </c>
      <c r="K265" s="16">
        <f>STANDARDIZE(F265,'estatística'!$C$2,'estatística'!$H$2)</f>
        <v>0.2030893897</v>
      </c>
    </row>
    <row r="266" ht="15.75" customHeight="1">
      <c r="A266" s="9">
        <v>17.0</v>
      </c>
      <c r="B266" s="10" t="s">
        <v>172</v>
      </c>
      <c r="C266" s="11" t="s">
        <v>173</v>
      </c>
      <c r="D266" s="10" t="s">
        <v>17</v>
      </c>
      <c r="E266" s="11" t="s">
        <v>48</v>
      </c>
      <c r="F266" s="13">
        <v>9.2</v>
      </c>
      <c r="G266" s="14">
        <v>44975.0</v>
      </c>
      <c r="H266" s="15">
        <f t="shared" si="1"/>
        <v>18</v>
      </c>
      <c r="I266" s="16">
        <f t="shared" si="2"/>
        <v>2</v>
      </c>
      <c r="J266" s="15">
        <f t="shared" si="3"/>
        <v>2023</v>
      </c>
      <c r="K266" s="16">
        <f>STANDARDIZE(F266,'estatística'!$C$2,'estatística'!$H$2)</f>
        <v>0.1000253229</v>
      </c>
    </row>
    <row r="267" ht="15.75" customHeight="1">
      <c r="A267" s="9">
        <v>24.0</v>
      </c>
      <c r="B267" s="10" t="s">
        <v>110</v>
      </c>
      <c r="C267" s="11" t="s">
        <v>111</v>
      </c>
      <c r="D267" s="10" t="s">
        <v>13</v>
      </c>
      <c r="E267" s="11" t="s">
        <v>77</v>
      </c>
      <c r="F267" s="13">
        <v>16.73</v>
      </c>
      <c r="G267" s="14">
        <v>44975.0</v>
      </c>
      <c r="H267" s="15">
        <f t="shared" si="1"/>
        <v>18</v>
      </c>
      <c r="I267" s="16">
        <f t="shared" si="2"/>
        <v>2</v>
      </c>
      <c r="J267" s="15">
        <f t="shared" si="3"/>
        <v>2023</v>
      </c>
      <c r="K267" s="16">
        <f>STANDARDIZE(F267,'estatística'!$C$2,'estatística'!$H$2)</f>
        <v>0.1953659154</v>
      </c>
    </row>
    <row r="268" ht="15.75" customHeight="1">
      <c r="A268" s="9">
        <v>45.0</v>
      </c>
      <c r="B268" s="10" t="s">
        <v>193</v>
      </c>
      <c r="C268" s="11" t="s">
        <v>194</v>
      </c>
      <c r="D268" s="10" t="s">
        <v>17</v>
      </c>
      <c r="E268" s="11" t="s">
        <v>24</v>
      </c>
      <c r="F268" s="13">
        <v>30.05</v>
      </c>
      <c r="G268" s="14">
        <v>44976.0</v>
      </c>
      <c r="H268" s="15">
        <f t="shared" si="1"/>
        <v>19</v>
      </c>
      <c r="I268" s="16">
        <f t="shared" si="2"/>
        <v>2</v>
      </c>
      <c r="J268" s="15">
        <f t="shared" si="3"/>
        <v>2023</v>
      </c>
      <c r="K268" s="16">
        <f>STANDARDIZE(F268,'estatística'!$C$2,'estatística'!$H$2)</f>
        <v>0.3640162066</v>
      </c>
    </row>
    <row r="269" ht="15.75" customHeight="1">
      <c r="A269" s="9">
        <v>39.0</v>
      </c>
      <c r="B269" s="10" t="s">
        <v>58</v>
      </c>
      <c r="C269" s="11" t="s">
        <v>59</v>
      </c>
      <c r="D269" s="10" t="s">
        <v>17</v>
      </c>
      <c r="E269" s="11" t="s">
        <v>62</v>
      </c>
      <c r="F269" s="13">
        <v>11.25</v>
      </c>
      <c r="G269" s="14">
        <v>44976.0</v>
      </c>
      <c r="H269" s="15">
        <f t="shared" si="1"/>
        <v>19</v>
      </c>
      <c r="I269" s="16">
        <f t="shared" si="2"/>
        <v>2</v>
      </c>
      <c r="J269" s="15">
        <f t="shared" si="3"/>
        <v>2023</v>
      </c>
      <c r="K269" s="16">
        <f>STANDARDIZE(F269,'estatística'!$C$2,'estatística'!$H$2)</f>
        <v>0.1259812611</v>
      </c>
    </row>
    <row r="270" ht="15.75" customHeight="1">
      <c r="A270" s="9">
        <v>51.0</v>
      </c>
      <c r="B270" s="10" t="s">
        <v>205</v>
      </c>
      <c r="C270" s="11" t="s">
        <v>206</v>
      </c>
      <c r="D270" s="10" t="s">
        <v>13</v>
      </c>
      <c r="E270" s="11" t="s">
        <v>77</v>
      </c>
      <c r="F270" s="13">
        <v>12.44</v>
      </c>
      <c r="G270" s="14">
        <v>44976.0</v>
      </c>
      <c r="H270" s="15">
        <f t="shared" si="1"/>
        <v>19</v>
      </c>
      <c r="I270" s="16">
        <f t="shared" si="2"/>
        <v>2</v>
      </c>
      <c r="J270" s="15">
        <f t="shared" si="3"/>
        <v>2023</v>
      </c>
      <c r="K270" s="16">
        <f>STANDARDIZE(F270,'estatística'!$C$2,'estatística'!$H$2)</f>
        <v>0.1410483667</v>
      </c>
    </row>
    <row r="271" ht="15.75" customHeight="1">
      <c r="A271" s="9">
        <v>46.0</v>
      </c>
      <c r="B271" s="10" t="s">
        <v>114</v>
      </c>
      <c r="C271" s="11" t="s">
        <v>115</v>
      </c>
      <c r="D271" s="10" t="s">
        <v>17</v>
      </c>
      <c r="E271" s="11" t="s">
        <v>62</v>
      </c>
      <c r="F271" s="13">
        <v>12.67</v>
      </c>
      <c r="G271" s="14">
        <v>44976.0</v>
      </c>
      <c r="H271" s="15">
        <f t="shared" si="1"/>
        <v>19</v>
      </c>
      <c r="I271" s="16">
        <f t="shared" si="2"/>
        <v>2</v>
      </c>
      <c r="J271" s="15">
        <f t="shared" si="3"/>
        <v>2023</v>
      </c>
      <c r="K271" s="16">
        <f>STANDARDIZE(F271,'estatística'!$C$2,'estatística'!$H$2)</f>
        <v>0.1439604963</v>
      </c>
    </row>
    <row r="272" ht="15.75" customHeight="1">
      <c r="A272" s="9">
        <v>48.0</v>
      </c>
      <c r="B272" s="10" t="s">
        <v>25</v>
      </c>
      <c r="C272" s="11" t="s">
        <v>28</v>
      </c>
      <c r="D272" s="10" t="s">
        <v>13</v>
      </c>
      <c r="E272" s="11" t="s">
        <v>29</v>
      </c>
      <c r="F272" s="13">
        <v>12.21</v>
      </c>
      <c r="G272" s="14">
        <v>44977.0</v>
      </c>
      <c r="H272" s="15">
        <f t="shared" si="1"/>
        <v>20</v>
      </c>
      <c r="I272" s="16">
        <f t="shared" si="2"/>
        <v>2</v>
      </c>
      <c r="J272" s="15">
        <f t="shared" si="3"/>
        <v>2023</v>
      </c>
      <c r="K272" s="16">
        <f>STANDARDIZE(F272,'estatística'!$C$2,'estatística'!$H$2)</f>
        <v>0.138136237</v>
      </c>
    </row>
    <row r="273" ht="15.75" customHeight="1">
      <c r="A273" s="9">
        <v>38.0</v>
      </c>
      <c r="B273" s="10" t="s">
        <v>85</v>
      </c>
      <c r="C273" s="11" t="s">
        <v>86</v>
      </c>
      <c r="D273" s="10" t="s">
        <v>13</v>
      </c>
      <c r="E273" s="11" t="s">
        <v>116</v>
      </c>
      <c r="F273" s="13">
        <v>5.22</v>
      </c>
      <c r="G273" s="14">
        <v>44977.0</v>
      </c>
      <c r="H273" s="15">
        <f t="shared" si="1"/>
        <v>20</v>
      </c>
      <c r="I273" s="16">
        <f t="shared" si="2"/>
        <v>2</v>
      </c>
      <c r="J273" s="15">
        <f t="shared" si="3"/>
        <v>2023</v>
      </c>
      <c r="K273" s="16">
        <f>STANDARDIZE(F273,'estatística'!$C$2,'estatística'!$H$2)</f>
        <v>0.04963281844</v>
      </c>
    </row>
    <row r="274" ht="15.75" customHeight="1">
      <c r="A274" s="9">
        <v>44.0</v>
      </c>
      <c r="B274" s="10" t="s">
        <v>187</v>
      </c>
      <c r="C274" s="11" t="s">
        <v>188</v>
      </c>
      <c r="D274" s="10" t="s">
        <v>13</v>
      </c>
      <c r="E274" s="11" t="s">
        <v>107</v>
      </c>
      <c r="F274" s="13">
        <v>29.09</v>
      </c>
      <c r="G274" s="14">
        <v>44977.0</v>
      </c>
      <c r="H274" s="15">
        <f t="shared" si="1"/>
        <v>20</v>
      </c>
      <c r="I274" s="16">
        <f t="shared" si="2"/>
        <v>2</v>
      </c>
      <c r="J274" s="15">
        <f t="shared" si="3"/>
        <v>2023</v>
      </c>
      <c r="K274" s="16">
        <f>STANDARDIZE(F274,'estatística'!$C$2,'estatística'!$H$2)</f>
        <v>0.3518612307</v>
      </c>
    </row>
    <row r="275" ht="15.75" customHeight="1">
      <c r="A275" s="9">
        <v>73.0</v>
      </c>
      <c r="B275" s="10" t="s">
        <v>195</v>
      </c>
      <c r="C275" s="11" t="s">
        <v>196</v>
      </c>
      <c r="D275" s="10" t="s">
        <v>13</v>
      </c>
      <c r="E275" s="11" t="s">
        <v>91</v>
      </c>
      <c r="F275" s="13">
        <v>2.4</v>
      </c>
      <c r="G275" s="14">
        <v>44977.0</v>
      </c>
      <c r="H275" s="15">
        <f t="shared" si="1"/>
        <v>20</v>
      </c>
      <c r="I275" s="16">
        <f t="shared" si="2"/>
        <v>2</v>
      </c>
      <c r="J275" s="15">
        <f t="shared" si="3"/>
        <v>2023</v>
      </c>
      <c r="K275" s="16">
        <f>STANDARDIZE(F275,'estatística'!$C$2,'estatística'!$H$2)</f>
        <v>0.0139275766</v>
      </c>
    </row>
    <row r="276" ht="15.75" customHeight="1">
      <c r="A276" s="9">
        <v>7.0</v>
      </c>
      <c r="B276" s="10" t="s">
        <v>83</v>
      </c>
      <c r="C276" s="11" t="s">
        <v>84</v>
      </c>
      <c r="D276" s="10" t="s">
        <v>13</v>
      </c>
      <c r="E276" s="11" t="s">
        <v>36</v>
      </c>
      <c r="F276" s="13">
        <v>75.71</v>
      </c>
      <c r="G276" s="14">
        <v>44978.0</v>
      </c>
      <c r="H276" s="15">
        <f t="shared" si="1"/>
        <v>21</v>
      </c>
      <c r="I276" s="16">
        <f t="shared" si="2"/>
        <v>2</v>
      </c>
      <c r="J276" s="15">
        <f t="shared" si="3"/>
        <v>2023</v>
      </c>
      <c r="K276" s="16">
        <f>STANDARDIZE(F276,'estatística'!$C$2,'estatística'!$H$2)</f>
        <v>0.9421372499</v>
      </c>
    </row>
    <row r="277" ht="15.75" customHeight="1">
      <c r="A277" s="9">
        <v>14.0</v>
      </c>
      <c r="B277" s="10" t="s">
        <v>143</v>
      </c>
      <c r="C277" s="11" t="s">
        <v>144</v>
      </c>
      <c r="D277" s="10" t="s">
        <v>13</v>
      </c>
      <c r="E277" s="11" t="s">
        <v>14</v>
      </c>
      <c r="F277" s="13">
        <v>10.78</v>
      </c>
      <c r="G277" s="14">
        <v>44978.0</v>
      </c>
      <c r="H277" s="15">
        <f t="shared" si="1"/>
        <v>21</v>
      </c>
      <c r="I277" s="16">
        <f t="shared" si="2"/>
        <v>2</v>
      </c>
      <c r="J277" s="15">
        <f t="shared" si="3"/>
        <v>2023</v>
      </c>
      <c r="K277" s="16">
        <f>STANDARDIZE(F277,'estatística'!$C$2,'estatística'!$H$2)</f>
        <v>0.1200303874</v>
      </c>
    </row>
    <row r="278" ht="15.75" customHeight="1">
      <c r="A278" s="9">
        <v>80.0</v>
      </c>
      <c r="B278" s="10" t="s">
        <v>22</v>
      </c>
      <c r="C278" s="11" t="s">
        <v>23</v>
      </c>
      <c r="D278" s="10" t="s">
        <v>17</v>
      </c>
      <c r="E278" s="11" t="s">
        <v>29</v>
      </c>
      <c r="F278" s="13">
        <v>12.09</v>
      </c>
      <c r="G278" s="14">
        <v>44978.0</v>
      </c>
      <c r="H278" s="15">
        <f t="shared" si="1"/>
        <v>21</v>
      </c>
      <c r="I278" s="16">
        <f t="shared" si="2"/>
        <v>2</v>
      </c>
      <c r="J278" s="15">
        <f t="shared" si="3"/>
        <v>2023</v>
      </c>
      <c r="K278" s="16">
        <f>STANDARDIZE(F278,'estatística'!$C$2,'estatística'!$H$2)</f>
        <v>0.136616865</v>
      </c>
    </row>
    <row r="279" ht="15.75" customHeight="1">
      <c r="A279" s="9">
        <v>32.0</v>
      </c>
      <c r="B279" s="10" t="s">
        <v>118</v>
      </c>
      <c r="C279" s="11" t="s">
        <v>119</v>
      </c>
      <c r="D279" s="10" t="s">
        <v>17</v>
      </c>
      <c r="E279" s="11" t="s">
        <v>24</v>
      </c>
      <c r="F279" s="13">
        <v>25.49</v>
      </c>
      <c r="G279" s="14">
        <v>44978.0</v>
      </c>
      <c r="H279" s="15">
        <f t="shared" si="1"/>
        <v>21</v>
      </c>
      <c r="I279" s="16">
        <f t="shared" si="2"/>
        <v>2</v>
      </c>
      <c r="J279" s="15">
        <f t="shared" si="3"/>
        <v>2023</v>
      </c>
      <c r="K279" s="16">
        <f>STANDARDIZE(F279,'estatística'!$C$2,'estatística'!$H$2)</f>
        <v>0.3062800709</v>
      </c>
    </row>
    <row r="280" ht="15.75" customHeight="1">
      <c r="A280" s="9">
        <v>9.0</v>
      </c>
      <c r="B280" s="10" t="s">
        <v>179</v>
      </c>
      <c r="C280" s="11" t="s">
        <v>180</v>
      </c>
      <c r="D280" s="10" t="s">
        <v>13</v>
      </c>
      <c r="E280" s="11" t="s">
        <v>62</v>
      </c>
      <c r="F280" s="13">
        <v>12.3</v>
      </c>
      <c r="G280" s="14">
        <v>44979.0</v>
      </c>
      <c r="H280" s="15">
        <f t="shared" si="1"/>
        <v>22</v>
      </c>
      <c r="I280" s="16">
        <f t="shared" si="2"/>
        <v>2</v>
      </c>
      <c r="J280" s="15">
        <f t="shared" si="3"/>
        <v>2023</v>
      </c>
      <c r="K280" s="16">
        <f>STANDARDIZE(F280,'estatística'!$C$2,'estatística'!$H$2)</f>
        <v>0.139275766</v>
      </c>
    </row>
    <row r="281" ht="15.75" customHeight="1">
      <c r="A281" s="9">
        <v>27.0</v>
      </c>
      <c r="B281" s="10" t="s">
        <v>145</v>
      </c>
      <c r="C281" s="11" t="s">
        <v>146</v>
      </c>
      <c r="D281" s="10" t="s">
        <v>13</v>
      </c>
      <c r="E281" s="11" t="s">
        <v>77</v>
      </c>
      <c r="F281" s="13">
        <v>15.25</v>
      </c>
      <c r="G281" s="14">
        <v>44979.0</v>
      </c>
      <c r="H281" s="15">
        <f t="shared" si="1"/>
        <v>22</v>
      </c>
      <c r="I281" s="16">
        <f t="shared" si="2"/>
        <v>2</v>
      </c>
      <c r="J281" s="15">
        <f t="shared" si="3"/>
        <v>2023</v>
      </c>
      <c r="K281" s="16">
        <f>STANDARDIZE(F281,'estatística'!$C$2,'estatística'!$H$2)</f>
        <v>0.1766269942</v>
      </c>
    </row>
    <row r="282" ht="15.75" customHeight="1">
      <c r="A282" s="9">
        <v>54.0</v>
      </c>
      <c r="B282" s="10" t="s">
        <v>55</v>
      </c>
      <c r="C282" s="11" t="s">
        <v>56</v>
      </c>
      <c r="D282" s="10" t="s">
        <v>13</v>
      </c>
      <c r="E282" s="11" t="s">
        <v>33</v>
      </c>
      <c r="F282" s="13">
        <v>69.01</v>
      </c>
      <c r="G282" s="14">
        <v>44979.0</v>
      </c>
      <c r="H282" s="15">
        <f t="shared" si="1"/>
        <v>22</v>
      </c>
      <c r="I282" s="16">
        <f t="shared" si="2"/>
        <v>2</v>
      </c>
      <c r="J282" s="15">
        <f t="shared" si="3"/>
        <v>2023</v>
      </c>
      <c r="K282" s="16">
        <f>STANDARDIZE(F282,'estatística'!$C$2,'estatística'!$H$2)</f>
        <v>0.857305647</v>
      </c>
    </row>
    <row r="283" ht="15.75" customHeight="1">
      <c r="A283" s="9">
        <v>23.0</v>
      </c>
      <c r="B283" s="10" t="s">
        <v>207</v>
      </c>
      <c r="C283" s="11" t="s">
        <v>208</v>
      </c>
      <c r="D283" s="10" t="s">
        <v>13</v>
      </c>
      <c r="E283" s="11" t="s">
        <v>32</v>
      </c>
      <c r="F283" s="13">
        <v>30.15</v>
      </c>
      <c r="G283" s="14">
        <v>44979.0</v>
      </c>
      <c r="H283" s="15">
        <f t="shared" si="1"/>
        <v>22</v>
      </c>
      <c r="I283" s="16">
        <f t="shared" si="2"/>
        <v>2</v>
      </c>
      <c r="J283" s="15">
        <f t="shared" si="3"/>
        <v>2023</v>
      </c>
      <c r="K283" s="16">
        <f>STANDARDIZE(F283,'estatística'!$C$2,'estatística'!$H$2)</f>
        <v>0.36528235</v>
      </c>
    </row>
    <row r="284" ht="15.75" customHeight="1">
      <c r="A284" s="9">
        <v>31.0</v>
      </c>
      <c r="B284" s="10" t="s">
        <v>201</v>
      </c>
      <c r="C284" s="11" t="s">
        <v>202</v>
      </c>
      <c r="D284" s="10" t="s">
        <v>17</v>
      </c>
      <c r="E284" s="11" t="s">
        <v>91</v>
      </c>
      <c r="F284" s="13">
        <v>3.37</v>
      </c>
      <c r="G284" s="14">
        <v>44979.0</v>
      </c>
      <c r="H284" s="15">
        <f t="shared" si="1"/>
        <v>22</v>
      </c>
      <c r="I284" s="16">
        <f t="shared" si="2"/>
        <v>2</v>
      </c>
      <c r="J284" s="15">
        <f t="shared" si="3"/>
        <v>2023</v>
      </c>
      <c r="K284" s="16">
        <f>STANDARDIZE(F284,'estatística'!$C$2,'estatística'!$H$2)</f>
        <v>0.02620916688</v>
      </c>
    </row>
    <row r="285" ht="15.75" customHeight="1">
      <c r="A285" s="9">
        <v>10.0</v>
      </c>
      <c r="B285" s="10" t="s">
        <v>120</v>
      </c>
      <c r="C285" s="11" t="s">
        <v>121</v>
      </c>
      <c r="D285" s="10" t="s">
        <v>13</v>
      </c>
      <c r="E285" s="11" t="s">
        <v>91</v>
      </c>
      <c r="F285" s="13">
        <v>2.25</v>
      </c>
      <c r="G285" s="14">
        <v>44979.0</v>
      </c>
      <c r="H285" s="15">
        <f t="shared" si="1"/>
        <v>22</v>
      </c>
      <c r="I285" s="16">
        <f t="shared" si="2"/>
        <v>2</v>
      </c>
      <c r="J285" s="15">
        <f t="shared" si="3"/>
        <v>2023</v>
      </c>
      <c r="K285" s="16">
        <f>STANDARDIZE(F285,'estatística'!$C$2,'estatística'!$H$2)</f>
        <v>0.01202836161</v>
      </c>
    </row>
    <row r="286" ht="15.75" customHeight="1">
      <c r="A286" s="9">
        <v>59.0</v>
      </c>
      <c r="B286" s="10" t="s">
        <v>71</v>
      </c>
      <c r="C286" s="11" t="s">
        <v>72</v>
      </c>
      <c r="D286" s="10" t="s">
        <v>17</v>
      </c>
      <c r="E286" s="11" t="s">
        <v>116</v>
      </c>
      <c r="F286" s="13">
        <v>3.45</v>
      </c>
      <c r="G286" s="14">
        <v>44979.0</v>
      </c>
      <c r="H286" s="15">
        <f t="shared" si="1"/>
        <v>22</v>
      </c>
      <c r="I286" s="16">
        <f t="shared" si="2"/>
        <v>2</v>
      </c>
      <c r="J286" s="15">
        <f t="shared" si="3"/>
        <v>2023</v>
      </c>
      <c r="K286" s="16">
        <f>STANDARDIZE(F286,'estatística'!$C$2,'estatística'!$H$2)</f>
        <v>0.02722208154</v>
      </c>
    </row>
    <row r="287" ht="15.75" customHeight="1">
      <c r="A287" s="9">
        <v>10.0</v>
      </c>
      <c r="B287" s="10" t="s">
        <v>120</v>
      </c>
      <c r="C287" s="11" t="s">
        <v>121</v>
      </c>
      <c r="D287" s="10" t="s">
        <v>17</v>
      </c>
      <c r="E287" s="11" t="s">
        <v>29</v>
      </c>
      <c r="F287" s="13">
        <v>12.37</v>
      </c>
      <c r="G287" s="14">
        <v>44979.0</v>
      </c>
      <c r="H287" s="15">
        <f t="shared" si="1"/>
        <v>22</v>
      </c>
      <c r="I287" s="16">
        <f t="shared" si="2"/>
        <v>2</v>
      </c>
      <c r="J287" s="15">
        <f t="shared" si="3"/>
        <v>2023</v>
      </c>
      <c r="K287" s="16">
        <f>STANDARDIZE(F287,'estatística'!$C$2,'estatística'!$H$2)</f>
        <v>0.1401620663</v>
      </c>
    </row>
    <row r="288" ht="15.75" customHeight="1">
      <c r="A288" s="9">
        <v>78.0</v>
      </c>
      <c r="B288" s="10" t="s">
        <v>15</v>
      </c>
      <c r="C288" s="11" t="s">
        <v>16</v>
      </c>
      <c r="D288" s="10" t="s">
        <v>13</v>
      </c>
      <c r="E288" s="11" t="s">
        <v>32</v>
      </c>
      <c r="F288" s="13">
        <v>34.48</v>
      </c>
      <c r="G288" s="14">
        <v>44980.0</v>
      </c>
      <c r="H288" s="15">
        <f t="shared" si="1"/>
        <v>23</v>
      </c>
      <c r="I288" s="16">
        <f t="shared" si="2"/>
        <v>2</v>
      </c>
      <c r="J288" s="15">
        <f t="shared" si="3"/>
        <v>2023</v>
      </c>
      <c r="K288" s="16">
        <f>STANDARDIZE(F288,'estatística'!$C$2,'estatística'!$H$2)</f>
        <v>0.420106356</v>
      </c>
    </row>
    <row r="289" ht="15.75" customHeight="1">
      <c r="A289" s="9">
        <v>26.0</v>
      </c>
      <c r="B289" s="10" t="s">
        <v>183</v>
      </c>
      <c r="C289" s="11" t="s">
        <v>184</v>
      </c>
      <c r="D289" s="10" t="s">
        <v>13</v>
      </c>
      <c r="E289" s="11" t="s">
        <v>18</v>
      </c>
      <c r="F289" s="13">
        <v>36.47</v>
      </c>
      <c r="G289" s="14">
        <v>44980.0</v>
      </c>
      <c r="H289" s="15">
        <f t="shared" si="1"/>
        <v>23</v>
      </c>
      <c r="I289" s="16">
        <f t="shared" si="2"/>
        <v>2</v>
      </c>
      <c r="J289" s="15">
        <f t="shared" si="3"/>
        <v>2023</v>
      </c>
      <c r="K289" s="16">
        <f>STANDARDIZE(F289,'estatística'!$C$2,'estatística'!$H$2)</f>
        <v>0.4453026083</v>
      </c>
    </row>
    <row r="290" ht="15.75" customHeight="1">
      <c r="A290" s="9">
        <v>94.0</v>
      </c>
      <c r="B290" s="10" t="s">
        <v>179</v>
      </c>
      <c r="C290" s="11" t="s">
        <v>209</v>
      </c>
      <c r="D290" s="10" t="s">
        <v>13</v>
      </c>
      <c r="E290" s="11" t="s">
        <v>65</v>
      </c>
      <c r="F290" s="13">
        <v>26.86</v>
      </c>
      <c r="G290" s="14">
        <v>44980.0</v>
      </c>
      <c r="H290" s="15">
        <f t="shared" si="1"/>
        <v>23</v>
      </c>
      <c r="I290" s="16">
        <f t="shared" si="2"/>
        <v>2</v>
      </c>
      <c r="J290" s="15">
        <f t="shared" si="3"/>
        <v>2023</v>
      </c>
      <c r="K290" s="16">
        <f>STANDARDIZE(F290,'estatística'!$C$2,'estatística'!$H$2)</f>
        <v>0.3236262345</v>
      </c>
    </row>
    <row r="291" ht="15.75" customHeight="1">
      <c r="A291" s="9">
        <v>45.0</v>
      </c>
      <c r="B291" s="10" t="s">
        <v>193</v>
      </c>
      <c r="C291" s="11" t="s">
        <v>194</v>
      </c>
      <c r="D291" s="10" t="s">
        <v>13</v>
      </c>
      <c r="E291" s="11" t="s">
        <v>57</v>
      </c>
      <c r="F291" s="13">
        <v>14.32</v>
      </c>
      <c r="G291" s="14">
        <v>44980.0</v>
      </c>
      <c r="H291" s="15">
        <f t="shared" si="1"/>
        <v>23</v>
      </c>
      <c r="I291" s="16">
        <f t="shared" si="2"/>
        <v>2</v>
      </c>
      <c r="J291" s="15">
        <f t="shared" si="3"/>
        <v>2023</v>
      </c>
      <c r="K291" s="16">
        <f>STANDARDIZE(F291,'estatística'!$C$2,'estatística'!$H$2)</f>
        <v>0.1648518612</v>
      </c>
    </row>
    <row r="292" ht="15.75" customHeight="1">
      <c r="A292" s="9">
        <v>2.0</v>
      </c>
      <c r="B292" s="10" t="s">
        <v>53</v>
      </c>
      <c r="C292" s="11" t="s">
        <v>54</v>
      </c>
      <c r="D292" s="10" t="s">
        <v>13</v>
      </c>
      <c r="E292" s="11" t="s">
        <v>14</v>
      </c>
      <c r="F292" s="13">
        <v>10.87</v>
      </c>
      <c r="G292" s="14">
        <v>44980.0</v>
      </c>
      <c r="H292" s="15">
        <f t="shared" si="1"/>
        <v>23</v>
      </c>
      <c r="I292" s="16">
        <f t="shared" si="2"/>
        <v>2</v>
      </c>
      <c r="J292" s="15">
        <f t="shared" si="3"/>
        <v>2023</v>
      </c>
      <c r="K292" s="16">
        <f>STANDARDIZE(F292,'estatística'!$C$2,'estatística'!$H$2)</f>
        <v>0.1211699164</v>
      </c>
    </row>
    <row r="293" ht="15.75" customHeight="1">
      <c r="A293" s="9">
        <v>65.0</v>
      </c>
      <c r="B293" s="10" t="s">
        <v>181</v>
      </c>
      <c r="C293" s="11" t="s">
        <v>182</v>
      </c>
      <c r="D293" s="10" t="s">
        <v>17</v>
      </c>
      <c r="E293" s="11" t="s">
        <v>24</v>
      </c>
      <c r="F293" s="13">
        <v>35.57</v>
      </c>
      <c r="G293" s="14">
        <v>44980.0</v>
      </c>
      <c r="H293" s="15">
        <f t="shared" si="1"/>
        <v>23</v>
      </c>
      <c r="I293" s="16">
        <f t="shared" si="2"/>
        <v>2</v>
      </c>
      <c r="J293" s="15">
        <f t="shared" si="3"/>
        <v>2023</v>
      </c>
      <c r="K293" s="16">
        <f>STANDARDIZE(F293,'estatística'!$C$2,'estatística'!$H$2)</f>
        <v>0.4339073183</v>
      </c>
    </row>
    <row r="294" ht="15.75" customHeight="1">
      <c r="A294" s="9">
        <v>28.0</v>
      </c>
      <c r="B294" s="10" t="s">
        <v>49</v>
      </c>
      <c r="C294" s="11" t="s">
        <v>50</v>
      </c>
      <c r="D294" s="10" t="s">
        <v>13</v>
      </c>
      <c r="E294" s="11" t="s">
        <v>91</v>
      </c>
      <c r="F294" s="13">
        <v>2.04</v>
      </c>
      <c r="G294" s="14">
        <v>44980.0</v>
      </c>
      <c r="H294" s="15">
        <f t="shared" si="1"/>
        <v>23</v>
      </c>
      <c r="I294" s="16">
        <f t="shared" si="2"/>
        <v>2</v>
      </c>
      <c r="J294" s="15">
        <f t="shared" si="3"/>
        <v>2023</v>
      </c>
      <c r="K294" s="16">
        <f>STANDARDIZE(F294,'estatística'!$C$2,'estatística'!$H$2)</f>
        <v>0.009369460623</v>
      </c>
    </row>
    <row r="295" ht="15.75" customHeight="1">
      <c r="A295" s="9">
        <v>85.0</v>
      </c>
      <c r="B295" s="10" t="s">
        <v>170</v>
      </c>
      <c r="C295" s="11" t="s">
        <v>171</v>
      </c>
      <c r="D295" s="10" t="s">
        <v>13</v>
      </c>
      <c r="E295" s="11" t="s">
        <v>62</v>
      </c>
      <c r="F295" s="13">
        <v>11.71</v>
      </c>
      <c r="G295" s="14">
        <v>44980.0</v>
      </c>
      <c r="H295" s="15">
        <f t="shared" si="1"/>
        <v>23</v>
      </c>
      <c r="I295" s="16">
        <f t="shared" si="2"/>
        <v>2</v>
      </c>
      <c r="J295" s="15">
        <f t="shared" si="3"/>
        <v>2023</v>
      </c>
      <c r="K295" s="16">
        <f>STANDARDIZE(F295,'estatística'!$C$2,'estatística'!$H$2)</f>
        <v>0.1318055204</v>
      </c>
    </row>
    <row r="296" ht="15.75" customHeight="1">
      <c r="A296" s="9">
        <v>72.0</v>
      </c>
      <c r="B296" s="10" t="s">
        <v>103</v>
      </c>
      <c r="C296" s="11" t="s">
        <v>104</v>
      </c>
      <c r="D296" s="10" t="s">
        <v>13</v>
      </c>
      <c r="E296" s="11" t="s">
        <v>65</v>
      </c>
      <c r="F296" s="13">
        <v>33.16</v>
      </c>
      <c r="G296" s="14">
        <v>44980.0</v>
      </c>
      <c r="H296" s="15">
        <f t="shared" si="1"/>
        <v>23</v>
      </c>
      <c r="I296" s="16">
        <f t="shared" si="2"/>
        <v>2</v>
      </c>
      <c r="J296" s="15">
        <f t="shared" si="3"/>
        <v>2023</v>
      </c>
      <c r="K296" s="16">
        <f>STANDARDIZE(F296,'estatística'!$C$2,'estatística'!$H$2)</f>
        <v>0.4033932641</v>
      </c>
    </row>
    <row r="297" ht="15.75" customHeight="1">
      <c r="A297" s="9">
        <v>75.0</v>
      </c>
      <c r="B297" s="10" t="s">
        <v>210</v>
      </c>
      <c r="C297" s="11" t="s">
        <v>211</v>
      </c>
      <c r="D297" s="10" t="s">
        <v>13</v>
      </c>
      <c r="E297" s="11" t="s">
        <v>18</v>
      </c>
      <c r="F297" s="13">
        <v>48.46</v>
      </c>
      <c r="G297" s="14">
        <v>44981.0</v>
      </c>
      <c r="H297" s="15">
        <f t="shared" si="1"/>
        <v>24</v>
      </c>
      <c r="I297" s="16">
        <f t="shared" si="2"/>
        <v>2</v>
      </c>
      <c r="J297" s="15">
        <f t="shared" si="3"/>
        <v>2023</v>
      </c>
      <c r="K297" s="16">
        <f>STANDARDIZE(F297,'estatística'!$C$2,'estatística'!$H$2)</f>
        <v>0.5971131932</v>
      </c>
    </row>
    <row r="298" ht="15.75" customHeight="1">
      <c r="A298" s="9">
        <v>35.0</v>
      </c>
      <c r="B298" s="10" t="s">
        <v>95</v>
      </c>
      <c r="C298" s="11" t="s">
        <v>96</v>
      </c>
      <c r="D298" s="10" t="s">
        <v>13</v>
      </c>
      <c r="E298" s="11" t="s">
        <v>116</v>
      </c>
      <c r="F298" s="13">
        <v>4.64</v>
      </c>
      <c r="G298" s="14">
        <v>44981.0</v>
      </c>
      <c r="H298" s="15">
        <f t="shared" si="1"/>
        <v>24</v>
      </c>
      <c r="I298" s="16">
        <f t="shared" si="2"/>
        <v>2</v>
      </c>
      <c r="J298" s="15">
        <f t="shared" si="3"/>
        <v>2023</v>
      </c>
      <c r="K298" s="16">
        <f>STANDARDIZE(F298,'estatística'!$C$2,'estatística'!$H$2)</f>
        <v>0.04228918714</v>
      </c>
    </row>
    <row r="299" ht="15.75" customHeight="1">
      <c r="A299" s="9">
        <v>6.0</v>
      </c>
      <c r="B299" s="10" t="s">
        <v>155</v>
      </c>
      <c r="C299" s="11" t="s">
        <v>156</v>
      </c>
      <c r="D299" s="10" t="s">
        <v>13</v>
      </c>
      <c r="E299" s="11" t="s">
        <v>32</v>
      </c>
      <c r="F299" s="13">
        <v>24.74</v>
      </c>
      <c r="G299" s="14">
        <v>44981.0</v>
      </c>
      <c r="H299" s="15">
        <f t="shared" si="1"/>
        <v>24</v>
      </c>
      <c r="I299" s="16">
        <f t="shared" si="2"/>
        <v>2</v>
      </c>
      <c r="J299" s="15">
        <f t="shared" si="3"/>
        <v>2023</v>
      </c>
      <c r="K299" s="16">
        <f>STANDARDIZE(F299,'estatística'!$C$2,'estatística'!$H$2)</f>
        <v>0.2967839959</v>
      </c>
    </row>
    <row r="300" ht="15.75" customHeight="1">
      <c r="A300" s="9">
        <v>10.0</v>
      </c>
      <c r="B300" s="10" t="s">
        <v>120</v>
      </c>
      <c r="C300" s="11" t="s">
        <v>121</v>
      </c>
      <c r="D300" s="10" t="s">
        <v>17</v>
      </c>
      <c r="E300" s="11" t="s">
        <v>107</v>
      </c>
      <c r="F300" s="13">
        <v>26.32</v>
      </c>
      <c r="G300" s="14">
        <v>44981.0</v>
      </c>
      <c r="H300" s="15">
        <f t="shared" si="1"/>
        <v>24</v>
      </c>
      <c r="I300" s="16">
        <f t="shared" si="2"/>
        <v>2</v>
      </c>
      <c r="J300" s="15">
        <f t="shared" si="3"/>
        <v>2023</v>
      </c>
      <c r="K300" s="16">
        <f>STANDARDIZE(F300,'estatística'!$C$2,'estatística'!$H$2)</f>
        <v>0.3167890605</v>
      </c>
    </row>
    <row r="301" ht="15.75" customHeight="1">
      <c r="A301" s="9">
        <v>47.0</v>
      </c>
      <c r="B301" s="10" t="s">
        <v>89</v>
      </c>
      <c r="C301" s="11" t="s">
        <v>90</v>
      </c>
      <c r="D301" s="10" t="s">
        <v>17</v>
      </c>
      <c r="E301" s="11" t="s">
        <v>24</v>
      </c>
      <c r="F301" s="13">
        <v>21.13</v>
      </c>
      <c r="G301" s="14">
        <v>44981.0</v>
      </c>
      <c r="H301" s="15">
        <f t="shared" si="1"/>
        <v>24</v>
      </c>
      <c r="I301" s="16">
        <f t="shared" si="2"/>
        <v>2</v>
      </c>
      <c r="J301" s="15">
        <f t="shared" si="3"/>
        <v>2023</v>
      </c>
      <c r="K301" s="16">
        <f>STANDARDIZE(F301,'estatística'!$C$2,'estatística'!$H$2)</f>
        <v>0.2510762218</v>
      </c>
    </row>
    <row r="302" ht="15.75" customHeight="1">
      <c r="A302" s="9">
        <v>23.0</v>
      </c>
      <c r="B302" s="10" t="s">
        <v>207</v>
      </c>
      <c r="C302" s="11" t="s">
        <v>208</v>
      </c>
      <c r="D302" s="10" t="s">
        <v>17</v>
      </c>
      <c r="E302" s="11" t="s">
        <v>107</v>
      </c>
      <c r="F302" s="13">
        <v>31.4</v>
      </c>
      <c r="G302" s="14">
        <v>44981.0</v>
      </c>
      <c r="H302" s="15">
        <f t="shared" si="1"/>
        <v>24</v>
      </c>
      <c r="I302" s="16">
        <f t="shared" si="2"/>
        <v>2</v>
      </c>
      <c r="J302" s="15">
        <f t="shared" si="3"/>
        <v>2023</v>
      </c>
      <c r="K302" s="16">
        <f>STANDARDIZE(F302,'estatística'!$C$2,'estatística'!$H$2)</f>
        <v>0.3811091416</v>
      </c>
    </row>
    <row r="303" ht="15.75" customHeight="1">
      <c r="A303" s="9">
        <v>90.0</v>
      </c>
      <c r="B303" s="10" t="s">
        <v>191</v>
      </c>
      <c r="C303" s="11" t="s">
        <v>192</v>
      </c>
      <c r="D303" s="10" t="s">
        <v>13</v>
      </c>
      <c r="E303" s="11" t="s">
        <v>77</v>
      </c>
      <c r="F303" s="13">
        <v>16.48</v>
      </c>
      <c r="G303" s="14">
        <v>44982.0</v>
      </c>
      <c r="H303" s="15">
        <f t="shared" si="1"/>
        <v>25</v>
      </c>
      <c r="I303" s="16">
        <f t="shared" si="2"/>
        <v>2</v>
      </c>
      <c r="J303" s="15">
        <f t="shared" si="3"/>
        <v>2023</v>
      </c>
      <c r="K303" s="16">
        <f>STANDARDIZE(F303,'estatística'!$C$2,'estatística'!$H$2)</f>
        <v>0.1922005571</v>
      </c>
    </row>
    <row r="304" ht="15.75" customHeight="1">
      <c r="A304" s="9">
        <v>8.0</v>
      </c>
      <c r="B304" s="10" t="s">
        <v>75</v>
      </c>
      <c r="C304" s="11" t="s">
        <v>76</v>
      </c>
      <c r="D304" s="10" t="s">
        <v>17</v>
      </c>
      <c r="E304" s="11" t="s">
        <v>32</v>
      </c>
      <c r="F304" s="13">
        <v>26.22</v>
      </c>
      <c r="G304" s="14">
        <v>44982.0</v>
      </c>
      <c r="H304" s="15">
        <f t="shared" si="1"/>
        <v>25</v>
      </c>
      <c r="I304" s="16">
        <f t="shared" si="2"/>
        <v>2</v>
      </c>
      <c r="J304" s="15">
        <f t="shared" si="3"/>
        <v>2023</v>
      </c>
      <c r="K304" s="16">
        <f>STANDARDIZE(F304,'estatística'!$C$2,'estatística'!$H$2)</f>
        <v>0.3155229172</v>
      </c>
    </row>
    <row r="305" ht="15.75" customHeight="1">
      <c r="A305" s="9">
        <v>94.0</v>
      </c>
      <c r="B305" s="10" t="s">
        <v>179</v>
      </c>
      <c r="C305" s="11" t="s">
        <v>209</v>
      </c>
      <c r="D305" s="10" t="s">
        <v>17</v>
      </c>
      <c r="E305" s="11" t="s">
        <v>65</v>
      </c>
      <c r="F305" s="13">
        <v>27.42</v>
      </c>
      <c r="G305" s="14">
        <v>44982.0</v>
      </c>
      <c r="H305" s="15">
        <f t="shared" si="1"/>
        <v>25</v>
      </c>
      <c r="I305" s="16">
        <f t="shared" si="2"/>
        <v>2</v>
      </c>
      <c r="J305" s="15">
        <f t="shared" si="3"/>
        <v>2023</v>
      </c>
      <c r="K305" s="16">
        <f>STANDARDIZE(F305,'estatística'!$C$2,'estatística'!$H$2)</f>
        <v>0.3307166371</v>
      </c>
    </row>
    <row r="306" ht="15.75" customHeight="1">
      <c r="A306" s="9">
        <v>18.0</v>
      </c>
      <c r="B306" s="10" t="s">
        <v>135</v>
      </c>
      <c r="C306" s="11" t="s">
        <v>212</v>
      </c>
      <c r="D306" s="10" t="s">
        <v>17</v>
      </c>
      <c r="E306" s="11" t="s">
        <v>65</v>
      </c>
      <c r="F306" s="13">
        <v>37.17</v>
      </c>
      <c r="G306" s="14">
        <v>44982.0</v>
      </c>
      <c r="H306" s="15">
        <f t="shared" si="1"/>
        <v>25</v>
      </c>
      <c r="I306" s="16">
        <f t="shared" si="2"/>
        <v>2</v>
      </c>
      <c r="J306" s="15">
        <f t="shared" si="3"/>
        <v>2023</v>
      </c>
      <c r="K306" s="16">
        <f>STANDARDIZE(F306,'estatística'!$C$2,'estatística'!$H$2)</f>
        <v>0.4541656115</v>
      </c>
    </row>
    <row r="307" ht="15.75" customHeight="1">
      <c r="A307" s="9">
        <v>91.0</v>
      </c>
      <c r="B307" s="10" t="s">
        <v>81</v>
      </c>
      <c r="C307" s="11" t="s">
        <v>82</v>
      </c>
      <c r="D307" s="10" t="s">
        <v>13</v>
      </c>
      <c r="E307" s="11" t="s">
        <v>29</v>
      </c>
      <c r="F307" s="13">
        <v>12.36</v>
      </c>
      <c r="G307" s="14">
        <v>44982.0</v>
      </c>
      <c r="H307" s="15">
        <f t="shared" si="1"/>
        <v>25</v>
      </c>
      <c r="I307" s="16">
        <f t="shared" si="2"/>
        <v>2</v>
      </c>
      <c r="J307" s="15">
        <f t="shared" si="3"/>
        <v>2023</v>
      </c>
      <c r="K307" s="16">
        <f>STANDARDIZE(F307,'estatística'!$C$2,'estatística'!$H$2)</f>
        <v>0.140035452</v>
      </c>
    </row>
    <row r="308" ht="15.75" customHeight="1">
      <c r="A308" s="9">
        <v>3.0</v>
      </c>
      <c r="B308" s="10" t="s">
        <v>51</v>
      </c>
      <c r="C308" s="11" t="s">
        <v>52</v>
      </c>
      <c r="D308" s="10" t="s">
        <v>13</v>
      </c>
      <c r="E308" s="11" t="s">
        <v>68</v>
      </c>
      <c r="F308" s="13">
        <v>14.07</v>
      </c>
      <c r="G308" s="14">
        <v>44982.0</v>
      </c>
      <c r="H308" s="15">
        <f t="shared" si="1"/>
        <v>25</v>
      </c>
      <c r="I308" s="16">
        <f t="shared" si="2"/>
        <v>2</v>
      </c>
      <c r="J308" s="15">
        <f t="shared" si="3"/>
        <v>2023</v>
      </c>
      <c r="K308" s="16">
        <f>STANDARDIZE(F308,'estatística'!$C$2,'estatística'!$H$2)</f>
        <v>0.1616865029</v>
      </c>
    </row>
    <row r="309" ht="15.75" customHeight="1">
      <c r="A309" s="9">
        <v>59.0</v>
      </c>
      <c r="B309" s="10" t="s">
        <v>71</v>
      </c>
      <c r="C309" s="11" t="s">
        <v>72</v>
      </c>
      <c r="D309" s="10" t="s">
        <v>13</v>
      </c>
      <c r="E309" s="11" t="s">
        <v>18</v>
      </c>
      <c r="F309" s="13">
        <v>55.73</v>
      </c>
      <c r="G309" s="14">
        <v>44983.0</v>
      </c>
      <c r="H309" s="15">
        <f t="shared" si="1"/>
        <v>26</v>
      </c>
      <c r="I309" s="16">
        <f t="shared" si="2"/>
        <v>2</v>
      </c>
      <c r="J309" s="15">
        <f t="shared" si="3"/>
        <v>2023</v>
      </c>
      <c r="K309" s="16">
        <f>STANDARDIZE(F309,'estatística'!$C$2,'estatística'!$H$2)</f>
        <v>0.6891618131</v>
      </c>
    </row>
    <row r="310" ht="15.75" customHeight="1">
      <c r="A310" s="9">
        <v>53.0</v>
      </c>
      <c r="B310" s="10" t="s">
        <v>213</v>
      </c>
      <c r="C310" s="11" t="s">
        <v>214</v>
      </c>
      <c r="D310" s="10" t="s">
        <v>17</v>
      </c>
      <c r="E310" s="11" t="s">
        <v>65</v>
      </c>
      <c r="F310" s="13">
        <v>34.13</v>
      </c>
      <c r="G310" s="14">
        <v>44983.0</v>
      </c>
      <c r="H310" s="15">
        <f t="shared" si="1"/>
        <v>26</v>
      </c>
      <c r="I310" s="16">
        <f t="shared" si="2"/>
        <v>2</v>
      </c>
      <c r="J310" s="15">
        <f t="shared" si="3"/>
        <v>2023</v>
      </c>
      <c r="K310" s="16">
        <f>STANDARDIZE(F310,'estatística'!$C$2,'estatística'!$H$2)</f>
        <v>0.4156748544</v>
      </c>
    </row>
    <row r="311" ht="15.75" customHeight="1">
      <c r="A311" s="9">
        <v>41.0</v>
      </c>
      <c r="B311" s="10" t="s">
        <v>189</v>
      </c>
      <c r="C311" s="11" t="s">
        <v>190</v>
      </c>
      <c r="D311" s="10" t="s">
        <v>17</v>
      </c>
      <c r="E311" s="11" t="s">
        <v>91</v>
      </c>
      <c r="F311" s="13">
        <v>3.48</v>
      </c>
      <c r="G311" s="14">
        <v>44983.0</v>
      </c>
      <c r="H311" s="15">
        <f t="shared" si="1"/>
        <v>26</v>
      </c>
      <c r="I311" s="16">
        <f t="shared" si="2"/>
        <v>2</v>
      </c>
      <c r="J311" s="15">
        <f t="shared" si="3"/>
        <v>2023</v>
      </c>
      <c r="K311" s="16">
        <f>STANDARDIZE(F311,'estatística'!$C$2,'estatística'!$H$2)</f>
        <v>0.02760192454</v>
      </c>
    </row>
    <row r="312" ht="15.75" customHeight="1">
      <c r="A312" s="9">
        <v>7.0</v>
      </c>
      <c r="B312" s="10" t="s">
        <v>83</v>
      </c>
      <c r="C312" s="11" t="s">
        <v>84</v>
      </c>
      <c r="D312" s="10" t="s">
        <v>17</v>
      </c>
      <c r="E312" s="11" t="s">
        <v>91</v>
      </c>
      <c r="F312" s="13">
        <v>2.12</v>
      </c>
      <c r="G312" s="14">
        <v>44984.0</v>
      </c>
      <c r="H312" s="15">
        <f t="shared" si="1"/>
        <v>27</v>
      </c>
      <c r="I312" s="16">
        <f t="shared" si="2"/>
        <v>2</v>
      </c>
      <c r="J312" s="15">
        <f t="shared" si="3"/>
        <v>2023</v>
      </c>
      <c r="K312" s="16">
        <f>STANDARDIZE(F312,'estatística'!$C$2,'estatística'!$H$2)</f>
        <v>0.01038237528</v>
      </c>
    </row>
    <row r="313" ht="15.75" customHeight="1">
      <c r="A313" s="9">
        <v>92.0</v>
      </c>
      <c r="B313" s="10" t="s">
        <v>81</v>
      </c>
      <c r="C313" s="11" t="s">
        <v>169</v>
      </c>
      <c r="D313" s="10" t="s">
        <v>13</v>
      </c>
      <c r="E313" s="11" t="s">
        <v>27</v>
      </c>
      <c r="F313" s="13">
        <v>15.85</v>
      </c>
      <c r="G313" s="14">
        <v>44984.0</v>
      </c>
      <c r="H313" s="15">
        <f t="shared" si="1"/>
        <v>27</v>
      </c>
      <c r="I313" s="16">
        <f t="shared" si="2"/>
        <v>2</v>
      </c>
      <c r="J313" s="15">
        <f t="shared" si="3"/>
        <v>2023</v>
      </c>
      <c r="K313" s="16">
        <f>STANDARDIZE(F313,'estatística'!$C$2,'estatística'!$H$2)</f>
        <v>0.1842238541</v>
      </c>
    </row>
    <row r="314" ht="15.75" customHeight="1">
      <c r="A314" s="9">
        <v>66.0</v>
      </c>
      <c r="B314" s="10" t="s">
        <v>122</v>
      </c>
      <c r="C314" s="11" t="s">
        <v>130</v>
      </c>
      <c r="D314" s="10" t="s">
        <v>17</v>
      </c>
      <c r="E314" s="11" t="s">
        <v>33</v>
      </c>
      <c r="F314" s="13">
        <v>69.19</v>
      </c>
      <c r="G314" s="14">
        <v>44984.0</v>
      </c>
      <c r="H314" s="15">
        <f t="shared" si="1"/>
        <v>27</v>
      </c>
      <c r="I314" s="16">
        <f t="shared" si="2"/>
        <v>2</v>
      </c>
      <c r="J314" s="15">
        <f t="shared" si="3"/>
        <v>2023</v>
      </c>
      <c r="K314" s="16">
        <f>STANDARDIZE(F314,'estatística'!$C$2,'estatística'!$H$2)</f>
        <v>0.859584705</v>
      </c>
    </row>
    <row r="315" ht="15.75" customHeight="1">
      <c r="A315" s="9">
        <v>70.0</v>
      </c>
      <c r="B315" s="10" t="s">
        <v>124</v>
      </c>
      <c r="C315" s="11" t="s">
        <v>125</v>
      </c>
      <c r="D315" s="10" t="s">
        <v>17</v>
      </c>
      <c r="E315" s="11" t="s">
        <v>21</v>
      </c>
      <c r="F315" s="13">
        <v>18.07</v>
      </c>
      <c r="G315" s="14">
        <v>44984.0</v>
      </c>
      <c r="H315" s="15">
        <f t="shared" si="1"/>
        <v>27</v>
      </c>
      <c r="I315" s="16">
        <f t="shared" si="2"/>
        <v>2</v>
      </c>
      <c r="J315" s="15">
        <f t="shared" si="3"/>
        <v>2023</v>
      </c>
      <c r="K315" s="16">
        <f>STANDARDIZE(F315,'estatística'!$C$2,'estatística'!$H$2)</f>
        <v>0.212332236</v>
      </c>
    </row>
    <row r="316" ht="15.75" customHeight="1">
      <c r="A316" s="9">
        <v>9.0</v>
      </c>
      <c r="B316" s="10" t="s">
        <v>179</v>
      </c>
      <c r="C316" s="11" t="s">
        <v>180</v>
      </c>
      <c r="D316" s="10" t="s">
        <v>17</v>
      </c>
      <c r="E316" s="11" t="s">
        <v>29</v>
      </c>
      <c r="F316" s="13">
        <v>14.27</v>
      </c>
      <c r="G316" s="14">
        <v>44984.0</v>
      </c>
      <c r="H316" s="15">
        <f t="shared" si="1"/>
        <v>27</v>
      </c>
      <c r="I316" s="16">
        <f t="shared" si="2"/>
        <v>2</v>
      </c>
      <c r="J316" s="15">
        <f t="shared" si="3"/>
        <v>2023</v>
      </c>
      <c r="K316" s="16">
        <f>STANDARDIZE(F316,'estatística'!$C$2,'estatística'!$H$2)</f>
        <v>0.1642187896</v>
      </c>
    </row>
    <row r="317" ht="15.75" customHeight="1">
      <c r="A317" s="9">
        <v>42.0</v>
      </c>
      <c r="B317" s="10" t="s">
        <v>60</v>
      </c>
      <c r="C317" s="11" t="s">
        <v>142</v>
      </c>
      <c r="D317" s="10" t="s">
        <v>17</v>
      </c>
      <c r="E317" s="11" t="s">
        <v>116</v>
      </c>
      <c r="F317" s="13">
        <v>2.39</v>
      </c>
      <c r="G317" s="14">
        <v>44985.0</v>
      </c>
      <c r="H317" s="15">
        <f t="shared" si="1"/>
        <v>28</v>
      </c>
      <c r="I317" s="16">
        <f t="shared" si="2"/>
        <v>2</v>
      </c>
      <c r="J317" s="15">
        <f t="shared" si="3"/>
        <v>2023</v>
      </c>
      <c r="K317" s="16">
        <f>STANDARDIZE(F317,'estatística'!$C$2,'estatística'!$H$2)</f>
        <v>0.01380096227</v>
      </c>
    </row>
    <row r="318" ht="15.75" customHeight="1">
      <c r="A318" s="9">
        <v>61.0</v>
      </c>
      <c r="B318" s="10" t="s">
        <v>73</v>
      </c>
      <c r="C318" s="11" t="s">
        <v>74</v>
      </c>
      <c r="D318" s="10" t="s">
        <v>17</v>
      </c>
      <c r="E318" s="11" t="s">
        <v>33</v>
      </c>
      <c r="F318" s="13">
        <v>57.2</v>
      </c>
      <c r="G318" s="14">
        <v>44985.0</v>
      </c>
      <c r="H318" s="15">
        <f t="shared" si="1"/>
        <v>28</v>
      </c>
      <c r="I318" s="16">
        <f t="shared" si="2"/>
        <v>2</v>
      </c>
      <c r="J318" s="15">
        <f t="shared" si="3"/>
        <v>2023</v>
      </c>
      <c r="K318" s="16">
        <f>STANDARDIZE(F318,'estatística'!$C$2,'estatística'!$H$2)</f>
        <v>0.70777412</v>
      </c>
    </row>
    <row r="319" ht="15.75" customHeight="1">
      <c r="A319" s="9">
        <v>63.0</v>
      </c>
      <c r="B319" s="10" t="s">
        <v>197</v>
      </c>
      <c r="C319" s="11" t="s">
        <v>198</v>
      </c>
      <c r="D319" s="10" t="s">
        <v>17</v>
      </c>
      <c r="E319" s="11" t="s">
        <v>39</v>
      </c>
      <c r="F319" s="13">
        <v>54.76</v>
      </c>
      <c r="G319" s="14">
        <v>44985.0</v>
      </c>
      <c r="H319" s="15">
        <f t="shared" si="1"/>
        <v>28</v>
      </c>
      <c r="I319" s="16">
        <f t="shared" si="2"/>
        <v>2</v>
      </c>
      <c r="J319" s="15">
        <f t="shared" si="3"/>
        <v>2023</v>
      </c>
      <c r="K319" s="16">
        <f>STANDARDIZE(F319,'estatística'!$C$2,'estatística'!$H$2)</f>
        <v>0.6768802228</v>
      </c>
    </row>
    <row r="320" ht="15.75" customHeight="1">
      <c r="A320" s="9">
        <v>8.0</v>
      </c>
      <c r="B320" s="10" t="s">
        <v>75</v>
      </c>
      <c r="C320" s="11" t="s">
        <v>76</v>
      </c>
      <c r="D320" s="10" t="s">
        <v>17</v>
      </c>
      <c r="E320" s="11" t="s">
        <v>116</v>
      </c>
      <c r="F320" s="13">
        <v>2.28</v>
      </c>
      <c r="G320" s="14">
        <v>44985.0</v>
      </c>
      <c r="H320" s="15">
        <f t="shared" si="1"/>
        <v>28</v>
      </c>
      <c r="I320" s="16">
        <f t="shared" si="2"/>
        <v>2</v>
      </c>
      <c r="J320" s="15">
        <f t="shared" si="3"/>
        <v>2023</v>
      </c>
      <c r="K320" s="16">
        <f>STANDARDIZE(F320,'estatística'!$C$2,'estatística'!$H$2)</f>
        <v>0.01240820461</v>
      </c>
    </row>
    <row r="321" ht="15.75" customHeight="1">
      <c r="A321" s="9">
        <v>8.0</v>
      </c>
      <c r="B321" s="10" t="s">
        <v>75</v>
      </c>
      <c r="C321" s="11" t="s">
        <v>76</v>
      </c>
      <c r="D321" s="10" t="s">
        <v>17</v>
      </c>
      <c r="E321" s="11" t="s">
        <v>33</v>
      </c>
      <c r="F321" s="13">
        <v>49.9</v>
      </c>
      <c r="G321" s="14">
        <v>44985.0</v>
      </c>
      <c r="H321" s="15">
        <f t="shared" si="1"/>
        <v>28</v>
      </c>
      <c r="I321" s="16">
        <f t="shared" si="2"/>
        <v>2</v>
      </c>
      <c r="J321" s="15">
        <f t="shared" si="3"/>
        <v>2023</v>
      </c>
      <c r="K321" s="16">
        <f>STANDARDIZE(F321,'estatística'!$C$2,'estatística'!$H$2)</f>
        <v>0.6153456571</v>
      </c>
    </row>
    <row r="322" ht="15.75" customHeight="1">
      <c r="A322" s="9">
        <v>80.0</v>
      </c>
      <c r="B322" s="10" t="s">
        <v>22</v>
      </c>
      <c r="C322" s="11" t="s">
        <v>23</v>
      </c>
      <c r="D322" s="10" t="s">
        <v>13</v>
      </c>
      <c r="E322" s="11" t="s">
        <v>39</v>
      </c>
      <c r="F322" s="13">
        <v>47.93</v>
      </c>
      <c r="G322" s="14">
        <v>44985.0</v>
      </c>
      <c r="H322" s="15">
        <f t="shared" si="1"/>
        <v>28</v>
      </c>
      <c r="I322" s="16">
        <f t="shared" si="2"/>
        <v>2</v>
      </c>
      <c r="J322" s="15">
        <f t="shared" si="3"/>
        <v>2023</v>
      </c>
      <c r="K322" s="16">
        <f>STANDARDIZE(F322,'estatística'!$C$2,'estatística'!$H$2)</f>
        <v>0.5904026336</v>
      </c>
    </row>
    <row r="323" ht="15.75" customHeight="1">
      <c r="A323" s="9">
        <v>89.0</v>
      </c>
      <c r="B323" s="10" t="s">
        <v>105</v>
      </c>
      <c r="C323" s="11" t="s">
        <v>106</v>
      </c>
      <c r="D323" s="10" t="s">
        <v>17</v>
      </c>
      <c r="E323" s="11" t="s">
        <v>48</v>
      </c>
      <c r="F323" s="13">
        <v>11.89</v>
      </c>
      <c r="G323" s="14">
        <v>44985.0</v>
      </c>
      <c r="H323" s="15">
        <f t="shared" si="1"/>
        <v>28</v>
      </c>
      <c r="I323" s="16">
        <f t="shared" si="2"/>
        <v>2</v>
      </c>
      <c r="J323" s="15">
        <f t="shared" si="3"/>
        <v>2023</v>
      </c>
      <c r="K323" s="16">
        <f>STANDARDIZE(F323,'estatística'!$C$2,'estatística'!$H$2)</f>
        <v>0.1340845784</v>
      </c>
    </row>
    <row r="324" ht="15.75" customHeight="1">
      <c r="A324" s="9">
        <v>15.0</v>
      </c>
      <c r="B324" s="10" t="s">
        <v>37</v>
      </c>
      <c r="C324" s="11" t="s">
        <v>38</v>
      </c>
      <c r="D324" s="10" t="s">
        <v>17</v>
      </c>
      <c r="E324" s="11" t="s">
        <v>39</v>
      </c>
      <c r="F324" s="13">
        <v>58.65</v>
      </c>
      <c r="G324" s="14">
        <v>44985.0</v>
      </c>
      <c r="H324" s="15">
        <f t="shared" si="1"/>
        <v>28</v>
      </c>
      <c r="I324" s="16">
        <f t="shared" si="2"/>
        <v>2</v>
      </c>
      <c r="J324" s="15">
        <f t="shared" si="3"/>
        <v>2023</v>
      </c>
      <c r="K324" s="16">
        <f>STANDARDIZE(F324,'estatística'!$C$2,'estatística'!$H$2)</f>
        <v>0.7261331983</v>
      </c>
    </row>
    <row r="325" ht="15.75" customHeight="1">
      <c r="A325" s="9">
        <v>55.0</v>
      </c>
      <c r="B325" s="10" t="s">
        <v>174</v>
      </c>
      <c r="C325" s="11" t="s">
        <v>175</v>
      </c>
      <c r="D325" s="10" t="s">
        <v>17</v>
      </c>
      <c r="E325" s="11" t="s">
        <v>14</v>
      </c>
      <c r="F325" s="13">
        <v>10.72</v>
      </c>
      <c r="G325" s="14">
        <v>44985.0</v>
      </c>
      <c r="H325" s="15">
        <f t="shared" si="1"/>
        <v>28</v>
      </c>
      <c r="I325" s="16">
        <f t="shared" si="2"/>
        <v>2</v>
      </c>
      <c r="J325" s="15">
        <f t="shared" si="3"/>
        <v>2023</v>
      </c>
      <c r="K325" s="16">
        <f>STANDARDIZE(F325,'estatística'!$C$2,'estatística'!$H$2)</f>
        <v>0.1192707014</v>
      </c>
    </row>
    <row r="326" ht="15.75" customHeight="1">
      <c r="A326" s="9">
        <v>87.0</v>
      </c>
      <c r="B326" s="10" t="s">
        <v>215</v>
      </c>
      <c r="C326" s="11" t="s">
        <v>216</v>
      </c>
      <c r="D326" s="10" t="s">
        <v>13</v>
      </c>
      <c r="E326" s="11" t="s">
        <v>68</v>
      </c>
      <c r="F326" s="13">
        <v>13.25</v>
      </c>
      <c r="G326" s="14">
        <v>44986.0</v>
      </c>
      <c r="H326" s="15">
        <f t="shared" si="1"/>
        <v>1</v>
      </c>
      <c r="I326" s="16">
        <f t="shared" si="2"/>
        <v>3</v>
      </c>
      <c r="J326" s="15">
        <f t="shared" si="3"/>
        <v>2023</v>
      </c>
      <c r="K326" s="16">
        <f>STANDARDIZE(F326,'estatística'!$C$2,'estatística'!$H$2)</f>
        <v>0.1513041276</v>
      </c>
    </row>
    <row r="327" ht="15.75" customHeight="1">
      <c r="A327" s="9">
        <v>53.0</v>
      </c>
      <c r="B327" s="10" t="s">
        <v>213</v>
      </c>
      <c r="C327" s="11" t="s">
        <v>214</v>
      </c>
      <c r="D327" s="10" t="s">
        <v>17</v>
      </c>
      <c r="E327" s="11" t="s">
        <v>14</v>
      </c>
      <c r="F327" s="13">
        <v>10.68</v>
      </c>
      <c r="G327" s="14">
        <v>44986.0</v>
      </c>
      <c r="H327" s="15">
        <f t="shared" si="1"/>
        <v>1</v>
      </c>
      <c r="I327" s="16">
        <f t="shared" si="2"/>
        <v>3</v>
      </c>
      <c r="J327" s="15">
        <f t="shared" si="3"/>
        <v>2023</v>
      </c>
      <c r="K327" s="16">
        <f>STANDARDIZE(F327,'estatística'!$C$2,'estatística'!$H$2)</f>
        <v>0.1187642441</v>
      </c>
    </row>
    <row r="328" ht="15.75" customHeight="1">
      <c r="A328" s="9">
        <v>44.0</v>
      </c>
      <c r="B328" s="10" t="s">
        <v>187</v>
      </c>
      <c r="C328" s="11" t="s">
        <v>188</v>
      </c>
      <c r="D328" s="10" t="s">
        <v>17</v>
      </c>
      <c r="E328" s="11" t="s">
        <v>32</v>
      </c>
      <c r="F328" s="13">
        <v>23.04</v>
      </c>
      <c r="G328" s="14">
        <v>44986.0</v>
      </c>
      <c r="H328" s="15">
        <f t="shared" si="1"/>
        <v>1</v>
      </c>
      <c r="I328" s="16">
        <f t="shared" si="2"/>
        <v>3</v>
      </c>
      <c r="J328" s="15">
        <f t="shared" si="3"/>
        <v>2023</v>
      </c>
      <c r="K328" s="16">
        <f>STANDARDIZE(F328,'estatística'!$C$2,'estatística'!$H$2)</f>
        <v>0.2752595594</v>
      </c>
    </row>
    <row r="329" ht="15.75" customHeight="1">
      <c r="A329" s="9">
        <v>77.0</v>
      </c>
      <c r="B329" s="10" t="s">
        <v>11</v>
      </c>
      <c r="C329" s="11" t="s">
        <v>141</v>
      </c>
      <c r="D329" s="10" t="s">
        <v>17</v>
      </c>
      <c r="E329" s="11" t="s">
        <v>77</v>
      </c>
      <c r="F329" s="13">
        <v>16.0</v>
      </c>
      <c r="G329" s="14">
        <v>44986.0</v>
      </c>
      <c r="H329" s="15">
        <f t="shared" si="1"/>
        <v>1</v>
      </c>
      <c r="I329" s="16">
        <f t="shared" si="2"/>
        <v>3</v>
      </c>
      <c r="J329" s="15">
        <f t="shared" si="3"/>
        <v>2023</v>
      </c>
      <c r="K329" s="16">
        <f>STANDARDIZE(F329,'estatística'!$C$2,'estatística'!$H$2)</f>
        <v>0.1861230691</v>
      </c>
    </row>
    <row r="330" ht="15.75" customHeight="1">
      <c r="A330" s="9">
        <v>21.0</v>
      </c>
      <c r="B330" s="10" t="s">
        <v>158</v>
      </c>
      <c r="C330" s="11" t="s">
        <v>159</v>
      </c>
      <c r="D330" s="10" t="s">
        <v>17</v>
      </c>
      <c r="E330" s="11" t="s">
        <v>14</v>
      </c>
      <c r="F330" s="13">
        <v>10.18</v>
      </c>
      <c r="G330" s="14">
        <v>44986.0</v>
      </c>
      <c r="H330" s="15">
        <f t="shared" si="1"/>
        <v>1</v>
      </c>
      <c r="I330" s="16">
        <f t="shared" si="2"/>
        <v>3</v>
      </c>
      <c r="J330" s="15">
        <f t="shared" si="3"/>
        <v>2023</v>
      </c>
      <c r="K330" s="16">
        <f>STANDARDIZE(F330,'estatística'!$C$2,'estatística'!$H$2)</f>
        <v>0.1124335275</v>
      </c>
    </row>
    <row r="331" ht="15.75" customHeight="1">
      <c r="A331" s="9">
        <v>39.0</v>
      </c>
      <c r="B331" s="10" t="s">
        <v>58</v>
      </c>
      <c r="C331" s="11" t="s">
        <v>59</v>
      </c>
      <c r="D331" s="10" t="s">
        <v>13</v>
      </c>
      <c r="E331" s="11" t="s">
        <v>80</v>
      </c>
      <c r="F331" s="13">
        <v>32.67</v>
      </c>
      <c r="G331" s="14">
        <v>44986.0</v>
      </c>
      <c r="H331" s="15">
        <f t="shared" si="1"/>
        <v>1</v>
      </c>
      <c r="I331" s="16">
        <f t="shared" si="2"/>
        <v>3</v>
      </c>
      <c r="J331" s="15">
        <f t="shared" si="3"/>
        <v>2023</v>
      </c>
      <c r="K331" s="16">
        <f>STANDARDIZE(F331,'estatística'!$C$2,'estatística'!$H$2)</f>
        <v>0.3971891618</v>
      </c>
    </row>
    <row r="332" ht="15.75" customHeight="1">
      <c r="A332" s="9">
        <v>1.0</v>
      </c>
      <c r="B332" s="10" t="s">
        <v>166</v>
      </c>
      <c r="C332" s="11" t="s">
        <v>167</v>
      </c>
      <c r="D332" s="10" t="s">
        <v>13</v>
      </c>
      <c r="E332" s="11" t="s">
        <v>68</v>
      </c>
      <c r="F332" s="13">
        <v>10.51</v>
      </c>
      <c r="G332" s="14">
        <v>44986.0</v>
      </c>
      <c r="H332" s="15">
        <f t="shared" si="1"/>
        <v>1</v>
      </c>
      <c r="I332" s="16">
        <f t="shared" si="2"/>
        <v>3</v>
      </c>
      <c r="J332" s="15">
        <f t="shared" si="3"/>
        <v>2023</v>
      </c>
      <c r="K332" s="16">
        <f>STANDARDIZE(F332,'estatística'!$C$2,'estatística'!$H$2)</f>
        <v>0.1166118005</v>
      </c>
    </row>
    <row r="333" ht="15.75" customHeight="1">
      <c r="A333" s="9">
        <v>41.0</v>
      </c>
      <c r="B333" s="10" t="s">
        <v>189</v>
      </c>
      <c r="C333" s="11" t="s">
        <v>190</v>
      </c>
      <c r="D333" s="10" t="s">
        <v>13</v>
      </c>
      <c r="E333" s="11" t="s">
        <v>107</v>
      </c>
      <c r="F333" s="13">
        <v>30.3</v>
      </c>
      <c r="G333" s="14">
        <v>44987.0</v>
      </c>
      <c r="H333" s="15">
        <f t="shared" si="1"/>
        <v>2</v>
      </c>
      <c r="I333" s="16">
        <f t="shared" si="2"/>
        <v>3</v>
      </c>
      <c r="J333" s="15">
        <f t="shared" si="3"/>
        <v>2023</v>
      </c>
      <c r="K333" s="16">
        <f>STANDARDIZE(F333,'estatística'!$C$2,'estatística'!$H$2)</f>
        <v>0.367181565</v>
      </c>
    </row>
    <row r="334" ht="15.75" customHeight="1">
      <c r="A334" s="9">
        <v>7.0</v>
      </c>
      <c r="B334" s="10" t="s">
        <v>83</v>
      </c>
      <c r="C334" s="11" t="s">
        <v>84</v>
      </c>
      <c r="D334" s="10" t="s">
        <v>13</v>
      </c>
      <c r="E334" s="11" t="s">
        <v>48</v>
      </c>
      <c r="F334" s="13">
        <v>8.44</v>
      </c>
      <c r="G334" s="14">
        <v>44987.0</v>
      </c>
      <c r="H334" s="15">
        <f t="shared" si="1"/>
        <v>2</v>
      </c>
      <c r="I334" s="16">
        <f t="shared" si="2"/>
        <v>3</v>
      </c>
      <c r="J334" s="15">
        <f t="shared" si="3"/>
        <v>2023</v>
      </c>
      <c r="K334" s="16">
        <f>STANDARDIZE(F334,'estatística'!$C$2,'estatística'!$H$2)</f>
        <v>0.09040263358</v>
      </c>
    </row>
    <row r="335" ht="15.75" customHeight="1">
      <c r="A335" s="9">
        <v>13.0</v>
      </c>
      <c r="B335" s="10" t="s">
        <v>108</v>
      </c>
      <c r="C335" s="11" t="s">
        <v>109</v>
      </c>
      <c r="D335" s="10" t="s">
        <v>17</v>
      </c>
      <c r="E335" s="11" t="s">
        <v>107</v>
      </c>
      <c r="F335" s="13">
        <v>29.99</v>
      </c>
      <c r="G335" s="14">
        <v>44988.0</v>
      </c>
      <c r="H335" s="15">
        <f t="shared" si="1"/>
        <v>3</v>
      </c>
      <c r="I335" s="16">
        <f t="shared" si="2"/>
        <v>3</v>
      </c>
      <c r="J335" s="15">
        <f t="shared" si="3"/>
        <v>2023</v>
      </c>
      <c r="K335" s="16">
        <f>STANDARDIZE(F335,'estatística'!$C$2,'estatística'!$H$2)</f>
        <v>0.3632565206</v>
      </c>
    </row>
    <row r="336" ht="15.75" customHeight="1">
      <c r="A336" s="9">
        <v>54.0</v>
      </c>
      <c r="B336" s="10" t="s">
        <v>55</v>
      </c>
      <c r="C336" s="11" t="s">
        <v>56</v>
      </c>
      <c r="D336" s="10" t="s">
        <v>13</v>
      </c>
      <c r="E336" s="11" t="s">
        <v>62</v>
      </c>
      <c r="F336" s="13">
        <v>10.84</v>
      </c>
      <c r="G336" s="14">
        <v>44988.0</v>
      </c>
      <c r="H336" s="15">
        <f t="shared" si="1"/>
        <v>3</v>
      </c>
      <c r="I336" s="16">
        <f t="shared" si="2"/>
        <v>3</v>
      </c>
      <c r="J336" s="15">
        <f t="shared" si="3"/>
        <v>2023</v>
      </c>
      <c r="K336" s="16">
        <f>STANDARDIZE(F336,'estatística'!$C$2,'estatística'!$H$2)</f>
        <v>0.1207900734</v>
      </c>
    </row>
    <row r="337" ht="15.75" customHeight="1">
      <c r="A337" s="9">
        <v>24.0</v>
      </c>
      <c r="B337" s="10" t="s">
        <v>110</v>
      </c>
      <c r="C337" s="11" t="s">
        <v>111</v>
      </c>
      <c r="D337" s="10" t="s">
        <v>13</v>
      </c>
      <c r="E337" s="11" t="s">
        <v>32</v>
      </c>
      <c r="F337" s="13">
        <v>25.03</v>
      </c>
      <c r="G337" s="14">
        <v>44988.0</v>
      </c>
      <c r="H337" s="15">
        <f t="shared" si="1"/>
        <v>3</v>
      </c>
      <c r="I337" s="16">
        <f t="shared" si="2"/>
        <v>3</v>
      </c>
      <c r="J337" s="15">
        <f t="shared" si="3"/>
        <v>2023</v>
      </c>
      <c r="K337" s="16">
        <f>STANDARDIZE(F337,'estatística'!$C$2,'estatística'!$H$2)</f>
        <v>0.3004558116</v>
      </c>
    </row>
    <row r="338" ht="15.75" customHeight="1">
      <c r="A338" s="9">
        <v>25.0</v>
      </c>
      <c r="B338" s="10" t="s">
        <v>126</v>
      </c>
      <c r="C338" s="11" t="s">
        <v>127</v>
      </c>
      <c r="D338" s="10" t="s">
        <v>17</v>
      </c>
      <c r="E338" s="11" t="s">
        <v>77</v>
      </c>
      <c r="F338" s="13">
        <v>17.03</v>
      </c>
      <c r="G338" s="14">
        <v>44988.0</v>
      </c>
      <c r="H338" s="15">
        <f t="shared" si="1"/>
        <v>3</v>
      </c>
      <c r="I338" s="16">
        <f t="shared" si="2"/>
        <v>3</v>
      </c>
      <c r="J338" s="15">
        <f t="shared" si="3"/>
        <v>2023</v>
      </c>
      <c r="K338" s="16">
        <f>STANDARDIZE(F338,'estatística'!$C$2,'estatística'!$H$2)</f>
        <v>0.1991643454</v>
      </c>
    </row>
    <row r="339" ht="15.75" customHeight="1">
      <c r="A339" s="9">
        <v>73.0</v>
      </c>
      <c r="B339" s="10" t="s">
        <v>195</v>
      </c>
      <c r="C339" s="11" t="s">
        <v>196</v>
      </c>
      <c r="D339" s="10" t="s">
        <v>13</v>
      </c>
      <c r="E339" s="11" t="s">
        <v>14</v>
      </c>
      <c r="F339" s="13">
        <v>10.49</v>
      </c>
      <c r="G339" s="14">
        <v>44988.0</v>
      </c>
      <c r="H339" s="15">
        <f t="shared" si="1"/>
        <v>3</v>
      </c>
      <c r="I339" s="16">
        <f t="shared" si="2"/>
        <v>3</v>
      </c>
      <c r="J339" s="15">
        <f t="shared" si="3"/>
        <v>2023</v>
      </c>
      <c r="K339" s="16">
        <f>STANDARDIZE(F339,'estatística'!$C$2,'estatística'!$H$2)</f>
        <v>0.1163585718</v>
      </c>
    </row>
    <row r="340" ht="15.75" customHeight="1">
      <c r="A340" s="9">
        <v>71.0</v>
      </c>
      <c r="B340" s="10" t="s">
        <v>122</v>
      </c>
      <c r="C340" s="11" t="s">
        <v>123</v>
      </c>
      <c r="D340" s="10" t="s">
        <v>17</v>
      </c>
      <c r="E340" s="11" t="s">
        <v>77</v>
      </c>
      <c r="F340" s="13">
        <v>15.05</v>
      </c>
      <c r="G340" s="14">
        <v>44988.0</v>
      </c>
      <c r="H340" s="15">
        <f t="shared" si="1"/>
        <v>3</v>
      </c>
      <c r="I340" s="16">
        <f t="shared" si="2"/>
        <v>3</v>
      </c>
      <c r="J340" s="15">
        <f t="shared" si="3"/>
        <v>2023</v>
      </c>
      <c r="K340" s="16">
        <f>STANDARDIZE(F340,'estatística'!$C$2,'estatística'!$H$2)</f>
        <v>0.1740947075</v>
      </c>
    </row>
    <row r="341" ht="15.75" customHeight="1">
      <c r="A341" s="9">
        <v>95.0</v>
      </c>
      <c r="B341" s="10" t="s">
        <v>78</v>
      </c>
      <c r="C341" s="11" t="s">
        <v>79</v>
      </c>
      <c r="D341" s="10" t="s">
        <v>13</v>
      </c>
      <c r="E341" s="11" t="s">
        <v>27</v>
      </c>
      <c r="F341" s="13">
        <v>13.45</v>
      </c>
      <c r="G341" s="14">
        <v>44988.0</v>
      </c>
      <c r="H341" s="15">
        <f t="shared" si="1"/>
        <v>3</v>
      </c>
      <c r="I341" s="16">
        <f t="shared" si="2"/>
        <v>3</v>
      </c>
      <c r="J341" s="15">
        <f t="shared" si="3"/>
        <v>2023</v>
      </c>
      <c r="K341" s="16">
        <f>STANDARDIZE(F341,'estatística'!$C$2,'estatística'!$H$2)</f>
        <v>0.1538364143</v>
      </c>
    </row>
    <row r="342" ht="15.75" customHeight="1">
      <c r="A342" s="9">
        <v>92.0</v>
      </c>
      <c r="B342" s="10" t="s">
        <v>81</v>
      </c>
      <c r="C342" s="11" t="s">
        <v>169</v>
      </c>
      <c r="D342" s="10" t="s">
        <v>17</v>
      </c>
      <c r="E342" s="11" t="s">
        <v>107</v>
      </c>
      <c r="F342" s="13">
        <v>30.65</v>
      </c>
      <c r="G342" s="14">
        <v>44988.0</v>
      </c>
      <c r="H342" s="15">
        <f t="shared" si="1"/>
        <v>3</v>
      </c>
      <c r="I342" s="16">
        <f t="shared" si="2"/>
        <v>3</v>
      </c>
      <c r="J342" s="15">
        <f t="shared" si="3"/>
        <v>2023</v>
      </c>
      <c r="K342" s="16">
        <f>STANDARDIZE(F342,'estatística'!$C$2,'estatística'!$H$2)</f>
        <v>0.3716130666</v>
      </c>
    </row>
    <row r="343" ht="15.75" customHeight="1">
      <c r="A343" s="9">
        <v>33.0</v>
      </c>
      <c r="B343" s="10" t="s">
        <v>163</v>
      </c>
      <c r="C343" s="11" t="s">
        <v>164</v>
      </c>
      <c r="D343" s="10" t="s">
        <v>17</v>
      </c>
      <c r="E343" s="11" t="s">
        <v>68</v>
      </c>
      <c r="F343" s="13">
        <v>11.52</v>
      </c>
      <c r="G343" s="14">
        <v>44988.0</v>
      </c>
      <c r="H343" s="15">
        <f t="shared" si="1"/>
        <v>3</v>
      </c>
      <c r="I343" s="16">
        <f t="shared" si="2"/>
        <v>3</v>
      </c>
      <c r="J343" s="15">
        <f t="shared" si="3"/>
        <v>2023</v>
      </c>
      <c r="K343" s="16">
        <f>STANDARDIZE(F343,'estatística'!$C$2,'estatística'!$H$2)</f>
        <v>0.1293998481</v>
      </c>
    </row>
    <row r="344" ht="15.75" customHeight="1">
      <c r="A344" s="9">
        <v>10.0</v>
      </c>
      <c r="B344" s="10" t="s">
        <v>120</v>
      </c>
      <c r="C344" s="11" t="s">
        <v>121</v>
      </c>
      <c r="D344" s="10" t="s">
        <v>13</v>
      </c>
      <c r="E344" s="11" t="s">
        <v>39</v>
      </c>
      <c r="F344" s="13">
        <v>34.95</v>
      </c>
      <c r="G344" s="14">
        <v>44988.0</v>
      </c>
      <c r="H344" s="15">
        <f t="shared" si="1"/>
        <v>3</v>
      </c>
      <c r="I344" s="16">
        <f t="shared" si="2"/>
        <v>3</v>
      </c>
      <c r="J344" s="15">
        <f t="shared" si="3"/>
        <v>2023</v>
      </c>
      <c r="K344" s="16">
        <f>STANDARDIZE(F344,'estatística'!$C$2,'estatística'!$H$2)</f>
        <v>0.4260572297</v>
      </c>
    </row>
    <row r="345" ht="15.75" customHeight="1">
      <c r="A345" s="9">
        <v>16.0</v>
      </c>
      <c r="B345" s="10" t="s">
        <v>147</v>
      </c>
      <c r="C345" s="11" t="s">
        <v>148</v>
      </c>
      <c r="D345" s="10" t="s">
        <v>17</v>
      </c>
      <c r="E345" s="11" t="s">
        <v>116</v>
      </c>
      <c r="F345" s="13">
        <v>2.26</v>
      </c>
      <c r="G345" s="14">
        <v>44988.0</v>
      </c>
      <c r="H345" s="15">
        <f t="shared" si="1"/>
        <v>3</v>
      </c>
      <c r="I345" s="16">
        <f t="shared" si="2"/>
        <v>3</v>
      </c>
      <c r="J345" s="15">
        <f t="shared" si="3"/>
        <v>2023</v>
      </c>
      <c r="K345" s="16">
        <f>STANDARDIZE(F345,'estatística'!$C$2,'estatística'!$H$2)</f>
        <v>0.01215497594</v>
      </c>
    </row>
    <row r="346" ht="15.75" customHeight="1">
      <c r="A346" s="9">
        <v>29.0</v>
      </c>
      <c r="B346" s="10" t="s">
        <v>92</v>
      </c>
      <c r="C346" s="11" t="s">
        <v>93</v>
      </c>
      <c r="D346" s="10" t="s">
        <v>13</v>
      </c>
      <c r="E346" s="11" t="s">
        <v>116</v>
      </c>
      <c r="F346" s="13">
        <v>5.14</v>
      </c>
      <c r="G346" s="14">
        <v>44989.0</v>
      </c>
      <c r="H346" s="15">
        <f t="shared" si="1"/>
        <v>4</v>
      </c>
      <c r="I346" s="16">
        <f t="shared" si="2"/>
        <v>3</v>
      </c>
      <c r="J346" s="15">
        <f t="shared" si="3"/>
        <v>2023</v>
      </c>
      <c r="K346" s="16">
        <f>STANDARDIZE(F346,'estatística'!$C$2,'estatística'!$H$2)</f>
        <v>0.04861990377</v>
      </c>
    </row>
    <row r="347" ht="15.75" customHeight="1">
      <c r="A347" s="9">
        <v>3.0</v>
      </c>
      <c r="B347" s="10" t="s">
        <v>51</v>
      </c>
      <c r="C347" s="11" t="s">
        <v>52</v>
      </c>
      <c r="D347" s="10" t="s">
        <v>13</v>
      </c>
      <c r="E347" s="11" t="s">
        <v>107</v>
      </c>
      <c r="F347" s="13">
        <v>25.68</v>
      </c>
      <c r="G347" s="14">
        <v>44989.0</v>
      </c>
      <c r="H347" s="15">
        <f t="shared" si="1"/>
        <v>4</v>
      </c>
      <c r="I347" s="16">
        <f t="shared" si="2"/>
        <v>3</v>
      </c>
      <c r="J347" s="15">
        <f t="shared" si="3"/>
        <v>2023</v>
      </c>
      <c r="K347" s="16">
        <f>STANDARDIZE(F347,'estatística'!$C$2,'estatística'!$H$2)</f>
        <v>0.3086857432</v>
      </c>
    </row>
    <row r="348" ht="15.75" customHeight="1">
      <c r="A348" s="9">
        <v>40.0</v>
      </c>
      <c r="B348" s="10" t="s">
        <v>92</v>
      </c>
      <c r="C348" s="11" t="s">
        <v>157</v>
      </c>
      <c r="D348" s="10" t="s">
        <v>17</v>
      </c>
      <c r="E348" s="11" t="s">
        <v>32</v>
      </c>
      <c r="F348" s="13">
        <v>28.18</v>
      </c>
      <c r="G348" s="14">
        <v>44989.0</v>
      </c>
      <c r="H348" s="15">
        <f t="shared" si="1"/>
        <v>4</v>
      </c>
      <c r="I348" s="16">
        <f t="shared" si="2"/>
        <v>3</v>
      </c>
      <c r="J348" s="15">
        <f t="shared" si="3"/>
        <v>2023</v>
      </c>
      <c r="K348" s="16">
        <f>STANDARDIZE(F348,'estatística'!$C$2,'estatística'!$H$2)</f>
        <v>0.3403393264</v>
      </c>
    </row>
    <row r="349" ht="15.75" customHeight="1">
      <c r="A349" s="9">
        <v>18.0</v>
      </c>
      <c r="B349" s="10" t="s">
        <v>135</v>
      </c>
      <c r="C349" s="11" t="s">
        <v>212</v>
      </c>
      <c r="D349" s="10" t="s">
        <v>13</v>
      </c>
      <c r="E349" s="11" t="s">
        <v>36</v>
      </c>
      <c r="F349" s="13">
        <v>71.27</v>
      </c>
      <c r="G349" s="14">
        <v>44989.0</v>
      </c>
      <c r="H349" s="15">
        <f t="shared" si="1"/>
        <v>4</v>
      </c>
      <c r="I349" s="16">
        <f t="shared" si="2"/>
        <v>3</v>
      </c>
      <c r="J349" s="15">
        <f t="shared" si="3"/>
        <v>2023</v>
      </c>
      <c r="K349" s="16">
        <f>STANDARDIZE(F349,'estatística'!$C$2,'estatística'!$H$2)</f>
        <v>0.8859204862</v>
      </c>
    </row>
    <row r="350" ht="15.75" customHeight="1">
      <c r="A350" s="9">
        <v>41.0</v>
      </c>
      <c r="B350" s="10" t="s">
        <v>189</v>
      </c>
      <c r="C350" s="11" t="s">
        <v>190</v>
      </c>
      <c r="D350" s="10" t="s">
        <v>17</v>
      </c>
      <c r="E350" s="11" t="s">
        <v>57</v>
      </c>
      <c r="F350" s="13">
        <v>18.35</v>
      </c>
      <c r="G350" s="14">
        <v>44989.0</v>
      </c>
      <c r="H350" s="15">
        <f t="shared" si="1"/>
        <v>4</v>
      </c>
      <c r="I350" s="16">
        <f t="shared" si="2"/>
        <v>3</v>
      </c>
      <c r="J350" s="15">
        <f t="shared" si="3"/>
        <v>2023</v>
      </c>
      <c r="K350" s="16">
        <f>STANDARDIZE(F350,'estatística'!$C$2,'estatística'!$H$2)</f>
        <v>0.2158774373</v>
      </c>
    </row>
    <row r="351" ht="15.75" customHeight="1">
      <c r="A351" s="9">
        <v>56.0</v>
      </c>
      <c r="B351" s="10" t="s">
        <v>97</v>
      </c>
      <c r="C351" s="11" t="s">
        <v>98</v>
      </c>
      <c r="D351" s="10" t="s">
        <v>13</v>
      </c>
      <c r="E351" s="11" t="s">
        <v>57</v>
      </c>
      <c r="F351" s="13">
        <v>18.36</v>
      </c>
      <c r="G351" s="14">
        <v>44989.0</v>
      </c>
      <c r="H351" s="15">
        <f t="shared" si="1"/>
        <v>4</v>
      </c>
      <c r="I351" s="16">
        <f t="shared" si="2"/>
        <v>3</v>
      </c>
      <c r="J351" s="15">
        <f t="shared" si="3"/>
        <v>2023</v>
      </c>
      <c r="K351" s="16">
        <f>STANDARDIZE(F351,'estatística'!$C$2,'estatística'!$H$2)</f>
        <v>0.2160040517</v>
      </c>
    </row>
    <row r="352" ht="15.75" customHeight="1">
      <c r="A352" s="9">
        <v>79.0</v>
      </c>
      <c r="B352" s="10" t="s">
        <v>69</v>
      </c>
      <c r="C352" s="11" t="s">
        <v>70</v>
      </c>
      <c r="D352" s="10" t="s">
        <v>13</v>
      </c>
      <c r="E352" s="11" t="s">
        <v>14</v>
      </c>
      <c r="F352" s="13">
        <v>10.71</v>
      </c>
      <c r="G352" s="14">
        <v>44990.0</v>
      </c>
      <c r="H352" s="15">
        <f t="shared" si="1"/>
        <v>5</v>
      </c>
      <c r="I352" s="16">
        <f t="shared" si="2"/>
        <v>3</v>
      </c>
      <c r="J352" s="15">
        <f t="shared" si="3"/>
        <v>2023</v>
      </c>
      <c r="K352" s="16">
        <f>STANDARDIZE(F352,'estatística'!$C$2,'estatística'!$H$2)</f>
        <v>0.1191440871</v>
      </c>
    </row>
    <row r="353" ht="15.75" customHeight="1">
      <c r="A353" s="9">
        <v>50.0</v>
      </c>
      <c r="B353" s="10" t="s">
        <v>19</v>
      </c>
      <c r="C353" s="11" t="s">
        <v>20</v>
      </c>
      <c r="D353" s="10" t="s">
        <v>13</v>
      </c>
      <c r="E353" s="11" t="s">
        <v>36</v>
      </c>
      <c r="F353" s="13">
        <v>80.28</v>
      </c>
      <c r="G353" s="14">
        <v>44990.0</v>
      </c>
      <c r="H353" s="15">
        <f t="shared" si="1"/>
        <v>5</v>
      </c>
      <c r="I353" s="16">
        <f t="shared" si="2"/>
        <v>3</v>
      </c>
      <c r="J353" s="15">
        <f t="shared" si="3"/>
        <v>2023</v>
      </c>
      <c r="K353" s="16">
        <f>STANDARDIZE(F353,'estatística'!$C$2,'estatística'!$H$2)</f>
        <v>1</v>
      </c>
    </row>
    <row r="354" ht="15.75" customHeight="1">
      <c r="A354" s="9">
        <v>10.0</v>
      </c>
      <c r="B354" s="10" t="s">
        <v>120</v>
      </c>
      <c r="C354" s="11" t="s">
        <v>121</v>
      </c>
      <c r="D354" s="10" t="s">
        <v>13</v>
      </c>
      <c r="E354" s="11" t="s">
        <v>21</v>
      </c>
      <c r="F354" s="13">
        <v>16.88</v>
      </c>
      <c r="G354" s="14">
        <v>44990.0</v>
      </c>
      <c r="H354" s="15">
        <f t="shared" si="1"/>
        <v>5</v>
      </c>
      <c r="I354" s="16">
        <f t="shared" si="2"/>
        <v>3</v>
      </c>
      <c r="J354" s="15">
        <f t="shared" si="3"/>
        <v>2023</v>
      </c>
      <c r="K354" s="16">
        <f>STANDARDIZE(F354,'estatística'!$C$2,'estatística'!$H$2)</f>
        <v>0.1972651304</v>
      </c>
    </row>
    <row r="355" ht="15.75" customHeight="1">
      <c r="A355" s="9">
        <v>23.0</v>
      </c>
      <c r="B355" s="10" t="s">
        <v>207</v>
      </c>
      <c r="C355" s="11" t="s">
        <v>208</v>
      </c>
      <c r="D355" s="10" t="s">
        <v>13</v>
      </c>
      <c r="E355" s="11" t="s">
        <v>80</v>
      </c>
      <c r="F355" s="13">
        <v>41.99</v>
      </c>
      <c r="G355" s="14">
        <v>44990.0</v>
      </c>
      <c r="H355" s="15">
        <f t="shared" si="1"/>
        <v>5</v>
      </c>
      <c r="I355" s="16">
        <f t="shared" si="2"/>
        <v>3</v>
      </c>
      <c r="J355" s="15">
        <f t="shared" si="3"/>
        <v>2023</v>
      </c>
      <c r="K355" s="16">
        <f>STANDARDIZE(F355,'estatística'!$C$2,'estatística'!$H$2)</f>
        <v>0.5151937199</v>
      </c>
    </row>
    <row r="356" ht="15.75" customHeight="1">
      <c r="A356" s="9">
        <v>18.0</v>
      </c>
      <c r="B356" s="10" t="s">
        <v>135</v>
      </c>
      <c r="C356" s="11" t="s">
        <v>212</v>
      </c>
      <c r="D356" s="10" t="s">
        <v>17</v>
      </c>
      <c r="E356" s="11" t="s">
        <v>65</v>
      </c>
      <c r="F356" s="13">
        <v>38.76</v>
      </c>
      <c r="G356" s="14">
        <v>44991.0</v>
      </c>
      <c r="H356" s="15">
        <f t="shared" si="1"/>
        <v>6</v>
      </c>
      <c r="I356" s="16">
        <f t="shared" si="2"/>
        <v>3</v>
      </c>
      <c r="J356" s="15">
        <f t="shared" si="3"/>
        <v>2023</v>
      </c>
      <c r="K356" s="16">
        <f>STANDARDIZE(F356,'estatística'!$C$2,'estatística'!$H$2)</f>
        <v>0.4742972905</v>
      </c>
    </row>
    <row r="357" ht="15.75" customHeight="1">
      <c r="A357" s="9">
        <v>20.0</v>
      </c>
      <c r="B357" s="10" t="s">
        <v>133</v>
      </c>
      <c r="C357" s="11" t="s">
        <v>134</v>
      </c>
      <c r="D357" s="10" t="s">
        <v>17</v>
      </c>
      <c r="E357" s="11" t="s">
        <v>14</v>
      </c>
      <c r="F357" s="13">
        <v>10.19</v>
      </c>
      <c r="G357" s="14">
        <v>44991.0</v>
      </c>
      <c r="H357" s="15">
        <f t="shared" si="1"/>
        <v>6</v>
      </c>
      <c r="I357" s="16">
        <f t="shared" si="2"/>
        <v>3</v>
      </c>
      <c r="J357" s="15">
        <f t="shared" si="3"/>
        <v>2023</v>
      </c>
      <c r="K357" s="16">
        <f>STANDARDIZE(F357,'estatística'!$C$2,'estatística'!$H$2)</f>
        <v>0.1125601418</v>
      </c>
    </row>
    <row r="358" ht="15.75" customHeight="1">
      <c r="A358" s="9">
        <v>29.0</v>
      </c>
      <c r="B358" s="10" t="s">
        <v>92</v>
      </c>
      <c r="C358" s="11" t="s">
        <v>93</v>
      </c>
      <c r="D358" s="10" t="s">
        <v>13</v>
      </c>
      <c r="E358" s="11" t="s">
        <v>80</v>
      </c>
      <c r="F358" s="13">
        <v>38.14</v>
      </c>
      <c r="G358" s="14">
        <v>44992.0</v>
      </c>
      <c r="H358" s="15">
        <f t="shared" si="1"/>
        <v>7</v>
      </c>
      <c r="I358" s="16">
        <f t="shared" si="2"/>
        <v>3</v>
      </c>
      <c r="J358" s="15">
        <f t="shared" si="3"/>
        <v>2023</v>
      </c>
      <c r="K358" s="16">
        <f>STANDARDIZE(F358,'estatística'!$C$2,'estatística'!$H$2)</f>
        <v>0.4664472018</v>
      </c>
    </row>
    <row r="359" ht="15.75" customHeight="1">
      <c r="A359" s="9">
        <v>24.0</v>
      </c>
      <c r="B359" s="10" t="s">
        <v>110</v>
      </c>
      <c r="C359" s="11" t="s">
        <v>111</v>
      </c>
      <c r="D359" s="10" t="s">
        <v>13</v>
      </c>
      <c r="E359" s="11" t="s">
        <v>27</v>
      </c>
      <c r="F359" s="13">
        <v>19.19</v>
      </c>
      <c r="G359" s="14">
        <v>44992.0</v>
      </c>
      <c r="H359" s="15">
        <f t="shared" si="1"/>
        <v>7</v>
      </c>
      <c r="I359" s="16">
        <f t="shared" si="2"/>
        <v>3</v>
      </c>
      <c r="J359" s="15">
        <f t="shared" si="3"/>
        <v>2023</v>
      </c>
      <c r="K359" s="16">
        <f>STANDARDIZE(F359,'estatística'!$C$2,'estatística'!$H$2)</f>
        <v>0.2265130413</v>
      </c>
    </row>
    <row r="360" ht="15.75" customHeight="1">
      <c r="A360" s="9">
        <v>1.0</v>
      </c>
      <c r="B360" s="10" t="s">
        <v>166</v>
      </c>
      <c r="C360" s="11" t="s">
        <v>167</v>
      </c>
      <c r="D360" s="10" t="s">
        <v>13</v>
      </c>
      <c r="E360" s="11" t="s">
        <v>27</v>
      </c>
      <c r="F360" s="13">
        <v>18.4</v>
      </c>
      <c r="G360" s="14">
        <v>44992.0</v>
      </c>
      <c r="H360" s="15">
        <f t="shared" si="1"/>
        <v>7</v>
      </c>
      <c r="I360" s="16">
        <f t="shared" si="2"/>
        <v>3</v>
      </c>
      <c r="J360" s="15">
        <f t="shared" si="3"/>
        <v>2023</v>
      </c>
      <c r="K360" s="16">
        <f>STANDARDIZE(F360,'estatística'!$C$2,'estatística'!$H$2)</f>
        <v>0.216510509</v>
      </c>
    </row>
    <row r="361" ht="15.75" customHeight="1">
      <c r="A361" s="9">
        <v>57.0</v>
      </c>
      <c r="B361" s="10" t="s">
        <v>60</v>
      </c>
      <c r="C361" s="11" t="s">
        <v>162</v>
      </c>
      <c r="D361" s="10" t="s">
        <v>17</v>
      </c>
      <c r="E361" s="11" t="s">
        <v>14</v>
      </c>
      <c r="F361" s="13">
        <v>10.46</v>
      </c>
      <c r="G361" s="14">
        <v>44992.0</v>
      </c>
      <c r="H361" s="15">
        <f t="shared" si="1"/>
        <v>7</v>
      </c>
      <c r="I361" s="16">
        <f t="shared" si="2"/>
        <v>3</v>
      </c>
      <c r="J361" s="15">
        <f t="shared" si="3"/>
        <v>2023</v>
      </c>
      <c r="K361" s="16">
        <f>STANDARDIZE(F361,'estatística'!$C$2,'estatística'!$H$2)</f>
        <v>0.1159787288</v>
      </c>
    </row>
    <row r="362" ht="15.75" customHeight="1">
      <c r="A362" s="9">
        <v>89.0</v>
      </c>
      <c r="B362" s="10" t="s">
        <v>105</v>
      </c>
      <c r="C362" s="11" t="s">
        <v>106</v>
      </c>
      <c r="D362" s="10" t="s">
        <v>17</v>
      </c>
      <c r="E362" s="11" t="s">
        <v>18</v>
      </c>
      <c r="F362" s="13">
        <v>40.02</v>
      </c>
      <c r="G362" s="14">
        <v>44992.0</v>
      </c>
      <c r="H362" s="15">
        <f t="shared" si="1"/>
        <v>7</v>
      </c>
      <c r="I362" s="16">
        <f t="shared" si="2"/>
        <v>3</v>
      </c>
      <c r="J362" s="15">
        <f t="shared" si="3"/>
        <v>2023</v>
      </c>
      <c r="K362" s="16">
        <f>STANDARDIZE(F362,'estatística'!$C$2,'estatística'!$H$2)</f>
        <v>0.4902506964</v>
      </c>
    </row>
    <row r="363" ht="15.75" customHeight="1">
      <c r="A363" s="9">
        <v>87.0</v>
      </c>
      <c r="B363" s="10" t="s">
        <v>215</v>
      </c>
      <c r="C363" s="11" t="s">
        <v>216</v>
      </c>
      <c r="D363" s="10" t="s">
        <v>17</v>
      </c>
      <c r="E363" s="11" t="s">
        <v>107</v>
      </c>
      <c r="F363" s="13">
        <v>28.48</v>
      </c>
      <c r="G363" s="14">
        <v>44992.0</v>
      </c>
      <c r="H363" s="15">
        <f t="shared" si="1"/>
        <v>7</v>
      </c>
      <c r="I363" s="16">
        <f t="shared" si="2"/>
        <v>3</v>
      </c>
      <c r="J363" s="15">
        <f t="shared" si="3"/>
        <v>2023</v>
      </c>
      <c r="K363" s="16">
        <f>STANDARDIZE(F363,'estatística'!$C$2,'estatística'!$H$2)</f>
        <v>0.3441377564</v>
      </c>
    </row>
    <row r="364" ht="15.75" customHeight="1">
      <c r="A364" s="9">
        <v>12.0</v>
      </c>
      <c r="B364" s="10" t="s">
        <v>160</v>
      </c>
      <c r="C364" s="11" t="s">
        <v>161</v>
      </c>
      <c r="D364" s="10" t="s">
        <v>13</v>
      </c>
      <c r="E364" s="11" t="s">
        <v>107</v>
      </c>
      <c r="F364" s="13">
        <v>30.78</v>
      </c>
      <c r="G364" s="14">
        <v>44992.0</v>
      </c>
      <c r="H364" s="15">
        <f t="shared" si="1"/>
        <v>7</v>
      </c>
      <c r="I364" s="16">
        <f t="shared" si="2"/>
        <v>3</v>
      </c>
      <c r="J364" s="15">
        <f t="shared" si="3"/>
        <v>2023</v>
      </c>
      <c r="K364" s="16">
        <f>STANDARDIZE(F364,'estatística'!$C$2,'estatística'!$H$2)</f>
        <v>0.3732590529</v>
      </c>
    </row>
    <row r="365" ht="15.75" customHeight="1">
      <c r="A365" s="9">
        <v>75.0</v>
      </c>
      <c r="B365" s="10" t="s">
        <v>210</v>
      </c>
      <c r="C365" s="11" t="s">
        <v>211</v>
      </c>
      <c r="D365" s="10" t="s">
        <v>17</v>
      </c>
      <c r="E365" s="11" t="s">
        <v>29</v>
      </c>
      <c r="F365" s="13">
        <v>14.52</v>
      </c>
      <c r="G365" s="14">
        <v>44992.0</v>
      </c>
      <c r="H365" s="15">
        <f t="shared" si="1"/>
        <v>7</v>
      </c>
      <c r="I365" s="16">
        <f t="shared" si="2"/>
        <v>3</v>
      </c>
      <c r="J365" s="15">
        <f t="shared" si="3"/>
        <v>2023</v>
      </c>
      <c r="K365" s="16">
        <f>STANDARDIZE(F365,'estatística'!$C$2,'estatística'!$H$2)</f>
        <v>0.1673841479</v>
      </c>
    </row>
    <row r="366" ht="15.75" customHeight="1">
      <c r="A366" s="9">
        <v>52.0</v>
      </c>
      <c r="B366" s="10" t="s">
        <v>153</v>
      </c>
      <c r="C366" s="11" t="s">
        <v>154</v>
      </c>
      <c r="D366" s="10" t="s">
        <v>13</v>
      </c>
      <c r="E366" s="11" t="s">
        <v>33</v>
      </c>
      <c r="F366" s="13">
        <v>69.63</v>
      </c>
      <c r="G366" s="14">
        <v>44993.0</v>
      </c>
      <c r="H366" s="15">
        <f t="shared" si="1"/>
        <v>8</v>
      </c>
      <c r="I366" s="16">
        <f t="shared" si="2"/>
        <v>3</v>
      </c>
      <c r="J366" s="15">
        <f t="shared" si="3"/>
        <v>2023</v>
      </c>
      <c r="K366" s="16">
        <f>STANDARDIZE(F366,'estatística'!$C$2,'estatística'!$H$2)</f>
        <v>0.8651557356</v>
      </c>
    </row>
    <row r="367" ht="15.75" customHeight="1">
      <c r="A367" s="9">
        <v>36.0</v>
      </c>
      <c r="B367" s="10" t="s">
        <v>60</v>
      </c>
      <c r="C367" s="11" t="s">
        <v>61</v>
      </c>
      <c r="D367" s="10" t="s">
        <v>17</v>
      </c>
      <c r="E367" s="11" t="s">
        <v>33</v>
      </c>
      <c r="F367" s="13">
        <v>47.64</v>
      </c>
      <c r="G367" s="14">
        <v>44993.0</v>
      </c>
      <c r="H367" s="15">
        <f t="shared" si="1"/>
        <v>8</v>
      </c>
      <c r="I367" s="16">
        <f t="shared" si="2"/>
        <v>3</v>
      </c>
      <c r="J367" s="15">
        <f t="shared" si="3"/>
        <v>2023</v>
      </c>
      <c r="K367" s="16">
        <f>STANDARDIZE(F367,'estatística'!$C$2,'estatística'!$H$2)</f>
        <v>0.5867308179</v>
      </c>
    </row>
    <row r="368" ht="15.75" customHeight="1">
      <c r="A368" s="9">
        <v>78.0</v>
      </c>
      <c r="B368" s="10" t="s">
        <v>15</v>
      </c>
      <c r="C368" s="11" t="s">
        <v>16</v>
      </c>
      <c r="D368" s="10" t="s">
        <v>13</v>
      </c>
      <c r="E368" s="11" t="s">
        <v>68</v>
      </c>
      <c r="F368" s="13">
        <v>14.35</v>
      </c>
      <c r="G368" s="14">
        <v>44993.0</v>
      </c>
      <c r="H368" s="15">
        <f t="shared" si="1"/>
        <v>8</v>
      </c>
      <c r="I368" s="16">
        <f t="shared" si="2"/>
        <v>3</v>
      </c>
      <c r="J368" s="15">
        <f t="shared" si="3"/>
        <v>2023</v>
      </c>
      <c r="K368" s="16">
        <f>STANDARDIZE(F368,'estatística'!$C$2,'estatística'!$H$2)</f>
        <v>0.1652317042</v>
      </c>
    </row>
    <row r="369" ht="15.75" customHeight="1">
      <c r="A369" s="9">
        <v>35.0</v>
      </c>
      <c r="B369" s="10" t="s">
        <v>95</v>
      </c>
      <c r="C369" s="11" t="s">
        <v>96</v>
      </c>
      <c r="D369" s="10" t="s">
        <v>13</v>
      </c>
      <c r="E369" s="11" t="s">
        <v>33</v>
      </c>
      <c r="F369" s="13">
        <v>57.77</v>
      </c>
      <c r="G369" s="14">
        <v>44993.0</v>
      </c>
      <c r="H369" s="15">
        <f t="shared" si="1"/>
        <v>8</v>
      </c>
      <c r="I369" s="16">
        <f t="shared" si="2"/>
        <v>3</v>
      </c>
      <c r="J369" s="15">
        <f t="shared" si="3"/>
        <v>2023</v>
      </c>
      <c r="K369" s="16">
        <f>STANDARDIZE(F369,'estatística'!$C$2,'estatística'!$H$2)</f>
        <v>0.714991137</v>
      </c>
    </row>
    <row r="370" ht="15.75" customHeight="1">
      <c r="A370" s="9">
        <v>72.0</v>
      </c>
      <c r="B370" s="10" t="s">
        <v>103</v>
      </c>
      <c r="C370" s="11" t="s">
        <v>104</v>
      </c>
      <c r="D370" s="10" t="s">
        <v>13</v>
      </c>
      <c r="E370" s="11" t="s">
        <v>107</v>
      </c>
      <c r="F370" s="13">
        <v>30.84</v>
      </c>
      <c r="G370" s="14">
        <v>44994.0</v>
      </c>
      <c r="H370" s="15">
        <f t="shared" si="1"/>
        <v>9</v>
      </c>
      <c r="I370" s="16">
        <f t="shared" si="2"/>
        <v>3</v>
      </c>
      <c r="J370" s="15">
        <f t="shared" si="3"/>
        <v>2023</v>
      </c>
      <c r="K370" s="16">
        <f>STANDARDIZE(F370,'estatística'!$C$2,'estatística'!$H$2)</f>
        <v>0.3740187389</v>
      </c>
    </row>
    <row r="371" ht="15.75" customHeight="1">
      <c r="A371" s="9">
        <v>5.0</v>
      </c>
      <c r="B371" s="10" t="s">
        <v>139</v>
      </c>
      <c r="C371" s="11" t="s">
        <v>140</v>
      </c>
      <c r="D371" s="10" t="s">
        <v>17</v>
      </c>
      <c r="E371" s="11" t="s">
        <v>27</v>
      </c>
      <c r="F371" s="13">
        <v>17.25</v>
      </c>
      <c r="G371" s="14">
        <v>44994.0</v>
      </c>
      <c r="H371" s="15">
        <f t="shared" si="1"/>
        <v>9</v>
      </c>
      <c r="I371" s="16">
        <f t="shared" si="2"/>
        <v>3</v>
      </c>
      <c r="J371" s="15">
        <f t="shared" si="3"/>
        <v>2023</v>
      </c>
      <c r="K371" s="16">
        <f>STANDARDIZE(F371,'estatística'!$C$2,'estatística'!$H$2)</f>
        <v>0.2019498607</v>
      </c>
    </row>
    <row r="372" ht="15.75" customHeight="1">
      <c r="A372" s="9">
        <v>66.0</v>
      </c>
      <c r="B372" s="10" t="s">
        <v>122</v>
      </c>
      <c r="C372" s="11" t="s">
        <v>130</v>
      </c>
      <c r="D372" s="10" t="s">
        <v>13</v>
      </c>
      <c r="E372" s="11" t="s">
        <v>80</v>
      </c>
      <c r="F372" s="13">
        <v>37.49</v>
      </c>
      <c r="G372" s="14">
        <v>44994.0</v>
      </c>
      <c r="H372" s="15">
        <f t="shared" si="1"/>
        <v>9</v>
      </c>
      <c r="I372" s="16">
        <f t="shared" si="2"/>
        <v>3</v>
      </c>
      <c r="J372" s="15">
        <f t="shared" si="3"/>
        <v>2023</v>
      </c>
      <c r="K372" s="16">
        <f>STANDARDIZE(F372,'estatística'!$C$2,'estatística'!$H$2)</f>
        <v>0.4582172702</v>
      </c>
    </row>
    <row r="373" ht="15.75" customHeight="1">
      <c r="A373" s="9">
        <v>28.0</v>
      </c>
      <c r="B373" s="10" t="s">
        <v>49</v>
      </c>
      <c r="C373" s="11" t="s">
        <v>50</v>
      </c>
      <c r="D373" s="10" t="s">
        <v>13</v>
      </c>
      <c r="E373" s="11" t="s">
        <v>77</v>
      </c>
      <c r="F373" s="13">
        <v>12.41</v>
      </c>
      <c r="G373" s="14">
        <v>44995.0</v>
      </c>
      <c r="H373" s="15">
        <f t="shared" si="1"/>
        <v>10</v>
      </c>
      <c r="I373" s="16">
        <f t="shared" si="2"/>
        <v>3</v>
      </c>
      <c r="J373" s="15">
        <f t="shared" si="3"/>
        <v>2023</v>
      </c>
      <c r="K373" s="16">
        <f>STANDARDIZE(F373,'estatística'!$C$2,'estatística'!$H$2)</f>
        <v>0.1406685237</v>
      </c>
    </row>
    <row r="374" ht="15.75" customHeight="1">
      <c r="A374" s="9">
        <v>76.0</v>
      </c>
      <c r="B374" s="10" t="s">
        <v>185</v>
      </c>
      <c r="C374" s="11" t="s">
        <v>186</v>
      </c>
      <c r="D374" s="10" t="s">
        <v>13</v>
      </c>
      <c r="E374" s="11" t="s">
        <v>57</v>
      </c>
      <c r="F374" s="13">
        <v>20.58</v>
      </c>
      <c r="G374" s="14">
        <v>44995.0</v>
      </c>
      <c r="H374" s="15">
        <f t="shared" si="1"/>
        <v>10</v>
      </c>
      <c r="I374" s="16">
        <f t="shared" si="2"/>
        <v>3</v>
      </c>
      <c r="J374" s="15">
        <f t="shared" si="3"/>
        <v>2023</v>
      </c>
      <c r="K374" s="16">
        <f>STANDARDIZE(F374,'estatística'!$C$2,'estatística'!$H$2)</f>
        <v>0.2441124335</v>
      </c>
    </row>
    <row r="375" ht="15.75" customHeight="1">
      <c r="A375" s="9">
        <v>4.0</v>
      </c>
      <c r="B375" s="10" t="s">
        <v>87</v>
      </c>
      <c r="C375" s="11" t="s">
        <v>88</v>
      </c>
      <c r="D375" s="10" t="s">
        <v>17</v>
      </c>
      <c r="E375" s="11" t="s">
        <v>48</v>
      </c>
      <c r="F375" s="13">
        <v>8.74</v>
      </c>
      <c r="G375" s="14">
        <v>44995.0</v>
      </c>
      <c r="H375" s="15">
        <f t="shared" si="1"/>
        <v>10</v>
      </c>
      <c r="I375" s="16">
        <f t="shared" si="2"/>
        <v>3</v>
      </c>
      <c r="J375" s="15">
        <f t="shared" si="3"/>
        <v>2023</v>
      </c>
      <c r="K375" s="16">
        <f>STANDARDIZE(F375,'estatística'!$C$2,'estatística'!$H$2)</f>
        <v>0.09420106356</v>
      </c>
    </row>
    <row r="376" ht="15.75" customHeight="1">
      <c r="A376" s="9">
        <v>43.0</v>
      </c>
      <c r="B376" s="10" t="s">
        <v>63</v>
      </c>
      <c r="C376" s="11" t="s">
        <v>64</v>
      </c>
      <c r="D376" s="10" t="s">
        <v>13</v>
      </c>
      <c r="E376" s="11" t="s">
        <v>32</v>
      </c>
      <c r="F376" s="13">
        <v>29.81</v>
      </c>
      <c r="G376" s="14">
        <v>44995.0</v>
      </c>
      <c r="H376" s="15">
        <f t="shared" si="1"/>
        <v>10</v>
      </c>
      <c r="I376" s="16">
        <f t="shared" si="2"/>
        <v>3</v>
      </c>
      <c r="J376" s="15">
        <f t="shared" si="3"/>
        <v>2023</v>
      </c>
      <c r="K376" s="16">
        <f>STANDARDIZE(F376,'estatística'!$C$2,'estatística'!$H$2)</f>
        <v>0.3609774626</v>
      </c>
    </row>
    <row r="377" ht="15.75" customHeight="1">
      <c r="A377" s="9">
        <v>64.0</v>
      </c>
      <c r="B377" s="10" t="s">
        <v>131</v>
      </c>
      <c r="C377" s="11" t="s">
        <v>132</v>
      </c>
      <c r="D377" s="10" t="s">
        <v>13</v>
      </c>
      <c r="E377" s="11" t="s">
        <v>68</v>
      </c>
      <c r="F377" s="13">
        <v>12.35</v>
      </c>
      <c r="G377" s="14">
        <v>44995.0</v>
      </c>
      <c r="H377" s="15">
        <f t="shared" si="1"/>
        <v>10</v>
      </c>
      <c r="I377" s="16">
        <f t="shared" si="2"/>
        <v>3</v>
      </c>
      <c r="J377" s="15">
        <f t="shared" si="3"/>
        <v>2023</v>
      </c>
      <c r="K377" s="16">
        <f>STANDARDIZE(F377,'estatística'!$C$2,'estatística'!$H$2)</f>
        <v>0.1399088377</v>
      </c>
    </row>
    <row r="378" ht="15.75" customHeight="1">
      <c r="A378" s="9">
        <v>32.0</v>
      </c>
      <c r="B378" s="10" t="s">
        <v>118</v>
      </c>
      <c r="C378" s="11" t="s">
        <v>119</v>
      </c>
      <c r="D378" s="10" t="s">
        <v>17</v>
      </c>
      <c r="E378" s="11" t="s">
        <v>62</v>
      </c>
      <c r="F378" s="13">
        <v>11.76</v>
      </c>
      <c r="G378" s="14">
        <v>44995.0</v>
      </c>
      <c r="H378" s="15">
        <f t="shared" si="1"/>
        <v>10</v>
      </c>
      <c r="I378" s="16">
        <f t="shared" si="2"/>
        <v>3</v>
      </c>
      <c r="J378" s="15">
        <f t="shared" si="3"/>
        <v>2023</v>
      </c>
      <c r="K378" s="16">
        <f>STANDARDIZE(F378,'estatística'!$C$2,'estatística'!$H$2)</f>
        <v>0.132438592</v>
      </c>
    </row>
    <row r="379" ht="15.75" customHeight="1">
      <c r="A379" s="9">
        <v>97.0</v>
      </c>
      <c r="B379" s="10" t="s">
        <v>44</v>
      </c>
      <c r="C379" s="11" t="s">
        <v>45</v>
      </c>
      <c r="D379" s="10" t="s">
        <v>13</v>
      </c>
      <c r="E379" s="11" t="s">
        <v>18</v>
      </c>
      <c r="F379" s="13">
        <v>49.11</v>
      </c>
      <c r="G379" s="14">
        <v>44995.0</v>
      </c>
      <c r="H379" s="15">
        <f t="shared" si="1"/>
        <v>10</v>
      </c>
      <c r="I379" s="16">
        <f t="shared" si="2"/>
        <v>3</v>
      </c>
      <c r="J379" s="15">
        <f t="shared" si="3"/>
        <v>2023</v>
      </c>
      <c r="K379" s="16">
        <f>STANDARDIZE(F379,'estatística'!$C$2,'estatística'!$H$2)</f>
        <v>0.6053431248</v>
      </c>
    </row>
    <row r="380" ht="15.75" customHeight="1">
      <c r="A380" s="9">
        <v>88.0</v>
      </c>
      <c r="B380" s="10" t="s">
        <v>172</v>
      </c>
      <c r="C380" s="11" t="s">
        <v>178</v>
      </c>
      <c r="D380" s="10" t="s">
        <v>13</v>
      </c>
      <c r="E380" s="11" t="s">
        <v>32</v>
      </c>
      <c r="F380" s="13">
        <v>30.78</v>
      </c>
      <c r="G380" s="14">
        <v>44996.0</v>
      </c>
      <c r="H380" s="15">
        <f t="shared" si="1"/>
        <v>11</v>
      </c>
      <c r="I380" s="16">
        <f t="shared" si="2"/>
        <v>3</v>
      </c>
      <c r="J380" s="15">
        <f t="shared" si="3"/>
        <v>2023</v>
      </c>
      <c r="K380" s="16">
        <f>STANDARDIZE(F380,'estatística'!$C$2,'estatística'!$H$2)</f>
        <v>0.3732590529</v>
      </c>
    </row>
    <row r="381" ht="15.75" customHeight="1">
      <c r="A381" s="9">
        <v>81.0</v>
      </c>
      <c r="B381" s="10" t="s">
        <v>34</v>
      </c>
      <c r="C381" s="11" t="s">
        <v>35</v>
      </c>
      <c r="D381" s="10" t="s">
        <v>17</v>
      </c>
      <c r="E381" s="11" t="s">
        <v>57</v>
      </c>
      <c r="F381" s="13">
        <v>18.53</v>
      </c>
      <c r="G381" s="14">
        <v>44997.0</v>
      </c>
      <c r="H381" s="15">
        <f t="shared" si="1"/>
        <v>12</v>
      </c>
      <c r="I381" s="16">
        <f t="shared" si="2"/>
        <v>3</v>
      </c>
      <c r="J381" s="15">
        <f t="shared" si="3"/>
        <v>2023</v>
      </c>
      <c r="K381" s="16">
        <f>STANDARDIZE(F381,'estatística'!$C$2,'estatística'!$H$2)</f>
        <v>0.2181564953</v>
      </c>
    </row>
    <row r="382" ht="15.75" customHeight="1">
      <c r="A382" s="9">
        <v>42.0</v>
      </c>
      <c r="B382" s="10" t="s">
        <v>60</v>
      </c>
      <c r="C382" s="11" t="s">
        <v>142</v>
      </c>
      <c r="D382" s="10" t="s">
        <v>13</v>
      </c>
      <c r="E382" s="11" t="s">
        <v>21</v>
      </c>
      <c r="F382" s="13">
        <v>13.74</v>
      </c>
      <c r="G382" s="14">
        <v>44997.0</v>
      </c>
      <c r="H382" s="15">
        <f t="shared" si="1"/>
        <v>12</v>
      </c>
      <c r="I382" s="16">
        <f t="shared" si="2"/>
        <v>3</v>
      </c>
      <c r="J382" s="15">
        <f t="shared" si="3"/>
        <v>2023</v>
      </c>
      <c r="K382" s="16">
        <f>STANDARDIZE(F382,'estatística'!$C$2,'estatística'!$H$2)</f>
        <v>0.1575082299</v>
      </c>
    </row>
    <row r="383" ht="15.75" customHeight="1">
      <c r="A383" s="9">
        <v>39.0</v>
      </c>
      <c r="B383" s="10" t="s">
        <v>58</v>
      </c>
      <c r="C383" s="11" t="s">
        <v>59</v>
      </c>
      <c r="D383" s="10" t="s">
        <v>17</v>
      </c>
      <c r="E383" s="11" t="s">
        <v>48</v>
      </c>
      <c r="F383" s="13">
        <v>12.18</v>
      </c>
      <c r="G383" s="14">
        <v>44997.0</v>
      </c>
      <c r="H383" s="15">
        <f t="shared" si="1"/>
        <v>12</v>
      </c>
      <c r="I383" s="16">
        <f t="shared" si="2"/>
        <v>3</v>
      </c>
      <c r="J383" s="15">
        <f t="shared" si="3"/>
        <v>2023</v>
      </c>
      <c r="K383" s="16">
        <f>STANDARDIZE(F383,'estatística'!$C$2,'estatística'!$H$2)</f>
        <v>0.137756394</v>
      </c>
    </row>
    <row r="384" ht="15.75" customHeight="1">
      <c r="A384" s="9">
        <v>61.0</v>
      </c>
      <c r="B384" s="10" t="s">
        <v>73</v>
      </c>
      <c r="C384" s="11" t="s">
        <v>74</v>
      </c>
      <c r="D384" s="10" t="s">
        <v>13</v>
      </c>
      <c r="E384" s="11" t="s">
        <v>32</v>
      </c>
      <c r="F384" s="13">
        <v>22.05</v>
      </c>
      <c r="G384" s="14">
        <v>44997.0</v>
      </c>
      <c r="H384" s="15">
        <f t="shared" si="1"/>
        <v>12</v>
      </c>
      <c r="I384" s="16">
        <f t="shared" si="2"/>
        <v>3</v>
      </c>
      <c r="J384" s="15">
        <f t="shared" si="3"/>
        <v>2023</v>
      </c>
      <c r="K384" s="16">
        <f>STANDARDIZE(F384,'estatística'!$C$2,'estatística'!$H$2)</f>
        <v>0.2627247404</v>
      </c>
    </row>
    <row r="385" ht="15.75" customHeight="1">
      <c r="A385" s="9">
        <v>1.0</v>
      </c>
      <c r="B385" s="10" t="s">
        <v>166</v>
      </c>
      <c r="C385" s="11" t="s">
        <v>167</v>
      </c>
      <c r="D385" s="10" t="s">
        <v>13</v>
      </c>
      <c r="E385" s="11" t="s">
        <v>57</v>
      </c>
      <c r="F385" s="13">
        <v>15.9</v>
      </c>
      <c r="G385" s="14">
        <v>44998.0</v>
      </c>
      <c r="H385" s="15">
        <f t="shared" si="1"/>
        <v>13</v>
      </c>
      <c r="I385" s="16">
        <f t="shared" si="2"/>
        <v>3</v>
      </c>
      <c r="J385" s="15">
        <f t="shared" si="3"/>
        <v>2023</v>
      </c>
      <c r="K385" s="16">
        <f>STANDARDIZE(F385,'estatística'!$C$2,'estatística'!$H$2)</f>
        <v>0.1848569258</v>
      </c>
    </row>
    <row r="386" ht="15.75" customHeight="1">
      <c r="A386" s="9">
        <v>37.0</v>
      </c>
      <c r="B386" s="10" t="s">
        <v>217</v>
      </c>
      <c r="C386" s="11" t="s">
        <v>218</v>
      </c>
      <c r="D386" s="10" t="s">
        <v>13</v>
      </c>
      <c r="E386" s="11" t="s">
        <v>32</v>
      </c>
      <c r="F386" s="13">
        <v>24.74</v>
      </c>
      <c r="G386" s="14">
        <v>44998.0</v>
      </c>
      <c r="H386" s="15">
        <f t="shared" si="1"/>
        <v>13</v>
      </c>
      <c r="I386" s="16">
        <f t="shared" si="2"/>
        <v>3</v>
      </c>
      <c r="J386" s="15">
        <f t="shared" si="3"/>
        <v>2023</v>
      </c>
      <c r="K386" s="16">
        <f>STANDARDIZE(F386,'estatística'!$C$2,'estatística'!$H$2)</f>
        <v>0.2967839959</v>
      </c>
    </row>
    <row r="387" ht="15.75" customHeight="1">
      <c r="A387" s="9">
        <v>65.0</v>
      </c>
      <c r="B387" s="10" t="s">
        <v>181</v>
      </c>
      <c r="C387" s="11" t="s">
        <v>182</v>
      </c>
      <c r="D387" s="10" t="s">
        <v>13</v>
      </c>
      <c r="E387" s="11" t="s">
        <v>39</v>
      </c>
      <c r="F387" s="13">
        <v>40.39</v>
      </c>
      <c r="G387" s="14">
        <v>44998.0</v>
      </c>
      <c r="H387" s="15">
        <f t="shared" si="1"/>
        <v>13</v>
      </c>
      <c r="I387" s="16">
        <f t="shared" si="2"/>
        <v>3</v>
      </c>
      <c r="J387" s="15">
        <f t="shared" si="3"/>
        <v>2023</v>
      </c>
      <c r="K387" s="16">
        <f>STANDARDIZE(F387,'estatística'!$C$2,'estatística'!$H$2)</f>
        <v>0.4949354267</v>
      </c>
    </row>
    <row r="388" ht="15.75" customHeight="1">
      <c r="A388" s="9">
        <v>52.0</v>
      </c>
      <c r="B388" s="10" t="s">
        <v>153</v>
      </c>
      <c r="C388" s="11" t="s">
        <v>154</v>
      </c>
      <c r="D388" s="10" t="s">
        <v>17</v>
      </c>
      <c r="E388" s="11" t="s">
        <v>65</v>
      </c>
      <c r="F388" s="13">
        <v>36.61</v>
      </c>
      <c r="G388" s="14">
        <v>44998.0</v>
      </c>
      <c r="H388" s="15">
        <f t="shared" si="1"/>
        <v>13</v>
      </c>
      <c r="I388" s="16">
        <f t="shared" si="2"/>
        <v>3</v>
      </c>
      <c r="J388" s="15">
        <f t="shared" si="3"/>
        <v>2023</v>
      </c>
      <c r="K388" s="16">
        <f>STANDARDIZE(F388,'estatística'!$C$2,'estatística'!$H$2)</f>
        <v>0.4470752089</v>
      </c>
    </row>
    <row r="389" ht="15.75" customHeight="1">
      <c r="A389" s="9">
        <v>22.0</v>
      </c>
      <c r="B389" s="10" t="s">
        <v>101</v>
      </c>
      <c r="C389" s="11" t="s">
        <v>102</v>
      </c>
      <c r="D389" s="10" t="s">
        <v>17</v>
      </c>
      <c r="E389" s="11" t="s">
        <v>18</v>
      </c>
      <c r="F389" s="13">
        <v>39.62</v>
      </c>
      <c r="G389" s="14">
        <v>44998.0</v>
      </c>
      <c r="H389" s="15">
        <f t="shared" si="1"/>
        <v>13</v>
      </c>
      <c r="I389" s="16">
        <f t="shared" si="2"/>
        <v>3</v>
      </c>
      <c r="J389" s="15">
        <f t="shared" si="3"/>
        <v>2023</v>
      </c>
      <c r="K389" s="16">
        <f>STANDARDIZE(F389,'estatística'!$C$2,'estatística'!$H$2)</f>
        <v>0.4851861231</v>
      </c>
    </row>
    <row r="390" ht="15.75" customHeight="1">
      <c r="A390" s="9">
        <v>65.0</v>
      </c>
      <c r="B390" s="10" t="s">
        <v>181</v>
      </c>
      <c r="C390" s="11" t="s">
        <v>182</v>
      </c>
      <c r="D390" s="10" t="s">
        <v>17</v>
      </c>
      <c r="E390" s="11" t="s">
        <v>116</v>
      </c>
      <c r="F390" s="13">
        <v>4.83</v>
      </c>
      <c r="G390" s="14">
        <v>44999.0</v>
      </c>
      <c r="H390" s="15">
        <f t="shared" si="1"/>
        <v>14</v>
      </c>
      <c r="I390" s="16">
        <f t="shared" si="2"/>
        <v>3</v>
      </c>
      <c r="J390" s="15">
        <f t="shared" si="3"/>
        <v>2023</v>
      </c>
      <c r="K390" s="16">
        <f>STANDARDIZE(F390,'estatística'!$C$2,'estatística'!$H$2)</f>
        <v>0.04469485946</v>
      </c>
    </row>
    <row r="391" ht="15.75" customHeight="1">
      <c r="A391" s="9">
        <v>46.0</v>
      </c>
      <c r="B391" s="10" t="s">
        <v>114</v>
      </c>
      <c r="C391" s="11" t="s">
        <v>115</v>
      </c>
      <c r="D391" s="10" t="s">
        <v>17</v>
      </c>
      <c r="E391" s="11" t="s">
        <v>107</v>
      </c>
      <c r="F391" s="13">
        <v>26.74</v>
      </c>
      <c r="G391" s="14">
        <v>44999.0</v>
      </c>
      <c r="H391" s="15">
        <f t="shared" si="1"/>
        <v>14</v>
      </c>
      <c r="I391" s="16">
        <f t="shared" si="2"/>
        <v>3</v>
      </c>
      <c r="J391" s="15">
        <f t="shared" si="3"/>
        <v>2023</v>
      </c>
      <c r="K391" s="16">
        <f>STANDARDIZE(F391,'estatística'!$C$2,'estatística'!$H$2)</f>
        <v>0.3221068625</v>
      </c>
    </row>
    <row r="392" ht="15.75" customHeight="1">
      <c r="A392" s="9">
        <v>14.0</v>
      </c>
      <c r="B392" s="10" t="s">
        <v>143</v>
      </c>
      <c r="C392" s="11" t="s">
        <v>144</v>
      </c>
      <c r="D392" s="10" t="s">
        <v>13</v>
      </c>
      <c r="E392" s="11" t="s">
        <v>36</v>
      </c>
      <c r="F392" s="13">
        <v>66.49</v>
      </c>
      <c r="G392" s="14">
        <v>44999.0</v>
      </c>
      <c r="H392" s="15">
        <f t="shared" si="1"/>
        <v>14</v>
      </c>
      <c r="I392" s="16">
        <f t="shared" si="2"/>
        <v>3</v>
      </c>
      <c r="J392" s="15">
        <f t="shared" si="3"/>
        <v>2023</v>
      </c>
      <c r="K392" s="16">
        <f>STANDARDIZE(F392,'estatística'!$C$2,'estatística'!$H$2)</f>
        <v>0.8253988351</v>
      </c>
    </row>
    <row r="393" ht="15.75" customHeight="1">
      <c r="A393" s="9">
        <v>3.0</v>
      </c>
      <c r="B393" s="10" t="s">
        <v>51</v>
      </c>
      <c r="C393" s="11" t="s">
        <v>52</v>
      </c>
      <c r="D393" s="10" t="s">
        <v>13</v>
      </c>
      <c r="E393" s="11" t="s">
        <v>48</v>
      </c>
      <c r="F393" s="13">
        <v>13.08</v>
      </c>
      <c r="G393" s="14">
        <v>44999.0</v>
      </c>
      <c r="H393" s="15">
        <f t="shared" si="1"/>
        <v>14</v>
      </c>
      <c r="I393" s="16">
        <f t="shared" si="2"/>
        <v>3</v>
      </c>
      <c r="J393" s="15">
        <f t="shared" si="3"/>
        <v>2023</v>
      </c>
      <c r="K393" s="16">
        <f>STANDARDIZE(F393,'estatística'!$C$2,'estatística'!$H$2)</f>
        <v>0.149151684</v>
      </c>
    </row>
    <row r="394" ht="15.75" customHeight="1">
      <c r="A394" s="9">
        <v>48.0</v>
      </c>
      <c r="B394" s="10" t="s">
        <v>25</v>
      </c>
      <c r="C394" s="11" t="s">
        <v>28</v>
      </c>
      <c r="D394" s="10" t="s">
        <v>13</v>
      </c>
      <c r="E394" s="11" t="s">
        <v>32</v>
      </c>
      <c r="F394" s="13">
        <v>22.72</v>
      </c>
      <c r="G394" s="14">
        <v>44999.0</v>
      </c>
      <c r="H394" s="15">
        <f t="shared" si="1"/>
        <v>14</v>
      </c>
      <c r="I394" s="16">
        <f t="shared" si="2"/>
        <v>3</v>
      </c>
      <c r="J394" s="15">
        <f t="shared" si="3"/>
        <v>2023</v>
      </c>
      <c r="K394" s="16">
        <f>STANDARDIZE(F394,'estatística'!$C$2,'estatística'!$H$2)</f>
        <v>0.2712079007</v>
      </c>
    </row>
    <row r="395" ht="15.75" customHeight="1">
      <c r="A395" s="9">
        <v>18.0</v>
      </c>
      <c r="B395" s="10" t="s">
        <v>135</v>
      </c>
      <c r="C395" s="11" t="s">
        <v>212</v>
      </c>
      <c r="D395" s="10" t="s">
        <v>17</v>
      </c>
      <c r="E395" s="11" t="s">
        <v>24</v>
      </c>
      <c r="F395" s="13">
        <v>34.39</v>
      </c>
      <c r="G395" s="14">
        <v>44999.0</v>
      </c>
      <c r="H395" s="15">
        <f t="shared" si="1"/>
        <v>14</v>
      </c>
      <c r="I395" s="16">
        <f t="shared" si="2"/>
        <v>3</v>
      </c>
      <c r="J395" s="15">
        <f t="shared" si="3"/>
        <v>2023</v>
      </c>
      <c r="K395" s="16">
        <f>STANDARDIZE(F395,'estatística'!$C$2,'estatística'!$H$2)</f>
        <v>0.418966827</v>
      </c>
    </row>
    <row r="396" ht="15.75" customHeight="1">
      <c r="A396" s="9">
        <v>96.0</v>
      </c>
      <c r="B396" s="10" t="s">
        <v>135</v>
      </c>
      <c r="C396" s="11" t="s">
        <v>136</v>
      </c>
      <c r="D396" s="10" t="s">
        <v>13</v>
      </c>
      <c r="E396" s="11" t="s">
        <v>27</v>
      </c>
      <c r="F396" s="13">
        <v>19.04</v>
      </c>
      <c r="G396" s="14">
        <v>44999.0</v>
      </c>
      <c r="H396" s="15">
        <f t="shared" si="1"/>
        <v>14</v>
      </c>
      <c r="I396" s="16">
        <f t="shared" si="2"/>
        <v>3</v>
      </c>
      <c r="J396" s="15">
        <f t="shared" si="3"/>
        <v>2023</v>
      </c>
      <c r="K396" s="16">
        <f>STANDARDIZE(F396,'estatística'!$C$2,'estatística'!$H$2)</f>
        <v>0.2246138263</v>
      </c>
    </row>
    <row r="397" ht="15.75" customHeight="1">
      <c r="A397" s="9">
        <v>1.0</v>
      </c>
      <c r="B397" s="10" t="s">
        <v>166</v>
      </c>
      <c r="C397" s="11" t="s">
        <v>167</v>
      </c>
      <c r="D397" s="10" t="s">
        <v>13</v>
      </c>
      <c r="E397" s="11" t="s">
        <v>29</v>
      </c>
      <c r="F397" s="13">
        <v>13.34</v>
      </c>
      <c r="G397" s="14">
        <v>44999.0</v>
      </c>
      <c r="H397" s="15">
        <f t="shared" si="1"/>
        <v>14</v>
      </c>
      <c r="I397" s="16">
        <f t="shared" si="2"/>
        <v>3</v>
      </c>
      <c r="J397" s="15">
        <f t="shared" si="3"/>
        <v>2023</v>
      </c>
      <c r="K397" s="16">
        <f>STANDARDIZE(F397,'estatística'!$C$2,'estatística'!$H$2)</f>
        <v>0.1524436566</v>
      </c>
    </row>
    <row r="398" ht="15.75" customHeight="1">
      <c r="A398" s="9">
        <v>56.0</v>
      </c>
      <c r="B398" s="10" t="s">
        <v>97</v>
      </c>
      <c r="C398" s="11" t="s">
        <v>98</v>
      </c>
      <c r="D398" s="10" t="s">
        <v>17</v>
      </c>
      <c r="E398" s="11" t="s">
        <v>33</v>
      </c>
      <c r="F398" s="13">
        <v>62.16</v>
      </c>
      <c r="G398" s="14">
        <v>44999.0</v>
      </c>
      <c r="H398" s="15">
        <f t="shared" si="1"/>
        <v>14</v>
      </c>
      <c r="I398" s="16">
        <f t="shared" si="2"/>
        <v>3</v>
      </c>
      <c r="J398" s="15">
        <f t="shared" si="3"/>
        <v>2023</v>
      </c>
      <c r="K398" s="16">
        <f>STANDARDIZE(F398,'estatística'!$C$2,'estatística'!$H$2)</f>
        <v>0.7705748291</v>
      </c>
    </row>
    <row r="399" ht="15.75" customHeight="1">
      <c r="A399" s="9">
        <v>50.0</v>
      </c>
      <c r="B399" s="10" t="s">
        <v>19</v>
      </c>
      <c r="C399" s="11" t="s">
        <v>20</v>
      </c>
      <c r="D399" s="10" t="s">
        <v>17</v>
      </c>
      <c r="E399" s="11" t="s">
        <v>29</v>
      </c>
      <c r="F399" s="13">
        <v>11.9</v>
      </c>
      <c r="G399" s="14">
        <v>45000.0</v>
      </c>
      <c r="H399" s="15">
        <f t="shared" si="1"/>
        <v>15</v>
      </c>
      <c r="I399" s="16">
        <f t="shared" si="2"/>
        <v>3</v>
      </c>
      <c r="J399" s="15">
        <f t="shared" si="3"/>
        <v>2023</v>
      </c>
      <c r="K399" s="16">
        <f>STANDARDIZE(F399,'estatística'!$C$2,'estatística'!$H$2)</f>
        <v>0.1342111927</v>
      </c>
    </row>
    <row r="400" ht="15.75" customHeight="1">
      <c r="A400" s="9">
        <v>63.0</v>
      </c>
      <c r="B400" s="10" t="s">
        <v>197</v>
      </c>
      <c r="C400" s="11" t="s">
        <v>198</v>
      </c>
      <c r="D400" s="10" t="s">
        <v>13</v>
      </c>
      <c r="E400" s="11" t="s">
        <v>91</v>
      </c>
      <c r="F400" s="13">
        <v>4.24</v>
      </c>
      <c r="G400" s="14">
        <v>45000.0</v>
      </c>
      <c r="H400" s="15">
        <f t="shared" si="1"/>
        <v>15</v>
      </c>
      <c r="I400" s="16">
        <f t="shared" si="2"/>
        <v>3</v>
      </c>
      <c r="J400" s="15">
        <f t="shared" si="3"/>
        <v>2023</v>
      </c>
      <c r="K400" s="16">
        <f>STANDARDIZE(F400,'estatística'!$C$2,'estatística'!$H$2)</f>
        <v>0.03722461383</v>
      </c>
    </row>
    <row r="401" ht="15.75" customHeight="1">
      <c r="A401" s="9">
        <v>5.0</v>
      </c>
      <c r="B401" s="10" t="s">
        <v>139</v>
      </c>
      <c r="C401" s="11" t="s">
        <v>140</v>
      </c>
      <c r="D401" s="10" t="s">
        <v>13</v>
      </c>
      <c r="E401" s="11" t="s">
        <v>80</v>
      </c>
      <c r="F401" s="13">
        <v>32.99</v>
      </c>
      <c r="G401" s="14">
        <v>45000.0</v>
      </c>
      <c r="H401" s="15">
        <f t="shared" si="1"/>
        <v>15</v>
      </c>
      <c r="I401" s="16">
        <f t="shared" si="2"/>
        <v>3</v>
      </c>
      <c r="J401" s="15">
        <f t="shared" si="3"/>
        <v>2023</v>
      </c>
      <c r="K401" s="16">
        <f>STANDARDIZE(F401,'estatística'!$C$2,'estatística'!$H$2)</f>
        <v>0.4012408205</v>
      </c>
    </row>
    <row r="402" ht="15.75" customHeight="1">
      <c r="A402" s="9">
        <v>84.0</v>
      </c>
      <c r="B402" s="10" t="s">
        <v>112</v>
      </c>
      <c r="C402" s="11" t="s">
        <v>113</v>
      </c>
      <c r="D402" s="10" t="s">
        <v>17</v>
      </c>
      <c r="E402" s="11" t="s">
        <v>91</v>
      </c>
      <c r="F402" s="13">
        <v>1.6</v>
      </c>
      <c r="G402" s="14">
        <v>45000.0</v>
      </c>
      <c r="H402" s="15">
        <f t="shared" si="1"/>
        <v>15</v>
      </c>
      <c r="I402" s="16">
        <f t="shared" si="2"/>
        <v>3</v>
      </c>
      <c r="J402" s="15">
        <f t="shared" si="3"/>
        <v>2023</v>
      </c>
      <c r="K402" s="16">
        <f>STANDARDIZE(F402,'estatística'!$C$2,'estatística'!$H$2)</f>
        <v>0.003798429982</v>
      </c>
    </row>
    <row r="403" ht="15.75" customHeight="1">
      <c r="A403" s="9">
        <v>30.0</v>
      </c>
      <c r="B403" s="10" t="s">
        <v>11</v>
      </c>
      <c r="C403" s="11" t="s">
        <v>12</v>
      </c>
      <c r="D403" s="10" t="s">
        <v>13</v>
      </c>
      <c r="E403" s="11" t="s">
        <v>62</v>
      </c>
      <c r="F403" s="13">
        <v>12.06</v>
      </c>
      <c r="G403" s="14">
        <v>45000.0</v>
      </c>
      <c r="H403" s="15">
        <f t="shared" si="1"/>
        <v>15</v>
      </c>
      <c r="I403" s="16">
        <f t="shared" si="2"/>
        <v>3</v>
      </c>
      <c r="J403" s="15">
        <f t="shared" si="3"/>
        <v>2023</v>
      </c>
      <c r="K403" s="16">
        <f>STANDARDIZE(F403,'estatística'!$C$2,'estatística'!$H$2)</f>
        <v>0.136237022</v>
      </c>
    </row>
    <row r="404" ht="15.75" customHeight="1">
      <c r="A404" s="9">
        <v>61.0</v>
      </c>
      <c r="B404" s="10" t="s">
        <v>73</v>
      </c>
      <c r="C404" s="11" t="s">
        <v>74</v>
      </c>
      <c r="D404" s="10" t="s">
        <v>13</v>
      </c>
      <c r="E404" s="11" t="s">
        <v>48</v>
      </c>
      <c r="F404" s="13">
        <v>15.41</v>
      </c>
      <c r="G404" s="14">
        <v>45000.0</v>
      </c>
      <c r="H404" s="15">
        <f t="shared" si="1"/>
        <v>15</v>
      </c>
      <c r="I404" s="16">
        <f t="shared" si="2"/>
        <v>3</v>
      </c>
      <c r="J404" s="15">
        <f t="shared" si="3"/>
        <v>2023</v>
      </c>
      <c r="K404" s="16">
        <f>STANDARDIZE(F404,'estatística'!$C$2,'estatística'!$H$2)</f>
        <v>0.1786528235</v>
      </c>
    </row>
    <row r="405" ht="15.75" customHeight="1">
      <c r="A405" s="9">
        <v>29.0</v>
      </c>
      <c r="B405" s="10" t="s">
        <v>92</v>
      </c>
      <c r="C405" s="11" t="s">
        <v>93</v>
      </c>
      <c r="D405" s="10" t="s">
        <v>17</v>
      </c>
      <c r="E405" s="11" t="s">
        <v>27</v>
      </c>
      <c r="F405" s="13">
        <v>18.35</v>
      </c>
      <c r="G405" s="14">
        <v>45000.0</v>
      </c>
      <c r="H405" s="15">
        <f t="shared" si="1"/>
        <v>15</v>
      </c>
      <c r="I405" s="16">
        <f t="shared" si="2"/>
        <v>3</v>
      </c>
      <c r="J405" s="15">
        <f t="shared" si="3"/>
        <v>2023</v>
      </c>
      <c r="K405" s="16">
        <f>STANDARDIZE(F405,'estatística'!$C$2,'estatística'!$H$2)</f>
        <v>0.2158774373</v>
      </c>
    </row>
    <row r="406" ht="15.75" customHeight="1">
      <c r="A406" s="9">
        <v>6.0</v>
      </c>
      <c r="B406" s="10" t="s">
        <v>155</v>
      </c>
      <c r="C406" s="11" t="s">
        <v>156</v>
      </c>
      <c r="D406" s="10" t="s">
        <v>17</v>
      </c>
      <c r="E406" s="11" t="s">
        <v>80</v>
      </c>
      <c r="F406" s="13">
        <v>33.45</v>
      </c>
      <c r="G406" s="14">
        <v>45001.0</v>
      </c>
      <c r="H406" s="15">
        <f t="shared" si="1"/>
        <v>16</v>
      </c>
      <c r="I406" s="16">
        <f t="shared" si="2"/>
        <v>3</v>
      </c>
      <c r="J406" s="15">
        <f t="shared" si="3"/>
        <v>2023</v>
      </c>
      <c r="K406" s="16">
        <f>STANDARDIZE(F406,'estatística'!$C$2,'estatística'!$H$2)</f>
        <v>0.4070650798</v>
      </c>
    </row>
    <row r="407" ht="15.75" customHeight="1">
      <c r="A407" s="9">
        <v>9.0</v>
      </c>
      <c r="B407" s="10" t="s">
        <v>179</v>
      </c>
      <c r="C407" s="11" t="s">
        <v>180</v>
      </c>
      <c r="D407" s="10" t="s">
        <v>17</v>
      </c>
      <c r="E407" s="11" t="s">
        <v>116</v>
      </c>
      <c r="F407" s="13">
        <v>5.36</v>
      </c>
      <c r="G407" s="14">
        <v>45001.0</v>
      </c>
      <c r="H407" s="15">
        <f t="shared" si="1"/>
        <v>16</v>
      </c>
      <c r="I407" s="16">
        <f t="shared" si="2"/>
        <v>3</v>
      </c>
      <c r="J407" s="15">
        <f t="shared" si="3"/>
        <v>2023</v>
      </c>
      <c r="K407" s="16">
        <f>STANDARDIZE(F407,'estatística'!$C$2,'estatística'!$H$2)</f>
        <v>0.05140541909</v>
      </c>
    </row>
    <row r="408" ht="15.75" customHeight="1">
      <c r="A408" s="9">
        <v>78.0</v>
      </c>
      <c r="B408" s="10" t="s">
        <v>15</v>
      </c>
      <c r="C408" s="11" t="s">
        <v>16</v>
      </c>
      <c r="D408" s="10" t="s">
        <v>17</v>
      </c>
      <c r="E408" s="11" t="s">
        <v>57</v>
      </c>
      <c r="F408" s="13">
        <v>21.01</v>
      </c>
      <c r="G408" s="14">
        <v>45002.0</v>
      </c>
      <c r="H408" s="15">
        <f t="shared" si="1"/>
        <v>17</v>
      </c>
      <c r="I408" s="16">
        <f t="shared" si="2"/>
        <v>3</v>
      </c>
      <c r="J408" s="15">
        <f t="shared" si="3"/>
        <v>2023</v>
      </c>
      <c r="K408" s="16">
        <f>STANDARDIZE(F408,'estatística'!$C$2,'estatística'!$H$2)</f>
        <v>0.2495568498</v>
      </c>
    </row>
    <row r="409" ht="15.75" customHeight="1">
      <c r="A409" s="9">
        <v>68.0</v>
      </c>
      <c r="B409" s="10" t="s">
        <v>25</v>
      </c>
      <c r="C409" s="11" t="s">
        <v>26</v>
      </c>
      <c r="D409" s="10" t="s">
        <v>13</v>
      </c>
      <c r="E409" s="11" t="s">
        <v>48</v>
      </c>
      <c r="F409" s="13">
        <v>19.26</v>
      </c>
      <c r="G409" s="14">
        <v>45002.0</v>
      </c>
      <c r="H409" s="15">
        <f t="shared" si="1"/>
        <v>17</v>
      </c>
      <c r="I409" s="16">
        <f t="shared" si="2"/>
        <v>3</v>
      </c>
      <c r="J409" s="15">
        <f t="shared" si="3"/>
        <v>2023</v>
      </c>
      <c r="K409" s="16">
        <f>STANDARDIZE(F409,'estatística'!$C$2,'estatística'!$H$2)</f>
        <v>0.2273993416</v>
      </c>
    </row>
    <row r="410" ht="15.75" customHeight="1">
      <c r="A410" s="9">
        <v>71.0</v>
      </c>
      <c r="B410" s="10" t="s">
        <v>122</v>
      </c>
      <c r="C410" s="11" t="s">
        <v>123</v>
      </c>
      <c r="D410" s="10" t="s">
        <v>13</v>
      </c>
      <c r="E410" s="11" t="s">
        <v>77</v>
      </c>
      <c r="F410" s="13">
        <v>11.95</v>
      </c>
      <c r="G410" s="14">
        <v>45002.0</v>
      </c>
      <c r="H410" s="15">
        <f t="shared" si="1"/>
        <v>17</v>
      </c>
      <c r="I410" s="16">
        <f t="shared" si="2"/>
        <v>3</v>
      </c>
      <c r="J410" s="15">
        <f t="shared" si="3"/>
        <v>2023</v>
      </c>
      <c r="K410" s="16">
        <f>STANDARDIZE(F410,'estatística'!$C$2,'estatística'!$H$2)</f>
        <v>0.1348442644</v>
      </c>
    </row>
    <row r="411" ht="15.75" customHeight="1">
      <c r="A411" s="9">
        <v>2.0</v>
      </c>
      <c r="B411" s="10" t="s">
        <v>53</v>
      </c>
      <c r="C411" s="11" t="s">
        <v>54</v>
      </c>
      <c r="D411" s="10" t="s">
        <v>13</v>
      </c>
      <c r="E411" s="11" t="s">
        <v>80</v>
      </c>
      <c r="F411" s="13">
        <v>34.22</v>
      </c>
      <c r="G411" s="14">
        <v>45002.0</v>
      </c>
      <c r="H411" s="15">
        <f t="shared" si="1"/>
        <v>17</v>
      </c>
      <c r="I411" s="16">
        <f t="shared" si="2"/>
        <v>3</v>
      </c>
      <c r="J411" s="15">
        <f t="shared" si="3"/>
        <v>2023</v>
      </c>
      <c r="K411" s="16">
        <f>STANDARDIZE(F411,'estatística'!$C$2,'estatística'!$H$2)</f>
        <v>0.4168143834</v>
      </c>
    </row>
    <row r="412" ht="15.75" customHeight="1">
      <c r="A412" s="9">
        <v>73.0</v>
      </c>
      <c r="B412" s="10" t="s">
        <v>195</v>
      </c>
      <c r="C412" s="11" t="s">
        <v>196</v>
      </c>
      <c r="D412" s="10" t="s">
        <v>13</v>
      </c>
      <c r="E412" s="11" t="s">
        <v>39</v>
      </c>
      <c r="F412" s="13">
        <v>39.01</v>
      </c>
      <c r="G412" s="14">
        <v>45002.0</v>
      </c>
      <c r="H412" s="15">
        <f t="shared" si="1"/>
        <v>17</v>
      </c>
      <c r="I412" s="16">
        <f t="shared" si="2"/>
        <v>3</v>
      </c>
      <c r="J412" s="15">
        <f t="shared" si="3"/>
        <v>2023</v>
      </c>
      <c r="K412" s="16">
        <f>STANDARDIZE(F412,'estatística'!$C$2,'estatística'!$H$2)</f>
        <v>0.4774626488</v>
      </c>
    </row>
    <row r="413" ht="15.75" customHeight="1">
      <c r="A413" s="9">
        <v>39.0</v>
      </c>
      <c r="B413" s="10" t="s">
        <v>58</v>
      </c>
      <c r="C413" s="11" t="s">
        <v>59</v>
      </c>
      <c r="D413" s="10" t="s">
        <v>17</v>
      </c>
      <c r="E413" s="11" t="s">
        <v>77</v>
      </c>
      <c r="F413" s="13">
        <v>12.78</v>
      </c>
      <c r="G413" s="14">
        <v>45002.0</v>
      </c>
      <c r="H413" s="15">
        <f t="shared" si="1"/>
        <v>17</v>
      </c>
      <c r="I413" s="16">
        <f t="shared" si="2"/>
        <v>3</v>
      </c>
      <c r="J413" s="15">
        <f t="shared" si="3"/>
        <v>2023</v>
      </c>
      <c r="K413" s="16">
        <f>STANDARDIZE(F413,'estatística'!$C$2,'estatística'!$H$2)</f>
        <v>0.145353254</v>
      </c>
    </row>
    <row r="414" ht="15.75" customHeight="1">
      <c r="A414" s="9">
        <v>67.0</v>
      </c>
      <c r="B414" s="10" t="s">
        <v>176</v>
      </c>
      <c r="C414" s="11" t="s">
        <v>177</v>
      </c>
      <c r="D414" s="10" t="s">
        <v>13</v>
      </c>
      <c r="E414" s="11" t="s">
        <v>77</v>
      </c>
      <c r="F414" s="13">
        <v>15.72</v>
      </c>
      <c r="G414" s="14">
        <v>45003.0</v>
      </c>
      <c r="H414" s="15">
        <f t="shared" si="1"/>
        <v>18</v>
      </c>
      <c r="I414" s="16">
        <f t="shared" si="2"/>
        <v>3</v>
      </c>
      <c r="J414" s="15">
        <f t="shared" si="3"/>
        <v>2023</v>
      </c>
      <c r="K414" s="16">
        <f>STANDARDIZE(F414,'estatística'!$C$2,'estatística'!$H$2)</f>
        <v>0.1825778678</v>
      </c>
    </row>
    <row r="415" ht="15.75" customHeight="1">
      <c r="A415" s="9">
        <v>11.0</v>
      </c>
      <c r="B415" s="10" t="s">
        <v>199</v>
      </c>
      <c r="C415" s="11" t="s">
        <v>200</v>
      </c>
      <c r="D415" s="10" t="s">
        <v>17</v>
      </c>
      <c r="E415" s="11" t="s">
        <v>91</v>
      </c>
      <c r="F415" s="13">
        <v>3.57</v>
      </c>
      <c r="G415" s="14">
        <v>45003.0</v>
      </c>
      <c r="H415" s="15">
        <f t="shared" si="1"/>
        <v>18</v>
      </c>
      <c r="I415" s="16">
        <f t="shared" si="2"/>
        <v>3</v>
      </c>
      <c r="J415" s="15">
        <f t="shared" si="3"/>
        <v>2023</v>
      </c>
      <c r="K415" s="16">
        <f>STANDARDIZE(F415,'estatística'!$C$2,'estatística'!$H$2)</f>
        <v>0.02874145353</v>
      </c>
    </row>
    <row r="416" ht="15.75" customHeight="1">
      <c r="A416" s="9">
        <v>76.0</v>
      </c>
      <c r="B416" s="10" t="s">
        <v>185</v>
      </c>
      <c r="C416" s="11" t="s">
        <v>186</v>
      </c>
      <c r="D416" s="10" t="s">
        <v>13</v>
      </c>
      <c r="E416" s="11" t="s">
        <v>48</v>
      </c>
      <c r="F416" s="13">
        <v>12.11</v>
      </c>
      <c r="G416" s="14">
        <v>45003.0</v>
      </c>
      <c r="H416" s="15">
        <f t="shared" si="1"/>
        <v>18</v>
      </c>
      <c r="I416" s="16">
        <f t="shared" si="2"/>
        <v>3</v>
      </c>
      <c r="J416" s="15">
        <f t="shared" si="3"/>
        <v>2023</v>
      </c>
      <c r="K416" s="16">
        <f>STANDARDIZE(F416,'estatística'!$C$2,'estatística'!$H$2)</f>
        <v>0.1368700937</v>
      </c>
    </row>
    <row r="417" ht="15.75" customHeight="1">
      <c r="A417" s="9">
        <v>51.0</v>
      </c>
      <c r="B417" s="10" t="s">
        <v>205</v>
      </c>
      <c r="C417" s="11" t="s">
        <v>206</v>
      </c>
      <c r="D417" s="10" t="s">
        <v>13</v>
      </c>
      <c r="E417" s="11" t="s">
        <v>24</v>
      </c>
      <c r="F417" s="13">
        <v>28.96</v>
      </c>
      <c r="G417" s="14">
        <v>45003.0</v>
      </c>
      <c r="H417" s="15">
        <f t="shared" si="1"/>
        <v>18</v>
      </c>
      <c r="I417" s="16">
        <f t="shared" si="2"/>
        <v>3</v>
      </c>
      <c r="J417" s="15">
        <f t="shared" si="3"/>
        <v>2023</v>
      </c>
      <c r="K417" s="16">
        <f>STANDARDIZE(F417,'estatística'!$C$2,'estatística'!$H$2)</f>
        <v>0.3502152444</v>
      </c>
    </row>
    <row r="418" ht="15.75" customHeight="1">
      <c r="A418" s="9">
        <v>34.0</v>
      </c>
      <c r="B418" s="10" t="s">
        <v>149</v>
      </c>
      <c r="C418" s="11" t="s">
        <v>150</v>
      </c>
      <c r="D418" s="10" t="s">
        <v>13</v>
      </c>
      <c r="E418" s="11" t="s">
        <v>27</v>
      </c>
      <c r="F418" s="13">
        <v>20.61</v>
      </c>
      <c r="G418" s="14">
        <v>45003.0</v>
      </c>
      <c r="H418" s="15">
        <f t="shared" si="1"/>
        <v>18</v>
      </c>
      <c r="I418" s="16">
        <f t="shared" si="2"/>
        <v>3</v>
      </c>
      <c r="J418" s="15">
        <f t="shared" si="3"/>
        <v>2023</v>
      </c>
      <c r="K418" s="16">
        <f>STANDARDIZE(F418,'estatística'!$C$2,'estatística'!$H$2)</f>
        <v>0.2444922765</v>
      </c>
    </row>
    <row r="419" ht="15.75" customHeight="1">
      <c r="A419" s="9">
        <v>64.0</v>
      </c>
      <c r="B419" s="10" t="s">
        <v>131</v>
      </c>
      <c r="C419" s="11" t="s">
        <v>132</v>
      </c>
      <c r="D419" s="10" t="s">
        <v>13</v>
      </c>
      <c r="E419" s="11" t="s">
        <v>91</v>
      </c>
      <c r="F419" s="13">
        <v>2.05</v>
      </c>
      <c r="G419" s="14">
        <v>45004.0</v>
      </c>
      <c r="H419" s="15">
        <f t="shared" si="1"/>
        <v>19</v>
      </c>
      <c r="I419" s="16">
        <f t="shared" si="2"/>
        <v>3</v>
      </c>
      <c r="J419" s="15">
        <f t="shared" si="3"/>
        <v>2023</v>
      </c>
      <c r="K419" s="16">
        <f>STANDARDIZE(F419,'estatística'!$C$2,'estatística'!$H$2)</f>
        <v>0.009496074956</v>
      </c>
    </row>
    <row r="420" ht="15.75" customHeight="1">
      <c r="A420" s="9">
        <v>96.0</v>
      </c>
      <c r="B420" s="10" t="s">
        <v>135</v>
      </c>
      <c r="C420" s="11" t="s">
        <v>136</v>
      </c>
      <c r="D420" s="10" t="s">
        <v>17</v>
      </c>
      <c r="E420" s="11" t="s">
        <v>32</v>
      </c>
      <c r="F420" s="13">
        <v>25.43</v>
      </c>
      <c r="G420" s="14">
        <v>45004.0</v>
      </c>
      <c r="H420" s="15">
        <f t="shared" si="1"/>
        <v>19</v>
      </c>
      <c r="I420" s="16">
        <f t="shared" si="2"/>
        <v>3</v>
      </c>
      <c r="J420" s="15">
        <f t="shared" si="3"/>
        <v>2023</v>
      </c>
      <c r="K420" s="16">
        <f>STANDARDIZE(F420,'estatística'!$C$2,'estatística'!$H$2)</f>
        <v>0.3055203849</v>
      </c>
    </row>
    <row r="421" ht="15.75" customHeight="1">
      <c r="A421" s="9">
        <v>68.0</v>
      </c>
      <c r="B421" s="10" t="s">
        <v>25</v>
      </c>
      <c r="C421" s="11" t="s">
        <v>26</v>
      </c>
      <c r="D421" s="10" t="s">
        <v>17</v>
      </c>
      <c r="E421" s="11" t="s">
        <v>116</v>
      </c>
      <c r="F421" s="13">
        <v>2.33</v>
      </c>
      <c r="G421" s="14">
        <v>45004.0</v>
      </c>
      <c r="H421" s="15">
        <f t="shared" si="1"/>
        <v>19</v>
      </c>
      <c r="I421" s="16">
        <f t="shared" si="2"/>
        <v>3</v>
      </c>
      <c r="J421" s="15">
        <f t="shared" si="3"/>
        <v>2023</v>
      </c>
      <c r="K421" s="16">
        <f>STANDARDIZE(F421,'estatística'!$C$2,'estatística'!$H$2)</f>
        <v>0.01304127627</v>
      </c>
    </row>
    <row r="422" ht="15.75" customHeight="1">
      <c r="A422" s="9">
        <v>67.0</v>
      </c>
      <c r="B422" s="10" t="s">
        <v>176</v>
      </c>
      <c r="C422" s="11" t="s">
        <v>177</v>
      </c>
      <c r="D422" s="10" t="s">
        <v>13</v>
      </c>
      <c r="E422" s="11" t="s">
        <v>80</v>
      </c>
      <c r="F422" s="13">
        <v>40.58</v>
      </c>
      <c r="G422" s="14">
        <v>45004.0</v>
      </c>
      <c r="H422" s="15">
        <f t="shared" si="1"/>
        <v>19</v>
      </c>
      <c r="I422" s="16">
        <f t="shared" si="2"/>
        <v>3</v>
      </c>
      <c r="J422" s="15">
        <f t="shared" si="3"/>
        <v>2023</v>
      </c>
      <c r="K422" s="16">
        <f>STANDARDIZE(F422,'estatística'!$C$2,'estatística'!$H$2)</f>
        <v>0.497341099</v>
      </c>
    </row>
    <row r="423" ht="15.75" customHeight="1">
      <c r="A423" s="9">
        <v>21.0</v>
      </c>
      <c r="B423" s="10" t="s">
        <v>158</v>
      </c>
      <c r="C423" s="11" t="s">
        <v>159</v>
      </c>
      <c r="D423" s="10" t="s">
        <v>17</v>
      </c>
      <c r="E423" s="11" t="s">
        <v>77</v>
      </c>
      <c r="F423" s="13">
        <v>12.7</v>
      </c>
      <c r="G423" s="14">
        <v>45004.0</v>
      </c>
      <c r="H423" s="15">
        <f t="shared" si="1"/>
        <v>19</v>
      </c>
      <c r="I423" s="16">
        <f t="shared" si="2"/>
        <v>3</v>
      </c>
      <c r="J423" s="15">
        <f t="shared" si="3"/>
        <v>2023</v>
      </c>
      <c r="K423" s="16">
        <f>STANDARDIZE(F423,'estatística'!$C$2,'estatística'!$H$2)</f>
        <v>0.1443403393</v>
      </c>
    </row>
    <row r="424" ht="15.75" customHeight="1">
      <c r="A424" s="9">
        <v>36.0</v>
      </c>
      <c r="B424" s="10" t="s">
        <v>60</v>
      </c>
      <c r="C424" s="11" t="s">
        <v>61</v>
      </c>
      <c r="D424" s="10" t="s">
        <v>13</v>
      </c>
      <c r="E424" s="11" t="s">
        <v>65</v>
      </c>
      <c r="F424" s="13">
        <v>37.81</v>
      </c>
      <c r="G424" s="14">
        <v>45004.0</v>
      </c>
      <c r="H424" s="15">
        <f t="shared" si="1"/>
        <v>19</v>
      </c>
      <c r="I424" s="16">
        <f t="shared" si="2"/>
        <v>3</v>
      </c>
      <c r="J424" s="15">
        <f t="shared" si="3"/>
        <v>2023</v>
      </c>
      <c r="K424" s="16">
        <f>STANDARDIZE(F424,'estatística'!$C$2,'estatística'!$H$2)</f>
        <v>0.4622689288</v>
      </c>
    </row>
    <row r="425" ht="15.75" customHeight="1">
      <c r="A425" s="9">
        <v>95.0</v>
      </c>
      <c r="B425" s="10" t="s">
        <v>78</v>
      </c>
      <c r="C425" s="11" t="s">
        <v>79</v>
      </c>
      <c r="D425" s="10" t="s">
        <v>13</v>
      </c>
      <c r="E425" s="11" t="s">
        <v>57</v>
      </c>
      <c r="F425" s="13">
        <v>14.51</v>
      </c>
      <c r="G425" s="14">
        <v>45005.0</v>
      </c>
      <c r="H425" s="15">
        <f t="shared" si="1"/>
        <v>20</v>
      </c>
      <c r="I425" s="16">
        <f t="shared" si="2"/>
        <v>3</v>
      </c>
      <c r="J425" s="15">
        <f t="shared" si="3"/>
        <v>2023</v>
      </c>
      <c r="K425" s="16">
        <f>STANDARDIZE(F425,'estatística'!$C$2,'estatística'!$H$2)</f>
        <v>0.1672575336</v>
      </c>
    </row>
    <row r="426" ht="15.75" customHeight="1">
      <c r="A426" s="9">
        <v>54.0</v>
      </c>
      <c r="B426" s="10" t="s">
        <v>55</v>
      </c>
      <c r="C426" s="11" t="s">
        <v>56</v>
      </c>
      <c r="D426" s="10" t="s">
        <v>13</v>
      </c>
      <c r="E426" s="11" t="s">
        <v>57</v>
      </c>
      <c r="F426" s="13">
        <v>14.65</v>
      </c>
      <c r="G426" s="14">
        <v>45005.0</v>
      </c>
      <c r="H426" s="15">
        <f t="shared" si="1"/>
        <v>20</v>
      </c>
      <c r="I426" s="16">
        <f t="shared" si="2"/>
        <v>3</v>
      </c>
      <c r="J426" s="15">
        <f t="shared" si="3"/>
        <v>2023</v>
      </c>
      <c r="K426" s="16">
        <f>STANDARDIZE(F426,'estatística'!$C$2,'estatística'!$H$2)</f>
        <v>0.1690301342</v>
      </c>
    </row>
    <row r="427" ht="15.75" customHeight="1">
      <c r="A427" s="9">
        <v>98.0</v>
      </c>
      <c r="B427" s="10" t="s">
        <v>131</v>
      </c>
      <c r="C427" s="11" t="s">
        <v>168</v>
      </c>
      <c r="D427" s="10" t="s">
        <v>13</v>
      </c>
      <c r="E427" s="11" t="s">
        <v>29</v>
      </c>
      <c r="F427" s="13">
        <v>11.93</v>
      </c>
      <c r="G427" s="14">
        <v>45005.0</v>
      </c>
      <c r="H427" s="15">
        <f t="shared" si="1"/>
        <v>20</v>
      </c>
      <c r="I427" s="16">
        <f t="shared" si="2"/>
        <v>3</v>
      </c>
      <c r="J427" s="15">
        <f t="shared" si="3"/>
        <v>2023</v>
      </c>
      <c r="K427" s="16">
        <f>STANDARDIZE(F427,'estatística'!$C$2,'estatística'!$H$2)</f>
        <v>0.1345910357</v>
      </c>
    </row>
    <row r="428" ht="15.75" customHeight="1">
      <c r="A428" s="9">
        <v>93.0</v>
      </c>
      <c r="B428" s="10" t="s">
        <v>99</v>
      </c>
      <c r="C428" s="11" t="s">
        <v>100</v>
      </c>
      <c r="D428" s="10" t="s">
        <v>17</v>
      </c>
      <c r="E428" s="11" t="s">
        <v>80</v>
      </c>
      <c r="F428" s="13">
        <v>36.41</v>
      </c>
      <c r="G428" s="14">
        <v>45005.0</v>
      </c>
      <c r="H428" s="15">
        <f t="shared" si="1"/>
        <v>20</v>
      </c>
      <c r="I428" s="16">
        <f t="shared" si="2"/>
        <v>3</v>
      </c>
      <c r="J428" s="15">
        <f t="shared" si="3"/>
        <v>2023</v>
      </c>
      <c r="K428" s="16">
        <f>STANDARDIZE(F428,'estatística'!$C$2,'estatística'!$H$2)</f>
        <v>0.4445429223</v>
      </c>
    </row>
    <row r="429" ht="15.75" customHeight="1">
      <c r="A429" s="9">
        <v>45.0</v>
      </c>
      <c r="B429" s="10" t="s">
        <v>193</v>
      </c>
      <c r="C429" s="11" t="s">
        <v>194</v>
      </c>
      <c r="D429" s="10" t="s">
        <v>17</v>
      </c>
      <c r="E429" s="11" t="s">
        <v>27</v>
      </c>
      <c r="F429" s="13">
        <v>14.91</v>
      </c>
      <c r="G429" s="14">
        <v>45005.0</v>
      </c>
      <c r="H429" s="15">
        <f t="shared" si="1"/>
        <v>20</v>
      </c>
      <c r="I429" s="16">
        <f t="shared" si="2"/>
        <v>3</v>
      </c>
      <c r="J429" s="15">
        <f t="shared" si="3"/>
        <v>2023</v>
      </c>
      <c r="K429" s="16">
        <f>STANDARDIZE(F429,'estatística'!$C$2,'estatística'!$H$2)</f>
        <v>0.1723221069</v>
      </c>
    </row>
    <row r="430" ht="15.75" customHeight="1">
      <c r="A430" s="9">
        <v>61.0</v>
      </c>
      <c r="B430" s="10" t="s">
        <v>73</v>
      </c>
      <c r="C430" s="11" t="s">
        <v>74</v>
      </c>
      <c r="D430" s="10" t="s">
        <v>17</v>
      </c>
      <c r="E430" s="11" t="s">
        <v>18</v>
      </c>
      <c r="F430" s="13">
        <v>51.2</v>
      </c>
      <c r="G430" s="14">
        <v>45005.0</v>
      </c>
      <c r="H430" s="15">
        <f t="shared" si="1"/>
        <v>20</v>
      </c>
      <c r="I430" s="16">
        <f t="shared" si="2"/>
        <v>3</v>
      </c>
      <c r="J430" s="15">
        <f t="shared" si="3"/>
        <v>2023</v>
      </c>
      <c r="K430" s="16">
        <f>STANDARDIZE(F430,'estatística'!$C$2,'estatística'!$H$2)</f>
        <v>0.6318055204</v>
      </c>
    </row>
    <row r="431" ht="15.75" customHeight="1">
      <c r="A431" s="9">
        <v>76.0</v>
      </c>
      <c r="B431" s="10" t="s">
        <v>185</v>
      </c>
      <c r="C431" s="11" t="s">
        <v>186</v>
      </c>
      <c r="D431" s="10" t="s">
        <v>17</v>
      </c>
      <c r="E431" s="11" t="s">
        <v>21</v>
      </c>
      <c r="F431" s="13">
        <v>22.1</v>
      </c>
      <c r="G431" s="14">
        <v>45007.0</v>
      </c>
      <c r="H431" s="15">
        <f t="shared" si="1"/>
        <v>22</v>
      </c>
      <c r="I431" s="16">
        <f t="shared" si="2"/>
        <v>3</v>
      </c>
      <c r="J431" s="15">
        <f t="shared" si="3"/>
        <v>2023</v>
      </c>
      <c r="K431" s="16">
        <f>STANDARDIZE(F431,'estatística'!$C$2,'estatística'!$H$2)</f>
        <v>0.2633578121</v>
      </c>
    </row>
    <row r="432" ht="15.75" customHeight="1">
      <c r="A432" s="9">
        <v>71.0</v>
      </c>
      <c r="B432" s="10" t="s">
        <v>122</v>
      </c>
      <c r="C432" s="11" t="s">
        <v>123</v>
      </c>
      <c r="D432" s="10" t="s">
        <v>17</v>
      </c>
      <c r="E432" s="11" t="s">
        <v>36</v>
      </c>
      <c r="F432" s="13">
        <v>60.88</v>
      </c>
      <c r="G432" s="14">
        <v>45007.0</v>
      </c>
      <c r="H432" s="15">
        <f t="shared" si="1"/>
        <v>22</v>
      </c>
      <c r="I432" s="16">
        <f t="shared" si="2"/>
        <v>3</v>
      </c>
      <c r="J432" s="15">
        <f t="shared" si="3"/>
        <v>2023</v>
      </c>
      <c r="K432" s="16">
        <f>STANDARDIZE(F432,'estatística'!$C$2,'estatística'!$H$2)</f>
        <v>0.7543681945</v>
      </c>
    </row>
    <row r="433" ht="15.75" customHeight="1">
      <c r="A433" s="9">
        <v>44.0</v>
      </c>
      <c r="B433" s="10" t="s">
        <v>187</v>
      </c>
      <c r="C433" s="11" t="s">
        <v>188</v>
      </c>
      <c r="D433" s="10" t="s">
        <v>17</v>
      </c>
      <c r="E433" s="11" t="s">
        <v>91</v>
      </c>
      <c r="F433" s="13">
        <v>3.98</v>
      </c>
      <c r="G433" s="14">
        <v>45007.0</v>
      </c>
      <c r="H433" s="15">
        <f t="shared" si="1"/>
        <v>22</v>
      </c>
      <c r="I433" s="16">
        <f t="shared" si="2"/>
        <v>3</v>
      </c>
      <c r="J433" s="15">
        <f t="shared" si="3"/>
        <v>2023</v>
      </c>
      <c r="K433" s="16">
        <f>STANDARDIZE(F433,'estatística'!$C$2,'estatística'!$H$2)</f>
        <v>0.03393264117</v>
      </c>
    </row>
    <row r="434" ht="15.75" customHeight="1">
      <c r="A434" s="9">
        <v>98.0</v>
      </c>
      <c r="B434" s="10" t="s">
        <v>131</v>
      </c>
      <c r="C434" s="11" t="s">
        <v>168</v>
      </c>
      <c r="D434" s="10" t="s">
        <v>13</v>
      </c>
      <c r="E434" s="11" t="s">
        <v>36</v>
      </c>
      <c r="F434" s="13">
        <v>80.04</v>
      </c>
      <c r="G434" s="14">
        <v>45007.0</v>
      </c>
      <c r="H434" s="15">
        <f t="shared" si="1"/>
        <v>22</v>
      </c>
      <c r="I434" s="16">
        <f t="shared" si="2"/>
        <v>3</v>
      </c>
      <c r="J434" s="15">
        <f t="shared" si="3"/>
        <v>2023</v>
      </c>
      <c r="K434" s="16">
        <f>STANDARDIZE(F434,'estatística'!$C$2,'estatística'!$H$2)</f>
        <v>0.996961256</v>
      </c>
    </row>
    <row r="435" ht="15.75" customHeight="1">
      <c r="A435" s="9">
        <v>26.0</v>
      </c>
      <c r="B435" s="10" t="s">
        <v>183</v>
      </c>
      <c r="C435" s="11" t="s">
        <v>184</v>
      </c>
      <c r="D435" s="10" t="s">
        <v>13</v>
      </c>
      <c r="E435" s="11" t="s">
        <v>18</v>
      </c>
      <c r="F435" s="13">
        <v>50.9</v>
      </c>
      <c r="G435" s="14">
        <v>45007.0</v>
      </c>
      <c r="H435" s="15">
        <f t="shared" si="1"/>
        <v>22</v>
      </c>
      <c r="I435" s="16">
        <f t="shared" si="2"/>
        <v>3</v>
      </c>
      <c r="J435" s="15">
        <f t="shared" si="3"/>
        <v>2023</v>
      </c>
      <c r="K435" s="16">
        <f>STANDARDIZE(F435,'estatística'!$C$2,'estatística'!$H$2)</f>
        <v>0.6280070904</v>
      </c>
    </row>
    <row r="436" ht="15.75" customHeight="1">
      <c r="A436" s="9">
        <v>8.0</v>
      </c>
      <c r="B436" s="10" t="s">
        <v>75</v>
      </c>
      <c r="C436" s="11" t="s">
        <v>76</v>
      </c>
      <c r="D436" s="10" t="s">
        <v>17</v>
      </c>
      <c r="E436" s="11" t="s">
        <v>65</v>
      </c>
      <c r="F436" s="13">
        <v>28.95</v>
      </c>
      <c r="G436" s="14">
        <v>45008.0</v>
      </c>
      <c r="H436" s="15">
        <f t="shared" si="1"/>
        <v>23</v>
      </c>
      <c r="I436" s="16">
        <f t="shared" si="2"/>
        <v>3</v>
      </c>
      <c r="J436" s="15">
        <f t="shared" si="3"/>
        <v>2023</v>
      </c>
      <c r="K436" s="16">
        <f>STANDARDIZE(F436,'estatística'!$C$2,'estatística'!$H$2)</f>
        <v>0.35008863</v>
      </c>
    </row>
    <row r="437" ht="15.75" customHeight="1">
      <c r="A437" s="9">
        <v>28.0</v>
      </c>
      <c r="B437" s="10" t="s">
        <v>49</v>
      </c>
      <c r="C437" s="11" t="s">
        <v>50</v>
      </c>
      <c r="D437" s="10" t="s">
        <v>13</v>
      </c>
      <c r="E437" s="11" t="s">
        <v>107</v>
      </c>
      <c r="F437" s="13">
        <v>29.04</v>
      </c>
      <c r="G437" s="14">
        <v>45008.0</v>
      </c>
      <c r="H437" s="15">
        <f t="shared" si="1"/>
        <v>23</v>
      </c>
      <c r="I437" s="16">
        <f t="shared" si="2"/>
        <v>3</v>
      </c>
      <c r="J437" s="15">
        <f t="shared" si="3"/>
        <v>2023</v>
      </c>
      <c r="K437" s="16">
        <f>STANDARDIZE(F437,'estatística'!$C$2,'estatística'!$H$2)</f>
        <v>0.351228159</v>
      </c>
    </row>
    <row r="438" ht="15.75" customHeight="1">
      <c r="A438" s="9">
        <v>27.0</v>
      </c>
      <c r="B438" s="10" t="s">
        <v>145</v>
      </c>
      <c r="C438" s="11" t="s">
        <v>146</v>
      </c>
      <c r="D438" s="10" t="s">
        <v>13</v>
      </c>
      <c r="E438" s="11" t="s">
        <v>57</v>
      </c>
      <c r="F438" s="13">
        <v>19.19</v>
      </c>
      <c r="G438" s="14">
        <v>45008.0</v>
      </c>
      <c r="H438" s="15">
        <f t="shared" si="1"/>
        <v>23</v>
      </c>
      <c r="I438" s="16">
        <f t="shared" si="2"/>
        <v>3</v>
      </c>
      <c r="J438" s="15">
        <f t="shared" si="3"/>
        <v>2023</v>
      </c>
      <c r="K438" s="16">
        <f>STANDARDIZE(F438,'estatística'!$C$2,'estatística'!$H$2)</f>
        <v>0.2265130413</v>
      </c>
    </row>
    <row r="439" ht="15.75" customHeight="1">
      <c r="A439" s="9">
        <v>37.0</v>
      </c>
      <c r="B439" s="10" t="s">
        <v>217</v>
      </c>
      <c r="C439" s="11" t="s">
        <v>218</v>
      </c>
      <c r="D439" s="10" t="s">
        <v>17</v>
      </c>
      <c r="E439" s="11" t="s">
        <v>80</v>
      </c>
      <c r="F439" s="13">
        <v>41.04</v>
      </c>
      <c r="G439" s="14">
        <v>45008.0</v>
      </c>
      <c r="H439" s="15">
        <f t="shared" si="1"/>
        <v>23</v>
      </c>
      <c r="I439" s="16">
        <f t="shared" si="2"/>
        <v>3</v>
      </c>
      <c r="J439" s="15">
        <f t="shared" si="3"/>
        <v>2023</v>
      </c>
      <c r="K439" s="16">
        <f>STANDARDIZE(F439,'estatística'!$C$2,'estatística'!$H$2)</f>
        <v>0.5031653583</v>
      </c>
    </row>
    <row r="440" ht="15.75" customHeight="1">
      <c r="A440" s="9">
        <v>99.0</v>
      </c>
      <c r="B440" s="10" t="s">
        <v>46</v>
      </c>
      <c r="C440" s="11" t="s">
        <v>47</v>
      </c>
      <c r="D440" s="10" t="s">
        <v>13</v>
      </c>
      <c r="E440" s="11" t="s">
        <v>116</v>
      </c>
      <c r="F440" s="13">
        <v>3.64</v>
      </c>
      <c r="G440" s="14">
        <v>45008.0</v>
      </c>
      <c r="H440" s="15">
        <f t="shared" si="1"/>
        <v>23</v>
      </c>
      <c r="I440" s="16">
        <f t="shared" si="2"/>
        <v>3</v>
      </c>
      <c r="J440" s="15">
        <f t="shared" si="3"/>
        <v>2023</v>
      </c>
      <c r="K440" s="16">
        <f>STANDARDIZE(F440,'estatística'!$C$2,'estatística'!$H$2)</f>
        <v>0.02962775386</v>
      </c>
    </row>
    <row r="441" ht="15.75" customHeight="1">
      <c r="A441" s="9">
        <v>31.0</v>
      </c>
      <c r="B441" s="10" t="s">
        <v>201</v>
      </c>
      <c r="C441" s="11" t="s">
        <v>202</v>
      </c>
      <c r="D441" s="10" t="s">
        <v>17</v>
      </c>
      <c r="E441" s="11" t="s">
        <v>80</v>
      </c>
      <c r="F441" s="13">
        <v>39.93</v>
      </c>
      <c r="G441" s="14">
        <v>45008.0</v>
      </c>
      <c r="H441" s="15">
        <f t="shared" si="1"/>
        <v>23</v>
      </c>
      <c r="I441" s="16">
        <f t="shared" si="2"/>
        <v>3</v>
      </c>
      <c r="J441" s="15">
        <f t="shared" si="3"/>
        <v>2023</v>
      </c>
      <c r="K441" s="16">
        <f>STANDARDIZE(F441,'estatística'!$C$2,'estatística'!$H$2)</f>
        <v>0.4891111674</v>
      </c>
    </row>
    <row r="442" ht="15.75" customHeight="1">
      <c r="A442" s="9">
        <v>75.0</v>
      </c>
      <c r="B442" s="10" t="s">
        <v>210</v>
      </c>
      <c r="C442" s="11" t="s">
        <v>211</v>
      </c>
      <c r="D442" s="10" t="s">
        <v>17</v>
      </c>
      <c r="E442" s="11" t="s">
        <v>36</v>
      </c>
      <c r="F442" s="13">
        <v>62.35</v>
      </c>
      <c r="G442" s="14">
        <v>45008.0</v>
      </c>
      <c r="H442" s="15">
        <f t="shared" si="1"/>
        <v>23</v>
      </c>
      <c r="I442" s="16">
        <f t="shared" si="2"/>
        <v>3</v>
      </c>
      <c r="J442" s="15">
        <f t="shared" si="3"/>
        <v>2023</v>
      </c>
      <c r="K442" s="16">
        <f>STANDARDIZE(F442,'estatística'!$C$2,'estatística'!$H$2)</f>
        <v>0.7729805014</v>
      </c>
    </row>
    <row r="443" ht="15.75" customHeight="1">
      <c r="A443" s="9">
        <v>66.0</v>
      </c>
      <c r="B443" s="10" t="s">
        <v>122</v>
      </c>
      <c r="C443" s="11" t="s">
        <v>130</v>
      </c>
      <c r="D443" s="10" t="s">
        <v>17</v>
      </c>
      <c r="E443" s="11" t="s">
        <v>18</v>
      </c>
      <c r="F443" s="13">
        <v>44.95</v>
      </c>
      <c r="G443" s="14">
        <v>45009.0</v>
      </c>
      <c r="H443" s="15">
        <f t="shared" si="1"/>
        <v>24</v>
      </c>
      <c r="I443" s="16">
        <f t="shared" si="2"/>
        <v>3</v>
      </c>
      <c r="J443" s="15">
        <f t="shared" si="3"/>
        <v>2023</v>
      </c>
      <c r="K443" s="16">
        <f>STANDARDIZE(F443,'estatística'!$C$2,'estatística'!$H$2)</f>
        <v>0.5526715624</v>
      </c>
    </row>
    <row r="444" ht="15.75" customHeight="1">
      <c r="A444" s="9">
        <v>55.0</v>
      </c>
      <c r="B444" s="10" t="s">
        <v>174</v>
      </c>
      <c r="C444" s="11" t="s">
        <v>175</v>
      </c>
      <c r="D444" s="10" t="s">
        <v>13</v>
      </c>
      <c r="E444" s="11" t="s">
        <v>48</v>
      </c>
      <c r="F444" s="13">
        <v>11.92</v>
      </c>
      <c r="G444" s="14">
        <v>45009.0</v>
      </c>
      <c r="H444" s="15">
        <f t="shared" si="1"/>
        <v>24</v>
      </c>
      <c r="I444" s="16">
        <f t="shared" si="2"/>
        <v>3</v>
      </c>
      <c r="J444" s="15">
        <f t="shared" si="3"/>
        <v>2023</v>
      </c>
      <c r="K444" s="16">
        <f>STANDARDIZE(F444,'estatística'!$C$2,'estatística'!$H$2)</f>
        <v>0.1344644214</v>
      </c>
    </row>
    <row r="445" ht="15.75" customHeight="1">
      <c r="A445" s="9">
        <v>38.0</v>
      </c>
      <c r="B445" s="10" t="s">
        <v>85</v>
      </c>
      <c r="C445" s="11" t="s">
        <v>86</v>
      </c>
      <c r="D445" s="10" t="s">
        <v>17</v>
      </c>
      <c r="E445" s="11" t="s">
        <v>107</v>
      </c>
      <c r="F445" s="13">
        <v>30.12</v>
      </c>
      <c r="G445" s="14">
        <v>45009.0</v>
      </c>
      <c r="H445" s="15">
        <f t="shared" si="1"/>
        <v>24</v>
      </c>
      <c r="I445" s="16">
        <f t="shared" si="2"/>
        <v>3</v>
      </c>
      <c r="J445" s="15">
        <f t="shared" si="3"/>
        <v>2023</v>
      </c>
      <c r="K445" s="16">
        <f>STANDARDIZE(F445,'estatística'!$C$2,'estatística'!$H$2)</f>
        <v>0.364902507</v>
      </c>
    </row>
    <row r="446" ht="15.75" customHeight="1">
      <c r="A446" s="9">
        <v>57.0</v>
      </c>
      <c r="B446" s="10" t="s">
        <v>60</v>
      </c>
      <c r="C446" s="11" t="s">
        <v>162</v>
      </c>
      <c r="D446" s="10" t="s">
        <v>17</v>
      </c>
      <c r="E446" s="11" t="s">
        <v>29</v>
      </c>
      <c r="F446" s="13">
        <v>13.6</v>
      </c>
      <c r="G446" s="14">
        <v>45009.0</v>
      </c>
      <c r="H446" s="15">
        <f t="shared" si="1"/>
        <v>24</v>
      </c>
      <c r="I446" s="16">
        <f t="shared" si="2"/>
        <v>3</v>
      </c>
      <c r="J446" s="15">
        <f t="shared" si="3"/>
        <v>2023</v>
      </c>
      <c r="K446" s="16">
        <f>STANDARDIZE(F446,'estatística'!$C$2,'estatística'!$H$2)</f>
        <v>0.1557356293</v>
      </c>
    </row>
    <row r="447" ht="15.75" customHeight="1">
      <c r="A447" s="9">
        <v>54.0</v>
      </c>
      <c r="B447" s="10" t="s">
        <v>55</v>
      </c>
      <c r="C447" s="11" t="s">
        <v>56</v>
      </c>
      <c r="D447" s="10" t="s">
        <v>13</v>
      </c>
      <c r="E447" s="11" t="s">
        <v>14</v>
      </c>
      <c r="F447" s="13">
        <v>10.33</v>
      </c>
      <c r="G447" s="14">
        <v>45009.0</v>
      </c>
      <c r="H447" s="15">
        <f t="shared" si="1"/>
        <v>24</v>
      </c>
      <c r="I447" s="16">
        <f t="shared" si="2"/>
        <v>3</v>
      </c>
      <c r="J447" s="15">
        <f t="shared" si="3"/>
        <v>2023</v>
      </c>
      <c r="K447" s="16">
        <f>STANDARDIZE(F447,'estatística'!$C$2,'estatística'!$H$2)</f>
        <v>0.1143327425</v>
      </c>
    </row>
    <row r="448" ht="15.75" customHeight="1">
      <c r="A448" s="9">
        <v>47.0</v>
      </c>
      <c r="B448" s="10" t="s">
        <v>89</v>
      </c>
      <c r="C448" s="11" t="s">
        <v>90</v>
      </c>
      <c r="D448" s="10" t="s">
        <v>17</v>
      </c>
      <c r="E448" s="11" t="s">
        <v>65</v>
      </c>
      <c r="F448" s="13">
        <v>33.81</v>
      </c>
      <c r="G448" s="14">
        <v>45009.0</v>
      </c>
      <c r="H448" s="15">
        <f t="shared" si="1"/>
        <v>24</v>
      </c>
      <c r="I448" s="16">
        <f t="shared" si="2"/>
        <v>3</v>
      </c>
      <c r="J448" s="15">
        <f t="shared" si="3"/>
        <v>2023</v>
      </c>
      <c r="K448" s="16">
        <f>STANDARDIZE(F448,'estatística'!$C$2,'estatística'!$H$2)</f>
        <v>0.4116231957</v>
      </c>
    </row>
    <row r="449" ht="15.75" customHeight="1">
      <c r="A449" s="9">
        <v>10.0</v>
      </c>
      <c r="B449" s="10" t="s">
        <v>120</v>
      </c>
      <c r="C449" s="11" t="s">
        <v>121</v>
      </c>
      <c r="D449" s="10" t="s">
        <v>13</v>
      </c>
      <c r="E449" s="11" t="s">
        <v>48</v>
      </c>
      <c r="F449" s="13">
        <v>19.93</v>
      </c>
      <c r="G449" s="14">
        <v>45009.0</v>
      </c>
      <c r="H449" s="15">
        <f t="shared" si="1"/>
        <v>24</v>
      </c>
      <c r="I449" s="16">
        <f t="shared" si="2"/>
        <v>3</v>
      </c>
      <c r="J449" s="15">
        <f t="shared" si="3"/>
        <v>2023</v>
      </c>
      <c r="K449" s="16">
        <f>STANDARDIZE(F449,'estatística'!$C$2,'estatística'!$H$2)</f>
        <v>0.2358825019</v>
      </c>
    </row>
    <row r="450" ht="15.75" customHeight="1">
      <c r="A450" s="9">
        <v>51.0</v>
      </c>
      <c r="B450" s="10" t="s">
        <v>205</v>
      </c>
      <c r="C450" s="11" t="s">
        <v>206</v>
      </c>
      <c r="D450" s="10" t="s">
        <v>13</v>
      </c>
      <c r="E450" s="11" t="s">
        <v>80</v>
      </c>
      <c r="F450" s="13">
        <v>39.75</v>
      </c>
      <c r="G450" s="14">
        <v>45009.0</v>
      </c>
      <c r="H450" s="15">
        <f t="shared" si="1"/>
        <v>24</v>
      </c>
      <c r="I450" s="16">
        <f t="shared" si="2"/>
        <v>3</v>
      </c>
      <c r="J450" s="15">
        <f t="shared" si="3"/>
        <v>2023</v>
      </c>
      <c r="K450" s="16">
        <f>STANDARDIZE(F450,'estatística'!$C$2,'estatística'!$H$2)</f>
        <v>0.4868321094</v>
      </c>
    </row>
    <row r="451" ht="15.75" customHeight="1">
      <c r="A451" s="9">
        <v>22.0</v>
      </c>
      <c r="B451" s="10" t="s">
        <v>101</v>
      </c>
      <c r="C451" s="11" t="s">
        <v>102</v>
      </c>
      <c r="D451" s="10" t="s">
        <v>17</v>
      </c>
      <c r="E451" s="11" t="s">
        <v>24</v>
      </c>
      <c r="F451" s="13">
        <v>39.24</v>
      </c>
      <c r="G451" s="14">
        <v>45010.0</v>
      </c>
      <c r="H451" s="15">
        <f t="shared" si="1"/>
        <v>25</v>
      </c>
      <c r="I451" s="16">
        <f t="shared" si="2"/>
        <v>3</v>
      </c>
      <c r="J451" s="15">
        <f t="shared" si="3"/>
        <v>2023</v>
      </c>
      <c r="K451" s="16">
        <f>STANDARDIZE(F451,'estatística'!$C$2,'estatística'!$H$2)</f>
        <v>0.4803747784</v>
      </c>
    </row>
    <row r="452" ht="15.75" customHeight="1">
      <c r="A452" s="9">
        <v>42.0</v>
      </c>
      <c r="B452" s="10" t="s">
        <v>60</v>
      </c>
      <c r="C452" s="11" t="s">
        <v>142</v>
      </c>
      <c r="D452" s="10" t="s">
        <v>13</v>
      </c>
      <c r="E452" s="11" t="s">
        <v>36</v>
      </c>
      <c r="F452" s="13">
        <v>75.13</v>
      </c>
      <c r="G452" s="14">
        <v>45010.0</v>
      </c>
      <c r="H452" s="15">
        <f t="shared" si="1"/>
        <v>25</v>
      </c>
      <c r="I452" s="16">
        <f t="shared" si="2"/>
        <v>3</v>
      </c>
      <c r="J452" s="15">
        <f t="shared" si="3"/>
        <v>2023</v>
      </c>
      <c r="K452" s="16">
        <f>STANDARDIZE(F452,'estatística'!$C$2,'estatística'!$H$2)</f>
        <v>0.9347936186</v>
      </c>
    </row>
    <row r="453" ht="15.75" customHeight="1">
      <c r="A453" s="9">
        <v>15.0</v>
      </c>
      <c r="B453" s="10" t="s">
        <v>37</v>
      </c>
      <c r="C453" s="11" t="s">
        <v>38</v>
      </c>
      <c r="D453" s="10" t="s">
        <v>13</v>
      </c>
      <c r="E453" s="11" t="s">
        <v>32</v>
      </c>
      <c r="F453" s="13">
        <v>26.54</v>
      </c>
      <c r="G453" s="14">
        <v>45010.0</v>
      </c>
      <c r="H453" s="15">
        <f t="shared" si="1"/>
        <v>25</v>
      </c>
      <c r="I453" s="16">
        <f t="shared" si="2"/>
        <v>3</v>
      </c>
      <c r="J453" s="15">
        <f t="shared" si="3"/>
        <v>2023</v>
      </c>
      <c r="K453" s="16">
        <f>STANDARDIZE(F453,'estatística'!$C$2,'estatística'!$H$2)</f>
        <v>0.3195745758</v>
      </c>
    </row>
    <row r="454" ht="15.75" customHeight="1">
      <c r="A454" s="9">
        <v>73.0</v>
      </c>
      <c r="B454" s="10" t="s">
        <v>195</v>
      </c>
      <c r="C454" s="11" t="s">
        <v>196</v>
      </c>
      <c r="D454" s="10" t="s">
        <v>17</v>
      </c>
      <c r="E454" s="11" t="s">
        <v>24</v>
      </c>
      <c r="F454" s="13">
        <v>33.17</v>
      </c>
      <c r="G454" s="14">
        <v>45010.0</v>
      </c>
      <c r="H454" s="15">
        <f t="shared" si="1"/>
        <v>25</v>
      </c>
      <c r="I454" s="16">
        <f t="shared" si="2"/>
        <v>3</v>
      </c>
      <c r="J454" s="15">
        <f t="shared" si="3"/>
        <v>2023</v>
      </c>
      <c r="K454" s="16">
        <f>STANDARDIZE(F454,'estatística'!$C$2,'estatística'!$H$2)</f>
        <v>0.4035198785</v>
      </c>
    </row>
    <row r="455" ht="15.75" customHeight="1">
      <c r="A455" s="9">
        <v>33.0</v>
      </c>
      <c r="B455" s="10" t="s">
        <v>163</v>
      </c>
      <c r="C455" s="11" t="s">
        <v>164</v>
      </c>
      <c r="D455" s="10" t="s">
        <v>13</v>
      </c>
      <c r="E455" s="11" t="s">
        <v>77</v>
      </c>
      <c r="F455" s="13">
        <v>15.9</v>
      </c>
      <c r="G455" s="14">
        <v>45011.0</v>
      </c>
      <c r="H455" s="15">
        <f t="shared" si="1"/>
        <v>26</v>
      </c>
      <c r="I455" s="16">
        <f t="shared" si="2"/>
        <v>3</v>
      </c>
      <c r="J455" s="15">
        <f t="shared" si="3"/>
        <v>2023</v>
      </c>
      <c r="K455" s="16">
        <f>STANDARDIZE(F455,'estatística'!$C$2,'estatística'!$H$2)</f>
        <v>0.1848569258</v>
      </c>
    </row>
    <row r="456" ht="15.75" customHeight="1">
      <c r="A456" s="9">
        <v>11.0</v>
      </c>
      <c r="B456" s="10" t="s">
        <v>199</v>
      </c>
      <c r="C456" s="11" t="s">
        <v>200</v>
      </c>
      <c r="D456" s="10" t="s">
        <v>17</v>
      </c>
      <c r="E456" s="11" t="s">
        <v>80</v>
      </c>
      <c r="F456" s="13">
        <v>40.46</v>
      </c>
      <c r="G456" s="14">
        <v>45011.0</v>
      </c>
      <c r="H456" s="15">
        <f t="shared" si="1"/>
        <v>26</v>
      </c>
      <c r="I456" s="16">
        <f t="shared" si="2"/>
        <v>3</v>
      </c>
      <c r="J456" s="15">
        <f t="shared" si="3"/>
        <v>2023</v>
      </c>
      <c r="K456" s="16">
        <f>STANDARDIZE(F456,'estatística'!$C$2,'estatística'!$H$2)</f>
        <v>0.495821727</v>
      </c>
    </row>
    <row r="457" ht="15.75" customHeight="1">
      <c r="A457" s="9">
        <v>51.0</v>
      </c>
      <c r="B457" s="10" t="s">
        <v>205</v>
      </c>
      <c r="C457" s="11" t="s">
        <v>206</v>
      </c>
      <c r="D457" s="10" t="s">
        <v>17</v>
      </c>
      <c r="E457" s="11" t="s">
        <v>116</v>
      </c>
      <c r="F457" s="13">
        <v>3.75</v>
      </c>
      <c r="G457" s="14">
        <v>45011.0</v>
      </c>
      <c r="H457" s="15">
        <f t="shared" si="1"/>
        <v>26</v>
      </c>
      <c r="I457" s="16">
        <f t="shared" si="2"/>
        <v>3</v>
      </c>
      <c r="J457" s="15">
        <f t="shared" si="3"/>
        <v>2023</v>
      </c>
      <c r="K457" s="16">
        <f>STANDARDIZE(F457,'estatística'!$C$2,'estatística'!$H$2)</f>
        <v>0.03102051152</v>
      </c>
    </row>
    <row r="458" ht="15.75" customHeight="1">
      <c r="A458" s="9">
        <v>43.0</v>
      </c>
      <c r="B458" s="10" t="s">
        <v>63</v>
      </c>
      <c r="C458" s="11" t="s">
        <v>64</v>
      </c>
      <c r="D458" s="10" t="s">
        <v>13</v>
      </c>
      <c r="E458" s="11" t="s">
        <v>107</v>
      </c>
      <c r="F458" s="13">
        <v>32.24</v>
      </c>
      <c r="G458" s="14">
        <v>45011.0</v>
      </c>
      <c r="H458" s="15">
        <f t="shared" si="1"/>
        <v>26</v>
      </c>
      <c r="I458" s="16">
        <f t="shared" si="2"/>
        <v>3</v>
      </c>
      <c r="J458" s="15">
        <f t="shared" si="3"/>
        <v>2023</v>
      </c>
      <c r="K458" s="16">
        <f>STANDARDIZE(F458,'estatística'!$C$2,'estatística'!$H$2)</f>
        <v>0.3917447455</v>
      </c>
    </row>
    <row r="459" ht="15.75" customHeight="1">
      <c r="A459" s="9">
        <v>41.0</v>
      </c>
      <c r="B459" s="10" t="s">
        <v>189</v>
      </c>
      <c r="C459" s="11" t="s">
        <v>190</v>
      </c>
      <c r="D459" s="10" t="s">
        <v>13</v>
      </c>
      <c r="E459" s="11" t="s">
        <v>24</v>
      </c>
      <c r="F459" s="13">
        <v>32.82</v>
      </c>
      <c r="G459" s="14">
        <v>45011.0</v>
      </c>
      <c r="H459" s="15">
        <f t="shared" si="1"/>
        <v>26</v>
      </c>
      <c r="I459" s="16">
        <f t="shared" si="2"/>
        <v>3</v>
      </c>
      <c r="J459" s="15">
        <f t="shared" si="3"/>
        <v>2023</v>
      </c>
      <c r="K459" s="16">
        <f>STANDARDIZE(F459,'estatística'!$C$2,'estatística'!$H$2)</f>
        <v>0.3990883768</v>
      </c>
    </row>
    <row r="460" ht="15.75" customHeight="1">
      <c r="A460" s="9">
        <v>32.0</v>
      </c>
      <c r="B460" s="10" t="s">
        <v>118</v>
      </c>
      <c r="C460" s="11" t="s">
        <v>119</v>
      </c>
      <c r="D460" s="10" t="s">
        <v>17</v>
      </c>
      <c r="E460" s="11" t="s">
        <v>32</v>
      </c>
      <c r="F460" s="13">
        <v>23.1</v>
      </c>
      <c r="G460" s="14">
        <v>45011.0</v>
      </c>
      <c r="H460" s="15">
        <f t="shared" si="1"/>
        <v>26</v>
      </c>
      <c r="I460" s="16">
        <f t="shared" si="2"/>
        <v>3</v>
      </c>
      <c r="J460" s="15">
        <f t="shared" si="3"/>
        <v>2023</v>
      </c>
      <c r="K460" s="16">
        <f>STANDARDIZE(F460,'estatística'!$C$2,'estatística'!$H$2)</f>
        <v>0.2760192454</v>
      </c>
    </row>
    <row r="461" ht="15.75" customHeight="1">
      <c r="A461" s="9">
        <v>66.0</v>
      </c>
      <c r="B461" s="10" t="s">
        <v>122</v>
      </c>
      <c r="C461" s="11" t="s">
        <v>130</v>
      </c>
      <c r="D461" s="10" t="s">
        <v>13</v>
      </c>
      <c r="E461" s="11" t="s">
        <v>107</v>
      </c>
      <c r="F461" s="13">
        <v>28.41</v>
      </c>
      <c r="G461" s="14">
        <v>45011.0</v>
      </c>
      <c r="H461" s="15">
        <f t="shared" si="1"/>
        <v>26</v>
      </c>
      <c r="I461" s="16">
        <f t="shared" si="2"/>
        <v>3</v>
      </c>
      <c r="J461" s="15">
        <f t="shared" si="3"/>
        <v>2023</v>
      </c>
      <c r="K461" s="16">
        <f>STANDARDIZE(F461,'estatística'!$C$2,'estatística'!$H$2)</f>
        <v>0.3432514561</v>
      </c>
    </row>
    <row r="462" ht="15.75" customHeight="1">
      <c r="A462" s="9">
        <v>33.0</v>
      </c>
      <c r="B462" s="10" t="s">
        <v>163</v>
      </c>
      <c r="C462" s="11" t="s">
        <v>164</v>
      </c>
      <c r="D462" s="10" t="s">
        <v>17</v>
      </c>
      <c r="E462" s="11" t="s">
        <v>14</v>
      </c>
      <c r="F462" s="13">
        <v>10.76</v>
      </c>
      <c r="G462" s="14">
        <v>45011.0</v>
      </c>
      <c r="H462" s="15">
        <f t="shared" si="1"/>
        <v>26</v>
      </c>
      <c r="I462" s="16">
        <f t="shared" si="2"/>
        <v>3</v>
      </c>
      <c r="J462" s="15">
        <f t="shared" si="3"/>
        <v>2023</v>
      </c>
      <c r="K462" s="16">
        <f>STANDARDIZE(F462,'estatística'!$C$2,'estatística'!$H$2)</f>
        <v>0.1197771588</v>
      </c>
    </row>
    <row r="463" ht="15.75" customHeight="1">
      <c r="A463" s="9">
        <v>83.0</v>
      </c>
      <c r="B463" s="10" t="s">
        <v>66</v>
      </c>
      <c r="C463" s="11" t="s">
        <v>67</v>
      </c>
      <c r="D463" s="10" t="s">
        <v>13</v>
      </c>
      <c r="E463" s="11" t="s">
        <v>21</v>
      </c>
      <c r="F463" s="13">
        <v>20.29</v>
      </c>
      <c r="G463" s="14">
        <v>45011.0</v>
      </c>
      <c r="H463" s="15">
        <f t="shared" si="1"/>
        <v>26</v>
      </c>
      <c r="I463" s="16">
        <f t="shared" si="2"/>
        <v>3</v>
      </c>
      <c r="J463" s="15">
        <f t="shared" si="3"/>
        <v>2023</v>
      </c>
      <c r="K463" s="16">
        <f>STANDARDIZE(F463,'estatística'!$C$2,'estatística'!$H$2)</f>
        <v>0.2404406179</v>
      </c>
    </row>
    <row r="464" ht="15.75" customHeight="1">
      <c r="A464" s="9">
        <v>81.0</v>
      </c>
      <c r="B464" s="10" t="s">
        <v>34</v>
      </c>
      <c r="C464" s="11" t="s">
        <v>35</v>
      </c>
      <c r="D464" s="10" t="s">
        <v>17</v>
      </c>
      <c r="E464" s="11" t="s">
        <v>68</v>
      </c>
      <c r="F464" s="13">
        <v>15.12</v>
      </c>
      <c r="G464" s="14">
        <v>45012.0</v>
      </c>
      <c r="H464" s="15">
        <f t="shared" si="1"/>
        <v>27</v>
      </c>
      <c r="I464" s="16">
        <f t="shared" si="2"/>
        <v>3</v>
      </c>
      <c r="J464" s="15">
        <f t="shared" si="3"/>
        <v>2023</v>
      </c>
      <c r="K464" s="16">
        <f>STANDARDIZE(F464,'estatística'!$C$2,'estatística'!$H$2)</f>
        <v>0.1749810079</v>
      </c>
    </row>
    <row r="465" ht="15.75" customHeight="1">
      <c r="A465" s="9">
        <v>92.0</v>
      </c>
      <c r="B465" s="10" t="s">
        <v>81</v>
      </c>
      <c r="C465" s="11" t="s">
        <v>169</v>
      </c>
      <c r="D465" s="10" t="s">
        <v>17</v>
      </c>
      <c r="E465" s="11" t="s">
        <v>14</v>
      </c>
      <c r="F465" s="13">
        <v>10.68</v>
      </c>
      <c r="G465" s="14">
        <v>45012.0</v>
      </c>
      <c r="H465" s="15">
        <f t="shared" si="1"/>
        <v>27</v>
      </c>
      <c r="I465" s="16">
        <f t="shared" si="2"/>
        <v>3</v>
      </c>
      <c r="J465" s="15">
        <f t="shared" si="3"/>
        <v>2023</v>
      </c>
      <c r="K465" s="16">
        <f>STANDARDIZE(F465,'estatística'!$C$2,'estatística'!$H$2)</f>
        <v>0.1187642441</v>
      </c>
    </row>
    <row r="466" ht="15.75" customHeight="1">
      <c r="A466" s="9">
        <v>64.0</v>
      </c>
      <c r="B466" s="10" t="s">
        <v>131</v>
      </c>
      <c r="C466" s="11" t="s">
        <v>132</v>
      </c>
      <c r="D466" s="10" t="s">
        <v>13</v>
      </c>
      <c r="E466" s="11" t="s">
        <v>33</v>
      </c>
      <c r="F466" s="13">
        <v>63.81</v>
      </c>
      <c r="G466" s="14">
        <v>45012.0</v>
      </c>
      <c r="H466" s="15">
        <f t="shared" si="1"/>
        <v>27</v>
      </c>
      <c r="I466" s="16">
        <f t="shared" si="2"/>
        <v>3</v>
      </c>
      <c r="J466" s="15">
        <f t="shared" si="3"/>
        <v>2023</v>
      </c>
      <c r="K466" s="16">
        <f>STANDARDIZE(F466,'estatística'!$C$2,'estatística'!$H$2)</f>
        <v>0.791466194</v>
      </c>
    </row>
    <row r="467" ht="15.75" customHeight="1">
      <c r="A467" s="9">
        <v>96.0</v>
      </c>
      <c r="B467" s="10" t="s">
        <v>135</v>
      </c>
      <c r="C467" s="11" t="s">
        <v>136</v>
      </c>
      <c r="D467" s="10" t="s">
        <v>13</v>
      </c>
      <c r="E467" s="11" t="s">
        <v>32</v>
      </c>
      <c r="F467" s="13">
        <v>30.09</v>
      </c>
      <c r="G467" s="14">
        <v>45012.0</v>
      </c>
      <c r="H467" s="15">
        <f t="shared" si="1"/>
        <v>27</v>
      </c>
      <c r="I467" s="16">
        <f t="shared" si="2"/>
        <v>3</v>
      </c>
      <c r="J467" s="15">
        <f t="shared" si="3"/>
        <v>2023</v>
      </c>
      <c r="K467" s="16">
        <f>STANDARDIZE(F467,'estatística'!$C$2,'estatística'!$H$2)</f>
        <v>0.364522664</v>
      </c>
    </row>
    <row r="468" ht="15.75" customHeight="1">
      <c r="A468" s="9">
        <v>14.0</v>
      </c>
      <c r="B468" s="10" t="s">
        <v>143</v>
      </c>
      <c r="C468" s="11" t="s">
        <v>144</v>
      </c>
      <c r="D468" s="10" t="s">
        <v>17</v>
      </c>
      <c r="E468" s="11" t="s">
        <v>33</v>
      </c>
      <c r="F468" s="13">
        <v>48.93</v>
      </c>
      <c r="G468" s="14">
        <v>45012.0</v>
      </c>
      <c r="H468" s="15">
        <f t="shared" si="1"/>
        <v>27</v>
      </c>
      <c r="I468" s="16">
        <f t="shared" si="2"/>
        <v>3</v>
      </c>
      <c r="J468" s="15">
        <f t="shared" si="3"/>
        <v>2023</v>
      </c>
      <c r="K468" s="16">
        <f>STANDARDIZE(F468,'estatística'!$C$2,'estatística'!$H$2)</f>
        <v>0.6030640669</v>
      </c>
    </row>
    <row r="469" ht="15.75" customHeight="1">
      <c r="A469" s="9">
        <v>13.0</v>
      </c>
      <c r="B469" s="10" t="s">
        <v>108</v>
      </c>
      <c r="C469" s="11" t="s">
        <v>109</v>
      </c>
      <c r="D469" s="10" t="s">
        <v>13</v>
      </c>
      <c r="E469" s="11" t="s">
        <v>32</v>
      </c>
      <c r="F469" s="13">
        <v>31.21</v>
      </c>
      <c r="G469" s="14">
        <v>45013.0</v>
      </c>
      <c r="H469" s="15">
        <f t="shared" si="1"/>
        <v>28</v>
      </c>
      <c r="I469" s="16">
        <f t="shared" si="2"/>
        <v>3</v>
      </c>
      <c r="J469" s="15">
        <f t="shared" si="3"/>
        <v>2023</v>
      </c>
      <c r="K469" s="16">
        <f>STANDARDIZE(F469,'estatística'!$C$2,'estatística'!$H$2)</f>
        <v>0.3787034692</v>
      </c>
    </row>
    <row r="470" ht="15.75" customHeight="1">
      <c r="A470" s="9">
        <v>59.0</v>
      </c>
      <c r="B470" s="10" t="s">
        <v>71</v>
      </c>
      <c r="C470" s="11" t="s">
        <v>72</v>
      </c>
      <c r="D470" s="10" t="s">
        <v>13</v>
      </c>
      <c r="E470" s="11" t="s">
        <v>80</v>
      </c>
      <c r="F470" s="13">
        <v>40.48</v>
      </c>
      <c r="G470" s="14">
        <v>45013.0</v>
      </c>
      <c r="H470" s="15">
        <f t="shared" si="1"/>
        <v>28</v>
      </c>
      <c r="I470" s="16">
        <f t="shared" si="2"/>
        <v>3</v>
      </c>
      <c r="J470" s="15">
        <f t="shared" si="3"/>
        <v>2023</v>
      </c>
      <c r="K470" s="16">
        <f>STANDARDIZE(F470,'estatística'!$C$2,'estatística'!$H$2)</f>
        <v>0.4960749557</v>
      </c>
    </row>
    <row r="471" ht="15.75" customHeight="1">
      <c r="A471" s="9">
        <v>83.0</v>
      </c>
      <c r="B471" s="10" t="s">
        <v>66</v>
      </c>
      <c r="C471" s="11" t="s">
        <v>67</v>
      </c>
      <c r="D471" s="10" t="s">
        <v>13</v>
      </c>
      <c r="E471" s="11" t="s">
        <v>107</v>
      </c>
      <c r="F471" s="13">
        <v>29.55</v>
      </c>
      <c r="G471" s="14">
        <v>45013.0</v>
      </c>
      <c r="H471" s="15">
        <f t="shared" si="1"/>
        <v>28</v>
      </c>
      <c r="I471" s="16">
        <f t="shared" si="2"/>
        <v>3</v>
      </c>
      <c r="J471" s="15">
        <f t="shared" si="3"/>
        <v>2023</v>
      </c>
      <c r="K471" s="16">
        <f>STANDARDIZE(F471,'estatística'!$C$2,'estatística'!$H$2)</f>
        <v>0.35768549</v>
      </c>
    </row>
    <row r="472" ht="15.75" customHeight="1">
      <c r="A472" s="9">
        <v>7.0</v>
      </c>
      <c r="B472" s="10" t="s">
        <v>83</v>
      </c>
      <c r="C472" s="11" t="s">
        <v>84</v>
      </c>
      <c r="D472" s="10" t="s">
        <v>13</v>
      </c>
      <c r="E472" s="11" t="s">
        <v>116</v>
      </c>
      <c r="F472" s="13">
        <v>3.86</v>
      </c>
      <c r="G472" s="14">
        <v>45013.0</v>
      </c>
      <c r="H472" s="15">
        <f t="shared" si="1"/>
        <v>28</v>
      </c>
      <c r="I472" s="16">
        <f t="shared" si="2"/>
        <v>3</v>
      </c>
      <c r="J472" s="15">
        <f t="shared" si="3"/>
        <v>2023</v>
      </c>
      <c r="K472" s="16">
        <f>STANDARDIZE(F472,'estatística'!$C$2,'estatística'!$H$2)</f>
        <v>0.03241326918</v>
      </c>
    </row>
    <row r="473" ht="15.75" customHeight="1">
      <c r="A473" s="9">
        <v>96.0</v>
      </c>
      <c r="B473" s="10" t="s">
        <v>135</v>
      </c>
      <c r="C473" s="11" t="s">
        <v>136</v>
      </c>
      <c r="D473" s="10" t="s">
        <v>13</v>
      </c>
      <c r="E473" s="11" t="s">
        <v>21</v>
      </c>
      <c r="F473" s="13">
        <v>18.07</v>
      </c>
      <c r="G473" s="14">
        <v>45013.0</v>
      </c>
      <c r="H473" s="15">
        <f t="shared" si="1"/>
        <v>28</v>
      </c>
      <c r="I473" s="16">
        <f t="shared" si="2"/>
        <v>3</v>
      </c>
      <c r="J473" s="15">
        <f t="shared" si="3"/>
        <v>2023</v>
      </c>
      <c r="K473" s="16">
        <f>STANDARDIZE(F473,'estatística'!$C$2,'estatística'!$H$2)</f>
        <v>0.212332236</v>
      </c>
    </row>
    <row r="474" ht="15.75" customHeight="1">
      <c r="A474" s="9">
        <v>12.0</v>
      </c>
      <c r="B474" s="10" t="s">
        <v>160</v>
      </c>
      <c r="C474" s="11" t="s">
        <v>161</v>
      </c>
      <c r="D474" s="10" t="s">
        <v>17</v>
      </c>
      <c r="E474" s="11" t="s">
        <v>32</v>
      </c>
      <c r="F474" s="13">
        <v>26.02</v>
      </c>
      <c r="G474" s="14">
        <v>45018.0</v>
      </c>
      <c r="H474" s="15">
        <f t="shared" si="1"/>
        <v>2</v>
      </c>
      <c r="I474" s="16">
        <f t="shared" si="2"/>
        <v>4</v>
      </c>
      <c r="J474" s="15">
        <f t="shared" si="3"/>
        <v>2023</v>
      </c>
      <c r="K474" s="16">
        <f>STANDARDIZE(F474,'estatística'!$C$2,'estatística'!$H$2)</f>
        <v>0.3129906305</v>
      </c>
    </row>
    <row r="475" ht="15.75" customHeight="1">
      <c r="A475" s="9">
        <v>26.0</v>
      </c>
      <c r="B475" s="10" t="s">
        <v>183</v>
      </c>
      <c r="C475" s="11" t="s">
        <v>184</v>
      </c>
      <c r="D475" s="10" t="s">
        <v>13</v>
      </c>
      <c r="E475" s="11" t="s">
        <v>29</v>
      </c>
      <c r="F475" s="13">
        <v>12.31</v>
      </c>
      <c r="G475" s="14">
        <v>45018.0</v>
      </c>
      <c r="H475" s="15">
        <f t="shared" si="1"/>
        <v>2</v>
      </c>
      <c r="I475" s="16">
        <f t="shared" si="2"/>
        <v>4</v>
      </c>
      <c r="J475" s="15">
        <f t="shared" si="3"/>
        <v>2023</v>
      </c>
      <c r="K475" s="16">
        <f>STANDARDIZE(F475,'estatística'!$C$2,'estatística'!$H$2)</f>
        <v>0.1394023803</v>
      </c>
    </row>
    <row r="476" ht="15.75" customHeight="1">
      <c r="A476" s="9">
        <v>13.0</v>
      </c>
      <c r="B476" s="10" t="s">
        <v>108</v>
      </c>
      <c r="C476" s="11" t="s">
        <v>109</v>
      </c>
      <c r="D476" s="10" t="s">
        <v>13</v>
      </c>
      <c r="E476" s="11" t="s">
        <v>18</v>
      </c>
      <c r="F476" s="13">
        <v>40.7</v>
      </c>
      <c r="G476" s="14">
        <v>45018.0</v>
      </c>
      <c r="H476" s="15">
        <f t="shared" si="1"/>
        <v>2</v>
      </c>
      <c r="I476" s="16">
        <f t="shared" si="2"/>
        <v>4</v>
      </c>
      <c r="J476" s="15">
        <f t="shared" si="3"/>
        <v>2023</v>
      </c>
      <c r="K476" s="16">
        <f>STANDARDIZE(F476,'estatística'!$C$2,'estatística'!$H$2)</f>
        <v>0.498860471</v>
      </c>
    </row>
    <row r="477" ht="15.75" customHeight="1">
      <c r="A477" s="9">
        <v>94.0</v>
      </c>
      <c r="B477" s="10" t="s">
        <v>179</v>
      </c>
      <c r="C477" s="11" t="s">
        <v>209</v>
      </c>
      <c r="D477" s="10" t="s">
        <v>17</v>
      </c>
      <c r="E477" s="11" t="s">
        <v>33</v>
      </c>
      <c r="F477" s="13">
        <v>61.78</v>
      </c>
      <c r="G477" s="14">
        <v>45018.0</v>
      </c>
      <c r="H477" s="15">
        <f t="shared" si="1"/>
        <v>2</v>
      </c>
      <c r="I477" s="16">
        <f t="shared" si="2"/>
        <v>4</v>
      </c>
      <c r="J477" s="15">
        <f t="shared" si="3"/>
        <v>2023</v>
      </c>
      <c r="K477" s="16">
        <f>STANDARDIZE(F477,'estatística'!$C$2,'estatística'!$H$2)</f>
        <v>0.7657634844</v>
      </c>
    </row>
    <row r="478" ht="15.75" customHeight="1">
      <c r="A478" s="9">
        <v>72.0</v>
      </c>
      <c r="B478" s="10" t="s">
        <v>103</v>
      </c>
      <c r="C478" s="11" t="s">
        <v>104</v>
      </c>
      <c r="D478" s="10" t="s">
        <v>17</v>
      </c>
      <c r="E478" s="11" t="s">
        <v>68</v>
      </c>
      <c r="F478" s="13">
        <v>12.97</v>
      </c>
      <c r="G478" s="14">
        <v>45018.0</v>
      </c>
      <c r="H478" s="15">
        <f t="shared" si="1"/>
        <v>2</v>
      </c>
      <c r="I478" s="16">
        <f t="shared" si="2"/>
        <v>4</v>
      </c>
      <c r="J478" s="15">
        <f t="shared" si="3"/>
        <v>2023</v>
      </c>
      <c r="K478" s="16">
        <f>STANDARDIZE(F478,'estatística'!$C$2,'estatística'!$H$2)</f>
        <v>0.1477589263</v>
      </c>
    </row>
    <row r="479" ht="15.75" customHeight="1">
      <c r="A479" s="9">
        <v>27.0</v>
      </c>
      <c r="B479" s="10" t="s">
        <v>145</v>
      </c>
      <c r="C479" s="11" t="s">
        <v>146</v>
      </c>
      <c r="D479" s="10" t="s">
        <v>13</v>
      </c>
      <c r="E479" s="11" t="s">
        <v>24</v>
      </c>
      <c r="F479" s="13">
        <v>21.44</v>
      </c>
      <c r="G479" s="14">
        <v>45018.0</v>
      </c>
      <c r="H479" s="15">
        <f t="shared" si="1"/>
        <v>2</v>
      </c>
      <c r="I479" s="16">
        <f t="shared" si="2"/>
        <v>4</v>
      </c>
      <c r="J479" s="15">
        <f t="shared" si="3"/>
        <v>2023</v>
      </c>
      <c r="K479" s="16">
        <f>STANDARDIZE(F479,'estatística'!$C$2,'estatística'!$H$2)</f>
        <v>0.2550012661</v>
      </c>
    </row>
    <row r="480" ht="15.75" customHeight="1">
      <c r="A480" s="9">
        <v>62.0</v>
      </c>
      <c r="B480" s="10" t="s">
        <v>128</v>
      </c>
      <c r="C480" s="11" t="s">
        <v>129</v>
      </c>
      <c r="D480" s="10" t="s">
        <v>13</v>
      </c>
      <c r="E480" s="11" t="s">
        <v>80</v>
      </c>
      <c r="F480" s="13">
        <v>35.34</v>
      </c>
      <c r="G480" s="14">
        <v>45018.0</v>
      </c>
      <c r="H480" s="15">
        <f t="shared" si="1"/>
        <v>2</v>
      </c>
      <c r="I480" s="16">
        <f t="shared" si="2"/>
        <v>4</v>
      </c>
      <c r="J480" s="15">
        <f t="shared" si="3"/>
        <v>2023</v>
      </c>
      <c r="K480" s="16">
        <f>STANDARDIZE(F480,'estatística'!$C$2,'estatística'!$H$2)</f>
        <v>0.4309951887</v>
      </c>
    </row>
    <row r="481" ht="15.75" customHeight="1">
      <c r="A481" s="9">
        <v>7.0</v>
      </c>
      <c r="B481" s="10" t="s">
        <v>83</v>
      </c>
      <c r="C481" s="11" t="s">
        <v>84</v>
      </c>
      <c r="D481" s="10" t="s">
        <v>13</v>
      </c>
      <c r="E481" s="11" t="s">
        <v>65</v>
      </c>
      <c r="F481" s="13">
        <v>36.98</v>
      </c>
      <c r="G481" s="14">
        <v>45019.0</v>
      </c>
      <c r="H481" s="15">
        <f t="shared" si="1"/>
        <v>3</v>
      </c>
      <c r="I481" s="16">
        <f t="shared" si="2"/>
        <v>4</v>
      </c>
      <c r="J481" s="15">
        <f t="shared" si="3"/>
        <v>2023</v>
      </c>
      <c r="K481" s="16">
        <f>STANDARDIZE(F481,'estatística'!$C$2,'estatística'!$H$2)</f>
        <v>0.4517599392</v>
      </c>
    </row>
    <row r="482" ht="15.75" customHeight="1">
      <c r="A482" s="9">
        <v>14.0</v>
      </c>
      <c r="B482" s="10" t="s">
        <v>143</v>
      </c>
      <c r="C482" s="11" t="s">
        <v>144</v>
      </c>
      <c r="D482" s="10" t="s">
        <v>17</v>
      </c>
      <c r="E482" s="11" t="s">
        <v>18</v>
      </c>
      <c r="F482" s="13">
        <v>44.33</v>
      </c>
      <c r="G482" s="14">
        <v>45019.0</v>
      </c>
      <c r="H482" s="15">
        <f t="shared" si="1"/>
        <v>3</v>
      </c>
      <c r="I482" s="16">
        <f t="shared" si="2"/>
        <v>4</v>
      </c>
      <c r="J482" s="15">
        <f t="shared" si="3"/>
        <v>2023</v>
      </c>
      <c r="K482" s="16">
        <f>STANDARDIZE(F482,'estatística'!$C$2,'estatística'!$H$2)</f>
        <v>0.5448214738</v>
      </c>
    </row>
    <row r="483" ht="15.75" customHeight="1">
      <c r="A483" s="9">
        <v>78.0</v>
      </c>
      <c r="B483" s="10" t="s">
        <v>15</v>
      </c>
      <c r="C483" s="11" t="s">
        <v>16</v>
      </c>
      <c r="D483" s="10" t="s">
        <v>17</v>
      </c>
      <c r="E483" s="11" t="s">
        <v>18</v>
      </c>
      <c r="F483" s="13">
        <v>53.45</v>
      </c>
      <c r="G483" s="14">
        <v>45019.0</v>
      </c>
      <c r="H483" s="15">
        <f t="shared" si="1"/>
        <v>3</v>
      </c>
      <c r="I483" s="16">
        <f t="shared" si="2"/>
        <v>4</v>
      </c>
      <c r="J483" s="15">
        <f t="shared" si="3"/>
        <v>2023</v>
      </c>
      <c r="K483" s="16">
        <f>STANDARDIZE(F483,'estatística'!$C$2,'estatística'!$H$2)</f>
        <v>0.6602937453</v>
      </c>
    </row>
    <row r="484" ht="15.75" customHeight="1">
      <c r="A484" s="9">
        <v>60.0</v>
      </c>
      <c r="B484" s="10" t="s">
        <v>42</v>
      </c>
      <c r="C484" s="11" t="s">
        <v>43</v>
      </c>
      <c r="D484" s="10" t="s">
        <v>17</v>
      </c>
      <c r="E484" s="11" t="s">
        <v>57</v>
      </c>
      <c r="F484" s="13">
        <v>23.22</v>
      </c>
      <c r="G484" s="14">
        <v>45019.0</v>
      </c>
      <c r="H484" s="15">
        <f t="shared" si="1"/>
        <v>3</v>
      </c>
      <c r="I484" s="16">
        <f t="shared" si="2"/>
        <v>4</v>
      </c>
      <c r="J484" s="15">
        <f t="shared" si="3"/>
        <v>2023</v>
      </c>
      <c r="K484" s="16">
        <f>STANDARDIZE(F484,'estatística'!$C$2,'estatística'!$H$2)</f>
        <v>0.2775386174</v>
      </c>
    </row>
    <row r="485" ht="15.75" customHeight="1">
      <c r="A485" s="9">
        <v>12.0</v>
      </c>
      <c r="B485" s="10" t="s">
        <v>160</v>
      </c>
      <c r="C485" s="11" t="s">
        <v>161</v>
      </c>
      <c r="D485" s="10" t="s">
        <v>13</v>
      </c>
      <c r="E485" s="11" t="s">
        <v>33</v>
      </c>
      <c r="F485" s="13">
        <v>60.36</v>
      </c>
      <c r="G485" s="14">
        <v>45019.0</v>
      </c>
      <c r="H485" s="15">
        <f t="shared" si="1"/>
        <v>3</v>
      </c>
      <c r="I485" s="16">
        <f t="shared" si="2"/>
        <v>4</v>
      </c>
      <c r="J485" s="15">
        <f t="shared" si="3"/>
        <v>2023</v>
      </c>
      <c r="K485" s="16">
        <f>STANDARDIZE(F485,'estatística'!$C$2,'estatística'!$H$2)</f>
        <v>0.7477842492</v>
      </c>
    </row>
    <row r="486" ht="15.75" customHeight="1">
      <c r="A486" s="9">
        <v>92.0</v>
      </c>
      <c r="B486" s="10" t="s">
        <v>81</v>
      </c>
      <c r="C486" s="11" t="s">
        <v>169</v>
      </c>
      <c r="D486" s="10" t="s">
        <v>17</v>
      </c>
      <c r="E486" s="11" t="s">
        <v>91</v>
      </c>
      <c r="F486" s="13">
        <v>1.76</v>
      </c>
      <c r="G486" s="14">
        <v>45020.0</v>
      </c>
      <c r="H486" s="15">
        <f t="shared" si="1"/>
        <v>4</v>
      </c>
      <c r="I486" s="16">
        <f t="shared" si="2"/>
        <v>4</v>
      </c>
      <c r="J486" s="15">
        <f t="shared" si="3"/>
        <v>2023</v>
      </c>
      <c r="K486" s="16">
        <f>STANDARDIZE(F486,'estatística'!$C$2,'estatística'!$H$2)</f>
        <v>0.005824259306</v>
      </c>
    </row>
    <row r="487" ht="15.75" customHeight="1">
      <c r="A487" s="9">
        <v>95.0</v>
      </c>
      <c r="B487" s="10" t="s">
        <v>78</v>
      </c>
      <c r="C487" s="11" t="s">
        <v>79</v>
      </c>
      <c r="D487" s="10" t="s">
        <v>17</v>
      </c>
      <c r="E487" s="11" t="s">
        <v>116</v>
      </c>
      <c r="F487" s="13">
        <v>5.32</v>
      </c>
      <c r="G487" s="14">
        <v>45020.0</v>
      </c>
      <c r="H487" s="15">
        <f t="shared" si="1"/>
        <v>4</v>
      </c>
      <c r="I487" s="16">
        <f t="shared" si="2"/>
        <v>4</v>
      </c>
      <c r="J487" s="15">
        <f t="shared" si="3"/>
        <v>2023</v>
      </c>
      <c r="K487" s="16">
        <f>STANDARDIZE(F487,'estatística'!$C$2,'estatística'!$H$2)</f>
        <v>0.05089896176</v>
      </c>
    </row>
    <row r="488" ht="15.75" customHeight="1">
      <c r="A488" s="9">
        <v>13.0</v>
      </c>
      <c r="B488" s="10" t="s">
        <v>108</v>
      </c>
      <c r="C488" s="11" t="s">
        <v>109</v>
      </c>
      <c r="D488" s="10" t="s">
        <v>13</v>
      </c>
      <c r="E488" s="11" t="s">
        <v>18</v>
      </c>
      <c r="F488" s="13">
        <v>48.33</v>
      </c>
      <c r="G488" s="14">
        <v>45020.0</v>
      </c>
      <c r="H488" s="15">
        <f t="shared" si="1"/>
        <v>4</v>
      </c>
      <c r="I488" s="16">
        <f t="shared" si="2"/>
        <v>4</v>
      </c>
      <c r="J488" s="15">
        <f t="shared" si="3"/>
        <v>2023</v>
      </c>
      <c r="K488" s="16">
        <f>STANDARDIZE(F488,'estatística'!$C$2,'estatística'!$H$2)</f>
        <v>0.5954672069</v>
      </c>
    </row>
    <row r="489" ht="15.75" customHeight="1">
      <c r="A489" s="9">
        <v>75.0</v>
      </c>
      <c r="B489" s="10" t="s">
        <v>210</v>
      </c>
      <c r="C489" s="11" t="s">
        <v>211</v>
      </c>
      <c r="D489" s="10" t="s">
        <v>17</v>
      </c>
      <c r="E489" s="11" t="s">
        <v>36</v>
      </c>
      <c r="F489" s="13">
        <v>72.29</v>
      </c>
      <c r="G489" s="14">
        <v>45021.0</v>
      </c>
      <c r="H489" s="15">
        <f t="shared" si="1"/>
        <v>5</v>
      </c>
      <c r="I489" s="16">
        <f t="shared" si="2"/>
        <v>4</v>
      </c>
      <c r="J489" s="15">
        <f t="shared" si="3"/>
        <v>2023</v>
      </c>
      <c r="K489" s="16">
        <f>STANDARDIZE(F489,'estatística'!$C$2,'estatística'!$H$2)</f>
        <v>0.8988351481</v>
      </c>
    </row>
    <row r="490" ht="15.75" customHeight="1">
      <c r="A490" s="9">
        <v>25.0</v>
      </c>
      <c r="B490" s="10" t="s">
        <v>126</v>
      </c>
      <c r="C490" s="11" t="s">
        <v>127</v>
      </c>
      <c r="D490" s="10" t="s">
        <v>17</v>
      </c>
      <c r="E490" s="11" t="s">
        <v>107</v>
      </c>
      <c r="F490" s="13">
        <v>29.06</v>
      </c>
      <c r="G490" s="14">
        <v>45021.0</v>
      </c>
      <c r="H490" s="15">
        <f t="shared" si="1"/>
        <v>5</v>
      </c>
      <c r="I490" s="16">
        <f t="shared" si="2"/>
        <v>4</v>
      </c>
      <c r="J490" s="15">
        <f t="shared" si="3"/>
        <v>2023</v>
      </c>
      <c r="K490" s="16">
        <f>STANDARDIZE(F490,'estatística'!$C$2,'estatística'!$H$2)</f>
        <v>0.3514813877</v>
      </c>
    </row>
    <row r="491" ht="15.75" customHeight="1">
      <c r="A491" s="9">
        <v>25.0</v>
      </c>
      <c r="B491" s="10" t="s">
        <v>126</v>
      </c>
      <c r="C491" s="11" t="s">
        <v>127</v>
      </c>
      <c r="D491" s="10" t="s">
        <v>17</v>
      </c>
      <c r="E491" s="11" t="s">
        <v>77</v>
      </c>
      <c r="F491" s="13">
        <v>13.74</v>
      </c>
      <c r="G491" s="14">
        <v>45021.0</v>
      </c>
      <c r="H491" s="15">
        <f t="shared" si="1"/>
        <v>5</v>
      </c>
      <c r="I491" s="16">
        <f t="shared" si="2"/>
        <v>4</v>
      </c>
      <c r="J491" s="15">
        <f t="shared" si="3"/>
        <v>2023</v>
      </c>
      <c r="K491" s="16">
        <f>STANDARDIZE(F491,'estatística'!$C$2,'estatística'!$H$2)</f>
        <v>0.1575082299</v>
      </c>
    </row>
    <row r="492" ht="15.75" customHeight="1">
      <c r="A492" s="9">
        <v>52.0</v>
      </c>
      <c r="B492" s="10" t="s">
        <v>153</v>
      </c>
      <c r="C492" s="11" t="s">
        <v>154</v>
      </c>
      <c r="D492" s="10" t="s">
        <v>17</v>
      </c>
      <c r="E492" s="11" t="s">
        <v>18</v>
      </c>
      <c r="F492" s="13">
        <v>47.76</v>
      </c>
      <c r="G492" s="14">
        <v>45021.0</v>
      </c>
      <c r="H492" s="15">
        <f t="shared" si="1"/>
        <v>5</v>
      </c>
      <c r="I492" s="16">
        <f t="shared" si="2"/>
        <v>4</v>
      </c>
      <c r="J492" s="15">
        <f t="shared" si="3"/>
        <v>2023</v>
      </c>
      <c r="K492" s="16">
        <f>STANDARDIZE(F492,'estatística'!$C$2,'estatística'!$H$2)</f>
        <v>0.5882501899</v>
      </c>
    </row>
    <row r="493" ht="15.75" customHeight="1">
      <c r="A493" s="9">
        <v>25.0</v>
      </c>
      <c r="B493" s="10" t="s">
        <v>126</v>
      </c>
      <c r="C493" s="11" t="s">
        <v>127</v>
      </c>
      <c r="D493" s="10" t="s">
        <v>13</v>
      </c>
      <c r="E493" s="11" t="s">
        <v>107</v>
      </c>
      <c r="F493" s="13">
        <v>29.3</v>
      </c>
      <c r="G493" s="14">
        <v>45022.0</v>
      </c>
      <c r="H493" s="15">
        <f t="shared" si="1"/>
        <v>6</v>
      </c>
      <c r="I493" s="16">
        <f t="shared" si="2"/>
        <v>4</v>
      </c>
      <c r="J493" s="15">
        <f t="shared" si="3"/>
        <v>2023</v>
      </c>
      <c r="K493" s="16">
        <f>STANDARDIZE(F493,'estatística'!$C$2,'estatística'!$H$2)</f>
        <v>0.3545201317</v>
      </c>
    </row>
    <row r="494" ht="15.75" customHeight="1">
      <c r="A494" s="9">
        <v>13.0</v>
      </c>
      <c r="B494" s="10" t="s">
        <v>108</v>
      </c>
      <c r="C494" s="11" t="s">
        <v>109</v>
      </c>
      <c r="D494" s="10" t="s">
        <v>13</v>
      </c>
      <c r="E494" s="11" t="s">
        <v>24</v>
      </c>
      <c r="F494" s="13">
        <v>40.02</v>
      </c>
      <c r="G494" s="14">
        <v>45022.0</v>
      </c>
      <c r="H494" s="15">
        <f t="shared" si="1"/>
        <v>6</v>
      </c>
      <c r="I494" s="16">
        <f t="shared" si="2"/>
        <v>4</v>
      </c>
      <c r="J494" s="15">
        <f t="shared" si="3"/>
        <v>2023</v>
      </c>
      <c r="K494" s="16">
        <f>STANDARDIZE(F494,'estatística'!$C$2,'estatística'!$H$2)</f>
        <v>0.4902506964</v>
      </c>
    </row>
    <row r="495" ht="15.75" customHeight="1">
      <c r="A495" s="9">
        <v>100.0</v>
      </c>
      <c r="B495" s="10" t="s">
        <v>30</v>
      </c>
      <c r="C495" s="11" t="s">
        <v>31</v>
      </c>
      <c r="D495" s="10" t="s">
        <v>17</v>
      </c>
      <c r="E495" s="11" t="s">
        <v>77</v>
      </c>
      <c r="F495" s="13">
        <v>14.72</v>
      </c>
      <c r="G495" s="14">
        <v>45022.0</v>
      </c>
      <c r="H495" s="15">
        <f t="shared" si="1"/>
        <v>6</v>
      </c>
      <c r="I495" s="16">
        <f t="shared" si="2"/>
        <v>4</v>
      </c>
      <c r="J495" s="15">
        <f t="shared" si="3"/>
        <v>2023</v>
      </c>
      <c r="K495" s="16">
        <f>STANDARDIZE(F495,'estatística'!$C$2,'estatística'!$H$2)</f>
        <v>0.1699164345</v>
      </c>
    </row>
    <row r="496" ht="15.75" customHeight="1">
      <c r="A496" s="9">
        <v>73.0</v>
      </c>
      <c r="B496" s="10" t="s">
        <v>195</v>
      </c>
      <c r="C496" s="11" t="s">
        <v>196</v>
      </c>
      <c r="D496" s="10" t="s">
        <v>13</v>
      </c>
      <c r="E496" s="11" t="s">
        <v>14</v>
      </c>
      <c r="F496" s="13">
        <v>10.71</v>
      </c>
      <c r="G496" s="14">
        <v>45022.0</v>
      </c>
      <c r="H496" s="15">
        <f t="shared" si="1"/>
        <v>6</v>
      </c>
      <c r="I496" s="16">
        <f t="shared" si="2"/>
        <v>4</v>
      </c>
      <c r="J496" s="15">
        <f t="shared" si="3"/>
        <v>2023</v>
      </c>
      <c r="K496" s="16">
        <f>STANDARDIZE(F496,'estatística'!$C$2,'estatística'!$H$2)</f>
        <v>0.1191440871</v>
      </c>
    </row>
    <row r="497" ht="15.75" customHeight="1">
      <c r="A497" s="9">
        <v>28.0</v>
      </c>
      <c r="B497" s="10" t="s">
        <v>49</v>
      </c>
      <c r="C497" s="11" t="s">
        <v>50</v>
      </c>
      <c r="D497" s="10" t="s">
        <v>17</v>
      </c>
      <c r="E497" s="11" t="s">
        <v>107</v>
      </c>
      <c r="F497" s="13">
        <v>27.47</v>
      </c>
      <c r="G497" s="14">
        <v>45022.0</v>
      </c>
      <c r="H497" s="15">
        <f t="shared" si="1"/>
        <v>6</v>
      </c>
      <c r="I497" s="16">
        <f t="shared" si="2"/>
        <v>4</v>
      </c>
      <c r="J497" s="15">
        <f t="shared" si="3"/>
        <v>2023</v>
      </c>
      <c r="K497" s="16">
        <f>STANDARDIZE(F497,'estatística'!$C$2,'estatística'!$H$2)</f>
        <v>0.3313497088</v>
      </c>
    </row>
    <row r="498" ht="15.75" customHeight="1">
      <c r="A498" s="9">
        <v>26.0</v>
      </c>
      <c r="B498" s="10" t="s">
        <v>183</v>
      </c>
      <c r="C498" s="11" t="s">
        <v>184</v>
      </c>
      <c r="D498" s="10" t="s">
        <v>13</v>
      </c>
      <c r="E498" s="11" t="s">
        <v>36</v>
      </c>
      <c r="F498" s="13">
        <v>69.47</v>
      </c>
      <c r="G498" s="14">
        <v>45023.0</v>
      </c>
      <c r="H498" s="15">
        <f t="shared" si="1"/>
        <v>7</v>
      </c>
      <c r="I498" s="16">
        <f t="shared" si="2"/>
        <v>4</v>
      </c>
      <c r="J498" s="15">
        <f t="shared" si="3"/>
        <v>2023</v>
      </c>
      <c r="K498" s="16">
        <f>STANDARDIZE(F498,'estatística'!$C$2,'estatística'!$H$2)</f>
        <v>0.8631299063</v>
      </c>
    </row>
    <row r="499" ht="15.75" customHeight="1">
      <c r="A499" s="9">
        <v>63.0</v>
      </c>
      <c r="B499" s="10" t="s">
        <v>197</v>
      </c>
      <c r="C499" s="11" t="s">
        <v>198</v>
      </c>
      <c r="D499" s="10" t="s">
        <v>13</v>
      </c>
      <c r="E499" s="11" t="s">
        <v>29</v>
      </c>
      <c r="F499" s="13">
        <v>12.61</v>
      </c>
      <c r="G499" s="14">
        <v>45023.0</v>
      </c>
      <c r="H499" s="15">
        <f t="shared" si="1"/>
        <v>7</v>
      </c>
      <c r="I499" s="16">
        <f t="shared" si="2"/>
        <v>4</v>
      </c>
      <c r="J499" s="15">
        <f t="shared" si="3"/>
        <v>2023</v>
      </c>
      <c r="K499" s="16">
        <f>STANDARDIZE(F499,'estatística'!$C$2,'estatística'!$H$2)</f>
        <v>0.1432008103</v>
      </c>
    </row>
    <row r="500" ht="15.75" customHeight="1">
      <c r="A500" s="9">
        <v>24.0</v>
      </c>
      <c r="B500" s="10" t="s">
        <v>110</v>
      </c>
      <c r="C500" s="11" t="s">
        <v>111</v>
      </c>
      <c r="D500" s="10" t="s">
        <v>13</v>
      </c>
      <c r="E500" s="11" t="s">
        <v>62</v>
      </c>
      <c r="F500" s="13">
        <v>11.54</v>
      </c>
      <c r="G500" s="14">
        <v>45023.0</v>
      </c>
      <c r="H500" s="15">
        <f t="shared" si="1"/>
        <v>7</v>
      </c>
      <c r="I500" s="16">
        <f t="shared" si="2"/>
        <v>4</v>
      </c>
      <c r="J500" s="15">
        <f t="shared" si="3"/>
        <v>2023</v>
      </c>
      <c r="K500" s="16">
        <f>STANDARDIZE(F500,'estatística'!$C$2,'estatística'!$H$2)</f>
        <v>0.1296530767</v>
      </c>
    </row>
    <row r="501" ht="15.75" customHeight="1">
      <c r="A501" s="9">
        <v>37.0</v>
      </c>
      <c r="B501" s="10" t="s">
        <v>217</v>
      </c>
      <c r="C501" s="11" t="s">
        <v>218</v>
      </c>
      <c r="D501" s="10" t="s">
        <v>17</v>
      </c>
      <c r="E501" s="11" t="s">
        <v>29</v>
      </c>
      <c r="F501" s="13">
        <v>13.33</v>
      </c>
      <c r="G501" s="14">
        <v>45023.0</v>
      </c>
      <c r="H501" s="15">
        <f t="shared" si="1"/>
        <v>7</v>
      </c>
      <c r="I501" s="16">
        <f t="shared" si="2"/>
        <v>4</v>
      </c>
      <c r="J501" s="15">
        <f t="shared" si="3"/>
        <v>2023</v>
      </c>
      <c r="K501" s="16">
        <f>STANDARDIZE(F501,'estatística'!$C$2,'estatística'!$H$2)</f>
        <v>0.1523170423</v>
      </c>
    </row>
    <row r="502" ht="15.75" customHeight="1">
      <c r="A502" s="9">
        <v>46.0</v>
      </c>
      <c r="B502" s="10" t="s">
        <v>114</v>
      </c>
      <c r="C502" s="11" t="s">
        <v>115</v>
      </c>
      <c r="D502" s="10" t="s">
        <v>13</v>
      </c>
      <c r="E502" s="11" t="s">
        <v>48</v>
      </c>
      <c r="F502" s="13">
        <v>17.54</v>
      </c>
      <c r="G502" s="14">
        <v>45023.0</v>
      </c>
      <c r="H502" s="15">
        <f t="shared" si="1"/>
        <v>7</v>
      </c>
      <c r="I502" s="16">
        <f t="shared" si="2"/>
        <v>4</v>
      </c>
      <c r="J502" s="15">
        <f t="shared" si="3"/>
        <v>2023</v>
      </c>
      <c r="K502" s="16">
        <f>STANDARDIZE(F502,'estatística'!$C$2,'estatística'!$H$2)</f>
        <v>0.2056216764</v>
      </c>
    </row>
    <row r="503" ht="15.75" customHeight="1">
      <c r="A503" s="9">
        <v>91.0</v>
      </c>
      <c r="B503" s="10" t="s">
        <v>81</v>
      </c>
      <c r="C503" s="11" t="s">
        <v>82</v>
      </c>
      <c r="D503" s="10" t="s">
        <v>17</v>
      </c>
      <c r="E503" s="11" t="s">
        <v>21</v>
      </c>
      <c r="F503" s="13">
        <v>14.63</v>
      </c>
      <c r="G503" s="14">
        <v>45023.0</v>
      </c>
      <c r="H503" s="15">
        <f t="shared" si="1"/>
        <v>7</v>
      </c>
      <c r="I503" s="16">
        <f t="shared" si="2"/>
        <v>4</v>
      </c>
      <c r="J503" s="15">
        <f t="shared" si="3"/>
        <v>2023</v>
      </c>
      <c r="K503" s="16">
        <f>STANDARDIZE(F503,'estatística'!$C$2,'estatística'!$H$2)</f>
        <v>0.1687769055</v>
      </c>
    </row>
    <row r="504" ht="15.75" customHeight="1">
      <c r="A504" s="9">
        <v>27.0</v>
      </c>
      <c r="B504" s="10" t="s">
        <v>145</v>
      </c>
      <c r="C504" s="11" t="s">
        <v>146</v>
      </c>
      <c r="D504" s="10" t="s">
        <v>13</v>
      </c>
      <c r="E504" s="11" t="s">
        <v>68</v>
      </c>
      <c r="F504" s="13">
        <v>11.56</v>
      </c>
      <c r="G504" s="14">
        <v>45023.0</v>
      </c>
      <c r="H504" s="15">
        <f t="shared" si="1"/>
        <v>7</v>
      </c>
      <c r="I504" s="16">
        <f t="shared" si="2"/>
        <v>4</v>
      </c>
      <c r="J504" s="15">
        <f t="shared" si="3"/>
        <v>2023</v>
      </c>
      <c r="K504" s="16">
        <f>STANDARDIZE(F504,'estatística'!$C$2,'estatística'!$H$2)</f>
        <v>0.1299063054</v>
      </c>
    </row>
    <row r="505" ht="15.75" customHeight="1">
      <c r="A505" s="9">
        <v>6.0</v>
      </c>
      <c r="B505" s="10" t="s">
        <v>155</v>
      </c>
      <c r="C505" s="11" t="s">
        <v>156</v>
      </c>
      <c r="D505" s="10" t="s">
        <v>17</v>
      </c>
      <c r="E505" s="11" t="s">
        <v>39</v>
      </c>
      <c r="F505" s="13">
        <v>56.69</v>
      </c>
      <c r="G505" s="14">
        <v>45023.0</v>
      </c>
      <c r="H505" s="15">
        <f t="shared" si="1"/>
        <v>7</v>
      </c>
      <c r="I505" s="16">
        <f t="shared" si="2"/>
        <v>4</v>
      </c>
      <c r="J505" s="15">
        <f t="shared" si="3"/>
        <v>2023</v>
      </c>
      <c r="K505" s="16">
        <f>STANDARDIZE(F505,'estatística'!$C$2,'estatística'!$H$2)</f>
        <v>0.7013167891</v>
      </c>
    </row>
    <row r="506" ht="15.75" customHeight="1">
      <c r="A506" s="9">
        <v>67.0</v>
      </c>
      <c r="B506" s="10" t="s">
        <v>176</v>
      </c>
      <c r="C506" s="11" t="s">
        <v>177</v>
      </c>
      <c r="D506" s="10" t="s">
        <v>17</v>
      </c>
      <c r="E506" s="11" t="s">
        <v>24</v>
      </c>
      <c r="F506" s="13">
        <v>27.29</v>
      </c>
      <c r="G506" s="14">
        <v>45023.0</v>
      </c>
      <c r="H506" s="15">
        <f t="shared" si="1"/>
        <v>7</v>
      </c>
      <c r="I506" s="16">
        <f t="shared" si="2"/>
        <v>4</v>
      </c>
      <c r="J506" s="15">
        <f t="shared" si="3"/>
        <v>2023</v>
      </c>
      <c r="K506" s="16">
        <f>STANDARDIZE(F506,'estatística'!$C$2,'estatística'!$H$2)</f>
        <v>0.3290706508</v>
      </c>
    </row>
    <row r="507" ht="15.75" customHeight="1">
      <c r="A507" s="9">
        <v>49.0</v>
      </c>
      <c r="B507" s="10" t="s">
        <v>151</v>
      </c>
      <c r="C507" s="11" t="s">
        <v>152</v>
      </c>
      <c r="D507" s="10" t="s">
        <v>13</v>
      </c>
      <c r="E507" s="11" t="s">
        <v>80</v>
      </c>
      <c r="F507" s="13">
        <v>33.94</v>
      </c>
      <c r="G507" s="14">
        <v>45024.0</v>
      </c>
      <c r="H507" s="15">
        <f t="shared" si="1"/>
        <v>8</v>
      </c>
      <c r="I507" s="16">
        <f t="shared" si="2"/>
        <v>4</v>
      </c>
      <c r="J507" s="15">
        <f t="shared" si="3"/>
        <v>2023</v>
      </c>
      <c r="K507" s="16">
        <f>STANDARDIZE(F507,'estatística'!$C$2,'estatística'!$H$2)</f>
        <v>0.4132691821</v>
      </c>
    </row>
    <row r="508" ht="15.75" customHeight="1">
      <c r="A508" s="9">
        <v>92.0</v>
      </c>
      <c r="B508" s="10" t="s">
        <v>81</v>
      </c>
      <c r="C508" s="11" t="s">
        <v>169</v>
      </c>
      <c r="D508" s="10" t="s">
        <v>17</v>
      </c>
      <c r="E508" s="11" t="s">
        <v>36</v>
      </c>
      <c r="F508" s="13">
        <v>61.07</v>
      </c>
      <c r="G508" s="14">
        <v>45024.0</v>
      </c>
      <c r="H508" s="15">
        <f t="shared" si="1"/>
        <v>8</v>
      </c>
      <c r="I508" s="16">
        <f t="shared" si="2"/>
        <v>4</v>
      </c>
      <c r="J508" s="15">
        <f t="shared" si="3"/>
        <v>2023</v>
      </c>
      <c r="K508" s="16">
        <f>STANDARDIZE(F508,'estatística'!$C$2,'estatística'!$H$2)</f>
        <v>0.7567738668</v>
      </c>
    </row>
    <row r="509" ht="15.75" customHeight="1">
      <c r="A509" s="9">
        <v>82.0</v>
      </c>
      <c r="B509" s="10" t="s">
        <v>203</v>
      </c>
      <c r="C509" s="11" t="s">
        <v>204</v>
      </c>
      <c r="D509" s="10" t="s">
        <v>17</v>
      </c>
      <c r="E509" s="11" t="s">
        <v>107</v>
      </c>
      <c r="F509" s="13">
        <v>26.42</v>
      </c>
      <c r="G509" s="14">
        <v>45024.0</v>
      </c>
      <c r="H509" s="15">
        <f t="shared" si="1"/>
        <v>8</v>
      </c>
      <c r="I509" s="16">
        <f t="shared" si="2"/>
        <v>4</v>
      </c>
      <c r="J509" s="15">
        <f t="shared" si="3"/>
        <v>2023</v>
      </c>
      <c r="K509" s="16">
        <f>STANDARDIZE(F509,'estatística'!$C$2,'estatística'!$H$2)</f>
        <v>0.3180552038</v>
      </c>
    </row>
    <row r="510" ht="15.75" customHeight="1">
      <c r="A510" s="9">
        <v>42.0</v>
      </c>
      <c r="B510" s="10" t="s">
        <v>60</v>
      </c>
      <c r="C510" s="11" t="s">
        <v>142</v>
      </c>
      <c r="D510" s="10" t="s">
        <v>13</v>
      </c>
      <c r="E510" s="11" t="s">
        <v>116</v>
      </c>
      <c r="F510" s="13">
        <v>5.31</v>
      </c>
      <c r="G510" s="14">
        <v>45024.0</v>
      </c>
      <c r="H510" s="15">
        <f t="shared" si="1"/>
        <v>8</v>
      </c>
      <c r="I510" s="16">
        <f t="shared" si="2"/>
        <v>4</v>
      </c>
      <c r="J510" s="15">
        <f t="shared" si="3"/>
        <v>2023</v>
      </c>
      <c r="K510" s="16">
        <f>STANDARDIZE(F510,'estatística'!$C$2,'estatística'!$H$2)</f>
        <v>0.05077234743</v>
      </c>
    </row>
    <row r="511" ht="15.75" customHeight="1">
      <c r="A511" s="9">
        <v>29.0</v>
      </c>
      <c r="B511" s="10" t="s">
        <v>92</v>
      </c>
      <c r="C511" s="11" t="s">
        <v>93</v>
      </c>
      <c r="D511" s="10" t="s">
        <v>17</v>
      </c>
      <c r="E511" s="11" t="s">
        <v>91</v>
      </c>
      <c r="F511" s="13">
        <v>1.49</v>
      </c>
      <c r="G511" s="14">
        <v>45024.0</v>
      </c>
      <c r="H511" s="15">
        <f t="shared" si="1"/>
        <v>8</v>
      </c>
      <c r="I511" s="16">
        <f t="shared" si="2"/>
        <v>4</v>
      </c>
      <c r="J511" s="15">
        <f t="shared" si="3"/>
        <v>2023</v>
      </c>
      <c r="K511" s="16">
        <f>STANDARDIZE(F511,'estatística'!$C$2,'estatística'!$H$2)</f>
        <v>0.002405672322</v>
      </c>
    </row>
    <row r="512" ht="15.75" customHeight="1">
      <c r="A512" s="9">
        <v>74.0</v>
      </c>
      <c r="B512" s="10" t="s">
        <v>11</v>
      </c>
      <c r="C512" s="11" t="s">
        <v>94</v>
      </c>
      <c r="D512" s="10" t="s">
        <v>17</v>
      </c>
      <c r="E512" s="11" t="s">
        <v>24</v>
      </c>
      <c r="F512" s="13">
        <v>34.95</v>
      </c>
      <c r="G512" s="14">
        <v>45024.0</v>
      </c>
      <c r="H512" s="15">
        <f t="shared" si="1"/>
        <v>8</v>
      </c>
      <c r="I512" s="16">
        <f t="shared" si="2"/>
        <v>4</v>
      </c>
      <c r="J512" s="15">
        <f t="shared" si="3"/>
        <v>2023</v>
      </c>
      <c r="K512" s="16">
        <f>STANDARDIZE(F512,'estatística'!$C$2,'estatística'!$H$2)</f>
        <v>0.4260572297</v>
      </c>
    </row>
    <row r="513" ht="15.75" customHeight="1">
      <c r="A513" s="9">
        <v>99.0</v>
      </c>
      <c r="B513" s="10" t="s">
        <v>46</v>
      </c>
      <c r="C513" s="11" t="s">
        <v>47</v>
      </c>
      <c r="D513" s="10" t="s">
        <v>13</v>
      </c>
      <c r="E513" s="11" t="s">
        <v>57</v>
      </c>
      <c r="F513" s="13">
        <v>23.66</v>
      </c>
      <c r="G513" s="14">
        <v>45024.0</v>
      </c>
      <c r="H513" s="15">
        <f t="shared" si="1"/>
        <v>8</v>
      </c>
      <c r="I513" s="16">
        <f t="shared" si="2"/>
        <v>4</v>
      </c>
      <c r="J513" s="15">
        <f t="shared" si="3"/>
        <v>2023</v>
      </c>
      <c r="K513" s="16">
        <f>STANDARDIZE(F513,'estatística'!$C$2,'estatística'!$H$2)</f>
        <v>0.283109648</v>
      </c>
    </row>
    <row r="514" ht="15.75" customHeight="1">
      <c r="A514" s="9">
        <v>34.0</v>
      </c>
      <c r="B514" s="10" t="s">
        <v>149</v>
      </c>
      <c r="C514" s="11" t="s">
        <v>150</v>
      </c>
      <c r="D514" s="10" t="s">
        <v>13</v>
      </c>
      <c r="E514" s="11" t="s">
        <v>48</v>
      </c>
      <c r="F514" s="13">
        <v>10.41</v>
      </c>
      <c r="G514" s="14">
        <v>45025.0</v>
      </c>
      <c r="H514" s="15">
        <f t="shared" si="1"/>
        <v>9</v>
      </c>
      <c r="I514" s="16">
        <f t="shared" si="2"/>
        <v>4</v>
      </c>
      <c r="J514" s="15">
        <f t="shared" si="3"/>
        <v>2023</v>
      </c>
      <c r="K514" s="16">
        <f>STANDARDIZE(F514,'estatística'!$C$2,'estatística'!$H$2)</f>
        <v>0.1153456571</v>
      </c>
    </row>
    <row r="515" ht="15.75" customHeight="1">
      <c r="A515" s="9">
        <v>97.0</v>
      </c>
      <c r="B515" s="10" t="s">
        <v>44</v>
      </c>
      <c r="C515" s="11" t="s">
        <v>45</v>
      </c>
      <c r="D515" s="10" t="s">
        <v>13</v>
      </c>
      <c r="E515" s="11" t="s">
        <v>48</v>
      </c>
      <c r="F515" s="13">
        <v>8.93</v>
      </c>
      <c r="G515" s="14">
        <v>45025.0</v>
      </c>
      <c r="H515" s="15">
        <f t="shared" si="1"/>
        <v>9</v>
      </c>
      <c r="I515" s="16">
        <f t="shared" si="2"/>
        <v>4</v>
      </c>
      <c r="J515" s="15">
        <f t="shared" si="3"/>
        <v>2023</v>
      </c>
      <c r="K515" s="16">
        <f>STANDARDIZE(F515,'estatística'!$C$2,'estatística'!$H$2)</f>
        <v>0.09660673588</v>
      </c>
    </row>
    <row r="516" ht="15.75" customHeight="1">
      <c r="A516" s="9">
        <v>55.0</v>
      </c>
      <c r="B516" s="10" t="s">
        <v>174</v>
      </c>
      <c r="C516" s="11" t="s">
        <v>175</v>
      </c>
      <c r="D516" s="10" t="s">
        <v>13</v>
      </c>
      <c r="E516" s="11" t="s">
        <v>57</v>
      </c>
      <c r="F516" s="13">
        <v>23.22</v>
      </c>
      <c r="G516" s="14">
        <v>45025.0</v>
      </c>
      <c r="H516" s="15">
        <f t="shared" si="1"/>
        <v>9</v>
      </c>
      <c r="I516" s="16">
        <f t="shared" si="2"/>
        <v>4</v>
      </c>
      <c r="J516" s="15">
        <f t="shared" si="3"/>
        <v>2023</v>
      </c>
      <c r="K516" s="16">
        <f>STANDARDIZE(F516,'estatística'!$C$2,'estatística'!$H$2)</f>
        <v>0.2775386174</v>
      </c>
    </row>
    <row r="517" ht="15.75" customHeight="1">
      <c r="A517" s="9">
        <v>63.0</v>
      </c>
      <c r="B517" s="10" t="s">
        <v>197</v>
      </c>
      <c r="C517" s="11" t="s">
        <v>198</v>
      </c>
      <c r="D517" s="10" t="s">
        <v>13</v>
      </c>
      <c r="E517" s="11" t="s">
        <v>29</v>
      </c>
      <c r="F517" s="13">
        <v>13.47</v>
      </c>
      <c r="G517" s="14">
        <v>45025.0</v>
      </c>
      <c r="H517" s="15">
        <f t="shared" si="1"/>
        <v>9</v>
      </c>
      <c r="I517" s="16">
        <f t="shared" si="2"/>
        <v>4</v>
      </c>
      <c r="J517" s="15">
        <f t="shared" si="3"/>
        <v>2023</v>
      </c>
      <c r="K517" s="16">
        <f>STANDARDIZE(F517,'estatística'!$C$2,'estatística'!$H$2)</f>
        <v>0.1540896429</v>
      </c>
    </row>
    <row r="518" ht="15.75" customHeight="1">
      <c r="A518" s="9">
        <v>23.0</v>
      </c>
      <c r="B518" s="10" t="s">
        <v>207</v>
      </c>
      <c r="C518" s="11" t="s">
        <v>208</v>
      </c>
      <c r="D518" s="10" t="s">
        <v>13</v>
      </c>
      <c r="E518" s="11" t="s">
        <v>62</v>
      </c>
      <c r="F518" s="13">
        <v>11.52</v>
      </c>
      <c r="G518" s="14">
        <v>45026.0</v>
      </c>
      <c r="H518" s="15">
        <f t="shared" si="1"/>
        <v>10</v>
      </c>
      <c r="I518" s="16">
        <f t="shared" si="2"/>
        <v>4</v>
      </c>
      <c r="J518" s="15">
        <f t="shared" si="3"/>
        <v>2023</v>
      </c>
      <c r="K518" s="16">
        <f>STANDARDIZE(F518,'estatística'!$C$2,'estatística'!$H$2)</f>
        <v>0.1293998481</v>
      </c>
    </row>
    <row r="519" ht="15.75" customHeight="1">
      <c r="A519" s="9">
        <v>89.0</v>
      </c>
      <c r="B519" s="10" t="s">
        <v>105</v>
      </c>
      <c r="C519" s="11" t="s">
        <v>106</v>
      </c>
      <c r="D519" s="10" t="s">
        <v>13</v>
      </c>
      <c r="E519" s="11" t="s">
        <v>116</v>
      </c>
      <c r="F519" s="13">
        <v>4.62</v>
      </c>
      <c r="G519" s="14">
        <v>45026.0</v>
      </c>
      <c r="H519" s="15">
        <f t="shared" si="1"/>
        <v>10</v>
      </c>
      <c r="I519" s="16">
        <f t="shared" si="2"/>
        <v>4</v>
      </c>
      <c r="J519" s="15">
        <f t="shared" si="3"/>
        <v>2023</v>
      </c>
      <c r="K519" s="16">
        <f>STANDARDIZE(F519,'estatística'!$C$2,'estatística'!$H$2)</f>
        <v>0.04203595847</v>
      </c>
    </row>
    <row r="520" ht="15.75" customHeight="1">
      <c r="A520" s="9">
        <v>69.0</v>
      </c>
      <c r="B520" s="10" t="s">
        <v>75</v>
      </c>
      <c r="C520" s="11" t="s">
        <v>117</v>
      </c>
      <c r="D520" s="10" t="s">
        <v>13</v>
      </c>
      <c r="E520" s="11" t="s">
        <v>57</v>
      </c>
      <c r="F520" s="13">
        <v>14.49</v>
      </c>
      <c r="G520" s="14">
        <v>45026.0</v>
      </c>
      <c r="H520" s="15">
        <f t="shared" si="1"/>
        <v>10</v>
      </c>
      <c r="I520" s="16">
        <f t="shared" si="2"/>
        <v>4</v>
      </c>
      <c r="J520" s="15">
        <f t="shared" si="3"/>
        <v>2023</v>
      </c>
      <c r="K520" s="16">
        <f>STANDARDIZE(F520,'estatística'!$C$2,'estatística'!$H$2)</f>
        <v>0.1670043049</v>
      </c>
    </row>
    <row r="521" ht="15.75" customHeight="1">
      <c r="A521" s="9">
        <v>12.0</v>
      </c>
      <c r="B521" s="10" t="s">
        <v>160</v>
      </c>
      <c r="C521" s="11" t="s">
        <v>161</v>
      </c>
      <c r="D521" s="10" t="s">
        <v>13</v>
      </c>
      <c r="E521" s="11" t="s">
        <v>32</v>
      </c>
      <c r="F521" s="13">
        <v>22.64</v>
      </c>
      <c r="G521" s="14">
        <v>45026.0</v>
      </c>
      <c r="H521" s="15">
        <f t="shared" si="1"/>
        <v>10</v>
      </c>
      <c r="I521" s="16">
        <f t="shared" si="2"/>
        <v>4</v>
      </c>
      <c r="J521" s="15">
        <f t="shared" si="3"/>
        <v>2023</v>
      </c>
      <c r="K521" s="16">
        <f>STANDARDIZE(F521,'estatística'!$C$2,'estatística'!$H$2)</f>
        <v>0.2701949861</v>
      </c>
    </row>
    <row r="522" ht="15.75" customHeight="1">
      <c r="A522" s="9">
        <v>94.0</v>
      </c>
      <c r="B522" s="10" t="s">
        <v>179</v>
      </c>
      <c r="C522" s="11" t="s">
        <v>209</v>
      </c>
      <c r="D522" s="10" t="s">
        <v>17</v>
      </c>
      <c r="E522" s="11" t="s">
        <v>91</v>
      </c>
      <c r="F522" s="13">
        <v>1.79</v>
      </c>
      <c r="G522" s="14">
        <v>45026.0</v>
      </c>
      <c r="H522" s="15">
        <f t="shared" si="1"/>
        <v>10</v>
      </c>
      <c r="I522" s="16">
        <f t="shared" si="2"/>
        <v>4</v>
      </c>
      <c r="J522" s="15">
        <f t="shared" si="3"/>
        <v>2023</v>
      </c>
      <c r="K522" s="16">
        <f>STANDARDIZE(F522,'estatística'!$C$2,'estatística'!$H$2)</f>
        <v>0.006204102304</v>
      </c>
    </row>
    <row r="523" ht="15.75" customHeight="1">
      <c r="A523" s="9">
        <v>28.0</v>
      </c>
      <c r="B523" s="10" t="s">
        <v>49</v>
      </c>
      <c r="C523" s="11" t="s">
        <v>50</v>
      </c>
      <c r="D523" s="10" t="s">
        <v>17</v>
      </c>
      <c r="E523" s="11" t="s">
        <v>32</v>
      </c>
      <c r="F523" s="13">
        <v>33.89</v>
      </c>
      <c r="G523" s="14">
        <v>45026.0</v>
      </c>
      <c r="H523" s="15">
        <f t="shared" si="1"/>
        <v>10</v>
      </c>
      <c r="I523" s="16">
        <f t="shared" si="2"/>
        <v>4</v>
      </c>
      <c r="J523" s="15">
        <f t="shared" si="3"/>
        <v>2023</v>
      </c>
      <c r="K523" s="16">
        <f>STANDARDIZE(F523,'estatística'!$C$2,'estatística'!$H$2)</f>
        <v>0.4126361104</v>
      </c>
    </row>
    <row r="524" ht="15.75" customHeight="1">
      <c r="A524" s="9">
        <v>53.0</v>
      </c>
      <c r="B524" s="10" t="s">
        <v>213</v>
      </c>
      <c r="C524" s="11" t="s">
        <v>214</v>
      </c>
      <c r="D524" s="10" t="s">
        <v>17</v>
      </c>
      <c r="E524" s="11" t="s">
        <v>68</v>
      </c>
      <c r="F524" s="13">
        <v>10.65</v>
      </c>
      <c r="G524" s="14">
        <v>45027.0</v>
      </c>
      <c r="H524" s="15">
        <f t="shared" si="1"/>
        <v>11</v>
      </c>
      <c r="I524" s="16">
        <f t="shared" si="2"/>
        <v>4</v>
      </c>
      <c r="J524" s="15">
        <f t="shared" si="3"/>
        <v>2023</v>
      </c>
      <c r="K524" s="16">
        <f>STANDARDIZE(F524,'estatística'!$C$2,'estatística'!$H$2)</f>
        <v>0.1183844011</v>
      </c>
    </row>
    <row r="525" ht="15.75" customHeight="1">
      <c r="A525" s="9">
        <v>95.0</v>
      </c>
      <c r="B525" s="10" t="s">
        <v>78</v>
      </c>
      <c r="C525" s="11" t="s">
        <v>79</v>
      </c>
      <c r="D525" s="10" t="s">
        <v>17</v>
      </c>
      <c r="E525" s="11" t="s">
        <v>29</v>
      </c>
      <c r="F525" s="13">
        <v>15.05</v>
      </c>
      <c r="G525" s="14">
        <v>45027.0</v>
      </c>
      <c r="H525" s="15">
        <f t="shared" si="1"/>
        <v>11</v>
      </c>
      <c r="I525" s="16">
        <f t="shared" si="2"/>
        <v>4</v>
      </c>
      <c r="J525" s="15">
        <f t="shared" si="3"/>
        <v>2023</v>
      </c>
      <c r="K525" s="16">
        <f>STANDARDIZE(F525,'estatística'!$C$2,'estatística'!$H$2)</f>
        <v>0.1740947075</v>
      </c>
    </row>
    <row r="526" ht="15.75" customHeight="1">
      <c r="A526" s="9">
        <v>81.0</v>
      </c>
      <c r="B526" s="10" t="s">
        <v>34</v>
      </c>
      <c r="C526" s="11" t="s">
        <v>35</v>
      </c>
      <c r="D526" s="10" t="s">
        <v>13</v>
      </c>
      <c r="E526" s="11" t="s">
        <v>68</v>
      </c>
      <c r="F526" s="13">
        <v>13.79</v>
      </c>
      <c r="G526" s="14">
        <v>45028.0</v>
      </c>
      <c r="H526" s="15">
        <f t="shared" si="1"/>
        <v>12</v>
      </c>
      <c r="I526" s="16">
        <f t="shared" si="2"/>
        <v>4</v>
      </c>
      <c r="J526" s="15">
        <f t="shared" si="3"/>
        <v>2023</v>
      </c>
      <c r="K526" s="16">
        <f>STANDARDIZE(F526,'estatística'!$C$2,'estatística'!$H$2)</f>
        <v>0.1581413016</v>
      </c>
    </row>
    <row r="527" ht="15.75" customHeight="1">
      <c r="A527" s="9">
        <v>32.0</v>
      </c>
      <c r="B527" s="10" t="s">
        <v>118</v>
      </c>
      <c r="C527" s="11" t="s">
        <v>119</v>
      </c>
      <c r="D527" s="10" t="s">
        <v>17</v>
      </c>
      <c r="E527" s="11" t="s">
        <v>62</v>
      </c>
      <c r="F527" s="13">
        <v>12.3</v>
      </c>
      <c r="G527" s="14">
        <v>45028.0</v>
      </c>
      <c r="H527" s="15">
        <f t="shared" si="1"/>
        <v>12</v>
      </c>
      <c r="I527" s="16">
        <f t="shared" si="2"/>
        <v>4</v>
      </c>
      <c r="J527" s="15">
        <f t="shared" si="3"/>
        <v>2023</v>
      </c>
      <c r="K527" s="16">
        <f>STANDARDIZE(F527,'estatística'!$C$2,'estatística'!$H$2)</f>
        <v>0.139275766</v>
      </c>
    </row>
    <row r="528" ht="15.75" customHeight="1">
      <c r="A528" s="9">
        <v>6.0</v>
      </c>
      <c r="B528" s="10" t="s">
        <v>155</v>
      </c>
      <c r="C528" s="11" t="s">
        <v>156</v>
      </c>
      <c r="D528" s="10" t="s">
        <v>13</v>
      </c>
      <c r="E528" s="11" t="s">
        <v>80</v>
      </c>
      <c r="F528" s="13">
        <v>37.38</v>
      </c>
      <c r="G528" s="14">
        <v>45028.0</v>
      </c>
      <c r="H528" s="15">
        <f t="shared" si="1"/>
        <v>12</v>
      </c>
      <c r="I528" s="16">
        <f t="shared" si="2"/>
        <v>4</v>
      </c>
      <c r="J528" s="15">
        <f t="shared" si="3"/>
        <v>2023</v>
      </c>
      <c r="K528" s="16">
        <f>STANDARDIZE(F528,'estatística'!$C$2,'estatística'!$H$2)</f>
        <v>0.4568245125</v>
      </c>
    </row>
    <row r="529" ht="15.75" customHeight="1">
      <c r="A529" s="9">
        <v>99.0</v>
      </c>
      <c r="B529" s="10" t="s">
        <v>46</v>
      </c>
      <c r="C529" s="11" t="s">
        <v>47</v>
      </c>
      <c r="D529" s="10" t="s">
        <v>13</v>
      </c>
      <c r="E529" s="11" t="s">
        <v>107</v>
      </c>
      <c r="F529" s="13">
        <v>29.11</v>
      </c>
      <c r="G529" s="14">
        <v>45028.0</v>
      </c>
      <c r="H529" s="15">
        <f t="shared" si="1"/>
        <v>12</v>
      </c>
      <c r="I529" s="16">
        <f t="shared" si="2"/>
        <v>4</v>
      </c>
      <c r="J529" s="15">
        <f t="shared" si="3"/>
        <v>2023</v>
      </c>
      <c r="K529" s="16">
        <f>STANDARDIZE(F529,'estatística'!$C$2,'estatística'!$H$2)</f>
        <v>0.3521144594</v>
      </c>
    </row>
    <row r="530" ht="15.75" customHeight="1">
      <c r="A530" s="9">
        <v>15.0</v>
      </c>
      <c r="B530" s="10" t="s">
        <v>37</v>
      </c>
      <c r="C530" s="11" t="s">
        <v>38</v>
      </c>
      <c r="D530" s="10" t="s">
        <v>13</v>
      </c>
      <c r="E530" s="11" t="s">
        <v>14</v>
      </c>
      <c r="F530" s="13">
        <v>10.47</v>
      </c>
      <c r="G530" s="14">
        <v>45028.0</v>
      </c>
      <c r="H530" s="15">
        <f t="shared" si="1"/>
        <v>12</v>
      </c>
      <c r="I530" s="16">
        <f t="shared" si="2"/>
        <v>4</v>
      </c>
      <c r="J530" s="15">
        <f t="shared" si="3"/>
        <v>2023</v>
      </c>
      <c r="K530" s="16">
        <f>STANDARDIZE(F530,'estatística'!$C$2,'estatística'!$H$2)</f>
        <v>0.1161053431</v>
      </c>
    </row>
    <row r="531" ht="15.75" customHeight="1">
      <c r="A531" s="9">
        <v>88.0</v>
      </c>
      <c r="B531" s="10" t="s">
        <v>172</v>
      </c>
      <c r="C531" s="11" t="s">
        <v>178</v>
      </c>
      <c r="D531" s="10" t="s">
        <v>13</v>
      </c>
      <c r="E531" s="11" t="s">
        <v>21</v>
      </c>
      <c r="F531" s="13">
        <v>21.55</v>
      </c>
      <c r="G531" s="14">
        <v>45028.0</v>
      </c>
      <c r="H531" s="15">
        <f t="shared" si="1"/>
        <v>12</v>
      </c>
      <c r="I531" s="16">
        <f t="shared" si="2"/>
        <v>4</v>
      </c>
      <c r="J531" s="15">
        <f t="shared" si="3"/>
        <v>2023</v>
      </c>
      <c r="K531" s="16">
        <f>STANDARDIZE(F531,'estatística'!$C$2,'estatística'!$H$2)</f>
        <v>0.2563940238</v>
      </c>
    </row>
    <row r="532" ht="15.75" customHeight="1">
      <c r="A532" s="9">
        <v>63.0</v>
      </c>
      <c r="B532" s="10" t="s">
        <v>197</v>
      </c>
      <c r="C532" s="11" t="s">
        <v>198</v>
      </c>
      <c r="D532" s="10" t="s">
        <v>13</v>
      </c>
      <c r="E532" s="11" t="s">
        <v>80</v>
      </c>
      <c r="F532" s="13">
        <v>33.38</v>
      </c>
      <c r="G532" s="14">
        <v>45028.0</v>
      </c>
      <c r="H532" s="15">
        <f t="shared" si="1"/>
        <v>12</v>
      </c>
      <c r="I532" s="16">
        <f t="shared" si="2"/>
        <v>4</v>
      </c>
      <c r="J532" s="15">
        <f t="shared" si="3"/>
        <v>2023</v>
      </c>
      <c r="K532" s="16">
        <f>STANDARDIZE(F532,'estatística'!$C$2,'estatística'!$H$2)</f>
        <v>0.4061787794</v>
      </c>
    </row>
    <row r="533" ht="15.75" customHeight="1">
      <c r="A533" s="9">
        <v>38.0</v>
      </c>
      <c r="B533" s="10" t="s">
        <v>85</v>
      </c>
      <c r="C533" s="11" t="s">
        <v>86</v>
      </c>
      <c r="D533" s="10" t="s">
        <v>13</v>
      </c>
      <c r="E533" s="11" t="s">
        <v>29</v>
      </c>
      <c r="F533" s="13">
        <v>13.17</v>
      </c>
      <c r="G533" s="14">
        <v>45029.0</v>
      </c>
      <c r="H533" s="15">
        <f t="shared" si="1"/>
        <v>13</v>
      </c>
      <c r="I533" s="16">
        <f t="shared" si="2"/>
        <v>4</v>
      </c>
      <c r="J533" s="15">
        <f t="shared" si="3"/>
        <v>2023</v>
      </c>
      <c r="K533" s="16">
        <f>STANDARDIZE(F533,'estatística'!$C$2,'estatística'!$H$2)</f>
        <v>0.150291213</v>
      </c>
    </row>
    <row r="534" ht="15.75" customHeight="1">
      <c r="A534" s="9">
        <v>48.0</v>
      </c>
      <c r="B534" s="10" t="s">
        <v>25</v>
      </c>
      <c r="C534" s="11" t="s">
        <v>28</v>
      </c>
      <c r="D534" s="10" t="s">
        <v>13</v>
      </c>
      <c r="E534" s="11" t="s">
        <v>33</v>
      </c>
      <c r="F534" s="13">
        <v>51.9</v>
      </c>
      <c r="G534" s="14">
        <v>45029.0</v>
      </c>
      <c r="H534" s="15">
        <f t="shared" si="1"/>
        <v>13</v>
      </c>
      <c r="I534" s="16">
        <f t="shared" si="2"/>
        <v>4</v>
      </c>
      <c r="J534" s="15">
        <f t="shared" si="3"/>
        <v>2023</v>
      </c>
      <c r="K534" s="16">
        <f>STANDARDIZE(F534,'estatística'!$C$2,'estatística'!$H$2)</f>
        <v>0.6406685237</v>
      </c>
    </row>
    <row r="535" ht="15.75" customHeight="1">
      <c r="A535" s="9">
        <v>4.0</v>
      </c>
      <c r="B535" s="10" t="s">
        <v>87</v>
      </c>
      <c r="C535" s="11" t="s">
        <v>88</v>
      </c>
      <c r="D535" s="10" t="s">
        <v>17</v>
      </c>
      <c r="E535" s="11" t="s">
        <v>116</v>
      </c>
      <c r="F535" s="13">
        <v>3.48</v>
      </c>
      <c r="G535" s="14">
        <v>45029.0</v>
      </c>
      <c r="H535" s="15">
        <f t="shared" si="1"/>
        <v>13</v>
      </c>
      <c r="I535" s="16">
        <f t="shared" si="2"/>
        <v>4</v>
      </c>
      <c r="J535" s="15">
        <f t="shared" si="3"/>
        <v>2023</v>
      </c>
      <c r="K535" s="16">
        <f>STANDARDIZE(F535,'estatística'!$C$2,'estatística'!$H$2)</f>
        <v>0.02760192454</v>
      </c>
    </row>
    <row r="536" ht="15.75" customHeight="1">
      <c r="A536" s="9">
        <v>44.0</v>
      </c>
      <c r="B536" s="10" t="s">
        <v>187</v>
      </c>
      <c r="C536" s="11" t="s">
        <v>188</v>
      </c>
      <c r="D536" s="10" t="s">
        <v>17</v>
      </c>
      <c r="E536" s="11" t="s">
        <v>32</v>
      </c>
      <c r="F536" s="13">
        <v>27.32</v>
      </c>
      <c r="G536" s="14">
        <v>45029.0</v>
      </c>
      <c r="H536" s="15">
        <f t="shared" si="1"/>
        <v>13</v>
      </c>
      <c r="I536" s="16">
        <f t="shared" si="2"/>
        <v>4</v>
      </c>
      <c r="J536" s="15">
        <f t="shared" si="3"/>
        <v>2023</v>
      </c>
      <c r="K536" s="16">
        <f>STANDARDIZE(F536,'estatística'!$C$2,'estatística'!$H$2)</f>
        <v>0.3294504938</v>
      </c>
    </row>
    <row r="537" ht="15.75" customHeight="1">
      <c r="A537" s="9">
        <v>86.0</v>
      </c>
      <c r="B537" s="10" t="s">
        <v>40</v>
      </c>
      <c r="C537" s="11" t="s">
        <v>41</v>
      </c>
      <c r="D537" s="10" t="s">
        <v>13</v>
      </c>
      <c r="E537" s="11" t="s">
        <v>33</v>
      </c>
      <c r="F537" s="13">
        <v>48.16</v>
      </c>
      <c r="G537" s="14">
        <v>45029.0</v>
      </c>
      <c r="H537" s="15">
        <f t="shared" si="1"/>
        <v>13</v>
      </c>
      <c r="I537" s="16">
        <f t="shared" si="2"/>
        <v>4</v>
      </c>
      <c r="J537" s="15">
        <f t="shared" si="3"/>
        <v>2023</v>
      </c>
      <c r="K537" s="16">
        <f>STANDARDIZE(F537,'estatística'!$C$2,'estatística'!$H$2)</f>
        <v>0.5933147632</v>
      </c>
    </row>
    <row r="538" ht="15.75" customHeight="1">
      <c r="A538" s="9">
        <v>96.0</v>
      </c>
      <c r="B538" s="10" t="s">
        <v>135</v>
      </c>
      <c r="C538" s="11" t="s">
        <v>136</v>
      </c>
      <c r="D538" s="10" t="s">
        <v>17</v>
      </c>
      <c r="E538" s="11" t="s">
        <v>14</v>
      </c>
      <c r="F538" s="13">
        <v>10.9</v>
      </c>
      <c r="G538" s="14">
        <v>45029.0</v>
      </c>
      <c r="H538" s="15">
        <f t="shared" si="1"/>
        <v>13</v>
      </c>
      <c r="I538" s="16">
        <f t="shared" si="2"/>
        <v>4</v>
      </c>
      <c r="J538" s="15">
        <f t="shared" si="3"/>
        <v>2023</v>
      </c>
      <c r="K538" s="16">
        <f>STANDARDIZE(F538,'estatística'!$C$2,'estatística'!$H$2)</f>
        <v>0.1215497594</v>
      </c>
    </row>
    <row r="539" ht="15.75" customHeight="1">
      <c r="A539" s="9">
        <v>73.0</v>
      </c>
      <c r="B539" s="10" t="s">
        <v>195</v>
      </c>
      <c r="C539" s="11" t="s">
        <v>196</v>
      </c>
      <c r="D539" s="10" t="s">
        <v>13</v>
      </c>
      <c r="E539" s="11" t="s">
        <v>68</v>
      </c>
      <c r="F539" s="13">
        <v>10.73</v>
      </c>
      <c r="G539" s="14">
        <v>45029.0</v>
      </c>
      <c r="H539" s="15">
        <f t="shared" si="1"/>
        <v>13</v>
      </c>
      <c r="I539" s="16">
        <f t="shared" si="2"/>
        <v>4</v>
      </c>
      <c r="J539" s="15">
        <f t="shared" si="3"/>
        <v>2023</v>
      </c>
      <c r="K539" s="16">
        <f>STANDARDIZE(F539,'estatística'!$C$2,'estatística'!$H$2)</f>
        <v>0.1193973158</v>
      </c>
    </row>
    <row r="540" ht="15.75" customHeight="1">
      <c r="A540" s="9">
        <v>37.0</v>
      </c>
      <c r="B540" s="10" t="s">
        <v>217</v>
      </c>
      <c r="C540" s="11" t="s">
        <v>218</v>
      </c>
      <c r="D540" s="10" t="s">
        <v>17</v>
      </c>
      <c r="E540" s="11" t="s">
        <v>14</v>
      </c>
      <c r="F540" s="13">
        <v>10.34</v>
      </c>
      <c r="G540" s="14">
        <v>45029.0</v>
      </c>
      <c r="H540" s="15">
        <f t="shared" si="1"/>
        <v>13</v>
      </c>
      <c r="I540" s="16">
        <f t="shared" si="2"/>
        <v>4</v>
      </c>
      <c r="J540" s="15">
        <f t="shared" si="3"/>
        <v>2023</v>
      </c>
      <c r="K540" s="16">
        <f>STANDARDIZE(F540,'estatística'!$C$2,'estatística'!$H$2)</f>
        <v>0.1144593568</v>
      </c>
    </row>
    <row r="541" ht="15.75" customHeight="1">
      <c r="A541" s="9">
        <v>27.0</v>
      </c>
      <c r="B541" s="10" t="s">
        <v>145</v>
      </c>
      <c r="C541" s="11" t="s">
        <v>146</v>
      </c>
      <c r="D541" s="10" t="s">
        <v>13</v>
      </c>
      <c r="E541" s="11" t="s">
        <v>27</v>
      </c>
      <c r="F541" s="13">
        <v>19.74</v>
      </c>
      <c r="G541" s="14">
        <v>45030.0</v>
      </c>
      <c r="H541" s="15">
        <f t="shared" si="1"/>
        <v>14</v>
      </c>
      <c r="I541" s="16">
        <f t="shared" si="2"/>
        <v>4</v>
      </c>
      <c r="J541" s="15">
        <f t="shared" si="3"/>
        <v>2023</v>
      </c>
      <c r="K541" s="16">
        <f>STANDARDIZE(F541,'estatística'!$C$2,'estatística'!$H$2)</f>
        <v>0.2334768296</v>
      </c>
    </row>
    <row r="542" ht="15.75" customHeight="1">
      <c r="A542" s="9">
        <v>100.0</v>
      </c>
      <c r="B542" s="10" t="s">
        <v>30</v>
      </c>
      <c r="C542" s="11" t="s">
        <v>31</v>
      </c>
      <c r="D542" s="10" t="s">
        <v>13</v>
      </c>
      <c r="E542" s="11" t="s">
        <v>57</v>
      </c>
      <c r="F542" s="13">
        <v>17.02</v>
      </c>
      <c r="G542" s="14">
        <v>45030.0</v>
      </c>
      <c r="H542" s="15">
        <f t="shared" si="1"/>
        <v>14</v>
      </c>
      <c r="I542" s="16">
        <f t="shared" si="2"/>
        <v>4</v>
      </c>
      <c r="J542" s="15">
        <f t="shared" si="3"/>
        <v>2023</v>
      </c>
      <c r="K542" s="16">
        <f>STANDARDIZE(F542,'estatística'!$C$2,'estatística'!$H$2)</f>
        <v>0.1990377311</v>
      </c>
    </row>
    <row r="543" ht="15.75" customHeight="1">
      <c r="A543" s="9">
        <v>94.0</v>
      </c>
      <c r="B543" s="10" t="s">
        <v>179</v>
      </c>
      <c r="C543" s="11" t="s">
        <v>209</v>
      </c>
      <c r="D543" s="10" t="s">
        <v>17</v>
      </c>
      <c r="E543" s="11" t="s">
        <v>29</v>
      </c>
      <c r="F543" s="13">
        <v>13.8</v>
      </c>
      <c r="G543" s="14">
        <v>45030.0</v>
      </c>
      <c r="H543" s="15">
        <f t="shared" si="1"/>
        <v>14</v>
      </c>
      <c r="I543" s="16">
        <f t="shared" si="2"/>
        <v>4</v>
      </c>
      <c r="J543" s="15">
        <f t="shared" si="3"/>
        <v>2023</v>
      </c>
      <c r="K543" s="16">
        <f>STANDARDIZE(F543,'estatística'!$C$2,'estatística'!$H$2)</f>
        <v>0.1582679159</v>
      </c>
    </row>
    <row r="544" ht="15.75" customHeight="1">
      <c r="A544" s="9">
        <v>94.0</v>
      </c>
      <c r="B544" s="10" t="s">
        <v>179</v>
      </c>
      <c r="C544" s="11" t="s">
        <v>209</v>
      </c>
      <c r="D544" s="10" t="s">
        <v>13</v>
      </c>
      <c r="E544" s="11" t="s">
        <v>36</v>
      </c>
      <c r="F544" s="13">
        <v>78.91</v>
      </c>
      <c r="G544" s="14">
        <v>45030.0</v>
      </c>
      <c r="H544" s="15">
        <f t="shared" si="1"/>
        <v>14</v>
      </c>
      <c r="I544" s="16">
        <f t="shared" si="2"/>
        <v>4</v>
      </c>
      <c r="J544" s="15">
        <f t="shared" si="3"/>
        <v>2023</v>
      </c>
      <c r="K544" s="16">
        <f>STANDARDIZE(F544,'estatística'!$C$2,'estatística'!$H$2)</f>
        <v>0.9826538364</v>
      </c>
    </row>
    <row r="545" ht="15.75" customHeight="1">
      <c r="A545" s="9">
        <v>29.0</v>
      </c>
      <c r="B545" s="10" t="s">
        <v>92</v>
      </c>
      <c r="C545" s="11" t="s">
        <v>93</v>
      </c>
      <c r="D545" s="10" t="s">
        <v>13</v>
      </c>
      <c r="E545" s="11" t="s">
        <v>29</v>
      </c>
      <c r="F545" s="13">
        <v>14.42</v>
      </c>
      <c r="G545" s="14">
        <v>45030.0</v>
      </c>
      <c r="H545" s="15">
        <f t="shared" si="1"/>
        <v>14</v>
      </c>
      <c r="I545" s="16">
        <f t="shared" si="2"/>
        <v>4</v>
      </c>
      <c r="J545" s="15">
        <f t="shared" si="3"/>
        <v>2023</v>
      </c>
      <c r="K545" s="16">
        <f>STANDARDIZE(F545,'estatística'!$C$2,'estatística'!$H$2)</f>
        <v>0.1661180046</v>
      </c>
    </row>
    <row r="546" ht="15.75" customHeight="1">
      <c r="A546" s="9">
        <v>80.0</v>
      </c>
      <c r="B546" s="10" t="s">
        <v>22</v>
      </c>
      <c r="C546" s="11" t="s">
        <v>23</v>
      </c>
      <c r="D546" s="10" t="s">
        <v>17</v>
      </c>
      <c r="E546" s="11" t="s">
        <v>21</v>
      </c>
      <c r="F546" s="13">
        <v>16.85</v>
      </c>
      <c r="G546" s="14">
        <v>45030.0</v>
      </c>
      <c r="H546" s="15">
        <f t="shared" si="1"/>
        <v>14</v>
      </c>
      <c r="I546" s="16">
        <f t="shared" si="2"/>
        <v>4</v>
      </c>
      <c r="J546" s="15">
        <f t="shared" si="3"/>
        <v>2023</v>
      </c>
      <c r="K546" s="16">
        <f>STANDARDIZE(F546,'estatística'!$C$2,'estatística'!$H$2)</f>
        <v>0.1968852874</v>
      </c>
    </row>
    <row r="547" ht="15.75" customHeight="1">
      <c r="A547" s="9">
        <v>98.0</v>
      </c>
      <c r="B547" s="10" t="s">
        <v>131</v>
      </c>
      <c r="C547" s="11" t="s">
        <v>168</v>
      </c>
      <c r="D547" s="10" t="s">
        <v>13</v>
      </c>
      <c r="E547" s="11" t="s">
        <v>57</v>
      </c>
      <c r="F547" s="13">
        <v>24.07</v>
      </c>
      <c r="G547" s="14">
        <v>45031.0</v>
      </c>
      <c r="H547" s="15">
        <f t="shared" si="1"/>
        <v>15</v>
      </c>
      <c r="I547" s="16">
        <f t="shared" si="2"/>
        <v>4</v>
      </c>
      <c r="J547" s="15">
        <f t="shared" si="3"/>
        <v>2023</v>
      </c>
      <c r="K547" s="16">
        <f>STANDARDIZE(F547,'estatística'!$C$2,'estatística'!$H$2)</f>
        <v>0.2883008357</v>
      </c>
    </row>
    <row r="548" ht="15.75" customHeight="1">
      <c r="A548" s="9">
        <v>85.0</v>
      </c>
      <c r="B548" s="10" t="s">
        <v>170</v>
      </c>
      <c r="C548" s="11" t="s">
        <v>171</v>
      </c>
      <c r="D548" s="10" t="s">
        <v>17</v>
      </c>
      <c r="E548" s="11" t="s">
        <v>33</v>
      </c>
      <c r="F548" s="13">
        <v>56.87</v>
      </c>
      <c r="G548" s="14">
        <v>45031.0</v>
      </c>
      <c r="H548" s="15">
        <f t="shared" si="1"/>
        <v>15</v>
      </c>
      <c r="I548" s="16">
        <f t="shared" si="2"/>
        <v>4</v>
      </c>
      <c r="J548" s="15">
        <f t="shared" si="3"/>
        <v>2023</v>
      </c>
      <c r="K548" s="16">
        <f>STANDARDIZE(F548,'estatística'!$C$2,'estatística'!$H$2)</f>
        <v>0.703595847</v>
      </c>
    </row>
    <row r="549" ht="15.75" customHeight="1">
      <c r="A549" s="9">
        <v>59.0</v>
      </c>
      <c r="B549" s="10" t="s">
        <v>71</v>
      </c>
      <c r="C549" s="11" t="s">
        <v>72</v>
      </c>
      <c r="D549" s="10" t="s">
        <v>13</v>
      </c>
      <c r="E549" s="11" t="s">
        <v>48</v>
      </c>
      <c r="F549" s="13">
        <v>11.8</v>
      </c>
      <c r="G549" s="14">
        <v>45031.0</v>
      </c>
      <c r="H549" s="15">
        <f t="shared" si="1"/>
        <v>15</v>
      </c>
      <c r="I549" s="16">
        <f t="shared" si="2"/>
        <v>4</v>
      </c>
      <c r="J549" s="15">
        <f t="shared" si="3"/>
        <v>2023</v>
      </c>
      <c r="K549" s="16">
        <f>STANDARDIZE(F549,'estatística'!$C$2,'estatística'!$H$2)</f>
        <v>0.1329450494</v>
      </c>
    </row>
    <row r="550" ht="15.75" customHeight="1">
      <c r="A550" s="9">
        <v>58.0</v>
      </c>
      <c r="B550" s="10" t="s">
        <v>137</v>
      </c>
      <c r="C550" s="11" t="s">
        <v>138</v>
      </c>
      <c r="D550" s="10" t="s">
        <v>13</v>
      </c>
      <c r="E550" s="11" t="s">
        <v>29</v>
      </c>
      <c r="F550" s="13">
        <v>14.08</v>
      </c>
      <c r="G550" s="14">
        <v>45032.0</v>
      </c>
      <c r="H550" s="15">
        <f t="shared" si="1"/>
        <v>16</v>
      </c>
      <c r="I550" s="16">
        <f t="shared" si="2"/>
        <v>4</v>
      </c>
      <c r="J550" s="15">
        <f t="shared" si="3"/>
        <v>2023</v>
      </c>
      <c r="K550" s="16">
        <f>STANDARDIZE(F550,'estatística'!$C$2,'estatística'!$H$2)</f>
        <v>0.1618131172</v>
      </c>
    </row>
    <row r="551" ht="15.75" customHeight="1">
      <c r="A551" s="9">
        <v>57.0</v>
      </c>
      <c r="B551" s="10" t="s">
        <v>60</v>
      </c>
      <c r="C551" s="11" t="s">
        <v>162</v>
      </c>
      <c r="D551" s="10" t="s">
        <v>13</v>
      </c>
      <c r="E551" s="11" t="s">
        <v>27</v>
      </c>
      <c r="F551" s="13">
        <v>14.07</v>
      </c>
      <c r="G551" s="14">
        <v>45032.0</v>
      </c>
      <c r="H551" s="15">
        <f t="shared" si="1"/>
        <v>16</v>
      </c>
      <c r="I551" s="16">
        <f t="shared" si="2"/>
        <v>4</v>
      </c>
      <c r="J551" s="15">
        <f t="shared" si="3"/>
        <v>2023</v>
      </c>
      <c r="K551" s="16">
        <f>STANDARDIZE(F551,'estatística'!$C$2,'estatística'!$H$2)</f>
        <v>0.1616865029</v>
      </c>
    </row>
    <row r="552" ht="15.75" customHeight="1">
      <c r="A552" s="9">
        <v>48.0</v>
      </c>
      <c r="B552" s="10" t="s">
        <v>25</v>
      </c>
      <c r="C552" s="11" t="s">
        <v>28</v>
      </c>
      <c r="D552" s="10" t="s">
        <v>17</v>
      </c>
      <c r="E552" s="11" t="s">
        <v>36</v>
      </c>
      <c r="F552" s="13">
        <v>61.54</v>
      </c>
      <c r="G552" s="14">
        <v>45032.0</v>
      </c>
      <c r="H552" s="15">
        <f t="shared" si="1"/>
        <v>16</v>
      </c>
      <c r="I552" s="16">
        <f t="shared" si="2"/>
        <v>4</v>
      </c>
      <c r="J552" s="15">
        <f t="shared" si="3"/>
        <v>2023</v>
      </c>
      <c r="K552" s="16">
        <f>STANDARDIZE(F552,'estatística'!$C$2,'estatística'!$H$2)</f>
        <v>0.7627247404</v>
      </c>
    </row>
    <row r="553" ht="15.75" customHeight="1">
      <c r="A553" s="9">
        <v>64.0</v>
      </c>
      <c r="B553" s="10" t="s">
        <v>131</v>
      </c>
      <c r="C553" s="11" t="s">
        <v>132</v>
      </c>
      <c r="D553" s="10" t="s">
        <v>13</v>
      </c>
      <c r="E553" s="11" t="s">
        <v>32</v>
      </c>
      <c r="F553" s="13">
        <v>25.1</v>
      </c>
      <c r="G553" s="14">
        <v>45032.0</v>
      </c>
      <c r="H553" s="15">
        <f t="shared" si="1"/>
        <v>16</v>
      </c>
      <c r="I553" s="16">
        <f t="shared" si="2"/>
        <v>4</v>
      </c>
      <c r="J553" s="15">
        <f t="shared" si="3"/>
        <v>2023</v>
      </c>
      <c r="K553" s="16">
        <f>STANDARDIZE(F553,'estatística'!$C$2,'estatística'!$H$2)</f>
        <v>0.3013421119</v>
      </c>
    </row>
    <row r="554" ht="15.75" customHeight="1">
      <c r="A554" s="9">
        <v>21.0</v>
      </c>
      <c r="B554" s="10" t="s">
        <v>158</v>
      </c>
      <c r="C554" s="11" t="s">
        <v>159</v>
      </c>
      <c r="D554" s="10" t="s">
        <v>17</v>
      </c>
      <c r="E554" s="11" t="s">
        <v>33</v>
      </c>
      <c r="F554" s="13">
        <v>69.0</v>
      </c>
      <c r="G554" s="14">
        <v>45032.0</v>
      </c>
      <c r="H554" s="15">
        <f t="shared" si="1"/>
        <v>16</v>
      </c>
      <c r="I554" s="16">
        <f t="shared" si="2"/>
        <v>4</v>
      </c>
      <c r="J554" s="15">
        <f t="shared" si="3"/>
        <v>2023</v>
      </c>
      <c r="K554" s="16">
        <f>STANDARDIZE(F554,'estatística'!$C$2,'estatística'!$H$2)</f>
        <v>0.8571790327</v>
      </c>
    </row>
    <row r="555" ht="15.75" customHeight="1">
      <c r="A555" s="9">
        <v>92.0</v>
      </c>
      <c r="B555" s="10" t="s">
        <v>81</v>
      </c>
      <c r="C555" s="11" t="s">
        <v>169</v>
      </c>
      <c r="D555" s="10" t="s">
        <v>13</v>
      </c>
      <c r="E555" s="11" t="s">
        <v>116</v>
      </c>
      <c r="F555" s="13">
        <v>3.91</v>
      </c>
      <c r="G555" s="14">
        <v>45032.0</v>
      </c>
      <c r="H555" s="15">
        <f t="shared" si="1"/>
        <v>16</v>
      </c>
      <c r="I555" s="16">
        <f t="shared" si="2"/>
        <v>4</v>
      </c>
      <c r="J555" s="15">
        <f t="shared" si="3"/>
        <v>2023</v>
      </c>
      <c r="K555" s="16">
        <f>STANDARDIZE(F555,'estatística'!$C$2,'estatística'!$H$2)</f>
        <v>0.03304634085</v>
      </c>
    </row>
    <row r="556" ht="15.75" customHeight="1">
      <c r="A556" s="9">
        <v>84.0</v>
      </c>
      <c r="B556" s="10" t="s">
        <v>112</v>
      </c>
      <c r="C556" s="11" t="s">
        <v>113</v>
      </c>
      <c r="D556" s="10" t="s">
        <v>13</v>
      </c>
      <c r="E556" s="11" t="s">
        <v>77</v>
      </c>
      <c r="F556" s="13">
        <v>14.34</v>
      </c>
      <c r="G556" s="14">
        <v>45033.0</v>
      </c>
      <c r="H556" s="15">
        <f t="shared" si="1"/>
        <v>17</v>
      </c>
      <c r="I556" s="16">
        <f t="shared" si="2"/>
        <v>4</v>
      </c>
      <c r="J556" s="15">
        <f t="shared" si="3"/>
        <v>2023</v>
      </c>
      <c r="K556" s="16">
        <f>STANDARDIZE(F556,'estatística'!$C$2,'estatística'!$H$2)</f>
        <v>0.1651050899</v>
      </c>
    </row>
    <row r="557" ht="15.75" customHeight="1">
      <c r="A557" s="9">
        <v>70.0</v>
      </c>
      <c r="B557" s="10" t="s">
        <v>124</v>
      </c>
      <c r="C557" s="11" t="s">
        <v>125</v>
      </c>
      <c r="D557" s="10" t="s">
        <v>13</v>
      </c>
      <c r="E557" s="11" t="s">
        <v>62</v>
      </c>
      <c r="F557" s="13">
        <v>11.76</v>
      </c>
      <c r="G557" s="14">
        <v>45033.0</v>
      </c>
      <c r="H557" s="15">
        <f t="shared" si="1"/>
        <v>17</v>
      </c>
      <c r="I557" s="16">
        <f t="shared" si="2"/>
        <v>4</v>
      </c>
      <c r="J557" s="15">
        <f t="shared" si="3"/>
        <v>2023</v>
      </c>
      <c r="K557" s="16">
        <f>STANDARDIZE(F557,'estatística'!$C$2,'estatística'!$H$2)</f>
        <v>0.132438592</v>
      </c>
    </row>
    <row r="558" ht="15.75" customHeight="1">
      <c r="A558" s="9">
        <v>68.0</v>
      </c>
      <c r="B558" s="10" t="s">
        <v>25</v>
      </c>
      <c r="C558" s="11" t="s">
        <v>26</v>
      </c>
      <c r="D558" s="10" t="s">
        <v>13</v>
      </c>
      <c r="E558" s="11" t="s">
        <v>80</v>
      </c>
      <c r="F558" s="13">
        <v>35.38</v>
      </c>
      <c r="G558" s="14">
        <v>45033.0</v>
      </c>
      <c r="H558" s="15">
        <f t="shared" si="1"/>
        <v>17</v>
      </c>
      <c r="I558" s="16">
        <f t="shared" si="2"/>
        <v>4</v>
      </c>
      <c r="J558" s="15">
        <f t="shared" si="3"/>
        <v>2023</v>
      </c>
      <c r="K558" s="16">
        <f>STANDARDIZE(F558,'estatística'!$C$2,'estatística'!$H$2)</f>
        <v>0.431501646</v>
      </c>
    </row>
    <row r="559" ht="15.75" customHeight="1">
      <c r="A559" s="9">
        <v>93.0</v>
      </c>
      <c r="B559" s="10" t="s">
        <v>99</v>
      </c>
      <c r="C559" s="11" t="s">
        <v>100</v>
      </c>
      <c r="D559" s="10" t="s">
        <v>13</v>
      </c>
      <c r="E559" s="11" t="s">
        <v>65</v>
      </c>
      <c r="F559" s="13">
        <v>35.01</v>
      </c>
      <c r="G559" s="14">
        <v>45033.0</v>
      </c>
      <c r="H559" s="15">
        <f t="shared" si="1"/>
        <v>17</v>
      </c>
      <c r="I559" s="16">
        <f t="shared" si="2"/>
        <v>4</v>
      </c>
      <c r="J559" s="15">
        <f t="shared" si="3"/>
        <v>2023</v>
      </c>
      <c r="K559" s="16">
        <f>STANDARDIZE(F559,'estatística'!$C$2,'estatística'!$H$2)</f>
        <v>0.4268169157</v>
      </c>
    </row>
    <row r="560" ht="15.75" customHeight="1">
      <c r="A560" s="9">
        <v>64.0</v>
      </c>
      <c r="B560" s="10" t="s">
        <v>131</v>
      </c>
      <c r="C560" s="11" t="s">
        <v>132</v>
      </c>
      <c r="D560" s="10" t="s">
        <v>17</v>
      </c>
      <c r="E560" s="11" t="s">
        <v>21</v>
      </c>
      <c r="F560" s="13">
        <v>21.69</v>
      </c>
      <c r="G560" s="14">
        <v>45033.0</v>
      </c>
      <c r="H560" s="15">
        <f t="shared" si="1"/>
        <v>17</v>
      </c>
      <c r="I560" s="16">
        <f t="shared" si="2"/>
        <v>4</v>
      </c>
      <c r="J560" s="15">
        <f t="shared" si="3"/>
        <v>2023</v>
      </c>
      <c r="K560" s="16">
        <f>STANDARDIZE(F560,'estatística'!$C$2,'estatística'!$H$2)</f>
        <v>0.2581666245</v>
      </c>
    </row>
    <row r="561" ht="15.75" customHeight="1">
      <c r="A561" s="9">
        <v>3.0</v>
      </c>
      <c r="B561" s="10" t="s">
        <v>51</v>
      </c>
      <c r="C561" s="11" t="s">
        <v>52</v>
      </c>
      <c r="D561" s="10" t="s">
        <v>17</v>
      </c>
      <c r="E561" s="11" t="s">
        <v>80</v>
      </c>
      <c r="F561" s="13">
        <v>38.54</v>
      </c>
      <c r="G561" s="14">
        <v>45033.0</v>
      </c>
      <c r="H561" s="15">
        <f t="shared" si="1"/>
        <v>17</v>
      </c>
      <c r="I561" s="16">
        <f t="shared" si="2"/>
        <v>4</v>
      </c>
      <c r="J561" s="15">
        <f t="shared" si="3"/>
        <v>2023</v>
      </c>
      <c r="K561" s="16">
        <f>STANDARDIZE(F561,'estatística'!$C$2,'estatística'!$H$2)</f>
        <v>0.4715117751</v>
      </c>
    </row>
    <row r="562" ht="15.75" customHeight="1">
      <c r="A562" s="9">
        <v>3.0</v>
      </c>
      <c r="B562" s="10" t="s">
        <v>51</v>
      </c>
      <c r="C562" s="11" t="s">
        <v>52</v>
      </c>
      <c r="D562" s="10" t="s">
        <v>17</v>
      </c>
      <c r="E562" s="11" t="s">
        <v>33</v>
      </c>
      <c r="F562" s="13">
        <v>60.17</v>
      </c>
      <c r="G562" s="14">
        <v>45033.0</v>
      </c>
      <c r="H562" s="15">
        <f t="shared" si="1"/>
        <v>17</v>
      </c>
      <c r="I562" s="16">
        <f t="shared" si="2"/>
        <v>4</v>
      </c>
      <c r="J562" s="15">
        <f t="shared" si="3"/>
        <v>2023</v>
      </c>
      <c r="K562" s="16">
        <f>STANDARDIZE(F562,'estatística'!$C$2,'estatística'!$H$2)</f>
        <v>0.7453785769</v>
      </c>
    </row>
    <row r="563" ht="15.75" customHeight="1">
      <c r="A563" s="9">
        <v>37.0</v>
      </c>
      <c r="B563" s="10" t="s">
        <v>217</v>
      </c>
      <c r="C563" s="11" t="s">
        <v>218</v>
      </c>
      <c r="D563" s="10" t="s">
        <v>17</v>
      </c>
      <c r="E563" s="11" t="s">
        <v>65</v>
      </c>
      <c r="F563" s="13">
        <v>26.67</v>
      </c>
      <c r="G563" s="14">
        <v>45033.0</v>
      </c>
      <c r="H563" s="15">
        <f t="shared" si="1"/>
        <v>17</v>
      </c>
      <c r="I563" s="16">
        <f t="shared" si="2"/>
        <v>4</v>
      </c>
      <c r="J563" s="15">
        <f t="shared" si="3"/>
        <v>2023</v>
      </c>
      <c r="K563" s="16">
        <f>STANDARDIZE(F563,'estatística'!$C$2,'estatística'!$H$2)</f>
        <v>0.3212205622</v>
      </c>
    </row>
    <row r="564" ht="15.75" customHeight="1">
      <c r="A564" s="9">
        <v>28.0</v>
      </c>
      <c r="B564" s="10" t="s">
        <v>49</v>
      </c>
      <c r="C564" s="11" t="s">
        <v>50</v>
      </c>
      <c r="D564" s="10" t="s">
        <v>17</v>
      </c>
      <c r="E564" s="11" t="s">
        <v>36</v>
      </c>
      <c r="F564" s="13">
        <v>59.58</v>
      </c>
      <c r="G564" s="14">
        <v>45033.0</v>
      </c>
      <c r="H564" s="15">
        <f t="shared" si="1"/>
        <v>17</v>
      </c>
      <c r="I564" s="16">
        <f t="shared" si="2"/>
        <v>4</v>
      </c>
      <c r="J564" s="15">
        <f t="shared" si="3"/>
        <v>2023</v>
      </c>
      <c r="K564" s="16">
        <f>STANDARDIZE(F564,'estatística'!$C$2,'estatística'!$H$2)</f>
        <v>0.7379083312</v>
      </c>
    </row>
    <row r="565" ht="15.75" customHeight="1">
      <c r="A565" s="9">
        <v>61.0</v>
      </c>
      <c r="B565" s="10" t="s">
        <v>73</v>
      </c>
      <c r="C565" s="11" t="s">
        <v>74</v>
      </c>
      <c r="D565" s="10" t="s">
        <v>17</v>
      </c>
      <c r="E565" s="11" t="s">
        <v>18</v>
      </c>
      <c r="F565" s="13">
        <v>41.27</v>
      </c>
      <c r="G565" s="14">
        <v>45033.0</v>
      </c>
      <c r="H565" s="15">
        <f t="shared" si="1"/>
        <v>17</v>
      </c>
      <c r="I565" s="16">
        <f t="shared" si="2"/>
        <v>4</v>
      </c>
      <c r="J565" s="15">
        <f t="shared" si="3"/>
        <v>2023</v>
      </c>
      <c r="K565" s="16">
        <f>STANDARDIZE(F565,'estatística'!$C$2,'estatística'!$H$2)</f>
        <v>0.506077488</v>
      </c>
    </row>
    <row r="566" ht="15.75" customHeight="1">
      <c r="A566" s="9">
        <v>14.0</v>
      </c>
      <c r="B566" s="10" t="s">
        <v>143</v>
      </c>
      <c r="C566" s="11" t="s">
        <v>144</v>
      </c>
      <c r="D566" s="10" t="s">
        <v>17</v>
      </c>
      <c r="E566" s="11" t="s">
        <v>32</v>
      </c>
      <c r="F566" s="13">
        <v>30.01</v>
      </c>
      <c r="G566" s="14">
        <v>45033.0</v>
      </c>
      <c r="H566" s="15">
        <f t="shared" si="1"/>
        <v>17</v>
      </c>
      <c r="I566" s="16">
        <f t="shared" si="2"/>
        <v>4</v>
      </c>
      <c r="J566" s="15">
        <f t="shared" si="3"/>
        <v>2023</v>
      </c>
      <c r="K566" s="16">
        <f>STANDARDIZE(F566,'estatística'!$C$2,'estatística'!$H$2)</f>
        <v>0.3635097493</v>
      </c>
    </row>
    <row r="567" ht="15.75" customHeight="1">
      <c r="A567" s="9">
        <v>41.0</v>
      </c>
      <c r="B567" s="10" t="s">
        <v>189</v>
      </c>
      <c r="C567" s="11" t="s">
        <v>190</v>
      </c>
      <c r="D567" s="10" t="s">
        <v>13</v>
      </c>
      <c r="E567" s="11" t="s">
        <v>33</v>
      </c>
      <c r="F567" s="13">
        <v>54.68</v>
      </c>
      <c r="G567" s="14">
        <v>45033.0</v>
      </c>
      <c r="H567" s="15">
        <f t="shared" si="1"/>
        <v>17</v>
      </c>
      <c r="I567" s="16">
        <f t="shared" si="2"/>
        <v>4</v>
      </c>
      <c r="J567" s="15">
        <f t="shared" si="3"/>
        <v>2023</v>
      </c>
      <c r="K567" s="16">
        <f>STANDARDIZE(F567,'estatística'!$C$2,'estatística'!$H$2)</f>
        <v>0.6758673082</v>
      </c>
    </row>
    <row r="568" ht="15.75" customHeight="1">
      <c r="A568" s="9">
        <v>45.0</v>
      </c>
      <c r="B568" s="10" t="s">
        <v>193</v>
      </c>
      <c r="C568" s="11" t="s">
        <v>194</v>
      </c>
      <c r="D568" s="10" t="s">
        <v>17</v>
      </c>
      <c r="E568" s="11" t="s">
        <v>39</v>
      </c>
      <c r="F568" s="13">
        <v>49.67</v>
      </c>
      <c r="G568" s="14">
        <v>45034.0</v>
      </c>
      <c r="H568" s="15">
        <f t="shared" si="1"/>
        <v>18</v>
      </c>
      <c r="I568" s="16">
        <f t="shared" si="2"/>
        <v>4</v>
      </c>
      <c r="J568" s="15">
        <f t="shared" si="3"/>
        <v>2023</v>
      </c>
      <c r="K568" s="16">
        <f>STANDARDIZE(F568,'estatística'!$C$2,'estatística'!$H$2)</f>
        <v>0.6124335275</v>
      </c>
    </row>
    <row r="569" ht="15.75" customHeight="1">
      <c r="A569" s="9">
        <v>29.0</v>
      </c>
      <c r="B569" s="10" t="s">
        <v>92</v>
      </c>
      <c r="C569" s="11" t="s">
        <v>93</v>
      </c>
      <c r="D569" s="10" t="s">
        <v>13</v>
      </c>
      <c r="E569" s="11" t="s">
        <v>107</v>
      </c>
      <c r="F569" s="13">
        <v>31.51</v>
      </c>
      <c r="G569" s="14">
        <v>45034.0</v>
      </c>
      <c r="H569" s="15">
        <f t="shared" si="1"/>
        <v>18</v>
      </c>
      <c r="I569" s="16">
        <f t="shared" si="2"/>
        <v>4</v>
      </c>
      <c r="J569" s="15">
        <f t="shared" si="3"/>
        <v>2023</v>
      </c>
      <c r="K569" s="16">
        <f>STANDARDIZE(F569,'estatística'!$C$2,'estatística'!$H$2)</f>
        <v>0.3825018992</v>
      </c>
    </row>
    <row r="570" ht="15.75" customHeight="1">
      <c r="A570" s="9">
        <v>83.0</v>
      </c>
      <c r="B570" s="10" t="s">
        <v>66</v>
      </c>
      <c r="C570" s="11" t="s">
        <v>67</v>
      </c>
      <c r="D570" s="10" t="s">
        <v>17</v>
      </c>
      <c r="E570" s="11" t="s">
        <v>21</v>
      </c>
      <c r="F570" s="13">
        <v>13.53</v>
      </c>
      <c r="G570" s="14">
        <v>45034.0</v>
      </c>
      <c r="H570" s="15">
        <f t="shared" si="1"/>
        <v>18</v>
      </c>
      <c r="I570" s="16">
        <f t="shared" si="2"/>
        <v>4</v>
      </c>
      <c r="J570" s="15">
        <f t="shared" si="3"/>
        <v>2023</v>
      </c>
      <c r="K570" s="16">
        <f>STANDARDIZE(F570,'estatística'!$C$2,'estatística'!$H$2)</f>
        <v>0.1548493289</v>
      </c>
    </row>
    <row r="571" ht="15.75" customHeight="1">
      <c r="A571" s="9">
        <v>5.0</v>
      </c>
      <c r="B571" s="10" t="s">
        <v>139</v>
      </c>
      <c r="C571" s="11" t="s">
        <v>140</v>
      </c>
      <c r="D571" s="10" t="s">
        <v>13</v>
      </c>
      <c r="E571" s="11" t="s">
        <v>68</v>
      </c>
      <c r="F571" s="13">
        <v>11.61</v>
      </c>
      <c r="G571" s="14">
        <v>45034.0</v>
      </c>
      <c r="H571" s="15">
        <f t="shared" si="1"/>
        <v>18</v>
      </c>
      <c r="I571" s="16">
        <f t="shared" si="2"/>
        <v>4</v>
      </c>
      <c r="J571" s="15">
        <f t="shared" si="3"/>
        <v>2023</v>
      </c>
      <c r="K571" s="16">
        <f>STANDARDIZE(F571,'estatística'!$C$2,'estatística'!$H$2)</f>
        <v>0.1305393771</v>
      </c>
    </row>
    <row r="572" ht="15.75" customHeight="1">
      <c r="A572" s="9">
        <v>31.0</v>
      </c>
      <c r="B572" s="10" t="s">
        <v>201</v>
      </c>
      <c r="C572" s="11" t="s">
        <v>202</v>
      </c>
      <c r="D572" s="10" t="s">
        <v>17</v>
      </c>
      <c r="E572" s="11" t="s">
        <v>91</v>
      </c>
      <c r="F572" s="13">
        <v>4.02</v>
      </c>
      <c r="G572" s="14">
        <v>45034.0</v>
      </c>
      <c r="H572" s="15">
        <f t="shared" si="1"/>
        <v>18</v>
      </c>
      <c r="I572" s="16">
        <f t="shared" si="2"/>
        <v>4</v>
      </c>
      <c r="J572" s="15">
        <f t="shared" si="3"/>
        <v>2023</v>
      </c>
      <c r="K572" s="16">
        <f>STANDARDIZE(F572,'estatística'!$C$2,'estatística'!$H$2)</f>
        <v>0.03443909851</v>
      </c>
    </row>
    <row r="573" ht="15.75" customHeight="1">
      <c r="A573" s="9">
        <v>87.0</v>
      </c>
      <c r="B573" s="10" t="s">
        <v>215</v>
      </c>
      <c r="C573" s="11" t="s">
        <v>216</v>
      </c>
      <c r="D573" s="10" t="s">
        <v>13</v>
      </c>
      <c r="E573" s="11" t="s">
        <v>57</v>
      </c>
      <c r="F573" s="13">
        <v>24.32</v>
      </c>
      <c r="G573" s="14">
        <v>45034.0</v>
      </c>
      <c r="H573" s="15">
        <f t="shared" si="1"/>
        <v>18</v>
      </c>
      <c r="I573" s="16">
        <f t="shared" si="2"/>
        <v>4</v>
      </c>
      <c r="J573" s="15">
        <f t="shared" si="3"/>
        <v>2023</v>
      </c>
      <c r="K573" s="16">
        <f>STANDARDIZE(F573,'estatística'!$C$2,'estatística'!$H$2)</f>
        <v>0.291466194</v>
      </c>
    </row>
    <row r="574" ht="15.75" customHeight="1">
      <c r="A574" s="9">
        <v>97.0</v>
      </c>
      <c r="B574" s="10" t="s">
        <v>44</v>
      </c>
      <c r="C574" s="11" t="s">
        <v>45</v>
      </c>
      <c r="D574" s="10" t="s">
        <v>13</v>
      </c>
      <c r="E574" s="11" t="s">
        <v>18</v>
      </c>
      <c r="F574" s="13">
        <v>42.34</v>
      </c>
      <c r="G574" s="14">
        <v>45034.0</v>
      </c>
      <c r="H574" s="15">
        <f t="shared" si="1"/>
        <v>18</v>
      </c>
      <c r="I574" s="16">
        <f t="shared" si="2"/>
        <v>4</v>
      </c>
      <c r="J574" s="15">
        <f t="shared" si="3"/>
        <v>2023</v>
      </c>
      <c r="K574" s="16">
        <f>STANDARDIZE(F574,'estatística'!$C$2,'estatística'!$H$2)</f>
        <v>0.5196252216</v>
      </c>
    </row>
    <row r="575" ht="15.75" customHeight="1">
      <c r="A575" s="9">
        <v>7.0</v>
      </c>
      <c r="B575" s="10" t="s">
        <v>83</v>
      </c>
      <c r="C575" s="11" t="s">
        <v>84</v>
      </c>
      <c r="D575" s="10" t="s">
        <v>13</v>
      </c>
      <c r="E575" s="11" t="s">
        <v>80</v>
      </c>
      <c r="F575" s="13">
        <v>37.23</v>
      </c>
      <c r="G575" s="14">
        <v>45035.0</v>
      </c>
      <c r="H575" s="15">
        <f t="shared" si="1"/>
        <v>19</v>
      </c>
      <c r="I575" s="16">
        <f t="shared" si="2"/>
        <v>4</v>
      </c>
      <c r="J575" s="15">
        <f t="shared" si="3"/>
        <v>2023</v>
      </c>
      <c r="K575" s="16">
        <f>STANDARDIZE(F575,'estatística'!$C$2,'estatística'!$H$2)</f>
        <v>0.4549252975</v>
      </c>
    </row>
    <row r="576" ht="15.75" customHeight="1">
      <c r="A576" s="9">
        <v>1.0</v>
      </c>
      <c r="B576" s="10" t="s">
        <v>166</v>
      </c>
      <c r="C576" s="11" t="s">
        <v>167</v>
      </c>
      <c r="D576" s="10" t="s">
        <v>13</v>
      </c>
      <c r="E576" s="11" t="s">
        <v>21</v>
      </c>
      <c r="F576" s="13">
        <v>16.55</v>
      </c>
      <c r="G576" s="14">
        <v>45035.0</v>
      </c>
      <c r="H576" s="15">
        <f t="shared" si="1"/>
        <v>19</v>
      </c>
      <c r="I576" s="16">
        <f t="shared" si="2"/>
        <v>4</v>
      </c>
      <c r="J576" s="15">
        <f t="shared" si="3"/>
        <v>2023</v>
      </c>
      <c r="K576" s="16">
        <f>STANDARDIZE(F576,'estatística'!$C$2,'estatística'!$H$2)</f>
        <v>0.1930868574</v>
      </c>
    </row>
    <row r="577" ht="15.75" customHeight="1">
      <c r="A577" s="9">
        <v>89.0</v>
      </c>
      <c r="B577" s="10" t="s">
        <v>105</v>
      </c>
      <c r="C577" s="11" t="s">
        <v>106</v>
      </c>
      <c r="D577" s="10" t="s">
        <v>17</v>
      </c>
      <c r="E577" s="11" t="s">
        <v>14</v>
      </c>
      <c r="F577" s="13">
        <v>10.57</v>
      </c>
      <c r="G577" s="14">
        <v>45035.0</v>
      </c>
      <c r="H577" s="15">
        <f t="shared" si="1"/>
        <v>19</v>
      </c>
      <c r="I577" s="16">
        <f t="shared" si="2"/>
        <v>4</v>
      </c>
      <c r="J577" s="15">
        <f t="shared" si="3"/>
        <v>2023</v>
      </c>
      <c r="K577" s="16">
        <f>STANDARDIZE(F577,'estatística'!$C$2,'estatística'!$H$2)</f>
        <v>0.1173714865</v>
      </c>
    </row>
    <row r="578" ht="15.75" customHeight="1">
      <c r="A578" s="9">
        <v>88.0</v>
      </c>
      <c r="B578" s="10" t="s">
        <v>172</v>
      </c>
      <c r="C578" s="11" t="s">
        <v>178</v>
      </c>
      <c r="D578" s="10" t="s">
        <v>17</v>
      </c>
      <c r="E578" s="11" t="s">
        <v>48</v>
      </c>
      <c r="F578" s="13">
        <v>7.61</v>
      </c>
      <c r="G578" s="14">
        <v>45035.0</v>
      </c>
      <c r="H578" s="15">
        <f t="shared" si="1"/>
        <v>19</v>
      </c>
      <c r="I578" s="16">
        <f t="shared" si="2"/>
        <v>4</v>
      </c>
      <c r="J578" s="15">
        <f t="shared" si="3"/>
        <v>2023</v>
      </c>
      <c r="K578" s="16">
        <f>STANDARDIZE(F578,'estatística'!$C$2,'estatística'!$H$2)</f>
        <v>0.07989364396</v>
      </c>
    </row>
    <row r="579" ht="15.75" customHeight="1">
      <c r="A579" s="9">
        <v>19.0</v>
      </c>
      <c r="B579" s="10" t="s">
        <v>25</v>
      </c>
      <c r="C579" s="11" t="s">
        <v>165</v>
      </c>
      <c r="D579" s="10" t="s">
        <v>17</v>
      </c>
      <c r="E579" s="11" t="s">
        <v>27</v>
      </c>
      <c r="F579" s="13">
        <v>17.52</v>
      </c>
      <c r="G579" s="14">
        <v>45035.0</v>
      </c>
      <c r="H579" s="15">
        <f t="shared" si="1"/>
        <v>19</v>
      </c>
      <c r="I579" s="16">
        <f t="shared" si="2"/>
        <v>4</v>
      </c>
      <c r="J579" s="15">
        <f t="shared" si="3"/>
        <v>2023</v>
      </c>
      <c r="K579" s="16">
        <f>STANDARDIZE(F579,'estatística'!$C$2,'estatística'!$H$2)</f>
        <v>0.2053684477</v>
      </c>
    </row>
    <row r="580" ht="15.75" customHeight="1">
      <c r="A580" s="9">
        <v>82.0</v>
      </c>
      <c r="B580" s="10" t="s">
        <v>203</v>
      </c>
      <c r="C580" s="11" t="s">
        <v>204</v>
      </c>
      <c r="D580" s="10" t="s">
        <v>17</v>
      </c>
      <c r="E580" s="11" t="s">
        <v>68</v>
      </c>
      <c r="F580" s="13">
        <v>14.53</v>
      </c>
      <c r="G580" s="14">
        <v>45035.0</v>
      </c>
      <c r="H580" s="15">
        <f t="shared" si="1"/>
        <v>19</v>
      </c>
      <c r="I580" s="16">
        <f t="shared" si="2"/>
        <v>4</v>
      </c>
      <c r="J580" s="15">
        <f t="shared" si="3"/>
        <v>2023</v>
      </c>
      <c r="K580" s="16">
        <f>STANDARDIZE(F580,'estatística'!$C$2,'estatística'!$H$2)</f>
        <v>0.1675107622</v>
      </c>
    </row>
    <row r="581" ht="15.75" customHeight="1">
      <c r="A581" s="9">
        <v>81.0</v>
      </c>
      <c r="B581" s="10" t="s">
        <v>34</v>
      </c>
      <c r="C581" s="11" t="s">
        <v>35</v>
      </c>
      <c r="D581" s="10" t="s">
        <v>17</v>
      </c>
      <c r="E581" s="11" t="s">
        <v>62</v>
      </c>
      <c r="F581" s="13">
        <v>12.11</v>
      </c>
      <c r="G581" s="14">
        <v>45035.0</v>
      </c>
      <c r="H581" s="15">
        <f t="shared" si="1"/>
        <v>19</v>
      </c>
      <c r="I581" s="16">
        <f t="shared" si="2"/>
        <v>4</v>
      </c>
      <c r="J581" s="15">
        <f t="shared" si="3"/>
        <v>2023</v>
      </c>
      <c r="K581" s="16">
        <f>STANDARDIZE(F581,'estatística'!$C$2,'estatística'!$H$2)</f>
        <v>0.1368700937</v>
      </c>
    </row>
    <row r="582" ht="15.75" customHeight="1">
      <c r="A582" s="9">
        <v>63.0</v>
      </c>
      <c r="B582" s="10" t="s">
        <v>197</v>
      </c>
      <c r="C582" s="11" t="s">
        <v>198</v>
      </c>
      <c r="D582" s="10" t="s">
        <v>17</v>
      </c>
      <c r="E582" s="11" t="s">
        <v>21</v>
      </c>
      <c r="F582" s="13">
        <v>15.4</v>
      </c>
      <c r="G582" s="14">
        <v>45035.0</v>
      </c>
      <c r="H582" s="15">
        <f t="shared" si="1"/>
        <v>19</v>
      </c>
      <c r="I582" s="16">
        <f t="shared" si="2"/>
        <v>4</v>
      </c>
      <c r="J582" s="15">
        <f t="shared" si="3"/>
        <v>2023</v>
      </c>
      <c r="K582" s="16">
        <f>STANDARDIZE(F582,'estatística'!$C$2,'estatística'!$H$2)</f>
        <v>0.1785262092</v>
      </c>
    </row>
    <row r="583" ht="15.75" customHeight="1">
      <c r="A583" s="9">
        <v>55.0</v>
      </c>
      <c r="B583" s="10" t="s">
        <v>174</v>
      </c>
      <c r="C583" s="11" t="s">
        <v>175</v>
      </c>
      <c r="D583" s="10" t="s">
        <v>13</v>
      </c>
      <c r="E583" s="11" t="s">
        <v>33</v>
      </c>
      <c r="F583" s="13">
        <v>60.6</v>
      </c>
      <c r="G583" s="14">
        <v>45036.0</v>
      </c>
      <c r="H583" s="15">
        <f t="shared" si="1"/>
        <v>20</v>
      </c>
      <c r="I583" s="16">
        <f t="shared" si="2"/>
        <v>4</v>
      </c>
      <c r="J583" s="15">
        <f t="shared" si="3"/>
        <v>2023</v>
      </c>
      <c r="K583" s="16">
        <f>STANDARDIZE(F583,'estatística'!$C$2,'estatística'!$H$2)</f>
        <v>0.7508229932</v>
      </c>
    </row>
    <row r="584" ht="15.75" customHeight="1">
      <c r="A584" s="9">
        <v>69.0</v>
      </c>
      <c r="B584" s="10" t="s">
        <v>75</v>
      </c>
      <c r="C584" s="11" t="s">
        <v>117</v>
      </c>
      <c r="D584" s="10" t="s">
        <v>17</v>
      </c>
      <c r="E584" s="11" t="s">
        <v>14</v>
      </c>
      <c r="F584" s="13">
        <v>10.46</v>
      </c>
      <c r="G584" s="14">
        <v>45036.0</v>
      </c>
      <c r="H584" s="15">
        <f t="shared" si="1"/>
        <v>20</v>
      </c>
      <c r="I584" s="16">
        <f t="shared" si="2"/>
        <v>4</v>
      </c>
      <c r="J584" s="15">
        <f t="shared" si="3"/>
        <v>2023</v>
      </c>
      <c r="K584" s="16">
        <f>STANDARDIZE(F584,'estatística'!$C$2,'estatística'!$H$2)</f>
        <v>0.1159787288</v>
      </c>
    </row>
    <row r="585" ht="15.75" customHeight="1">
      <c r="A585" s="9">
        <v>13.0</v>
      </c>
      <c r="B585" s="10" t="s">
        <v>108</v>
      </c>
      <c r="C585" s="11" t="s">
        <v>109</v>
      </c>
      <c r="D585" s="10" t="s">
        <v>17</v>
      </c>
      <c r="E585" s="11" t="s">
        <v>68</v>
      </c>
      <c r="F585" s="13">
        <v>10.07</v>
      </c>
      <c r="G585" s="14">
        <v>45036.0</v>
      </c>
      <c r="H585" s="15">
        <f t="shared" si="1"/>
        <v>20</v>
      </c>
      <c r="I585" s="16">
        <f t="shared" si="2"/>
        <v>4</v>
      </c>
      <c r="J585" s="15">
        <f t="shared" si="3"/>
        <v>2023</v>
      </c>
      <c r="K585" s="16">
        <f>STANDARDIZE(F585,'estatística'!$C$2,'estatística'!$H$2)</f>
        <v>0.1110407698</v>
      </c>
    </row>
    <row r="586" ht="15.75" customHeight="1">
      <c r="A586" s="9">
        <v>10.0</v>
      </c>
      <c r="B586" s="10" t="s">
        <v>120</v>
      </c>
      <c r="C586" s="11" t="s">
        <v>121</v>
      </c>
      <c r="D586" s="10" t="s">
        <v>13</v>
      </c>
      <c r="E586" s="11" t="s">
        <v>33</v>
      </c>
      <c r="F586" s="13">
        <v>56.69</v>
      </c>
      <c r="G586" s="14">
        <v>45036.0</v>
      </c>
      <c r="H586" s="15">
        <f t="shared" si="1"/>
        <v>20</v>
      </c>
      <c r="I586" s="16">
        <f t="shared" si="2"/>
        <v>4</v>
      </c>
      <c r="J586" s="15">
        <f t="shared" si="3"/>
        <v>2023</v>
      </c>
      <c r="K586" s="16">
        <f>STANDARDIZE(F586,'estatística'!$C$2,'estatística'!$H$2)</f>
        <v>0.7013167891</v>
      </c>
    </row>
    <row r="587" ht="15.75" customHeight="1">
      <c r="A587" s="9">
        <v>60.0</v>
      </c>
      <c r="B587" s="10" t="s">
        <v>42</v>
      </c>
      <c r="C587" s="11" t="s">
        <v>43</v>
      </c>
      <c r="D587" s="10" t="s">
        <v>17</v>
      </c>
      <c r="E587" s="11" t="s">
        <v>57</v>
      </c>
      <c r="F587" s="13">
        <v>15.15</v>
      </c>
      <c r="G587" s="14">
        <v>45037.0</v>
      </c>
      <c r="H587" s="15">
        <f t="shared" si="1"/>
        <v>21</v>
      </c>
      <c r="I587" s="16">
        <f t="shared" si="2"/>
        <v>4</v>
      </c>
      <c r="J587" s="15">
        <f t="shared" si="3"/>
        <v>2023</v>
      </c>
      <c r="K587" s="16">
        <f>STANDARDIZE(F587,'estatística'!$C$2,'estatística'!$H$2)</f>
        <v>0.1753608508</v>
      </c>
    </row>
    <row r="588" ht="15.75" customHeight="1">
      <c r="A588" s="9">
        <v>80.0</v>
      </c>
      <c r="B588" s="10" t="s">
        <v>22</v>
      </c>
      <c r="C588" s="11" t="s">
        <v>23</v>
      </c>
      <c r="D588" s="10" t="s">
        <v>17</v>
      </c>
      <c r="E588" s="11" t="s">
        <v>77</v>
      </c>
      <c r="F588" s="13">
        <v>16.45</v>
      </c>
      <c r="G588" s="14">
        <v>45037.0</v>
      </c>
      <c r="H588" s="15">
        <f t="shared" si="1"/>
        <v>21</v>
      </c>
      <c r="I588" s="16">
        <f t="shared" si="2"/>
        <v>4</v>
      </c>
      <c r="J588" s="15">
        <f t="shared" si="3"/>
        <v>2023</v>
      </c>
      <c r="K588" s="16">
        <f>STANDARDIZE(F588,'estatística'!$C$2,'estatística'!$H$2)</f>
        <v>0.1918207141</v>
      </c>
    </row>
    <row r="589" ht="15.75" customHeight="1">
      <c r="A589" s="9">
        <v>27.0</v>
      </c>
      <c r="B589" s="10" t="s">
        <v>145</v>
      </c>
      <c r="C589" s="11" t="s">
        <v>146</v>
      </c>
      <c r="D589" s="10" t="s">
        <v>13</v>
      </c>
      <c r="E589" s="11" t="s">
        <v>68</v>
      </c>
      <c r="F589" s="13">
        <v>10.57</v>
      </c>
      <c r="G589" s="14">
        <v>45037.0</v>
      </c>
      <c r="H589" s="15">
        <f t="shared" si="1"/>
        <v>21</v>
      </c>
      <c r="I589" s="16">
        <f t="shared" si="2"/>
        <v>4</v>
      </c>
      <c r="J589" s="15">
        <f t="shared" si="3"/>
        <v>2023</v>
      </c>
      <c r="K589" s="16">
        <f>STANDARDIZE(F589,'estatística'!$C$2,'estatística'!$H$2)</f>
        <v>0.1173714865</v>
      </c>
    </row>
    <row r="590" ht="15.75" customHeight="1">
      <c r="A590" s="9">
        <v>35.0</v>
      </c>
      <c r="B590" s="10" t="s">
        <v>95</v>
      </c>
      <c r="C590" s="11" t="s">
        <v>96</v>
      </c>
      <c r="D590" s="10" t="s">
        <v>13</v>
      </c>
      <c r="E590" s="11" t="s">
        <v>21</v>
      </c>
      <c r="F590" s="13">
        <v>21.24</v>
      </c>
      <c r="G590" s="14">
        <v>45037.0</v>
      </c>
      <c r="H590" s="15">
        <f t="shared" si="1"/>
        <v>21</v>
      </c>
      <c r="I590" s="16">
        <f t="shared" si="2"/>
        <v>4</v>
      </c>
      <c r="J590" s="15">
        <f t="shared" si="3"/>
        <v>2023</v>
      </c>
      <c r="K590" s="16">
        <f>STANDARDIZE(F590,'estatística'!$C$2,'estatística'!$H$2)</f>
        <v>0.2524689795</v>
      </c>
    </row>
    <row r="591" ht="15.75" customHeight="1">
      <c r="A591" s="9">
        <v>77.0</v>
      </c>
      <c r="B591" s="10" t="s">
        <v>11</v>
      </c>
      <c r="C591" s="11" t="s">
        <v>141</v>
      </c>
      <c r="D591" s="10" t="s">
        <v>17</v>
      </c>
      <c r="E591" s="11" t="s">
        <v>39</v>
      </c>
      <c r="F591" s="13">
        <v>47.57</v>
      </c>
      <c r="G591" s="14">
        <v>45037.0</v>
      </c>
      <c r="H591" s="15">
        <f t="shared" si="1"/>
        <v>21</v>
      </c>
      <c r="I591" s="16">
        <f t="shared" si="2"/>
        <v>4</v>
      </c>
      <c r="J591" s="15">
        <f t="shared" si="3"/>
        <v>2023</v>
      </c>
      <c r="K591" s="16">
        <f>STANDARDIZE(F591,'estatística'!$C$2,'estatística'!$H$2)</f>
        <v>0.5858445176</v>
      </c>
    </row>
    <row r="592" ht="15.75" customHeight="1">
      <c r="A592" s="9">
        <v>31.0</v>
      </c>
      <c r="B592" s="10" t="s">
        <v>201</v>
      </c>
      <c r="C592" s="11" t="s">
        <v>202</v>
      </c>
      <c r="D592" s="10" t="s">
        <v>13</v>
      </c>
      <c r="E592" s="11" t="s">
        <v>65</v>
      </c>
      <c r="F592" s="13">
        <v>35.07</v>
      </c>
      <c r="G592" s="14">
        <v>45038.0</v>
      </c>
      <c r="H592" s="15">
        <f t="shared" si="1"/>
        <v>22</v>
      </c>
      <c r="I592" s="16">
        <f t="shared" si="2"/>
        <v>4</v>
      </c>
      <c r="J592" s="15">
        <f t="shared" si="3"/>
        <v>2023</v>
      </c>
      <c r="K592" s="16">
        <f>STANDARDIZE(F592,'estatística'!$C$2,'estatística'!$H$2)</f>
        <v>0.4275766017</v>
      </c>
    </row>
    <row r="593" ht="15.75" customHeight="1">
      <c r="A593" s="9">
        <v>74.0</v>
      </c>
      <c r="B593" s="10" t="s">
        <v>11</v>
      </c>
      <c r="C593" s="11" t="s">
        <v>94</v>
      </c>
      <c r="D593" s="10" t="s">
        <v>13</v>
      </c>
      <c r="E593" s="11" t="s">
        <v>91</v>
      </c>
      <c r="F593" s="13">
        <v>2.52</v>
      </c>
      <c r="G593" s="14">
        <v>45038.0</v>
      </c>
      <c r="H593" s="15">
        <f t="shared" si="1"/>
        <v>22</v>
      </c>
      <c r="I593" s="16">
        <f t="shared" si="2"/>
        <v>4</v>
      </c>
      <c r="J593" s="15">
        <f t="shared" si="3"/>
        <v>2023</v>
      </c>
      <c r="K593" s="16">
        <f>STANDARDIZE(F593,'estatística'!$C$2,'estatística'!$H$2)</f>
        <v>0.01544694859</v>
      </c>
    </row>
    <row r="594" ht="15.75" customHeight="1">
      <c r="A594" s="9">
        <v>88.0</v>
      </c>
      <c r="B594" s="10" t="s">
        <v>172</v>
      </c>
      <c r="C594" s="11" t="s">
        <v>178</v>
      </c>
      <c r="D594" s="10" t="s">
        <v>13</v>
      </c>
      <c r="E594" s="11" t="s">
        <v>48</v>
      </c>
      <c r="F594" s="13">
        <v>17.24</v>
      </c>
      <c r="G594" s="14">
        <v>45038.0</v>
      </c>
      <c r="H594" s="15">
        <f t="shared" si="1"/>
        <v>22</v>
      </c>
      <c r="I594" s="16">
        <f t="shared" si="2"/>
        <v>4</v>
      </c>
      <c r="J594" s="15">
        <f t="shared" si="3"/>
        <v>2023</v>
      </c>
      <c r="K594" s="16">
        <f>STANDARDIZE(F594,'estatística'!$C$2,'estatística'!$H$2)</f>
        <v>0.2018232464</v>
      </c>
    </row>
    <row r="595" ht="15.75" customHeight="1">
      <c r="A595" s="9">
        <v>79.0</v>
      </c>
      <c r="B595" s="10" t="s">
        <v>69</v>
      </c>
      <c r="C595" s="11" t="s">
        <v>70</v>
      </c>
      <c r="D595" s="10" t="s">
        <v>13</v>
      </c>
      <c r="E595" s="11" t="s">
        <v>62</v>
      </c>
      <c r="F595" s="13">
        <v>11.48</v>
      </c>
      <c r="G595" s="14">
        <v>45038.0</v>
      </c>
      <c r="H595" s="15">
        <f t="shared" si="1"/>
        <v>22</v>
      </c>
      <c r="I595" s="16">
        <f t="shared" si="2"/>
        <v>4</v>
      </c>
      <c r="J595" s="15">
        <f t="shared" si="3"/>
        <v>2023</v>
      </c>
      <c r="K595" s="16">
        <f>STANDARDIZE(F595,'estatística'!$C$2,'estatística'!$H$2)</f>
        <v>0.1288933907</v>
      </c>
    </row>
    <row r="596" ht="15.75" customHeight="1">
      <c r="A596" s="9">
        <v>91.0</v>
      </c>
      <c r="B596" s="10" t="s">
        <v>81</v>
      </c>
      <c r="C596" s="11" t="s">
        <v>82</v>
      </c>
      <c r="D596" s="10" t="s">
        <v>17</v>
      </c>
      <c r="E596" s="11" t="s">
        <v>29</v>
      </c>
      <c r="F596" s="13">
        <v>13.25</v>
      </c>
      <c r="G596" s="14">
        <v>45038.0</v>
      </c>
      <c r="H596" s="15">
        <f t="shared" si="1"/>
        <v>22</v>
      </c>
      <c r="I596" s="16">
        <f t="shared" si="2"/>
        <v>4</v>
      </c>
      <c r="J596" s="15">
        <f t="shared" si="3"/>
        <v>2023</v>
      </c>
      <c r="K596" s="16">
        <f>STANDARDIZE(F596,'estatística'!$C$2,'estatística'!$H$2)</f>
        <v>0.1513041276</v>
      </c>
    </row>
    <row r="597" ht="15.75" customHeight="1">
      <c r="A597" s="9">
        <v>63.0</v>
      </c>
      <c r="B597" s="10" t="s">
        <v>197</v>
      </c>
      <c r="C597" s="11" t="s">
        <v>198</v>
      </c>
      <c r="D597" s="10" t="s">
        <v>17</v>
      </c>
      <c r="E597" s="11" t="s">
        <v>65</v>
      </c>
      <c r="F597" s="13">
        <v>26.81</v>
      </c>
      <c r="G597" s="14">
        <v>45038.0</v>
      </c>
      <c r="H597" s="15">
        <f t="shared" si="1"/>
        <v>22</v>
      </c>
      <c r="I597" s="16">
        <f t="shared" si="2"/>
        <v>4</v>
      </c>
      <c r="J597" s="15">
        <f t="shared" si="3"/>
        <v>2023</v>
      </c>
      <c r="K597" s="16">
        <f>STANDARDIZE(F597,'estatística'!$C$2,'estatística'!$H$2)</f>
        <v>0.3229931628</v>
      </c>
    </row>
    <row r="598" ht="15.75" customHeight="1">
      <c r="A598" s="9">
        <v>43.0</v>
      </c>
      <c r="B598" s="10" t="s">
        <v>63</v>
      </c>
      <c r="C598" s="11" t="s">
        <v>64</v>
      </c>
      <c r="D598" s="10" t="s">
        <v>17</v>
      </c>
      <c r="E598" s="11" t="s">
        <v>32</v>
      </c>
      <c r="F598" s="13">
        <v>24.91</v>
      </c>
      <c r="G598" s="14">
        <v>45038.0</v>
      </c>
      <c r="H598" s="15">
        <f t="shared" si="1"/>
        <v>22</v>
      </c>
      <c r="I598" s="16">
        <f t="shared" si="2"/>
        <v>4</v>
      </c>
      <c r="J598" s="15">
        <f t="shared" si="3"/>
        <v>2023</v>
      </c>
      <c r="K598" s="16">
        <f>STANDARDIZE(F598,'estatística'!$C$2,'estatística'!$H$2)</f>
        <v>0.2989364396</v>
      </c>
    </row>
    <row r="599" ht="15.75" customHeight="1">
      <c r="A599" s="9">
        <v>56.0</v>
      </c>
      <c r="B599" s="10" t="s">
        <v>97</v>
      </c>
      <c r="C599" s="11" t="s">
        <v>98</v>
      </c>
      <c r="D599" s="10" t="s">
        <v>13</v>
      </c>
      <c r="E599" s="11" t="s">
        <v>32</v>
      </c>
      <c r="F599" s="13">
        <v>28.59</v>
      </c>
      <c r="G599" s="14">
        <v>45038.0</v>
      </c>
      <c r="H599" s="15">
        <f t="shared" si="1"/>
        <v>22</v>
      </c>
      <c r="I599" s="16">
        <f t="shared" si="2"/>
        <v>4</v>
      </c>
      <c r="J599" s="15">
        <f t="shared" si="3"/>
        <v>2023</v>
      </c>
      <c r="K599" s="16">
        <f>STANDARDIZE(F599,'estatística'!$C$2,'estatística'!$H$2)</f>
        <v>0.3455305141</v>
      </c>
    </row>
    <row r="600" ht="15.75" customHeight="1">
      <c r="A600" s="9">
        <v>2.0</v>
      </c>
      <c r="B600" s="10" t="s">
        <v>53</v>
      </c>
      <c r="C600" s="11" t="s">
        <v>54</v>
      </c>
      <c r="D600" s="10" t="s">
        <v>17</v>
      </c>
      <c r="E600" s="11" t="s">
        <v>18</v>
      </c>
      <c r="F600" s="13">
        <v>38.39</v>
      </c>
      <c r="G600" s="14">
        <v>45038.0</v>
      </c>
      <c r="H600" s="15">
        <f t="shared" si="1"/>
        <v>22</v>
      </c>
      <c r="I600" s="16">
        <f t="shared" si="2"/>
        <v>4</v>
      </c>
      <c r="J600" s="15">
        <f t="shared" si="3"/>
        <v>2023</v>
      </c>
      <c r="K600" s="16">
        <f>STANDARDIZE(F600,'estatística'!$C$2,'estatística'!$H$2)</f>
        <v>0.4696125601</v>
      </c>
    </row>
    <row r="601" ht="15.75" customHeight="1">
      <c r="A601" s="9">
        <v>85.0</v>
      </c>
      <c r="B601" s="10" t="s">
        <v>170</v>
      </c>
      <c r="C601" s="11" t="s">
        <v>171</v>
      </c>
      <c r="D601" s="10" t="s">
        <v>17</v>
      </c>
      <c r="E601" s="11" t="s">
        <v>36</v>
      </c>
      <c r="F601" s="13">
        <v>74.74</v>
      </c>
      <c r="G601" s="14">
        <v>45039.0</v>
      </c>
      <c r="H601" s="15">
        <f t="shared" si="1"/>
        <v>23</v>
      </c>
      <c r="I601" s="16">
        <f t="shared" si="2"/>
        <v>4</v>
      </c>
      <c r="J601" s="15">
        <f t="shared" si="3"/>
        <v>2023</v>
      </c>
      <c r="K601" s="16">
        <f>STANDARDIZE(F601,'estatística'!$C$2,'estatística'!$H$2)</f>
        <v>0.9298556597</v>
      </c>
    </row>
    <row r="602" ht="15.75" customHeight="1">
      <c r="A602" s="9">
        <v>44.0</v>
      </c>
      <c r="B602" s="10" t="s">
        <v>187</v>
      </c>
      <c r="C602" s="11" t="s">
        <v>188</v>
      </c>
      <c r="D602" s="10" t="s">
        <v>13</v>
      </c>
      <c r="E602" s="11" t="s">
        <v>116</v>
      </c>
      <c r="F602" s="13">
        <v>3.21</v>
      </c>
      <c r="G602" s="14">
        <v>45039.0</v>
      </c>
      <c r="H602" s="15">
        <f t="shared" si="1"/>
        <v>23</v>
      </c>
      <c r="I602" s="16">
        <f t="shared" si="2"/>
        <v>4</v>
      </c>
      <c r="J602" s="15">
        <f t="shared" si="3"/>
        <v>2023</v>
      </c>
      <c r="K602" s="16">
        <f>STANDARDIZE(F602,'estatística'!$C$2,'estatística'!$H$2)</f>
        <v>0.02418333755</v>
      </c>
    </row>
    <row r="603" ht="15.75" customHeight="1">
      <c r="A603" s="9">
        <v>53.0</v>
      </c>
      <c r="B603" s="10" t="s">
        <v>213</v>
      </c>
      <c r="C603" s="11" t="s">
        <v>214</v>
      </c>
      <c r="D603" s="10" t="s">
        <v>13</v>
      </c>
      <c r="E603" s="11" t="s">
        <v>77</v>
      </c>
      <c r="F603" s="13">
        <v>12.32</v>
      </c>
      <c r="G603" s="14">
        <v>45039.0</v>
      </c>
      <c r="H603" s="15">
        <f t="shared" si="1"/>
        <v>23</v>
      </c>
      <c r="I603" s="16">
        <f t="shared" si="2"/>
        <v>4</v>
      </c>
      <c r="J603" s="15">
        <f t="shared" si="3"/>
        <v>2023</v>
      </c>
      <c r="K603" s="16">
        <f>STANDARDIZE(F603,'estatística'!$C$2,'estatística'!$H$2)</f>
        <v>0.1395289947</v>
      </c>
    </row>
    <row r="604" ht="15.75" customHeight="1">
      <c r="A604" s="9">
        <v>34.0</v>
      </c>
      <c r="B604" s="10" t="s">
        <v>149</v>
      </c>
      <c r="C604" s="11" t="s">
        <v>150</v>
      </c>
      <c r="D604" s="10" t="s">
        <v>17</v>
      </c>
      <c r="E604" s="11" t="s">
        <v>18</v>
      </c>
      <c r="F604" s="13">
        <v>56.47</v>
      </c>
      <c r="G604" s="14">
        <v>45040.0</v>
      </c>
      <c r="H604" s="15">
        <f t="shared" si="1"/>
        <v>24</v>
      </c>
      <c r="I604" s="16">
        <f t="shared" si="2"/>
        <v>4</v>
      </c>
      <c r="J604" s="15">
        <f t="shared" si="3"/>
        <v>2023</v>
      </c>
      <c r="K604" s="16">
        <f>STANDARDIZE(F604,'estatística'!$C$2,'estatística'!$H$2)</f>
        <v>0.6985312737</v>
      </c>
    </row>
    <row r="605" ht="15.75" customHeight="1">
      <c r="A605" s="9">
        <v>15.0</v>
      </c>
      <c r="B605" s="10" t="s">
        <v>37</v>
      </c>
      <c r="C605" s="11" t="s">
        <v>38</v>
      </c>
      <c r="D605" s="10" t="s">
        <v>13</v>
      </c>
      <c r="E605" s="11" t="s">
        <v>27</v>
      </c>
      <c r="F605" s="13">
        <v>18.32</v>
      </c>
      <c r="G605" s="14">
        <v>45040.0</v>
      </c>
      <c r="H605" s="15">
        <f t="shared" si="1"/>
        <v>24</v>
      </c>
      <c r="I605" s="16">
        <f t="shared" si="2"/>
        <v>4</v>
      </c>
      <c r="J605" s="15">
        <f t="shared" si="3"/>
        <v>2023</v>
      </c>
      <c r="K605" s="16">
        <f>STANDARDIZE(F605,'estatística'!$C$2,'estatística'!$H$2)</f>
        <v>0.2154975943</v>
      </c>
    </row>
    <row r="606" ht="15.75" customHeight="1">
      <c r="A606" s="9">
        <v>72.0</v>
      </c>
      <c r="B606" s="10" t="s">
        <v>103</v>
      </c>
      <c r="C606" s="11" t="s">
        <v>104</v>
      </c>
      <c r="D606" s="10" t="s">
        <v>13</v>
      </c>
      <c r="E606" s="11" t="s">
        <v>80</v>
      </c>
      <c r="F606" s="13">
        <v>31.5</v>
      </c>
      <c r="G606" s="14">
        <v>45040.0</v>
      </c>
      <c r="H606" s="15">
        <f t="shared" si="1"/>
        <v>24</v>
      </c>
      <c r="I606" s="16">
        <f t="shared" si="2"/>
        <v>4</v>
      </c>
      <c r="J606" s="15">
        <f t="shared" si="3"/>
        <v>2023</v>
      </c>
      <c r="K606" s="16">
        <f>STANDARDIZE(F606,'estatística'!$C$2,'estatística'!$H$2)</f>
        <v>0.3823752849</v>
      </c>
    </row>
    <row r="607" ht="15.75" customHeight="1">
      <c r="A607" s="9">
        <v>5.0</v>
      </c>
      <c r="B607" s="10" t="s">
        <v>139</v>
      </c>
      <c r="C607" s="11" t="s">
        <v>140</v>
      </c>
      <c r="D607" s="10" t="s">
        <v>13</v>
      </c>
      <c r="E607" s="11" t="s">
        <v>36</v>
      </c>
      <c r="F607" s="13">
        <v>69.58</v>
      </c>
      <c r="G607" s="14">
        <v>45040.0</v>
      </c>
      <c r="H607" s="15">
        <f t="shared" si="1"/>
        <v>24</v>
      </c>
      <c r="I607" s="16">
        <f t="shared" si="2"/>
        <v>4</v>
      </c>
      <c r="J607" s="15">
        <f t="shared" si="3"/>
        <v>2023</v>
      </c>
      <c r="K607" s="16">
        <f>STANDARDIZE(F607,'estatística'!$C$2,'estatística'!$H$2)</f>
        <v>0.864522664</v>
      </c>
    </row>
    <row r="608" ht="15.75" customHeight="1">
      <c r="A608" s="9">
        <v>86.0</v>
      </c>
      <c r="B608" s="10" t="s">
        <v>40</v>
      </c>
      <c r="C608" s="11" t="s">
        <v>41</v>
      </c>
      <c r="D608" s="10" t="s">
        <v>17</v>
      </c>
      <c r="E608" s="11" t="s">
        <v>29</v>
      </c>
      <c r="F608" s="13">
        <v>12.98</v>
      </c>
      <c r="G608" s="14">
        <v>45041.0</v>
      </c>
      <c r="H608" s="15">
        <f t="shared" si="1"/>
        <v>25</v>
      </c>
      <c r="I608" s="16">
        <f t="shared" si="2"/>
        <v>4</v>
      </c>
      <c r="J608" s="15">
        <f t="shared" si="3"/>
        <v>2023</v>
      </c>
      <c r="K608" s="16">
        <f>STANDARDIZE(F608,'estatística'!$C$2,'estatística'!$H$2)</f>
        <v>0.1478855406</v>
      </c>
    </row>
    <row r="609" ht="15.75" customHeight="1">
      <c r="A609" s="9">
        <v>50.0</v>
      </c>
      <c r="B609" s="10" t="s">
        <v>19</v>
      </c>
      <c r="C609" s="11" t="s">
        <v>20</v>
      </c>
      <c r="D609" s="10" t="s">
        <v>13</v>
      </c>
      <c r="E609" s="11" t="s">
        <v>32</v>
      </c>
      <c r="F609" s="13">
        <v>25.03</v>
      </c>
      <c r="G609" s="14">
        <v>45041.0</v>
      </c>
      <c r="H609" s="15">
        <f t="shared" si="1"/>
        <v>25</v>
      </c>
      <c r="I609" s="16">
        <f t="shared" si="2"/>
        <v>4</v>
      </c>
      <c r="J609" s="15">
        <f t="shared" si="3"/>
        <v>2023</v>
      </c>
      <c r="K609" s="16">
        <f>STANDARDIZE(F609,'estatística'!$C$2,'estatística'!$H$2)</f>
        <v>0.3004558116</v>
      </c>
    </row>
    <row r="610" ht="15.75" customHeight="1">
      <c r="A610" s="9">
        <v>66.0</v>
      </c>
      <c r="B610" s="10" t="s">
        <v>122</v>
      </c>
      <c r="C610" s="11" t="s">
        <v>130</v>
      </c>
      <c r="D610" s="10" t="s">
        <v>13</v>
      </c>
      <c r="E610" s="11" t="s">
        <v>33</v>
      </c>
      <c r="F610" s="13">
        <v>47.04</v>
      </c>
      <c r="G610" s="14">
        <v>45041.0</v>
      </c>
      <c r="H610" s="15">
        <f t="shared" si="1"/>
        <v>25</v>
      </c>
      <c r="I610" s="16">
        <f t="shared" si="2"/>
        <v>4</v>
      </c>
      <c r="J610" s="15">
        <f t="shared" si="3"/>
        <v>2023</v>
      </c>
      <c r="K610" s="16">
        <f>STANDARDIZE(F610,'estatística'!$C$2,'estatística'!$H$2)</f>
        <v>0.579133958</v>
      </c>
    </row>
    <row r="611" ht="15.75" customHeight="1">
      <c r="A611" s="9">
        <v>45.0</v>
      </c>
      <c r="B611" s="10" t="s">
        <v>193</v>
      </c>
      <c r="C611" s="11" t="s">
        <v>194</v>
      </c>
      <c r="D611" s="10" t="s">
        <v>13</v>
      </c>
      <c r="E611" s="11" t="s">
        <v>36</v>
      </c>
      <c r="F611" s="13">
        <v>66.35</v>
      </c>
      <c r="G611" s="14">
        <v>45041.0</v>
      </c>
      <c r="H611" s="15">
        <f t="shared" si="1"/>
        <v>25</v>
      </c>
      <c r="I611" s="16">
        <f t="shared" si="2"/>
        <v>4</v>
      </c>
      <c r="J611" s="15">
        <f t="shared" si="3"/>
        <v>2023</v>
      </c>
      <c r="K611" s="16">
        <f>STANDARDIZE(F611,'estatística'!$C$2,'estatística'!$H$2)</f>
        <v>0.8236262345</v>
      </c>
    </row>
    <row r="612" ht="15.75" customHeight="1">
      <c r="A612" s="9">
        <v>69.0</v>
      </c>
      <c r="B612" s="10" t="s">
        <v>75</v>
      </c>
      <c r="C612" s="11" t="s">
        <v>117</v>
      </c>
      <c r="D612" s="10" t="s">
        <v>13</v>
      </c>
      <c r="E612" s="11" t="s">
        <v>21</v>
      </c>
      <c r="F612" s="13">
        <v>16.61</v>
      </c>
      <c r="G612" s="14">
        <v>45041.0</v>
      </c>
      <c r="H612" s="15">
        <f t="shared" si="1"/>
        <v>25</v>
      </c>
      <c r="I612" s="16">
        <f t="shared" si="2"/>
        <v>4</v>
      </c>
      <c r="J612" s="15">
        <f t="shared" si="3"/>
        <v>2023</v>
      </c>
      <c r="K612" s="16">
        <f>STANDARDIZE(F612,'estatística'!$C$2,'estatística'!$H$2)</f>
        <v>0.1938465434</v>
      </c>
    </row>
    <row r="613" ht="15.75" customHeight="1">
      <c r="A613" s="9">
        <v>50.0</v>
      </c>
      <c r="B613" s="10" t="s">
        <v>19</v>
      </c>
      <c r="C613" s="11" t="s">
        <v>20</v>
      </c>
      <c r="D613" s="10" t="s">
        <v>13</v>
      </c>
      <c r="E613" s="11" t="s">
        <v>36</v>
      </c>
      <c r="F613" s="13">
        <v>67.65</v>
      </c>
      <c r="G613" s="14">
        <v>45041.0</v>
      </c>
      <c r="H613" s="15">
        <f t="shared" si="1"/>
        <v>25</v>
      </c>
      <c r="I613" s="16">
        <f t="shared" si="2"/>
        <v>4</v>
      </c>
      <c r="J613" s="15">
        <f t="shared" si="3"/>
        <v>2023</v>
      </c>
      <c r="K613" s="16">
        <f>STANDARDIZE(F613,'estatística'!$C$2,'estatística'!$H$2)</f>
        <v>0.8400860977</v>
      </c>
    </row>
    <row r="614" ht="15.75" customHeight="1">
      <c r="A614" s="9">
        <v>89.0</v>
      </c>
      <c r="B614" s="10" t="s">
        <v>105</v>
      </c>
      <c r="C614" s="11" t="s">
        <v>106</v>
      </c>
      <c r="D614" s="10" t="s">
        <v>17</v>
      </c>
      <c r="E614" s="11" t="s">
        <v>77</v>
      </c>
      <c r="F614" s="13">
        <v>14.39</v>
      </c>
      <c r="G614" s="14">
        <v>45041.0</v>
      </c>
      <c r="H614" s="15">
        <f t="shared" si="1"/>
        <v>25</v>
      </c>
      <c r="I614" s="16">
        <f t="shared" si="2"/>
        <v>4</v>
      </c>
      <c r="J614" s="15">
        <f t="shared" si="3"/>
        <v>2023</v>
      </c>
      <c r="K614" s="16">
        <f>STANDARDIZE(F614,'estatística'!$C$2,'estatística'!$H$2)</f>
        <v>0.1657381616</v>
      </c>
    </row>
    <row r="615" ht="15.75" customHeight="1">
      <c r="A615" s="9">
        <v>4.0</v>
      </c>
      <c r="B615" s="10" t="s">
        <v>87</v>
      </c>
      <c r="C615" s="11" t="s">
        <v>88</v>
      </c>
      <c r="D615" s="10" t="s">
        <v>13</v>
      </c>
      <c r="E615" s="11" t="s">
        <v>32</v>
      </c>
      <c r="F615" s="13">
        <v>29.89</v>
      </c>
      <c r="G615" s="14">
        <v>45041.0</v>
      </c>
      <c r="H615" s="15">
        <f t="shared" si="1"/>
        <v>25</v>
      </c>
      <c r="I615" s="16">
        <f t="shared" si="2"/>
        <v>4</v>
      </c>
      <c r="J615" s="15">
        <f t="shared" si="3"/>
        <v>2023</v>
      </c>
      <c r="K615" s="16">
        <f>STANDARDIZE(F615,'estatística'!$C$2,'estatística'!$H$2)</f>
        <v>0.3619903773</v>
      </c>
    </row>
    <row r="616" ht="15.75" customHeight="1">
      <c r="A616" s="9">
        <v>70.0</v>
      </c>
      <c r="B616" s="10" t="s">
        <v>124</v>
      </c>
      <c r="C616" s="11" t="s">
        <v>125</v>
      </c>
      <c r="D616" s="10" t="s">
        <v>13</v>
      </c>
      <c r="E616" s="11" t="s">
        <v>91</v>
      </c>
      <c r="F616" s="13">
        <v>2.34</v>
      </c>
      <c r="G616" s="14">
        <v>45041.0</v>
      </c>
      <c r="H616" s="15">
        <f t="shared" si="1"/>
        <v>25</v>
      </c>
      <c r="I616" s="16">
        <f t="shared" si="2"/>
        <v>4</v>
      </c>
      <c r="J616" s="15">
        <f t="shared" si="3"/>
        <v>2023</v>
      </c>
      <c r="K616" s="16">
        <f>STANDARDIZE(F616,'estatística'!$C$2,'estatística'!$H$2)</f>
        <v>0.01316789061</v>
      </c>
    </row>
    <row r="617" ht="15.75" customHeight="1">
      <c r="A617" s="9">
        <v>20.0</v>
      </c>
      <c r="B617" s="10" t="s">
        <v>133</v>
      </c>
      <c r="C617" s="11" t="s">
        <v>134</v>
      </c>
      <c r="D617" s="10" t="s">
        <v>13</v>
      </c>
      <c r="E617" s="11" t="s">
        <v>24</v>
      </c>
      <c r="F617" s="13">
        <v>25.9</v>
      </c>
      <c r="G617" s="14">
        <v>45041.0</v>
      </c>
      <c r="H617" s="15">
        <f t="shared" si="1"/>
        <v>25</v>
      </c>
      <c r="I617" s="16">
        <f t="shared" si="2"/>
        <v>4</v>
      </c>
      <c r="J617" s="15">
        <f t="shared" si="3"/>
        <v>2023</v>
      </c>
      <c r="K617" s="16">
        <f>STANDARDIZE(F617,'estatística'!$C$2,'estatística'!$H$2)</f>
        <v>0.3114712585</v>
      </c>
    </row>
    <row r="618" ht="15.75" customHeight="1">
      <c r="A618" s="9">
        <v>12.0</v>
      </c>
      <c r="B618" s="10" t="s">
        <v>160</v>
      </c>
      <c r="C618" s="11" t="s">
        <v>161</v>
      </c>
      <c r="D618" s="10" t="s">
        <v>17</v>
      </c>
      <c r="E618" s="11" t="s">
        <v>24</v>
      </c>
      <c r="F618" s="13">
        <v>36.72</v>
      </c>
      <c r="G618" s="14">
        <v>45041.0</v>
      </c>
      <c r="H618" s="15">
        <f t="shared" si="1"/>
        <v>25</v>
      </c>
      <c r="I618" s="16">
        <f t="shared" si="2"/>
        <v>4</v>
      </c>
      <c r="J618" s="15">
        <f t="shared" si="3"/>
        <v>2023</v>
      </c>
      <c r="K618" s="16">
        <f>STANDARDIZE(F618,'estatística'!$C$2,'estatística'!$H$2)</f>
        <v>0.4484679666</v>
      </c>
    </row>
    <row r="619" ht="15.75" customHeight="1">
      <c r="A619" s="9">
        <v>57.0</v>
      </c>
      <c r="B619" s="10" t="s">
        <v>60</v>
      </c>
      <c r="C619" s="11" t="s">
        <v>162</v>
      </c>
      <c r="D619" s="10" t="s">
        <v>13</v>
      </c>
      <c r="E619" s="11" t="s">
        <v>33</v>
      </c>
      <c r="F619" s="13">
        <v>52.71</v>
      </c>
      <c r="G619" s="14">
        <v>45042.0</v>
      </c>
      <c r="H619" s="15">
        <f t="shared" si="1"/>
        <v>26</v>
      </c>
      <c r="I619" s="16">
        <f t="shared" si="2"/>
        <v>4</v>
      </c>
      <c r="J619" s="15">
        <f t="shared" si="3"/>
        <v>2023</v>
      </c>
      <c r="K619" s="16">
        <f>STANDARDIZE(F619,'estatística'!$C$2,'estatística'!$H$2)</f>
        <v>0.6509242846</v>
      </c>
    </row>
    <row r="620" ht="15.75" customHeight="1">
      <c r="A620" s="9">
        <v>60.0</v>
      </c>
      <c r="B620" s="10" t="s">
        <v>42</v>
      </c>
      <c r="C620" s="11" t="s">
        <v>43</v>
      </c>
      <c r="D620" s="10" t="s">
        <v>17</v>
      </c>
      <c r="E620" s="11" t="s">
        <v>80</v>
      </c>
      <c r="F620" s="13">
        <v>40.66</v>
      </c>
      <c r="G620" s="14">
        <v>45042.0</v>
      </c>
      <c r="H620" s="15">
        <f t="shared" si="1"/>
        <v>26</v>
      </c>
      <c r="I620" s="16">
        <f t="shared" si="2"/>
        <v>4</v>
      </c>
      <c r="J620" s="15">
        <f t="shared" si="3"/>
        <v>2023</v>
      </c>
      <c r="K620" s="16">
        <f>STANDARDIZE(F620,'estatística'!$C$2,'estatística'!$H$2)</f>
        <v>0.4983540137</v>
      </c>
    </row>
    <row r="621" ht="15.75" customHeight="1">
      <c r="A621" s="9">
        <v>87.0</v>
      </c>
      <c r="B621" s="10" t="s">
        <v>215</v>
      </c>
      <c r="C621" s="11" t="s">
        <v>216</v>
      </c>
      <c r="D621" s="10" t="s">
        <v>17</v>
      </c>
      <c r="E621" s="11" t="s">
        <v>80</v>
      </c>
      <c r="F621" s="13">
        <v>36.01</v>
      </c>
      <c r="G621" s="14">
        <v>45042.0</v>
      </c>
      <c r="H621" s="15">
        <f t="shared" si="1"/>
        <v>26</v>
      </c>
      <c r="I621" s="16">
        <f t="shared" si="2"/>
        <v>4</v>
      </c>
      <c r="J621" s="15">
        <f t="shared" si="3"/>
        <v>2023</v>
      </c>
      <c r="K621" s="16">
        <f>STANDARDIZE(F621,'estatística'!$C$2,'estatística'!$H$2)</f>
        <v>0.4394783489</v>
      </c>
    </row>
    <row r="622" ht="15.75" customHeight="1">
      <c r="A622" s="9">
        <v>98.0</v>
      </c>
      <c r="B622" s="10" t="s">
        <v>131</v>
      </c>
      <c r="C622" s="11" t="s">
        <v>168</v>
      </c>
      <c r="D622" s="10" t="s">
        <v>17</v>
      </c>
      <c r="E622" s="11" t="s">
        <v>116</v>
      </c>
      <c r="F622" s="13">
        <v>3.35</v>
      </c>
      <c r="G622" s="14">
        <v>45042.0</v>
      </c>
      <c r="H622" s="15">
        <f t="shared" si="1"/>
        <v>26</v>
      </c>
      <c r="I622" s="16">
        <f t="shared" si="2"/>
        <v>4</v>
      </c>
      <c r="J622" s="15">
        <f t="shared" si="3"/>
        <v>2023</v>
      </c>
      <c r="K622" s="16">
        <f>STANDARDIZE(F622,'estatística'!$C$2,'estatística'!$H$2)</f>
        <v>0.02595593821</v>
      </c>
    </row>
    <row r="623" ht="15.75" customHeight="1">
      <c r="A623" s="9">
        <v>21.0</v>
      </c>
      <c r="B623" s="10" t="s">
        <v>158</v>
      </c>
      <c r="C623" s="11" t="s">
        <v>159</v>
      </c>
      <c r="D623" s="10" t="s">
        <v>17</v>
      </c>
      <c r="E623" s="11" t="s">
        <v>91</v>
      </c>
      <c r="F623" s="13">
        <v>1.48</v>
      </c>
      <c r="G623" s="14">
        <v>45042.0</v>
      </c>
      <c r="H623" s="15">
        <f t="shared" si="1"/>
        <v>26</v>
      </c>
      <c r="I623" s="16">
        <f t="shared" si="2"/>
        <v>4</v>
      </c>
      <c r="J623" s="15">
        <f t="shared" si="3"/>
        <v>2023</v>
      </c>
      <c r="K623" s="16">
        <f>STANDARDIZE(F623,'estatística'!$C$2,'estatística'!$H$2)</f>
        <v>0.002279057989</v>
      </c>
    </row>
    <row r="624" ht="15.75" customHeight="1">
      <c r="A624" s="9">
        <v>37.0</v>
      </c>
      <c r="B624" s="10" t="s">
        <v>217</v>
      </c>
      <c r="C624" s="11" t="s">
        <v>218</v>
      </c>
      <c r="D624" s="10" t="s">
        <v>17</v>
      </c>
      <c r="E624" s="11" t="s">
        <v>68</v>
      </c>
      <c r="F624" s="13">
        <v>14.34</v>
      </c>
      <c r="G624" s="14">
        <v>45042.0</v>
      </c>
      <c r="H624" s="15">
        <f t="shared" si="1"/>
        <v>26</v>
      </c>
      <c r="I624" s="16">
        <f t="shared" si="2"/>
        <v>4</v>
      </c>
      <c r="J624" s="15">
        <f t="shared" si="3"/>
        <v>2023</v>
      </c>
      <c r="K624" s="16">
        <f>STANDARDIZE(F624,'estatística'!$C$2,'estatística'!$H$2)</f>
        <v>0.1651050899</v>
      </c>
    </row>
    <row r="625" ht="15.75" customHeight="1">
      <c r="A625" s="9">
        <v>88.0</v>
      </c>
      <c r="B625" s="10" t="s">
        <v>172</v>
      </c>
      <c r="C625" s="11" t="s">
        <v>178</v>
      </c>
      <c r="D625" s="10" t="s">
        <v>13</v>
      </c>
      <c r="E625" s="11" t="s">
        <v>32</v>
      </c>
      <c r="F625" s="13">
        <v>23.62</v>
      </c>
      <c r="G625" s="14">
        <v>45043.0</v>
      </c>
      <c r="H625" s="15">
        <f t="shared" si="1"/>
        <v>27</v>
      </c>
      <c r="I625" s="16">
        <f t="shared" si="2"/>
        <v>4</v>
      </c>
      <c r="J625" s="15">
        <f t="shared" si="3"/>
        <v>2023</v>
      </c>
      <c r="K625" s="16">
        <f>STANDARDIZE(F625,'estatística'!$C$2,'estatística'!$H$2)</f>
        <v>0.2826031907</v>
      </c>
    </row>
    <row r="626" ht="15.75" customHeight="1">
      <c r="A626" s="9">
        <v>79.0</v>
      </c>
      <c r="B626" s="10" t="s">
        <v>69</v>
      </c>
      <c r="C626" s="11" t="s">
        <v>70</v>
      </c>
      <c r="D626" s="10" t="s">
        <v>13</v>
      </c>
      <c r="E626" s="11" t="s">
        <v>48</v>
      </c>
      <c r="F626" s="13">
        <v>11.98</v>
      </c>
      <c r="G626" s="14">
        <v>45043.0</v>
      </c>
      <c r="H626" s="15">
        <f t="shared" si="1"/>
        <v>27</v>
      </c>
      <c r="I626" s="16">
        <f t="shared" si="2"/>
        <v>4</v>
      </c>
      <c r="J626" s="15">
        <f t="shared" si="3"/>
        <v>2023</v>
      </c>
      <c r="K626" s="16">
        <f>STANDARDIZE(F626,'estatística'!$C$2,'estatística'!$H$2)</f>
        <v>0.1352241074</v>
      </c>
    </row>
    <row r="627" ht="15.75" customHeight="1">
      <c r="A627" s="9">
        <v>95.0</v>
      </c>
      <c r="B627" s="10" t="s">
        <v>78</v>
      </c>
      <c r="C627" s="11" t="s">
        <v>79</v>
      </c>
      <c r="D627" s="10" t="s">
        <v>13</v>
      </c>
      <c r="E627" s="11" t="s">
        <v>29</v>
      </c>
      <c r="F627" s="13">
        <v>13.47</v>
      </c>
      <c r="G627" s="14">
        <v>45043.0</v>
      </c>
      <c r="H627" s="15">
        <f t="shared" si="1"/>
        <v>27</v>
      </c>
      <c r="I627" s="16">
        <f t="shared" si="2"/>
        <v>4</v>
      </c>
      <c r="J627" s="15">
        <f t="shared" si="3"/>
        <v>2023</v>
      </c>
      <c r="K627" s="16">
        <f>STANDARDIZE(F627,'estatística'!$C$2,'estatística'!$H$2)</f>
        <v>0.1540896429</v>
      </c>
    </row>
    <row r="628" ht="15.75" customHeight="1">
      <c r="A628" s="9">
        <v>78.0</v>
      </c>
      <c r="B628" s="10" t="s">
        <v>15</v>
      </c>
      <c r="C628" s="11" t="s">
        <v>16</v>
      </c>
      <c r="D628" s="10" t="s">
        <v>17</v>
      </c>
      <c r="E628" s="11" t="s">
        <v>91</v>
      </c>
      <c r="F628" s="13">
        <v>3.68</v>
      </c>
      <c r="G628" s="14">
        <v>45043.0</v>
      </c>
      <c r="H628" s="15">
        <f t="shared" si="1"/>
        <v>27</v>
      </c>
      <c r="I628" s="16">
        <f t="shared" si="2"/>
        <v>4</v>
      </c>
      <c r="J628" s="15">
        <f t="shared" si="3"/>
        <v>2023</v>
      </c>
      <c r="K628" s="16">
        <f>STANDARDIZE(F628,'estatística'!$C$2,'estatística'!$H$2)</f>
        <v>0.03013421119</v>
      </c>
    </row>
    <row r="629" ht="15.75" customHeight="1">
      <c r="A629" s="9">
        <v>18.0</v>
      </c>
      <c r="B629" s="10" t="s">
        <v>135</v>
      </c>
      <c r="C629" s="11" t="s">
        <v>212</v>
      </c>
      <c r="D629" s="10" t="s">
        <v>13</v>
      </c>
      <c r="E629" s="11" t="s">
        <v>18</v>
      </c>
      <c r="F629" s="13">
        <v>53.56</v>
      </c>
      <c r="G629" s="14">
        <v>45043.0</v>
      </c>
      <c r="H629" s="15">
        <f t="shared" si="1"/>
        <v>27</v>
      </c>
      <c r="I629" s="16">
        <f t="shared" si="2"/>
        <v>4</v>
      </c>
      <c r="J629" s="15">
        <f t="shared" si="3"/>
        <v>2023</v>
      </c>
      <c r="K629" s="16">
        <f>STANDARDIZE(F629,'estatística'!$C$2,'estatística'!$H$2)</f>
        <v>0.6616865029</v>
      </c>
    </row>
    <row r="630" ht="15.75" customHeight="1">
      <c r="A630" s="9">
        <v>72.0</v>
      </c>
      <c r="B630" s="10" t="s">
        <v>103</v>
      </c>
      <c r="C630" s="11" t="s">
        <v>104</v>
      </c>
      <c r="D630" s="10" t="s">
        <v>17</v>
      </c>
      <c r="E630" s="11" t="s">
        <v>29</v>
      </c>
      <c r="F630" s="13">
        <v>14.24</v>
      </c>
      <c r="G630" s="14">
        <v>45043.0</v>
      </c>
      <c r="H630" s="15">
        <f t="shared" si="1"/>
        <v>27</v>
      </c>
      <c r="I630" s="16">
        <f t="shared" si="2"/>
        <v>4</v>
      </c>
      <c r="J630" s="15">
        <f t="shared" si="3"/>
        <v>2023</v>
      </c>
      <c r="K630" s="16">
        <f>STANDARDIZE(F630,'estatística'!$C$2,'estatística'!$H$2)</f>
        <v>0.1638389466</v>
      </c>
    </row>
    <row r="631" ht="15.75" customHeight="1">
      <c r="A631" s="9">
        <v>82.0</v>
      </c>
      <c r="B631" s="10" t="s">
        <v>203</v>
      </c>
      <c r="C631" s="11" t="s">
        <v>204</v>
      </c>
      <c r="D631" s="10" t="s">
        <v>13</v>
      </c>
      <c r="E631" s="11" t="s">
        <v>91</v>
      </c>
      <c r="F631" s="13">
        <v>4.11</v>
      </c>
      <c r="G631" s="14">
        <v>45044.0</v>
      </c>
      <c r="H631" s="15">
        <f t="shared" si="1"/>
        <v>28</v>
      </c>
      <c r="I631" s="16">
        <f t="shared" si="2"/>
        <v>4</v>
      </c>
      <c r="J631" s="15">
        <f t="shared" si="3"/>
        <v>2023</v>
      </c>
      <c r="K631" s="16">
        <f>STANDARDIZE(F631,'estatística'!$C$2,'estatística'!$H$2)</f>
        <v>0.0355786275</v>
      </c>
    </row>
    <row r="632" ht="15.75" customHeight="1">
      <c r="A632" s="9">
        <v>72.0</v>
      </c>
      <c r="B632" s="10" t="s">
        <v>103</v>
      </c>
      <c r="C632" s="11" t="s">
        <v>104</v>
      </c>
      <c r="D632" s="10" t="s">
        <v>17</v>
      </c>
      <c r="E632" s="11" t="s">
        <v>91</v>
      </c>
      <c r="F632" s="13">
        <v>3.39</v>
      </c>
      <c r="G632" s="14">
        <v>45044.0</v>
      </c>
      <c r="H632" s="15">
        <f t="shared" si="1"/>
        <v>28</v>
      </c>
      <c r="I632" s="16">
        <f t="shared" si="2"/>
        <v>4</v>
      </c>
      <c r="J632" s="15">
        <f t="shared" si="3"/>
        <v>2023</v>
      </c>
      <c r="K632" s="16">
        <f>STANDARDIZE(F632,'estatística'!$C$2,'estatística'!$H$2)</f>
        <v>0.02646239554</v>
      </c>
    </row>
    <row r="633" ht="15.75" customHeight="1">
      <c r="A633" s="9">
        <v>33.0</v>
      </c>
      <c r="B633" s="10" t="s">
        <v>163</v>
      </c>
      <c r="C633" s="11" t="s">
        <v>164</v>
      </c>
      <c r="D633" s="10" t="s">
        <v>13</v>
      </c>
      <c r="E633" s="11" t="s">
        <v>18</v>
      </c>
      <c r="F633" s="13">
        <v>47.91</v>
      </c>
      <c r="G633" s="14">
        <v>45044.0</v>
      </c>
      <c r="H633" s="15">
        <f t="shared" si="1"/>
        <v>28</v>
      </c>
      <c r="I633" s="16">
        <f t="shared" si="2"/>
        <v>4</v>
      </c>
      <c r="J633" s="15">
        <f t="shared" si="3"/>
        <v>2023</v>
      </c>
      <c r="K633" s="16">
        <f>STANDARDIZE(F633,'estatística'!$C$2,'estatística'!$H$2)</f>
        <v>0.5901494049</v>
      </c>
    </row>
    <row r="634" ht="15.75" customHeight="1">
      <c r="A634" s="9">
        <v>63.0</v>
      </c>
      <c r="B634" s="10" t="s">
        <v>197</v>
      </c>
      <c r="C634" s="11" t="s">
        <v>198</v>
      </c>
      <c r="D634" s="10" t="s">
        <v>17</v>
      </c>
      <c r="E634" s="11" t="s">
        <v>65</v>
      </c>
      <c r="F634" s="13">
        <v>31.12</v>
      </c>
      <c r="G634" s="14">
        <v>45044.0</v>
      </c>
      <c r="H634" s="15">
        <f t="shared" si="1"/>
        <v>28</v>
      </c>
      <c r="I634" s="16">
        <f t="shared" si="2"/>
        <v>4</v>
      </c>
      <c r="J634" s="15">
        <f t="shared" si="3"/>
        <v>2023</v>
      </c>
      <c r="K634" s="16">
        <f>STANDARDIZE(F634,'estatística'!$C$2,'estatística'!$H$2)</f>
        <v>0.3775639402</v>
      </c>
    </row>
    <row r="635" ht="15.75" customHeight="1">
      <c r="A635" s="9">
        <v>71.0</v>
      </c>
      <c r="B635" s="10" t="s">
        <v>122</v>
      </c>
      <c r="C635" s="11" t="s">
        <v>123</v>
      </c>
      <c r="D635" s="10" t="s">
        <v>13</v>
      </c>
      <c r="E635" s="11" t="s">
        <v>18</v>
      </c>
      <c r="F635" s="13">
        <v>41.61</v>
      </c>
      <c r="G635" s="14">
        <v>45044.0</v>
      </c>
      <c r="H635" s="15">
        <f t="shared" si="1"/>
        <v>28</v>
      </c>
      <c r="I635" s="16">
        <f t="shared" si="2"/>
        <v>4</v>
      </c>
      <c r="J635" s="15">
        <f t="shared" si="3"/>
        <v>2023</v>
      </c>
      <c r="K635" s="16">
        <f>STANDARDIZE(F635,'estatística'!$C$2,'estatística'!$H$2)</f>
        <v>0.5103823753</v>
      </c>
    </row>
    <row r="636" ht="15.75" customHeight="1">
      <c r="A636" s="9">
        <v>57.0</v>
      </c>
      <c r="B636" s="10" t="s">
        <v>60</v>
      </c>
      <c r="C636" s="11" t="s">
        <v>162</v>
      </c>
      <c r="D636" s="10" t="s">
        <v>17</v>
      </c>
      <c r="E636" s="11" t="s">
        <v>65</v>
      </c>
      <c r="F636" s="13">
        <v>38.72</v>
      </c>
      <c r="G636" s="14">
        <v>45044.0</v>
      </c>
      <c r="H636" s="15">
        <f t="shared" si="1"/>
        <v>28</v>
      </c>
      <c r="I636" s="16">
        <f t="shared" si="2"/>
        <v>4</v>
      </c>
      <c r="J636" s="15">
        <f t="shared" si="3"/>
        <v>2023</v>
      </c>
      <c r="K636" s="16">
        <f>STANDARDIZE(F636,'estatística'!$C$2,'estatística'!$H$2)</f>
        <v>0.4737908331</v>
      </c>
    </row>
    <row r="637" ht="15.75" customHeight="1">
      <c r="A637" s="9">
        <v>25.0</v>
      </c>
      <c r="B637" s="10" t="s">
        <v>126</v>
      </c>
      <c r="C637" s="11" t="s">
        <v>127</v>
      </c>
      <c r="D637" s="10" t="s">
        <v>17</v>
      </c>
      <c r="E637" s="11" t="s">
        <v>91</v>
      </c>
      <c r="F637" s="13">
        <v>4.27</v>
      </c>
      <c r="G637" s="14">
        <v>45044.0</v>
      </c>
      <c r="H637" s="15">
        <f t="shared" si="1"/>
        <v>28</v>
      </c>
      <c r="I637" s="16">
        <f t="shared" si="2"/>
        <v>4</v>
      </c>
      <c r="J637" s="15">
        <f t="shared" si="3"/>
        <v>2023</v>
      </c>
      <c r="K637" s="16">
        <f>STANDARDIZE(F637,'estatística'!$C$2,'estatística'!$H$2)</f>
        <v>0.03760445682</v>
      </c>
    </row>
    <row r="638" ht="15.75" customHeight="1">
      <c r="A638" s="9">
        <v>53.0</v>
      </c>
      <c r="B638" s="10" t="s">
        <v>213</v>
      </c>
      <c r="C638" s="11" t="s">
        <v>214</v>
      </c>
      <c r="D638" s="10" t="s">
        <v>17</v>
      </c>
      <c r="E638" s="11" t="s">
        <v>116</v>
      </c>
      <c r="F638" s="13">
        <v>3.23</v>
      </c>
      <c r="G638" s="14">
        <v>45044.0</v>
      </c>
      <c r="H638" s="15">
        <f t="shared" si="1"/>
        <v>28</v>
      </c>
      <c r="I638" s="16">
        <f t="shared" si="2"/>
        <v>4</v>
      </c>
      <c r="J638" s="15">
        <f t="shared" si="3"/>
        <v>2023</v>
      </c>
      <c r="K638" s="16">
        <f>STANDARDIZE(F638,'estatística'!$C$2,'estatística'!$H$2)</f>
        <v>0.02443656622</v>
      </c>
    </row>
    <row r="639" ht="15.75" customHeight="1">
      <c r="A639" s="9">
        <v>76.0</v>
      </c>
      <c r="B639" s="10" t="s">
        <v>185</v>
      </c>
      <c r="C639" s="11" t="s">
        <v>186</v>
      </c>
      <c r="D639" s="10" t="s">
        <v>17</v>
      </c>
      <c r="E639" s="11" t="s">
        <v>68</v>
      </c>
      <c r="F639" s="13">
        <v>11.96</v>
      </c>
      <c r="G639" s="14">
        <v>45044.0</v>
      </c>
      <c r="H639" s="15">
        <f t="shared" si="1"/>
        <v>28</v>
      </c>
      <c r="I639" s="16">
        <f t="shared" si="2"/>
        <v>4</v>
      </c>
      <c r="J639" s="15">
        <f t="shared" si="3"/>
        <v>2023</v>
      </c>
      <c r="K639" s="16">
        <f>STANDARDIZE(F639,'estatística'!$C$2,'estatística'!$H$2)</f>
        <v>0.1349708787</v>
      </c>
    </row>
    <row r="640" ht="15.75" customHeight="1">
      <c r="A640" s="9">
        <v>45.0</v>
      </c>
      <c r="B640" s="10" t="s">
        <v>193</v>
      </c>
      <c r="C640" s="11" t="s">
        <v>194</v>
      </c>
      <c r="D640" s="10" t="s">
        <v>13</v>
      </c>
      <c r="E640" s="11" t="s">
        <v>29</v>
      </c>
      <c r="F640" s="13">
        <v>14.53</v>
      </c>
      <c r="G640" s="14">
        <v>45044.0</v>
      </c>
      <c r="H640" s="15">
        <f t="shared" si="1"/>
        <v>28</v>
      </c>
      <c r="I640" s="16">
        <f t="shared" si="2"/>
        <v>4</v>
      </c>
      <c r="J640" s="15">
        <f t="shared" si="3"/>
        <v>2023</v>
      </c>
      <c r="K640" s="16">
        <f>STANDARDIZE(F640,'estatística'!$C$2,'estatística'!$H$2)</f>
        <v>0.1675107622</v>
      </c>
    </row>
    <row r="641" ht="15.75" customHeight="1">
      <c r="A641" s="9">
        <v>45.0</v>
      </c>
      <c r="B641" s="10" t="s">
        <v>193</v>
      </c>
      <c r="C641" s="11" t="s">
        <v>194</v>
      </c>
      <c r="D641" s="10" t="s">
        <v>13</v>
      </c>
      <c r="E641" s="11" t="s">
        <v>48</v>
      </c>
      <c r="F641" s="13">
        <v>12.04</v>
      </c>
      <c r="G641" s="14">
        <v>45044.0</v>
      </c>
      <c r="H641" s="15">
        <f t="shared" si="1"/>
        <v>28</v>
      </c>
      <c r="I641" s="16">
        <f t="shared" si="2"/>
        <v>4</v>
      </c>
      <c r="J641" s="15">
        <f t="shared" si="3"/>
        <v>2023</v>
      </c>
      <c r="K641" s="16">
        <f>STANDARDIZE(F641,'estatística'!$C$2,'estatística'!$H$2)</f>
        <v>0.1359837934</v>
      </c>
    </row>
    <row r="642" ht="15.75" customHeight="1">
      <c r="A642" s="9">
        <v>73.0</v>
      </c>
      <c r="B642" s="10" t="s">
        <v>195</v>
      </c>
      <c r="C642" s="11" t="s">
        <v>196</v>
      </c>
      <c r="D642" s="10" t="s">
        <v>17</v>
      </c>
      <c r="E642" s="11" t="s">
        <v>33</v>
      </c>
      <c r="F642" s="13">
        <v>59.17</v>
      </c>
      <c r="G642" s="14">
        <v>45044.0</v>
      </c>
      <c r="H642" s="15">
        <f t="shared" si="1"/>
        <v>28</v>
      </c>
      <c r="I642" s="16">
        <f t="shared" si="2"/>
        <v>4</v>
      </c>
      <c r="J642" s="15">
        <f t="shared" si="3"/>
        <v>2023</v>
      </c>
      <c r="K642" s="16">
        <f>STANDARDIZE(F642,'estatística'!$C$2,'estatística'!$H$2)</f>
        <v>0.7327171436</v>
      </c>
    </row>
    <row r="643" ht="15.75" customHeight="1">
      <c r="A643" s="9">
        <v>44.0</v>
      </c>
      <c r="B643" s="10" t="s">
        <v>187</v>
      </c>
      <c r="C643" s="11" t="s">
        <v>188</v>
      </c>
      <c r="D643" s="10" t="s">
        <v>17</v>
      </c>
      <c r="E643" s="11" t="s">
        <v>18</v>
      </c>
      <c r="F643" s="13">
        <v>37.67</v>
      </c>
      <c r="G643" s="14">
        <v>45047.0</v>
      </c>
      <c r="H643" s="15">
        <f t="shared" si="1"/>
        <v>1</v>
      </c>
      <c r="I643" s="16">
        <f t="shared" si="2"/>
        <v>5</v>
      </c>
      <c r="J643" s="15">
        <f t="shared" si="3"/>
        <v>2023</v>
      </c>
      <c r="K643" s="16">
        <f>STANDARDIZE(F643,'estatística'!$C$2,'estatística'!$H$2)</f>
        <v>0.4604963282</v>
      </c>
    </row>
    <row r="644" ht="15.75" customHeight="1">
      <c r="A644" s="9">
        <v>86.0</v>
      </c>
      <c r="B644" s="10" t="s">
        <v>40</v>
      </c>
      <c r="C644" s="11" t="s">
        <v>41</v>
      </c>
      <c r="D644" s="10" t="s">
        <v>17</v>
      </c>
      <c r="E644" s="11" t="s">
        <v>57</v>
      </c>
      <c r="F644" s="13">
        <v>19.03</v>
      </c>
      <c r="G644" s="14">
        <v>45047.0</v>
      </c>
      <c r="H644" s="15">
        <f t="shared" si="1"/>
        <v>1</v>
      </c>
      <c r="I644" s="16">
        <f t="shared" si="2"/>
        <v>5</v>
      </c>
      <c r="J644" s="15">
        <f t="shared" si="3"/>
        <v>2023</v>
      </c>
      <c r="K644" s="16">
        <f>STANDARDIZE(F644,'estatística'!$C$2,'estatística'!$H$2)</f>
        <v>0.224487212</v>
      </c>
    </row>
    <row r="645" ht="15.75" customHeight="1">
      <c r="A645" s="9">
        <v>90.0</v>
      </c>
      <c r="B645" s="10" t="s">
        <v>191</v>
      </c>
      <c r="C645" s="11" t="s">
        <v>192</v>
      </c>
      <c r="D645" s="10" t="s">
        <v>17</v>
      </c>
      <c r="E645" s="11" t="s">
        <v>33</v>
      </c>
      <c r="F645" s="13">
        <v>68.36</v>
      </c>
      <c r="G645" s="14">
        <v>45047.0</v>
      </c>
      <c r="H645" s="15">
        <f t="shared" si="1"/>
        <v>1</v>
      </c>
      <c r="I645" s="16">
        <f t="shared" si="2"/>
        <v>5</v>
      </c>
      <c r="J645" s="15">
        <f t="shared" si="3"/>
        <v>2023</v>
      </c>
      <c r="K645" s="16">
        <f>STANDARDIZE(F645,'estatística'!$C$2,'estatística'!$H$2)</f>
        <v>0.8490757154</v>
      </c>
    </row>
    <row r="646" ht="15.75" customHeight="1">
      <c r="A646" s="9">
        <v>62.0</v>
      </c>
      <c r="B646" s="10" t="s">
        <v>128</v>
      </c>
      <c r="C646" s="11" t="s">
        <v>129</v>
      </c>
      <c r="D646" s="10" t="s">
        <v>13</v>
      </c>
      <c r="E646" s="11" t="s">
        <v>18</v>
      </c>
      <c r="F646" s="13">
        <v>52.0</v>
      </c>
      <c r="G646" s="14">
        <v>45048.0</v>
      </c>
      <c r="H646" s="15">
        <f t="shared" si="1"/>
        <v>2</v>
      </c>
      <c r="I646" s="16">
        <f t="shared" si="2"/>
        <v>5</v>
      </c>
      <c r="J646" s="15">
        <f t="shared" si="3"/>
        <v>2023</v>
      </c>
      <c r="K646" s="16">
        <f>STANDARDIZE(F646,'estatística'!$C$2,'estatística'!$H$2)</f>
        <v>0.641934667</v>
      </c>
    </row>
    <row r="647" ht="15.75" customHeight="1">
      <c r="A647" s="9">
        <v>88.0</v>
      </c>
      <c r="B647" s="10" t="s">
        <v>172</v>
      </c>
      <c r="C647" s="11" t="s">
        <v>178</v>
      </c>
      <c r="D647" s="10" t="s">
        <v>17</v>
      </c>
      <c r="E647" s="11" t="s">
        <v>21</v>
      </c>
      <c r="F647" s="13">
        <v>11.68</v>
      </c>
      <c r="G647" s="14">
        <v>45048.0</v>
      </c>
      <c r="H647" s="15">
        <f t="shared" si="1"/>
        <v>2</v>
      </c>
      <c r="I647" s="16">
        <f t="shared" si="2"/>
        <v>5</v>
      </c>
      <c r="J647" s="15">
        <f t="shared" si="3"/>
        <v>2023</v>
      </c>
      <c r="K647" s="16">
        <f>STANDARDIZE(F647,'estatística'!$C$2,'estatística'!$H$2)</f>
        <v>0.1314256774</v>
      </c>
    </row>
    <row r="648" ht="15.75" customHeight="1">
      <c r="A648" s="9">
        <v>65.0</v>
      </c>
      <c r="B648" s="10" t="s">
        <v>181</v>
      </c>
      <c r="C648" s="11" t="s">
        <v>182</v>
      </c>
      <c r="D648" s="10" t="s">
        <v>13</v>
      </c>
      <c r="E648" s="11" t="s">
        <v>68</v>
      </c>
      <c r="F648" s="13">
        <v>13.4</v>
      </c>
      <c r="G648" s="14">
        <v>45048.0</v>
      </c>
      <c r="H648" s="15">
        <f t="shared" si="1"/>
        <v>2</v>
      </c>
      <c r="I648" s="16">
        <f t="shared" si="2"/>
        <v>5</v>
      </c>
      <c r="J648" s="15">
        <f t="shared" si="3"/>
        <v>2023</v>
      </c>
      <c r="K648" s="16">
        <f>STANDARDIZE(F648,'estatística'!$C$2,'estatística'!$H$2)</f>
        <v>0.1532033426</v>
      </c>
    </row>
    <row r="649" ht="15.75" customHeight="1">
      <c r="A649" s="9">
        <v>62.0</v>
      </c>
      <c r="B649" s="10" t="s">
        <v>128</v>
      </c>
      <c r="C649" s="11" t="s">
        <v>129</v>
      </c>
      <c r="D649" s="10" t="s">
        <v>17</v>
      </c>
      <c r="E649" s="11" t="s">
        <v>32</v>
      </c>
      <c r="F649" s="13">
        <v>25.62</v>
      </c>
      <c r="G649" s="14">
        <v>45049.0</v>
      </c>
      <c r="H649" s="15">
        <f t="shared" si="1"/>
        <v>3</v>
      </c>
      <c r="I649" s="16">
        <f t="shared" si="2"/>
        <v>5</v>
      </c>
      <c r="J649" s="15">
        <f t="shared" si="3"/>
        <v>2023</v>
      </c>
      <c r="K649" s="16">
        <f>STANDARDIZE(F649,'estatística'!$C$2,'estatística'!$H$2)</f>
        <v>0.3079260572</v>
      </c>
    </row>
    <row r="650" ht="15.75" customHeight="1">
      <c r="A650" s="9">
        <v>87.0</v>
      </c>
      <c r="B650" s="10" t="s">
        <v>215</v>
      </c>
      <c r="C650" s="11" t="s">
        <v>216</v>
      </c>
      <c r="D650" s="10" t="s">
        <v>13</v>
      </c>
      <c r="E650" s="11" t="s">
        <v>80</v>
      </c>
      <c r="F650" s="13">
        <v>41.45</v>
      </c>
      <c r="G650" s="14">
        <v>45049.0</v>
      </c>
      <c r="H650" s="15">
        <f t="shared" si="1"/>
        <v>3</v>
      </c>
      <c r="I650" s="16">
        <f t="shared" si="2"/>
        <v>5</v>
      </c>
      <c r="J650" s="15">
        <f t="shared" si="3"/>
        <v>2023</v>
      </c>
      <c r="K650" s="16">
        <f>STANDARDIZE(F650,'estatística'!$C$2,'estatística'!$H$2)</f>
        <v>0.508356546</v>
      </c>
    </row>
    <row r="651" ht="15.75" customHeight="1">
      <c r="A651" s="9">
        <v>37.0</v>
      </c>
      <c r="B651" s="10" t="s">
        <v>217</v>
      </c>
      <c r="C651" s="11" t="s">
        <v>218</v>
      </c>
      <c r="D651" s="10" t="s">
        <v>13</v>
      </c>
      <c r="E651" s="11" t="s">
        <v>18</v>
      </c>
      <c r="F651" s="13">
        <v>47.66</v>
      </c>
      <c r="G651" s="14">
        <v>45049.0</v>
      </c>
      <c r="H651" s="15">
        <f t="shared" si="1"/>
        <v>3</v>
      </c>
      <c r="I651" s="16">
        <f t="shared" si="2"/>
        <v>5</v>
      </c>
      <c r="J651" s="15">
        <f t="shared" si="3"/>
        <v>2023</v>
      </c>
      <c r="K651" s="16">
        <f>STANDARDIZE(F651,'estatística'!$C$2,'estatística'!$H$2)</f>
        <v>0.5869840466</v>
      </c>
    </row>
    <row r="652" ht="15.75" customHeight="1">
      <c r="A652" s="9">
        <v>22.0</v>
      </c>
      <c r="B652" s="10" t="s">
        <v>101</v>
      </c>
      <c r="C652" s="11" t="s">
        <v>102</v>
      </c>
      <c r="D652" s="10" t="s">
        <v>13</v>
      </c>
      <c r="E652" s="11" t="s">
        <v>29</v>
      </c>
      <c r="F652" s="13">
        <v>12.92</v>
      </c>
      <c r="G652" s="14">
        <v>45049.0</v>
      </c>
      <c r="H652" s="15">
        <f t="shared" si="1"/>
        <v>3</v>
      </c>
      <c r="I652" s="16">
        <f t="shared" si="2"/>
        <v>5</v>
      </c>
      <c r="J652" s="15">
        <f t="shared" si="3"/>
        <v>2023</v>
      </c>
      <c r="K652" s="16">
        <f>STANDARDIZE(F652,'estatística'!$C$2,'estatística'!$H$2)</f>
        <v>0.1471258546</v>
      </c>
    </row>
    <row r="653" ht="15.75" customHeight="1">
      <c r="A653" s="9">
        <v>31.0</v>
      </c>
      <c r="B653" s="10" t="s">
        <v>201</v>
      </c>
      <c r="C653" s="11" t="s">
        <v>202</v>
      </c>
      <c r="D653" s="10" t="s">
        <v>13</v>
      </c>
      <c r="E653" s="11" t="s">
        <v>57</v>
      </c>
      <c r="F653" s="13">
        <v>19.18</v>
      </c>
      <c r="G653" s="14">
        <v>45049.0</v>
      </c>
      <c r="H653" s="15">
        <f t="shared" si="1"/>
        <v>3</v>
      </c>
      <c r="I653" s="16">
        <f t="shared" si="2"/>
        <v>5</v>
      </c>
      <c r="J653" s="15">
        <f t="shared" si="3"/>
        <v>2023</v>
      </c>
      <c r="K653" s="16">
        <f>STANDARDIZE(F653,'estatística'!$C$2,'estatística'!$H$2)</f>
        <v>0.2263864269</v>
      </c>
    </row>
    <row r="654" ht="15.75" customHeight="1">
      <c r="A654" s="9">
        <v>73.0</v>
      </c>
      <c r="B654" s="10" t="s">
        <v>195</v>
      </c>
      <c r="C654" s="11" t="s">
        <v>196</v>
      </c>
      <c r="D654" s="10" t="s">
        <v>13</v>
      </c>
      <c r="E654" s="11" t="s">
        <v>48</v>
      </c>
      <c r="F654" s="13">
        <v>12.72</v>
      </c>
      <c r="G654" s="14">
        <v>45049.0</v>
      </c>
      <c r="H654" s="15">
        <f t="shared" si="1"/>
        <v>3</v>
      </c>
      <c r="I654" s="16">
        <f t="shared" si="2"/>
        <v>5</v>
      </c>
      <c r="J654" s="15">
        <f t="shared" si="3"/>
        <v>2023</v>
      </c>
      <c r="K654" s="16">
        <f>STANDARDIZE(F654,'estatística'!$C$2,'estatística'!$H$2)</f>
        <v>0.144593568</v>
      </c>
    </row>
    <row r="655" ht="15.75" customHeight="1">
      <c r="A655" s="9">
        <v>12.0</v>
      </c>
      <c r="B655" s="10" t="s">
        <v>160</v>
      </c>
      <c r="C655" s="11" t="s">
        <v>161</v>
      </c>
      <c r="D655" s="10" t="s">
        <v>13</v>
      </c>
      <c r="E655" s="11" t="s">
        <v>68</v>
      </c>
      <c r="F655" s="13">
        <v>11.26</v>
      </c>
      <c r="G655" s="14">
        <v>45049.0</v>
      </c>
      <c r="H655" s="15">
        <f t="shared" si="1"/>
        <v>3</v>
      </c>
      <c r="I655" s="16">
        <f t="shared" si="2"/>
        <v>5</v>
      </c>
      <c r="J655" s="15">
        <f t="shared" si="3"/>
        <v>2023</v>
      </c>
      <c r="K655" s="16">
        <f>STANDARDIZE(F655,'estatística'!$C$2,'estatística'!$H$2)</f>
        <v>0.1261078754</v>
      </c>
    </row>
    <row r="656" ht="15.75" customHeight="1">
      <c r="A656" s="9">
        <v>46.0</v>
      </c>
      <c r="B656" s="10" t="s">
        <v>114</v>
      </c>
      <c r="C656" s="11" t="s">
        <v>115</v>
      </c>
      <c r="D656" s="10" t="s">
        <v>17</v>
      </c>
      <c r="E656" s="11" t="s">
        <v>24</v>
      </c>
      <c r="F656" s="13">
        <v>18.33</v>
      </c>
      <c r="G656" s="14">
        <v>45049.0</v>
      </c>
      <c r="H656" s="15">
        <f t="shared" si="1"/>
        <v>3</v>
      </c>
      <c r="I656" s="16">
        <f t="shared" si="2"/>
        <v>5</v>
      </c>
      <c r="J656" s="15">
        <f t="shared" si="3"/>
        <v>2023</v>
      </c>
      <c r="K656" s="16">
        <f>STANDARDIZE(F656,'estatística'!$C$2,'estatística'!$H$2)</f>
        <v>0.2156242087</v>
      </c>
    </row>
    <row r="657" ht="15.75" customHeight="1">
      <c r="A657" s="9">
        <v>46.0</v>
      </c>
      <c r="B657" s="10" t="s">
        <v>114</v>
      </c>
      <c r="C657" s="11" t="s">
        <v>115</v>
      </c>
      <c r="D657" s="10" t="s">
        <v>17</v>
      </c>
      <c r="E657" s="11" t="s">
        <v>57</v>
      </c>
      <c r="F657" s="13">
        <v>15.16</v>
      </c>
      <c r="G657" s="14">
        <v>45049.0</v>
      </c>
      <c r="H657" s="15">
        <f t="shared" si="1"/>
        <v>3</v>
      </c>
      <c r="I657" s="16">
        <f t="shared" si="2"/>
        <v>5</v>
      </c>
      <c r="J657" s="15">
        <f t="shared" si="3"/>
        <v>2023</v>
      </c>
      <c r="K657" s="16">
        <f>STANDARDIZE(F657,'estatística'!$C$2,'estatística'!$H$2)</f>
        <v>0.1754874652</v>
      </c>
    </row>
    <row r="658" ht="15.75" customHeight="1">
      <c r="A658" s="9">
        <v>43.0</v>
      </c>
      <c r="B658" s="10" t="s">
        <v>63</v>
      </c>
      <c r="C658" s="11" t="s">
        <v>64</v>
      </c>
      <c r="D658" s="10" t="s">
        <v>17</v>
      </c>
      <c r="E658" s="11" t="s">
        <v>27</v>
      </c>
      <c r="F658" s="13">
        <v>13.76</v>
      </c>
      <c r="G658" s="14">
        <v>45049.0</v>
      </c>
      <c r="H658" s="15">
        <f t="shared" si="1"/>
        <v>3</v>
      </c>
      <c r="I658" s="16">
        <f t="shared" si="2"/>
        <v>5</v>
      </c>
      <c r="J658" s="15">
        <f t="shared" si="3"/>
        <v>2023</v>
      </c>
      <c r="K658" s="16">
        <f>STANDARDIZE(F658,'estatística'!$C$2,'estatística'!$H$2)</f>
        <v>0.1577614586</v>
      </c>
    </row>
    <row r="659" ht="15.75" customHeight="1">
      <c r="A659" s="9">
        <v>84.0</v>
      </c>
      <c r="B659" s="10" t="s">
        <v>112</v>
      </c>
      <c r="C659" s="11" t="s">
        <v>113</v>
      </c>
      <c r="D659" s="10" t="s">
        <v>13</v>
      </c>
      <c r="E659" s="11" t="s">
        <v>33</v>
      </c>
      <c r="F659" s="13">
        <v>62.29</v>
      </c>
      <c r="G659" s="14">
        <v>45049.0</v>
      </c>
      <c r="H659" s="15">
        <f t="shared" si="1"/>
        <v>3</v>
      </c>
      <c r="I659" s="16">
        <f t="shared" si="2"/>
        <v>5</v>
      </c>
      <c r="J659" s="15">
        <f t="shared" si="3"/>
        <v>2023</v>
      </c>
      <c r="K659" s="16">
        <f>STANDARDIZE(F659,'estatística'!$C$2,'estatística'!$H$2)</f>
        <v>0.7722208154</v>
      </c>
    </row>
    <row r="660" ht="15.75" customHeight="1">
      <c r="A660" s="9">
        <v>89.0</v>
      </c>
      <c r="B660" s="10" t="s">
        <v>105</v>
      </c>
      <c r="C660" s="11" t="s">
        <v>106</v>
      </c>
      <c r="D660" s="10" t="s">
        <v>17</v>
      </c>
      <c r="E660" s="11" t="s">
        <v>62</v>
      </c>
      <c r="F660" s="13">
        <v>11.77</v>
      </c>
      <c r="G660" s="14">
        <v>45050.0</v>
      </c>
      <c r="H660" s="15">
        <f t="shared" si="1"/>
        <v>4</v>
      </c>
      <c r="I660" s="16">
        <f t="shared" si="2"/>
        <v>5</v>
      </c>
      <c r="J660" s="15">
        <f t="shared" si="3"/>
        <v>2023</v>
      </c>
      <c r="K660" s="16">
        <f>STANDARDIZE(F660,'estatística'!$C$2,'estatística'!$H$2)</f>
        <v>0.1325652064</v>
      </c>
    </row>
    <row r="661" ht="15.75" customHeight="1">
      <c r="A661" s="9">
        <v>80.0</v>
      </c>
      <c r="B661" s="10" t="s">
        <v>22</v>
      </c>
      <c r="C661" s="11" t="s">
        <v>23</v>
      </c>
      <c r="D661" s="10" t="s">
        <v>13</v>
      </c>
      <c r="E661" s="11" t="s">
        <v>57</v>
      </c>
      <c r="F661" s="13">
        <v>21.96</v>
      </c>
      <c r="G661" s="14">
        <v>45050.0</v>
      </c>
      <c r="H661" s="15">
        <f t="shared" si="1"/>
        <v>4</v>
      </c>
      <c r="I661" s="16">
        <f t="shared" si="2"/>
        <v>5</v>
      </c>
      <c r="J661" s="15">
        <f t="shared" si="3"/>
        <v>2023</v>
      </c>
      <c r="K661" s="16">
        <f>STANDARDIZE(F661,'estatística'!$C$2,'estatística'!$H$2)</f>
        <v>0.2615852114</v>
      </c>
    </row>
    <row r="662" ht="15.75" customHeight="1">
      <c r="A662" s="9">
        <v>9.0</v>
      </c>
      <c r="B662" s="10" t="s">
        <v>179</v>
      </c>
      <c r="C662" s="11" t="s">
        <v>180</v>
      </c>
      <c r="D662" s="10" t="s">
        <v>13</v>
      </c>
      <c r="E662" s="11" t="s">
        <v>65</v>
      </c>
      <c r="F662" s="13">
        <v>35.6</v>
      </c>
      <c r="G662" s="14">
        <v>45050.0</v>
      </c>
      <c r="H662" s="15">
        <f t="shared" si="1"/>
        <v>4</v>
      </c>
      <c r="I662" s="16">
        <f t="shared" si="2"/>
        <v>5</v>
      </c>
      <c r="J662" s="15">
        <f t="shared" si="3"/>
        <v>2023</v>
      </c>
      <c r="K662" s="16">
        <f>STANDARDIZE(F662,'estatística'!$C$2,'estatística'!$H$2)</f>
        <v>0.4342871613</v>
      </c>
    </row>
    <row r="663" ht="15.75" customHeight="1">
      <c r="A663" s="9">
        <v>7.0</v>
      </c>
      <c r="B663" s="10" t="s">
        <v>83</v>
      </c>
      <c r="C663" s="11" t="s">
        <v>84</v>
      </c>
      <c r="D663" s="10" t="s">
        <v>17</v>
      </c>
      <c r="E663" s="11" t="s">
        <v>107</v>
      </c>
      <c r="F663" s="13">
        <v>32.17</v>
      </c>
      <c r="G663" s="14">
        <v>45050.0</v>
      </c>
      <c r="H663" s="15">
        <f t="shared" si="1"/>
        <v>4</v>
      </c>
      <c r="I663" s="16">
        <f t="shared" si="2"/>
        <v>5</v>
      </c>
      <c r="J663" s="15">
        <f t="shared" si="3"/>
        <v>2023</v>
      </c>
      <c r="K663" s="16">
        <f>STANDARDIZE(F663,'estatística'!$C$2,'estatística'!$H$2)</f>
        <v>0.3908584452</v>
      </c>
    </row>
    <row r="664" ht="15.75" customHeight="1">
      <c r="A664" s="9">
        <v>82.0</v>
      </c>
      <c r="B664" s="10" t="s">
        <v>203</v>
      </c>
      <c r="C664" s="11" t="s">
        <v>204</v>
      </c>
      <c r="D664" s="10" t="s">
        <v>13</v>
      </c>
      <c r="E664" s="11" t="s">
        <v>48</v>
      </c>
      <c r="F664" s="13">
        <v>19.38</v>
      </c>
      <c r="G664" s="14">
        <v>45050.0</v>
      </c>
      <c r="H664" s="15">
        <f t="shared" si="1"/>
        <v>4</v>
      </c>
      <c r="I664" s="16">
        <f t="shared" si="2"/>
        <v>5</v>
      </c>
      <c r="J664" s="15">
        <f t="shared" si="3"/>
        <v>2023</v>
      </c>
      <c r="K664" s="16">
        <f>STANDARDIZE(F664,'estatística'!$C$2,'estatística'!$H$2)</f>
        <v>0.2289187136</v>
      </c>
    </row>
    <row r="665" ht="15.75" customHeight="1">
      <c r="A665" s="9">
        <v>54.0</v>
      </c>
      <c r="B665" s="10" t="s">
        <v>55</v>
      </c>
      <c r="C665" s="11" t="s">
        <v>56</v>
      </c>
      <c r="D665" s="10" t="s">
        <v>13</v>
      </c>
      <c r="E665" s="11" t="s">
        <v>33</v>
      </c>
      <c r="F665" s="13">
        <v>46.9</v>
      </c>
      <c r="G665" s="14">
        <v>45051.0</v>
      </c>
      <c r="H665" s="15">
        <f t="shared" si="1"/>
        <v>5</v>
      </c>
      <c r="I665" s="16">
        <f t="shared" si="2"/>
        <v>5</v>
      </c>
      <c r="J665" s="15">
        <f t="shared" si="3"/>
        <v>2023</v>
      </c>
      <c r="K665" s="16">
        <f>STANDARDIZE(F665,'estatística'!$C$2,'estatística'!$H$2)</f>
        <v>0.5773613573</v>
      </c>
    </row>
    <row r="666" ht="15.75" customHeight="1">
      <c r="A666" s="9">
        <v>28.0</v>
      </c>
      <c r="B666" s="10" t="s">
        <v>49</v>
      </c>
      <c r="C666" s="11" t="s">
        <v>50</v>
      </c>
      <c r="D666" s="10" t="s">
        <v>17</v>
      </c>
      <c r="E666" s="11" t="s">
        <v>14</v>
      </c>
      <c r="F666" s="13">
        <v>10.35</v>
      </c>
      <c r="G666" s="14">
        <v>45051.0</v>
      </c>
      <c r="H666" s="15">
        <f t="shared" si="1"/>
        <v>5</v>
      </c>
      <c r="I666" s="16">
        <f t="shared" si="2"/>
        <v>5</v>
      </c>
      <c r="J666" s="15">
        <f t="shared" si="3"/>
        <v>2023</v>
      </c>
      <c r="K666" s="16">
        <f>STANDARDIZE(F666,'estatística'!$C$2,'estatística'!$H$2)</f>
        <v>0.1145859711</v>
      </c>
    </row>
    <row r="667" ht="15.75" customHeight="1">
      <c r="A667" s="9">
        <v>65.0</v>
      </c>
      <c r="B667" s="10" t="s">
        <v>181</v>
      </c>
      <c r="C667" s="11" t="s">
        <v>182</v>
      </c>
      <c r="D667" s="10" t="s">
        <v>13</v>
      </c>
      <c r="E667" s="11" t="s">
        <v>77</v>
      </c>
      <c r="F667" s="13">
        <v>15.73</v>
      </c>
      <c r="G667" s="14">
        <v>45051.0</v>
      </c>
      <c r="H667" s="15">
        <f t="shared" si="1"/>
        <v>5</v>
      </c>
      <c r="I667" s="16">
        <f t="shared" si="2"/>
        <v>5</v>
      </c>
      <c r="J667" s="15">
        <f t="shared" si="3"/>
        <v>2023</v>
      </c>
      <c r="K667" s="16">
        <f>STANDARDIZE(F667,'estatística'!$C$2,'estatística'!$H$2)</f>
        <v>0.1827044821</v>
      </c>
    </row>
    <row r="668" ht="15.75" customHeight="1">
      <c r="A668" s="9">
        <v>78.0</v>
      </c>
      <c r="B668" s="10" t="s">
        <v>15</v>
      </c>
      <c r="C668" s="11" t="s">
        <v>16</v>
      </c>
      <c r="D668" s="10" t="s">
        <v>17</v>
      </c>
      <c r="E668" s="11" t="s">
        <v>48</v>
      </c>
      <c r="F668" s="13">
        <v>17.29</v>
      </c>
      <c r="G668" s="14">
        <v>45051.0</v>
      </c>
      <c r="H668" s="15">
        <f t="shared" si="1"/>
        <v>5</v>
      </c>
      <c r="I668" s="16">
        <f t="shared" si="2"/>
        <v>5</v>
      </c>
      <c r="J668" s="15">
        <f t="shared" si="3"/>
        <v>2023</v>
      </c>
      <c r="K668" s="16">
        <f>STANDARDIZE(F668,'estatística'!$C$2,'estatística'!$H$2)</f>
        <v>0.2024563181</v>
      </c>
    </row>
    <row r="669" ht="15.75" customHeight="1">
      <c r="A669" s="9">
        <v>45.0</v>
      </c>
      <c r="B669" s="10" t="s">
        <v>193</v>
      </c>
      <c r="C669" s="11" t="s">
        <v>194</v>
      </c>
      <c r="D669" s="10" t="s">
        <v>17</v>
      </c>
      <c r="E669" s="11" t="s">
        <v>48</v>
      </c>
      <c r="F669" s="13">
        <v>14.45</v>
      </c>
      <c r="G669" s="14">
        <v>45051.0</v>
      </c>
      <c r="H669" s="15">
        <f t="shared" si="1"/>
        <v>5</v>
      </c>
      <c r="I669" s="16">
        <f t="shared" si="2"/>
        <v>5</v>
      </c>
      <c r="J669" s="15">
        <f t="shared" si="3"/>
        <v>2023</v>
      </c>
      <c r="K669" s="16">
        <f>STANDARDIZE(F669,'estatística'!$C$2,'estatística'!$H$2)</f>
        <v>0.1664978476</v>
      </c>
    </row>
    <row r="670" ht="15.75" customHeight="1">
      <c r="A670" s="9">
        <v>95.0</v>
      </c>
      <c r="B670" s="10" t="s">
        <v>78</v>
      </c>
      <c r="C670" s="11" t="s">
        <v>79</v>
      </c>
      <c r="D670" s="10" t="s">
        <v>13</v>
      </c>
      <c r="E670" s="11" t="s">
        <v>91</v>
      </c>
      <c r="F670" s="13">
        <v>3.75</v>
      </c>
      <c r="G670" s="14">
        <v>45051.0</v>
      </c>
      <c r="H670" s="15">
        <f t="shared" si="1"/>
        <v>5</v>
      </c>
      <c r="I670" s="16">
        <f t="shared" si="2"/>
        <v>5</v>
      </c>
      <c r="J670" s="15">
        <f t="shared" si="3"/>
        <v>2023</v>
      </c>
      <c r="K670" s="16">
        <f>STANDARDIZE(F670,'estatística'!$C$2,'estatística'!$H$2)</f>
        <v>0.03102051152</v>
      </c>
    </row>
    <row r="671" ht="15.75" customHeight="1">
      <c r="A671" s="9">
        <v>67.0</v>
      </c>
      <c r="B671" s="10" t="s">
        <v>176</v>
      </c>
      <c r="C671" s="11" t="s">
        <v>177</v>
      </c>
      <c r="D671" s="10" t="s">
        <v>13</v>
      </c>
      <c r="E671" s="11" t="s">
        <v>18</v>
      </c>
      <c r="F671" s="13">
        <v>39.37</v>
      </c>
      <c r="G671" s="14">
        <v>45051.0</v>
      </c>
      <c r="H671" s="15">
        <f t="shared" si="1"/>
        <v>5</v>
      </c>
      <c r="I671" s="16">
        <f t="shared" si="2"/>
        <v>5</v>
      </c>
      <c r="J671" s="15">
        <f t="shared" si="3"/>
        <v>2023</v>
      </c>
      <c r="K671" s="16">
        <f>STANDARDIZE(F671,'estatística'!$C$2,'estatística'!$H$2)</f>
        <v>0.4820207648</v>
      </c>
    </row>
    <row r="672" ht="15.75" customHeight="1">
      <c r="A672" s="9">
        <v>33.0</v>
      </c>
      <c r="B672" s="10" t="s">
        <v>163</v>
      </c>
      <c r="C672" s="11" t="s">
        <v>164</v>
      </c>
      <c r="D672" s="10" t="s">
        <v>17</v>
      </c>
      <c r="E672" s="11" t="s">
        <v>29</v>
      </c>
      <c r="F672" s="13">
        <v>14.08</v>
      </c>
      <c r="G672" s="14">
        <v>45051.0</v>
      </c>
      <c r="H672" s="15">
        <f t="shared" si="1"/>
        <v>5</v>
      </c>
      <c r="I672" s="16">
        <f t="shared" si="2"/>
        <v>5</v>
      </c>
      <c r="J672" s="15">
        <f t="shared" si="3"/>
        <v>2023</v>
      </c>
      <c r="K672" s="16">
        <f>STANDARDIZE(F672,'estatística'!$C$2,'estatística'!$H$2)</f>
        <v>0.1618131172</v>
      </c>
    </row>
    <row r="673" ht="15.75" customHeight="1">
      <c r="A673" s="9">
        <v>28.0</v>
      </c>
      <c r="B673" s="10" t="s">
        <v>49</v>
      </c>
      <c r="C673" s="11" t="s">
        <v>50</v>
      </c>
      <c r="D673" s="10" t="s">
        <v>13</v>
      </c>
      <c r="E673" s="11" t="s">
        <v>39</v>
      </c>
      <c r="F673" s="13">
        <v>58.19</v>
      </c>
      <c r="G673" s="14">
        <v>45052.0</v>
      </c>
      <c r="H673" s="15">
        <f t="shared" si="1"/>
        <v>6</v>
      </c>
      <c r="I673" s="16">
        <f t="shared" si="2"/>
        <v>5</v>
      </c>
      <c r="J673" s="15">
        <f t="shared" si="3"/>
        <v>2023</v>
      </c>
      <c r="K673" s="16">
        <f>STANDARDIZE(F673,'estatística'!$C$2,'estatística'!$H$2)</f>
        <v>0.720308939</v>
      </c>
    </row>
    <row r="674" ht="15.75" customHeight="1">
      <c r="A674" s="9">
        <v>41.0</v>
      </c>
      <c r="B674" s="10" t="s">
        <v>189</v>
      </c>
      <c r="C674" s="11" t="s">
        <v>190</v>
      </c>
      <c r="D674" s="10" t="s">
        <v>17</v>
      </c>
      <c r="E674" s="11" t="s">
        <v>48</v>
      </c>
      <c r="F674" s="13">
        <v>8.16</v>
      </c>
      <c r="G674" s="14">
        <v>45052.0</v>
      </c>
      <c r="H674" s="15">
        <f t="shared" si="1"/>
        <v>6</v>
      </c>
      <c r="I674" s="16">
        <f t="shared" si="2"/>
        <v>5</v>
      </c>
      <c r="J674" s="15">
        <f t="shared" si="3"/>
        <v>2023</v>
      </c>
      <c r="K674" s="16">
        <f>STANDARDIZE(F674,'estatística'!$C$2,'estatística'!$H$2)</f>
        <v>0.08685743226</v>
      </c>
    </row>
    <row r="675" ht="15.75" customHeight="1">
      <c r="A675" s="9">
        <v>69.0</v>
      </c>
      <c r="B675" s="10" t="s">
        <v>75</v>
      </c>
      <c r="C675" s="11" t="s">
        <v>117</v>
      </c>
      <c r="D675" s="10" t="s">
        <v>17</v>
      </c>
      <c r="E675" s="11" t="s">
        <v>32</v>
      </c>
      <c r="F675" s="13">
        <v>32.12</v>
      </c>
      <c r="G675" s="14">
        <v>45052.0</v>
      </c>
      <c r="H675" s="15">
        <f t="shared" si="1"/>
        <v>6</v>
      </c>
      <c r="I675" s="16">
        <f t="shared" si="2"/>
        <v>5</v>
      </c>
      <c r="J675" s="15">
        <f t="shared" si="3"/>
        <v>2023</v>
      </c>
      <c r="K675" s="16">
        <f>STANDARDIZE(F675,'estatística'!$C$2,'estatística'!$H$2)</f>
        <v>0.3902253735</v>
      </c>
    </row>
    <row r="676" ht="15.75" customHeight="1">
      <c r="A676" s="9">
        <v>73.0</v>
      </c>
      <c r="B676" s="10" t="s">
        <v>195</v>
      </c>
      <c r="C676" s="11" t="s">
        <v>196</v>
      </c>
      <c r="D676" s="10" t="s">
        <v>17</v>
      </c>
      <c r="E676" s="11" t="s">
        <v>36</v>
      </c>
      <c r="F676" s="13">
        <v>59.4</v>
      </c>
      <c r="G676" s="14">
        <v>45052.0</v>
      </c>
      <c r="H676" s="15">
        <f t="shared" si="1"/>
        <v>6</v>
      </c>
      <c r="I676" s="16">
        <f t="shared" si="2"/>
        <v>5</v>
      </c>
      <c r="J676" s="15">
        <f t="shared" si="3"/>
        <v>2023</v>
      </c>
      <c r="K676" s="16">
        <f>STANDARDIZE(F676,'estatística'!$C$2,'estatística'!$H$2)</f>
        <v>0.7356292732</v>
      </c>
    </row>
    <row r="677" ht="15.75" customHeight="1">
      <c r="A677" s="9">
        <v>57.0</v>
      </c>
      <c r="B677" s="10" t="s">
        <v>60</v>
      </c>
      <c r="C677" s="11" t="s">
        <v>162</v>
      </c>
      <c r="D677" s="10" t="s">
        <v>17</v>
      </c>
      <c r="E677" s="11" t="s">
        <v>14</v>
      </c>
      <c r="F677" s="13">
        <v>10.55</v>
      </c>
      <c r="G677" s="14">
        <v>45052.0</v>
      </c>
      <c r="H677" s="15">
        <f t="shared" si="1"/>
        <v>6</v>
      </c>
      <c r="I677" s="16">
        <f t="shared" si="2"/>
        <v>5</v>
      </c>
      <c r="J677" s="15">
        <f t="shared" si="3"/>
        <v>2023</v>
      </c>
      <c r="K677" s="16">
        <f>STANDARDIZE(F677,'estatística'!$C$2,'estatística'!$H$2)</f>
        <v>0.1171182578</v>
      </c>
    </row>
    <row r="678" ht="15.75" customHeight="1">
      <c r="A678" s="9">
        <v>65.0</v>
      </c>
      <c r="B678" s="10" t="s">
        <v>181</v>
      </c>
      <c r="C678" s="11" t="s">
        <v>182</v>
      </c>
      <c r="D678" s="10" t="s">
        <v>13</v>
      </c>
      <c r="E678" s="11" t="s">
        <v>80</v>
      </c>
      <c r="F678" s="13">
        <v>33.83</v>
      </c>
      <c r="G678" s="14">
        <v>45052.0</v>
      </c>
      <c r="H678" s="15">
        <f t="shared" si="1"/>
        <v>6</v>
      </c>
      <c r="I678" s="16">
        <f t="shared" si="2"/>
        <v>5</v>
      </c>
      <c r="J678" s="15">
        <f t="shared" si="3"/>
        <v>2023</v>
      </c>
      <c r="K678" s="16">
        <f>STANDARDIZE(F678,'estatística'!$C$2,'estatística'!$H$2)</f>
        <v>0.4118764244</v>
      </c>
    </row>
    <row r="679" ht="15.75" customHeight="1">
      <c r="A679" s="9">
        <v>42.0</v>
      </c>
      <c r="B679" s="10" t="s">
        <v>60</v>
      </c>
      <c r="C679" s="11" t="s">
        <v>142</v>
      </c>
      <c r="D679" s="10" t="s">
        <v>17</v>
      </c>
      <c r="E679" s="11" t="s">
        <v>39</v>
      </c>
      <c r="F679" s="13">
        <v>54.72</v>
      </c>
      <c r="G679" s="14">
        <v>45053.0</v>
      </c>
      <c r="H679" s="15">
        <f t="shared" si="1"/>
        <v>7</v>
      </c>
      <c r="I679" s="16">
        <f t="shared" si="2"/>
        <v>5</v>
      </c>
      <c r="J679" s="15">
        <f t="shared" si="3"/>
        <v>2023</v>
      </c>
      <c r="K679" s="16">
        <f>STANDARDIZE(F679,'estatística'!$C$2,'estatística'!$H$2)</f>
        <v>0.6763737655</v>
      </c>
    </row>
    <row r="680" ht="15.75" customHeight="1">
      <c r="A680" s="9">
        <v>89.0</v>
      </c>
      <c r="B680" s="10" t="s">
        <v>105</v>
      </c>
      <c r="C680" s="11" t="s">
        <v>106</v>
      </c>
      <c r="D680" s="10" t="s">
        <v>13</v>
      </c>
      <c r="E680" s="11" t="s">
        <v>32</v>
      </c>
      <c r="F680" s="13">
        <v>32.5</v>
      </c>
      <c r="G680" s="14">
        <v>45053.0</v>
      </c>
      <c r="H680" s="15">
        <f t="shared" si="1"/>
        <v>7</v>
      </c>
      <c r="I680" s="16">
        <f t="shared" si="2"/>
        <v>5</v>
      </c>
      <c r="J680" s="15">
        <f t="shared" si="3"/>
        <v>2023</v>
      </c>
      <c r="K680" s="16">
        <f>STANDARDIZE(F680,'estatística'!$C$2,'estatística'!$H$2)</f>
        <v>0.3950367182</v>
      </c>
    </row>
    <row r="681" ht="15.75" customHeight="1">
      <c r="A681" s="9">
        <v>65.0</v>
      </c>
      <c r="B681" s="10" t="s">
        <v>181</v>
      </c>
      <c r="C681" s="11" t="s">
        <v>182</v>
      </c>
      <c r="D681" s="10" t="s">
        <v>13</v>
      </c>
      <c r="E681" s="11" t="s">
        <v>29</v>
      </c>
      <c r="F681" s="13">
        <v>12.81</v>
      </c>
      <c r="G681" s="14">
        <v>45053.0</v>
      </c>
      <c r="H681" s="15">
        <f t="shared" si="1"/>
        <v>7</v>
      </c>
      <c r="I681" s="16">
        <f t="shared" si="2"/>
        <v>5</v>
      </c>
      <c r="J681" s="15">
        <f t="shared" si="3"/>
        <v>2023</v>
      </c>
      <c r="K681" s="16">
        <f>STANDARDIZE(F681,'estatística'!$C$2,'estatística'!$H$2)</f>
        <v>0.145733097</v>
      </c>
    </row>
    <row r="682" ht="15.75" customHeight="1">
      <c r="A682" s="9">
        <v>9.0</v>
      </c>
      <c r="B682" s="10" t="s">
        <v>179</v>
      </c>
      <c r="C682" s="11" t="s">
        <v>180</v>
      </c>
      <c r="D682" s="10" t="s">
        <v>17</v>
      </c>
      <c r="E682" s="11" t="s">
        <v>57</v>
      </c>
      <c r="F682" s="13">
        <v>15.32</v>
      </c>
      <c r="G682" s="14">
        <v>45053.0</v>
      </c>
      <c r="H682" s="15">
        <f t="shared" si="1"/>
        <v>7</v>
      </c>
      <c r="I682" s="16">
        <f t="shared" si="2"/>
        <v>5</v>
      </c>
      <c r="J682" s="15">
        <f t="shared" si="3"/>
        <v>2023</v>
      </c>
      <c r="K682" s="16">
        <f>STANDARDIZE(F682,'estatística'!$C$2,'estatística'!$H$2)</f>
        <v>0.1775132945</v>
      </c>
    </row>
    <row r="683" ht="15.75" customHeight="1">
      <c r="A683" s="9">
        <v>26.0</v>
      </c>
      <c r="B683" s="10" t="s">
        <v>183</v>
      </c>
      <c r="C683" s="11" t="s">
        <v>184</v>
      </c>
      <c r="D683" s="10" t="s">
        <v>17</v>
      </c>
      <c r="E683" s="11" t="s">
        <v>21</v>
      </c>
      <c r="F683" s="13">
        <v>14.43</v>
      </c>
      <c r="G683" s="14">
        <v>45054.0</v>
      </c>
      <c r="H683" s="15">
        <f t="shared" si="1"/>
        <v>8</v>
      </c>
      <c r="I683" s="16">
        <f t="shared" si="2"/>
        <v>5</v>
      </c>
      <c r="J683" s="15">
        <f t="shared" si="3"/>
        <v>2023</v>
      </c>
      <c r="K683" s="16">
        <f>STANDARDIZE(F683,'estatística'!$C$2,'estatística'!$H$2)</f>
        <v>0.1662446189</v>
      </c>
    </row>
    <row r="684" ht="15.75" customHeight="1">
      <c r="A684" s="9">
        <v>96.0</v>
      </c>
      <c r="B684" s="10" t="s">
        <v>135</v>
      </c>
      <c r="C684" s="11" t="s">
        <v>136</v>
      </c>
      <c r="D684" s="10" t="s">
        <v>17</v>
      </c>
      <c r="E684" s="11" t="s">
        <v>65</v>
      </c>
      <c r="F684" s="13">
        <v>33.96</v>
      </c>
      <c r="G684" s="14">
        <v>45054.0</v>
      </c>
      <c r="H684" s="15">
        <f t="shared" si="1"/>
        <v>8</v>
      </c>
      <c r="I684" s="16">
        <f t="shared" si="2"/>
        <v>5</v>
      </c>
      <c r="J684" s="15">
        <f t="shared" si="3"/>
        <v>2023</v>
      </c>
      <c r="K684" s="16">
        <f>STANDARDIZE(F684,'estatística'!$C$2,'estatística'!$H$2)</f>
        <v>0.4135224107</v>
      </c>
    </row>
    <row r="685" ht="15.75" customHeight="1">
      <c r="A685" s="9">
        <v>51.0</v>
      </c>
      <c r="B685" s="10" t="s">
        <v>205</v>
      </c>
      <c r="C685" s="11" t="s">
        <v>206</v>
      </c>
      <c r="D685" s="10" t="s">
        <v>13</v>
      </c>
      <c r="E685" s="11" t="s">
        <v>62</v>
      </c>
      <c r="F685" s="13">
        <v>10.69</v>
      </c>
      <c r="G685" s="14">
        <v>45054.0</v>
      </c>
      <c r="H685" s="15">
        <f t="shared" si="1"/>
        <v>8</v>
      </c>
      <c r="I685" s="16">
        <f t="shared" si="2"/>
        <v>5</v>
      </c>
      <c r="J685" s="15">
        <f t="shared" si="3"/>
        <v>2023</v>
      </c>
      <c r="K685" s="16">
        <f>STANDARDIZE(F685,'estatística'!$C$2,'estatística'!$H$2)</f>
        <v>0.1188908584</v>
      </c>
    </row>
    <row r="686" ht="15.75" customHeight="1">
      <c r="A686" s="9">
        <v>14.0</v>
      </c>
      <c r="B686" s="10" t="s">
        <v>143</v>
      </c>
      <c r="C686" s="11" t="s">
        <v>144</v>
      </c>
      <c r="D686" s="10" t="s">
        <v>13</v>
      </c>
      <c r="E686" s="11" t="s">
        <v>36</v>
      </c>
      <c r="F686" s="13">
        <v>75.94</v>
      </c>
      <c r="G686" s="14">
        <v>45054.0</v>
      </c>
      <c r="H686" s="15">
        <f t="shared" si="1"/>
        <v>8</v>
      </c>
      <c r="I686" s="16">
        <f t="shared" si="2"/>
        <v>5</v>
      </c>
      <c r="J686" s="15">
        <f t="shared" si="3"/>
        <v>2023</v>
      </c>
      <c r="K686" s="16">
        <f>STANDARDIZE(F686,'estatística'!$C$2,'estatística'!$H$2)</f>
        <v>0.9450493796</v>
      </c>
    </row>
    <row r="687" ht="15.75" customHeight="1">
      <c r="A687" s="9">
        <v>76.0</v>
      </c>
      <c r="B687" s="10" t="s">
        <v>185</v>
      </c>
      <c r="C687" s="11" t="s">
        <v>186</v>
      </c>
      <c r="D687" s="10" t="s">
        <v>13</v>
      </c>
      <c r="E687" s="11" t="s">
        <v>33</v>
      </c>
      <c r="F687" s="13">
        <v>64.95</v>
      </c>
      <c r="G687" s="14">
        <v>45054.0</v>
      </c>
      <c r="H687" s="15">
        <f t="shared" si="1"/>
        <v>8</v>
      </c>
      <c r="I687" s="16">
        <f t="shared" si="2"/>
        <v>5</v>
      </c>
      <c r="J687" s="15">
        <f t="shared" si="3"/>
        <v>2023</v>
      </c>
      <c r="K687" s="16">
        <f>STANDARDIZE(F687,'estatística'!$C$2,'estatística'!$H$2)</f>
        <v>0.8059002279</v>
      </c>
    </row>
    <row r="688" ht="15.75" customHeight="1">
      <c r="A688" s="9">
        <v>82.0</v>
      </c>
      <c r="B688" s="10" t="s">
        <v>203</v>
      </c>
      <c r="C688" s="11" t="s">
        <v>204</v>
      </c>
      <c r="D688" s="10" t="s">
        <v>13</v>
      </c>
      <c r="E688" s="11" t="s">
        <v>91</v>
      </c>
      <c r="F688" s="13">
        <v>3.37</v>
      </c>
      <c r="G688" s="14">
        <v>45055.0</v>
      </c>
      <c r="H688" s="15">
        <f t="shared" si="1"/>
        <v>9</v>
      </c>
      <c r="I688" s="16">
        <f t="shared" si="2"/>
        <v>5</v>
      </c>
      <c r="J688" s="15">
        <f t="shared" si="3"/>
        <v>2023</v>
      </c>
      <c r="K688" s="16">
        <f>STANDARDIZE(F688,'estatística'!$C$2,'estatística'!$H$2)</f>
        <v>0.02620916688</v>
      </c>
    </row>
    <row r="689" ht="15.75" customHeight="1">
      <c r="A689" s="9">
        <v>91.0</v>
      </c>
      <c r="B689" s="10" t="s">
        <v>81</v>
      </c>
      <c r="C689" s="11" t="s">
        <v>82</v>
      </c>
      <c r="D689" s="10" t="s">
        <v>13</v>
      </c>
      <c r="E689" s="11" t="s">
        <v>36</v>
      </c>
      <c r="F689" s="13">
        <v>71.01</v>
      </c>
      <c r="G689" s="14">
        <v>45055.0</v>
      </c>
      <c r="H689" s="15">
        <f t="shared" si="1"/>
        <v>9</v>
      </c>
      <c r="I689" s="16">
        <f t="shared" si="2"/>
        <v>5</v>
      </c>
      <c r="J689" s="15">
        <f t="shared" si="3"/>
        <v>2023</v>
      </c>
      <c r="K689" s="16">
        <f>STANDARDIZE(F689,'estatística'!$C$2,'estatística'!$H$2)</f>
        <v>0.8826285135</v>
      </c>
    </row>
    <row r="690" ht="15.75" customHeight="1">
      <c r="A690" s="9">
        <v>33.0</v>
      </c>
      <c r="B690" s="10" t="s">
        <v>163</v>
      </c>
      <c r="C690" s="11" t="s">
        <v>164</v>
      </c>
      <c r="D690" s="10" t="s">
        <v>17</v>
      </c>
      <c r="E690" s="11" t="s">
        <v>68</v>
      </c>
      <c r="F690" s="13">
        <v>12.41</v>
      </c>
      <c r="G690" s="14">
        <v>45055.0</v>
      </c>
      <c r="H690" s="15">
        <f t="shared" si="1"/>
        <v>9</v>
      </c>
      <c r="I690" s="16">
        <f t="shared" si="2"/>
        <v>5</v>
      </c>
      <c r="J690" s="15">
        <f t="shared" si="3"/>
        <v>2023</v>
      </c>
      <c r="K690" s="16">
        <f>STANDARDIZE(F690,'estatística'!$C$2,'estatística'!$H$2)</f>
        <v>0.1406685237</v>
      </c>
    </row>
    <row r="691" ht="15.75" customHeight="1">
      <c r="A691" s="9">
        <v>45.0</v>
      </c>
      <c r="B691" s="10" t="s">
        <v>193</v>
      </c>
      <c r="C691" s="11" t="s">
        <v>194</v>
      </c>
      <c r="D691" s="10" t="s">
        <v>13</v>
      </c>
      <c r="E691" s="11" t="s">
        <v>80</v>
      </c>
      <c r="F691" s="13">
        <v>41.03</v>
      </c>
      <c r="G691" s="14">
        <v>45055.0</v>
      </c>
      <c r="H691" s="15">
        <f t="shared" si="1"/>
        <v>9</v>
      </c>
      <c r="I691" s="16">
        <f t="shared" si="2"/>
        <v>5</v>
      </c>
      <c r="J691" s="15">
        <f t="shared" si="3"/>
        <v>2023</v>
      </c>
      <c r="K691" s="16">
        <f>STANDARDIZE(F691,'estatística'!$C$2,'estatística'!$H$2)</f>
        <v>0.503038744</v>
      </c>
    </row>
    <row r="692" ht="15.75" customHeight="1">
      <c r="A692" s="9">
        <v>11.0</v>
      </c>
      <c r="B692" s="10" t="s">
        <v>199</v>
      </c>
      <c r="C692" s="11" t="s">
        <v>200</v>
      </c>
      <c r="D692" s="10" t="s">
        <v>13</v>
      </c>
      <c r="E692" s="11" t="s">
        <v>39</v>
      </c>
      <c r="F692" s="13">
        <v>46.32</v>
      </c>
      <c r="G692" s="14">
        <v>45055.0</v>
      </c>
      <c r="H692" s="15">
        <f t="shared" si="1"/>
        <v>9</v>
      </c>
      <c r="I692" s="16">
        <f t="shared" si="2"/>
        <v>5</v>
      </c>
      <c r="J692" s="15">
        <f t="shared" si="3"/>
        <v>2023</v>
      </c>
      <c r="K692" s="16">
        <f>STANDARDIZE(F692,'estatística'!$C$2,'estatística'!$H$2)</f>
        <v>0.570017726</v>
      </c>
    </row>
    <row r="693" ht="15.75" customHeight="1">
      <c r="A693" s="9">
        <v>25.0</v>
      </c>
      <c r="B693" s="10" t="s">
        <v>126</v>
      </c>
      <c r="C693" s="11" t="s">
        <v>127</v>
      </c>
      <c r="D693" s="10" t="s">
        <v>13</v>
      </c>
      <c r="E693" s="11" t="s">
        <v>80</v>
      </c>
      <c r="F693" s="13">
        <v>41.63</v>
      </c>
      <c r="G693" s="14">
        <v>45055.0</v>
      </c>
      <c r="H693" s="15">
        <f t="shared" si="1"/>
        <v>9</v>
      </c>
      <c r="I693" s="16">
        <f t="shared" si="2"/>
        <v>5</v>
      </c>
      <c r="J693" s="15">
        <f t="shared" si="3"/>
        <v>2023</v>
      </c>
      <c r="K693" s="16">
        <f>STANDARDIZE(F693,'estatística'!$C$2,'estatística'!$H$2)</f>
        <v>0.510635604</v>
      </c>
    </row>
    <row r="694" ht="15.75" customHeight="1">
      <c r="A694" s="9">
        <v>18.0</v>
      </c>
      <c r="B694" s="10" t="s">
        <v>135</v>
      </c>
      <c r="C694" s="11" t="s">
        <v>212</v>
      </c>
      <c r="D694" s="10" t="s">
        <v>17</v>
      </c>
      <c r="E694" s="11" t="s">
        <v>68</v>
      </c>
      <c r="F694" s="13">
        <v>11.55</v>
      </c>
      <c r="G694" s="14">
        <v>45055.0</v>
      </c>
      <c r="H694" s="15">
        <f t="shared" si="1"/>
        <v>9</v>
      </c>
      <c r="I694" s="16">
        <f t="shared" si="2"/>
        <v>5</v>
      </c>
      <c r="J694" s="15">
        <f t="shared" si="3"/>
        <v>2023</v>
      </c>
      <c r="K694" s="16">
        <f>STANDARDIZE(F694,'estatística'!$C$2,'estatística'!$H$2)</f>
        <v>0.1297796911</v>
      </c>
    </row>
    <row r="695" ht="15.75" customHeight="1">
      <c r="A695" s="9">
        <v>33.0</v>
      </c>
      <c r="B695" s="10" t="s">
        <v>163</v>
      </c>
      <c r="C695" s="11" t="s">
        <v>164</v>
      </c>
      <c r="D695" s="10" t="s">
        <v>17</v>
      </c>
      <c r="E695" s="11" t="s">
        <v>68</v>
      </c>
      <c r="F695" s="13">
        <v>10.77</v>
      </c>
      <c r="G695" s="14">
        <v>45056.0</v>
      </c>
      <c r="H695" s="15">
        <f t="shared" si="1"/>
        <v>10</v>
      </c>
      <c r="I695" s="16">
        <f t="shared" si="2"/>
        <v>5</v>
      </c>
      <c r="J695" s="15">
        <f t="shared" si="3"/>
        <v>2023</v>
      </c>
      <c r="K695" s="16">
        <f>STANDARDIZE(F695,'estatística'!$C$2,'estatística'!$H$2)</f>
        <v>0.1199037731</v>
      </c>
    </row>
    <row r="696" ht="15.75" customHeight="1">
      <c r="A696" s="9">
        <v>64.0</v>
      </c>
      <c r="B696" s="10" t="s">
        <v>131</v>
      </c>
      <c r="C696" s="11" t="s">
        <v>132</v>
      </c>
      <c r="D696" s="10" t="s">
        <v>17</v>
      </c>
      <c r="E696" s="11" t="s">
        <v>80</v>
      </c>
      <c r="F696" s="13">
        <v>36.98</v>
      </c>
      <c r="G696" s="14">
        <v>45056.0</v>
      </c>
      <c r="H696" s="15">
        <f t="shared" si="1"/>
        <v>10</v>
      </c>
      <c r="I696" s="16">
        <f t="shared" si="2"/>
        <v>5</v>
      </c>
      <c r="J696" s="15">
        <f t="shared" si="3"/>
        <v>2023</v>
      </c>
      <c r="K696" s="16">
        <f>STANDARDIZE(F696,'estatística'!$C$2,'estatística'!$H$2)</f>
        <v>0.4517599392</v>
      </c>
    </row>
    <row r="697" ht="15.75" customHeight="1">
      <c r="A697" s="9">
        <v>21.0</v>
      </c>
      <c r="B697" s="10" t="s">
        <v>158</v>
      </c>
      <c r="C697" s="11" t="s">
        <v>159</v>
      </c>
      <c r="D697" s="10" t="s">
        <v>13</v>
      </c>
      <c r="E697" s="11" t="s">
        <v>39</v>
      </c>
      <c r="F697" s="13">
        <v>51.31</v>
      </c>
      <c r="G697" s="14">
        <v>45056.0</v>
      </c>
      <c r="H697" s="15">
        <f t="shared" si="1"/>
        <v>10</v>
      </c>
      <c r="I697" s="16">
        <f t="shared" si="2"/>
        <v>5</v>
      </c>
      <c r="J697" s="15">
        <f t="shared" si="3"/>
        <v>2023</v>
      </c>
      <c r="K697" s="16">
        <f>STANDARDIZE(F697,'estatística'!$C$2,'estatística'!$H$2)</f>
        <v>0.633198278</v>
      </c>
    </row>
    <row r="698" ht="15.75" customHeight="1">
      <c r="A698" s="9">
        <v>33.0</v>
      </c>
      <c r="B698" s="10" t="s">
        <v>163</v>
      </c>
      <c r="C698" s="11" t="s">
        <v>164</v>
      </c>
      <c r="D698" s="10" t="s">
        <v>13</v>
      </c>
      <c r="E698" s="11" t="s">
        <v>116</v>
      </c>
      <c r="F698" s="13">
        <v>4.1</v>
      </c>
      <c r="G698" s="14">
        <v>45056.0</v>
      </c>
      <c r="H698" s="15">
        <f t="shared" si="1"/>
        <v>10</v>
      </c>
      <c r="I698" s="16">
        <f t="shared" si="2"/>
        <v>5</v>
      </c>
      <c r="J698" s="15">
        <f t="shared" si="3"/>
        <v>2023</v>
      </c>
      <c r="K698" s="16">
        <f>STANDARDIZE(F698,'estatística'!$C$2,'estatística'!$H$2)</f>
        <v>0.03545201317</v>
      </c>
    </row>
    <row r="699" ht="15.75" customHeight="1">
      <c r="A699" s="9">
        <v>60.0</v>
      </c>
      <c r="B699" s="10" t="s">
        <v>42</v>
      </c>
      <c r="C699" s="11" t="s">
        <v>43</v>
      </c>
      <c r="D699" s="10" t="s">
        <v>13</v>
      </c>
      <c r="E699" s="11" t="s">
        <v>14</v>
      </c>
      <c r="F699" s="13">
        <v>10.81</v>
      </c>
      <c r="G699" s="14">
        <v>45056.0</v>
      </c>
      <c r="H699" s="15">
        <f t="shared" si="1"/>
        <v>10</v>
      </c>
      <c r="I699" s="16">
        <f t="shared" si="2"/>
        <v>5</v>
      </c>
      <c r="J699" s="15">
        <f t="shared" si="3"/>
        <v>2023</v>
      </c>
      <c r="K699" s="16">
        <f>STANDARDIZE(F699,'estatística'!$C$2,'estatística'!$H$2)</f>
        <v>0.1204102304</v>
      </c>
    </row>
    <row r="700" ht="15.75" customHeight="1">
      <c r="A700" s="9">
        <v>34.0</v>
      </c>
      <c r="B700" s="10" t="s">
        <v>149</v>
      </c>
      <c r="C700" s="11" t="s">
        <v>150</v>
      </c>
      <c r="D700" s="10" t="s">
        <v>17</v>
      </c>
      <c r="E700" s="11" t="s">
        <v>57</v>
      </c>
      <c r="F700" s="13">
        <v>23.9</v>
      </c>
      <c r="G700" s="14">
        <v>45056.0</v>
      </c>
      <c r="H700" s="15">
        <f t="shared" si="1"/>
        <v>10</v>
      </c>
      <c r="I700" s="16">
        <f t="shared" si="2"/>
        <v>5</v>
      </c>
      <c r="J700" s="15">
        <f t="shared" si="3"/>
        <v>2023</v>
      </c>
      <c r="K700" s="16">
        <f>STANDARDIZE(F700,'estatística'!$C$2,'estatística'!$H$2)</f>
        <v>0.286148392</v>
      </c>
    </row>
    <row r="701" ht="15.75" customHeight="1">
      <c r="A701" s="9">
        <v>3.0</v>
      </c>
      <c r="B701" s="10" t="s">
        <v>51</v>
      </c>
      <c r="C701" s="11" t="s">
        <v>52</v>
      </c>
      <c r="D701" s="10" t="s">
        <v>13</v>
      </c>
      <c r="E701" s="11" t="s">
        <v>24</v>
      </c>
      <c r="F701" s="13">
        <v>32.67</v>
      </c>
      <c r="G701" s="14">
        <v>45056.0</v>
      </c>
      <c r="H701" s="15">
        <f t="shared" si="1"/>
        <v>10</v>
      </c>
      <c r="I701" s="16">
        <f t="shared" si="2"/>
        <v>5</v>
      </c>
      <c r="J701" s="15">
        <f t="shared" si="3"/>
        <v>2023</v>
      </c>
      <c r="K701" s="16">
        <f>STANDARDIZE(F701,'estatística'!$C$2,'estatística'!$H$2)</f>
        <v>0.3971891618</v>
      </c>
    </row>
    <row r="702" ht="15.75" customHeight="1">
      <c r="A702" s="9">
        <v>70.0</v>
      </c>
      <c r="B702" s="10" t="s">
        <v>124</v>
      </c>
      <c r="C702" s="11" t="s">
        <v>125</v>
      </c>
      <c r="D702" s="10" t="s">
        <v>13</v>
      </c>
      <c r="E702" s="11" t="s">
        <v>80</v>
      </c>
      <c r="F702" s="13">
        <v>32.71</v>
      </c>
      <c r="G702" s="14">
        <v>45056.0</v>
      </c>
      <c r="H702" s="15">
        <f t="shared" si="1"/>
        <v>10</v>
      </c>
      <c r="I702" s="16">
        <f t="shared" si="2"/>
        <v>5</v>
      </c>
      <c r="J702" s="15">
        <f t="shared" si="3"/>
        <v>2023</v>
      </c>
      <c r="K702" s="16">
        <f>STANDARDIZE(F702,'estatística'!$C$2,'estatística'!$H$2)</f>
        <v>0.3976956191</v>
      </c>
    </row>
    <row r="703" ht="15.75" customHeight="1">
      <c r="A703" s="9">
        <v>44.0</v>
      </c>
      <c r="B703" s="10" t="s">
        <v>187</v>
      </c>
      <c r="C703" s="11" t="s">
        <v>188</v>
      </c>
      <c r="D703" s="10" t="s">
        <v>13</v>
      </c>
      <c r="E703" s="11" t="s">
        <v>32</v>
      </c>
      <c r="F703" s="13">
        <v>22.75</v>
      </c>
      <c r="G703" s="14">
        <v>45057.0</v>
      </c>
      <c r="H703" s="15">
        <f t="shared" si="1"/>
        <v>11</v>
      </c>
      <c r="I703" s="16">
        <f t="shared" si="2"/>
        <v>5</v>
      </c>
      <c r="J703" s="15">
        <f t="shared" si="3"/>
        <v>2023</v>
      </c>
      <c r="K703" s="16">
        <f>STANDARDIZE(F703,'estatística'!$C$2,'estatística'!$H$2)</f>
        <v>0.2715877437</v>
      </c>
    </row>
    <row r="704" ht="15.75" customHeight="1">
      <c r="A704" s="9">
        <v>31.0</v>
      </c>
      <c r="B704" s="10" t="s">
        <v>201</v>
      </c>
      <c r="C704" s="11" t="s">
        <v>202</v>
      </c>
      <c r="D704" s="10" t="s">
        <v>17</v>
      </c>
      <c r="E704" s="11" t="s">
        <v>29</v>
      </c>
      <c r="F704" s="13">
        <v>11.83</v>
      </c>
      <c r="G704" s="14">
        <v>45058.0</v>
      </c>
      <c r="H704" s="15">
        <f t="shared" si="1"/>
        <v>12</v>
      </c>
      <c r="I704" s="16">
        <f t="shared" si="2"/>
        <v>5</v>
      </c>
      <c r="J704" s="15">
        <f t="shared" si="3"/>
        <v>2023</v>
      </c>
      <c r="K704" s="16">
        <f>STANDARDIZE(F704,'estatística'!$C$2,'estatística'!$H$2)</f>
        <v>0.1333248924</v>
      </c>
    </row>
    <row r="705" ht="15.75" customHeight="1">
      <c r="A705" s="9">
        <v>56.0</v>
      </c>
      <c r="B705" s="10" t="s">
        <v>97</v>
      </c>
      <c r="C705" s="11" t="s">
        <v>98</v>
      </c>
      <c r="D705" s="10" t="s">
        <v>17</v>
      </c>
      <c r="E705" s="11" t="s">
        <v>39</v>
      </c>
      <c r="F705" s="13">
        <v>49.97</v>
      </c>
      <c r="G705" s="14">
        <v>45058.0</v>
      </c>
      <c r="H705" s="15">
        <f t="shared" si="1"/>
        <v>12</v>
      </c>
      <c r="I705" s="16">
        <f t="shared" si="2"/>
        <v>5</v>
      </c>
      <c r="J705" s="15">
        <f t="shared" si="3"/>
        <v>2023</v>
      </c>
      <c r="K705" s="16">
        <f>STANDARDIZE(F705,'estatística'!$C$2,'estatística'!$H$2)</f>
        <v>0.6162319575</v>
      </c>
    </row>
    <row r="706" ht="15.75" customHeight="1">
      <c r="A706" s="9">
        <v>53.0</v>
      </c>
      <c r="B706" s="10" t="s">
        <v>213</v>
      </c>
      <c r="C706" s="11" t="s">
        <v>214</v>
      </c>
      <c r="D706" s="10" t="s">
        <v>13</v>
      </c>
      <c r="E706" s="11" t="s">
        <v>29</v>
      </c>
      <c r="F706" s="13">
        <v>14.22</v>
      </c>
      <c r="G706" s="14">
        <v>45058.0</v>
      </c>
      <c r="H706" s="15">
        <f t="shared" si="1"/>
        <v>12</v>
      </c>
      <c r="I706" s="16">
        <f t="shared" si="2"/>
        <v>5</v>
      </c>
      <c r="J706" s="15">
        <f t="shared" si="3"/>
        <v>2023</v>
      </c>
      <c r="K706" s="16">
        <f>STANDARDIZE(F706,'estatística'!$C$2,'estatística'!$H$2)</f>
        <v>0.1635857179</v>
      </c>
    </row>
    <row r="707" ht="15.75" customHeight="1">
      <c r="A707" s="9">
        <v>76.0</v>
      </c>
      <c r="B707" s="10" t="s">
        <v>185</v>
      </c>
      <c r="C707" s="11" t="s">
        <v>186</v>
      </c>
      <c r="D707" s="10" t="s">
        <v>13</v>
      </c>
      <c r="E707" s="11" t="s">
        <v>57</v>
      </c>
      <c r="F707" s="13">
        <v>22.92</v>
      </c>
      <c r="G707" s="14">
        <v>45058.0</v>
      </c>
      <c r="H707" s="15">
        <f t="shared" si="1"/>
        <v>12</v>
      </c>
      <c r="I707" s="16">
        <f t="shared" si="2"/>
        <v>5</v>
      </c>
      <c r="J707" s="15">
        <f t="shared" si="3"/>
        <v>2023</v>
      </c>
      <c r="K707" s="16">
        <f>STANDARDIZE(F707,'estatística'!$C$2,'estatística'!$H$2)</f>
        <v>0.2737401874</v>
      </c>
    </row>
    <row r="708" ht="15.75" customHeight="1">
      <c r="A708" s="9">
        <v>2.0</v>
      </c>
      <c r="B708" s="10" t="s">
        <v>53</v>
      </c>
      <c r="C708" s="11" t="s">
        <v>54</v>
      </c>
      <c r="D708" s="10" t="s">
        <v>17</v>
      </c>
      <c r="E708" s="11" t="s">
        <v>32</v>
      </c>
      <c r="F708" s="13">
        <v>21.33</v>
      </c>
      <c r="G708" s="14">
        <v>45058.0</v>
      </c>
      <c r="H708" s="15">
        <f t="shared" si="1"/>
        <v>12</v>
      </c>
      <c r="I708" s="16">
        <f t="shared" si="2"/>
        <v>5</v>
      </c>
      <c r="J708" s="15">
        <f t="shared" si="3"/>
        <v>2023</v>
      </c>
      <c r="K708" s="16">
        <f>STANDARDIZE(F708,'estatística'!$C$2,'estatística'!$H$2)</f>
        <v>0.2536085085</v>
      </c>
    </row>
    <row r="709" ht="15.75" customHeight="1">
      <c r="A709" s="9">
        <v>9.0</v>
      </c>
      <c r="B709" s="10" t="s">
        <v>179</v>
      </c>
      <c r="C709" s="11" t="s">
        <v>180</v>
      </c>
      <c r="D709" s="10" t="s">
        <v>13</v>
      </c>
      <c r="E709" s="11" t="s">
        <v>14</v>
      </c>
      <c r="F709" s="13">
        <v>10.71</v>
      </c>
      <c r="G709" s="14">
        <v>45058.0</v>
      </c>
      <c r="H709" s="15">
        <f t="shared" si="1"/>
        <v>12</v>
      </c>
      <c r="I709" s="16">
        <f t="shared" si="2"/>
        <v>5</v>
      </c>
      <c r="J709" s="15">
        <f t="shared" si="3"/>
        <v>2023</v>
      </c>
      <c r="K709" s="16">
        <f>STANDARDIZE(F709,'estatística'!$C$2,'estatística'!$H$2)</f>
        <v>0.1191440871</v>
      </c>
    </row>
    <row r="710" ht="15.75" customHeight="1">
      <c r="A710" s="9">
        <v>59.0</v>
      </c>
      <c r="B710" s="10" t="s">
        <v>71</v>
      </c>
      <c r="C710" s="11" t="s">
        <v>72</v>
      </c>
      <c r="D710" s="10" t="s">
        <v>13</v>
      </c>
      <c r="E710" s="11" t="s">
        <v>116</v>
      </c>
      <c r="F710" s="13">
        <v>2.55</v>
      </c>
      <c r="G710" s="14">
        <v>45058.0</v>
      </c>
      <c r="H710" s="15">
        <f t="shared" si="1"/>
        <v>12</v>
      </c>
      <c r="I710" s="16">
        <f t="shared" si="2"/>
        <v>5</v>
      </c>
      <c r="J710" s="15">
        <f t="shared" si="3"/>
        <v>2023</v>
      </c>
      <c r="K710" s="16">
        <f>STANDARDIZE(F710,'estatística'!$C$2,'estatística'!$H$2)</f>
        <v>0.01582679159</v>
      </c>
    </row>
    <row r="711" ht="15.75" customHeight="1">
      <c r="A711" s="9">
        <v>100.0</v>
      </c>
      <c r="B711" s="10" t="s">
        <v>30</v>
      </c>
      <c r="C711" s="11" t="s">
        <v>31</v>
      </c>
      <c r="D711" s="10" t="s">
        <v>17</v>
      </c>
      <c r="E711" s="11" t="s">
        <v>29</v>
      </c>
      <c r="F711" s="13">
        <v>14.65</v>
      </c>
      <c r="G711" s="14">
        <v>45058.0</v>
      </c>
      <c r="H711" s="15">
        <f t="shared" si="1"/>
        <v>12</v>
      </c>
      <c r="I711" s="16">
        <f t="shared" si="2"/>
        <v>5</v>
      </c>
      <c r="J711" s="15">
        <f t="shared" si="3"/>
        <v>2023</v>
      </c>
      <c r="K711" s="16">
        <f>STANDARDIZE(F711,'estatística'!$C$2,'estatística'!$H$2)</f>
        <v>0.1690301342</v>
      </c>
    </row>
    <row r="712" ht="15.75" customHeight="1">
      <c r="A712" s="9">
        <v>49.0</v>
      </c>
      <c r="B712" s="10" t="s">
        <v>151</v>
      </c>
      <c r="C712" s="11" t="s">
        <v>152</v>
      </c>
      <c r="D712" s="10" t="s">
        <v>13</v>
      </c>
      <c r="E712" s="11" t="s">
        <v>116</v>
      </c>
      <c r="F712" s="13">
        <v>3.9</v>
      </c>
      <c r="G712" s="14">
        <v>45058.0</v>
      </c>
      <c r="H712" s="15">
        <f t="shared" si="1"/>
        <v>12</v>
      </c>
      <c r="I712" s="16">
        <f t="shared" si="2"/>
        <v>5</v>
      </c>
      <c r="J712" s="15">
        <f t="shared" si="3"/>
        <v>2023</v>
      </c>
      <c r="K712" s="16">
        <f>STANDARDIZE(F712,'estatística'!$C$2,'estatística'!$H$2)</f>
        <v>0.03291972651</v>
      </c>
    </row>
    <row r="713" ht="15.75" customHeight="1">
      <c r="A713" s="9">
        <v>7.0</v>
      </c>
      <c r="B713" s="10" t="s">
        <v>83</v>
      </c>
      <c r="C713" s="11" t="s">
        <v>84</v>
      </c>
      <c r="D713" s="10" t="s">
        <v>13</v>
      </c>
      <c r="E713" s="11" t="s">
        <v>80</v>
      </c>
      <c r="F713" s="13">
        <v>39.04</v>
      </c>
      <c r="G713" s="14">
        <v>45058.0</v>
      </c>
      <c r="H713" s="15">
        <f t="shared" si="1"/>
        <v>12</v>
      </c>
      <c r="I713" s="16">
        <f t="shared" si="2"/>
        <v>5</v>
      </c>
      <c r="J713" s="15">
        <f t="shared" si="3"/>
        <v>2023</v>
      </c>
      <c r="K713" s="16">
        <f>STANDARDIZE(F713,'estatística'!$C$2,'estatística'!$H$2)</f>
        <v>0.4778424918</v>
      </c>
    </row>
    <row r="714" ht="15.75" customHeight="1">
      <c r="A714" s="9">
        <v>75.0</v>
      </c>
      <c r="B714" s="10" t="s">
        <v>210</v>
      </c>
      <c r="C714" s="11" t="s">
        <v>211</v>
      </c>
      <c r="D714" s="10" t="s">
        <v>13</v>
      </c>
      <c r="E714" s="11" t="s">
        <v>80</v>
      </c>
      <c r="F714" s="13">
        <v>41.67</v>
      </c>
      <c r="G714" s="14">
        <v>45058.0</v>
      </c>
      <c r="H714" s="15">
        <f t="shared" si="1"/>
        <v>12</v>
      </c>
      <c r="I714" s="16">
        <f t="shared" si="2"/>
        <v>5</v>
      </c>
      <c r="J714" s="15">
        <f t="shared" si="3"/>
        <v>2023</v>
      </c>
      <c r="K714" s="16">
        <f>STANDARDIZE(F714,'estatística'!$C$2,'estatística'!$H$2)</f>
        <v>0.5111420613</v>
      </c>
    </row>
    <row r="715" ht="15.75" customHeight="1">
      <c r="A715" s="9">
        <v>19.0</v>
      </c>
      <c r="B715" s="10" t="s">
        <v>25</v>
      </c>
      <c r="C715" s="11" t="s">
        <v>165</v>
      </c>
      <c r="D715" s="10" t="s">
        <v>13</v>
      </c>
      <c r="E715" s="11" t="s">
        <v>80</v>
      </c>
      <c r="F715" s="13">
        <v>33.87</v>
      </c>
      <c r="G715" s="14">
        <v>45058.0</v>
      </c>
      <c r="H715" s="15">
        <f t="shared" si="1"/>
        <v>12</v>
      </c>
      <c r="I715" s="16">
        <f t="shared" si="2"/>
        <v>5</v>
      </c>
      <c r="J715" s="15">
        <f t="shared" si="3"/>
        <v>2023</v>
      </c>
      <c r="K715" s="16">
        <f>STANDARDIZE(F715,'estatística'!$C$2,'estatística'!$H$2)</f>
        <v>0.4123828817</v>
      </c>
    </row>
    <row r="716" ht="15.75" customHeight="1">
      <c r="A716" s="9">
        <v>68.0</v>
      </c>
      <c r="B716" s="10" t="s">
        <v>25</v>
      </c>
      <c r="C716" s="11" t="s">
        <v>26</v>
      </c>
      <c r="D716" s="10" t="s">
        <v>13</v>
      </c>
      <c r="E716" s="11" t="s">
        <v>80</v>
      </c>
      <c r="F716" s="13">
        <v>35.24</v>
      </c>
      <c r="G716" s="14">
        <v>45058.0</v>
      </c>
      <c r="H716" s="15">
        <f t="shared" si="1"/>
        <v>12</v>
      </c>
      <c r="I716" s="16">
        <f t="shared" si="2"/>
        <v>5</v>
      </c>
      <c r="J716" s="15">
        <f t="shared" si="3"/>
        <v>2023</v>
      </c>
      <c r="K716" s="16">
        <f>STANDARDIZE(F716,'estatística'!$C$2,'estatística'!$H$2)</f>
        <v>0.4297290453</v>
      </c>
    </row>
    <row r="717" ht="15.75" customHeight="1">
      <c r="A717" s="9">
        <v>18.0</v>
      </c>
      <c r="B717" s="10" t="s">
        <v>135</v>
      </c>
      <c r="C717" s="11" t="s">
        <v>212</v>
      </c>
      <c r="D717" s="10" t="s">
        <v>17</v>
      </c>
      <c r="E717" s="11" t="s">
        <v>77</v>
      </c>
      <c r="F717" s="13">
        <v>12.9</v>
      </c>
      <c r="G717" s="14">
        <v>45059.0</v>
      </c>
      <c r="H717" s="15">
        <f t="shared" si="1"/>
        <v>13</v>
      </c>
      <c r="I717" s="16">
        <f t="shared" si="2"/>
        <v>5</v>
      </c>
      <c r="J717" s="15">
        <f t="shared" si="3"/>
        <v>2023</v>
      </c>
      <c r="K717" s="16">
        <f>STANDARDIZE(F717,'estatística'!$C$2,'estatística'!$H$2)</f>
        <v>0.146872626</v>
      </c>
    </row>
    <row r="718" ht="15.75" customHeight="1">
      <c r="A718" s="9">
        <v>41.0</v>
      </c>
      <c r="B718" s="10" t="s">
        <v>189</v>
      </c>
      <c r="C718" s="11" t="s">
        <v>190</v>
      </c>
      <c r="D718" s="10" t="s">
        <v>17</v>
      </c>
      <c r="E718" s="11" t="s">
        <v>33</v>
      </c>
      <c r="F718" s="13">
        <v>64.88</v>
      </c>
      <c r="G718" s="14">
        <v>45059.0</v>
      </c>
      <c r="H718" s="15">
        <f t="shared" si="1"/>
        <v>13</v>
      </c>
      <c r="I718" s="16">
        <f t="shared" si="2"/>
        <v>5</v>
      </c>
      <c r="J718" s="15">
        <f t="shared" si="3"/>
        <v>2023</v>
      </c>
      <c r="K718" s="16">
        <f>STANDARDIZE(F718,'estatística'!$C$2,'estatística'!$H$2)</f>
        <v>0.8050139276</v>
      </c>
    </row>
    <row r="719" ht="15.75" customHeight="1">
      <c r="A719" s="9">
        <v>12.0</v>
      </c>
      <c r="B719" s="10" t="s">
        <v>160</v>
      </c>
      <c r="C719" s="11" t="s">
        <v>161</v>
      </c>
      <c r="D719" s="10" t="s">
        <v>13</v>
      </c>
      <c r="E719" s="11" t="s">
        <v>48</v>
      </c>
      <c r="F719" s="13">
        <v>12.03</v>
      </c>
      <c r="G719" s="14">
        <v>45059.0</v>
      </c>
      <c r="H719" s="15">
        <f t="shared" si="1"/>
        <v>13</v>
      </c>
      <c r="I719" s="16">
        <f t="shared" si="2"/>
        <v>5</v>
      </c>
      <c r="J719" s="15">
        <f t="shared" si="3"/>
        <v>2023</v>
      </c>
      <c r="K719" s="16">
        <f>STANDARDIZE(F719,'estatística'!$C$2,'estatística'!$H$2)</f>
        <v>0.135857179</v>
      </c>
    </row>
    <row r="720" ht="15.75" customHeight="1">
      <c r="A720" s="9">
        <v>26.0</v>
      </c>
      <c r="B720" s="10" t="s">
        <v>183</v>
      </c>
      <c r="C720" s="11" t="s">
        <v>184</v>
      </c>
      <c r="D720" s="10" t="s">
        <v>13</v>
      </c>
      <c r="E720" s="11" t="s">
        <v>68</v>
      </c>
      <c r="F720" s="13">
        <v>14.96</v>
      </c>
      <c r="G720" s="14">
        <v>45059.0</v>
      </c>
      <c r="H720" s="15">
        <f t="shared" si="1"/>
        <v>13</v>
      </c>
      <c r="I720" s="16">
        <f t="shared" si="2"/>
        <v>5</v>
      </c>
      <c r="J720" s="15">
        <f t="shared" si="3"/>
        <v>2023</v>
      </c>
      <c r="K720" s="16">
        <f>STANDARDIZE(F720,'estatística'!$C$2,'estatística'!$H$2)</f>
        <v>0.1729551785</v>
      </c>
    </row>
    <row r="721" ht="15.75" customHeight="1">
      <c r="A721" s="9">
        <v>29.0</v>
      </c>
      <c r="B721" s="10" t="s">
        <v>92</v>
      </c>
      <c r="C721" s="11" t="s">
        <v>93</v>
      </c>
      <c r="D721" s="10" t="s">
        <v>17</v>
      </c>
      <c r="E721" s="11" t="s">
        <v>39</v>
      </c>
      <c r="F721" s="13">
        <v>46.4</v>
      </c>
      <c r="G721" s="14">
        <v>45059.0</v>
      </c>
      <c r="H721" s="15">
        <f t="shared" si="1"/>
        <v>13</v>
      </c>
      <c r="I721" s="16">
        <f t="shared" si="2"/>
        <v>5</v>
      </c>
      <c r="J721" s="15">
        <f t="shared" si="3"/>
        <v>2023</v>
      </c>
      <c r="K721" s="16">
        <f>STANDARDIZE(F721,'estatística'!$C$2,'estatística'!$H$2)</f>
        <v>0.5710306407</v>
      </c>
    </row>
    <row r="722" ht="15.75" customHeight="1">
      <c r="A722" s="9">
        <v>96.0</v>
      </c>
      <c r="B722" s="10" t="s">
        <v>135</v>
      </c>
      <c r="C722" s="11" t="s">
        <v>136</v>
      </c>
      <c r="D722" s="10" t="s">
        <v>17</v>
      </c>
      <c r="E722" s="11" t="s">
        <v>80</v>
      </c>
      <c r="F722" s="13">
        <v>31.99</v>
      </c>
      <c r="G722" s="14">
        <v>45060.0</v>
      </c>
      <c r="H722" s="15">
        <f t="shared" si="1"/>
        <v>14</v>
      </c>
      <c r="I722" s="16">
        <f t="shared" si="2"/>
        <v>5</v>
      </c>
      <c r="J722" s="15">
        <f t="shared" si="3"/>
        <v>2023</v>
      </c>
      <c r="K722" s="16">
        <f>STANDARDIZE(F722,'estatística'!$C$2,'estatística'!$H$2)</f>
        <v>0.3885793872</v>
      </c>
    </row>
    <row r="723" ht="15.75" customHeight="1">
      <c r="A723" s="9">
        <v>44.0</v>
      </c>
      <c r="B723" s="10" t="s">
        <v>187</v>
      </c>
      <c r="C723" s="11" t="s">
        <v>188</v>
      </c>
      <c r="D723" s="10" t="s">
        <v>17</v>
      </c>
      <c r="E723" s="11" t="s">
        <v>68</v>
      </c>
      <c r="F723" s="13">
        <v>12.61</v>
      </c>
      <c r="G723" s="14">
        <v>45060.0</v>
      </c>
      <c r="H723" s="15">
        <f t="shared" si="1"/>
        <v>14</v>
      </c>
      <c r="I723" s="16">
        <f t="shared" si="2"/>
        <v>5</v>
      </c>
      <c r="J723" s="15">
        <f t="shared" si="3"/>
        <v>2023</v>
      </c>
      <c r="K723" s="16">
        <f>STANDARDIZE(F723,'estatística'!$C$2,'estatística'!$H$2)</f>
        <v>0.1432008103</v>
      </c>
    </row>
    <row r="724" ht="15.75" customHeight="1">
      <c r="A724" s="9">
        <v>45.0</v>
      </c>
      <c r="B724" s="10" t="s">
        <v>193</v>
      </c>
      <c r="C724" s="11" t="s">
        <v>194</v>
      </c>
      <c r="D724" s="10" t="s">
        <v>17</v>
      </c>
      <c r="E724" s="11" t="s">
        <v>48</v>
      </c>
      <c r="F724" s="13">
        <v>9.93</v>
      </c>
      <c r="G724" s="14">
        <v>45060.0</v>
      </c>
      <c r="H724" s="15">
        <f t="shared" si="1"/>
        <v>14</v>
      </c>
      <c r="I724" s="16">
        <f t="shared" si="2"/>
        <v>5</v>
      </c>
      <c r="J724" s="15">
        <f t="shared" si="3"/>
        <v>2023</v>
      </c>
      <c r="K724" s="16">
        <f>STANDARDIZE(F724,'estatística'!$C$2,'estatística'!$H$2)</f>
        <v>0.1092681692</v>
      </c>
    </row>
    <row r="725" ht="15.75" customHeight="1">
      <c r="A725" s="9">
        <v>35.0</v>
      </c>
      <c r="B725" s="10" t="s">
        <v>95</v>
      </c>
      <c r="C725" s="11" t="s">
        <v>96</v>
      </c>
      <c r="D725" s="10" t="s">
        <v>13</v>
      </c>
      <c r="E725" s="11" t="s">
        <v>116</v>
      </c>
      <c r="F725" s="13">
        <v>3.23</v>
      </c>
      <c r="G725" s="14">
        <v>45060.0</v>
      </c>
      <c r="H725" s="15">
        <f t="shared" si="1"/>
        <v>14</v>
      </c>
      <c r="I725" s="16">
        <f t="shared" si="2"/>
        <v>5</v>
      </c>
      <c r="J725" s="15">
        <f t="shared" si="3"/>
        <v>2023</v>
      </c>
      <c r="K725" s="16">
        <f>STANDARDIZE(F725,'estatística'!$C$2,'estatística'!$H$2)</f>
        <v>0.02443656622</v>
      </c>
    </row>
    <row r="726" ht="15.75" customHeight="1">
      <c r="A726" s="9">
        <v>13.0</v>
      </c>
      <c r="B726" s="10" t="s">
        <v>108</v>
      </c>
      <c r="C726" s="11" t="s">
        <v>109</v>
      </c>
      <c r="D726" s="10" t="s">
        <v>17</v>
      </c>
      <c r="E726" s="11" t="s">
        <v>33</v>
      </c>
      <c r="F726" s="13">
        <v>64.9</v>
      </c>
      <c r="G726" s="14">
        <v>45060.0</v>
      </c>
      <c r="H726" s="15">
        <f t="shared" si="1"/>
        <v>14</v>
      </c>
      <c r="I726" s="16">
        <f t="shared" si="2"/>
        <v>5</v>
      </c>
      <c r="J726" s="15">
        <f t="shared" si="3"/>
        <v>2023</v>
      </c>
      <c r="K726" s="16">
        <f>STANDARDIZE(F726,'estatística'!$C$2,'estatística'!$H$2)</f>
        <v>0.8052671562</v>
      </c>
    </row>
    <row r="727" ht="15.75" customHeight="1">
      <c r="A727" s="9">
        <v>77.0</v>
      </c>
      <c r="B727" s="10" t="s">
        <v>11</v>
      </c>
      <c r="C727" s="11" t="s">
        <v>141</v>
      </c>
      <c r="D727" s="10" t="s">
        <v>17</v>
      </c>
      <c r="E727" s="11" t="s">
        <v>24</v>
      </c>
      <c r="F727" s="13">
        <v>31.24</v>
      </c>
      <c r="G727" s="14">
        <v>45060.0</v>
      </c>
      <c r="H727" s="15">
        <f t="shared" si="1"/>
        <v>14</v>
      </c>
      <c r="I727" s="16">
        <f t="shared" si="2"/>
        <v>5</v>
      </c>
      <c r="J727" s="15">
        <f t="shared" si="3"/>
        <v>2023</v>
      </c>
      <c r="K727" s="16">
        <f>STANDARDIZE(F727,'estatística'!$C$2,'estatística'!$H$2)</f>
        <v>0.3790833122</v>
      </c>
    </row>
    <row r="728" ht="15.75" customHeight="1">
      <c r="A728" s="9">
        <v>51.0</v>
      </c>
      <c r="B728" s="10" t="s">
        <v>205</v>
      </c>
      <c r="C728" s="11" t="s">
        <v>206</v>
      </c>
      <c r="D728" s="10" t="s">
        <v>13</v>
      </c>
      <c r="E728" s="11" t="s">
        <v>33</v>
      </c>
      <c r="F728" s="13">
        <v>46.36</v>
      </c>
      <c r="G728" s="14">
        <v>45060.0</v>
      </c>
      <c r="H728" s="15">
        <f t="shared" si="1"/>
        <v>14</v>
      </c>
      <c r="I728" s="16">
        <f t="shared" si="2"/>
        <v>5</v>
      </c>
      <c r="J728" s="15">
        <f t="shared" si="3"/>
        <v>2023</v>
      </c>
      <c r="K728" s="16">
        <f>STANDARDIZE(F728,'estatística'!$C$2,'estatística'!$H$2)</f>
        <v>0.5705241833</v>
      </c>
    </row>
    <row r="729" ht="15.75" customHeight="1">
      <c r="A729" s="9">
        <v>32.0</v>
      </c>
      <c r="B729" s="10" t="s">
        <v>118</v>
      </c>
      <c r="C729" s="11" t="s">
        <v>119</v>
      </c>
      <c r="D729" s="10" t="s">
        <v>13</v>
      </c>
      <c r="E729" s="11" t="s">
        <v>57</v>
      </c>
      <c r="F729" s="13">
        <v>23.38</v>
      </c>
      <c r="G729" s="14">
        <v>45060.0</v>
      </c>
      <c r="H729" s="15">
        <f t="shared" si="1"/>
        <v>14</v>
      </c>
      <c r="I729" s="16">
        <f t="shared" si="2"/>
        <v>5</v>
      </c>
      <c r="J729" s="15">
        <f t="shared" si="3"/>
        <v>2023</v>
      </c>
      <c r="K729" s="16">
        <f>STANDARDIZE(F729,'estatística'!$C$2,'estatística'!$H$2)</f>
        <v>0.2795644467</v>
      </c>
    </row>
    <row r="730" ht="15.75" customHeight="1">
      <c r="A730" s="9">
        <v>64.0</v>
      </c>
      <c r="B730" s="10" t="s">
        <v>131</v>
      </c>
      <c r="C730" s="11" t="s">
        <v>132</v>
      </c>
      <c r="D730" s="10" t="s">
        <v>17</v>
      </c>
      <c r="E730" s="11" t="s">
        <v>77</v>
      </c>
      <c r="F730" s="13">
        <v>12.95</v>
      </c>
      <c r="G730" s="14">
        <v>45061.0</v>
      </c>
      <c r="H730" s="15">
        <f t="shared" si="1"/>
        <v>15</v>
      </c>
      <c r="I730" s="16">
        <f t="shared" si="2"/>
        <v>5</v>
      </c>
      <c r="J730" s="15">
        <f t="shared" si="3"/>
        <v>2023</v>
      </c>
      <c r="K730" s="16">
        <f>STANDARDIZE(F730,'estatística'!$C$2,'estatística'!$H$2)</f>
        <v>0.1475056976</v>
      </c>
    </row>
    <row r="731" ht="15.75" customHeight="1">
      <c r="A731" s="9">
        <v>69.0</v>
      </c>
      <c r="B731" s="10" t="s">
        <v>75</v>
      </c>
      <c r="C731" s="11" t="s">
        <v>117</v>
      </c>
      <c r="D731" s="10" t="s">
        <v>13</v>
      </c>
      <c r="E731" s="11" t="s">
        <v>14</v>
      </c>
      <c r="F731" s="13">
        <v>10.71</v>
      </c>
      <c r="G731" s="14">
        <v>45061.0</v>
      </c>
      <c r="H731" s="15">
        <f t="shared" si="1"/>
        <v>15</v>
      </c>
      <c r="I731" s="16">
        <f t="shared" si="2"/>
        <v>5</v>
      </c>
      <c r="J731" s="15">
        <f t="shared" si="3"/>
        <v>2023</v>
      </c>
      <c r="K731" s="16">
        <f>STANDARDIZE(F731,'estatística'!$C$2,'estatística'!$H$2)</f>
        <v>0.1191440871</v>
      </c>
    </row>
    <row r="732" ht="15.75" customHeight="1">
      <c r="A732" s="9">
        <v>74.0</v>
      </c>
      <c r="B732" s="10" t="s">
        <v>11</v>
      </c>
      <c r="C732" s="11" t="s">
        <v>94</v>
      </c>
      <c r="D732" s="10" t="s">
        <v>13</v>
      </c>
      <c r="E732" s="11" t="s">
        <v>36</v>
      </c>
      <c r="F732" s="13">
        <v>67.93</v>
      </c>
      <c r="G732" s="14">
        <v>45061.0</v>
      </c>
      <c r="H732" s="15">
        <f t="shared" si="1"/>
        <v>15</v>
      </c>
      <c r="I732" s="16">
        <f t="shared" si="2"/>
        <v>5</v>
      </c>
      <c r="J732" s="15">
        <f t="shared" si="3"/>
        <v>2023</v>
      </c>
      <c r="K732" s="16">
        <f>STANDARDIZE(F732,'estatística'!$C$2,'estatística'!$H$2)</f>
        <v>0.8436312991</v>
      </c>
    </row>
    <row r="733" ht="15.75" customHeight="1">
      <c r="A733" s="9">
        <v>69.0</v>
      </c>
      <c r="B733" s="10" t="s">
        <v>75</v>
      </c>
      <c r="C733" s="11" t="s">
        <v>117</v>
      </c>
      <c r="D733" s="10" t="s">
        <v>17</v>
      </c>
      <c r="E733" s="11" t="s">
        <v>91</v>
      </c>
      <c r="F733" s="13">
        <v>1.39</v>
      </c>
      <c r="G733" s="14">
        <v>45061.0</v>
      </c>
      <c r="H733" s="15">
        <f t="shared" si="1"/>
        <v>15</v>
      </c>
      <c r="I733" s="16">
        <f t="shared" si="2"/>
        <v>5</v>
      </c>
      <c r="J733" s="15">
        <f t="shared" si="3"/>
        <v>2023</v>
      </c>
      <c r="K733" s="16">
        <f>STANDARDIZE(F733,'estatística'!$C$2,'estatística'!$H$2)</f>
        <v>0.001139528995</v>
      </c>
    </row>
    <row r="734" ht="15.75" customHeight="1">
      <c r="A734" s="9">
        <v>90.0</v>
      </c>
      <c r="B734" s="10" t="s">
        <v>191</v>
      </c>
      <c r="C734" s="11" t="s">
        <v>192</v>
      </c>
      <c r="D734" s="10" t="s">
        <v>17</v>
      </c>
      <c r="E734" s="11" t="s">
        <v>21</v>
      </c>
      <c r="F734" s="13">
        <v>21.18</v>
      </c>
      <c r="G734" s="14">
        <v>45061.0</v>
      </c>
      <c r="H734" s="15">
        <f t="shared" si="1"/>
        <v>15</v>
      </c>
      <c r="I734" s="16">
        <f t="shared" si="2"/>
        <v>5</v>
      </c>
      <c r="J734" s="15">
        <f t="shared" si="3"/>
        <v>2023</v>
      </c>
      <c r="K734" s="16">
        <f>STANDARDIZE(F734,'estatística'!$C$2,'estatística'!$H$2)</f>
        <v>0.2517092935</v>
      </c>
    </row>
    <row r="735" ht="15.75" customHeight="1">
      <c r="A735" s="9">
        <v>27.0</v>
      </c>
      <c r="B735" s="10" t="s">
        <v>145</v>
      </c>
      <c r="C735" s="11" t="s">
        <v>146</v>
      </c>
      <c r="D735" s="10" t="s">
        <v>13</v>
      </c>
      <c r="E735" s="11" t="s">
        <v>18</v>
      </c>
      <c r="F735" s="13">
        <v>52.15</v>
      </c>
      <c r="G735" s="14">
        <v>45061.0</v>
      </c>
      <c r="H735" s="15">
        <f t="shared" si="1"/>
        <v>15</v>
      </c>
      <c r="I735" s="16">
        <f t="shared" si="2"/>
        <v>5</v>
      </c>
      <c r="J735" s="15">
        <f t="shared" si="3"/>
        <v>2023</v>
      </c>
      <c r="K735" s="16">
        <f>STANDARDIZE(F735,'estatística'!$C$2,'estatística'!$H$2)</f>
        <v>0.643833882</v>
      </c>
    </row>
    <row r="736" ht="15.75" customHeight="1">
      <c r="A736" s="9">
        <v>62.0</v>
      </c>
      <c r="B736" s="10" t="s">
        <v>128</v>
      </c>
      <c r="C736" s="11" t="s">
        <v>129</v>
      </c>
      <c r="D736" s="10" t="s">
        <v>13</v>
      </c>
      <c r="E736" s="11" t="s">
        <v>116</v>
      </c>
      <c r="F736" s="13">
        <v>2.87</v>
      </c>
      <c r="G736" s="14">
        <v>45062.0</v>
      </c>
      <c r="H736" s="15">
        <f t="shared" si="1"/>
        <v>16</v>
      </c>
      <c r="I736" s="16">
        <f t="shared" si="2"/>
        <v>5</v>
      </c>
      <c r="J736" s="15">
        <f t="shared" si="3"/>
        <v>2023</v>
      </c>
      <c r="K736" s="16">
        <f>STANDARDIZE(F736,'estatística'!$C$2,'estatística'!$H$2)</f>
        <v>0.01987845024</v>
      </c>
    </row>
    <row r="737" ht="15.75" customHeight="1">
      <c r="A737" s="9">
        <v>30.0</v>
      </c>
      <c r="B737" s="10" t="s">
        <v>11</v>
      </c>
      <c r="C737" s="11" t="s">
        <v>12</v>
      </c>
      <c r="D737" s="10" t="s">
        <v>17</v>
      </c>
      <c r="E737" s="11" t="s">
        <v>24</v>
      </c>
      <c r="F737" s="13">
        <v>38.86</v>
      </c>
      <c r="G737" s="14">
        <v>45062.0</v>
      </c>
      <c r="H737" s="15">
        <f t="shared" si="1"/>
        <v>16</v>
      </c>
      <c r="I737" s="16">
        <f t="shared" si="2"/>
        <v>5</v>
      </c>
      <c r="J737" s="15">
        <f t="shared" si="3"/>
        <v>2023</v>
      </c>
      <c r="K737" s="16">
        <f>STANDARDIZE(F737,'estatística'!$C$2,'estatística'!$H$2)</f>
        <v>0.4755634338</v>
      </c>
    </row>
    <row r="738" ht="15.75" customHeight="1">
      <c r="A738" s="9">
        <v>13.0</v>
      </c>
      <c r="B738" s="10" t="s">
        <v>108</v>
      </c>
      <c r="C738" s="11" t="s">
        <v>109</v>
      </c>
      <c r="D738" s="10" t="s">
        <v>17</v>
      </c>
      <c r="E738" s="11" t="s">
        <v>80</v>
      </c>
      <c r="F738" s="13">
        <v>37.17</v>
      </c>
      <c r="G738" s="14">
        <v>45062.0</v>
      </c>
      <c r="H738" s="15">
        <f t="shared" si="1"/>
        <v>16</v>
      </c>
      <c r="I738" s="16">
        <f t="shared" si="2"/>
        <v>5</v>
      </c>
      <c r="J738" s="15">
        <f t="shared" si="3"/>
        <v>2023</v>
      </c>
      <c r="K738" s="16">
        <f>STANDARDIZE(F738,'estatística'!$C$2,'estatística'!$H$2)</f>
        <v>0.4541656115</v>
      </c>
    </row>
    <row r="739" ht="15.75" customHeight="1">
      <c r="A739" s="9">
        <v>37.0</v>
      </c>
      <c r="B739" s="10" t="s">
        <v>217</v>
      </c>
      <c r="C739" s="11" t="s">
        <v>218</v>
      </c>
      <c r="D739" s="10" t="s">
        <v>13</v>
      </c>
      <c r="E739" s="11" t="s">
        <v>21</v>
      </c>
      <c r="F739" s="13">
        <v>18.79</v>
      </c>
      <c r="G739" s="14">
        <v>45062.0</v>
      </c>
      <c r="H739" s="15">
        <f t="shared" si="1"/>
        <v>16</v>
      </c>
      <c r="I739" s="16">
        <f t="shared" si="2"/>
        <v>5</v>
      </c>
      <c r="J739" s="15">
        <f t="shared" si="3"/>
        <v>2023</v>
      </c>
      <c r="K739" s="16">
        <f>STANDARDIZE(F739,'estatística'!$C$2,'estatística'!$H$2)</f>
        <v>0.221448468</v>
      </c>
    </row>
    <row r="740" ht="15.75" customHeight="1">
      <c r="A740" s="9">
        <v>35.0</v>
      </c>
      <c r="B740" s="10" t="s">
        <v>95</v>
      </c>
      <c r="C740" s="11" t="s">
        <v>96</v>
      </c>
      <c r="D740" s="10" t="s">
        <v>13</v>
      </c>
      <c r="E740" s="11" t="s">
        <v>91</v>
      </c>
      <c r="F740" s="13">
        <v>1.52</v>
      </c>
      <c r="G740" s="14">
        <v>45062.0</v>
      </c>
      <c r="H740" s="15">
        <f t="shared" si="1"/>
        <v>16</v>
      </c>
      <c r="I740" s="16">
        <f t="shared" si="2"/>
        <v>5</v>
      </c>
      <c r="J740" s="15">
        <f t="shared" si="3"/>
        <v>2023</v>
      </c>
      <c r="K740" s="16">
        <f>STANDARDIZE(F740,'estatística'!$C$2,'estatística'!$H$2)</f>
        <v>0.00278551532</v>
      </c>
    </row>
    <row r="741" ht="15.75" customHeight="1">
      <c r="A741" s="9">
        <v>44.0</v>
      </c>
      <c r="B741" s="10" t="s">
        <v>187</v>
      </c>
      <c r="C741" s="11" t="s">
        <v>188</v>
      </c>
      <c r="D741" s="10" t="s">
        <v>17</v>
      </c>
      <c r="E741" s="11" t="s">
        <v>21</v>
      </c>
      <c r="F741" s="13">
        <v>12.89</v>
      </c>
      <c r="G741" s="14">
        <v>45062.0</v>
      </c>
      <c r="H741" s="15">
        <f t="shared" si="1"/>
        <v>16</v>
      </c>
      <c r="I741" s="16">
        <f t="shared" si="2"/>
        <v>5</v>
      </c>
      <c r="J741" s="15">
        <f t="shared" si="3"/>
        <v>2023</v>
      </c>
      <c r="K741" s="16">
        <f>STANDARDIZE(F741,'estatística'!$C$2,'estatística'!$H$2)</f>
        <v>0.1467460116</v>
      </c>
    </row>
    <row r="742" ht="15.75" customHeight="1">
      <c r="A742" s="9">
        <v>4.0</v>
      </c>
      <c r="B742" s="10" t="s">
        <v>87</v>
      </c>
      <c r="C742" s="11" t="s">
        <v>88</v>
      </c>
      <c r="D742" s="10" t="s">
        <v>17</v>
      </c>
      <c r="E742" s="11" t="s">
        <v>91</v>
      </c>
      <c r="F742" s="13">
        <v>2.17</v>
      </c>
      <c r="G742" s="14">
        <v>45062.0</v>
      </c>
      <c r="H742" s="15">
        <f t="shared" si="1"/>
        <v>16</v>
      </c>
      <c r="I742" s="16">
        <f t="shared" si="2"/>
        <v>5</v>
      </c>
      <c r="J742" s="15">
        <f t="shared" si="3"/>
        <v>2023</v>
      </c>
      <c r="K742" s="16">
        <f>STANDARDIZE(F742,'estatística'!$C$2,'estatística'!$H$2)</f>
        <v>0.01101544695</v>
      </c>
    </row>
    <row r="743" ht="15.75" customHeight="1">
      <c r="A743" s="9">
        <v>39.0</v>
      </c>
      <c r="B743" s="10" t="s">
        <v>58</v>
      </c>
      <c r="C743" s="11" t="s">
        <v>59</v>
      </c>
      <c r="D743" s="10" t="s">
        <v>17</v>
      </c>
      <c r="E743" s="11" t="s">
        <v>65</v>
      </c>
      <c r="F743" s="13">
        <v>30.25</v>
      </c>
      <c r="G743" s="14">
        <v>45062.0</v>
      </c>
      <c r="H743" s="15">
        <f t="shared" si="1"/>
        <v>16</v>
      </c>
      <c r="I743" s="16">
        <f t="shared" si="2"/>
        <v>5</v>
      </c>
      <c r="J743" s="15">
        <f t="shared" si="3"/>
        <v>2023</v>
      </c>
      <c r="K743" s="16">
        <f>STANDARDIZE(F743,'estatística'!$C$2,'estatística'!$H$2)</f>
        <v>0.3665484933</v>
      </c>
    </row>
    <row r="744" ht="15.75" customHeight="1">
      <c r="A744" s="9">
        <v>94.0</v>
      </c>
      <c r="B744" s="10" t="s">
        <v>179</v>
      </c>
      <c r="C744" s="11" t="s">
        <v>209</v>
      </c>
      <c r="D744" s="10" t="s">
        <v>13</v>
      </c>
      <c r="E744" s="11" t="s">
        <v>18</v>
      </c>
      <c r="F744" s="13">
        <v>42.18</v>
      </c>
      <c r="G744" s="14">
        <v>45062.0</v>
      </c>
      <c r="H744" s="15">
        <f t="shared" si="1"/>
        <v>16</v>
      </c>
      <c r="I744" s="16">
        <f t="shared" si="2"/>
        <v>5</v>
      </c>
      <c r="J744" s="15">
        <f t="shared" si="3"/>
        <v>2023</v>
      </c>
      <c r="K744" s="16">
        <f>STANDARDIZE(F744,'estatística'!$C$2,'estatística'!$H$2)</f>
        <v>0.5175993923</v>
      </c>
    </row>
    <row r="745" ht="15.75" customHeight="1">
      <c r="A745" s="9">
        <v>73.0</v>
      </c>
      <c r="B745" s="10" t="s">
        <v>195</v>
      </c>
      <c r="C745" s="11" t="s">
        <v>196</v>
      </c>
      <c r="D745" s="10" t="s">
        <v>13</v>
      </c>
      <c r="E745" s="11" t="s">
        <v>48</v>
      </c>
      <c r="F745" s="13">
        <v>16.32</v>
      </c>
      <c r="G745" s="14">
        <v>45062.0</v>
      </c>
      <c r="H745" s="15">
        <f t="shared" si="1"/>
        <v>16</v>
      </c>
      <c r="I745" s="16">
        <f t="shared" si="2"/>
        <v>5</v>
      </c>
      <c r="J745" s="15">
        <f t="shared" si="3"/>
        <v>2023</v>
      </c>
      <c r="K745" s="16">
        <f>STANDARDIZE(F745,'estatística'!$C$2,'estatística'!$H$2)</f>
        <v>0.1901747278</v>
      </c>
    </row>
    <row r="746" ht="15.75" customHeight="1">
      <c r="A746" s="9">
        <v>15.0</v>
      </c>
      <c r="B746" s="10" t="s">
        <v>37</v>
      </c>
      <c r="C746" s="11" t="s">
        <v>38</v>
      </c>
      <c r="D746" s="10" t="s">
        <v>13</v>
      </c>
      <c r="E746" s="11" t="s">
        <v>27</v>
      </c>
      <c r="F746" s="13">
        <v>17.37</v>
      </c>
      <c r="G746" s="14">
        <v>45063.0</v>
      </c>
      <c r="H746" s="15">
        <f t="shared" si="1"/>
        <v>17</v>
      </c>
      <c r="I746" s="16">
        <f t="shared" si="2"/>
        <v>5</v>
      </c>
      <c r="J746" s="15">
        <f t="shared" si="3"/>
        <v>2023</v>
      </c>
      <c r="K746" s="16">
        <f>STANDARDIZE(F746,'estatística'!$C$2,'estatística'!$H$2)</f>
        <v>0.2034692327</v>
      </c>
    </row>
    <row r="747" ht="15.75" customHeight="1">
      <c r="A747" s="9">
        <v>35.0</v>
      </c>
      <c r="B747" s="10" t="s">
        <v>95</v>
      </c>
      <c r="C747" s="11" t="s">
        <v>96</v>
      </c>
      <c r="D747" s="10" t="s">
        <v>13</v>
      </c>
      <c r="E747" s="11" t="s">
        <v>24</v>
      </c>
      <c r="F747" s="13">
        <v>24.35</v>
      </c>
      <c r="G747" s="14">
        <v>45063.0</v>
      </c>
      <c r="H747" s="15">
        <f t="shared" si="1"/>
        <v>17</v>
      </c>
      <c r="I747" s="16">
        <f t="shared" si="2"/>
        <v>5</v>
      </c>
      <c r="J747" s="15">
        <f t="shared" si="3"/>
        <v>2023</v>
      </c>
      <c r="K747" s="16">
        <f>STANDARDIZE(F747,'estatística'!$C$2,'estatística'!$H$2)</f>
        <v>0.291846037</v>
      </c>
    </row>
    <row r="748" ht="15.75" customHeight="1">
      <c r="A748" s="9">
        <v>25.0</v>
      </c>
      <c r="B748" s="10" t="s">
        <v>126</v>
      </c>
      <c r="C748" s="11" t="s">
        <v>127</v>
      </c>
      <c r="D748" s="10" t="s">
        <v>17</v>
      </c>
      <c r="E748" s="11" t="s">
        <v>107</v>
      </c>
      <c r="F748" s="13">
        <v>26.57</v>
      </c>
      <c r="G748" s="14">
        <v>45063.0</v>
      </c>
      <c r="H748" s="15">
        <f t="shared" si="1"/>
        <v>17</v>
      </c>
      <c r="I748" s="16">
        <f t="shared" si="2"/>
        <v>5</v>
      </c>
      <c r="J748" s="15">
        <f t="shared" si="3"/>
        <v>2023</v>
      </c>
      <c r="K748" s="16">
        <f>STANDARDIZE(F748,'estatística'!$C$2,'estatística'!$H$2)</f>
        <v>0.3199544188</v>
      </c>
    </row>
    <row r="749" ht="15.75" customHeight="1">
      <c r="A749" s="9">
        <v>90.0</v>
      </c>
      <c r="B749" s="10" t="s">
        <v>191</v>
      </c>
      <c r="C749" s="11" t="s">
        <v>192</v>
      </c>
      <c r="D749" s="10" t="s">
        <v>17</v>
      </c>
      <c r="E749" s="11" t="s">
        <v>48</v>
      </c>
      <c r="F749" s="13">
        <v>13.27</v>
      </c>
      <c r="G749" s="14">
        <v>45063.0</v>
      </c>
      <c r="H749" s="15">
        <f t="shared" si="1"/>
        <v>17</v>
      </c>
      <c r="I749" s="16">
        <f t="shared" si="2"/>
        <v>5</v>
      </c>
      <c r="J749" s="15">
        <f t="shared" si="3"/>
        <v>2023</v>
      </c>
      <c r="K749" s="16">
        <f>STANDARDIZE(F749,'estatística'!$C$2,'estatística'!$H$2)</f>
        <v>0.1515573563</v>
      </c>
    </row>
    <row r="750" ht="15.75" customHeight="1">
      <c r="A750" s="9">
        <v>85.0</v>
      </c>
      <c r="B750" s="10" t="s">
        <v>170</v>
      </c>
      <c r="C750" s="11" t="s">
        <v>171</v>
      </c>
      <c r="D750" s="10" t="s">
        <v>13</v>
      </c>
      <c r="E750" s="11" t="s">
        <v>32</v>
      </c>
      <c r="F750" s="13">
        <v>26.02</v>
      </c>
      <c r="G750" s="14">
        <v>45064.0</v>
      </c>
      <c r="H750" s="15">
        <f t="shared" si="1"/>
        <v>18</v>
      </c>
      <c r="I750" s="16">
        <f t="shared" si="2"/>
        <v>5</v>
      </c>
      <c r="J750" s="15">
        <f t="shared" si="3"/>
        <v>2023</v>
      </c>
      <c r="K750" s="16">
        <f>STANDARDIZE(F750,'estatística'!$C$2,'estatística'!$H$2)</f>
        <v>0.3129906305</v>
      </c>
    </row>
    <row r="751" ht="15.75" customHeight="1">
      <c r="A751" s="9">
        <v>4.0</v>
      </c>
      <c r="B751" s="10" t="s">
        <v>87</v>
      </c>
      <c r="C751" s="11" t="s">
        <v>88</v>
      </c>
      <c r="D751" s="10" t="s">
        <v>13</v>
      </c>
      <c r="E751" s="11" t="s">
        <v>24</v>
      </c>
      <c r="F751" s="13">
        <v>39.41</v>
      </c>
      <c r="G751" s="14">
        <v>45064.0</v>
      </c>
      <c r="H751" s="15">
        <f t="shared" si="1"/>
        <v>18</v>
      </c>
      <c r="I751" s="16">
        <f t="shared" si="2"/>
        <v>5</v>
      </c>
      <c r="J751" s="15">
        <f t="shared" si="3"/>
        <v>2023</v>
      </c>
      <c r="K751" s="16">
        <f>STANDARDIZE(F751,'estatística'!$C$2,'estatística'!$H$2)</f>
        <v>0.4825272221</v>
      </c>
    </row>
    <row r="752" ht="15.75" customHeight="1">
      <c r="A752" s="9">
        <v>39.0</v>
      </c>
      <c r="B752" s="10" t="s">
        <v>58</v>
      </c>
      <c r="C752" s="11" t="s">
        <v>59</v>
      </c>
      <c r="D752" s="10" t="s">
        <v>17</v>
      </c>
      <c r="E752" s="11" t="s">
        <v>24</v>
      </c>
      <c r="F752" s="13">
        <v>23.68</v>
      </c>
      <c r="G752" s="14">
        <v>45064.0</v>
      </c>
      <c r="H752" s="15">
        <f t="shared" si="1"/>
        <v>18</v>
      </c>
      <c r="I752" s="16">
        <f t="shared" si="2"/>
        <v>5</v>
      </c>
      <c r="J752" s="15">
        <f t="shared" si="3"/>
        <v>2023</v>
      </c>
      <c r="K752" s="16">
        <f>STANDARDIZE(F752,'estatística'!$C$2,'estatística'!$H$2)</f>
        <v>0.2833628767</v>
      </c>
    </row>
    <row r="753" ht="15.75" customHeight="1">
      <c r="A753" s="9">
        <v>21.0</v>
      </c>
      <c r="B753" s="10" t="s">
        <v>158</v>
      </c>
      <c r="C753" s="11" t="s">
        <v>159</v>
      </c>
      <c r="D753" s="10" t="s">
        <v>17</v>
      </c>
      <c r="E753" s="11" t="s">
        <v>33</v>
      </c>
      <c r="F753" s="13">
        <v>46.58</v>
      </c>
      <c r="G753" s="14">
        <v>45064.0</v>
      </c>
      <c r="H753" s="15">
        <f t="shared" si="1"/>
        <v>18</v>
      </c>
      <c r="I753" s="16">
        <f t="shared" si="2"/>
        <v>5</v>
      </c>
      <c r="J753" s="15">
        <f t="shared" si="3"/>
        <v>2023</v>
      </c>
      <c r="K753" s="16">
        <f>STANDARDIZE(F753,'estatística'!$C$2,'estatística'!$H$2)</f>
        <v>0.5733096987</v>
      </c>
    </row>
    <row r="754" ht="15.75" customHeight="1">
      <c r="A754" s="9">
        <v>88.0</v>
      </c>
      <c r="B754" s="10" t="s">
        <v>172</v>
      </c>
      <c r="C754" s="11" t="s">
        <v>178</v>
      </c>
      <c r="D754" s="10" t="s">
        <v>17</v>
      </c>
      <c r="E754" s="11" t="s">
        <v>24</v>
      </c>
      <c r="F754" s="13">
        <v>28.2</v>
      </c>
      <c r="G754" s="14">
        <v>45065.0</v>
      </c>
      <c r="H754" s="15">
        <f t="shared" si="1"/>
        <v>19</v>
      </c>
      <c r="I754" s="16">
        <f t="shared" si="2"/>
        <v>5</v>
      </c>
      <c r="J754" s="15">
        <f t="shared" si="3"/>
        <v>2023</v>
      </c>
      <c r="K754" s="16">
        <f>STANDARDIZE(F754,'estatística'!$C$2,'estatística'!$H$2)</f>
        <v>0.3405925551</v>
      </c>
    </row>
    <row r="755" ht="15.75" customHeight="1">
      <c r="A755" s="9">
        <v>68.0</v>
      </c>
      <c r="B755" s="10" t="s">
        <v>25</v>
      </c>
      <c r="C755" s="11" t="s">
        <v>26</v>
      </c>
      <c r="D755" s="10" t="s">
        <v>13</v>
      </c>
      <c r="E755" s="11" t="s">
        <v>24</v>
      </c>
      <c r="F755" s="13">
        <v>32.54</v>
      </c>
      <c r="G755" s="14">
        <v>45065.0</v>
      </c>
      <c r="H755" s="15">
        <f t="shared" si="1"/>
        <v>19</v>
      </c>
      <c r="I755" s="16">
        <f t="shared" si="2"/>
        <v>5</v>
      </c>
      <c r="J755" s="15">
        <f t="shared" si="3"/>
        <v>2023</v>
      </c>
      <c r="K755" s="16">
        <f>STANDARDIZE(F755,'estatística'!$C$2,'estatística'!$H$2)</f>
        <v>0.3955431755</v>
      </c>
    </row>
    <row r="756" ht="15.75" customHeight="1">
      <c r="A756" s="9">
        <v>17.0</v>
      </c>
      <c r="B756" s="10" t="s">
        <v>172</v>
      </c>
      <c r="C756" s="11" t="s">
        <v>173</v>
      </c>
      <c r="D756" s="10" t="s">
        <v>13</v>
      </c>
      <c r="E756" s="11" t="s">
        <v>18</v>
      </c>
      <c r="F756" s="13">
        <v>50.95</v>
      </c>
      <c r="G756" s="14">
        <v>45065.0</v>
      </c>
      <c r="H756" s="15">
        <f t="shared" si="1"/>
        <v>19</v>
      </c>
      <c r="I756" s="16">
        <f t="shared" si="2"/>
        <v>5</v>
      </c>
      <c r="J756" s="15">
        <f t="shared" si="3"/>
        <v>2023</v>
      </c>
      <c r="K756" s="16">
        <f>STANDARDIZE(F756,'estatística'!$C$2,'estatística'!$H$2)</f>
        <v>0.6286401621</v>
      </c>
    </row>
    <row r="757" ht="15.75" customHeight="1">
      <c r="A757" s="9">
        <v>62.0</v>
      </c>
      <c r="B757" s="10" t="s">
        <v>128</v>
      </c>
      <c r="C757" s="11" t="s">
        <v>129</v>
      </c>
      <c r="D757" s="10" t="s">
        <v>17</v>
      </c>
      <c r="E757" s="11" t="s">
        <v>107</v>
      </c>
      <c r="F757" s="13">
        <v>30.65</v>
      </c>
      <c r="G757" s="14">
        <v>45065.0</v>
      </c>
      <c r="H757" s="15">
        <f t="shared" si="1"/>
        <v>19</v>
      </c>
      <c r="I757" s="16">
        <f t="shared" si="2"/>
        <v>5</v>
      </c>
      <c r="J757" s="15">
        <f t="shared" si="3"/>
        <v>2023</v>
      </c>
      <c r="K757" s="16">
        <f>STANDARDIZE(F757,'estatística'!$C$2,'estatística'!$H$2)</f>
        <v>0.3716130666</v>
      </c>
    </row>
    <row r="758" ht="15.75" customHeight="1">
      <c r="A758" s="9">
        <v>4.0</v>
      </c>
      <c r="B758" s="10" t="s">
        <v>87</v>
      </c>
      <c r="C758" s="11" t="s">
        <v>88</v>
      </c>
      <c r="D758" s="10" t="s">
        <v>17</v>
      </c>
      <c r="E758" s="11" t="s">
        <v>80</v>
      </c>
      <c r="F758" s="13">
        <v>32.32</v>
      </c>
      <c r="G758" s="14">
        <v>45065.0</v>
      </c>
      <c r="H758" s="15">
        <f t="shared" si="1"/>
        <v>19</v>
      </c>
      <c r="I758" s="16">
        <f t="shared" si="2"/>
        <v>5</v>
      </c>
      <c r="J758" s="15">
        <f t="shared" si="3"/>
        <v>2023</v>
      </c>
      <c r="K758" s="16">
        <f>STANDARDIZE(F758,'estatística'!$C$2,'estatística'!$H$2)</f>
        <v>0.3927576602</v>
      </c>
    </row>
    <row r="759" ht="15.75" customHeight="1">
      <c r="A759" s="9">
        <v>53.0</v>
      </c>
      <c r="B759" s="10" t="s">
        <v>213</v>
      </c>
      <c r="C759" s="11" t="s">
        <v>214</v>
      </c>
      <c r="D759" s="10" t="s">
        <v>17</v>
      </c>
      <c r="E759" s="11" t="s">
        <v>33</v>
      </c>
      <c r="F759" s="13">
        <v>65.27</v>
      </c>
      <c r="G759" s="14">
        <v>45065.0</v>
      </c>
      <c r="H759" s="15">
        <f t="shared" si="1"/>
        <v>19</v>
      </c>
      <c r="I759" s="16">
        <f t="shared" si="2"/>
        <v>5</v>
      </c>
      <c r="J759" s="15">
        <f t="shared" si="3"/>
        <v>2023</v>
      </c>
      <c r="K759" s="16">
        <f>STANDARDIZE(F759,'estatística'!$C$2,'estatística'!$H$2)</f>
        <v>0.8099518866</v>
      </c>
    </row>
    <row r="760" ht="15.75" customHeight="1">
      <c r="A760" s="9">
        <v>68.0</v>
      </c>
      <c r="B760" s="10" t="s">
        <v>25</v>
      </c>
      <c r="C760" s="11" t="s">
        <v>26</v>
      </c>
      <c r="D760" s="10" t="s">
        <v>13</v>
      </c>
      <c r="E760" s="11" t="s">
        <v>36</v>
      </c>
      <c r="F760" s="13">
        <v>63.81</v>
      </c>
      <c r="G760" s="14">
        <v>45065.0</v>
      </c>
      <c r="H760" s="15">
        <f t="shared" si="1"/>
        <v>19</v>
      </c>
      <c r="I760" s="16">
        <f t="shared" si="2"/>
        <v>5</v>
      </c>
      <c r="J760" s="15">
        <f t="shared" si="3"/>
        <v>2023</v>
      </c>
      <c r="K760" s="16">
        <f>STANDARDIZE(F760,'estatística'!$C$2,'estatística'!$H$2)</f>
        <v>0.791466194</v>
      </c>
    </row>
    <row r="761" ht="15.75" customHeight="1">
      <c r="A761" s="9">
        <v>19.0</v>
      </c>
      <c r="B761" s="10" t="s">
        <v>25</v>
      </c>
      <c r="C761" s="11" t="s">
        <v>165</v>
      </c>
      <c r="D761" s="10" t="s">
        <v>17</v>
      </c>
      <c r="E761" s="11" t="s">
        <v>116</v>
      </c>
      <c r="F761" s="13">
        <v>4.12</v>
      </c>
      <c r="G761" s="14">
        <v>45065.0</v>
      </c>
      <c r="H761" s="15">
        <f t="shared" si="1"/>
        <v>19</v>
      </c>
      <c r="I761" s="16">
        <f t="shared" si="2"/>
        <v>5</v>
      </c>
      <c r="J761" s="15">
        <f t="shared" si="3"/>
        <v>2023</v>
      </c>
      <c r="K761" s="16">
        <f>STANDARDIZE(F761,'estatística'!$C$2,'estatística'!$H$2)</f>
        <v>0.03570524183</v>
      </c>
    </row>
    <row r="762" ht="15.75" customHeight="1">
      <c r="A762" s="9">
        <v>10.0</v>
      </c>
      <c r="B762" s="10" t="s">
        <v>120</v>
      </c>
      <c r="C762" s="11" t="s">
        <v>121</v>
      </c>
      <c r="D762" s="10" t="s">
        <v>13</v>
      </c>
      <c r="E762" s="11" t="s">
        <v>39</v>
      </c>
      <c r="F762" s="13">
        <v>44.34</v>
      </c>
      <c r="G762" s="14">
        <v>45066.0</v>
      </c>
      <c r="H762" s="15">
        <f t="shared" si="1"/>
        <v>20</v>
      </c>
      <c r="I762" s="16">
        <f t="shared" si="2"/>
        <v>5</v>
      </c>
      <c r="J762" s="15">
        <f t="shared" si="3"/>
        <v>2023</v>
      </c>
      <c r="K762" s="16">
        <f>STANDARDIZE(F762,'estatística'!$C$2,'estatística'!$H$2)</f>
        <v>0.5449480881</v>
      </c>
    </row>
    <row r="763" ht="15.75" customHeight="1">
      <c r="A763" s="9">
        <v>18.0</v>
      </c>
      <c r="B763" s="10" t="s">
        <v>135</v>
      </c>
      <c r="C763" s="11" t="s">
        <v>212</v>
      </c>
      <c r="D763" s="10" t="s">
        <v>13</v>
      </c>
      <c r="E763" s="11" t="s">
        <v>39</v>
      </c>
      <c r="F763" s="13">
        <v>50.22</v>
      </c>
      <c r="G763" s="14">
        <v>45066.0</v>
      </c>
      <c r="H763" s="15">
        <f t="shared" si="1"/>
        <v>20</v>
      </c>
      <c r="I763" s="16">
        <f t="shared" si="2"/>
        <v>5</v>
      </c>
      <c r="J763" s="15">
        <f t="shared" si="3"/>
        <v>2023</v>
      </c>
      <c r="K763" s="16">
        <f>STANDARDIZE(F763,'estatística'!$C$2,'estatística'!$H$2)</f>
        <v>0.6193973158</v>
      </c>
    </row>
    <row r="764" ht="15.75" customHeight="1">
      <c r="A764" s="9">
        <v>23.0</v>
      </c>
      <c r="B764" s="10" t="s">
        <v>207</v>
      </c>
      <c r="C764" s="11" t="s">
        <v>208</v>
      </c>
      <c r="D764" s="10" t="s">
        <v>13</v>
      </c>
      <c r="E764" s="11" t="s">
        <v>57</v>
      </c>
      <c r="F764" s="13">
        <v>15.8</v>
      </c>
      <c r="G764" s="14">
        <v>45066.0</v>
      </c>
      <c r="H764" s="15">
        <f t="shared" si="1"/>
        <v>20</v>
      </c>
      <c r="I764" s="16">
        <f t="shared" si="2"/>
        <v>5</v>
      </c>
      <c r="J764" s="15">
        <f t="shared" si="3"/>
        <v>2023</v>
      </c>
      <c r="K764" s="16">
        <f>STANDARDIZE(F764,'estatística'!$C$2,'estatística'!$H$2)</f>
        <v>0.1835907825</v>
      </c>
    </row>
    <row r="765" ht="15.75" customHeight="1">
      <c r="A765" s="9">
        <v>47.0</v>
      </c>
      <c r="B765" s="10" t="s">
        <v>89</v>
      </c>
      <c r="C765" s="11" t="s">
        <v>90</v>
      </c>
      <c r="D765" s="10" t="s">
        <v>13</v>
      </c>
      <c r="E765" s="11" t="s">
        <v>32</v>
      </c>
      <c r="F765" s="13">
        <v>29.52</v>
      </c>
      <c r="G765" s="14">
        <v>45066.0</v>
      </c>
      <c r="H765" s="15">
        <f t="shared" si="1"/>
        <v>20</v>
      </c>
      <c r="I765" s="16">
        <f t="shared" si="2"/>
        <v>5</v>
      </c>
      <c r="J765" s="15">
        <f t="shared" si="3"/>
        <v>2023</v>
      </c>
      <c r="K765" s="16">
        <f>STANDARDIZE(F765,'estatística'!$C$2,'estatística'!$H$2)</f>
        <v>0.357305647</v>
      </c>
    </row>
    <row r="766" ht="15.75" customHeight="1">
      <c r="A766" s="9">
        <v>71.0</v>
      </c>
      <c r="B766" s="10" t="s">
        <v>122</v>
      </c>
      <c r="C766" s="11" t="s">
        <v>123</v>
      </c>
      <c r="D766" s="10" t="s">
        <v>17</v>
      </c>
      <c r="E766" s="11" t="s">
        <v>21</v>
      </c>
      <c r="F766" s="13">
        <v>12.62</v>
      </c>
      <c r="G766" s="14">
        <v>45066.0</v>
      </c>
      <c r="H766" s="15">
        <f t="shared" si="1"/>
        <v>20</v>
      </c>
      <c r="I766" s="16">
        <f t="shared" si="2"/>
        <v>5</v>
      </c>
      <c r="J766" s="15">
        <f t="shared" si="3"/>
        <v>2023</v>
      </c>
      <c r="K766" s="16">
        <f>STANDARDIZE(F766,'estatística'!$C$2,'estatística'!$H$2)</f>
        <v>0.1433274247</v>
      </c>
    </row>
    <row r="767" ht="15.75" customHeight="1">
      <c r="A767" s="9">
        <v>73.0</v>
      </c>
      <c r="B767" s="10" t="s">
        <v>195</v>
      </c>
      <c r="C767" s="11" t="s">
        <v>196</v>
      </c>
      <c r="D767" s="10" t="s">
        <v>13</v>
      </c>
      <c r="E767" s="11" t="s">
        <v>107</v>
      </c>
      <c r="F767" s="13">
        <v>30.42</v>
      </c>
      <c r="G767" s="14">
        <v>45066.0</v>
      </c>
      <c r="H767" s="15">
        <f t="shared" si="1"/>
        <v>20</v>
      </c>
      <c r="I767" s="16">
        <f t="shared" si="2"/>
        <v>5</v>
      </c>
      <c r="J767" s="15">
        <f t="shared" si="3"/>
        <v>2023</v>
      </c>
      <c r="K767" s="16">
        <f>STANDARDIZE(F767,'estatística'!$C$2,'estatística'!$H$2)</f>
        <v>0.3687009369</v>
      </c>
    </row>
    <row r="768" ht="15.75" customHeight="1">
      <c r="A768" s="9">
        <v>42.0</v>
      </c>
      <c r="B768" s="10" t="s">
        <v>60</v>
      </c>
      <c r="C768" s="11" t="s">
        <v>142</v>
      </c>
      <c r="D768" s="10" t="s">
        <v>13</v>
      </c>
      <c r="E768" s="11" t="s">
        <v>91</v>
      </c>
      <c r="F768" s="13">
        <v>2.44</v>
      </c>
      <c r="G768" s="14">
        <v>45067.0</v>
      </c>
      <c r="H768" s="15">
        <f t="shared" si="1"/>
        <v>21</v>
      </c>
      <c r="I768" s="16">
        <f t="shared" si="2"/>
        <v>5</v>
      </c>
      <c r="J768" s="15">
        <f t="shared" si="3"/>
        <v>2023</v>
      </c>
      <c r="K768" s="16">
        <f>STANDARDIZE(F768,'estatística'!$C$2,'estatística'!$H$2)</f>
        <v>0.01443403393</v>
      </c>
    </row>
    <row r="769" ht="15.75" customHeight="1">
      <c r="A769" s="9">
        <v>23.0</v>
      </c>
      <c r="B769" s="10" t="s">
        <v>207</v>
      </c>
      <c r="C769" s="11" t="s">
        <v>208</v>
      </c>
      <c r="D769" s="10" t="s">
        <v>17</v>
      </c>
      <c r="E769" s="11" t="s">
        <v>39</v>
      </c>
      <c r="F769" s="13">
        <v>38.57</v>
      </c>
      <c r="G769" s="14">
        <v>45067.0</v>
      </c>
      <c r="H769" s="15">
        <f t="shared" si="1"/>
        <v>21</v>
      </c>
      <c r="I769" s="16">
        <f t="shared" si="2"/>
        <v>5</v>
      </c>
      <c r="J769" s="15">
        <f t="shared" si="3"/>
        <v>2023</v>
      </c>
      <c r="K769" s="16">
        <f>STANDARDIZE(F769,'estatística'!$C$2,'estatística'!$H$2)</f>
        <v>0.4718916181</v>
      </c>
    </row>
    <row r="770" ht="15.75" customHeight="1">
      <c r="A770" s="9">
        <v>4.0</v>
      </c>
      <c r="B770" s="10" t="s">
        <v>87</v>
      </c>
      <c r="C770" s="11" t="s">
        <v>88</v>
      </c>
      <c r="D770" s="10" t="s">
        <v>13</v>
      </c>
      <c r="E770" s="11" t="s">
        <v>107</v>
      </c>
      <c r="F770" s="13">
        <v>30.81</v>
      </c>
      <c r="G770" s="14">
        <v>45068.0</v>
      </c>
      <c r="H770" s="15">
        <f t="shared" si="1"/>
        <v>22</v>
      </c>
      <c r="I770" s="16">
        <f t="shared" si="2"/>
        <v>5</v>
      </c>
      <c r="J770" s="15">
        <f t="shared" si="3"/>
        <v>2023</v>
      </c>
      <c r="K770" s="16">
        <f>STANDARDIZE(F770,'estatística'!$C$2,'estatística'!$H$2)</f>
        <v>0.3736388959</v>
      </c>
    </row>
    <row r="771" ht="15.75" customHeight="1">
      <c r="A771" s="9">
        <v>36.0</v>
      </c>
      <c r="B771" s="10" t="s">
        <v>60</v>
      </c>
      <c r="C771" s="11" t="s">
        <v>61</v>
      </c>
      <c r="D771" s="10" t="s">
        <v>13</v>
      </c>
      <c r="E771" s="11" t="s">
        <v>107</v>
      </c>
      <c r="F771" s="13">
        <v>27.34</v>
      </c>
      <c r="G771" s="14">
        <v>45068.0</v>
      </c>
      <c r="H771" s="15">
        <f t="shared" si="1"/>
        <v>22</v>
      </c>
      <c r="I771" s="16">
        <f t="shared" si="2"/>
        <v>5</v>
      </c>
      <c r="J771" s="15">
        <f t="shared" si="3"/>
        <v>2023</v>
      </c>
      <c r="K771" s="16">
        <f>STANDARDIZE(F771,'estatística'!$C$2,'estatística'!$H$2)</f>
        <v>0.3297037225</v>
      </c>
    </row>
    <row r="772" ht="15.75" customHeight="1">
      <c r="A772" s="9">
        <v>75.0</v>
      </c>
      <c r="B772" s="10" t="s">
        <v>210</v>
      </c>
      <c r="C772" s="11" t="s">
        <v>211</v>
      </c>
      <c r="D772" s="10" t="s">
        <v>13</v>
      </c>
      <c r="E772" s="11" t="s">
        <v>107</v>
      </c>
      <c r="F772" s="13">
        <v>27.86</v>
      </c>
      <c r="G772" s="14">
        <v>45068.0</v>
      </c>
      <c r="H772" s="15">
        <f t="shared" si="1"/>
        <v>22</v>
      </c>
      <c r="I772" s="16">
        <f t="shared" si="2"/>
        <v>5</v>
      </c>
      <c r="J772" s="15">
        <f t="shared" si="3"/>
        <v>2023</v>
      </c>
      <c r="K772" s="16">
        <f>STANDARDIZE(F772,'estatística'!$C$2,'estatística'!$H$2)</f>
        <v>0.3362876678</v>
      </c>
    </row>
    <row r="773" ht="15.75" customHeight="1">
      <c r="A773" s="9">
        <v>30.0</v>
      </c>
      <c r="B773" s="10" t="s">
        <v>11</v>
      </c>
      <c r="C773" s="11" t="s">
        <v>12</v>
      </c>
      <c r="D773" s="10" t="s">
        <v>13</v>
      </c>
      <c r="E773" s="11" t="s">
        <v>48</v>
      </c>
      <c r="F773" s="13">
        <v>11.45</v>
      </c>
      <c r="G773" s="14">
        <v>45068.0</v>
      </c>
      <c r="H773" s="15">
        <f t="shared" si="1"/>
        <v>22</v>
      </c>
      <c r="I773" s="16">
        <f t="shared" si="2"/>
        <v>5</v>
      </c>
      <c r="J773" s="15">
        <f t="shared" si="3"/>
        <v>2023</v>
      </c>
      <c r="K773" s="16">
        <f>STANDARDIZE(F773,'estatística'!$C$2,'estatística'!$H$2)</f>
        <v>0.1285135477</v>
      </c>
    </row>
    <row r="774" ht="15.75" customHeight="1">
      <c r="A774" s="9">
        <v>59.0</v>
      </c>
      <c r="B774" s="10" t="s">
        <v>71</v>
      </c>
      <c r="C774" s="11" t="s">
        <v>72</v>
      </c>
      <c r="D774" s="10" t="s">
        <v>13</v>
      </c>
      <c r="E774" s="11" t="s">
        <v>48</v>
      </c>
      <c r="F774" s="13">
        <v>13.72</v>
      </c>
      <c r="G774" s="14">
        <v>45069.0</v>
      </c>
      <c r="H774" s="15">
        <f t="shared" si="1"/>
        <v>23</v>
      </c>
      <c r="I774" s="16">
        <f t="shared" si="2"/>
        <v>5</v>
      </c>
      <c r="J774" s="15">
        <f t="shared" si="3"/>
        <v>2023</v>
      </c>
      <c r="K774" s="16">
        <f>STANDARDIZE(F774,'estatística'!$C$2,'estatística'!$H$2)</f>
        <v>0.1572550013</v>
      </c>
    </row>
    <row r="775" ht="15.75" customHeight="1">
      <c r="A775" s="9">
        <v>87.0</v>
      </c>
      <c r="B775" s="10" t="s">
        <v>215</v>
      </c>
      <c r="C775" s="11" t="s">
        <v>216</v>
      </c>
      <c r="D775" s="10" t="s">
        <v>13</v>
      </c>
      <c r="E775" s="11" t="s">
        <v>107</v>
      </c>
      <c r="F775" s="13">
        <v>30.18</v>
      </c>
      <c r="G775" s="14">
        <v>45069.0</v>
      </c>
      <c r="H775" s="15">
        <f t="shared" si="1"/>
        <v>23</v>
      </c>
      <c r="I775" s="16">
        <f t="shared" si="2"/>
        <v>5</v>
      </c>
      <c r="J775" s="15">
        <f t="shared" si="3"/>
        <v>2023</v>
      </c>
      <c r="K775" s="16">
        <f>STANDARDIZE(F775,'estatística'!$C$2,'estatística'!$H$2)</f>
        <v>0.365662193</v>
      </c>
    </row>
    <row r="776" ht="15.75" customHeight="1">
      <c r="A776" s="9">
        <v>46.0</v>
      </c>
      <c r="B776" s="10" t="s">
        <v>114</v>
      </c>
      <c r="C776" s="11" t="s">
        <v>115</v>
      </c>
      <c r="D776" s="10" t="s">
        <v>13</v>
      </c>
      <c r="E776" s="11" t="s">
        <v>77</v>
      </c>
      <c r="F776" s="13">
        <v>16.47</v>
      </c>
      <c r="G776" s="14">
        <v>45069.0</v>
      </c>
      <c r="H776" s="15">
        <f t="shared" si="1"/>
        <v>23</v>
      </c>
      <c r="I776" s="16">
        <f t="shared" si="2"/>
        <v>5</v>
      </c>
      <c r="J776" s="15">
        <f t="shared" si="3"/>
        <v>2023</v>
      </c>
      <c r="K776" s="16">
        <f>STANDARDIZE(F776,'estatística'!$C$2,'estatística'!$H$2)</f>
        <v>0.1920739428</v>
      </c>
    </row>
    <row r="777" ht="15.75" customHeight="1">
      <c r="A777" s="9">
        <v>37.0</v>
      </c>
      <c r="B777" s="10" t="s">
        <v>217</v>
      </c>
      <c r="C777" s="11" t="s">
        <v>218</v>
      </c>
      <c r="D777" s="10" t="s">
        <v>17</v>
      </c>
      <c r="E777" s="11" t="s">
        <v>32</v>
      </c>
      <c r="F777" s="13">
        <v>33.65</v>
      </c>
      <c r="G777" s="14">
        <v>45069.0</v>
      </c>
      <c r="H777" s="15">
        <f t="shared" si="1"/>
        <v>23</v>
      </c>
      <c r="I777" s="16">
        <f t="shared" si="2"/>
        <v>5</v>
      </c>
      <c r="J777" s="15">
        <f t="shared" si="3"/>
        <v>2023</v>
      </c>
      <c r="K777" s="16">
        <f>STANDARDIZE(F777,'estatística'!$C$2,'estatística'!$H$2)</f>
        <v>0.4095973664</v>
      </c>
    </row>
    <row r="778" ht="15.75" customHeight="1">
      <c r="A778" s="9">
        <v>9.0</v>
      </c>
      <c r="B778" s="10" t="s">
        <v>179</v>
      </c>
      <c r="C778" s="11" t="s">
        <v>180</v>
      </c>
      <c r="D778" s="10" t="s">
        <v>13</v>
      </c>
      <c r="E778" s="11" t="s">
        <v>24</v>
      </c>
      <c r="F778" s="13">
        <v>29.78</v>
      </c>
      <c r="G778" s="14">
        <v>45069.0</v>
      </c>
      <c r="H778" s="15">
        <f t="shared" si="1"/>
        <v>23</v>
      </c>
      <c r="I778" s="16">
        <f t="shared" si="2"/>
        <v>5</v>
      </c>
      <c r="J778" s="15">
        <f t="shared" si="3"/>
        <v>2023</v>
      </c>
      <c r="K778" s="16">
        <f>STANDARDIZE(F778,'estatística'!$C$2,'estatística'!$H$2)</f>
        <v>0.3605976197</v>
      </c>
    </row>
    <row r="779" ht="15.75" customHeight="1">
      <c r="A779" s="9">
        <v>34.0</v>
      </c>
      <c r="B779" s="10" t="s">
        <v>149</v>
      </c>
      <c r="C779" s="11" t="s">
        <v>150</v>
      </c>
      <c r="D779" s="10" t="s">
        <v>17</v>
      </c>
      <c r="E779" s="11" t="s">
        <v>32</v>
      </c>
      <c r="F779" s="13">
        <v>32.69</v>
      </c>
      <c r="G779" s="14">
        <v>45069.0</v>
      </c>
      <c r="H779" s="15">
        <f t="shared" si="1"/>
        <v>23</v>
      </c>
      <c r="I779" s="16">
        <f t="shared" si="2"/>
        <v>5</v>
      </c>
      <c r="J779" s="15">
        <f t="shared" si="3"/>
        <v>2023</v>
      </c>
      <c r="K779" s="16">
        <f>STANDARDIZE(F779,'estatística'!$C$2,'estatística'!$H$2)</f>
        <v>0.3974423905</v>
      </c>
    </row>
    <row r="780" ht="15.75" customHeight="1">
      <c r="A780" s="9">
        <v>66.0</v>
      </c>
      <c r="B780" s="10" t="s">
        <v>122</v>
      </c>
      <c r="C780" s="11" t="s">
        <v>130</v>
      </c>
      <c r="D780" s="10" t="s">
        <v>13</v>
      </c>
      <c r="E780" s="11" t="s">
        <v>36</v>
      </c>
      <c r="F780" s="13">
        <v>69.52</v>
      </c>
      <c r="G780" s="14">
        <v>45069.0</v>
      </c>
      <c r="H780" s="15">
        <f t="shared" si="1"/>
        <v>23</v>
      </c>
      <c r="I780" s="16">
        <f t="shared" si="2"/>
        <v>5</v>
      </c>
      <c r="J780" s="15">
        <f t="shared" si="3"/>
        <v>2023</v>
      </c>
      <c r="K780" s="16">
        <f>STANDARDIZE(F780,'estatística'!$C$2,'estatística'!$H$2)</f>
        <v>0.863762978</v>
      </c>
    </row>
    <row r="781" ht="15.75" customHeight="1">
      <c r="A781" s="9">
        <v>98.0</v>
      </c>
      <c r="B781" s="10" t="s">
        <v>131</v>
      </c>
      <c r="C781" s="11" t="s">
        <v>168</v>
      </c>
      <c r="D781" s="10" t="s">
        <v>13</v>
      </c>
      <c r="E781" s="11" t="s">
        <v>21</v>
      </c>
      <c r="F781" s="13">
        <v>18.62</v>
      </c>
      <c r="G781" s="14">
        <v>45070.0</v>
      </c>
      <c r="H781" s="15">
        <f t="shared" si="1"/>
        <v>24</v>
      </c>
      <c r="I781" s="16">
        <f t="shared" si="2"/>
        <v>5</v>
      </c>
      <c r="J781" s="15">
        <f t="shared" si="3"/>
        <v>2023</v>
      </c>
      <c r="K781" s="16">
        <f>STANDARDIZE(F781,'estatística'!$C$2,'estatística'!$H$2)</f>
        <v>0.2192960243</v>
      </c>
    </row>
    <row r="782" ht="15.75" customHeight="1">
      <c r="A782" s="9">
        <v>12.0</v>
      </c>
      <c r="B782" s="10" t="s">
        <v>160</v>
      </c>
      <c r="C782" s="11" t="s">
        <v>161</v>
      </c>
      <c r="D782" s="10" t="s">
        <v>13</v>
      </c>
      <c r="E782" s="11" t="s">
        <v>18</v>
      </c>
      <c r="F782" s="13">
        <v>46.55</v>
      </c>
      <c r="G782" s="14">
        <v>45070.0</v>
      </c>
      <c r="H782" s="15">
        <f t="shared" si="1"/>
        <v>24</v>
      </c>
      <c r="I782" s="16">
        <f t="shared" si="2"/>
        <v>5</v>
      </c>
      <c r="J782" s="15">
        <f t="shared" si="3"/>
        <v>2023</v>
      </c>
      <c r="K782" s="16">
        <f>STANDARDIZE(F782,'estatística'!$C$2,'estatística'!$H$2)</f>
        <v>0.5729298557</v>
      </c>
    </row>
    <row r="783" ht="15.75" customHeight="1">
      <c r="A783" s="9">
        <v>49.0</v>
      </c>
      <c r="B783" s="10" t="s">
        <v>151</v>
      </c>
      <c r="C783" s="11" t="s">
        <v>152</v>
      </c>
      <c r="D783" s="10" t="s">
        <v>17</v>
      </c>
      <c r="E783" s="11" t="s">
        <v>91</v>
      </c>
      <c r="F783" s="13">
        <v>2.47</v>
      </c>
      <c r="G783" s="14">
        <v>45070.0</v>
      </c>
      <c r="H783" s="15">
        <f t="shared" si="1"/>
        <v>24</v>
      </c>
      <c r="I783" s="16">
        <f t="shared" si="2"/>
        <v>5</v>
      </c>
      <c r="J783" s="15">
        <f t="shared" si="3"/>
        <v>2023</v>
      </c>
      <c r="K783" s="16">
        <f>STANDARDIZE(F783,'estatística'!$C$2,'estatística'!$H$2)</f>
        <v>0.01481387693</v>
      </c>
    </row>
    <row r="784" ht="15.75" customHeight="1">
      <c r="A784" s="9">
        <v>88.0</v>
      </c>
      <c r="B784" s="10" t="s">
        <v>172</v>
      </c>
      <c r="C784" s="11" t="s">
        <v>178</v>
      </c>
      <c r="D784" s="10" t="s">
        <v>17</v>
      </c>
      <c r="E784" s="11" t="s">
        <v>77</v>
      </c>
      <c r="F784" s="13">
        <v>12.47</v>
      </c>
      <c r="G784" s="14">
        <v>45070.0</v>
      </c>
      <c r="H784" s="15">
        <f t="shared" si="1"/>
        <v>24</v>
      </c>
      <c r="I784" s="16">
        <f t="shared" si="2"/>
        <v>5</v>
      </c>
      <c r="J784" s="15">
        <f t="shared" si="3"/>
        <v>2023</v>
      </c>
      <c r="K784" s="16">
        <f>STANDARDIZE(F784,'estatística'!$C$2,'estatística'!$H$2)</f>
        <v>0.1414282097</v>
      </c>
    </row>
    <row r="785" ht="15.75" customHeight="1">
      <c r="A785" s="9">
        <v>20.0</v>
      </c>
      <c r="B785" s="10" t="s">
        <v>133</v>
      </c>
      <c r="C785" s="11" t="s">
        <v>134</v>
      </c>
      <c r="D785" s="10" t="s">
        <v>17</v>
      </c>
      <c r="E785" s="11" t="s">
        <v>36</v>
      </c>
      <c r="F785" s="13">
        <v>77.05</v>
      </c>
      <c r="G785" s="14">
        <v>45070.0</v>
      </c>
      <c r="H785" s="15">
        <f t="shared" si="1"/>
        <v>24</v>
      </c>
      <c r="I785" s="16">
        <f t="shared" si="2"/>
        <v>5</v>
      </c>
      <c r="J785" s="15">
        <f t="shared" si="3"/>
        <v>2023</v>
      </c>
      <c r="K785" s="16">
        <f>STANDARDIZE(F785,'estatística'!$C$2,'estatística'!$H$2)</f>
        <v>0.9591035705</v>
      </c>
    </row>
    <row r="786" ht="15.75" customHeight="1">
      <c r="A786" s="9">
        <v>54.0</v>
      </c>
      <c r="B786" s="10" t="s">
        <v>55</v>
      </c>
      <c r="C786" s="11" t="s">
        <v>56</v>
      </c>
      <c r="D786" s="10" t="s">
        <v>17</v>
      </c>
      <c r="E786" s="11" t="s">
        <v>21</v>
      </c>
      <c r="F786" s="13">
        <v>12.57</v>
      </c>
      <c r="G786" s="14">
        <v>45071.0</v>
      </c>
      <c r="H786" s="15">
        <f t="shared" si="1"/>
        <v>25</v>
      </c>
      <c r="I786" s="16">
        <f t="shared" si="2"/>
        <v>5</v>
      </c>
      <c r="J786" s="15">
        <f t="shared" si="3"/>
        <v>2023</v>
      </c>
      <c r="K786" s="16">
        <f>STANDARDIZE(F786,'estatística'!$C$2,'estatística'!$H$2)</f>
        <v>0.142694353</v>
      </c>
    </row>
    <row r="787" ht="15.75" customHeight="1">
      <c r="A787" s="9">
        <v>70.0</v>
      </c>
      <c r="B787" s="10" t="s">
        <v>124</v>
      </c>
      <c r="C787" s="11" t="s">
        <v>125</v>
      </c>
      <c r="D787" s="10" t="s">
        <v>13</v>
      </c>
      <c r="E787" s="11" t="s">
        <v>77</v>
      </c>
      <c r="F787" s="13">
        <v>12.55</v>
      </c>
      <c r="G787" s="14">
        <v>45071.0</v>
      </c>
      <c r="H787" s="15">
        <f t="shared" si="1"/>
        <v>25</v>
      </c>
      <c r="I787" s="16">
        <f t="shared" si="2"/>
        <v>5</v>
      </c>
      <c r="J787" s="15">
        <f t="shared" si="3"/>
        <v>2023</v>
      </c>
      <c r="K787" s="16">
        <f>STANDARDIZE(F787,'estatística'!$C$2,'estatística'!$H$2)</f>
        <v>0.1424411243</v>
      </c>
    </row>
    <row r="788" ht="15.75" customHeight="1">
      <c r="A788" s="9">
        <v>96.0</v>
      </c>
      <c r="B788" s="10" t="s">
        <v>135</v>
      </c>
      <c r="C788" s="11" t="s">
        <v>136</v>
      </c>
      <c r="D788" s="10" t="s">
        <v>17</v>
      </c>
      <c r="E788" s="11" t="s">
        <v>24</v>
      </c>
      <c r="F788" s="13">
        <v>39.58</v>
      </c>
      <c r="G788" s="14">
        <v>45071.0</v>
      </c>
      <c r="H788" s="15">
        <f t="shared" si="1"/>
        <v>25</v>
      </c>
      <c r="I788" s="16">
        <f t="shared" si="2"/>
        <v>5</v>
      </c>
      <c r="J788" s="15">
        <f t="shared" si="3"/>
        <v>2023</v>
      </c>
      <c r="K788" s="16">
        <f>STANDARDIZE(F788,'estatística'!$C$2,'estatística'!$H$2)</f>
        <v>0.4846796657</v>
      </c>
    </row>
    <row r="789" ht="15.75" customHeight="1">
      <c r="A789" s="9">
        <v>51.0</v>
      </c>
      <c r="B789" s="10" t="s">
        <v>205</v>
      </c>
      <c r="C789" s="11" t="s">
        <v>206</v>
      </c>
      <c r="D789" s="10" t="s">
        <v>13</v>
      </c>
      <c r="E789" s="11" t="s">
        <v>14</v>
      </c>
      <c r="F789" s="13">
        <v>10.42</v>
      </c>
      <c r="G789" s="14">
        <v>45071.0</v>
      </c>
      <c r="H789" s="15">
        <f t="shared" si="1"/>
        <v>25</v>
      </c>
      <c r="I789" s="16">
        <f t="shared" si="2"/>
        <v>5</v>
      </c>
      <c r="J789" s="15">
        <f t="shared" si="3"/>
        <v>2023</v>
      </c>
      <c r="K789" s="16">
        <f>STANDARDIZE(F789,'estatística'!$C$2,'estatística'!$H$2)</f>
        <v>0.1154722715</v>
      </c>
    </row>
    <row r="790" ht="15.75" customHeight="1">
      <c r="A790" s="9">
        <v>46.0</v>
      </c>
      <c r="B790" s="10" t="s">
        <v>114</v>
      </c>
      <c r="C790" s="11" t="s">
        <v>115</v>
      </c>
      <c r="D790" s="10" t="s">
        <v>13</v>
      </c>
      <c r="E790" s="11" t="s">
        <v>91</v>
      </c>
      <c r="F790" s="13">
        <v>2.5</v>
      </c>
      <c r="G790" s="14">
        <v>45071.0</v>
      </c>
      <c r="H790" s="15">
        <f t="shared" si="1"/>
        <v>25</v>
      </c>
      <c r="I790" s="16">
        <f t="shared" si="2"/>
        <v>5</v>
      </c>
      <c r="J790" s="15">
        <f t="shared" si="3"/>
        <v>2023</v>
      </c>
      <c r="K790" s="16">
        <f>STANDARDIZE(F790,'estatística'!$C$2,'estatística'!$H$2)</f>
        <v>0.01519371993</v>
      </c>
    </row>
    <row r="791" ht="15.75" customHeight="1">
      <c r="A791" s="9">
        <v>79.0</v>
      </c>
      <c r="B791" s="10" t="s">
        <v>69</v>
      </c>
      <c r="C791" s="11" t="s">
        <v>70</v>
      </c>
      <c r="D791" s="10" t="s">
        <v>13</v>
      </c>
      <c r="E791" s="11" t="s">
        <v>91</v>
      </c>
      <c r="F791" s="13">
        <v>2.12</v>
      </c>
      <c r="G791" s="14">
        <v>45071.0</v>
      </c>
      <c r="H791" s="15">
        <f t="shared" si="1"/>
        <v>25</v>
      </c>
      <c r="I791" s="16">
        <f t="shared" si="2"/>
        <v>5</v>
      </c>
      <c r="J791" s="15">
        <f t="shared" si="3"/>
        <v>2023</v>
      </c>
      <c r="K791" s="16">
        <f>STANDARDIZE(F791,'estatística'!$C$2,'estatística'!$H$2)</f>
        <v>0.01038237528</v>
      </c>
    </row>
    <row r="792" ht="15.75" customHeight="1">
      <c r="A792" s="9">
        <v>58.0</v>
      </c>
      <c r="B792" s="10" t="s">
        <v>137</v>
      </c>
      <c r="C792" s="11" t="s">
        <v>138</v>
      </c>
      <c r="D792" s="10" t="s">
        <v>17</v>
      </c>
      <c r="E792" s="11" t="s">
        <v>91</v>
      </c>
      <c r="F792" s="13">
        <v>3.38</v>
      </c>
      <c r="G792" s="14">
        <v>45072.0</v>
      </c>
      <c r="H792" s="15">
        <f t="shared" si="1"/>
        <v>26</v>
      </c>
      <c r="I792" s="16">
        <f t="shared" si="2"/>
        <v>5</v>
      </c>
      <c r="J792" s="15">
        <f t="shared" si="3"/>
        <v>2023</v>
      </c>
      <c r="K792" s="16">
        <f>STANDARDIZE(F792,'estatística'!$C$2,'estatística'!$H$2)</f>
        <v>0.02633578121</v>
      </c>
    </row>
    <row r="793" ht="15.75" customHeight="1">
      <c r="A793" s="9">
        <v>80.0</v>
      </c>
      <c r="B793" s="10" t="s">
        <v>22</v>
      </c>
      <c r="C793" s="11" t="s">
        <v>23</v>
      </c>
      <c r="D793" s="10" t="s">
        <v>17</v>
      </c>
      <c r="E793" s="11" t="s">
        <v>65</v>
      </c>
      <c r="F793" s="13">
        <v>27.27</v>
      </c>
      <c r="G793" s="14">
        <v>45072.0</v>
      </c>
      <c r="H793" s="15">
        <f t="shared" si="1"/>
        <v>26</v>
      </c>
      <c r="I793" s="16">
        <f t="shared" si="2"/>
        <v>5</v>
      </c>
      <c r="J793" s="15">
        <f t="shared" si="3"/>
        <v>2023</v>
      </c>
      <c r="K793" s="16">
        <f>STANDARDIZE(F793,'estatística'!$C$2,'estatística'!$H$2)</f>
        <v>0.3288174221</v>
      </c>
    </row>
    <row r="794" ht="15.75" customHeight="1">
      <c r="A794" s="9">
        <v>20.0</v>
      </c>
      <c r="B794" s="10" t="s">
        <v>133</v>
      </c>
      <c r="C794" s="11" t="s">
        <v>134</v>
      </c>
      <c r="D794" s="10" t="s">
        <v>13</v>
      </c>
      <c r="E794" s="11" t="s">
        <v>107</v>
      </c>
      <c r="F794" s="13">
        <v>26.21</v>
      </c>
      <c r="G794" s="14">
        <v>45072.0</v>
      </c>
      <c r="H794" s="15">
        <f t="shared" si="1"/>
        <v>26</v>
      </c>
      <c r="I794" s="16">
        <f t="shared" si="2"/>
        <v>5</v>
      </c>
      <c r="J794" s="15">
        <f t="shared" si="3"/>
        <v>2023</v>
      </c>
      <c r="K794" s="16">
        <f>STANDARDIZE(F794,'estatística'!$C$2,'estatística'!$H$2)</f>
        <v>0.3153963029</v>
      </c>
    </row>
    <row r="795" ht="15.75" customHeight="1">
      <c r="A795" s="9">
        <v>27.0</v>
      </c>
      <c r="B795" s="10" t="s">
        <v>145</v>
      </c>
      <c r="C795" s="11" t="s">
        <v>146</v>
      </c>
      <c r="D795" s="10" t="s">
        <v>17</v>
      </c>
      <c r="E795" s="11" t="s">
        <v>68</v>
      </c>
      <c r="F795" s="13">
        <v>11.9</v>
      </c>
      <c r="G795" s="14">
        <v>45072.0</v>
      </c>
      <c r="H795" s="15">
        <f t="shared" si="1"/>
        <v>26</v>
      </c>
      <c r="I795" s="16">
        <f t="shared" si="2"/>
        <v>5</v>
      </c>
      <c r="J795" s="15">
        <f t="shared" si="3"/>
        <v>2023</v>
      </c>
      <c r="K795" s="16">
        <f>STANDARDIZE(F795,'estatística'!$C$2,'estatística'!$H$2)</f>
        <v>0.1342111927</v>
      </c>
    </row>
    <row r="796" ht="15.75" customHeight="1">
      <c r="A796" s="9">
        <v>81.0</v>
      </c>
      <c r="B796" s="10" t="s">
        <v>34</v>
      </c>
      <c r="C796" s="11" t="s">
        <v>35</v>
      </c>
      <c r="D796" s="10" t="s">
        <v>17</v>
      </c>
      <c r="E796" s="11" t="s">
        <v>65</v>
      </c>
      <c r="F796" s="13">
        <v>34.8</v>
      </c>
      <c r="G796" s="14">
        <v>45072.0</v>
      </c>
      <c r="H796" s="15">
        <f t="shared" si="1"/>
        <v>26</v>
      </c>
      <c r="I796" s="16">
        <f t="shared" si="2"/>
        <v>5</v>
      </c>
      <c r="J796" s="15">
        <f t="shared" si="3"/>
        <v>2023</v>
      </c>
      <c r="K796" s="16">
        <f>STANDARDIZE(F796,'estatística'!$C$2,'estatística'!$H$2)</f>
        <v>0.4241580147</v>
      </c>
    </row>
    <row r="797" ht="15.75" customHeight="1">
      <c r="A797" s="9">
        <v>63.0</v>
      </c>
      <c r="B797" s="10" t="s">
        <v>197</v>
      </c>
      <c r="C797" s="11" t="s">
        <v>198</v>
      </c>
      <c r="D797" s="10" t="s">
        <v>17</v>
      </c>
      <c r="E797" s="11" t="s">
        <v>24</v>
      </c>
      <c r="F797" s="13">
        <v>38.14</v>
      </c>
      <c r="G797" s="14">
        <v>45072.0</v>
      </c>
      <c r="H797" s="15">
        <f t="shared" si="1"/>
        <v>26</v>
      </c>
      <c r="I797" s="16">
        <f t="shared" si="2"/>
        <v>5</v>
      </c>
      <c r="J797" s="15">
        <f t="shared" si="3"/>
        <v>2023</v>
      </c>
      <c r="K797" s="16">
        <f>STANDARDIZE(F797,'estatística'!$C$2,'estatística'!$H$2)</f>
        <v>0.4664472018</v>
      </c>
    </row>
    <row r="798" ht="15.75" customHeight="1">
      <c r="A798" s="9">
        <v>56.0</v>
      </c>
      <c r="B798" s="10" t="s">
        <v>97</v>
      </c>
      <c r="C798" s="11" t="s">
        <v>98</v>
      </c>
      <c r="D798" s="10" t="s">
        <v>13</v>
      </c>
      <c r="E798" s="11" t="s">
        <v>65</v>
      </c>
      <c r="F798" s="13">
        <v>37.03</v>
      </c>
      <c r="G798" s="14">
        <v>45073.0</v>
      </c>
      <c r="H798" s="15">
        <f t="shared" si="1"/>
        <v>27</v>
      </c>
      <c r="I798" s="16">
        <f t="shared" si="2"/>
        <v>5</v>
      </c>
      <c r="J798" s="15">
        <f t="shared" si="3"/>
        <v>2023</v>
      </c>
      <c r="K798" s="16">
        <f>STANDARDIZE(F798,'estatística'!$C$2,'estatística'!$H$2)</f>
        <v>0.4523930109</v>
      </c>
    </row>
    <row r="799" ht="15.75" customHeight="1">
      <c r="A799" s="9">
        <v>89.0</v>
      </c>
      <c r="B799" s="10" t="s">
        <v>105</v>
      </c>
      <c r="C799" s="11" t="s">
        <v>106</v>
      </c>
      <c r="D799" s="10" t="s">
        <v>17</v>
      </c>
      <c r="E799" s="11" t="s">
        <v>24</v>
      </c>
      <c r="F799" s="13">
        <v>37.24</v>
      </c>
      <c r="G799" s="14">
        <v>45073.0</v>
      </c>
      <c r="H799" s="15">
        <f t="shared" si="1"/>
        <v>27</v>
      </c>
      <c r="I799" s="16">
        <f t="shared" si="2"/>
        <v>5</v>
      </c>
      <c r="J799" s="15">
        <f t="shared" si="3"/>
        <v>2023</v>
      </c>
      <c r="K799" s="16">
        <f>STANDARDIZE(F799,'estatística'!$C$2,'estatística'!$H$2)</f>
        <v>0.4550519119</v>
      </c>
    </row>
    <row r="800" ht="15.75" customHeight="1">
      <c r="A800" s="9">
        <v>71.0</v>
      </c>
      <c r="B800" s="10" t="s">
        <v>122</v>
      </c>
      <c r="C800" s="11" t="s">
        <v>123</v>
      </c>
      <c r="D800" s="10" t="s">
        <v>17</v>
      </c>
      <c r="E800" s="11" t="s">
        <v>32</v>
      </c>
      <c r="F800" s="13">
        <v>29.2</v>
      </c>
      <c r="G800" s="14">
        <v>45073.0</v>
      </c>
      <c r="H800" s="15">
        <f t="shared" si="1"/>
        <v>27</v>
      </c>
      <c r="I800" s="16">
        <f t="shared" si="2"/>
        <v>5</v>
      </c>
      <c r="J800" s="15">
        <f t="shared" si="3"/>
        <v>2023</v>
      </c>
      <c r="K800" s="16">
        <f>STANDARDIZE(F800,'estatística'!$C$2,'estatística'!$H$2)</f>
        <v>0.3532539884</v>
      </c>
    </row>
    <row r="801" ht="15.75" customHeight="1">
      <c r="A801" s="9">
        <v>66.0</v>
      </c>
      <c r="B801" s="10" t="s">
        <v>122</v>
      </c>
      <c r="C801" s="11" t="s">
        <v>130</v>
      </c>
      <c r="D801" s="10" t="s">
        <v>17</v>
      </c>
      <c r="E801" s="11" t="s">
        <v>80</v>
      </c>
      <c r="F801" s="13">
        <v>42.2</v>
      </c>
      <c r="G801" s="14">
        <v>45073.0</v>
      </c>
      <c r="H801" s="15">
        <f t="shared" si="1"/>
        <v>27</v>
      </c>
      <c r="I801" s="16">
        <f t="shared" si="2"/>
        <v>5</v>
      </c>
      <c r="J801" s="15">
        <f t="shared" si="3"/>
        <v>2023</v>
      </c>
      <c r="K801" s="16">
        <f>STANDARDIZE(F801,'estatística'!$C$2,'estatística'!$H$2)</f>
        <v>0.5178526209</v>
      </c>
    </row>
    <row r="802" ht="15.75" customHeight="1">
      <c r="A802" s="9">
        <v>1.0</v>
      </c>
      <c r="B802" s="10" t="s">
        <v>166</v>
      </c>
      <c r="C802" s="11" t="s">
        <v>167</v>
      </c>
      <c r="D802" s="10" t="s">
        <v>13</v>
      </c>
      <c r="E802" s="11" t="s">
        <v>48</v>
      </c>
      <c r="F802" s="13">
        <v>8.98</v>
      </c>
      <c r="G802" s="14">
        <v>45073.0</v>
      </c>
      <c r="H802" s="15">
        <f t="shared" si="1"/>
        <v>27</v>
      </c>
      <c r="I802" s="16">
        <f t="shared" si="2"/>
        <v>5</v>
      </c>
      <c r="J802" s="15">
        <f t="shared" si="3"/>
        <v>2023</v>
      </c>
      <c r="K802" s="16">
        <f>STANDARDIZE(F802,'estatística'!$C$2,'estatística'!$H$2)</f>
        <v>0.09723980755</v>
      </c>
    </row>
    <row r="803" ht="15.75" customHeight="1">
      <c r="A803" s="9">
        <v>97.0</v>
      </c>
      <c r="B803" s="10" t="s">
        <v>44</v>
      </c>
      <c r="C803" s="11" t="s">
        <v>45</v>
      </c>
      <c r="D803" s="10" t="s">
        <v>13</v>
      </c>
      <c r="E803" s="11" t="s">
        <v>65</v>
      </c>
      <c r="F803" s="13">
        <v>38.48</v>
      </c>
      <c r="G803" s="14">
        <v>45073.0</v>
      </c>
      <c r="H803" s="15">
        <f t="shared" si="1"/>
        <v>27</v>
      </c>
      <c r="I803" s="16">
        <f t="shared" si="2"/>
        <v>5</v>
      </c>
      <c r="J803" s="15">
        <f t="shared" si="3"/>
        <v>2023</v>
      </c>
      <c r="K803" s="16">
        <f>STANDARDIZE(F803,'estatística'!$C$2,'estatística'!$H$2)</f>
        <v>0.4707520891</v>
      </c>
    </row>
    <row r="804" ht="15.75" customHeight="1">
      <c r="A804" s="9">
        <v>1.0</v>
      </c>
      <c r="B804" s="10" t="s">
        <v>166</v>
      </c>
      <c r="C804" s="11" t="s">
        <v>167</v>
      </c>
      <c r="D804" s="10" t="s">
        <v>17</v>
      </c>
      <c r="E804" s="11" t="s">
        <v>77</v>
      </c>
      <c r="F804" s="13">
        <v>16.3</v>
      </c>
      <c r="G804" s="14">
        <v>45074.0</v>
      </c>
      <c r="H804" s="15">
        <f t="shared" si="1"/>
        <v>28</v>
      </c>
      <c r="I804" s="16">
        <f t="shared" si="2"/>
        <v>5</v>
      </c>
      <c r="J804" s="15">
        <f t="shared" si="3"/>
        <v>2023</v>
      </c>
      <c r="K804" s="16">
        <f>STANDARDIZE(F804,'estatística'!$C$2,'estatística'!$H$2)</f>
        <v>0.1899214991</v>
      </c>
    </row>
    <row r="805" ht="15.75" customHeight="1">
      <c r="A805" s="9">
        <v>5.0</v>
      </c>
      <c r="B805" s="10" t="s">
        <v>139</v>
      </c>
      <c r="C805" s="11" t="s">
        <v>140</v>
      </c>
      <c r="D805" s="10" t="s">
        <v>13</v>
      </c>
      <c r="E805" s="11" t="s">
        <v>36</v>
      </c>
      <c r="F805" s="13">
        <v>65.19</v>
      </c>
      <c r="G805" s="14">
        <v>45074.0</v>
      </c>
      <c r="H805" s="15">
        <f t="shared" si="1"/>
        <v>28</v>
      </c>
      <c r="I805" s="16">
        <f t="shared" si="2"/>
        <v>5</v>
      </c>
      <c r="J805" s="15">
        <f t="shared" si="3"/>
        <v>2023</v>
      </c>
      <c r="K805" s="16">
        <f>STANDARDIZE(F805,'estatística'!$C$2,'estatística'!$H$2)</f>
        <v>0.8089389719</v>
      </c>
    </row>
    <row r="806" ht="15.75" customHeight="1">
      <c r="A806" s="9">
        <v>4.0</v>
      </c>
      <c r="B806" s="10" t="s">
        <v>87</v>
      </c>
      <c r="C806" s="11" t="s">
        <v>88</v>
      </c>
      <c r="D806" s="10" t="s">
        <v>17</v>
      </c>
      <c r="E806" s="11" t="s">
        <v>24</v>
      </c>
      <c r="F806" s="13">
        <v>27.62</v>
      </c>
      <c r="G806" s="14">
        <v>45074.0</v>
      </c>
      <c r="H806" s="15">
        <f t="shared" si="1"/>
        <v>28</v>
      </c>
      <c r="I806" s="16">
        <f t="shared" si="2"/>
        <v>5</v>
      </c>
      <c r="J806" s="15">
        <f t="shared" si="3"/>
        <v>2023</v>
      </c>
      <c r="K806" s="16">
        <f>STANDARDIZE(F806,'estatística'!$C$2,'estatística'!$H$2)</f>
        <v>0.3332489238</v>
      </c>
    </row>
    <row r="807" ht="15.75" customHeight="1">
      <c r="A807" s="9">
        <v>7.0</v>
      </c>
      <c r="B807" s="10" t="s">
        <v>83</v>
      </c>
      <c r="C807" s="11" t="s">
        <v>84</v>
      </c>
      <c r="D807" s="10" t="s">
        <v>13</v>
      </c>
      <c r="E807" s="11" t="s">
        <v>57</v>
      </c>
      <c r="F807" s="13">
        <v>24.78</v>
      </c>
      <c r="G807" s="14">
        <v>45074.0</v>
      </c>
      <c r="H807" s="15">
        <f t="shared" si="1"/>
        <v>28</v>
      </c>
      <c r="I807" s="16">
        <f t="shared" si="2"/>
        <v>5</v>
      </c>
      <c r="J807" s="15">
        <f t="shared" si="3"/>
        <v>2023</v>
      </c>
      <c r="K807" s="16">
        <f>STANDARDIZE(F807,'estatística'!$C$2,'estatística'!$H$2)</f>
        <v>0.2972904533</v>
      </c>
    </row>
    <row r="808" ht="15.75" customHeight="1">
      <c r="A808" s="9">
        <v>70.0</v>
      </c>
      <c r="B808" s="10" t="s">
        <v>124</v>
      </c>
      <c r="C808" s="11" t="s">
        <v>125</v>
      </c>
      <c r="D808" s="10" t="s">
        <v>13</v>
      </c>
      <c r="E808" s="11" t="s">
        <v>27</v>
      </c>
      <c r="F808" s="13">
        <v>17.14</v>
      </c>
      <c r="G808" s="14">
        <v>45074.0</v>
      </c>
      <c r="H808" s="15">
        <f t="shared" si="1"/>
        <v>28</v>
      </c>
      <c r="I808" s="16">
        <f t="shared" si="2"/>
        <v>5</v>
      </c>
      <c r="J808" s="15">
        <f t="shared" si="3"/>
        <v>2023</v>
      </c>
      <c r="K808" s="16">
        <f>STANDARDIZE(F808,'estatística'!$C$2,'estatística'!$H$2)</f>
        <v>0.2005571031</v>
      </c>
    </row>
    <row r="809" ht="15.75" customHeight="1">
      <c r="A809" s="9">
        <v>31.0</v>
      </c>
      <c r="B809" s="10" t="s">
        <v>201</v>
      </c>
      <c r="C809" s="11" t="s">
        <v>202</v>
      </c>
      <c r="D809" s="10" t="s">
        <v>13</v>
      </c>
      <c r="E809" s="11" t="s">
        <v>32</v>
      </c>
      <c r="F809" s="13">
        <v>32.1</v>
      </c>
      <c r="G809" s="14">
        <v>45074.0</v>
      </c>
      <c r="H809" s="15">
        <f t="shared" si="1"/>
        <v>28</v>
      </c>
      <c r="I809" s="16">
        <f t="shared" si="2"/>
        <v>5</v>
      </c>
      <c r="J809" s="15">
        <f t="shared" si="3"/>
        <v>2023</v>
      </c>
      <c r="K809" s="16">
        <f>STANDARDIZE(F809,'estatística'!$C$2,'estatística'!$H$2)</f>
        <v>0.3899721448</v>
      </c>
    </row>
    <row r="810" ht="15.75" customHeight="1">
      <c r="A810" s="9">
        <v>76.0</v>
      </c>
      <c r="B810" s="10" t="s">
        <v>185</v>
      </c>
      <c r="C810" s="11" t="s">
        <v>186</v>
      </c>
      <c r="D810" s="10" t="s">
        <v>17</v>
      </c>
      <c r="E810" s="11" t="s">
        <v>18</v>
      </c>
      <c r="F810" s="13">
        <v>55.97</v>
      </c>
      <c r="G810" s="14">
        <v>45078.0</v>
      </c>
      <c r="H810" s="15">
        <f t="shared" si="1"/>
        <v>1</v>
      </c>
      <c r="I810" s="16">
        <f t="shared" si="2"/>
        <v>6</v>
      </c>
      <c r="J810" s="15">
        <f t="shared" si="3"/>
        <v>2023</v>
      </c>
      <c r="K810" s="16">
        <f>STANDARDIZE(F810,'estatística'!$C$2,'estatística'!$H$2)</f>
        <v>0.6922005571</v>
      </c>
    </row>
    <row r="811" ht="15.75" customHeight="1">
      <c r="A811" s="9">
        <v>48.0</v>
      </c>
      <c r="B811" s="10" t="s">
        <v>25</v>
      </c>
      <c r="C811" s="11" t="s">
        <v>28</v>
      </c>
      <c r="D811" s="10" t="s">
        <v>17</v>
      </c>
      <c r="E811" s="11" t="s">
        <v>62</v>
      </c>
      <c r="F811" s="13">
        <v>11.65</v>
      </c>
      <c r="G811" s="14">
        <v>45078.0</v>
      </c>
      <c r="H811" s="15">
        <f t="shared" si="1"/>
        <v>1</v>
      </c>
      <c r="I811" s="16">
        <f t="shared" si="2"/>
        <v>6</v>
      </c>
      <c r="J811" s="15">
        <f t="shared" si="3"/>
        <v>2023</v>
      </c>
      <c r="K811" s="16">
        <f>STANDARDIZE(F811,'estatística'!$C$2,'estatística'!$H$2)</f>
        <v>0.1310458344</v>
      </c>
    </row>
    <row r="812" ht="15.75" customHeight="1">
      <c r="A812" s="9">
        <v>23.0</v>
      </c>
      <c r="B812" s="10" t="s">
        <v>207</v>
      </c>
      <c r="C812" s="11" t="s">
        <v>208</v>
      </c>
      <c r="D812" s="10" t="s">
        <v>17</v>
      </c>
      <c r="E812" s="11" t="s">
        <v>80</v>
      </c>
      <c r="F812" s="13">
        <v>39.47</v>
      </c>
      <c r="G812" s="14">
        <v>45078.0</v>
      </c>
      <c r="H812" s="15">
        <f t="shared" si="1"/>
        <v>1</v>
      </c>
      <c r="I812" s="16">
        <f t="shared" si="2"/>
        <v>6</v>
      </c>
      <c r="J812" s="15">
        <f t="shared" si="3"/>
        <v>2023</v>
      </c>
      <c r="K812" s="16">
        <f>STANDARDIZE(F812,'estatística'!$C$2,'estatística'!$H$2)</f>
        <v>0.4832869081</v>
      </c>
    </row>
    <row r="813" ht="15.75" customHeight="1">
      <c r="A813" s="9">
        <v>72.0</v>
      </c>
      <c r="B813" s="10" t="s">
        <v>103</v>
      </c>
      <c r="C813" s="11" t="s">
        <v>104</v>
      </c>
      <c r="D813" s="10" t="s">
        <v>13</v>
      </c>
      <c r="E813" s="11" t="s">
        <v>48</v>
      </c>
      <c r="F813" s="13">
        <v>16.51</v>
      </c>
      <c r="G813" s="14">
        <v>45078.0</v>
      </c>
      <c r="H813" s="15">
        <f t="shared" si="1"/>
        <v>1</v>
      </c>
      <c r="I813" s="16">
        <f t="shared" si="2"/>
        <v>6</v>
      </c>
      <c r="J813" s="15">
        <f t="shared" si="3"/>
        <v>2023</v>
      </c>
      <c r="K813" s="16">
        <f>STANDARDIZE(F813,'estatística'!$C$2,'estatística'!$H$2)</f>
        <v>0.1925804001</v>
      </c>
    </row>
    <row r="814" ht="15.75" customHeight="1">
      <c r="A814" s="9">
        <v>65.0</v>
      </c>
      <c r="B814" s="10" t="s">
        <v>181</v>
      </c>
      <c r="C814" s="11" t="s">
        <v>182</v>
      </c>
      <c r="D814" s="10" t="s">
        <v>13</v>
      </c>
      <c r="E814" s="11" t="s">
        <v>32</v>
      </c>
      <c r="F814" s="13">
        <v>24.73</v>
      </c>
      <c r="G814" s="14">
        <v>45079.0</v>
      </c>
      <c r="H814" s="15">
        <f t="shared" si="1"/>
        <v>2</v>
      </c>
      <c r="I814" s="16">
        <f t="shared" si="2"/>
        <v>6</v>
      </c>
      <c r="J814" s="15">
        <f t="shared" si="3"/>
        <v>2023</v>
      </c>
      <c r="K814" s="16">
        <f>STANDARDIZE(F814,'estatística'!$C$2,'estatística'!$H$2)</f>
        <v>0.2966573816</v>
      </c>
    </row>
    <row r="815" ht="15.75" customHeight="1">
      <c r="A815" s="9">
        <v>69.0</v>
      </c>
      <c r="B815" s="10" t="s">
        <v>75</v>
      </c>
      <c r="C815" s="11" t="s">
        <v>117</v>
      </c>
      <c r="D815" s="10" t="s">
        <v>13</v>
      </c>
      <c r="E815" s="11" t="s">
        <v>77</v>
      </c>
      <c r="F815" s="13">
        <v>15.87</v>
      </c>
      <c r="G815" s="14">
        <v>45079.0</v>
      </c>
      <c r="H815" s="15">
        <f t="shared" si="1"/>
        <v>2</v>
      </c>
      <c r="I815" s="16">
        <f t="shared" si="2"/>
        <v>6</v>
      </c>
      <c r="J815" s="15">
        <f t="shared" si="3"/>
        <v>2023</v>
      </c>
      <c r="K815" s="16">
        <f>STANDARDIZE(F815,'estatística'!$C$2,'estatística'!$H$2)</f>
        <v>0.1844770828</v>
      </c>
    </row>
    <row r="816" ht="15.75" customHeight="1">
      <c r="A816" s="9">
        <v>19.0</v>
      </c>
      <c r="B816" s="10" t="s">
        <v>25</v>
      </c>
      <c r="C816" s="11" t="s">
        <v>165</v>
      </c>
      <c r="D816" s="10" t="s">
        <v>13</v>
      </c>
      <c r="E816" s="11" t="s">
        <v>27</v>
      </c>
      <c r="F816" s="13">
        <v>16.33</v>
      </c>
      <c r="G816" s="14">
        <v>45079.0</v>
      </c>
      <c r="H816" s="15">
        <f t="shared" si="1"/>
        <v>2</v>
      </c>
      <c r="I816" s="16">
        <f t="shared" si="2"/>
        <v>6</v>
      </c>
      <c r="J816" s="15">
        <f t="shared" si="3"/>
        <v>2023</v>
      </c>
      <c r="K816" s="16">
        <f>STANDARDIZE(F816,'estatística'!$C$2,'estatística'!$H$2)</f>
        <v>0.1903013421</v>
      </c>
    </row>
    <row r="817" ht="15.75" customHeight="1">
      <c r="A817" s="9">
        <v>20.0</v>
      </c>
      <c r="B817" s="10" t="s">
        <v>133</v>
      </c>
      <c r="C817" s="11" t="s">
        <v>134</v>
      </c>
      <c r="D817" s="10" t="s">
        <v>17</v>
      </c>
      <c r="E817" s="11" t="s">
        <v>14</v>
      </c>
      <c r="F817" s="13">
        <v>10.83</v>
      </c>
      <c r="G817" s="14">
        <v>45079.0</v>
      </c>
      <c r="H817" s="15">
        <f t="shared" si="1"/>
        <v>2</v>
      </c>
      <c r="I817" s="16">
        <f t="shared" si="2"/>
        <v>6</v>
      </c>
      <c r="J817" s="15">
        <f t="shared" si="3"/>
        <v>2023</v>
      </c>
      <c r="K817" s="16">
        <f>STANDARDIZE(F817,'estatística'!$C$2,'estatística'!$H$2)</f>
        <v>0.1206634591</v>
      </c>
    </row>
    <row r="818" ht="15.75" customHeight="1">
      <c r="A818" s="9">
        <v>5.0</v>
      </c>
      <c r="B818" s="10" t="s">
        <v>139</v>
      </c>
      <c r="C818" s="11" t="s">
        <v>140</v>
      </c>
      <c r="D818" s="10" t="s">
        <v>17</v>
      </c>
      <c r="E818" s="11" t="s">
        <v>39</v>
      </c>
      <c r="F818" s="13">
        <v>38.91</v>
      </c>
      <c r="G818" s="14">
        <v>45079.0</v>
      </c>
      <c r="H818" s="15">
        <f t="shared" si="1"/>
        <v>2</v>
      </c>
      <c r="I818" s="16">
        <f t="shared" si="2"/>
        <v>6</v>
      </c>
      <c r="J818" s="15">
        <f t="shared" si="3"/>
        <v>2023</v>
      </c>
      <c r="K818" s="16">
        <f>STANDARDIZE(F818,'estatística'!$C$2,'estatística'!$H$2)</f>
        <v>0.4761965054</v>
      </c>
    </row>
    <row r="819" ht="15.75" customHeight="1">
      <c r="A819" s="9">
        <v>15.0</v>
      </c>
      <c r="B819" s="10" t="s">
        <v>37</v>
      </c>
      <c r="C819" s="11" t="s">
        <v>38</v>
      </c>
      <c r="D819" s="10" t="s">
        <v>13</v>
      </c>
      <c r="E819" s="11" t="s">
        <v>65</v>
      </c>
      <c r="F819" s="13">
        <v>27.89</v>
      </c>
      <c r="G819" s="14">
        <v>45079.0</v>
      </c>
      <c r="H819" s="15">
        <f t="shared" si="1"/>
        <v>2</v>
      </c>
      <c r="I819" s="16">
        <f t="shared" si="2"/>
        <v>6</v>
      </c>
      <c r="J819" s="15">
        <f t="shared" si="3"/>
        <v>2023</v>
      </c>
      <c r="K819" s="16">
        <f>STANDARDIZE(F819,'estatística'!$C$2,'estatística'!$H$2)</f>
        <v>0.3366675108</v>
      </c>
    </row>
    <row r="820" ht="15.75" customHeight="1">
      <c r="A820" s="9">
        <v>97.0</v>
      </c>
      <c r="B820" s="10" t="s">
        <v>44</v>
      </c>
      <c r="C820" s="11" t="s">
        <v>45</v>
      </c>
      <c r="D820" s="10" t="s">
        <v>13</v>
      </c>
      <c r="E820" s="11" t="s">
        <v>116</v>
      </c>
      <c r="F820" s="13">
        <v>3.17</v>
      </c>
      <c r="G820" s="14">
        <v>45079.0</v>
      </c>
      <c r="H820" s="15">
        <f t="shared" si="1"/>
        <v>2</v>
      </c>
      <c r="I820" s="16">
        <f t="shared" si="2"/>
        <v>6</v>
      </c>
      <c r="J820" s="15">
        <f t="shared" si="3"/>
        <v>2023</v>
      </c>
      <c r="K820" s="16">
        <f>STANDARDIZE(F820,'estatística'!$C$2,'estatística'!$H$2)</f>
        <v>0.02367688022</v>
      </c>
    </row>
    <row r="821" ht="15.75" customHeight="1">
      <c r="A821" s="9">
        <v>63.0</v>
      </c>
      <c r="B821" s="10" t="s">
        <v>197</v>
      </c>
      <c r="C821" s="11" t="s">
        <v>198</v>
      </c>
      <c r="D821" s="10" t="s">
        <v>13</v>
      </c>
      <c r="E821" s="11" t="s">
        <v>62</v>
      </c>
      <c r="F821" s="13">
        <v>11.0</v>
      </c>
      <c r="G821" s="14">
        <v>45079.0</v>
      </c>
      <c r="H821" s="15">
        <f t="shared" si="1"/>
        <v>2</v>
      </c>
      <c r="I821" s="16">
        <f t="shared" si="2"/>
        <v>6</v>
      </c>
      <c r="J821" s="15">
        <f t="shared" si="3"/>
        <v>2023</v>
      </c>
      <c r="K821" s="16">
        <f>STANDARDIZE(F821,'estatística'!$C$2,'estatística'!$H$2)</f>
        <v>0.1228159028</v>
      </c>
    </row>
    <row r="822" ht="15.75" customHeight="1">
      <c r="A822" s="9">
        <v>92.0</v>
      </c>
      <c r="B822" s="10" t="s">
        <v>81</v>
      </c>
      <c r="C822" s="11" t="s">
        <v>169</v>
      </c>
      <c r="D822" s="10" t="s">
        <v>17</v>
      </c>
      <c r="E822" s="11" t="s">
        <v>33</v>
      </c>
      <c r="F822" s="13">
        <v>56.59</v>
      </c>
      <c r="G822" s="14">
        <v>45080.0</v>
      </c>
      <c r="H822" s="15">
        <f t="shared" si="1"/>
        <v>3</v>
      </c>
      <c r="I822" s="16">
        <f t="shared" si="2"/>
        <v>6</v>
      </c>
      <c r="J822" s="15">
        <f t="shared" si="3"/>
        <v>2023</v>
      </c>
      <c r="K822" s="16">
        <f>STANDARDIZE(F822,'estatística'!$C$2,'estatística'!$H$2)</f>
        <v>0.7000506457</v>
      </c>
    </row>
    <row r="823" ht="15.75" customHeight="1">
      <c r="A823" s="9">
        <v>51.0</v>
      </c>
      <c r="B823" s="10" t="s">
        <v>205</v>
      </c>
      <c r="C823" s="11" t="s">
        <v>206</v>
      </c>
      <c r="D823" s="10" t="s">
        <v>17</v>
      </c>
      <c r="E823" s="11" t="s">
        <v>68</v>
      </c>
      <c r="F823" s="13">
        <v>10.07</v>
      </c>
      <c r="G823" s="14">
        <v>45080.0</v>
      </c>
      <c r="H823" s="15">
        <f t="shared" si="1"/>
        <v>3</v>
      </c>
      <c r="I823" s="16">
        <f t="shared" si="2"/>
        <v>6</v>
      </c>
      <c r="J823" s="15">
        <f t="shared" si="3"/>
        <v>2023</v>
      </c>
      <c r="K823" s="16">
        <f>STANDARDIZE(F823,'estatística'!$C$2,'estatística'!$H$2)</f>
        <v>0.1110407698</v>
      </c>
    </row>
    <row r="824" ht="15.75" customHeight="1">
      <c r="A824" s="9">
        <v>45.0</v>
      </c>
      <c r="B824" s="10" t="s">
        <v>193</v>
      </c>
      <c r="C824" s="11" t="s">
        <v>194</v>
      </c>
      <c r="D824" s="10" t="s">
        <v>13</v>
      </c>
      <c r="E824" s="11" t="s">
        <v>29</v>
      </c>
      <c r="F824" s="13">
        <v>14.01</v>
      </c>
      <c r="G824" s="14">
        <v>45080.0</v>
      </c>
      <c r="H824" s="15">
        <f t="shared" si="1"/>
        <v>3</v>
      </c>
      <c r="I824" s="16">
        <f t="shared" si="2"/>
        <v>6</v>
      </c>
      <c r="J824" s="15">
        <f t="shared" si="3"/>
        <v>2023</v>
      </c>
      <c r="K824" s="16">
        <f>STANDARDIZE(F824,'estatística'!$C$2,'estatística'!$H$2)</f>
        <v>0.1609268169</v>
      </c>
    </row>
    <row r="825" ht="15.75" customHeight="1">
      <c r="A825" s="9">
        <v>74.0</v>
      </c>
      <c r="B825" s="10" t="s">
        <v>11</v>
      </c>
      <c r="C825" s="11" t="s">
        <v>94</v>
      </c>
      <c r="D825" s="10" t="s">
        <v>17</v>
      </c>
      <c r="E825" s="11" t="s">
        <v>91</v>
      </c>
      <c r="F825" s="13">
        <v>2.54</v>
      </c>
      <c r="G825" s="14">
        <v>45080.0</v>
      </c>
      <c r="H825" s="15">
        <f t="shared" si="1"/>
        <v>3</v>
      </c>
      <c r="I825" s="16">
        <f t="shared" si="2"/>
        <v>6</v>
      </c>
      <c r="J825" s="15">
        <f t="shared" si="3"/>
        <v>2023</v>
      </c>
      <c r="K825" s="16">
        <f>STANDARDIZE(F825,'estatística'!$C$2,'estatística'!$H$2)</f>
        <v>0.01570017726</v>
      </c>
    </row>
    <row r="826" ht="15.75" customHeight="1">
      <c r="A826" s="9">
        <v>42.0</v>
      </c>
      <c r="B826" s="10" t="s">
        <v>60</v>
      </c>
      <c r="C826" s="11" t="s">
        <v>142</v>
      </c>
      <c r="D826" s="10" t="s">
        <v>17</v>
      </c>
      <c r="E826" s="11" t="s">
        <v>65</v>
      </c>
      <c r="F826" s="13">
        <v>36.62</v>
      </c>
      <c r="G826" s="14">
        <v>45080.0</v>
      </c>
      <c r="H826" s="15">
        <f t="shared" si="1"/>
        <v>3</v>
      </c>
      <c r="I826" s="16">
        <f t="shared" si="2"/>
        <v>6</v>
      </c>
      <c r="J826" s="15">
        <f t="shared" si="3"/>
        <v>2023</v>
      </c>
      <c r="K826" s="16">
        <f>STANDARDIZE(F826,'estatística'!$C$2,'estatística'!$H$2)</f>
        <v>0.4472018232</v>
      </c>
    </row>
    <row r="827" ht="15.75" customHeight="1">
      <c r="A827" s="9">
        <v>82.0</v>
      </c>
      <c r="B827" s="10" t="s">
        <v>203</v>
      </c>
      <c r="C827" s="11" t="s">
        <v>204</v>
      </c>
      <c r="D827" s="10" t="s">
        <v>13</v>
      </c>
      <c r="E827" s="11" t="s">
        <v>91</v>
      </c>
      <c r="F827" s="13">
        <v>2.74</v>
      </c>
      <c r="G827" s="14">
        <v>45080.0</v>
      </c>
      <c r="H827" s="15">
        <f t="shared" si="1"/>
        <v>3</v>
      </c>
      <c r="I827" s="16">
        <f t="shared" si="2"/>
        <v>6</v>
      </c>
      <c r="J827" s="15">
        <f t="shared" si="3"/>
        <v>2023</v>
      </c>
      <c r="K827" s="16">
        <f>STANDARDIZE(F827,'estatística'!$C$2,'estatística'!$H$2)</f>
        <v>0.01823246391</v>
      </c>
    </row>
    <row r="828" ht="15.75" customHeight="1">
      <c r="A828" s="9">
        <v>19.0</v>
      </c>
      <c r="B828" s="10" t="s">
        <v>25</v>
      </c>
      <c r="C828" s="11" t="s">
        <v>165</v>
      </c>
      <c r="D828" s="10" t="s">
        <v>17</v>
      </c>
      <c r="E828" s="11" t="s">
        <v>91</v>
      </c>
      <c r="F828" s="13">
        <v>3.75</v>
      </c>
      <c r="G828" s="14">
        <v>45080.0</v>
      </c>
      <c r="H828" s="15">
        <f t="shared" si="1"/>
        <v>3</v>
      </c>
      <c r="I828" s="16">
        <f t="shared" si="2"/>
        <v>6</v>
      </c>
      <c r="J828" s="15">
        <f t="shared" si="3"/>
        <v>2023</v>
      </c>
      <c r="K828" s="16">
        <f>STANDARDIZE(F828,'estatística'!$C$2,'estatística'!$H$2)</f>
        <v>0.03102051152</v>
      </c>
    </row>
    <row r="829" ht="15.75" customHeight="1">
      <c r="A829" s="9">
        <v>72.0</v>
      </c>
      <c r="B829" s="10" t="s">
        <v>103</v>
      </c>
      <c r="C829" s="11" t="s">
        <v>104</v>
      </c>
      <c r="D829" s="10" t="s">
        <v>17</v>
      </c>
      <c r="E829" s="11" t="s">
        <v>116</v>
      </c>
      <c r="F829" s="13">
        <v>3.14</v>
      </c>
      <c r="G829" s="14">
        <v>45080.0</v>
      </c>
      <c r="H829" s="15">
        <f t="shared" si="1"/>
        <v>3</v>
      </c>
      <c r="I829" s="16">
        <f t="shared" si="2"/>
        <v>6</v>
      </c>
      <c r="J829" s="15">
        <f t="shared" si="3"/>
        <v>2023</v>
      </c>
      <c r="K829" s="16">
        <f>STANDARDIZE(F829,'estatística'!$C$2,'estatística'!$H$2)</f>
        <v>0.02329703722</v>
      </c>
    </row>
    <row r="830" ht="15.75" customHeight="1">
      <c r="A830" s="9">
        <v>37.0</v>
      </c>
      <c r="B830" s="10" t="s">
        <v>217</v>
      </c>
      <c r="C830" s="11" t="s">
        <v>218</v>
      </c>
      <c r="D830" s="10" t="s">
        <v>17</v>
      </c>
      <c r="E830" s="11" t="s">
        <v>68</v>
      </c>
      <c r="F830" s="13">
        <v>12.71</v>
      </c>
      <c r="G830" s="14">
        <v>45081.0</v>
      </c>
      <c r="H830" s="15">
        <f t="shared" si="1"/>
        <v>4</v>
      </c>
      <c r="I830" s="16">
        <f t="shared" si="2"/>
        <v>6</v>
      </c>
      <c r="J830" s="15">
        <f t="shared" si="3"/>
        <v>2023</v>
      </c>
      <c r="K830" s="16">
        <f>STANDARDIZE(F830,'estatística'!$C$2,'estatística'!$H$2)</f>
        <v>0.1444669537</v>
      </c>
    </row>
    <row r="831" ht="15.75" customHeight="1">
      <c r="A831" s="9">
        <v>8.0</v>
      </c>
      <c r="B831" s="10" t="s">
        <v>75</v>
      </c>
      <c r="C831" s="11" t="s">
        <v>76</v>
      </c>
      <c r="D831" s="10" t="s">
        <v>13</v>
      </c>
      <c r="E831" s="11" t="s">
        <v>68</v>
      </c>
      <c r="F831" s="13">
        <v>13.83</v>
      </c>
      <c r="G831" s="14">
        <v>45081.0</v>
      </c>
      <c r="H831" s="15">
        <f t="shared" si="1"/>
        <v>4</v>
      </c>
      <c r="I831" s="16">
        <f t="shared" si="2"/>
        <v>6</v>
      </c>
      <c r="J831" s="15">
        <f t="shared" si="3"/>
        <v>2023</v>
      </c>
      <c r="K831" s="16">
        <f>STANDARDIZE(F831,'estatística'!$C$2,'estatística'!$H$2)</f>
        <v>0.1586477589</v>
      </c>
    </row>
    <row r="832" ht="15.75" customHeight="1">
      <c r="A832" s="9">
        <v>59.0</v>
      </c>
      <c r="B832" s="10" t="s">
        <v>71</v>
      </c>
      <c r="C832" s="11" t="s">
        <v>72</v>
      </c>
      <c r="D832" s="10" t="s">
        <v>17</v>
      </c>
      <c r="E832" s="11" t="s">
        <v>77</v>
      </c>
      <c r="F832" s="13">
        <v>11.98</v>
      </c>
      <c r="G832" s="14">
        <v>45081.0</v>
      </c>
      <c r="H832" s="15">
        <f t="shared" si="1"/>
        <v>4</v>
      </c>
      <c r="I832" s="16">
        <f t="shared" si="2"/>
        <v>6</v>
      </c>
      <c r="J832" s="15">
        <f t="shared" si="3"/>
        <v>2023</v>
      </c>
      <c r="K832" s="16">
        <f>STANDARDIZE(F832,'estatística'!$C$2,'estatística'!$H$2)</f>
        <v>0.1352241074</v>
      </c>
    </row>
    <row r="833" ht="15.75" customHeight="1">
      <c r="A833" s="9">
        <v>83.0</v>
      </c>
      <c r="B833" s="10" t="s">
        <v>66</v>
      </c>
      <c r="C833" s="11" t="s">
        <v>67</v>
      </c>
      <c r="D833" s="10" t="s">
        <v>17</v>
      </c>
      <c r="E833" s="11" t="s">
        <v>107</v>
      </c>
      <c r="F833" s="13">
        <v>30.05</v>
      </c>
      <c r="G833" s="14">
        <v>45081.0</v>
      </c>
      <c r="H833" s="15">
        <f t="shared" si="1"/>
        <v>4</v>
      </c>
      <c r="I833" s="16">
        <f t="shared" si="2"/>
        <v>6</v>
      </c>
      <c r="J833" s="15">
        <f t="shared" si="3"/>
        <v>2023</v>
      </c>
      <c r="K833" s="16">
        <f>STANDARDIZE(F833,'estatística'!$C$2,'estatística'!$H$2)</f>
        <v>0.3640162066</v>
      </c>
    </row>
    <row r="834" ht="15.75" customHeight="1">
      <c r="A834" s="9">
        <v>43.0</v>
      </c>
      <c r="B834" s="10" t="s">
        <v>63</v>
      </c>
      <c r="C834" s="11" t="s">
        <v>64</v>
      </c>
      <c r="D834" s="10" t="s">
        <v>13</v>
      </c>
      <c r="E834" s="11" t="s">
        <v>18</v>
      </c>
      <c r="F834" s="13">
        <v>44.68</v>
      </c>
      <c r="G834" s="14">
        <v>45081.0</v>
      </c>
      <c r="H834" s="15">
        <f t="shared" si="1"/>
        <v>4</v>
      </c>
      <c r="I834" s="16">
        <f t="shared" si="2"/>
        <v>6</v>
      </c>
      <c r="J834" s="15">
        <f t="shared" si="3"/>
        <v>2023</v>
      </c>
      <c r="K834" s="16">
        <f>STANDARDIZE(F834,'estatística'!$C$2,'estatística'!$H$2)</f>
        <v>0.5492529754</v>
      </c>
    </row>
    <row r="835" ht="15.75" customHeight="1">
      <c r="A835" s="9">
        <v>30.0</v>
      </c>
      <c r="B835" s="10" t="s">
        <v>11</v>
      </c>
      <c r="C835" s="11" t="s">
        <v>12</v>
      </c>
      <c r="D835" s="10" t="s">
        <v>13</v>
      </c>
      <c r="E835" s="11" t="s">
        <v>65</v>
      </c>
      <c r="F835" s="13">
        <v>29.61</v>
      </c>
      <c r="G835" s="14">
        <v>45081.0</v>
      </c>
      <c r="H835" s="15">
        <f t="shared" si="1"/>
        <v>4</v>
      </c>
      <c r="I835" s="16">
        <f t="shared" si="2"/>
        <v>6</v>
      </c>
      <c r="J835" s="15">
        <f t="shared" si="3"/>
        <v>2023</v>
      </c>
      <c r="K835" s="16">
        <f>STANDARDIZE(F835,'estatística'!$C$2,'estatística'!$H$2)</f>
        <v>0.358445176</v>
      </c>
    </row>
    <row r="836" ht="15.75" customHeight="1">
      <c r="A836" s="9">
        <v>53.0</v>
      </c>
      <c r="B836" s="10" t="s">
        <v>213</v>
      </c>
      <c r="C836" s="11" t="s">
        <v>214</v>
      </c>
      <c r="D836" s="10" t="s">
        <v>13</v>
      </c>
      <c r="E836" s="11" t="s">
        <v>57</v>
      </c>
      <c r="F836" s="13">
        <v>16.0</v>
      </c>
      <c r="G836" s="14">
        <v>45081.0</v>
      </c>
      <c r="H836" s="15">
        <f t="shared" si="1"/>
        <v>4</v>
      </c>
      <c r="I836" s="16">
        <f t="shared" si="2"/>
        <v>6</v>
      </c>
      <c r="J836" s="15">
        <f t="shared" si="3"/>
        <v>2023</v>
      </c>
      <c r="K836" s="16">
        <f>STANDARDIZE(F836,'estatística'!$C$2,'estatística'!$H$2)</f>
        <v>0.1861230691</v>
      </c>
    </row>
    <row r="837" ht="15.75" customHeight="1">
      <c r="A837" s="9">
        <v>28.0</v>
      </c>
      <c r="B837" s="10" t="s">
        <v>49</v>
      </c>
      <c r="C837" s="11" t="s">
        <v>50</v>
      </c>
      <c r="D837" s="10" t="s">
        <v>17</v>
      </c>
      <c r="E837" s="11" t="s">
        <v>91</v>
      </c>
      <c r="F837" s="13">
        <v>1.76</v>
      </c>
      <c r="G837" s="14">
        <v>45081.0</v>
      </c>
      <c r="H837" s="15">
        <f t="shared" si="1"/>
        <v>4</v>
      </c>
      <c r="I837" s="16">
        <f t="shared" si="2"/>
        <v>6</v>
      </c>
      <c r="J837" s="15">
        <f t="shared" si="3"/>
        <v>2023</v>
      </c>
      <c r="K837" s="16">
        <f>STANDARDIZE(F837,'estatística'!$C$2,'estatística'!$H$2)</f>
        <v>0.005824259306</v>
      </c>
    </row>
    <row r="838" ht="15.75" customHeight="1">
      <c r="A838" s="9">
        <v>80.0</v>
      </c>
      <c r="B838" s="10" t="s">
        <v>22</v>
      </c>
      <c r="C838" s="11" t="s">
        <v>23</v>
      </c>
      <c r="D838" s="10" t="s">
        <v>17</v>
      </c>
      <c r="E838" s="11" t="s">
        <v>62</v>
      </c>
      <c r="F838" s="13">
        <v>11.23</v>
      </c>
      <c r="G838" s="14">
        <v>45082.0</v>
      </c>
      <c r="H838" s="15">
        <f t="shared" si="1"/>
        <v>5</v>
      </c>
      <c r="I838" s="16">
        <f t="shared" si="2"/>
        <v>6</v>
      </c>
      <c r="J838" s="15">
        <f t="shared" si="3"/>
        <v>2023</v>
      </c>
      <c r="K838" s="16">
        <f>STANDARDIZE(F838,'estatística'!$C$2,'estatística'!$H$2)</f>
        <v>0.1257280324</v>
      </c>
    </row>
    <row r="839" ht="15.75" customHeight="1">
      <c r="A839" s="9">
        <v>10.0</v>
      </c>
      <c r="B839" s="10" t="s">
        <v>120</v>
      </c>
      <c r="C839" s="11" t="s">
        <v>121</v>
      </c>
      <c r="D839" s="10" t="s">
        <v>13</v>
      </c>
      <c r="E839" s="11" t="s">
        <v>33</v>
      </c>
      <c r="F839" s="13">
        <v>48.79</v>
      </c>
      <c r="G839" s="14">
        <v>45082.0</v>
      </c>
      <c r="H839" s="15">
        <f t="shared" si="1"/>
        <v>5</v>
      </c>
      <c r="I839" s="16">
        <f t="shared" si="2"/>
        <v>6</v>
      </c>
      <c r="J839" s="15">
        <f t="shared" si="3"/>
        <v>2023</v>
      </c>
      <c r="K839" s="16">
        <f>STANDARDIZE(F839,'estatística'!$C$2,'estatística'!$H$2)</f>
        <v>0.6012914662</v>
      </c>
    </row>
    <row r="840" ht="15.75" customHeight="1">
      <c r="A840" s="9">
        <v>68.0</v>
      </c>
      <c r="B840" s="10" t="s">
        <v>25</v>
      </c>
      <c r="C840" s="11" t="s">
        <v>26</v>
      </c>
      <c r="D840" s="10" t="s">
        <v>17</v>
      </c>
      <c r="E840" s="11" t="s">
        <v>57</v>
      </c>
      <c r="F840" s="13">
        <v>18.72</v>
      </c>
      <c r="G840" s="14">
        <v>45082.0</v>
      </c>
      <c r="H840" s="15">
        <f t="shared" si="1"/>
        <v>5</v>
      </c>
      <c r="I840" s="16">
        <f t="shared" si="2"/>
        <v>6</v>
      </c>
      <c r="J840" s="15">
        <f t="shared" si="3"/>
        <v>2023</v>
      </c>
      <c r="K840" s="16">
        <f>STANDARDIZE(F840,'estatística'!$C$2,'estatística'!$H$2)</f>
        <v>0.2205621676</v>
      </c>
    </row>
    <row r="841" ht="15.75" customHeight="1">
      <c r="A841" s="9">
        <v>67.0</v>
      </c>
      <c r="B841" s="10" t="s">
        <v>176</v>
      </c>
      <c r="C841" s="11" t="s">
        <v>177</v>
      </c>
      <c r="D841" s="10" t="s">
        <v>17</v>
      </c>
      <c r="E841" s="11" t="s">
        <v>91</v>
      </c>
      <c r="F841" s="13">
        <v>3.73</v>
      </c>
      <c r="G841" s="14">
        <v>45082.0</v>
      </c>
      <c r="H841" s="15">
        <f t="shared" si="1"/>
        <v>5</v>
      </c>
      <c r="I841" s="16">
        <f t="shared" si="2"/>
        <v>6</v>
      </c>
      <c r="J841" s="15">
        <f t="shared" si="3"/>
        <v>2023</v>
      </c>
      <c r="K841" s="16">
        <f>STANDARDIZE(F841,'estatística'!$C$2,'estatística'!$H$2)</f>
        <v>0.03076728286</v>
      </c>
    </row>
    <row r="842" ht="15.75" customHeight="1">
      <c r="A842" s="9">
        <v>92.0</v>
      </c>
      <c r="B842" s="10" t="s">
        <v>81</v>
      </c>
      <c r="C842" s="11" t="s">
        <v>169</v>
      </c>
      <c r="D842" s="10" t="s">
        <v>17</v>
      </c>
      <c r="E842" s="11" t="s">
        <v>18</v>
      </c>
      <c r="F842" s="13">
        <v>36.81</v>
      </c>
      <c r="G842" s="14">
        <v>45082.0</v>
      </c>
      <c r="H842" s="15">
        <f t="shared" si="1"/>
        <v>5</v>
      </c>
      <c r="I842" s="16">
        <f t="shared" si="2"/>
        <v>6</v>
      </c>
      <c r="J842" s="15">
        <f t="shared" si="3"/>
        <v>2023</v>
      </c>
      <c r="K842" s="16">
        <f>STANDARDIZE(F842,'estatística'!$C$2,'estatística'!$H$2)</f>
        <v>0.4496074956</v>
      </c>
    </row>
    <row r="843" ht="15.75" customHeight="1">
      <c r="A843" s="9">
        <v>51.0</v>
      </c>
      <c r="B843" s="10" t="s">
        <v>205</v>
      </c>
      <c r="C843" s="11" t="s">
        <v>206</v>
      </c>
      <c r="D843" s="10" t="s">
        <v>13</v>
      </c>
      <c r="E843" s="11" t="s">
        <v>36</v>
      </c>
      <c r="F843" s="13">
        <v>60.55</v>
      </c>
      <c r="G843" s="14">
        <v>45082.0</v>
      </c>
      <c r="H843" s="15">
        <f t="shared" si="1"/>
        <v>5</v>
      </c>
      <c r="I843" s="16">
        <f t="shared" si="2"/>
        <v>6</v>
      </c>
      <c r="J843" s="15">
        <f t="shared" si="3"/>
        <v>2023</v>
      </c>
      <c r="K843" s="16">
        <f>STANDARDIZE(F843,'estatística'!$C$2,'estatística'!$H$2)</f>
        <v>0.7501899215</v>
      </c>
    </row>
    <row r="844" ht="15.75" customHeight="1">
      <c r="A844" s="9">
        <v>74.0</v>
      </c>
      <c r="B844" s="10" t="s">
        <v>11</v>
      </c>
      <c r="C844" s="11" t="s">
        <v>94</v>
      </c>
      <c r="D844" s="10" t="s">
        <v>13</v>
      </c>
      <c r="E844" s="11" t="s">
        <v>91</v>
      </c>
      <c r="F844" s="13">
        <v>2.81</v>
      </c>
      <c r="G844" s="14">
        <v>45082.0</v>
      </c>
      <c r="H844" s="15">
        <f t="shared" si="1"/>
        <v>5</v>
      </c>
      <c r="I844" s="16">
        <f t="shared" si="2"/>
        <v>6</v>
      </c>
      <c r="J844" s="15">
        <f t="shared" si="3"/>
        <v>2023</v>
      </c>
      <c r="K844" s="16">
        <f>STANDARDIZE(F844,'estatística'!$C$2,'estatística'!$H$2)</f>
        <v>0.01911876424</v>
      </c>
    </row>
    <row r="845" ht="15.75" customHeight="1">
      <c r="A845" s="9">
        <v>42.0</v>
      </c>
      <c r="B845" s="10" t="s">
        <v>60</v>
      </c>
      <c r="C845" s="11" t="s">
        <v>142</v>
      </c>
      <c r="D845" s="10" t="s">
        <v>17</v>
      </c>
      <c r="E845" s="11" t="s">
        <v>14</v>
      </c>
      <c r="F845" s="13">
        <v>10.59</v>
      </c>
      <c r="G845" s="14">
        <v>45082.0</v>
      </c>
      <c r="H845" s="15">
        <f t="shared" si="1"/>
        <v>5</v>
      </c>
      <c r="I845" s="16">
        <f t="shared" si="2"/>
        <v>6</v>
      </c>
      <c r="J845" s="15">
        <f t="shared" si="3"/>
        <v>2023</v>
      </c>
      <c r="K845" s="16">
        <f>STANDARDIZE(F845,'estatística'!$C$2,'estatística'!$H$2)</f>
        <v>0.1176247151</v>
      </c>
    </row>
    <row r="846" ht="15.75" customHeight="1">
      <c r="A846" s="9">
        <v>76.0</v>
      </c>
      <c r="B846" s="10" t="s">
        <v>185</v>
      </c>
      <c r="C846" s="11" t="s">
        <v>186</v>
      </c>
      <c r="D846" s="10" t="s">
        <v>13</v>
      </c>
      <c r="E846" s="11" t="s">
        <v>24</v>
      </c>
      <c r="F846" s="13">
        <v>39.8</v>
      </c>
      <c r="G846" s="14">
        <v>45082.0</v>
      </c>
      <c r="H846" s="15">
        <f t="shared" si="1"/>
        <v>5</v>
      </c>
      <c r="I846" s="16">
        <f t="shared" si="2"/>
        <v>6</v>
      </c>
      <c r="J846" s="15">
        <f t="shared" si="3"/>
        <v>2023</v>
      </c>
      <c r="K846" s="16">
        <f>STANDARDIZE(F846,'estatística'!$C$2,'estatística'!$H$2)</f>
        <v>0.4874651811</v>
      </c>
    </row>
    <row r="847" ht="15.75" customHeight="1">
      <c r="A847" s="9">
        <v>17.0</v>
      </c>
      <c r="B847" s="10" t="s">
        <v>172</v>
      </c>
      <c r="C847" s="11" t="s">
        <v>173</v>
      </c>
      <c r="D847" s="10" t="s">
        <v>13</v>
      </c>
      <c r="E847" s="11" t="s">
        <v>116</v>
      </c>
      <c r="F847" s="13">
        <v>2.71</v>
      </c>
      <c r="G847" s="14">
        <v>45082.0</v>
      </c>
      <c r="H847" s="15">
        <f t="shared" si="1"/>
        <v>5</v>
      </c>
      <c r="I847" s="16">
        <f t="shared" si="2"/>
        <v>6</v>
      </c>
      <c r="J847" s="15">
        <f t="shared" si="3"/>
        <v>2023</v>
      </c>
      <c r="K847" s="16">
        <f>STANDARDIZE(F847,'estatística'!$C$2,'estatística'!$H$2)</f>
        <v>0.01785262092</v>
      </c>
    </row>
    <row r="848" ht="15.75" customHeight="1">
      <c r="A848" s="9">
        <v>27.0</v>
      </c>
      <c r="B848" s="10" t="s">
        <v>145</v>
      </c>
      <c r="C848" s="11" t="s">
        <v>146</v>
      </c>
      <c r="D848" s="10" t="s">
        <v>17</v>
      </c>
      <c r="E848" s="11" t="s">
        <v>24</v>
      </c>
      <c r="F848" s="13">
        <v>18.64</v>
      </c>
      <c r="G848" s="14">
        <v>45083.0</v>
      </c>
      <c r="H848" s="15">
        <f t="shared" si="1"/>
        <v>6</v>
      </c>
      <c r="I848" s="16">
        <f t="shared" si="2"/>
        <v>6</v>
      </c>
      <c r="J848" s="15">
        <f t="shared" si="3"/>
        <v>2023</v>
      </c>
      <c r="K848" s="16">
        <f>STANDARDIZE(F848,'estatística'!$C$2,'estatística'!$H$2)</f>
        <v>0.219549253</v>
      </c>
    </row>
    <row r="849" ht="15.75" customHeight="1">
      <c r="A849" s="9">
        <v>92.0</v>
      </c>
      <c r="B849" s="10" t="s">
        <v>81</v>
      </c>
      <c r="C849" s="11" t="s">
        <v>169</v>
      </c>
      <c r="D849" s="10" t="s">
        <v>13</v>
      </c>
      <c r="E849" s="11" t="s">
        <v>116</v>
      </c>
      <c r="F849" s="13">
        <v>4.61</v>
      </c>
      <c r="G849" s="14">
        <v>45083.0</v>
      </c>
      <c r="H849" s="15">
        <f t="shared" si="1"/>
        <v>6</v>
      </c>
      <c r="I849" s="16">
        <f t="shared" si="2"/>
        <v>6</v>
      </c>
      <c r="J849" s="15">
        <f t="shared" si="3"/>
        <v>2023</v>
      </c>
      <c r="K849" s="16">
        <f>STANDARDIZE(F849,'estatística'!$C$2,'estatística'!$H$2)</f>
        <v>0.04190934414</v>
      </c>
    </row>
    <row r="850" ht="15.75" customHeight="1">
      <c r="A850" s="9">
        <v>84.0</v>
      </c>
      <c r="B850" s="10" t="s">
        <v>112</v>
      </c>
      <c r="C850" s="11" t="s">
        <v>113</v>
      </c>
      <c r="D850" s="10" t="s">
        <v>13</v>
      </c>
      <c r="E850" s="11" t="s">
        <v>21</v>
      </c>
      <c r="F850" s="13">
        <v>21.47</v>
      </c>
      <c r="G850" s="14">
        <v>45083.0</v>
      </c>
      <c r="H850" s="15">
        <f t="shared" si="1"/>
        <v>6</v>
      </c>
      <c r="I850" s="16">
        <f t="shared" si="2"/>
        <v>6</v>
      </c>
      <c r="J850" s="15">
        <f t="shared" si="3"/>
        <v>2023</v>
      </c>
      <c r="K850" s="16">
        <f>STANDARDIZE(F850,'estatística'!$C$2,'estatística'!$H$2)</f>
        <v>0.2553811091</v>
      </c>
    </row>
    <row r="851" ht="15.75" customHeight="1">
      <c r="A851" s="9">
        <v>29.0</v>
      </c>
      <c r="B851" s="10" t="s">
        <v>92</v>
      </c>
      <c r="C851" s="11" t="s">
        <v>93</v>
      </c>
      <c r="D851" s="10" t="s">
        <v>17</v>
      </c>
      <c r="E851" s="11" t="s">
        <v>77</v>
      </c>
      <c r="F851" s="13">
        <v>15.51</v>
      </c>
      <c r="G851" s="14">
        <v>45083.0</v>
      </c>
      <c r="H851" s="15">
        <f t="shared" si="1"/>
        <v>6</v>
      </c>
      <c r="I851" s="16">
        <f t="shared" si="2"/>
        <v>6</v>
      </c>
      <c r="J851" s="15">
        <f t="shared" si="3"/>
        <v>2023</v>
      </c>
      <c r="K851" s="16">
        <f>STANDARDIZE(F851,'estatística'!$C$2,'estatística'!$H$2)</f>
        <v>0.1799189668</v>
      </c>
    </row>
    <row r="852" ht="15.75" customHeight="1">
      <c r="A852" s="9">
        <v>62.0</v>
      </c>
      <c r="B852" s="10" t="s">
        <v>128</v>
      </c>
      <c r="C852" s="11" t="s">
        <v>129</v>
      </c>
      <c r="D852" s="10" t="s">
        <v>13</v>
      </c>
      <c r="E852" s="11" t="s">
        <v>14</v>
      </c>
      <c r="F852" s="13">
        <v>10.75</v>
      </c>
      <c r="G852" s="14">
        <v>45083.0</v>
      </c>
      <c r="H852" s="15">
        <f t="shared" si="1"/>
        <v>6</v>
      </c>
      <c r="I852" s="16">
        <f t="shared" si="2"/>
        <v>6</v>
      </c>
      <c r="J852" s="15">
        <f t="shared" si="3"/>
        <v>2023</v>
      </c>
      <c r="K852" s="16">
        <f>STANDARDIZE(F852,'estatística'!$C$2,'estatística'!$H$2)</f>
        <v>0.1196505444</v>
      </c>
    </row>
    <row r="853" ht="15.75" customHeight="1">
      <c r="A853" s="9">
        <v>88.0</v>
      </c>
      <c r="B853" s="10" t="s">
        <v>172</v>
      </c>
      <c r="C853" s="11" t="s">
        <v>178</v>
      </c>
      <c r="D853" s="10" t="s">
        <v>17</v>
      </c>
      <c r="E853" s="11" t="s">
        <v>18</v>
      </c>
      <c r="F853" s="13">
        <v>51.35</v>
      </c>
      <c r="G853" s="14">
        <v>45083.0</v>
      </c>
      <c r="H853" s="15">
        <f t="shared" si="1"/>
        <v>6</v>
      </c>
      <c r="I853" s="16">
        <f t="shared" si="2"/>
        <v>6</v>
      </c>
      <c r="J853" s="15">
        <f t="shared" si="3"/>
        <v>2023</v>
      </c>
      <c r="K853" s="16">
        <f>STANDARDIZE(F853,'estatística'!$C$2,'estatística'!$H$2)</f>
        <v>0.6337047354</v>
      </c>
    </row>
    <row r="854" ht="15.75" customHeight="1">
      <c r="A854" s="9">
        <v>89.0</v>
      </c>
      <c r="B854" s="10" t="s">
        <v>105</v>
      </c>
      <c r="C854" s="11" t="s">
        <v>106</v>
      </c>
      <c r="D854" s="10" t="s">
        <v>17</v>
      </c>
      <c r="E854" s="11" t="s">
        <v>21</v>
      </c>
      <c r="F854" s="13">
        <v>16.57</v>
      </c>
      <c r="G854" s="14">
        <v>45084.0</v>
      </c>
      <c r="H854" s="15">
        <f t="shared" si="1"/>
        <v>7</v>
      </c>
      <c r="I854" s="16">
        <f t="shared" si="2"/>
        <v>6</v>
      </c>
      <c r="J854" s="15">
        <f t="shared" si="3"/>
        <v>2023</v>
      </c>
      <c r="K854" s="16">
        <f>STANDARDIZE(F854,'estatística'!$C$2,'estatística'!$H$2)</f>
        <v>0.1933400861</v>
      </c>
    </row>
    <row r="855" ht="15.75" customHeight="1">
      <c r="A855" s="9">
        <v>39.0</v>
      </c>
      <c r="B855" s="10" t="s">
        <v>58</v>
      </c>
      <c r="C855" s="11" t="s">
        <v>59</v>
      </c>
      <c r="D855" s="10" t="s">
        <v>13</v>
      </c>
      <c r="E855" s="11" t="s">
        <v>91</v>
      </c>
      <c r="F855" s="13">
        <v>2.85</v>
      </c>
      <c r="G855" s="14">
        <v>45084.0</v>
      </c>
      <c r="H855" s="15">
        <f t="shared" si="1"/>
        <v>7</v>
      </c>
      <c r="I855" s="16">
        <f t="shared" si="2"/>
        <v>6</v>
      </c>
      <c r="J855" s="15">
        <f t="shared" si="3"/>
        <v>2023</v>
      </c>
      <c r="K855" s="16">
        <f>STANDARDIZE(F855,'estatística'!$C$2,'estatística'!$H$2)</f>
        <v>0.01962522158</v>
      </c>
    </row>
    <row r="856" ht="15.75" customHeight="1">
      <c r="A856" s="9">
        <v>21.0</v>
      </c>
      <c r="B856" s="10" t="s">
        <v>158</v>
      </c>
      <c r="C856" s="11" t="s">
        <v>159</v>
      </c>
      <c r="D856" s="10" t="s">
        <v>17</v>
      </c>
      <c r="E856" s="11" t="s">
        <v>29</v>
      </c>
      <c r="F856" s="13">
        <v>12.5</v>
      </c>
      <c r="G856" s="14">
        <v>45084.0</v>
      </c>
      <c r="H856" s="15">
        <f t="shared" si="1"/>
        <v>7</v>
      </c>
      <c r="I856" s="16">
        <f t="shared" si="2"/>
        <v>6</v>
      </c>
      <c r="J856" s="15">
        <f t="shared" si="3"/>
        <v>2023</v>
      </c>
      <c r="K856" s="16">
        <f>STANDARDIZE(F856,'estatística'!$C$2,'estatística'!$H$2)</f>
        <v>0.1418080527</v>
      </c>
    </row>
    <row r="857" ht="15.75" customHeight="1">
      <c r="A857" s="9">
        <v>73.0</v>
      </c>
      <c r="B857" s="10" t="s">
        <v>195</v>
      </c>
      <c r="C857" s="11" t="s">
        <v>196</v>
      </c>
      <c r="D857" s="10" t="s">
        <v>17</v>
      </c>
      <c r="E857" s="11" t="s">
        <v>36</v>
      </c>
      <c r="F857" s="13">
        <v>68.76</v>
      </c>
      <c r="G857" s="14">
        <v>45084.0</v>
      </c>
      <c r="H857" s="15">
        <f t="shared" si="1"/>
        <v>7</v>
      </c>
      <c r="I857" s="16">
        <f t="shared" si="2"/>
        <v>6</v>
      </c>
      <c r="J857" s="15">
        <f t="shared" si="3"/>
        <v>2023</v>
      </c>
      <c r="K857" s="16">
        <f>STANDARDIZE(F857,'estatística'!$C$2,'estatística'!$H$2)</f>
        <v>0.8541402887</v>
      </c>
    </row>
    <row r="858" ht="15.75" customHeight="1">
      <c r="A858" s="9">
        <v>25.0</v>
      </c>
      <c r="B858" s="10" t="s">
        <v>126</v>
      </c>
      <c r="C858" s="11" t="s">
        <v>127</v>
      </c>
      <c r="D858" s="10" t="s">
        <v>17</v>
      </c>
      <c r="E858" s="11" t="s">
        <v>18</v>
      </c>
      <c r="F858" s="13">
        <v>47.73</v>
      </c>
      <c r="G858" s="14">
        <v>45084.0</v>
      </c>
      <c r="H858" s="15">
        <f t="shared" si="1"/>
        <v>7</v>
      </c>
      <c r="I858" s="16">
        <f t="shared" si="2"/>
        <v>6</v>
      </c>
      <c r="J858" s="15">
        <f t="shared" si="3"/>
        <v>2023</v>
      </c>
      <c r="K858" s="16">
        <f>STANDARDIZE(F858,'estatística'!$C$2,'estatística'!$H$2)</f>
        <v>0.5878703469</v>
      </c>
    </row>
    <row r="859" ht="15.75" customHeight="1">
      <c r="A859" s="9">
        <v>56.0</v>
      </c>
      <c r="B859" s="10" t="s">
        <v>97</v>
      </c>
      <c r="C859" s="11" t="s">
        <v>98</v>
      </c>
      <c r="D859" s="10" t="s">
        <v>13</v>
      </c>
      <c r="E859" s="11" t="s">
        <v>29</v>
      </c>
      <c r="F859" s="13">
        <v>12.05</v>
      </c>
      <c r="G859" s="14">
        <v>45084.0</v>
      </c>
      <c r="H859" s="15">
        <f t="shared" si="1"/>
        <v>7</v>
      </c>
      <c r="I859" s="16">
        <f t="shared" si="2"/>
        <v>6</v>
      </c>
      <c r="J859" s="15">
        <f t="shared" si="3"/>
        <v>2023</v>
      </c>
      <c r="K859" s="16">
        <f>STANDARDIZE(F859,'estatística'!$C$2,'estatística'!$H$2)</f>
        <v>0.1361104077</v>
      </c>
    </row>
    <row r="860" ht="15.75" customHeight="1">
      <c r="A860" s="9">
        <v>70.0</v>
      </c>
      <c r="B860" s="10" t="s">
        <v>124</v>
      </c>
      <c r="C860" s="11" t="s">
        <v>125</v>
      </c>
      <c r="D860" s="10" t="s">
        <v>13</v>
      </c>
      <c r="E860" s="11" t="s">
        <v>14</v>
      </c>
      <c r="F860" s="13">
        <v>10.43</v>
      </c>
      <c r="G860" s="14">
        <v>45085.0</v>
      </c>
      <c r="H860" s="15">
        <f t="shared" si="1"/>
        <v>8</v>
      </c>
      <c r="I860" s="16">
        <f t="shared" si="2"/>
        <v>6</v>
      </c>
      <c r="J860" s="15">
        <f t="shared" si="3"/>
        <v>2023</v>
      </c>
      <c r="K860" s="16">
        <f>STANDARDIZE(F860,'estatística'!$C$2,'estatística'!$H$2)</f>
        <v>0.1155988858</v>
      </c>
    </row>
    <row r="861" ht="15.75" customHeight="1">
      <c r="A861" s="9">
        <v>84.0</v>
      </c>
      <c r="B861" s="10" t="s">
        <v>112</v>
      </c>
      <c r="C861" s="11" t="s">
        <v>113</v>
      </c>
      <c r="D861" s="10" t="s">
        <v>17</v>
      </c>
      <c r="E861" s="11" t="s">
        <v>21</v>
      </c>
      <c r="F861" s="13">
        <v>14.66</v>
      </c>
      <c r="G861" s="14">
        <v>45085.0</v>
      </c>
      <c r="H861" s="15">
        <f t="shared" si="1"/>
        <v>8</v>
      </c>
      <c r="I861" s="16">
        <f t="shared" si="2"/>
        <v>6</v>
      </c>
      <c r="J861" s="15">
        <f t="shared" si="3"/>
        <v>2023</v>
      </c>
      <c r="K861" s="16">
        <f>STANDARDIZE(F861,'estatística'!$C$2,'estatística'!$H$2)</f>
        <v>0.1691567485</v>
      </c>
    </row>
    <row r="862" ht="15.75" customHeight="1">
      <c r="A862" s="9">
        <v>62.0</v>
      </c>
      <c r="B862" s="10" t="s">
        <v>128</v>
      </c>
      <c r="C862" s="11" t="s">
        <v>129</v>
      </c>
      <c r="D862" s="10" t="s">
        <v>13</v>
      </c>
      <c r="E862" s="11" t="s">
        <v>29</v>
      </c>
      <c r="F862" s="13">
        <v>12.21</v>
      </c>
      <c r="G862" s="14">
        <v>45085.0</v>
      </c>
      <c r="H862" s="15">
        <f t="shared" si="1"/>
        <v>8</v>
      </c>
      <c r="I862" s="16">
        <f t="shared" si="2"/>
        <v>6</v>
      </c>
      <c r="J862" s="15">
        <f t="shared" si="3"/>
        <v>2023</v>
      </c>
      <c r="K862" s="16">
        <f>STANDARDIZE(F862,'estatística'!$C$2,'estatística'!$H$2)</f>
        <v>0.138136237</v>
      </c>
    </row>
    <row r="863" ht="15.75" customHeight="1">
      <c r="A863" s="9">
        <v>97.0</v>
      </c>
      <c r="B863" s="10" t="s">
        <v>44</v>
      </c>
      <c r="C863" s="11" t="s">
        <v>45</v>
      </c>
      <c r="D863" s="10" t="s">
        <v>13</v>
      </c>
      <c r="E863" s="11" t="s">
        <v>68</v>
      </c>
      <c r="F863" s="13">
        <v>12.1</v>
      </c>
      <c r="G863" s="14">
        <v>45085.0</v>
      </c>
      <c r="H863" s="15">
        <f t="shared" si="1"/>
        <v>8</v>
      </c>
      <c r="I863" s="16">
        <f t="shared" si="2"/>
        <v>6</v>
      </c>
      <c r="J863" s="15">
        <f t="shared" si="3"/>
        <v>2023</v>
      </c>
      <c r="K863" s="16">
        <f>STANDARDIZE(F863,'estatística'!$C$2,'estatística'!$H$2)</f>
        <v>0.1367434794</v>
      </c>
    </row>
    <row r="864" ht="15.75" customHeight="1">
      <c r="A864" s="9">
        <v>35.0</v>
      </c>
      <c r="B864" s="10" t="s">
        <v>95</v>
      </c>
      <c r="C864" s="11" t="s">
        <v>96</v>
      </c>
      <c r="D864" s="10" t="s">
        <v>17</v>
      </c>
      <c r="E864" s="11" t="s">
        <v>91</v>
      </c>
      <c r="F864" s="13">
        <v>3.71</v>
      </c>
      <c r="G864" s="14">
        <v>45085.0</v>
      </c>
      <c r="H864" s="15">
        <f t="shared" si="1"/>
        <v>8</v>
      </c>
      <c r="I864" s="16">
        <f t="shared" si="2"/>
        <v>6</v>
      </c>
      <c r="J864" s="15">
        <f t="shared" si="3"/>
        <v>2023</v>
      </c>
      <c r="K864" s="16">
        <f>STANDARDIZE(F864,'estatística'!$C$2,'estatística'!$H$2)</f>
        <v>0.03051405419</v>
      </c>
    </row>
    <row r="865" ht="15.75" customHeight="1">
      <c r="A865" s="9">
        <v>23.0</v>
      </c>
      <c r="B865" s="10" t="s">
        <v>207</v>
      </c>
      <c r="C865" s="11" t="s">
        <v>208</v>
      </c>
      <c r="D865" s="10" t="s">
        <v>17</v>
      </c>
      <c r="E865" s="11" t="s">
        <v>29</v>
      </c>
      <c r="F865" s="13">
        <v>13.6</v>
      </c>
      <c r="G865" s="14">
        <v>45085.0</v>
      </c>
      <c r="H865" s="15">
        <f t="shared" si="1"/>
        <v>8</v>
      </c>
      <c r="I865" s="16">
        <f t="shared" si="2"/>
        <v>6</v>
      </c>
      <c r="J865" s="15">
        <f t="shared" si="3"/>
        <v>2023</v>
      </c>
      <c r="K865" s="16">
        <f>STANDARDIZE(F865,'estatística'!$C$2,'estatística'!$H$2)</f>
        <v>0.1557356293</v>
      </c>
    </row>
    <row r="866" ht="15.75" customHeight="1">
      <c r="A866" s="9">
        <v>66.0</v>
      </c>
      <c r="B866" s="10" t="s">
        <v>122</v>
      </c>
      <c r="C866" s="11" t="s">
        <v>130</v>
      </c>
      <c r="D866" s="10" t="s">
        <v>13</v>
      </c>
      <c r="E866" s="11" t="s">
        <v>21</v>
      </c>
      <c r="F866" s="13">
        <v>19.72</v>
      </c>
      <c r="G866" s="14">
        <v>45086.0</v>
      </c>
      <c r="H866" s="15">
        <f t="shared" si="1"/>
        <v>9</v>
      </c>
      <c r="I866" s="16">
        <f t="shared" si="2"/>
        <v>6</v>
      </c>
      <c r="J866" s="15">
        <f t="shared" si="3"/>
        <v>2023</v>
      </c>
      <c r="K866" s="16">
        <f>STANDARDIZE(F866,'estatística'!$C$2,'estatística'!$H$2)</f>
        <v>0.2332236009</v>
      </c>
    </row>
    <row r="867" ht="15.75" customHeight="1">
      <c r="A867" s="9">
        <v>67.0</v>
      </c>
      <c r="B867" s="10" t="s">
        <v>176</v>
      </c>
      <c r="C867" s="11" t="s">
        <v>177</v>
      </c>
      <c r="D867" s="10" t="s">
        <v>13</v>
      </c>
      <c r="E867" s="11" t="s">
        <v>29</v>
      </c>
      <c r="F867" s="13">
        <v>15.08</v>
      </c>
      <c r="G867" s="14">
        <v>45086.0</v>
      </c>
      <c r="H867" s="15">
        <f t="shared" si="1"/>
        <v>9</v>
      </c>
      <c r="I867" s="16">
        <f t="shared" si="2"/>
        <v>6</v>
      </c>
      <c r="J867" s="15">
        <f t="shared" si="3"/>
        <v>2023</v>
      </c>
      <c r="K867" s="16">
        <f>STANDARDIZE(F867,'estatística'!$C$2,'estatística'!$H$2)</f>
        <v>0.1744745505</v>
      </c>
    </row>
    <row r="868" ht="15.75" customHeight="1">
      <c r="A868" s="9">
        <v>28.0</v>
      </c>
      <c r="B868" s="10" t="s">
        <v>49</v>
      </c>
      <c r="C868" s="11" t="s">
        <v>50</v>
      </c>
      <c r="D868" s="10" t="s">
        <v>17</v>
      </c>
      <c r="E868" s="11" t="s">
        <v>57</v>
      </c>
      <c r="F868" s="13">
        <v>14.95</v>
      </c>
      <c r="G868" s="14">
        <v>45086.0</v>
      </c>
      <c r="H868" s="15">
        <f t="shared" si="1"/>
        <v>9</v>
      </c>
      <c r="I868" s="16">
        <f t="shared" si="2"/>
        <v>6</v>
      </c>
      <c r="J868" s="15">
        <f t="shared" si="3"/>
        <v>2023</v>
      </c>
      <c r="K868" s="16">
        <f>STANDARDIZE(F868,'estatística'!$C$2,'estatística'!$H$2)</f>
        <v>0.1728285642</v>
      </c>
    </row>
    <row r="869" ht="15.75" customHeight="1">
      <c r="A869" s="9">
        <v>38.0</v>
      </c>
      <c r="B869" s="10" t="s">
        <v>85</v>
      </c>
      <c r="C869" s="11" t="s">
        <v>86</v>
      </c>
      <c r="D869" s="10" t="s">
        <v>17</v>
      </c>
      <c r="E869" s="11" t="s">
        <v>80</v>
      </c>
      <c r="F869" s="13">
        <v>40.5</v>
      </c>
      <c r="G869" s="14">
        <v>45086.0</v>
      </c>
      <c r="H869" s="15">
        <f t="shared" si="1"/>
        <v>9</v>
      </c>
      <c r="I869" s="16">
        <f t="shared" si="2"/>
        <v>6</v>
      </c>
      <c r="J869" s="15">
        <f t="shared" si="3"/>
        <v>2023</v>
      </c>
      <c r="K869" s="16">
        <f>STANDARDIZE(F869,'estatística'!$C$2,'estatística'!$H$2)</f>
        <v>0.4963281844</v>
      </c>
    </row>
    <row r="870" ht="15.75" customHeight="1">
      <c r="A870" s="9">
        <v>30.0</v>
      </c>
      <c r="B870" s="10" t="s">
        <v>11</v>
      </c>
      <c r="C870" s="11" t="s">
        <v>12</v>
      </c>
      <c r="D870" s="10" t="s">
        <v>13</v>
      </c>
      <c r="E870" s="11" t="s">
        <v>91</v>
      </c>
      <c r="F870" s="13">
        <v>3.33</v>
      </c>
      <c r="G870" s="14">
        <v>45086.0</v>
      </c>
      <c r="H870" s="15">
        <f t="shared" si="1"/>
        <v>9</v>
      </c>
      <c r="I870" s="16">
        <f t="shared" si="2"/>
        <v>6</v>
      </c>
      <c r="J870" s="15">
        <f t="shared" si="3"/>
        <v>2023</v>
      </c>
      <c r="K870" s="16">
        <f>STANDARDIZE(F870,'estatística'!$C$2,'estatística'!$H$2)</f>
        <v>0.02570270955</v>
      </c>
    </row>
    <row r="871" ht="15.75" customHeight="1">
      <c r="A871" s="9">
        <v>96.0</v>
      </c>
      <c r="B871" s="10" t="s">
        <v>135</v>
      </c>
      <c r="C871" s="11" t="s">
        <v>136</v>
      </c>
      <c r="D871" s="10" t="s">
        <v>13</v>
      </c>
      <c r="E871" s="11" t="s">
        <v>14</v>
      </c>
      <c r="F871" s="13">
        <v>10.54</v>
      </c>
      <c r="G871" s="14">
        <v>45086.0</v>
      </c>
      <c r="H871" s="15">
        <f t="shared" si="1"/>
        <v>9</v>
      </c>
      <c r="I871" s="16">
        <f t="shared" si="2"/>
        <v>6</v>
      </c>
      <c r="J871" s="15">
        <f t="shared" si="3"/>
        <v>2023</v>
      </c>
      <c r="K871" s="16">
        <f>STANDARDIZE(F871,'estatística'!$C$2,'estatística'!$H$2)</f>
        <v>0.1169916435</v>
      </c>
    </row>
    <row r="872" ht="15.75" customHeight="1">
      <c r="A872" s="9">
        <v>96.0</v>
      </c>
      <c r="B872" s="10" t="s">
        <v>135</v>
      </c>
      <c r="C872" s="11" t="s">
        <v>136</v>
      </c>
      <c r="D872" s="10" t="s">
        <v>13</v>
      </c>
      <c r="E872" s="11" t="s">
        <v>48</v>
      </c>
      <c r="F872" s="13">
        <v>12.52</v>
      </c>
      <c r="G872" s="14">
        <v>45087.0</v>
      </c>
      <c r="H872" s="15">
        <f t="shared" si="1"/>
        <v>10</v>
      </c>
      <c r="I872" s="16">
        <f t="shared" si="2"/>
        <v>6</v>
      </c>
      <c r="J872" s="15">
        <f t="shared" si="3"/>
        <v>2023</v>
      </c>
      <c r="K872" s="16">
        <f>STANDARDIZE(F872,'estatística'!$C$2,'estatística'!$H$2)</f>
        <v>0.1420612813</v>
      </c>
    </row>
    <row r="873" ht="15.75" customHeight="1">
      <c r="A873" s="9">
        <v>8.0</v>
      </c>
      <c r="B873" s="10" t="s">
        <v>75</v>
      </c>
      <c r="C873" s="11" t="s">
        <v>76</v>
      </c>
      <c r="D873" s="10" t="s">
        <v>13</v>
      </c>
      <c r="E873" s="11" t="s">
        <v>27</v>
      </c>
      <c r="F873" s="13">
        <v>16.63</v>
      </c>
      <c r="G873" s="14">
        <v>45087.0</v>
      </c>
      <c r="H873" s="15">
        <f t="shared" si="1"/>
        <v>10</v>
      </c>
      <c r="I873" s="16">
        <f t="shared" si="2"/>
        <v>6</v>
      </c>
      <c r="J873" s="15">
        <f t="shared" si="3"/>
        <v>2023</v>
      </c>
      <c r="K873" s="16">
        <f>STANDARDIZE(F873,'estatística'!$C$2,'estatística'!$H$2)</f>
        <v>0.1940997721</v>
      </c>
    </row>
    <row r="874" ht="15.75" customHeight="1">
      <c r="A874" s="9">
        <v>32.0</v>
      </c>
      <c r="B874" s="10" t="s">
        <v>118</v>
      </c>
      <c r="C874" s="11" t="s">
        <v>119</v>
      </c>
      <c r="D874" s="10" t="s">
        <v>17</v>
      </c>
      <c r="E874" s="11" t="s">
        <v>27</v>
      </c>
      <c r="F874" s="13">
        <v>20.13</v>
      </c>
      <c r="G874" s="14">
        <v>45087.0</v>
      </c>
      <c r="H874" s="15">
        <f t="shared" si="1"/>
        <v>10</v>
      </c>
      <c r="I874" s="16">
        <f t="shared" si="2"/>
        <v>6</v>
      </c>
      <c r="J874" s="15">
        <f t="shared" si="3"/>
        <v>2023</v>
      </c>
      <c r="K874" s="16">
        <f>STANDARDIZE(F874,'estatística'!$C$2,'estatística'!$H$2)</f>
        <v>0.2384147886</v>
      </c>
    </row>
    <row r="875" ht="15.75" customHeight="1">
      <c r="A875" s="9">
        <v>87.0</v>
      </c>
      <c r="B875" s="10" t="s">
        <v>215</v>
      </c>
      <c r="C875" s="11" t="s">
        <v>216</v>
      </c>
      <c r="D875" s="10" t="s">
        <v>13</v>
      </c>
      <c r="E875" s="11" t="s">
        <v>80</v>
      </c>
      <c r="F875" s="13">
        <v>37.94</v>
      </c>
      <c r="G875" s="14">
        <v>45087.0</v>
      </c>
      <c r="H875" s="15">
        <f t="shared" si="1"/>
        <v>10</v>
      </c>
      <c r="I875" s="16">
        <f t="shared" si="2"/>
        <v>6</v>
      </c>
      <c r="J875" s="15">
        <f t="shared" si="3"/>
        <v>2023</v>
      </c>
      <c r="K875" s="16">
        <f>STANDARDIZE(F875,'estatística'!$C$2,'estatística'!$H$2)</f>
        <v>0.4639149152</v>
      </c>
    </row>
    <row r="876" ht="15.75" customHeight="1">
      <c r="A876" s="9">
        <v>35.0</v>
      </c>
      <c r="B876" s="10" t="s">
        <v>95</v>
      </c>
      <c r="C876" s="11" t="s">
        <v>96</v>
      </c>
      <c r="D876" s="10" t="s">
        <v>13</v>
      </c>
      <c r="E876" s="11" t="s">
        <v>27</v>
      </c>
      <c r="F876" s="13">
        <v>19.91</v>
      </c>
      <c r="G876" s="14">
        <v>45087.0</v>
      </c>
      <c r="H876" s="15">
        <f t="shared" si="1"/>
        <v>10</v>
      </c>
      <c r="I876" s="16">
        <f t="shared" si="2"/>
        <v>6</v>
      </c>
      <c r="J876" s="15">
        <f t="shared" si="3"/>
        <v>2023</v>
      </c>
      <c r="K876" s="16">
        <f>STANDARDIZE(F876,'estatística'!$C$2,'estatística'!$H$2)</f>
        <v>0.2356292732</v>
      </c>
    </row>
    <row r="877" ht="15.75" customHeight="1">
      <c r="A877" s="9">
        <v>15.0</v>
      </c>
      <c r="B877" s="10" t="s">
        <v>37</v>
      </c>
      <c r="C877" s="11" t="s">
        <v>38</v>
      </c>
      <c r="D877" s="10" t="s">
        <v>17</v>
      </c>
      <c r="E877" s="11" t="s">
        <v>27</v>
      </c>
      <c r="F877" s="13">
        <v>18.64</v>
      </c>
      <c r="G877" s="14">
        <v>45087.0</v>
      </c>
      <c r="H877" s="15">
        <f t="shared" si="1"/>
        <v>10</v>
      </c>
      <c r="I877" s="16">
        <f t="shared" si="2"/>
        <v>6</v>
      </c>
      <c r="J877" s="15">
        <f t="shared" si="3"/>
        <v>2023</v>
      </c>
      <c r="K877" s="16">
        <f>STANDARDIZE(F877,'estatística'!$C$2,'estatística'!$H$2)</f>
        <v>0.219549253</v>
      </c>
    </row>
    <row r="878" ht="15.75" customHeight="1">
      <c r="A878" s="9">
        <v>13.0</v>
      </c>
      <c r="B878" s="10" t="s">
        <v>108</v>
      </c>
      <c r="C878" s="11" t="s">
        <v>109</v>
      </c>
      <c r="D878" s="10" t="s">
        <v>17</v>
      </c>
      <c r="E878" s="11" t="s">
        <v>33</v>
      </c>
      <c r="F878" s="13">
        <v>56.28</v>
      </c>
      <c r="G878" s="14">
        <v>45087.0</v>
      </c>
      <c r="H878" s="15">
        <f t="shared" si="1"/>
        <v>10</v>
      </c>
      <c r="I878" s="16">
        <f t="shared" si="2"/>
        <v>6</v>
      </c>
      <c r="J878" s="15">
        <f t="shared" si="3"/>
        <v>2023</v>
      </c>
      <c r="K878" s="16">
        <f>STANDARDIZE(F878,'estatística'!$C$2,'estatística'!$H$2)</f>
        <v>0.6961256014</v>
      </c>
    </row>
    <row r="879" ht="15.75" customHeight="1">
      <c r="A879" s="9">
        <v>15.0</v>
      </c>
      <c r="B879" s="10" t="s">
        <v>37</v>
      </c>
      <c r="C879" s="11" t="s">
        <v>38</v>
      </c>
      <c r="D879" s="10" t="s">
        <v>13</v>
      </c>
      <c r="E879" s="11" t="s">
        <v>21</v>
      </c>
      <c r="F879" s="13">
        <v>14.77</v>
      </c>
      <c r="G879" s="14">
        <v>45088.0</v>
      </c>
      <c r="H879" s="15">
        <f t="shared" si="1"/>
        <v>11</v>
      </c>
      <c r="I879" s="16">
        <f t="shared" si="2"/>
        <v>6</v>
      </c>
      <c r="J879" s="15">
        <f t="shared" si="3"/>
        <v>2023</v>
      </c>
      <c r="K879" s="16">
        <f>STANDARDIZE(F879,'estatística'!$C$2,'estatística'!$H$2)</f>
        <v>0.1705495062</v>
      </c>
    </row>
    <row r="880" ht="15.75" customHeight="1">
      <c r="A880" s="9">
        <v>36.0</v>
      </c>
      <c r="B880" s="10" t="s">
        <v>60</v>
      </c>
      <c r="C880" s="11" t="s">
        <v>61</v>
      </c>
      <c r="D880" s="10" t="s">
        <v>13</v>
      </c>
      <c r="E880" s="11" t="s">
        <v>27</v>
      </c>
      <c r="F880" s="13">
        <v>16.52</v>
      </c>
      <c r="G880" s="14">
        <v>45088.0</v>
      </c>
      <c r="H880" s="15">
        <f t="shared" si="1"/>
        <v>11</v>
      </c>
      <c r="I880" s="16">
        <f t="shared" si="2"/>
        <v>6</v>
      </c>
      <c r="J880" s="15">
        <f t="shared" si="3"/>
        <v>2023</v>
      </c>
      <c r="K880" s="16">
        <f>STANDARDIZE(F880,'estatística'!$C$2,'estatística'!$H$2)</f>
        <v>0.1927070144</v>
      </c>
    </row>
    <row r="881" ht="15.75" customHeight="1">
      <c r="A881" s="9">
        <v>97.0</v>
      </c>
      <c r="B881" s="10" t="s">
        <v>44</v>
      </c>
      <c r="C881" s="11" t="s">
        <v>45</v>
      </c>
      <c r="D881" s="10" t="s">
        <v>13</v>
      </c>
      <c r="E881" s="11" t="s">
        <v>48</v>
      </c>
      <c r="F881" s="13">
        <v>7.47</v>
      </c>
      <c r="G881" s="14">
        <v>45088.0</v>
      </c>
      <c r="H881" s="15">
        <f t="shared" si="1"/>
        <v>11</v>
      </c>
      <c r="I881" s="16">
        <f t="shared" si="2"/>
        <v>6</v>
      </c>
      <c r="J881" s="15">
        <f t="shared" si="3"/>
        <v>2023</v>
      </c>
      <c r="K881" s="16">
        <f>STANDARDIZE(F881,'estatística'!$C$2,'estatística'!$H$2)</f>
        <v>0.0781210433</v>
      </c>
    </row>
    <row r="882" ht="15.75" customHeight="1">
      <c r="A882" s="9">
        <v>17.0</v>
      </c>
      <c r="B882" s="10" t="s">
        <v>172</v>
      </c>
      <c r="C882" s="11" t="s">
        <v>173</v>
      </c>
      <c r="D882" s="10" t="s">
        <v>17</v>
      </c>
      <c r="E882" s="11" t="s">
        <v>116</v>
      </c>
      <c r="F882" s="13">
        <v>3.49</v>
      </c>
      <c r="G882" s="14">
        <v>45088.0</v>
      </c>
      <c r="H882" s="15">
        <f t="shared" si="1"/>
        <v>11</v>
      </c>
      <c r="I882" s="16">
        <f t="shared" si="2"/>
        <v>6</v>
      </c>
      <c r="J882" s="15">
        <f t="shared" si="3"/>
        <v>2023</v>
      </c>
      <c r="K882" s="16">
        <f>STANDARDIZE(F882,'estatística'!$C$2,'estatística'!$H$2)</f>
        <v>0.02772853887</v>
      </c>
    </row>
    <row r="883" ht="15.75" customHeight="1">
      <c r="A883" s="9">
        <v>37.0</v>
      </c>
      <c r="B883" s="10" t="s">
        <v>217</v>
      </c>
      <c r="C883" s="11" t="s">
        <v>218</v>
      </c>
      <c r="D883" s="10" t="s">
        <v>17</v>
      </c>
      <c r="E883" s="11" t="s">
        <v>36</v>
      </c>
      <c r="F883" s="13">
        <v>62.74</v>
      </c>
      <c r="G883" s="14">
        <v>45088.0</v>
      </c>
      <c r="H883" s="15">
        <f t="shared" si="1"/>
        <v>11</v>
      </c>
      <c r="I883" s="16">
        <f t="shared" si="2"/>
        <v>6</v>
      </c>
      <c r="J883" s="15">
        <f t="shared" si="3"/>
        <v>2023</v>
      </c>
      <c r="K883" s="16">
        <f>STANDARDIZE(F883,'estatística'!$C$2,'estatística'!$H$2)</f>
        <v>0.7779184604</v>
      </c>
    </row>
    <row r="884" ht="15.75" customHeight="1">
      <c r="A884" s="9">
        <v>81.0</v>
      </c>
      <c r="B884" s="10" t="s">
        <v>34</v>
      </c>
      <c r="C884" s="11" t="s">
        <v>35</v>
      </c>
      <c r="D884" s="10" t="s">
        <v>17</v>
      </c>
      <c r="E884" s="11" t="s">
        <v>24</v>
      </c>
      <c r="F884" s="13">
        <v>38.41</v>
      </c>
      <c r="G884" s="14">
        <v>45089.0</v>
      </c>
      <c r="H884" s="15">
        <f t="shared" si="1"/>
        <v>12</v>
      </c>
      <c r="I884" s="16">
        <f t="shared" si="2"/>
        <v>6</v>
      </c>
      <c r="J884" s="15">
        <f t="shared" si="3"/>
        <v>2023</v>
      </c>
      <c r="K884" s="16">
        <f>STANDARDIZE(F884,'estatística'!$C$2,'estatística'!$H$2)</f>
        <v>0.4698657888</v>
      </c>
    </row>
    <row r="885" ht="15.75" customHeight="1">
      <c r="A885" s="9">
        <v>92.0</v>
      </c>
      <c r="B885" s="10" t="s">
        <v>81</v>
      </c>
      <c r="C885" s="11" t="s">
        <v>169</v>
      </c>
      <c r="D885" s="10" t="s">
        <v>17</v>
      </c>
      <c r="E885" s="11" t="s">
        <v>57</v>
      </c>
      <c r="F885" s="13">
        <v>21.37</v>
      </c>
      <c r="G885" s="14">
        <v>45089.0</v>
      </c>
      <c r="H885" s="15">
        <f t="shared" si="1"/>
        <v>12</v>
      </c>
      <c r="I885" s="16">
        <f t="shared" si="2"/>
        <v>6</v>
      </c>
      <c r="J885" s="15">
        <f t="shared" si="3"/>
        <v>2023</v>
      </c>
      <c r="K885" s="16">
        <f>STANDARDIZE(F885,'estatística'!$C$2,'estatística'!$H$2)</f>
        <v>0.2541149658</v>
      </c>
    </row>
    <row r="886" ht="15.75" customHeight="1">
      <c r="A886" s="9">
        <v>71.0</v>
      </c>
      <c r="B886" s="10" t="s">
        <v>122</v>
      </c>
      <c r="C886" s="11" t="s">
        <v>123</v>
      </c>
      <c r="D886" s="10" t="s">
        <v>13</v>
      </c>
      <c r="E886" s="11" t="s">
        <v>36</v>
      </c>
      <c r="F886" s="13">
        <v>60.02</v>
      </c>
      <c r="G886" s="14">
        <v>45089.0</v>
      </c>
      <c r="H886" s="15">
        <f t="shared" si="1"/>
        <v>12</v>
      </c>
      <c r="I886" s="16">
        <f t="shared" si="2"/>
        <v>6</v>
      </c>
      <c r="J886" s="15">
        <f t="shared" si="3"/>
        <v>2023</v>
      </c>
      <c r="K886" s="16">
        <f>STANDARDIZE(F886,'estatística'!$C$2,'estatística'!$H$2)</f>
        <v>0.7434793619</v>
      </c>
    </row>
    <row r="887" ht="15.75" customHeight="1">
      <c r="A887" s="9">
        <v>67.0</v>
      </c>
      <c r="B887" s="10" t="s">
        <v>176</v>
      </c>
      <c r="C887" s="11" t="s">
        <v>177</v>
      </c>
      <c r="D887" s="10" t="s">
        <v>13</v>
      </c>
      <c r="E887" s="11" t="s">
        <v>29</v>
      </c>
      <c r="F887" s="13">
        <v>13.95</v>
      </c>
      <c r="G887" s="14">
        <v>45089.0</v>
      </c>
      <c r="H887" s="15">
        <f t="shared" si="1"/>
        <v>12</v>
      </c>
      <c r="I887" s="16">
        <f t="shared" si="2"/>
        <v>6</v>
      </c>
      <c r="J887" s="15">
        <f t="shared" si="3"/>
        <v>2023</v>
      </c>
      <c r="K887" s="16">
        <f>STANDARDIZE(F887,'estatística'!$C$2,'estatística'!$H$2)</f>
        <v>0.1601671309</v>
      </c>
    </row>
    <row r="888" ht="15.75" customHeight="1">
      <c r="A888" s="9">
        <v>11.0</v>
      </c>
      <c r="B888" s="10" t="s">
        <v>199</v>
      </c>
      <c r="C888" s="11" t="s">
        <v>200</v>
      </c>
      <c r="D888" s="10" t="s">
        <v>17</v>
      </c>
      <c r="E888" s="11" t="s">
        <v>77</v>
      </c>
      <c r="F888" s="13">
        <v>12.52</v>
      </c>
      <c r="G888" s="14">
        <v>45089.0</v>
      </c>
      <c r="H888" s="15">
        <f t="shared" si="1"/>
        <v>12</v>
      </c>
      <c r="I888" s="16">
        <f t="shared" si="2"/>
        <v>6</v>
      </c>
      <c r="J888" s="15">
        <f t="shared" si="3"/>
        <v>2023</v>
      </c>
      <c r="K888" s="16">
        <f>STANDARDIZE(F888,'estatística'!$C$2,'estatística'!$H$2)</f>
        <v>0.1420612813</v>
      </c>
    </row>
    <row r="889" ht="15.75" customHeight="1">
      <c r="A889" s="9">
        <v>8.0</v>
      </c>
      <c r="B889" s="10" t="s">
        <v>75</v>
      </c>
      <c r="C889" s="11" t="s">
        <v>76</v>
      </c>
      <c r="D889" s="10" t="s">
        <v>13</v>
      </c>
      <c r="E889" s="11" t="s">
        <v>62</v>
      </c>
      <c r="F889" s="13">
        <v>11.18</v>
      </c>
      <c r="G889" s="14">
        <v>45089.0</v>
      </c>
      <c r="H889" s="15">
        <f t="shared" si="1"/>
        <v>12</v>
      </c>
      <c r="I889" s="16">
        <f t="shared" si="2"/>
        <v>6</v>
      </c>
      <c r="J889" s="15">
        <f t="shared" si="3"/>
        <v>2023</v>
      </c>
      <c r="K889" s="16">
        <f>STANDARDIZE(F889,'estatística'!$C$2,'estatística'!$H$2)</f>
        <v>0.1250949607</v>
      </c>
    </row>
    <row r="890" ht="15.75" customHeight="1">
      <c r="A890" s="9">
        <v>66.0</v>
      </c>
      <c r="B890" s="10" t="s">
        <v>122</v>
      </c>
      <c r="C890" s="11" t="s">
        <v>130</v>
      </c>
      <c r="D890" s="10" t="s">
        <v>13</v>
      </c>
      <c r="E890" s="11" t="s">
        <v>33</v>
      </c>
      <c r="F890" s="13">
        <v>66.8</v>
      </c>
      <c r="G890" s="14">
        <v>45089.0</v>
      </c>
      <c r="H890" s="15">
        <f t="shared" si="1"/>
        <v>12</v>
      </c>
      <c r="I890" s="16">
        <f t="shared" si="2"/>
        <v>6</v>
      </c>
      <c r="J890" s="15">
        <f t="shared" si="3"/>
        <v>2023</v>
      </c>
      <c r="K890" s="16">
        <f>STANDARDIZE(F890,'estatística'!$C$2,'estatística'!$H$2)</f>
        <v>0.8293238795</v>
      </c>
    </row>
    <row r="891" ht="15.75" customHeight="1">
      <c r="A891" s="9">
        <v>76.0</v>
      </c>
      <c r="B891" s="10" t="s">
        <v>185</v>
      </c>
      <c r="C891" s="11" t="s">
        <v>186</v>
      </c>
      <c r="D891" s="10" t="s">
        <v>13</v>
      </c>
      <c r="E891" s="11" t="s">
        <v>48</v>
      </c>
      <c r="F891" s="13">
        <v>11.78</v>
      </c>
      <c r="G891" s="14">
        <v>45090.0</v>
      </c>
      <c r="H891" s="15">
        <f t="shared" si="1"/>
        <v>13</v>
      </c>
      <c r="I891" s="16">
        <f t="shared" si="2"/>
        <v>6</v>
      </c>
      <c r="J891" s="15">
        <f t="shared" si="3"/>
        <v>2023</v>
      </c>
      <c r="K891" s="16">
        <f>STANDARDIZE(F891,'estatística'!$C$2,'estatística'!$H$2)</f>
        <v>0.1326918207</v>
      </c>
    </row>
    <row r="892" ht="15.75" customHeight="1">
      <c r="A892" s="9">
        <v>4.0</v>
      </c>
      <c r="B892" s="10" t="s">
        <v>87</v>
      </c>
      <c r="C892" s="11" t="s">
        <v>88</v>
      </c>
      <c r="D892" s="10" t="s">
        <v>13</v>
      </c>
      <c r="E892" s="11" t="s">
        <v>27</v>
      </c>
      <c r="F892" s="13">
        <v>18.52</v>
      </c>
      <c r="G892" s="14">
        <v>45090.0</v>
      </c>
      <c r="H892" s="15">
        <f t="shared" si="1"/>
        <v>13</v>
      </c>
      <c r="I892" s="16">
        <f t="shared" si="2"/>
        <v>6</v>
      </c>
      <c r="J892" s="15">
        <f t="shared" si="3"/>
        <v>2023</v>
      </c>
      <c r="K892" s="16">
        <f>STANDARDIZE(F892,'estatística'!$C$2,'estatística'!$H$2)</f>
        <v>0.218029881</v>
      </c>
    </row>
    <row r="893" ht="15.75" customHeight="1">
      <c r="A893" s="9">
        <v>19.0</v>
      </c>
      <c r="B893" s="10" t="s">
        <v>25</v>
      </c>
      <c r="C893" s="11" t="s">
        <v>165</v>
      </c>
      <c r="D893" s="10" t="s">
        <v>13</v>
      </c>
      <c r="E893" s="11" t="s">
        <v>62</v>
      </c>
      <c r="F893" s="13">
        <v>11.63</v>
      </c>
      <c r="G893" s="14">
        <v>45090.0</v>
      </c>
      <c r="H893" s="15">
        <f t="shared" si="1"/>
        <v>13</v>
      </c>
      <c r="I893" s="16">
        <f t="shared" si="2"/>
        <v>6</v>
      </c>
      <c r="J893" s="15">
        <f t="shared" si="3"/>
        <v>2023</v>
      </c>
      <c r="K893" s="16">
        <f>STANDARDIZE(F893,'estatística'!$C$2,'estatística'!$H$2)</f>
        <v>0.1307926057</v>
      </c>
    </row>
    <row r="894" ht="15.75" customHeight="1">
      <c r="A894" s="9">
        <v>93.0</v>
      </c>
      <c r="B894" s="10" t="s">
        <v>99</v>
      </c>
      <c r="C894" s="11" t="s">
        <v>100</v>
      </c>
      <c r="D894" s="10" t="s">
        <v>13</v>
      </c>
      <c r="E894" s="11" t="s">
        <v>68</v>
      </c>
      <c r="F894" s="13">
        <v>12.33</v>
      </c>
      <c r="G894" s="14">
        <v>45090.0</v>
      </c>
      <c r="H894" s="15">
        <f t="shared" si="1"/>
        <v>13</v>
      </c>
      <c r="I894" s="16">
        <f t="shared" si="2"/>
        <v>6</v>
      </c>
      <c r="J894" s="15">
        <f t="shared" si="3"/>
        <v>2023</v>
      </c>
      <c r="K894" s="16">
        <f>STANDARDIZE(F894,'estatística'!$C$2,'estatística'!$H$2)</f>
        <v>0.139655609</v>
      </c>
    </row>
    <row r="895" ht="15.75" customHeight="1">
      <c r="A895" s="9">
        <v>64.0</v>
      </c>
      <c r="B895" s="10" t="s">
        <v>131</v>
      </c>
      <c r="C895" s="11" t="s">
        <v>132</v>
      </c>
      <c r="D895" s="10" t="s">
        <v>13</v>
      </c>
      <c r="E895" s="11" t="s">
        <v>57</v>
      </c>
      <c r="F895" s="13">
        <v>19.1</v>
      </c>
      <c r="G895" s="14">
        <v>45091.0</v>
      </c>
      <c r="H895" s="15">
        <f t="shared" si="1"/>
        <v>14</v>
      </c>
      <c r="I895" s="16">
        <f t="shared" si="2"/>
        <v>6</v>
      </c>
      <c r="J895" s="15">
        <f t="shared" si="3"/>
        <v>2023</v>
      </c>
      <c r="K895" s="16">
        <f>STANDARDIZE(F895,'estatística'!$C$2,'estatística'!$H$2)</f>
        <v>0.2253735123</v>
      </c>
    </row>
    <row r="896" ht="15.75" customHeight="1">
      <c r="A896" s="9">
        <v>53.0</v>
      </c>
      <c r="B896" s="10" t="s">
        <v>213</v>
      </c>
      <c r="C896" s="11" t="s">
        <v>214</v>
      </c>
      <c r="D896" s="10" t="s">
        <v>13</v>
      </c>
      <c r="E896" s="11" t="s">
        <v>24</v>
      </c>
      <c r="F896" s="13">
        <v>33.33</v>
      </c>
      <c r="G896" s="14">
        <v>45091.0</v>
      </c>
      <c r="H896" s="15">
        <f t="shared" si="1"/>
        <v>14</v>
      </c>
      <c r="I896" s="16">
        <f t="shared" si="2"/>
        <v>6</v>
      </c>
      <c r="J896" s="15">
        <f t="shared" si="3"/>
        <v>2023</v>
      </c>
      <c r="K896" s="16">
        <f>STANDARDIZE(F896,'estatística'!$C$2,'estatística'!$H$2)</f>
        <v>0.4055457078</v>
      </c>
    </row>
    <row r="897" ht="15.75" customHeight="1">
      <c r="A897" s="9">
        <v>54.0</v>
      </c>
      <c r="B897" s="10" t="s">
        <v>55</v>
      </c>
      <c r="C897" s="11" t="s">
        <v>56</v>
      </c>
      <c r="D897" s="10" t="s">
        <v>13</v>
      </c>
      <c r="E897" s="11" t="s">
        <v>29</v>
      </c>
      <c r="F897" s="13">
        <v>14.8</v>
      </c>
      <c r="G897" s="14">
        <v>45091.0</v>
      </c>
      <c r="H897" s="15">
        <f t="shared" si="1"/>
        <v>14</v>
      </c>
      <c r="I897" s="16">
        <f t="shared" si="2"/>
        <v>6</v>
      </c>
      <c r="J897" s="15">
        <f t="shared" si="3"/>
        <v>2023</v>
      </c>
      <c r="K897" s="16">
        <f>STANDARDIZE(F897,'estatística'!$C$2,'estatística'!$H$2)</f>
        <v>0.1709293492</v>
      </c>
    </row>
    <row r="898" ht="15.75" customHeight="1">
      <c r="A898" s="9">
        <v>65.0</v>
      </c>
      <c r="B898" s="10" t="s">
        <v>181</v>
      </c>
      <c r="C898" s="11" t="s">
        <v>182</v>
      </c>
      <c r="D898" s="10" t="s">
        <v>13</v>
      </c>
      <c r="E898" s="11" t="s">
        <v>32</v>
      </c>
      <c r="F898" s="13">
        <v>22.97</v>
      </c>
      <c r="G898" s="14">
        <v>45091.0</v>
      </c>
      <c r="H898" s="15">
        <f t="shared" si="1"/>
        <v>14</v>
      </c>
      <c r="I898" s="16">
        <f t="shared" si="2"/>
        <v>6</v>
      </c>
      <c r="J898" s="15">
        <f t="shared" si="3"/>
        <v>2023</v>
      </c>
      <c r="K898" s="16">
        <f>STANDARDIZE(F898,'estatística'!$C$2,'estatística'!$H$2)</f>
        <v>0.2743732591</v>
      </c>
    </row>
    <row r="899" ht="15.75" customHeight="1">
      <c r="A899" s="9">
        <v>58.0</v>
      </c>
      <c r="B899" s="10" t="s">
        <v>137</v>
      </c>
      <c r="C899" s="11" t="s">
        <v>138</v>
      </c>
      <c r="D899" s="10" t="s">
        <v>13</v>
      </c>
      <c r="E899" s="11" t="s">
        <v>68</v>
      </c>
      <c r="F899" s="13">
        <v>14.83</v>
      </c>
      <c r="G899" s="14">
        <v>45091.0</v>
      </c>
      <c r="H899" s="15">
        <f t="shared" si="1"/>
        <v>14</v>
      </c>
      <c r="I899" s="16">
        <f t="shared" si="2"/>
        <v>6</v>
      </c>
      <c r="J899" s="15">
        <f t="shared" si="3"/>
        <v>2023</v>
      </c>
      <c r="K899" s="16">
        <f>STANDARDIZE(F899,'estatística'!$C$2,'estatística'!$H$2)</f>
        <v>0.1713091922</v>
      </c>
    </row>
    <row r="900" ht="15.75" customHeight="1">
      <c r="A900" s="9">
        <v>24.0</v>
      </c>
      <c r="B900" s="10" t="s">
        <v>110</v>
      </c>
      <c r="C900" s="11" t="s">
        <v>111</v>
      </c>
      <c r="D900" s="10" t="s">
        <v>13</v>
      </c>
      <c r="E900" s="11" t="s">
        <v>80</v>
      </c>
      <c r="F900" s="13">
        <v>41.88</v>
      </c>
      <c r="G900" s="14">
        <v>45091.0</v>
      </c>
      <c r="H900" s="15">
        <f t="shared" si="1"/>
        <v>14</v>
      </c>
      <c r="I900" s="16">
        <f t="shared" si="2"/>
        <v>6</v>
      </c>
      <c r="J900" s="15">
        <f t="shared" si="3"/>
        <v>2023</v>
      </c>
      <c r="K900" s="16">
        <f>STANDARDIZE(F900,'estatística'!$C$2,'estatística'!$H$2)</f>
        <v>0.5138009623</v>
      </c>
    </row>
    <row r="901" ht="15.75" customHeight="1">
      <c r="A901" s="9">
        <v>70.0</v>
      </c>
      <c r="B901" s="10" t="s">
        <v>124</v>
      </c>
      <c r="C901" s="11" t="s">
        <v>125</v>
      </c>
      <c r="D901" s="10" t="s">
        <v>17</v>
      </c>
      <c r="E901" s="11" t="s">
        <v>48</v>
      </c>
      <c r="F901" s="13">
        <v>19.22</v>
      </c>
      <c r="G901" s="14">
        <v>45092.0</v>
      </c>
      <c r="H901" s="15">
        <f t="shared" si="1"/>
        <v>15</v>
      </c>
      <c r="I901" s="16">
        <f t="shared" si="2"/>
        <v>6</v>
      </c>
      <c r="J901" s="15">
        <f t="shared" si="3"/>
        <v>2023</v>
      </c>
      <c r="K901" s="16">
        <f>STANDARDIZE(F901,'estatística'!$C$2,'estatística'!$H$2)</f>
        <v>0.2268928843</v>
      </c>
    </row>
    <row r="902" ht="15.75" customHeight="1">
      <c r="A902" s="9">
        <v>92.0</v>
      </c>
      <c r="B902" s="10" t="s">
        <v>81</v>
      </c>
      <c r="C902" s="11" t="s">
        <v>169</v>
      </c>
      <c r="D902" s="10" t="s">
        <v>17</v>
      </c>
      <c r="E902" s="11" t="s">
        <v>48</v>
      </c>
      <c r="F902" s="13">
        <v>13.7</v>
      </c>
      <c r="G902" s="14">
        <v>45092.0</v>
      </c>
      <c r="H902" s="15">
        <f t="shared" si="1"/>
        <v>15</v>
      </c>
      <c r="I902" s="16">
        <f t="shared" si="2"/>
        <v>6</v>
      </c>
      <c r="J902" s="15">
        <f t="shared" si="3"/>
        <v>2023</v>
      </c>
      <c r="K902" s="16">
        <f>STANDARDIZE(F902,'estatística'!$C$2,'estatística'!$H$2)</f>
        <v>0.1570017726</v>
      </c>
    </row>
    <row r="903" ht="15.75" customHeight="1">
      <c r="A903" s="9">
        <v>68.0</v>
      </c>
      <c r="B903" s="10" t="s">
        <v>25</v>
      </c>
      <c r="C903" s="11" t="s">
        <v>26</v>
      </c>
      <c r="D903" s="10" t="s">
        <v>17</v>
      </c>
      <c r="E903" s="11" t="s">
        <v>14</v>
      </c>
      <c r="F903" s="13">
        <v>10.49</v>
      </c>
      <c r="G903" s="14">
        <v>45092.0</v>
      </c>
      <c r="H903" s="15">
        <f t="shared" si="1"/>
        <v>15</v>
      </c>
      <c r="I903" s="16">
        <f t="shared" si="2"/>
        <v>6</v>
      </c>
      <c r="J903" s="15">
        <f t="shared" si="3"/>
        <v>2023</v>
      </c>
      <c r="K903" s="16">
        <f>STANDARDIZE(F903,'estatística'!$C$2,'estatística'!$H$2)</f>
        <v>0.1163585718</v>
      </c>
    </row>
    <row r="904" ht="15.75" customHeight="1">
      <c r="A904" s="9">
        <v>12.0</v>
      </c>
      <c r="B904" s="10" t="s">
        <v>160</v>
      </c>
      <c r="C904" s="11" t="s">
        <v>161</v>
      </c>
      <c r="D904" s="10" t="s">
        <v>13</v>
      </c>
      <c r="E904" s="11" t="s">
        <v>68</v>
      </c>
      <c r="F904" s="13">
        <v>14.88</v>
      </c>
      <c r="G904" s="14">
        <v>45092.0</v>
      </c>
      <c r="H904" s="15">
        <f t="shared" si="1"/>
        <v>15</v>
      </c>
      <c r="I904" s="16">
        <f t="shared" si="2"/>
        <v>6</v>
      </c>
      <c r="J904" s="15">
        <f t="shared" si="3"/>
        <v>2023</v>
      </c>
      <c r="K904" s="16">
        <f>STANDARDIZE(F904,'estatística'!$C$2,'estatística'!$H$2)</f>
        <v>0.1719422639</v>
      </c>
    </row>
    <row r="905" ht="15.75" customHeight="1">
      <c r="A905" s="9">
        <v>1.0</v>
      </c>
      <c r="B905" s="10" t="s">
        <v>166</v>
      </c>
      <c r="C905" s="11" t="s">
        <v>167</v>
      </c>
      <c r="D905" s="10" t="s">
        <v>13</v>
      </c>
      <c r="E905" s="11" t="s">
        <v>80</v>
      </c>
      <c r="F905" s="13">
        <v>42.04</v>
      </c>
      <c r="G905" s="14">
        <v>45092.0</v>
      </c>
      <c r="H905" s="15">
        <f t="shared" si="1"/>
        <v>15</v>
      </c>
      <c r="I905" s="16">
        <f t="shared" si="2"/>
        <v>6</v>
      </c>
      <c r="J905" s="15">
        <f t="shared" si="3"/>
        <v>2023</v>
      </c>
      <c r="K905" s="16">
        <f>STANDARDIZE(F905,'estatística'!$C$2,'estatística'!$H$2)</f>
        <v>0.5158267916</v>
      </c>
    </row>
    <row r="906" ht="15.75" customHeight="1">
      <c r="A906" s="9">
        <v>17.0</v>
      </c>
      <c r="B906" s="10" t="s">
        <v>172</v>
      </c>
      <c r="C906" s="11" t="s">
        <v>173</v>
      </c>
      <c r="D906" s="10" t="s">
        <v>17</v>
      </c>
      <c r="E906" s="11" t="s">
        <v>18</v>
      </c>
      <c r="F906" s="13">
        <v>40.26</v>
      </c>
      <c r="G906" s="14">
        <v>45092.0</v>
      </c>
      <c r="H906" s="15">
        <f t="shared" si="1"/>
        <v>15</v>
      </c>
      <c r="I906" s="16">
        <f t="shared" si="2"/>
        <v>6</v>
      </c>
      <c r="J906" s="15">
        <f t="shared" si="3"/>
        <v>2023</v>
      </c>
      <c r="K906" s="16">
        <f>STANDARDIZE(F906,'estatística'!$C$2,'estatística'!$H$2)</f>
        <v>0.4932894404</v>
      </c>
    </row>
    <row r="907" ht="15.75" customHeight="1">
      <c r="A907" s="9">
        <v>100.0</v>
      </c>
      <c r="B907" s="10" t="s">
        <v>30</v>
      </c>
      <c r="C907" s="11" t="s">
        <v>31</v>
      </c>
      <c r="D907" s="10" t="s">
        <v>13</v>
      </c>
      <c r="E907" s="11" t="s">
        <v>57</v>
      </c>
      <c r="F907" s="13">
        <v>18.62</v>
      </c>
      <c r="G907" s="14">
        <v>45093.0</v>
      </c>
      <c r="H907" s="15">
        <f t="shared" si="1"/>
        <v>16</v>
      </c>
      <c r="I907" s="16">
        <f t="shared" si="2"/>
        <v>6</v>
      </c>
      <c r="J907" s="15">
        <f t="shared" si="3"/>
        <v>2023</v>
      </c>
      <c r="K907" s="16">
        <f>STANDARDIZE(F907,'estatística'!$C$2,'estatística'!$H$2)</f>
        <v>0.2192960243</v>
      </c>
    </row>
    <row r="908" ht="15.75" customHeight="1">
      <c r="A908" s="9">
        <v>16.0</v>
      </c>
      <c r="B908" s="10" t="s">
        <v>147</v>
      </c>
      <c r="C908" s="11" t="s">
        <v>148</v>
      </c>
      <c r="D908" s="10" t="s">
        <v>13</v>
      </c>
      <c r="E908" s="11" t="s">
        <v>77</v>
      </c>
      <c r="F908" s="13">
        <v>11.77</v>
      </c>
      <c r="G908" s="14">
        <v>45093.0</v>
      </c>
      <c r="H908" s="15">
        <f t="shared" si="1"/>
        <v>16</v>
      </c>
      <c r="I908" s="16">
        <f t="shared" si="2"/>
        <v>6</v>
      </c>
      <c r="J908" s="15">
        <f t="shared" si="3"/>
        <v>2023</v>
      </c>
      <c r="K908" s="16">
        <f>STANDARDIZE(F908,'estatística'!$C$2,'estatística'!$H$2)</f>
        <v>0.1325652064</v>
      </c>
    </row>
    <row r="909" ht="15.75" customHeight="1">
      <c r="A909" s="9">
        <v>35.0</v>
      </c>
      <c r="B909" s="10" t="s">
        <v>95</v>
      </c>
      <c r="C909" s="11" t="s">
        <v>96</v>
      </c>
      <c r="D909" s="10" t="s">
        <v>17</v>
      </c>
      <c r="E909" s="11" t="s">
        <v>48</v>
      </c>
      <c r="F909" s="13">
        <v>9.93</v>
      </c>
      <c r="G909" s="14">
        <v>45093.0</v>
      </c>
      <c r="H909" s="15">
        <f t="shared" si="1"/>
        <v>16</v>
      </c>
      <c r="I909" s="16">
        <f t="shared" si="2"/>
        <v>6</v>
      </c>
      <c r="J909" s="15">
        <f t="shared" si="3"/>
        <v>2023</v>
      </c>
      <c r="K909" s="16">
        <f>STANDARDIZE(F909,'estatística'!$C$2,'estatística'!$H$2)</f>
        <v>0.1092681692</v>
      </c>
    </row>
    <row r="910" ht="15.75" customHeight="1">
      <c r="A910" s="9">
        <v>100.0</v>
      </c>
      <c r="B910" s="10" t="s">
        <v>30</v>
      </c>
      <c r="C910" s="11" t="s">
        <v>31</v>
      </c>
      <c r="D910" s="10" t="s">
        <v>13</v>
      </c>
      <c r="E910" s="11" t="s">
        <v>33</v>
      </c>
      <c r="F910" s="13">
        <v>64.95</v>
      </c>
      <c r="G910" s="14">
        <v>45093.0</v>
      </c>
      <c r="H910" s="15">
        <f t="shared" si="1"/>
        <v>16</v>
      </c>
      <c r="I910" s="16">
        <f t="shared" si="2"/>
        <v>6</v>
      </c>
      <c r="J910" s="15">
        <f t="shared" si="3"/>
        <v>2023</v>
      </c>
      <c r="K910" s="16">
        <f>STANDARDIZE(F910,'estatística'!$C$2,'estatística'!$H$2)</f>
        <v>0.8059002279</v>
      </c>
    </row>
    <row r="911" ht="15.75" customHeight="1">
      <c r="A911" s="9">
        <v>91.0</v>
      </c>
      <c r="B911" s="10" t="s">
        <v>81</v>
      </c>
      <c r="C911" s="11" t="s">
        <v>82</v>
      </c>
      <c r="D911" s="10" t="s">
        <v>13</v>
      </c>
      <c r="E911" s="11" t="s">
        <v>80</v>
      </c>
      <c r="F911" s="13">
        <v>36.0</v>
      </c>
      <c r="G911" s="14">
        <v>45094.0</v>
      </c>
      <c r="H911" s="15">
        <f t="shared" si="1"/>
        <v>17</v>
      </c>
      <c r="I911" s="16">
        <f t="shared" si="2"/>
        <v>6</v>
      </c>
      <c r="J911" s="15">
        <f t="shared" si="3"/>
        <v>2023</v>
      </c>
      <c r="K911" s="16">
        <f>STANDARDIZE(F911,'estatística'!$C$2,'estatística'!$H$2)</f>
        <v>0.4393517346</v>
      </c>
    </row>
    <row r="912" ht="15.75" customHeight="1">
      <c r="A912" s="9">
        <v>23.0</v>
      </c>
      <c r="B912" s="10" t="s">
        <v>207</v>
      </c>
      <c r="C912" s="11" t="s">
        <v>208</v>
      </c>
      <c r="D912" s="10" t="s">
        <v>13</v>
      </c>
      <c r="E912" s="11" t="s">
        <v>116</v>
      </c>
      <c r="F912" s="13">
        <v>4.94</v>
      </c>
      <c r="G912" s="14">
        <v>45094.0</v>
      </c>
      <c r="H912" s="15">
        <f t="shared" si="1"/>
        <v>17</v>
      </c>
      <c r="I912" s="16">
        <f t="shared" si="2"/>
        <v>6</v>
      </c>
      <c r="J912" s="15">
        <f t="shared" si="3"/>
        <v>2023</v>
      </c>
      <c r="K912" s="16">
        <f>STANDARDIZE(F912,'estatística'!$C$2,'estatística'!$H$2)</f>
        <v>0.04608761712</v>
      </c>
    </row>
    <row r="913" ht="15.75" customHeight="1">
      <c r="A913" s="9">
        <v>55.0</v>
      </c>
      <c r="B913" s="10" t="s">
        <v>174</v>
      </c>
      <c r="C913" s="11" t="s">
        <v>175</v>
      </c>
      <c r="D913" s="10" t="s">
        <v>17</v>
      </c>
      <c r="E913" s="11" t="s">
        <v>91</v>
      </c>
      <c r="F913" s="13">
        <v>1.71</v>
      </c>
      <c r="G913" s="14">
        <v>45094.0</v>
      </c>
      <c r="H913" s="15">
        <f t="shared" si="1"/>
        <v>17</v>
      </c>
      <c r="I913" s="16">
        <f t="shared" si="2"/>
        <v>6</v>
      </c>
      <c r="J913" s="15">
        <f t="shared" si="3"/>
        <v>2023</v>
      </c>
      <c r="K913" s="16">
        <f>STANDARDIZE(F913,'estatística'!$C$2,'estatística'!$H$2)</f>
        <v>0.005191187642</v>
      </c>
    </row>
    <row r="914" ht="15.75" customHeight="1">
      <c r="A914" s="9">
        <v>42.0</v>
      </c>
      <c r="B914" s="10" t="s">
        <v>60</v>
      </c>
      <c r="C914" s="11" t="s">
        <v>142</v>
      </c>
      <c r="D914" s="10" t="s">
        <v>17</v>
      </c>
      <c r="E914" s="11" t="s">
        <v>68</v>
      </c>
      <c r="F914" s="13">
        <v>15.03</v>
      </c>
      <c r="G914" s="14">
        <v>45094.0</v>
      </c>
      <c r="H914" s="15">
        <f t="shared" si="1"/>
        <v>17</v>
      </c>
      <c r="I914" s="16">
        <f t="shared" si="2"/>
        <v>6</v>
      </c>
      <c r="J914" s="15">
        <f t="shared" si="3"/>
        <v>2023</v>
      </c>
      <c r="K914" s="16">
        <f>STANDARDIZE(F914,'estatística'!$C$2,'estatística'!$H$2)</f>
        <v>0.1738414789</v>
      </c>
    </row>
    <row r="915" ht="15.75" customHeight="1">
      <c r="A915" s="9">
        <v>27.0</v>
      </c>
      <c r="B915" s="10" t="s">
        <v>145</v>
      </c>
      <c r="C915" s="11" t="s">
        <v>146</v>
      </c>
      <c r="D915" s="10" t="s">
        <v>13</v>
      </c>
      <c r="E915" s="11" t="s">
        <v>62</v>
      </c>
      <c r="F915" s="13">
        <v>11.84</v>
      </c>
      <c r="G915" s="14">
        <v>45094.0</v>
      </c>
      <c r="H915" s="15">
        <f t="shared" si="1"/>
        <v>17</v>
      </c>
      <c r="I915" s="16">
        <f t="shared" si="2"/>
        <v>6</v>
      </c>
      <c r="J915" s="15">
        <f t="shared" si="3"/>
        <v>2023</v>
      </c>
      <c r="K915" s="16">
        <f>STANDARDIZE(F915,'estatística'!$C$2,'estatística'!$H$2)</f>
        <v>0.1334515067</v>
      </c>
    </row>
    <row r="916" ht="15.75" customHeight="1">
      <c r="A916" s="9">
        <v>37.0</v>
      </c>
      <c r="B916" s="10" t="s">
        <v>217</v>
      </c>
      <c r="C916" s="11" t="s">
        <v>218</v>
      </c>
      <c r="D916" s="10" t="s">
        <v>17</v>
      </c>
      <c r="E916" s="11" t="s">
        <v>57</v>
      </c>
      <c r="F916" s="13">
        <v>17.65</v>
      </c>
      <c r="G916" s="14">
        <v>45095.0</v>
      </c>
      <c r="H916" s="15">
        <f t="shared" si="1"/>
        <v>18</v>
      </c>
      <c r="I916" s="16">
        <f t="shared" si="2"/>
        <v>6</v>
      </c>
      <c r="J916" s="15">
        <f t="shared" si="3"/>
        <v>2023</v>
      </c>
      <c r="K916" s="16">
        <f>STANDARDIZE(F916,'estatística'!$C$2,'estatística'!$H$2)</f>
        <v>0.207014434</v>
      </c>
    </row>
    <row r="917" ht="15.75" customHeight="1">
      <c r="A917" s="9">
        <v>63.0</v>
      </c>
      <c r="B917" s="10" t="s">
        <v>197</v>
      </c>
      <c r="C917" s="11" t="s">
        <v>198</v>
      </c>
      <c r="D917" s="10" t="s">
        <v>17</v>
      </c>
      <c r="E917" s="11" t="s">
        <v>57</v>
      </c>
      <c r="F917" s="13">
        <v>17.34</v>
      </c>
      <c r="G917" s="14">
        <v>45095.0</v>
      </c>
      <c r="H917" s="15">
        <f t="shared" si="1"/>
        <v>18</v>
      </c>
      <c r="I917" s="16">
        <f t="shared" si="2"/>
        <v>6</v>
      </c>
      <c r="J917" s="15">
        <f t="shared" si="3"/>
        <v>2023</v>
      </c>
      <c r="K917" s="16">
        <f>STANDARDIZE(F917,'estatística'!$C$2,'estatística'!$H$2)</f>
        <v>0.2030893897</v>
      </c>
    </row>
    <row r="918" ht="15.75" customHeight="1">
      <c r="A918" s="9">
        <v>71.0</v>
      </c>
      <c r="B918" s="10" t="s">
        <v>122</v>
      </c>
      <c r="C918" s="11" t="s">
        <v>123</v>
      </c>
      <c r="D918" s="10" t="s">
        <v>13</v>
      </c>
      <c r="E918" s="11" t="s">
        <v>18</v>
      </c>
      <c r="F918" s="13">
        <v>37.57</v>
      </c>
      <c r="G918" s="14">
        <v>45095.0</v>
      </c>
      <c r="H918" s="15">
        <f t="shared" si="1"/>
        <v>18</v>
      </c>
      <c r="I918" s="16">
        <f t="shared" si="2"/>
        <v>6</v>
      </c>
      <c r="J918" s="15">
        <f t="shared" si="3"/>
        <v>2023</v>
      </c>
      <c r="K918" s="16">
        <f>STANDARDIZE(F918,'estatística'!$C$2,'estatística'!$H$2)</f>
        <v>0.4592301849</v>
      </c>
    </row>
    <row r="919" ht="15.75" customHeight="1">
      <c r="A919" s="9">
        <v>97.0</v>
      </c>
      <c r="B919" s="10" t="s">
        <v>44</v>
      </c>
      <c r="C919" s="11" t="s">
        <v>45</v>
      </c>
      <c r="D919" s="10" t="s">
        <v>13</v>
      </c>
      <c r="E919" s="11" t="s">
        <v>57</v>
      </c>
      <c r="F919" s="13">
        <v>17.39</v>
      </c>
      <c r="G919" s="14">
        <v>45095.0</v>
      </c>
      <c r="H919" s="15">
        <f t="shared" si="1"/>
        <v>18</v>
      </c>
      <c r="I919" s="16">
        <f t="shared" si="2"/>
        <v>6</v>
      </c>
      <c r="J919" s="15">
        <f t="shared" si="3"/>
        <v>2023</v>
      </c>
      <c r="K919" s="16">
        <f>STANDARDIZE(F919,'estatística'!$C$2,'estatística'!$H$2)</f>
        <v>0.2037224614</v>
      </c>
    </row>
    <row r="920" ht="15.75" customHeight="1">
      <c r="A920" s="9">
        <v>34.0</v>
      </c>
      <c r="B920" s="10" t="s">
        <v>149</v>
      </c>
      <c r="C920" s="11" t="s">
        <v>150</v>
      </c>
      <c r="D920" s="10" t="s">
        <v>13</v>
      </c>
      <c r="E920" s="11" t="s">
        <v>14</v>
      </c>
      <c r="F920" s="13">
        <v>10.44</v>
      </c>
      <c r="G920" s="14">
        <v>45096.0</v>
      </c>
      <c r="H920" s="15">
        <f t="shared" si="1"/>
        <v>19</v>
      </c>
      <c r="I920" s="16">
        <f t="shared" si="2"/>
        <v>6</v>
      </c>
      <c r="J920" s="15">
        <f t="shared" si="3"/>
        <v>2023</v>
      </c>
      <c r="K920" s="16">
        <f>STANDARDIZE(F920,'estatística'!$C$2,'estatística'!$H$2)</f>
        <v>0.1157255001</v>
      </c>
    </row>
    <row r="921" ht="15.75" customHeight="1">
      <c r="A921" s="9">
        <v>69.0</v>
      </c>
      <c r="B921" s="10" t="s">
        <v>75</v>
      </c>
      <c r="C921" s="11" t="s">
        <v>117</v>
      </c>
      <c r="D921" s="10" t="s">
        <v>17</v>
      </c>
      <c r="E921" s="11" t="s">
        <v>116</v>
      </c>
      <c r="F921" s="13">
        <v>5.4</v>
      </c>
      <c r="G921" s="14">
        <v>45096.0</v>
      </c>
      <c r="H921" s="15">
        <f t="shared" si="1"/>
        <v>19</v>
      </c>
      <c r="I921" s="16">
        <f t="shared" si="2"/>
        <v>6</v>
      </c>
      <c r="J921" s="15">
        <f t="shared" si="3"/>
        <v>2023</v>
      </c>
      <c r="K921" s="16">
        <f>STANDARDIZE(F921,'estatística'!$C$2,'estatística'!$H$2)</f>
        <v>0.05191187642</v>
      </c>
    </row>
    <row r="922" ht="15.75" customHeight="1">
      <c r="A922" s="9">
        <v>60.0</v>
      </c>
      <c r="B922" s="10" t="s">
        <v>42</v>
      </c>
      <c r="C922" s="11" t="s">
        <v>43</v>
      </c>
      <c r="D922" s="10" t="s">
        <v>17</v>
      </c>
      <c r="E922" s="11" t="s">
        <v>62</v>
      </c>
      <c r="F922" s="13">
        <v>11.73</v>
      </c>
      <c r="G922" s="14">
        <v>45096.0</v>
      </c>
      <c r="H922" s="15">
        <f t="shared" si="1"/>
        <v>19</v>
      </c>
      <c r="I922" s="16">
        <f t="shared" si="2"/>
        <v>6</v>
      </c>
      <c r="J922" s="15">
        <f t="shared" si="3"/>
        <v>2023</v>
      </c>
      <c r="K922" s="16">
        <f>STANDARDIZE(F922,'estatística'!$C$2,'estatística'!$H$2)</f>
        <v>0.1320587491</v>
      </c>
    </row>
    <row r="923" ht="15.75" customHeight="1">
      <c r="A923" s="9">
        <v>94.0</v>
      </c>
      <c r="B923" s="10" t="s">
        <v>179</v>
      </c>
      <c r="C923" s="11" t="s">
        <v>209</v>
      </c>
      <c r="D923" s="10" t="s">
        <v>17</v>
      </c>
      <c r="E923" s="11" t="s">
        <v>80</v>
      </c>
      <c r="F923" s="13">
        <v>37.34</v>
      </c>
      <c r="G923" s="14">
        <v>45096.0</v>
      </c>
      <c r="H923" s="15">
        <f t="shared" si="1"/>
        <v>19</v>
      </c>
      <c r="I923" s="16">
        <f t="shared" si="2"/>
        <v>6</v>
      </c>
      <c r="J923" s="15">
        <f t="shared" si="3"/>
        <v>2023</v>
      </c>
      <c r="K923" s="16">
        <f>STANDARDIZE(F923,'estatística'!$C$2,'estatística'!$H$2)</f>
        <v>0.4563180552</v>
      </c>
    </row>
    <row r="924" ht="15.75" customHeight="1">
      <c r="A924" s="9">
        <v>99.0</v>
      </c>
      <c r="B924" s="10" t="s">
        <v>46</v>
      </c>
      <c r="C924" s="11" t="s">
        <v>47</v>
      </c>
      <c r="D924" s="10" t="s">
        <v>13</v>
      </c>
      <c r="E924" s="11" t="s">
        <v>21</v>
      </c>
      <c r="F924" s="13">
        <v>17.63</v>
      </c>
      <c r="G924" s="14">
        <v>45096.0</v>
      </c>
      <c r="H924" s="15">
        <f t="shared" si="1"/>
        <v>19</v>
      </c>
      <c r="I924" s="16">
        <f t="shared" si="2"/>
        <v>6</v>
      </c>
      <c r="J924" s="15">
        <f t="shared" si="3"/>
        <v>2023</v>
      </c>
      <c r="K924" s="16">
        <f>STANDARDIZE(F924,'estatística'!$C$2,'estatística'!$H$2)</f>
        <v>0.2067612054</v>
      </c>
    </row>
    <row r="925" ht="15.75" customHeight="1">
      <c r="A925" s="9">
        <v>86.0</v>
      </c>
      <c r="B925" s="10" t="s">
        <v>40</v>
      </c>
      <c r="C925" s="11" t="s">
        <v>41</v>
      </c>
      <c r="D925" s="10" t="s">
        <v>13</v>
      </c>
      <c r="E925" s="11" t="s">
        <v>107</v>
      </c>
      <c r="F925" s="13">
        <v>32.41</v>
      </c>
      <c r="G925" s="14">
        <v>45096.0</v>
      </c>
      <c r="H925" s="15">
        <f t="shared" si="1"/>
        <v>19</v>
      </c>
      <c r="I925" s="16">
        <f t="shared" si="2"/>
        <v>6</v>
      </c>
      <c r="J925" s="15">
        <f t="shared" si="3"/>
        <v>2023</v>
      </c>
      <c r="K925" s="16">
        <f>STANDARDIZE(F925,'estatística'!$C$2,'estatística'!$H$2)</f>
        <v>0.3938971892</v>
      </c>
    </row>
    <row r="926" ht="15.75" customHeight="1">
      <c r="A926" s="9">
        <v>50.0</v>
      </c>
      <c r="B926" s="10" t="s">
        <v>19</v>
      </c>
      <c r="C926" s="11" t="s">
        <v>20</v>
      </c>
      <c r="D926" s="10" t="s">
        <v>17</v>
      </c>
      <c r="E926" s="11" t="s">
        <v>80</v>
      </c>
      <c r="F926" s="13">
        <v>32.92</v>
      </c>
      <c r="G926" s="14">
        <v>45096.0</v>
      </c>
      <c r="H926" s="15">
        <f t="shared" si="1"/>
        <v>19</v>
      </c>
      <c r="I926" s="16">
        <f t="shared" si="2"/>
        <v>6</v>
      </c>
      <c r="J926" s="15">
        <f t="shared" si="3"/>
        <v>2023</v>
      </c>
      <c r="K926" s="16">
        <f>STANDARDIZE(F926,'estatística'!$C$2,'estatística'!$H$2)</f>
        <v>0.4003545201</v>
      </c>
    </row>
    <row r="927" ht="15.75" customHeight="1">
      <c r="A927" s="9">
        <v>46.0</v>
      </c>
      <c r="B927" s="10" t="s">
        <v>114</v>
      </c>
      <c r="C927" s="11" t="s">
        <v>115</v>
      </c>
      <c r="D927" s="10" t="s">
        <v>13</v>
      </c>
      <c r="E927" s="11" t="s">
        <v>77</v>
      </c>
      <c r="F927" s="13">
        <v>13.69</v>
      </c>
      <c r="G927" s="14">
        <v>45097.0</v>
      </c>
      <c r="H927" s="15">
        <f t="shared" si="1"/>
        <v>20</v>
      </c>
      <c r="I927" s="16">
        <f t="shared" si="2"/>
        <v>6</v>
      </c>
      <c r="J927" s="15">
        <f t="shared" si="3"/>
        <v>2023</v>
      </c>
      <c r="K927" s="16">
        <f>STANDARDIZE(F927,'estatística'!$C$2,'estatística'!$H$2)</f>
        <v>0.1568751583</v>
      </c>
    </row>
    <row r="928" ht="15.75" customHeight="1">
      <c r="A928" s="9">
        <v>42.0</v>
      </c>
      <c r="B928" s="10" t="s">
        <v>60</v>
      </c>
      <c r="C928" s="11" t="s">
        <v>142</v>
      </c>
      <c r="D928" s="10" t="s">
        <v>13</v>
      </c>
      <c r="E928" s="11" t="s">
        <v>14</v>
      </c>
      <c r="F928" s="13">
        <v>10.18</v>
      </c>
      <c r="G928" s="14">
        <v>45097.0</v>
      </c>
      <c r="H928" s="15">
        <f t="shared" si="1"/>
        <v>20</v>
      </c>
      <c r="I928" s="16">
        <f t="shared" si="2"/>
        <v>6</v>
      </c>
      <c r="J928" s="15">
        <f t="shared" si="3"/>
        <v>2023</v>
      </c>
      <c r="K928" s="16">
        <f>STANDARDIZE(F928,'estatística'!$C$2,'estatística'!$H$2)</f>
        <v>0.1124335275</v>
      </c>
    </row>
    <row r="929" ht="15.75" customHeight="1">
      <c r="A929" s="9">
        <v>42.0</v>
      </c>
      <c r="B929" s="10" t="s">
        <v>60</v>
      </c>
      <c r="C929" s="11" t="s">
        <v>142</v>
      </c>
      <c r="D929" s="10" t="s">
        <v>17</v>
      </c>
      <c r="E929" s="11" t="s">
        <v>18</v>
      </c>
      <c r="F929" s="13">
        <v>37.83</v>
      </c>
      <c r="G929" s="14">
        <v>45097.0</v>
      </c>
      <c r="H929" s="15">
        <f t="shared" si="1"/>
        <v>20</v>
      </c>
      <c r="I929" s="16">
        <f t="shared" si="2"/>
        <v>6</v>
      </c>
      <c r="J929" s="15">
        <f t="shared" si="3"/>
        <v>2023</v>
      </c>
      <c r="K929" s="16">
        <f>STANDARDIZE(F929,'estatística'!$C$2,'estatística'!$H$2)</f>
        <v>0.4625221575</v>
      </c>
    </row>
    <row r="930" ht="15.75" customHeight="1">
      <c r="A930" s="9">
        <v>63.0</v>
      </c>
      <c r="B930" s="10" t="s">
        <v>197</v>
      </c>
      <c r="C930" s="11" t="s">
        <v>198</v>
      </c>
      <c r="D930" s="10" t="s">
        <v>13</v>
      </c>
      <c r="E930" s="11" t="s">
        <v>107</v>
      </c>
      <c r="F930" s="13">
        <v>25.79</v>
      </c>
      <c r="G930" s="14">
        <v>45097.0</v>
      </c>
      <c r="H930" s="15">
        <f t="shared" si="1"/>
        <v>20</v>
      </c>
      <c r="I930" s="16">
        <f t="shared" si="2"/>
        <v>6</v>
      </c>
      <c r="J930" s="15">
        <f t="shared" si="3"/>
        <v>2023</v>
      </c>
      <c r="K930" s="16">
        <f>STANDARDIZE(F930,'estatística'!$C$2,'estatística'!$H$2)</f>
        <v>0.3100785009</v>
      </c>
    </row>
    <row r="931" ht="15.75" customHeight="1">
      <c r="A931" s="9">
        <v>94.0</v>
      </c>
      <c r="B931" s="10" t="s">
        <v>179</v>
      </c>
      <c r="C931" s="11" t="s">
        <v>209</v>
      </c>
      <c r="D931" s="10" t="s">
        <v>13</v>
      </c>
      <c r="E931" s="11" t="s">
        <v>27</v>
      </c>
      <c r="F931" s="13">
        <v>14.05</v>
      </c>
      <c r="G931" s="14">
        <v>45097.0</v>
      </c>
      <c r="H931" s="15">
        <f t="shared" si="1"/>
        <v>20</v>
      </c>
      <c r="I931" s="16">
        <f t="shared" si="2"/>
        <v>6</v>
      </c>
      <c r="J931" s="15">
        <f t="shared" si="3"/>
        <v>2023</v>
      </c>
      <c r="K931" s="16">
        <f>STANDARDIZE(F931,'estatística'!$C$2,'estatística'!$H$2)</f>
        <v>0.1614332742</v>
      </c>
    </row>
    <row r="932" ht="15.75" customHeight="1">
      <c r="A932" s="9">
        <v>6.0</v>
      </c>
      <c r="B932" s="10" t="s">
        <v>155</v>
      </c>
      <c r="C932" s="11" t="s">
        <v>156</v>
      </c>
      <c r="D932" s="10" t="s">
        <v>13</v>
      </c>
      <c r="E932" s="11" t="s">
        <v>65</v>
      </c>
      <c r="F932" s="13">
        <v>31.23</v>
      </c>
      <c r="G932" s="14">
        <v>45097.0</v>
      </c>
      <c r="H932" s="15">
        <f t="shared" si="1"/>
        <v>20</v>
      </c>
      <c r="I932" s="16">
        <f t="shared" si="2"/>
        <v>6</v>
      </c>
      <c r="J932" s="15">
        <f t="shared" si="3"/>
        <v>2023</v>
      </c>
      <c r="K932" s="16">
        <f>STANDARDIZE(F932,'estatística'!$C$2,'estatística'!$H$2)</f>
        <v>0.3789566979</v>
      </c>
    </row>
    <row r="933" ht="15.75" customHeight="1">
      <c r="A933" s="9">
        <v>45.0</v>
      </c>
      <c r="B933" s="10" t="s">
        <v>193</v>
      </c>
      <c r="C933" s="11" t="s">
        <v>194</v>
      </c>
      <c r="D933" s="10" t="s">
        <v>17</v>
      </c>
      <c r="E933" s="11" t="s">
        <v>62</v>
      </c>
      <c r="F933" s="13">
        <v>12.17</v>
      </c>
      <c r="G933" s="14">
        <v>45098.0</v>
      </c>
      <c r="H933" s="15">
        <f t="shared" si="1"/>
        <v>21</v>
      </c>
      <c r="I933" s="16">
        <f t="shared" si="2"/>
        <v>6</v>
      </c>
      <c r="J933" s="15">
        <f t="shared" si="3"/>
        <v>2023</v>
      </c>
      <c r="K933" s="16">
        <f>STANDARDIZE(F933,'estatística'!$C$2,'estatística'!$H$2)</f>
        <v>0.1376297797</v>
      </c>
    </row>
    <row r="934" ht="15.75" customHeight="1">
      <c r="A934" s="9">
        <v>39.0</v>
      </c>
      <c r="B934" s="10" t="s">
        <v>58</v>
      </c>
      <c r="C934" s="11" t="s">
        <v>59</v>
      </c>
      <c r="D934" s="10" t="s">
        <v>13</v>
      </c>
      <c r="E934" s="11" t="s">
        <v>24</v>
      </c>
      <c r="F934" s="13">
        <v>32.41</v>
      </c>
      <c r="G934" s="14">
        <v>45098.0</v>
      </c>
      <c r="H934" s="15">
        <f t="shared" si="1"/>
        <v>21</v>
      </c>
      <c r="I934" s="16">
        <f t="shared" si="2"/>
        <v>6</v>
      </c>
      <c r="J934" s="15">
        <f t="shared" si="3"/>
        <v>2023</v>
      </c>
      <c r="K934" s="16">
        <f>STANDARDIZE(F934,'estatística'!$C$2,'estatística'!$H$2)</f>
        <v>0.3938971892</v>
      </c>
    </row>
    <row r="935" ht="15.75" customHeight="1">
      <c r="A935" s="9">
        <v>35.0</v>
      </c>
      <c r="B935" s="10" t="s">
        <v>95</v>
      </c>
      <c r="C935" s="11" t="s">
        <v>96</v>
      </c>
      <c r="D935" s="10" t="s">
        <v>13</v>
      </c>
      <c r="E935" s="11" t="s">
        <v>77</v>
      </c>
      <c r="F935" s="13">
        <v>13.21</v>
      </c>
      <c r="G935" s="14">
        <v>45098.0</v>
      </c>
      <c r="H935" s="15">
        <f t="shared" si="1"/>
        <v>21</v>
      </c>
      <c r="I935" s="16">
        <f t="shared" si="2"/>
        <v>6</v>
      </c>
      <c r="J935" s="15">
        <f t="shared" si="3"/>
        <v>2023</v>
      </c>
      <c r="K935" s="16">
        <f>STANDARDIZE(F935,'estatística'!$C$2,'estatística'!$H$2)</f>
        <v>0.1507976703</v>
      </c>
    </row>
    <row r="936" ht="15.75" customHeight="1">
      <c r="A936" s="9">
        <v>26.0</v>
      </c>
      <c r="B936" s="10" t="s">
        <v>183</v>
      </c>
      <c r="C936" s="11" t="s">
        <v>184</v>
      </c>
      <c r="D936" s="10" t="s">
        <v>13</v>
      </c>
      <c r="E936" s="11" t="s">
        <v>80</v>
      </c>
      <c r="F936" s="13">
        <v>35.79</v>
      </c>
      <c r="G936" s="14">
        <v>45098.0</v>
      </c>
      <c r="H936" s="15">
        <f t="shared" si="1"/>
        <v>21</v>
      </c>
      <c r="I936" s="16">
        <f t="shared" si="2"/>
        <v>6</v>
      </c>
      <c r="J936" s="15">
        <f t="shared" si="3"/>
        <v>2023</v>
      </c>
      <c r="K936" s="16">
        <f>STANDARDIZE(F936,'estatística'!$C$2,'estatística'!$H$2)</f>
        <v>0.4366928336</v>
      </c>
    </row>
    <row r="937" ht="15.75" customHeight="1">
      <c r="A937" s="9">
        <v>4.0</v>
      </c>
      <c r="B937" s="10" t="s">
        <v>87</v>
      </c>
      <c r="C937" s="11" t="s">
        <v>88</v>
      </c>
      <c r="D937" s="10" t="s">
        <v>17</v>
      </c>
      <c r="E937" s="11" t="s">
        <v>116</v>
      </c>
      <c r="F937" s="13">
        <v>3.83</v>
      </c>
      <c r="G937" s="14">
        <v>45098.0</v>
      </c>
      <c r="H937" s="15">
        <f t="shared" si="1"/>
        <v>21</v>
      </c>
      <c r="I937" s="16">
        <f t="shared" si="2"/>
        <v>6</v>
      </c>
      <c r="J937" s="15">
        <f t="shared" si="3"/>
        <v>2023</v>
      </c>
      <c r="K937" s="16">
        <f>STANDARDIZE(F937,'estatística'!$C$2,'estatística'!$H$2)</f>
        <v>0.03203342618</v>
      </c>
    </row>
    <row r="938" ht="15.75" customHeight="1">
      <c r="A938" s="9">
        <v>91.0</v>
      </c>
      <c r="B938" s="10" t="s">
        <v>81</v>
      </c>
      <c r="C938" s="11" t="s">
        <v>82</v>
      </c>
      <c r="D938" s="10" t="s">
        <v>13</v>
      </c>
      <c r="E938" s="11" t="s">
        <v>48</v>
      </c>
      <c r="F938" s="13">
        <v>15.67</v>
      </c>
      <c r="G938" s="14">
        <v>45099.0</v>
      </c>
      <c r="H938" s="15">
        <f t="shared" si="1"/>
        <v>22</v>
      </c>
      <c r="I938" s="16">
        <f t="shared" si="2"/>
        <v>6</v>
      </c>
      <c r="J938" s="15">
        <f t="shared" si="3"/>
        <v>2023</v>
      </c>
      <c r="K938" s="16">
        <f>STANDARDIZE(F938,'estatística'!$C$2,'estatística'!$H$2)</f>
        <v>0.1819447962</v>
      </c>
    </row>
    <row r="939" ht="15.75" customHeight="1">
      <c r="A939" s="9">
        <v>89.0</v>
      </c>
      <c r="B939" s="10" t="s">
        <v>105</v>
      </c>
      <c r="C939" s="11" t="s">
        <v>106</v>
      </c>
      <c r="D939" s="10" t="s">
        <v>13</v>
      </c>
      <c r="E939" s="11" t="s">
        <v>116</v>
      </c>
      <c r="F939" s="13">
        <v>3.78</v>
      </c>
      <c r="G939" s="14">
        <v>45099.0</v>
      </c>
      <c r="H939" s="15">
        <f t="shared" si="1"/>
        <v>22</v>
      </c>
      <c r="I939" s="16">
        <f t="shared" si="2"/>
        <v>6</v>
      </c>
      <c r="J939" s="15">
        <f t="shared" si="3"/>
        <v>2023</v>
      </c>
      <c r="K939" s="16">
        <f>STANDARDIZE(F939,'estatística'!$C$2,'estatística'!$H$2)</f>
        <v>0.03140035452</v>
      </c>
    </row>
    <row r="940" ht="15.75" customHeight="1">
      <c r="A940" s="9">
        <v>79.0</v>
      </c>
      <c r="B940" s="10" t="s">
        <v>69</v>
      </c>
      <c r="C940" s="11" t="s">
        <v>70</v>
      </c>
      <c r="D940" s="10" t="s">
        <v>17</v>
      </c>
      <c r="E940" s="11" t="s">
        <v>21</v>
      </c>
      <c r="F940" s="13">
        <v>20.16</v>
      </c>
      <c r="G940" s="14">
        <v>45099.0</v>
      </c>
      <c r="H940" s="15">
        <f t="shared" si="1"/>
        <v>22</v>
      </c>
      <c r="I940" s="16">
        <f t="shared" si="2"/>
        <v>6</v>
      </c>
      <c r="J940" s="15">
        <f t="shared" si="3"/>
        <v>2023</v>
      </c>
      <c r="K940" s="16">
        <f>STANDARDIZE(F940,'estatística'!$C$2,'estatística'!$H$2)</f>
        <v>0.2387946316</v>
      </c>
    </row>
    <row r="941" ht="15.75" customHeight="1">
      <c r="A941" s="9">
        <v>2.0</v>
      </c>
      <c r="B941" s="10" t="s">
        <v>53</v>
      </c>
      <c r="C941" s="11" t="s">
        <v>54</v>
      </c>
      <c r="D941" s="10" t="s">
        <v>17</v>
      </c>
      <c r="E941" s="11" t="s">
        <v>116</v>
      </c>
      <c r="F941" s="13">
        <v>3.04</v>
      </c>
      <c r="G941" s="14">
        <v>45099.0</v>
      </c>
      <c r="H941" s="15">
        <f t="shared" si="1"/>
        <v>22</v>
      </c>
      <c r="I941" s="16">
        <f t="shared" si="2"/>
        <v>6</v>
      </c>
      <c r="J941" s="15">
        <f t="shared" si="3"/>
        <v>2023</v>
      </c>
      <c r="K941" s="16">
        <f>STANDARDIZE(F941,'estatística'!$C$2,'estatística'!$H$2)</f>
        <v>0.0220308939</v>
      </c>
    </row>
    <row r="942" ht="15.75" customHeight="1">
      <c r="A942" s="9">
        <v>64.0</v>
      </c>
      <c r="B942" s="10" t="s">
        <v>131</v>
      </c>
      <c r="C942" s="11" t="s">
        <v>132</v>
      </c>
      <c r="D942" s="10" t="s">
        <v>13</v>
      </c>
      <c r="E942" s="11" t="s">
        <v>91</v>
      </c>
      <c r="F942" s="13">
        <v>3.58</v>
      </c>
      <c r="G942" s="14">
        <v>45100.0</v>
      </c>
      <c r="H942" s="15">
        <f t="shared" si="1"/>
        <v>23</v>
      </c>
      <c r="I942" s="16">
        <f t="shared" si="2"/>
        <v>6</v>
      </c>
      <c r="J942" s="15">
        <f t="shared" si="3"/>
        <v>2023</v>
      </c>
      <c r="K942" s="16">
        <f>STANDARDIZE(F942,'estatística'!$C$2,'estatística'!$H$2)</f>
        <v>0.02886806787</v>
      </c>
    </row>
    <row r="943" ht="15.75" customHeight="1">
      <c r="A943" s="9">
        <v>57.0</v>
      </c>
      <c r="B943" s="10" t="s">
        <v>60</v>
      </c>
      <c r="C943" s="11" t="s">
        <v>162</v>
      </c>
      <c r="D943" s="10" t="s">
        <v>13</v>
      </c>
      <c r="E943" s="11" t="s">
        <v>107</v>
      </c>
      <c r="F943" s="13">
        <v>28.13</v>
      </c>
      <c r="G943" s="14">
        <v>45100.0</v>
      </c>
      <c r="H943" s="15">
        <f t="shared" si="1"/>
        <v>23</v>
      </c>
      <c r="I943" s="16">
        <f t="shared" si="2"/>
        <v>6</v>
      </c>
      <c r="J943" s="15">
        <f t="shared" si="3"/>
        <v>2023</v>
      </c>
      <c r="K943" s="16">
        <f>STANDARDIZE(F943,'estatística'!$C$2,'estatística'!$H$2)</f>
        <v>0.3397062547</v>
      </c>
    </row>
    <row r="944" ht="15.75" customHeight="1">
      <c r="A944" s="9">
        <v>50.0</v>
      </c>
      <c r="B944" s="10" t="s">
        <v>19</v>
      </c>
      <c r="C944" s="11" t="s">
        <v>20</v>
      </c>
      <c r="D944" s="10" t="s">
        <v>13</v>
      </c>
      <c r="E944" s="11" t="s">
        <v>36</v>
      </c>
      <c r="F944" s="13">
        <v>77.3</v>
      </c>
      <c r="G944" s="14">
        <v>45100.0</v>
      </c>
      <c r="H944" s="15">
        <f t="shared" si="1"/>
        <v>23</v>
      </c>
      <c r="I944" s="16">
        <f t="shared" si="2"/>
        <v>6</v>
      </c>
      <c r="J944" s="15">
        <f t="shared" si="3"/>
        <v>2023</v>
      </c>
      <c r="K944" s="16">
        <f>STANDARDIZE(F944,'estatística'!$C$2,'estatística'!$H$2)</f>
        <v>0.9622689288</v>
      </c>
    </row>
    <row r="945" ht="15.75" customHeight="1">
      <c r="A945" s="9">
        <v>99.0</v>
      </c>
      <c r="B945" s="10" t="s">
        <v>46</v>
      </c>
      <c r="C945" s="11" t="s">
        <v>47</v>
      </c>
      <c r="D945" s="10" t="s">
        <v>17</v>
      </c>
      <c r="E945" s="11" t="s">
        <v>27</v>
      </c>
      <c r="F945" s="13">
        <v>19.29</v>
      </c>
      <c r="G945" s="14">
        <v>45100.0</v>
      </c>
      <c r="H945" s="15">
        <f t="shared" si="1"/>
        <v>23</v>
      </c>
      <c r="I945" s="16">
        <f t="shared" si="2"/>
        <v>6</v>
      </c>
      <c r="J945" s="15">
        <f t="shared" si="3"/>
        <v>2023</v>
      </c>
      <c r="K945" s="16">
        <f>STANDARDIZE(F945,'estatística'!$C$2,'estatística'!$H$2)</f>
        <v>0.2277791846</v>
      </c>
    </row>
    <row r="946" ht="15.75" customHeight="1">
      <c r="A946" s="9">
        <v>18.0</v>
      </c>
      <c r="B946" s="10" t="s">
        <v>135</v>
      </c>
      <c r="C946" s="11" t="s">
        <v>212</v>
      </c>
      <c r="D946" s="10" t="s">
        <v>13</v>
      </c>
      <c r="E946" s="11" t="s">
        <v>62</v>
      </c>
      <c r="F946" s="13">
        <v>12.46</v>
      </c>
      <c r="G946" s="14">
        <v>45100.0</v>
      </c>
      <c r="H946" s="15">
        <f t="shared" si="1"/>
        <v>23</v>
      </c>
      <c r="I946" s="16">
        <f t="shared" si="2"/>
        <v>6</v>
      </c>
      <c r="J946" s="15">
        <f t="shared" si="3"/>
        <v>2023</v>
      </c>
      <c r="K946" s="16">
        <f>STANDARDIZE(F946,'estatística'!$C$2,'estatística'!$H$2)</f>
        <v>0.1413015953</v>
      </c>
    </row>
    <row r="947" ht="15.75" customHeight="1">
      <c r="A947" s="9">
        <v>7.0</v>
      </c>
      <c r="B947" s="10" t="s">
        <v>83</v>
      </c>
      <c r="C947" s="11" t="s">
        <v>84</v>
      </c>
      <c r="D947" s="10" t="s">
        <v>13</v>
      </c>
      <c r="E947" s="11" t="s">
        <v>33</v>
      </c>
      <c r="F947" s="13">
        <v>62.06</v>
      </c>
      <c r="G947" s="14">
        <v>45100.0</v>
      </c>
      <c r="H947" s="15">
        <f t="shared" si="1"/>
        <v>23</v>
      </c>
      <c r="I947" s="16">
        <f t="shared" si="2"/>
        <v>6</v>
      </c>
      <c r="J947" s="15">
        <f t="shared" si="3"/>
        <v>2023</v>
      </c>
      <c r="K947" s="16">
        <f>STANDARDIZE(F947,'estatística'!$C$2,'estatística'!$H$2)</f>
        <v>0.7693086857</v>
      </c>
    </row>
    <row r="948" ht="15.75" customHeight="1">
      <c r="A948" s="9">
        <v>6.0</v>
      </c>
      <c r="B948" s="10" t="s">
        <v>155</v>
      </c>
      <c r="C948" s="11" t="s">
        <v>156</v>
      </c>
      <c r="D948" s="10" t="s">
        <v>13</v>
      </c>
      <c r="E948" s="11" t="s">
        <v>39</v>
      </c>
      <c r="F948" s="13">
        <v>36.51</v>
      </c>
      <c r="G948" s="14">
        <v>45100.0</v>
      </c>
      <c r="H948" s="15">
        <f t="shared" si="1"/>
        <v>23</v>
      </c>
      <c r="I948" s="16">
        <f t="shared" si="2"/>
        <v>6</v>
      </c>
      <c r="J948" s="15">
        <f t="shared" si="3"/>
        <v>2023</v>
      </c>
      <c r="K948" s="16">
        <f>STANDARDIZE(F948,'estatística'!$C$2,'estatística'!$H$2)</f>
        <v>0.4458090656</v>
      </c>
    </row>
    <row r="949" ht="15.75" customHeight="1">
      <c r="A949" s="9">
        <v>40.0</v>
      </c>
      <c r="B949" s="10" t="s">
        <v>92</v>
      </c>
      <c r="C949" s="11" t="s">
        <v>157</v>
      </c>
      <c r="D949" s="10" t="s">
        <v>17</v>
      </c>
      <c r="E949" s="11" t="s">
        <v>27</v>
      </c>
      <c r="F949" s="13">
        <v>19.82</v>
      </c>
      <c r="G949" s="14">
        <v>45100.0</v>
      </c>
      <c r="H949" s="15">
        <f t="shared" si="1"/>
        <v>23</v>
      </c>
      <c r="I949" s="16">
        <f t="shared" si="2"/>
        <v>6</v>
      </c>
      <c r="J949" s="15">
        <f t="shared" si="3"/>
        <v>2023</v>
      </c>
      <c r="K949" s="16">
        <f>STANDARDIZE(F949,'estatística'!$C$2,'estatística'!$H$2)</f>
        <v>0.2344897442</v>
      </c>
    </row>
    <row r="950" ht="15.75" customHeight="1">
      <c r="A950" s="9">
        <v>27.0</v>
      </c>
      <c r="B950" s="10" t="s">
        <v>145</v>
      </c>
      <c r="C950" s="11" t="s">
        <v>146</v>
      </c>
      <c r="D950" s="10" t="s">
        <v>13</v>
      </c>
      <c r="E950" s="11" t="s">
        <v>18</v>
      </c>
      <c r="F950" s="13">
        <v>50.7</v>
      </c>
      <c r="G950" s="14">
        <v>45101.0</v>
      </c>
      <c r="H950" s="15">
        <f t="shared" si="1"/>
        <v>24</v>
      </c>
      <c r="I950" s="16">
        <f t="shared" si="2"/>
        <v>6</v>
      </c>
      <c r="J950" s="15">
        <f t="shared" si="3"/>
        <v>2023</v>
      </c>
      <c r="K950" s="16">
        <f>STANDARDIZE(F950,'estatística'!$C$2,'estatística'!$H$2)</f>
        <v>0.6254748037</v>
      </c>
    </row>
    <row r="951" ht="15.75" customHeight="1">
      <c r="A951" s="9">
        <v>18.0</v>
      </c>
      <c r="B951" s="10" t="s">
        <v>135</v>
      </c>
      <c r="C951" s="11" t="s">
        <v>212</v>
      </c>
      <c r="D951" s="10" t="s">
        <v>13</v>
      </c>
      <c r="E951" s="11" t="s">
        <v>32</v>
      </c>
      <c r="F951" s="13">
        <v>32.22</v>
      </c>
      <c r="G951" s="14">
        <v>45101.0</v>
      </c>
      <c r="H951" s="15">
        <f t="shared" si="1"/>
        <v>24</v>
      </c>
      <c r="I951" s="16">
        <f t="shared" si="2"/>
        <v>6</v>
      </c>
      <c r="J951" s="15">
        <f t="shared" si="3"/>
        <v>2023</v>
      </c>
      <c r="K951" s="16">
        <f>STANDARDIZE(F951,'estatística'!$C$2,'estatística'!$H$2)</f>
        <v>0.3914915168</v>
      </c>
    </row>
    <row r="952" ht="15.75" customHeight="1">
      <c r="A952" s="9">
        <v>65.0</v>
      </c>
      <c r="B952" s="10" t="s">
        <v>181</v>
      </c>
      <c r="C952" s="11" t="s">
        <v>182</v>
      </c>
      <c r="D952" s="10" t="s">
        <v>13</v>
      </c>
      <c r="E952" s="11" t="s">
        <v>48</v>
      </c>
      <c r="F952" s="13">
        <v>6.85</v>
      </c>
      <c r="G952" s="14">
        <v>45101.0</v>
      </c>
      <c r="H952" s="15">
        <f t="shared" si="1"/>
        <v>24</v>
      </c>
      <c r="I952" s="16">
        <f t="shared" si="2"/>
        <v>6</v>
      </c>
      <c r="J952" s="15">
        <f t="shared" si="3"/>
        <v>2023</v>
      </c>
      <c r="K952" s="16">
        <f>STANDARDIZE(F952,'estatística'!$C$2,'estatística'!$H$2)</f>
        <v>0.07027095467</v>
      </c>
    </row>
    <row r="953" ht="15.75" customHeight="1">
      <c r="A953" s="9">
        <v>15.0</v>
      </c>
      <c r="B953" s="10" t="s">
        <v>37</v>
      </c>
      <c r="C953" s="11" t="s">
        <v>38</v>
      </c>
      <c r="D953" s="10" t="s">
        <v>13</v>
      </c>
      <c r="E953" s="11" t="s">
        <v>24</v>
      </c>
      <c r="F953" s="13">
        <v>29.22</v>
      </c>
      <c r="G953" s="14">
        <v>45101.0</v>
      </c>
      <c r="H953" s="15">
        <f t="shared" si="1"/>
        <v>24</v>
      </c>
      <c r="I953" s="16">
        <f t="shared" si="2"/>
        <v>6</v>
      </c>
      <c r="J953" s="15">
        <f t="shared" si="3"/>
        <v>2023</v>
      </c>
      <c r="K953" s="16">
        <f>STANDARDIZE(F953,'estatística'!$C$2,'estatística'!$H$2)</f>
        <v>0.353507217</v>
      </c>
    </row>
    <row r="954" ht="15.75" customHeight="1">
      <c r="A954" s="9">
        <v>8.0</v>
      </c>
      <c r="B954" s="10" t="s">
        <v>75</v>
      </c>
      <c r="C954" s="11" t="s">
        <v>76</v>
      </c>
      <c r="D954" s="10" t="s">
        <v>13</v>
      </c>
      <c r="E954" s="11" t="s">
        <v>77</v>
      </c>
      <c r="F954" s="13">
        <v>15.71</v>
      </c>
      <c r="G954" s="14">
        <v>45101.0</v>
      </c>
      <c r="H954" s="15">
        <f t="shared" si="1"/>
        <v>24</v>
      </c>
      <c r="I954" s="16">
        <f t="shared" si="2"/>
        <v>6</v>
      </c>
      <c r="J954" s="15">
        <f t="shared" si="3"/>
        <v>2023</v>
      </c>
      <c r="K954" s="16">
        <f>STANDARDIZE(F954,'estatística'!$C$2,'estatística'!$H$2)</f>
        <v>0.1824512535</v>
      </c>
    </row>
    <row r="955" ht="15.75" customHeight="1">
      <c r="A955" s="9">
        <v>83.0</v>
      </c>
      <c r="B955" s="10" t="s">
        <v>66</v>
      </c>
      <c r="C955" s="11" t="s">
        <v>67</v>
      </c>
      <c r="D955" s="10" t="s">
        <v>13</v>
      </c>
      <c r="E955" s="11" t="s">
        <v>18</v>
      </c>
      <c r="F955" s="13">
        <v>51.07</v>
      </c>
      <c r="G955" s="14">
        <v>45101.0</v>
      </c>
      <c r="H955" s="15">
        <f t="shared" si="1"/>
        <v>24</v>
      </c>
      <c r="I955" s="16">
        <f t="shared" si="2"/>
        <v>6</v>
      </c>
      <c r="J955" s="15">
        <f t="shared" si="3"/>
        <v>2023</v>
      </c>
      <c r="K955" s="16">
        <f>STANDARDIZE(F955,'estatística'!$C$2,'estatística'!$H$2)</f>
        <v>0.6301595341</v>
      </c>
    </row>
    <row r="956" ht="15.75" customHeight="1">
      <c r="A956" s="9">
        <v>97.0</v>
      </c>
      <c r="B956" s="10" t="s">
        <v>44</v>
      </c>
      <c r="C956" s="11" t="s">
        <v>45</v>
      </c>
      <c r="D956" s="10" t="s">
        <v>17</v>
      </c>
      <c r="E956" s="11" t="s">
        <v>57</v>
      </c>
      <c r="F956" s="13">
        <v>22.44</v>
      </c>
      <c r="G956" s="14">
        <v>45101.0</v>
      </c>
      <c r="H956" s="15">
        <f t="shared" si="1"/>
        <v>24</v>
      </c>
      <c r="I956" s="16">
        <f t="shared" si="2"/>
        <v>6</v>
      </c>
      <c r="J956" s="15">
        <f t="shared" si="3"/>
        <v>2023</v>
      </c>
      <c r="K956" s="16">
        <f>STANDARDIZE(F956,'estatística'!$C$2,'estatística'!$H$2)</f>
        <v>0.2676626994</v>
      </c>
    </row>
    <row r="957" ht="15.75" customHeight="1">
      <c r="A957" s="9">
        <v>93.0</v>
      </c>
      <c r="B957" s="10" t="s">
        <v>99</v>
      </c>
      <c r="C957" s="11" t="s">
        <v>100</v>
      </c>
      <c r="D957" s="10" t="s">
        <v>17</v>
      </c>
      <c r="E957" s="11" t="s">
        <v>24</v>
      </c>
      <c r="F957" s="13">
        <v>29.64</v>
      </c>
      <c r="G957" s="14">
        <v>45101.0</v>
      </c>
      <c r="H957" s="15">
        <f t="shared" si="1"/>
        <v>24</v>
      </c>
      <c r="I957" s="16">
        <f t="shared" si="2"/>
        <v>6</v>
      </c>
      <c r="J957" s="15">
        <f t="shared" si="3"/>
        <v>2023</v>
      </c>
      <c r="K957" s="16">
        <f>STANDARDIZE(F957,'estatística'!$C$2,'estatística'!$H$2)</f>
        <v>0.358825019</v>
      </c>
    </row>
    <row r="958" ht="15.75" customHeight="1">
      <c r="A958" s="9">
        <v>93.0</v>
      </c>
      <c r="B958" s="10" t="s">
        <v>99</v>
      </c>
      <c r="C958" s="11" t="s">
        <v>100</v>
      </c>
      <c r="D958" s="10" t="s">
        <v>13</v>
      </c>
      <c r="E958" s="11" t="s">
        <v>32</v>
      </c>
      <c r="F958" s="13">
        <v>22.75</v>
      </c>
      <c r="G958" s="14">
        <v>45101.0</v>
      </c>
      <c r="H958" s="15">
        <f t="shared" si="1"/>
        <v>24</v>
      </c>
      <c r="I958" s="16">
        <f t="shared" si="2"/>
        <v>6</v>
      </c>
      <c r="J958" s="15">
        <f t="shared" si="3"/>
        <v>2023</v>
      </c>
      <c r="K958" s="16">
        <f>STANDARDIZE(F958,'estatística'!$C$2,'estatística'!$H$2)</f>
        <v>0.2715877437</v>
      </c>
    </row>
    <row r="959" ht="15.75" customHeight="1">
      <c r="A959" s="9">
        <v>84.0</v>
      </c>
      <c r="B959" s="10" t="s">
        <v>112</v>
      </c>
      <c r="C959" s="11" t="s">
        <v>113</v>
      </c>
      <c r="D959" s="10" t="s">
        <v>13</v>
      </c>
      <c r="E959" s="11" t="s">
        <v>77</v>
      </c>
      <c r="F959" s="13">
        <v>14.33</v>
      </c>
      <c r="G959" s="14">
        <v>45101.0</v>
      </c>
      <c r="H959" s="15">
        <f t="shared" si="1"/>
        <v>24</v>
      </c>
      <c r="I959" s="16">
        <f t="shared" si="2"/>
        <v>6</v>
      </c>
      <c r="J959" s="15">
        <f t="shared" si="3"/>
        <v>2023</v>
      </c>
      <c r="K959" s="16">
        <f>STANDARDIZE(F959,'estatística'!$C$2,'estatística'!$H$2)</f>
        <v>0.1649784756</v>
      </c>
    </row>
    <row r="960" ht="15.75" customHeight="1">
      <c r="A960" s="9">
        <v>50.0</v>
      </c>
      <c r="B960" s="10" t="s">
        <v>19</v>
      </c>
      <c r="C960" s="11" t="s">
        <v>20</v>
      </c>
      <c r="D960" s="10" t="s">
        <v>17</v>
      </c>
      <c r="E960" s="11" t="s">
        <v>77</v>
      </c>
      <c r="F960" s="13">
        <v>15.1</v>
      </c>
      <c r="G960" s="14">
        <v>45102.0</v>
      </c>
      <c r="H960" s="15">
        <f t="shared" si="1"/>
        <v>25</v>
      </c>
      <c r="I960" s="16">
        <f t="shared" si="2"/>
        <v>6</v>
      </c>
      <c r="J960" s="15">
        <f t="shared" si="3"/>
        <v>2023</v>
      </c>
      <c r="K960" s="16">
        <f>STANDARDIZE(F960,'estatística'!$C$2,'estatística'!$H$2)</f>
        <v>0.1747277792</v>
      </c>
    </row>
    <row r="961" ht="15.75" customHeight="1">
      <c r="A961" s="9">
        <v>82.0</v>
      </c>
      <c r="B961" s="10" t="s">
        <v>203</v>
      </c>
      <c r="C961" s="11" t="s">
        <v>204</v>
      </c>
      <c r="D961" s="10" t="s">
        <v>13</v>
      </c>
      <c r="E961" s="11" t="s">
        <v>57</v>
      </c>
      <c r="F961" s="13">
        <v>16.21</v>
      </c>
      <c r="G961" s="14">
        <v>45102.0</v>
      </c>
      <c r="H961" s="15">
        <f t="shared" si="1"/>
        <v>25</v>
      </c>
      <c r="I961" s="16">
        <f t="shared" si="2"/>
        <v>6</v>
      </c>
      <c r="J961" s="15">
        <f t="shared" si="3"/>
        <v>2023</v>
      </c>
      <c r="K961" s="16">
        <f>STANDARDIZE(F961,'estatística'!$C$2,'estatística'!$H$2)</f>
        <v>0.1887819701</v>
      </c>
    </row>
    <row r="962" ht="15.75" customHeight="1">
      <c r="A962" s="9">
        <v>52.0</v>
      </c>
      <c r="B962" s="10" t="s">
        <v>153</v>
      </c>
      <c r="C962" s="11" t="s">
        <v>154</v>
      </c>
      <c r="D962" s="10" t="s">
        <v>13</v>
      </c>
      <c r="E962" s="11" t="s">
        <v>57</v>
      </c>
      <c r="F962" s="13">
        <v>20.77</v>
      </c>
      <c r="G962" s="14">
        <v>45102.0</v>
      </c>
      <c r="H962" s="15">
        <f t="shared" si="1"/>
        <v>25</v>
      </c>
      <c r="I962" s="16">
        <f t="shared" si="2"/>
        <v>6</v>
      </c>
      <c r="J962" s="15">
        <f t="shared" si="3"/>
        <v>2023</v>
      </c>
      <c r="K962" s="16">
        <f>STANDARDIZE(F962,'estatística'!$C$2,'estatística'!$H$2)</f>
        <v>0.2465181058</v>
      </c>
    </row>
    <row r="963" ht="15.75" customHeight="1">
      <c r="A963" s="9">
        <v>86.0</v>
      </c>
      <c r="B963" s="10" t="s">
        <v>40</v>
      </c>
      <c r="C963" s="11" t="s">
        <v>41</v>
      </c>
      <c r="D963" s="10" t="s">
        <v>17</v>
      </c>
      <c r="E963" s="11" t="s">
        <v>14</v>
      </c>
      <c r="F963" s="13">
        <v>10.78</v>
      </c>
      <c r="G963" s="14">
        <v>45102.0</v>
      </c>
      <c r="H963" s="15">
        <f t="shared" si="1"/>
        <v>25</v>
      </c>
      <c r="I963" s="16">
        <f t="shared" si="2"/>
        <v>6</v>
      </c>
      <c r="J963" s="15">
        <f t="shared" si="3"/>
        <v>2023</v>
      </c>
      <c r="K963" s="16">
        <f>STANDARDIZE(F963,'estatística'!$C$2,'estatística'!$H$2)</f>
        <v>0.1200303874</v>
      </c>
    </row>
    <row r="964" ht="15.75" customHeight="1">
      <c r="A964" s="9">
        <v>13.0</v>
      </c>
      <c r="B964" s="10" t="s">
        <v>108</v>
      </c>
      <c r="C964" s="11" t="s">
        <v>109</v>
      </c>
      <c r="D964" s="10" t="s">
        <v>17</v>
      </c>
      <c r="E964" s="11" t="s">
        <v>14</v>
      </c>
      <c r="F964" s="13">
        <v>10.48</v>
      </c>
      <c r="G964" s="14">
        <v>45102.0</v>
      </c>
      <c r="H964" s="15">
        <f t="shared" si="1"/>
        <v>25</v>
      </c>
      <c r="I964" s="16">
        <f t="shared" si="2"/>
        <v>6</v>
      </c>
      <c r="J964" s="15">
        <f t="shared" si="3"/>
        <v>2023</v>
      </c>
      <c r="K964" s="16">
        <f>STANDARDIZE(F964,'estatística'!$C$2,'estatística'!$H$2)</f>
        <v>0.1162319575</v>
      </c>
    </row>
    <row r="965" ht="15.75" customHeight="1">
      <c r="A965" s="9">
        <v>78.0</v>
      </c>
      <c r="B965" s="10" t="s">
        <v>15</v>
      </c>
      <c r="C965" s="11" t="s">
        <v>16</v>
      </c>
      <c r="D965" s="10" t="s">
        <v>13</v>
      </c>
      <c r="E965" s="11" t="s">
        <v>91</v>
      </c>
      <c r="F965" s="13">
        <v>4.25</v>
      </c>
      <c r="G965" s="14">
        <v>45102.0</v>
      </c>
      <c r="H965" s="15">
        <f t="shared" si="1"/>
        <v>25</v>
      </c>
      <c r="I965" s="16">
        <f t="shared" si="2"/>
        <v>6</v>
      </c>
      <c r="J965" s="15">
        <f t="shared" si="3"/>
        <v>2023</v>
      </c>
      <c r="K965" s="16">
        <f>STANDARDIZE(F965,'estatística'!$C$2,'estatística'!$H$2)</f>
        <v>0.03735122816</v>
      </c>
    </row>
    <row r="966" ht="15.75" customHeight="1">
      <c r="A966" s="9">
        <v>97.0</v>
      </c>
      <c r="B966" s="10" t="s">
        <v>44</v>
      </c>
      <c r="C966" s="11" t="s">
        <v>45</v>
      </c>
      <c r="D966" s="10" t="s">
        <v>17</v>
      </c>
      <c r="E966" s="11" t="s">
        <v>91</v>
      </c>
      <c r="F966" s="13">
        <v>1.41</v>
      </c>
      <c r="G966" s="14">
        <v>45102.0</v>
      </c>
      <c r="H966" s="15">
        <f t="shared" si="1"/>
        <v>25</v>
      </c>
      <c r="I966" s="16">
        <f t="shared" si="2"/>
        <v>6</v>
      </c>
      <c r="J966" s="15">
        <f t="shared" si="3"/>
        <v>2023</v>
      </c>
      <c r="K966" s="16">
        <f>STANDARDIZE(F966,'estatística'!$C$2,'estatística'!$H$2)</f>
        <v>0.00139275766</v>
      </c>
    </row>
    <row r="967" ht="15.75" customHeight="1">
      <c r="A967" s="9">
        <v>76.0</v>
      </c>
      <c r="B967" s="10" t="s">
        <v>185</v>
      </c>
      <c r="C967" s="11" t="s">
        <v>186</v>
      </c>
      <c r="D967" s="10" t="s">
        <v>13</v>
      </c>
      <c r="E967" s="11" t="s">
        <v>107</v>
      </c>
      <c r="F967" s="13">
        <v>27.94</v>
      </c>
      <c r="G967" s="14">
        <v>45102.0</v>
      </c>
      <c r="H967" s="15">
        <f t="shared" si="1"/>
        <v>25</v>
      </c>
      <c r="I967" s="16">
        <f t="shared" si="2"/>
        <v>6</v>
      </c>
      <c r="J967" s="15">
        <f t="shared" si="3"/>
        <v>2023</v>
      </c>
      <c r="K967" s="16">
        <f>STANDARDIZE(F967,'estatística'!$C$2,'estatística'!$H$2)</f>
        <v>0.3373005824</v>
      </c>
    </row>
    <row r="968" ht="15.75" customHeight="1">
      <c r="A968" s="9">
        <v>63.0</v>
      </c>
      <c r="B968" s="10" t="s">
        <v>197</v>
      </c>
      <c r="C968" s="11" t="s">
        <v>198</v>
      </c>
      <c r="D968" s="10" t="s">
        <v>13</v>
      </c>
      <c r="E968" s="11" t="s">
        <v>57</v>
      </c>
      <c r="F968" s="13">
        <v>23.29</v>
      </c>
      <c r="G968" s="14">
        <v>45103.0</v>
      </c>
      <c r="H968" s="15">
        <f t="shared" si="1"/>
        <v>26</v>
      </c>
      <c r="I968" s="16">
        <f t="shared" si="2"/>
        <v>6</v>
      </c>
      <c r="J968" s="15">
        <f t="shared" si="3"/>
        <v>2023</v>
      </c>
      <c r="K968" s="16">
        <f>STANDARDIZE(F968,'estatística'!$C$2,'estatística'!$H$2)</f>
        <v>0.2784249177</v>
      </c>
    </row>
    <row r="969" ht="15.75" customHeight="1">
      <c r="A969" s="9">
        <v>71.0</v>
      </c>
      <c r="B969" s="10" t="s">
        <v>122</v>
      </c>
      <c r="C969" s="11" t="s">
        <v>123</v>
      </c>
      <c r="D969" s="10" t="s">
        <v>17</v>
      </c>
      <c r="E969" s="11" t="s">
        <v>33</v>
      </c>
      <c r="F969" s="13">
        <v>63.78</v>
      </c>
      <c r="G969" s="14">
        <v>45103.0</v>
      </c>
      <c r="H969" s="15">
        <f t="shared" si="1"/>
        <v>26</v>
      </c>
      <c r="I969" s="16">
        <f t="shared" si="2"/>
        <v>6</v>
      </c>
      <c r="J969" s="15">
        <f t="shared" si="3"/>
        <v>2023</v>
      </c>
      <c r="K969" s="16">
        <f>STANDARDIZE(F969,'estatística'!$C$2,'estatística'!$H$2)</f>
        <v>0.791086351</v>
      </c>
    </row>
    <row r="970" ht="15.75" customHeight="1">
      <c r="A970" s="9">
        <v>49.0</v>
      </c>
      <c r="B970" s="10" t="s">
        <v>151</v>
      </c>
      <c r="C970" s="11" t="s">
        <v>152</v>
      </c>
      <c r="D970" s="10" t="s">
        <v>13</v>
      </c>
      <c r="E970" s="11" t="s">
        <v>29</v>
      </c>
      <c r="F970" s="13">
        <v>14.97</v>
      </c>
      <c r="G970" s="14">
        <v>45103.0</v>
      </c>
      <c r="H970" s="15">
        <f t="shared" si="1"/>
        <v>26</v>
      </c>
      <c r="I970" s="16">
        <f t="shared" si="2"/>
        <v>6</v>
      </c>
      <c r="J970" s="15">
        <f t="shared" si="3"/>
        <v>2023</v>
      </c>
      <c r="K970" s="16">
        <f>STANDARDIZE(F970,'estatística'!$C$2,'estatística'!$H$2)</f>
        <v>0.1730817929</v>
      </c>
    </row>
    <row r="971" ht="15.75" customHeight="1">
      <c r="A971" s="9">
        <v>56.0</v>
      </c>
      <c r="B971" s="10" t="s">
        <v>97</v>
      </c>
      <c r="C971" s="11" t="s">
        <v>98</v>
      </c>
      <c r="D971" s="10" t="s">
        <v>17</v>
      </c>
      <c r="E971" s="11" t="s">
        <v>39</v>
      </c>
      <c r="F971" s="13">
        <v>37.83</v>
      </c>
      <c r="G971" s="14">
        <v>45103.0</v>
      </c>
      <c r="H971" s="15">
        <f t="shared" si="1"/>
        <v>26</v>
      </c>
      <c r="I971" s="16">
        <f t="shared" si="2"/>
        <v>6</v>
      </c>
      <c r="J971" s="15">
        <f t="shared" si="3"/>
        <v>2023</v>
      </c>
      <c r="K971" s="16">
        <f>STANDARDIZE(F971,'estatística'!$C$2,'estatística'!$H$2)</f>
        <v>0.4625221575</v>
      </c>
    </row>
    <row r="972" ht="15.75" customHeight="1">
      <c r="A972" s="9">
        <v>82.0</v>
      </c>
      <c r="B972" s="10" t="s">
        <v>203</v>
      </c>
      <c r="C972" s="11" t="s">
        <v>204</v>
      </c>
      <c r="D972" s="10" t="s">
        <v>17</v>
      </c>
      <c r="E972" s="11" t="s">
        <v>80</v>
      </c>
      <c r="F972" s="13">
        <v>33.53</v>
      </c>
      <c r="G972" s="14">
        <v>45103.0</v>
      </c>
      <c r="H972" s="15">
        <f t="shared" si="1"/>
        <v>26</v>
      </c>
      <c r="I972" s="16">
        <f t="shared" si="2"/>
        <v>6</v>
      </c>
      <c r="J972" s="15">
        <f t="shared" si="3"/>
        <v>2023</v>
      </c>
      <c r="K972" s="16">
        <f>STANDARDIZE(F972,'estatística'!$C$2,'estatística'!$H$2)</f>
        <v>0.4080779944</v>
      </c>
    </row>
    <row r="973" ht="15.75" customHeight="1">
      <c r="A973" s="9">
        <v>44.0</v>
      </c>
      <c r="B973" s="10" t="s">
        <v>187</v>
      </c>
      <c r="C973" s="11" t="s">
        <v>188</v>
      </c>
      <c r="D973" s="10" t="s">
        <v>17</v>
      </c>
      <c r="E973" s="11" t="s">
        <v>116</v>
      </c>
      <c r="F973" s="13">
        <v>3.85</v>
      </c>
      <c r="G973" s="14">
        <v>45104.0</v>
      </c>
      <c r="H973" s="15">
        <f t="shared" si="1"/>
        <v>27</v>
      </c>
      <c r="I973" s="16">
        <f t="shared" si="2"/>
        <v>6</v>
      </c>
      <c r="J973" s="15">
        <f t="shared" si="3"/>
        <v>2023</v>
      </c>
      <c r="K973" s="16">
        <f>STANDARDIZE(F973,'estatística'!$C$2,'estatística'!$H$2)</f>
        <v>0.03228665485</v>
      </c>
    </row>
    <row r="974" ht="15.75" customHeight="1">
      <c r="A974" s="9">
        <v>27.0</v>
      </c>
      <c r="B974" s="10" t="s">
        <v>145</v>
      </c>
      <c r="C974" s="11" t="s">
        <v>146</v>
      </c>
      <c r="D974" s="10" t="s">
        <v>17</v>
      </c>
      <c r="E974" s="11" t="s">
        <v>116</v>
      </c>
      <c r="F974" s="13">
        <v>3.96</v>
      </c>
      <c r="G974" s="14">
        <v>45104.0</v>
      </c>
      <c r="H974" s="15">
        <f t="shared" si="1"/>
        <v>27</v>
      </c>
      <c r="I974" s="16">
        <f t="shared" si="2"/>
        <v>6</v>
      </c>
      <c r="J974" s="15">
        <f t="shared" si="3"/>
        <v>2023</v>
      </c>
      <c r="K974" s="16">
        <f>STANDARDIZE(F974,'estatística'!$C$2,'estatística'!$H$2)</f>
        <v>0.03367941251</v>
      </c>
    </row>
    <row r="975" ht="15.75" customHeight="1">
      <c r="A975" s="9">
        <v>68.0</v>
      </c>
      <c r="B975" s="10" t="s">
        <v>25</v>
      </c>
      <c r="C975" s="11" t="s">
        <v>26</v>
      </c>
      <c r="D975" s="10" t="s">
        <v>17</v>
      </c>
      <c r="E975" s="11" t="s">
        <v>32</v>
      </c>
      <c r="F975" s="13">
        <v>33.86</v>
      </c>
      <c r="G975" s="14">
        <v>45104.0</v>
      </c>
      <c r="H975" s="15">
        <f t="shared" si="1"/>
        <v>27</v>
      </c>
      <c r="I975" s="16">
        <f t="shared" si="2"/>
        <v>6</v>
      </c>
      <c r="J975" s="15">
        <f t="shared" si="3"/>
        <v>2023</v>
      </c>
      <c r="K975" s="16">
        <f>STANDARDIZE(F975,'estatística'!$C$2,'estatística'!$H$2)</f>
        <v>0.4122562674</v>
      </c>
    </row>
    <row r="976" ht="15.75" customHeight="1">
      <c r="A976" s="9">
        <v>93.0</v>
      </c>
      <c r="B976" s="10" t="s">
        <v>99</v>
      </c>
      <c r="C976" s="11" t="s">
        <v>100</v>
      </c>
      <c r="D976" s="10" t="s">
        <v>17</v>
      </c>
      <c r="E976" s="11" t="s">
        <v>27</v>
      </c>
      <c r="F976" s="13">
        <v>19.75</v>
      </c>
      <c r="G976" s="14">
        <v>45105.0</v>
      </c>
      <c r="H976" s="15">
        <f t="shared" si="1"/>
        <v>28</v>
      </c>
      <c r="I976" s="16">
        <f t="shared" si="2"/>
        <v>6</v>
      </c>
      <c r="J976" s="15">
        <f t="shared" si="3"/>
        <v>2023</v>
      </c>
      <c r="K976" s="16">
        <f>STANDARDIZE(F976,'estatística'!$C$2,'estatística'!$H$2)</f>
        <v>0.2336034439</v>
      </c>
    </row>
    <row r="977" ht="15.75" customHeight="1">
      <c r="A977" s="9">
        <v>67.0</v>
      </c>
      <c r="B977" s="10" t="s">
        <v>176</v>
      </c>
      <c r="C977" s="11" t="s">
        <v>177</v>
      </c>
      <c r="D977" s="10" t="s">
        <v>17</v>
      </c>
      <c r="E977" s="11" t="s">
        <v>68</v>
      </c>
      <c r="F977" s="13">
        <v>13.59</v>
      </c>
      <c r="G977" s="14">
        <v>45105.0</v>
      </c>
      <c r="H977" s="15">
        <f t="shared" si="1"/>
        <v>28</v>
      </c>
      <c r="I977" s="16">
        <f t="shared" si="2"/>
        <v>6</v>
      </c>
      <c r="J977" s="15">
        <f t="shared" si="3"/>
        <v>2023</v>
      </c>
      <c r="K977" s="16">
        <f>STANDARDIZE(F977,'estatística'!$C$2,'estatística'!$H$2)</f>
        <v>0.1556090149</v>
      </c>
    </row>
    <row r="978" ht="15.75" customHeight="1">
      <c r="A978" s="9">
        <v>59.0</v>
      </c>
      <c r="B978" s="10" t="s">
        <v>71</v>
      </c>
      <c r="C978" s="11" t="s">
        <v>72</v>
      </c>
      <c r="D978" s="10" t="s">
        <v>13</v>
      </c>
      <c r="E978" s="11" t="s">
        <v>18</v>
      </c>
      <c r="F978" s="13">
        <v>36.14</v>
      </c>
      <c r="G978" s="14">
        <v>45105.0</v>
      </c>
      <c r="H978" s="15">
        <f t="shared" si="1"/>
        <v>28</v>
      </c>
      <c r="I978" s="16">
        <f t="shared" si="2"/>
        <v>6</v>
      </c>
      <c r="J978" s="15">
        <f t="shared" si="3"/>
        <v>2023</v>
      </c>
      <c r="K978" s="16">
        <f>STANDARDIZE(F978,'estatística'!$C$2,'estatística'!$H$2)</f>
        <v>0.4411243353</v>
      </c>
    </row>
    <row r="979" ht="15.75" customHeight="1">
      <c r="A979" s="9">
        <v>86.0</v>
      </c>
      <c r="B979" s="10" t="s">
        <v>40</v>
      </c>
      <c r="C979" s="11" t="s">
        <v>41</v>
      </c>
      <c r="D979" s="10" t="s">
        <v>13</v>
      </c>
      <c r="E979" s="11" t="s">
        <v>48</v>
      </c>
      <c r="F979" s="13">
        <v>8.27</v>
      </c>
      <c r="G979" s="14">
        <v>45105.0</v>
      </c>
      <c r="H979" s="15">
        <f t="shared" si="1"/>
        <v>28</v>
      </c>
      <c r="I979" s="16">
        <f t="shared" si="2"/>
        <v>6</v>
      </c>
      <c r="J979" s="15">
        <f t="shared" si="3"/>
        <v>2023</v>
      </c>
      <c r="K979" s="16">
        <f>STANDARDIZE(F979,'estatística'!$C$2,'estatística'!$H$2)</f>
        <v>0.08825018992</v>
      </c>
    </row>
    <row r="980" ht="15.75" customHeight="1">
      <c r="A980" s="9">
        <v>87.0</v>
      </c>
      <c r="B980" s="10" t="s">
        <v>215</v>
      </c>
      <c r="C980" s="11" t="s">
        <v>216</v>
      </c>
      <c r="D980" s="10" t="s">
        <v>13</v>
      </c>
      <c r="E980" s="11" t="s">
        <v>57</v>
      </c>
      <c r="F980" s="13">
        <v>20.7</v>
      </c>
      <c r="G980" s="14">
        <v>45105.0</v>
      </c>
      <c r="H980" s="15">
        <f t="shared" si="1"/>
        <v>28</v>
      </c>
      <c r="I980" s="16">
        <f t="shared" si="2"/>
        <v>6</v>
      </c>
      <c r="J980" s="15">
        <f t="shared" si="3"/>
        <v>2023</v>
      </c>
      <c r="K980" s="16">
        <f>STANDARDIZE(F980,'estatística'!$C$2,'estatística'!$H$2)</f>
        <v>0.2456318055</v>
      </c>
    </row>
    <row r="981" ht="15.75" customHeight="1">
      <c r="A981" s="9">
        <v>24.0</v>
      </c>
      <c r="B981" s="10" t="s">
        <v>110</v>
      </c>
      <c r="C981" s="11" t="s">
        <v>111</v>
      </c>
      <c r="D981" s="10" t="s">
        <v>17</v>
      </c>
      <c r="E981" s="11" t="s">
        <v>14</v>
      </c>
      <c r="F981" s="13">
        <v>10.6</v>
      </c>
      <c r="G981" s="14">
        <v>45105.0</v>
      </c>
      <c r="H981" s="15">
        <f t="shared" si="1"/>
        <v>28</v>
      </c>
      <c r="I981" s="16">
        <f t="shared" si="2"/>
        <v>6</v>
      </c>
      <c r="J981" s="15">
        <f t="shared" si="3"/>
        <v>2023</v>
      </c>
      <c r="K981" s="16">
        <f>STANDARDIZE(F981,'estatística'!$C$2,'estatística'!$H$2)</f>
        <v>0.1177513295</v>
      </c>
    </row>
    <row r="982" ht="15.75" customHeight="1">
      <c r="A982" s="9">
        <v>65.0</v>
      </c>
      <c r="B982" s="10" t="s">
        <v>181</v>
      </c>
      <c r="C982" s="11" t="s">
        <v>182</v>
      </c>
      <c r="D982" s="10" t="s">
        <v>13</v>
      </c>
      <c r="E982" s="11" t="s">
        <v>80</v>
      </c>
      <c r="F982" s="13">
        <v>32.37</v>
      </c>
      <c r="G982" s="14">
        <v>45108.0</v>
      </c>
      <c r="H982" s="15">
        <f t="shared" si="1"/>
        <v>1</v>
      </c>
      <c r="I982" s="16">
        <f t="shared" si="2"/>
        <v>7</v>
      </c>
      <c r="J982" s="15">
        <f t="shared" si="3"/>
        <v>2023</v>
      </c>
      <c r="K982" s="16">
        <f>STANDARDIZE(F982,'estatística'!$C$2,'estatística'!$H$2)</f>
        <v>0.3933907318</v>
      </c>
    </row>
    <row r="983" ht="15.75" customHeight="1">
      <c r="A983" s="9">
        <v>55.0</v>
      </c>
      <c r="B983" s="10" t="s">
        <v>174</v>
      </c>
      <c r="C983" s="11" t="s">
        <v>175</v>
      </c>
      <c r="D983" s="10" t="s">
        <v>13</v>
      </c>
      <c r="E983" s="11" t="s">
        <v>48</v>
      </c>
      <c r="F983" s="13">
        <v>17.07</v>
      </c>
      <c r="G983" s="14">
        <v>45108.0</v>
      </c>
      <c r="H983" s="15">
        <f t="shared" si="1"/>
        <v>1</v>
      </c>
      <c r="I983" s="16">
        <f t="shared" si="2"/>
        <v>7</v>
      </c>
      <c r="J983" s="15">
        <f t="shared" si="3"/>
        <v>2023</v>
      </c>
      <c r="K983" s="16">
        <f>STANDARDIZE(F983,'estatística'!$C$2,'estatística'!$H$2)</f>
        <v>0.1996708027</v>
      </c>
    </row>
    <row r="984" ht="15.75" customHeight="1">
      <c r="A984" s="9">
        <v>84.0</v>
      </c>
      <c r="B984" s="10" t="s">
        <v>112</v>
      </c>
      <c r="C984" s="11" t="s">
        <v>113</v>
      </c>
      <c r="D984" s="10" t="s">
        <v>17</v>
      </c>
      <c r="E984" s="11" t="s">
        <v>36</v>
      </c>
      <c r="F984" s="13">
        <v>70.09</v>
      </c>
      <c r="G984" s="14">
        <v>45108.0</v>
      </c>
      <c r="H984" s="15">
        <f t="shared" si="1"/>
        <v>1</v>
      </c>
      <c r="I984" s="16">
        <f t="shared" si="2"/>
        <v>7</v>
      </c>
      <c r="J984" s="15">
        <f t="shared" si="3"/>
        <v>2023</v>
      </c>
      <c r="K984" s="16">
        <f>STANDARDIZE(F984,'estatística'!$C$2,'estatística'!$H$2)</f>
        <v>0.8709799949</v>
      </c>
    </row>
    <row r="985" ht="15.75" customHeight="1">
      <c r="A985" s="9">
        <v>21.0</v>
      </c>
      <c r="B985" s="10" t="s">
        <v>158</v>
      </c>
      <c r="C985" s="11" t="s">
        <v>159</v>
      </c>
      <c r="D985" s="10" t="s">
        <v>13</v>
      </c>
      <c r="E985" s="11" t="s">
        <v>48</v>
      </c>
      <c r="F985" s="13">
        <v>8.5</v>
      </c>
      <c r="G985" s="14">
        <v>45108.0</v>
      </c>
      <c r="H985" s="15">
        <f t="shared" si="1"/>
        <v>1</v>
      </c>
      <c r="I985" s="16">
        <f t="shared" si="2"/>
        <v>7</v>
      </c>
      <c r="J985" s="15">
        <f t="shared" si="3"/>
        <v>2023</v>
      </c>
      <c r="K985" s="16">
        <f>STANDARDIZE(F985,'estatística'!$C$2,'estatística'!$H$2)</f>
        <v>0.09116231957</v>
      </c>
    </row>
    <row r="986" ht="15.75" customHeight="1">
      <c r="A986" s="9">
        <v>89.0</v>
      </c>
      <c r="B986" s="10" t="s">
        <v>105</v>
      </c>
      <c r="C986" s="11" t="s">
        <v>106</v>
      </c>
      <c r="D986" s="10" t="s">
        <v>13</v>
      </c>
      <c r="E986" s="11" t="s">
        <v>24</v>
      </c>
      <c r="F986" s="13">
        <v>21.42</v>
      </c>
      <c r="G986" s="14">
        <v>45108.0</v>
      </c>
      <c r="H986" s="15">
        <f t="shared" si="1"/>
        <v>1</v>
      </c>
      <c r="I986" s="16">
        <f t="shared" si="2"/>
        <v>7</v>
      </c>
      <c r="J986" s="15">
        <f t="shared" si="3"/>
        <v>2023</v>
      </c>
      <c r="K986" s="16">
        <f>STANDARDIZE(F986,'estatística'!$C$2,'estatística'!$H$2)</f>
        <v>0.2547480375</v>
      </c>
    </row>
    <row r="987" ht="15.75" customHeight="1">
      <c r="A987" s="9">
        <v>83.0</v>
      </c>
      <c r="B987" s="10" t="s">
        <v>66</v>
      </c>
      <c r="C987" s="11" t="s">
        <v>67</v>
      </c>
      <c r="D987" s="10" t="s">
        <v>13</v>
      </c>
      <c r="E987" s="11" t="s">
        <v>107</v>
      </c>
      <c r="F987" s="13">
        <v>32.09</v>
      </c>
      <c r="G987" s="14">
        <v>45108.0</v>
      </c>
      <c r="H987" s="15">
        <f t="shared" si="1"/>
        <v>1</v>
      </c>
      <c r="I987" s="16">
        <f t="shared" si="2"/>
        <v>7</v>
      </c>
      <c r="J987" s="15">
        <f t="shared" si="3"/>
        <v>2023</v>
      </c>
      <c r="K987" s="16">
        <f>STANDARDIZE(F987,'estatística'!$C$2,'estatística'!$H$2)</f>
        <v>0.3898455305</v>
      </c>
    </row>
    <row r="988" ht="15.75" customHeight="1">
      <c r="A988" s="9">
        <v>38.0</v>
      </c>
      <c r="B988" s="10" t="s">
        <v>85</v>
      </c>
      <c r="C988" s="11" t="s">
        <v>86</v>
      </c>
      <c r="D988" s="10" t="s">
        <v>13</v>
      </c>
      <c r="E988" s="11" t="s">
        <v>57</v>
      </c>
      <c r="F988" s="13">
        <v>21.54</v>
      </c>
      <c r="G988" s="14">
        <v>45108.0</v>
      </c>
      <c r="H988" s="15">
        <f t="shared" si="1"/>
        <v>1</v>
      </c>
      <c r="I988" s="16">
        <f t="shared" si="2"/>
        <v>7</v>
      </c>
      <c r="J988" s="15">
        <f t="shared" si="3"/>
        <v>2023</v>
      </c>
      <c r="K988" s="16">
        <f>STANDARDIZE(F988,'estatística'!$C$2,'estatística'!$H$2)</f>
        <v>0.2562674095</v>
      </c>
    </row>
    <row r="989" ht="15.75" customHeight="1">
      <c r="A989" s="9">
        <v>87.0</v>
      </c>
      <c r="B989" s="10" t="s">
        <v>215</v>
      </c>
      <c r="C989" s="11" t="s">
        <v>216</v>
      </c>
      <c r="D989" s="10" t="s">
        <v>17</v>
      </c>
      <c r="E989" s="11" t="s">
        <v>14</v>
      </c>
      <c r="F989" s="13">
        <v>10.83</v>
      </c>
      <c r="G989" s="14">
        <v>45108.0</v>
      </c>
      <c r="H989" s="15">
        <f t="shared" si="1"/>
        <v>1</v>
      </c>
      <c r="I989" s="16">
        <f t="shared" si="2"/>
        <v>7</v>
      </c>
      <c r="J989" s="15">
        <f t="shared" si="3"/>
        <v>2023</v>
      </c>
      <c r="K989" s="16">
        <f>STANDARDIZE(F989,'estatística'!$C$2,'estatística'!$H$2)</f>
        <v>0.1206634591</v>
      </c>
    </row>
    <row r="990" ht="15.75" customHeight="1">
      <c r="A990" s="9">
        <v>73.0</v>
      </c>
      <c r="B990" s="10" t="s">
        <v>195</v>
      </c>
      <c r="C990" s="11" t="s">
        <v>196</v>
      </c>
      <c r="D990" s="10" t="s">
        <v>13</v>
      </c>
      <c r="E990" s="11" t="s">
        <v>32</v>
      </c>
      <c r="F990" s="13">
        <v>28.23</v>
      </c>
      <c r="G990" s="14">
        <v>45108.0</v>
      </c>
      <c r="H990" s="15">
        <f t="shared" si="1"/>
        <v>1</v>
      </c>
      <c r="I990" s="16">
        <f t="shared" si="2"/>
        <v>7</v>
      </c>
      <c r="J990" s="15">
        <f t="shared" si="3"/>
        <v>2023</v>
      </c>
      <c r="K990" s="16">
        <f>STANDARDIZE(F990,'estatística'!$C$2,'estatística'!$H$2)</f>
        <v>0.3409723981</v>
      </c>
    </row>
    <row r="991" ht="15.75" customHeight="1">
      <c r="A991" s="9">
        <v>47.0</v>
      </c>
      <c r="B991" s="10" t="s">
        <v>89</v>
      </c>
      <c r="C991" s="11" t="s">
        <v>90</v>
      </c>
      <c r="D991" s="10" t="s">
        <v>13</v>
      </c>
      <c r="E991" s="11" t="s">
        <v>18</v>
      </c>
      <c r="F991" s="13">
        <v>56.49</v>
      </c>
      <c r="G991" s="14">
        <v>45109.0</v>
      </c>
      <c r="H991" s="15">
        <f t="shared" si="1"/>
        <v>2</v>
      </c>
      <c r="I991" s="16">
        <f t="shared" si="2"/>
        <v>7</v>
      </c>
      <c r="J991" s="15">
        <f t="shared" si="3"/>
        <v>2023</v>
      </c>
      <c r="K991" s="16">
        <f>STANDARDIZE(F991,'estatística'!$C$2,'estatística'!$H$2)</f>
        <v>0.6987845024</v>
      </c>
    </row>
    <row r="992" ht="15.75" customHeight="1">
      <c r="A992" s="9">
        <v>99.0</v>
      </c>
      <c r="B992" s="10" t="s">
        <v>46</v>
      </c>
      <c r="C992" s="11" t="s">
        <v>47</v>
      </c>
      <c r="D992" s="10" t="s">
        <v>13</v>
      </c>
      <c r="E992" s="11" t="s">
        <v>24</v>
      </c>
      <c r="F992" s="13">
        <v>26.88</v>
      </c>
      <c r="G992" s="14">
        <v>45109.0</v>
      </c>
      <c r="H992" s="15">
        <f t="shared" si="1"/>
        <v>2</v>
      </c>
      <c r="I992" s="16">
        <f t="shared" si="2"/>
        <v>7</v>
      </c>
      <c r="J992" s="15">
        <f t="shared" si="3"/>
        <v>2023</v>
      </c>
      <c r="K992" s="16">
        <f>STANDARDIZE(F992,'estatística'!$C$2,'estatística'!$H$2)</f>
        <v>0.3238794632</v>
      </c>
    </row>
    <row r="993" ht="15.75" customHeight="1">
      <c r="A993" s="9">
        <v>2.0</v>
      </c>
      <c r="B993" s="10" t="s">
        <v>53</v>
      </c>
      <c r="C993" s="11" t="s">
        <v>54</v>
      </c>
      <c r="D993" s="10" t="s">
        <v>17</v>
      </c>
      <c r="E993" s="11" t="s">
        <v>65</v>
      </c>
      <c r="F993" s="13">
        <v>35.98</v>
      </c>
      <c r="G993" s="14">
        <v>45109.0</v>
      </c>
      <c r="H993" s="15">
        <f t="shared" si="1"/>
        <v>2</v>
      </c>
      <c r="I993" s="16">
        <f t="shared" si="2"/>
        <v>7</v>
      </c>
      <c r="J993" s="15">
        <f t="shared" si="3"/>
        <v>2023</v>
      </c>
      <c r="K993" s="16">
        <f>STANDARDIZE(F993,'estatística'!$C$2,'estatística'!$H$2)</f>
        <v>0.439098506</v>
      </c>
    </row>
    <row r="994" ht="15.75" customHeight="1">
      <c r="A994" s="9">
        <v>77.0</v>
      </c>
      <c r="B994" s="10" t="s">
        <v>11</v>
      </c>
      <c r="C994" s="11" t="s">
        <v>141</v>
      </c>
      <c r="D994" s="10" t="s">
        <v>17</v>
      </c>
      <c r="E994" s="11" t="s">
        <v>80</v>
      </c>
      <c r="F994" s="13">
        <v>34.73</v>
      </c>
      <c r="G994" s="14">
        <v>45109.0</v>
      </c>
      <c r="H994" s="15">
        <f t="shared" si="1"/>
        <v>2</v>
      </c>
      <c r="I994" s="16">
        <f t="shared" si="2"/>
        <v>7</v>
      </c>
      <c r="J994" s="15">
        <f t="shared" si="3"/>
        <v>2023</v>
      </c>
      <c r="K994" s="16">
        <f>STANDARDIZE(F994,'estatística'!$C$2,'estatística'!$H$2)</f>
        <v>0.4232717144</v>
      </c>
    </row>
    <row r="995" ht="15.75" customHeight="1">
      <c r="A995" s="9">
        <v>61.0</v>
      </c>
      <c r="B995" s="10" t="s">
        <v>73</v>
      </c>
      <c r="C995" s="11" t="s">
        <v>74</v>
      </c>
      <c r="D995" s="10" t="s">
        <v>13</v>
      </c>
      <c r="E995" s="11" t="s">
        <v>27</v>
      </c>
      <c r="F995" s="13">
        <v>19.68</v>
      </c>
      <c r="G995" s="14">
        <v>45110.0</v>
      </c>
      <c r="H995" s="15">
        <f t="shared" si="1"/>
        <v>3</v>
      </c>
      <c r="I995" s="16">
        <f t="shared" si="2"/>
        <v>7</v>
      </c>
      <c r="J995" s="15">
        <f t="shared" si="3"/>
        <v>2023</v>
      </c>
      <c r="K995" s="16">
        <f>STANDARDIZE(F995,'estatística'!$C$2,'estatística'!$H$2)</f>
        <v>0.2327171436</v>
      </c>
    </row>
    <row r="996" ht="15.75" customHeight="1">
      <c r="A996" s="9">
        <v>56.0</v>
      </c>
      <c r="B996" s="10" t="s">
        <v>97</v>
      </c>
      <c r="C996" s="11" t="s">
        <v>98</v>
      </c>
      <c r="D996" s="10" t="s">
        <v>13</v>
      </c>
      <c r="E996" s="11" t="s">
        <v>77</v>
      </c>
      <c r="F996" s="13">
        <v>13.0</v>
      </c>
      <c r="G996" s="14">
        <v>45110.0</v>
      </c>
      <c r="H996" s="15">
        <f t="shared" si="1"/>
        <v>3</v>
      </c>
      <c r="I996" s="16">
        <f t="shared" si="2"/>
        <v>7</v>
      </c>
      <c r="J996" s="15">
        <f t="shared" si="3"/>
        <v>2023</v>
      </c>
      <c r="K996" s="16">
        <f>STANDARDIZE(F996,'estatística'!$C$2,'estatística'!$H$2)</f>
        <v>0.1481387693</v>
      </c>
    </row>
    <row r="997" ht="15.75" customHeight="1">
      <c r="A997" s="9">
        <v>81.0</v>
      </c>
      <c r="B997" s="10" t="s">
        <v>34</v>
      </c>
      <c r="C997" s="11" t="s">
        <v>35</v>
      </c>
      <c r="D997" s="10" t="s">
        <v>13</v>
      </c>
      <c r="E997" s="11" t="s">
        <v>68</v>
      </c>
      <c r="F997" s="13">
        <v>13.59</v>
      </c>
      <c r="G997" s="14">
        <v>45110.0</v>
      </c>
      <c r="H997" s="15">
        <f t="shared" si="1"/>
        <v>3</v>
      </c>
      <c r="I997" s="16">
        <f t="shared" si="2"/>
        <v>7</v>
      </c>
      <c r="J997" s="15">
        <f t="shared" si="3"/>
        <v>2023</v>
      </c>
      <c r="K997" s="16">
        <f>STANDARDIZE(F997,'estatística'!$C$2,'estatística'!$H$2)</f>
        <v>0.1556090149</v>
      </c>
    </row>
    <row r="998" ht="15.75" customHeight="1">
      <c r="A998" s="9">
        <v>22.0</v>
      </c>
      <c r="B998" s="10" t="s">
        <v>101</v>
      </c>
      <c r="C998" s="11" t="s">
        <v>102</v>
      </c>
      <c r="D998" s="10" t="s">
        <v>17</v>
      </c>
      <c r="E998" s="11" t="s">
        <v>62</v>
      </c>
      <c r="F998" s="13">
        <v>11.31</v>
      </c>
      <c r="G998" s="14">
        <v>45111.0</v>
      </c>
      <c r="H998" s="15">
        <f t="shared" si="1"/>
        <v>4</v>
      </c>
      <c r="I998" s="16">
        <f t="shared" si="2"/>
        <v>7</v>
      </c>
      <c r="J998" s="15">
        <f t="shared" si="3"/>
        <v>2023</v>
      </c>
      <c r="K998" s="16">
        <f>STANDARDIZE(F998,'estatística'!$C$2,'estatística'!$H$2)</f>
        <v>0.1267409471</v>
      </c>
    </row>
    <row r="999" ht="15.75" customHeight="1">
      <c r="A999" s="9">
        <v>82.0</v>
      </c>
      <c r="B999" s="10" t="s">
        <v>203</v>
      </c>
      <c r="C999" s="11" t="s">
        <v>204</v>
      </c>
      <c r="D999" s="10" t="s">
        <v>17</v>
      </c>
      <c r="E999" s="11" t="s">
        <v>27</v>
      </c>
      <c r="F999" s="13">
        <v>17.08</v>
      </c>
      <c r="G999" s="14">
        <v>45111.0</v>
      </c>
      <c r="H999" s="15">
        <f t="shared" si="1"/>
        <v>4</v>
      </c>
      <c r="I999" s="16">
        <f t="shared" si="2"/>
        <v>7</v>
      </c>
      <c r="J999" s="15">
        <f t="shared" si="3"/>
        <v>2023</v>
      </c>
      <c r="K999" s="16">
        <f>STANDARDIZE(F999,'estatística'!$C$2,'estatística'!$H$2)</f>
        <v>0.1997974171</v>
      </c>
    </row>
    <row r="1000" ht="15.75" customHeight="1">
      <c r="A1000" s="9">
        <v>5.0</v>
      </c>
      <c r="B1000" s="10" t="s">
        <v>139</v>
      </c>
      <c r="C1000" s="11" t="s">
        <v>140</v>
      </c>
      <c r="D1000" s="10" t="s">
        <v>13</v>
      </c>
      <c r="E1000" s="11" t="s">
        <v>57</v>
      </c>
      <c r="F1000" s="13">
        <v>21.05</v>
      </c>
      <c r="G1000" s="14">
        <v>45111.0</v>
      </c>
      <c r="H1000" s="15">
        <f t="shared" si="1"/>
        <v>4</v>
      </c>
      <c r="I1000" s="16">
        <f t="shared" si="2"/>
        <v>7</v>
      </c>
      <c r="J1000" s="15">
        <f t="shared" si="3"/>
        <v>2023</v>
      </c>
      <c r="K1000" s="16">
        <f>STANDARDIZE(F1000,'estatística'!$C$2,'estatística'!$H$2)</f>
        <v>0.2500633072</v>
      </c>
    </row>
    <row r="1001" ht="15.75" customHeight="1">
      <c r="A1001" s="9">
        <v>63.0</v>
      </c>
      <c r="B1001" s="10" t="s">
        <v>197</v>
      </c>
      <c r="C1001" s="11" t="s">
        <v>198</v>
      </c>
      <c r="D1001" s="10" t="s">
        <v>13</v>
      </c>
      <c r="E1001" s="11" t="s">
        <v>36</v>
      </c>
      <c r="F1001" s="13">
        <v>66.35</v>
      </c>
      <c r="G1001" s="14">
        <v>45111.0</v>
      </c>
      <c r="H1001" s="15">
        <f t="shared" si="1"/>
        <v>4</v>
      </c>
      <c r="I1001" s="16">
        <f t="shared" si="2"/>
        <v>7</v>
      </c>
      <c r="J1001" s="15">
        <f t="shared" si="3"/>
        <v>2023</v>
      </c>
      <c r="K1001" s="16">
        <f>STANDARDIZE(F1001,'estatística'!$C$2,'estatística'!$H$2)</f>
        <v>0.8236262345</v>
      </c>
    </row>
    <row r="1002" ht="15.75" customHeight="1">
      <c r="A1002" s="9">
        <v>82.0</v>
      </c>
      <c r="B1002" s="10" t="s">
        <v>203</v>
      </c>
      <c r="C1002" s="11" t="s">
        <v>204</v>
      </c>
      <c r="D1002" s="10" t="s">
        <v>17</v>
      </c>
      <c r="E1002" s="11" t="s">
        <v>65</v>
      </c>
      <c r="F1002" s="13">
        <v>33.62</v>
      </c>
      <c r="G1002" s="14">
        <v>45111.0</v>
      </c>
      <c r="H1002" s="15">
        <f t="shared" si="1"/>
        <v>4</v>
      </c>
      <c r="I1002" s="16">
        <f t="shared" si="2"/>
        <v>7</v>
      </c>
      <c r="J1002" s="15">
        <f t="shared" si="3"/>
        <v>2023</v>
      </c>
      <c r="K1002" s="16">
        <f>STANDARDIZE(F1002,'estatística'!$C$2,'estatística'!$H$2)</f>
        <v>0.4092175234</v>
      </c>
    </row>
    <row r="1003" ht="15.75" customHeight="1">
      <c r="A1003" s="9">
        <v>78.0</v>
      </c>
      <c r="B1003" s="10" t="s">
        <v>15</v>
      </c>
      <c r="C1003" s="11" t="s">
        <v>16</v>
      </c>
      <c r="D1003" s="10" t="s">
        <v>17</v>
      </c>
      <c r="E1003" s="11" t="s">
        <v>36</v>
      </c>
      <c r="F1003" s="13">
        <v>75.41</v>
      </c>
      <c r="G1003" s="14">
        <v>45111.0</v>
      </c>
      <c r="H1003" s="15">
        <f t="shared" si="1"/>
        <v>4</v>
      </c>
      <c r="I1003" s="16">
        <f t="shared" si="2"/>
        <v>7</v>
      </c>
      <c r="J1003" s="15">
        <f t="shared" si="3"/>
        <v>2023</v>
      </c>
      <c r="K1003" s="16">
        <f>STANDARDIZE(F1003,'estatística'!$C$2,'estatística'!$H$2)</f>
        <v>0.93833882</v>
      </c>
    </row>
    <row r="1004" ht="15.75" customHeight="1">
      <c r="A1004" s="9">
        <v>45.0</v>
      </c>
      <c r="B1004" s="10" t="s">
        <v>193</v>
      </c>
      <c r="C1004" s="11" t="s">
        <v>194</v>
      </c>
      <c r="D1004" s="10" t="s">
        <v>13</v>
      </c>
      <c r="E1004" s="11" t="s">
        <v>33</v>
      </c>
      <c r="F1004" s="13">
        <v>59.3</v>
      </c>
      <c r="G1004" s="14">
        <v>45111.0</v>
      </c>
      <c r="H1004" s="15">
        <f t="shared" si="1"/>
        <v>4</v>
      </c>
      <c r="I1004" s="16">
        <f t="shared" si="2"/>
        <v>7</v>
      </c>
      <c r="J1004" s="15">
        <f t="shared" si="3"/>
        <v>2023</v>
      </c>
      <c r="K1004" s="16">
        <f>STANDARDIZE(F1004,'estatística'!$C$2,'estatística'!$H$2)</f>
        <v>0.7343631299</v>
      </c>
    </row>
    <row r="1005" ht="15.75" customHeight="1">
      <c r="A1005" s="9">
        <v>8.0</v>
      </c>
      <c r="B1005" s="10" t="s">
        <v>75</v>
      </c>
      <c r="C1005" s="11" t="s">
        <v>76</v>
      </c>
      <c r="D1005" s="10" t="s">
        <v>17</v>
      </c>
      <c r="E1005" s="11" t="s">
        <v>14</v>
      </c>
      <c r="F1005" s="13">
        <v>10.67</v>
      </c>
      <c r="G1005" s="14">
        <v>45111.0</v>
      </c>
      <c r="H1005" s="15">
        <f t="shared" si="1"/>
        <v>4</v>
      </c>
      <c r="I1005" s="16">
        <f t="shared" si="2"/>
        <v>7</v>
      </c>
      <c r="J1005" s="15">
        <f t="shared" si="3"/>
        <v>2023</v>
      </c>
      <c r="K1005" s="16">
        <f>STANDARDIZE(F1005,'estatística'!$C$2,'estatística'!$H$2)</f>
        <v>0.1186376298</v>
      </c>
    </row>
    <row r="1006" ht="15.75" customHeight="1">
      <c r="A1006" s="9">
        <v>21.0</v>
      </c>
      <c r="B1006" s="10" t="s">
        <v>158</v>
      </c>
      <c r="C1006" s="11" t="s">
        <v>159</v>
      </c>
      <c r="D1006" s="10" t="s">
        <v>17</v>
      </c>
      <c r="E1006" s="11" t="s">
        <v>57</v>
      </c>
      <c r="F1006" s="13">
        <v>23.98</v>
      </c>
      <c r="G1006" s="14">
        <v>45112.0</v>
      </c>
      <c r="H1006" s="15">
        <f t="shared" si="1"/>
        <v>5</v>
      </c>
      <c r="I1006" s="16">
        <f t="shared" si="2"/>
        <v>7</v>
      </c>
      <c r="J1006" s="15">
        <f t="shared" si="3"/>
        <v>2023</v>
      </c>
      <c r="K1006" s="16">
        <f>STANDARDIZE(F1006,'estatística'!$C$2,'estatística'!$H$2)</f>
        <v>0.2871613067</v>
      </c>
    </row>
    <row r="1007" ht="15.75" customHeight="1">
      <c r="A1007" s="9">
        <v>65.0</v>
      </c>
      <c r="B1007" s="10" t="s">
        <v>181</v>
      </c>
      <c r="C1007" s="11" t="s">
        <v>182</v>
      </c>
      <c r="D1007" s="10" t="s">
        <v>17</v>
      </c>
      <c r="E1007" s="11" t="s">
        <v>39</v>
      </c>
      <c r="F1007" s="13">
        <v>42.79</v>
      </c>
      <c r="G1007" s="14">
        <v>45112.0</v>
      </c>
      <c r="H1007" s="15">
        <f t="shared" si="1"/>
        <v>5</v>
      </c>
      <c r="I1007" s="16">
        <f t="shared" si="2"/>
        <v>7</v>
      </c>
      <c r="J1007" s="15">
        <f t="shared" si="3"/>
        <v>2023</v>
      </c>
      <c r="K1007" s="16">
        <f>STANDARDIZE(F1007,'estatística'!$C$2,'estatística'!$H$2)</f>
        <v>0.5253228665</v>
      </c>
    </row>
    <row r="1008" ht="15.75" customHeight="1">
      <c r="A1008" s="9">
        <v>58.0</v>
      </c>
      <c r="B1008" s="10" t="s">
        <v>137</v>
      </c>
      <c r="C1008" s="11" t="s">
        <v>138</v>
      </c>
      <c r="D1008" s="10" t="s">
        <v>13</v>
      </c>
      <c r="E1008" s="11" t="s">
        <v>27</v>
      </c>
      <c r="F1008" s="13">
        <v>19.64</v>
      </c>
      <c r="G1008" s="14">
        <v>45112.0</v>
      </c>
      <c r="H1008" s="15">
        <f t="shared" si="1"/>
        <v>5</v>
      </c>
      <c r="I1008" s="16">
        <f t="shared" si="2"/>
        <v>7</v>
      </c>
      <c r="J1008" s="15">
        <f t="shared" si="3"/>
        <v>2023</v>
      </c>
      <c r="K1008" s="16">
        <f>STANDARDIZE(F1008,'estatística'!$C$2,'estatística'!$H$2)</f>
        <v>0.2322106862</v>
      </c>
    </row>
    <row r="1009" ht="15.75" customHeight="1">
      <c r="A1009" s="9">
        <v>16.0</v>
      </c>
      <c r="B1009" s="10" t="s">
        <v>147</v>
      </c>
      <c r="C1009" s="11" t="s">
        <v>148</v>
      </c>
      <c r="D1009" s="10" t="s">
        <v>17</v>
      </c>
      <c r="E1009" s="11" t="s">
        <v>29</v>
      </c>
      <c r="F1009" s="13">
        <v>13.53</v>
      </c>
      <c r="G1009" s="14">
        <v>45113.0</v>
      </c>
      <c r="H1009" s="15">
        <f t="shared" si="1"/>
        <v>6</v>
      </c>
      <c r="I1009" s="16">
        <f t="shared" si="2"/>
        <v>7</v>
      </c>
      <c r="J1009" s="15">
        <f t="shared" si="3"/>
        <v>2023</v>
      </c>
      <c r="K1009" s="16">
        <f>STANDARDIZE(F1009,'estatística'!$C$2,'estatística'!$H$2)</f>
        <v>0.1548493289</v>
      </c>
    </row>
    <row r="1010" ht="15.75" customHeight="1">
      <c r="A1010" s="9">
        <v>55.0</v>
      </c>
      <c r="B1010" s="10" t="s">
        <v>174</v>
      </c>
      <c r="C1010" s="11" t="s">
        <v>175</v>
      </c>
      <c r="D1010" s="10" t="s">
        <v>13</v>
      </c>
      <c r="E1010" s="11" t="s">
        <v>14</v>
      </c>
      <c r="F1010" s="13">
        <v>10.65</v>
      </c>
      <c r="G1010" s="14">
        <v>45113.0</v>
      </c>
      <c r="H1010" s="15">
        <f t="shared" si="1"/>
        <v>6</v>
      </c>
      <c r="I1010" s="16">
        <f t="shared" si="2"/>
        <v>7</v>
      </c>
      <c r="J1010" s="15">
        <f t="shared" si="3"/>
        <v>2023</v>
      </c>
      <c r="K1010" s="16">
        <f>STANDARDIZE(F1010,'estatística'!$C$2,'estatística'!$H$2)</f>
        <v>0.1183844011</v>
      </c>
    </row>
    <row r="1011" ht="15.75" customHeight="1">
      <c r="A1011" s="9">
        <v>62.0</v>
      </c>
      <c r="B1011" s="10" t="s">
        <v>128</v>
      </c>
      <c r="C1011" s="11" t="s">
        <v>129</v>
      </c>
      <c r="D1011" s="10" t="s">
        <v>17</v>
      </c>
      <c r="E1011" s="11" t="s">
        <v>57</v>
      </c>
      <c r="F1011" s="13">
        <v>21.74</v>
      </c>
      <c r="G1011" s="14">
        <v>45113.0</v>
      </c>
      <c r="H1011" s="15">
        <f t="shared" si="1"/>
        <v>6</v>
      </c>
      <c r="I1011" s="16">
        <f t="shared" si="2"/>
        <v>7</v>
      </c>
      <c r="J1011" s="15">
        <f t="shared" si="3"/>
        <v>2023</v>
      </c>
      <c r="K1011" s="16">
        <f>STANDARDIZE(F1011,'estatística'!$C$2,'estatística'!$H$2)</f>
        <v>0.2587996961</v>
      </c>
    </row>
    <row r="1012" ht="15.75" customHeight="1">
      <c r="A1012" s="9">
        <v>58.0</v>
      </c>
      <c r="B1012" s="10" t="s">
        <v>137</v>
      </c>
      <c r="C1012" s="11" t="s">
        <v>138</v>
      </c>
      <c r="D1012" s="10" t="s">
        <v>17</v>
      </c>
      <c r="E1012" s="11" t="s">
        <v>65</v>
      </c>
      <c r="F1012" s="13">
        <v>29.46</v>
      </c>
      <c r="G1012" s="14">
        <v>45113.0</v>
      </c>
      <c r="H1012" s="15">
        <f t="shared" si="1"/>
        <v>6</v>
      </c>
      <c r="I1012" s="16">
        <f t="shared" si="2"/>
        <v>7</v>
      </c>
      <c r="J1012" s="15">
        <f t="shared" si="3"/>
        <v>2023</v>
      </c>
      <c r="K1012" s="16">
        <f>STANDARDIZE(F1012,'estatística'!$C$2,'estatística'!$H$2)</f>
        <v>0.356545961</v>
      </c>
    </row>
    <row r="1013" ht="15.75" customHeight="1">
      <c r="A1013" s="9">
        <v>70.0</v>
      </c>
      <c r="B1013" s="10" t="s">
        <v>124</v>
      </c>
      <c r="C1013" s="11" t="s">
        <v>125</v>
      </c>
      <c r="D1013" s="10" t="s">
        <v>17</v>
      </c>
      <c r="E1013" s="11" t="s">
        <v>36</v>
      </c>
      <c r="F1013" s="13">
        <v>70.04</v>
      </c>
      <c r="G1013" s="14">
        <v>45113.0</v>
      </c>
      <c r="H1013" s="15">
        <f t="shared" si="1"/>
        <v>6</v>
      </c>
      <c r="I1013" s="16">
        <f t="shared" si="2"/>
        <v>7</v>
      </c>
      <c r="J1013" s="15">
        <f t="shared" si="3"/>
        <v>2023</v>
      </c>
      <c r="K1013" s="16">
        <f>STANDARDIZE(F1013,'estatística'!$C$2,'estatística'!$H$2)</f>
        <v>0.8703469233</v>
      </c>
    </row>
    <row r="1014" ht="15.75" customHeight="1">
      <c r="A1014" s="9">
        <v>16.0</v>
      </c>
      <c r="B1014" s="10" t="s">
        <v>147</v>
      </c>
      <c r="C1014" s="11" t="s">
        <v>148</v>
      </c>
      <c r="D1014" s="10" t="s">
        <v>13</v>
      </c>
      <c r="E1014" s="11" t="s">
        <v>65</v>
      </c>
      <c r="F1014" s="13">
        <v>31.1</v>
      </c>
      <c r="G1014" s="14">
        <v>45113.0</v>
      </c>
      <c r="H1014" s="15">
        <f t="shared" si="1"/>
        <v>6</v>
      </c>
      <c r="I1014" s="16">
        <f t="shared" si="2"/>
        <v>7</v>
      </c>
      <c r="J1014" s="15">
        <f t="shared" si="3"/>
        <v>2023</v>
      </c>
      <c r="K1014" s="16">
        <f>STANDARDIZE(F1014,'estatística'!$C$2,'estatística'!$H$2)</f>
        <v>0.3773107116</v>
      </c>
    </row>
    <row r="1015" ht="15.75" customHeight="1">
      <c r="A1015" s="9">
        <v>29.0</v>
      </c>
      <c r="B1015" s="10" t="s">
        <v>92</v>
      </c>
      <c r="C1015" s="11" t="s">
        <v>93</v>
      </c>
      <c r="D1015" s="10" t="s">
        <v>13</v>
      </c>
      <c r="E1015" s="11" t="s">
        <v>91</v>
      </c>
      <c r="F1015" s="13">
        <v>1.3</v>
      </c>
      <c r="G1015" s="14">
        <v>45113.0</v>
      </c>
      <c r="H1015" s="15">
        <f t="shared" si="1"/>
        <v>6</v>
      </c>
      <c r="I1015" s="16">
        <f t="shared" si="2"/>
        <v>7</v>
      </c>
      <c r="J1015" s="15">
        <f t="shared" si="3"/>
        <v>2023</v>
      </c>
      <c r="K1015" s="16">
        <f>STANDARDIZE(F1015,'estatística'!$C$2,'estatística'!$H$2)</f>
        <v>0</v>
      </c>
    </row>
    <row r="1016" ht="15.75" customHeight="1">
      <c r="A1016" s="9">
        <v>26.0</v>
      </c>
      <c r="B1016" s="10" t="s">
        <v>183</v>
      </c>
      <c r="C1016" s="11" t="s">
        <v>184</v>
      </c>
      <c r="D1016" s="10" t="s">
        <v>17</v>
      </c>
      <c r="E1016" s="11" t="s">
        <v>27</v>
      </c>
      <c r="F1016" s="13">
        <v>13.97</v>
      </c>
      <c r="G1016" s="14">
        <v>45113.0</v>
      </c>
      <c r="H1016" s="15">
        <f t="shared" si="1"/>
        <v>6</v>
      </c>
      <c r="I1016" s="16">
        <f t="shared" si="2"/>
        <v>7</v>
      </c>
      <c r="J1016" s="15">
        <f t="shared" si="3"/>
        <v>2023</v>
      </c>
      <c r="K1016" s="16">
        <f>STANDARDIZE(F1016,'estatística'!$C$2,'estatística'!$H$2)</f>
        <v>0.1604203596</v>
      </c>
    </row>
    <row r="1017" ht="15.75" customHeight="1">
      <c r="A1017" s="9">
        <v>86.0</v>
      </c>
      <c r="B1017" s="10" t="s">
        <v>40</v>
      </c>
      <c r="C1017" s="11" t="s">
        <v>41</v>
      </c>
      <c r="D1017" s="10" t="s">
        <v>13</v>
      </c>
      <c r="E1017" s="11" t="s">
        <v>33</v>
      </c>
      <c r="F1017" s="13">
        <v>60.53</v>
      </c>
      <c r="G1017" s="14">
        <v>45113.0</v>
      </c>
      <c r="H1017" s="15">
        <f t="shared" si="1"/>
        <v>6</v>
      </c>
      <c r="I1017" s="16">
        <f t="shared" si="2"/>
        <v>7</v>
      </c>
      <c r="J1017" s="15">
        <f t="shared" si="3"/>
        <v>2023</v>
      </c>
      <c r="K1017" s="16">
        <f>STANDARDIZE(F1017,'estatística'!$C$2,'estatística'!$H$2)</f>
        <v>0.7499366928</v>
      </c>
    </row>
    <row r="1018" ht="15.75" customHeight="1">
      <c r="A1018" s="9">
        <v>2.0</v>
      </c>
      <c r="B1018" s="10" t="s">
        <v>53</v>
      </c>
      <c r="C1018" s="11" t="s">
        <v>54</v>
      </c>
      <c r="D1018" s="10" t="s">
        <v>17</v>
      </c>
      <c r="E1018" s="11" t="s">
        <v>116</v>
      </c>
      <c r="F1018" s="13">
        <v>4.3</v>
      </c>
      <c r="G1018" s="14">
        <v>45114.0</v>
      </c>
      <c r="H1018" s="15">
        <f t="shared" si="1"/>
        <v>7</v>
      </c>
      <c r="I1018" s="16">
        <f t="shared" si="2"/>
        <v>7</v>
      </c>
      <c r="J1018" s="15">
        <f t="shared" si="3"/>
        <v>2023</v>
      </c>
      <c r="K1018" s="16">
        <f>STANDARDIZE(F1018,'estatística'!$C$2,'estatística'!$H$2)</f>
        <v>0.03798429982</v>
      </c>
    </row>
    <row r="1019" ht="15.75" customHeight="1">
      <c r="A1019" s="9">
        <v>62.0</v>
      </c>
      <c r="B1019" s="10" t="s">
        <v>128</v>
      </c>
      <c r="C1019" s="11" t="s">
        <v>129</v>
      </c>
      <c r="D1019" s="10" t="s">
        <v>17</v>
      </c>
      <c r="E1019" s="11" t="s">
        <v>21</v>
      </c>
      <c r="F1019" s="13">
        <v>13.76</v>
      </c>
      <c r="G1019" s="14">
        <v>45114.0</v>
      </c>
      <c r="H1019" s="15">
        <f t="shared" si="1"/>
        <v>7</v>
      </c>
      <c r="I1019" s="16">
        <f t="shared" si="2"/>
        <v>7</v>
      </c>
      <c r="J1019" s="15">
        <f t="shared" si="3"/>
        <v>2023</v>
      </c>
      <c r="K1019" s="16">
        <f>STANDARDIZE(F1019,'estatística'!$C$2,'estatística'!$H$2)</f>
        <v>0.1577614586</v>
      </c>
    </row>
    <row r="1020" ht="15.75" customHeight="1">
      <c r="A1020" s="9">
        <v>51.0</v>
      </c>
      <c r="B1020" s="10" t="s">
        <v>205</v>
      </c>
      <c r="C1020" s="11" t="s">
        <v>206</v>
      </c>
      <c r="D1020" s="10" t="s">
        <v>17</v>
      </c>
      <c r="E1020" s="11" t="s">
        <v>33</v>
      </c>
      <c r="F1020" s="13">
        <v>65.54</v>
      </c>
      <c r="G1020" s="14">
        <v>45114.0</v>
      </c>
      <c r="H1020" s="15">
        <f t="shared" si="1"/>
        <v>7</v>
      </c>
      <c r="I1020" s="16">
        <f t="shared" si="2"/>
        <v>7</v>
      </c>
      <c r="J1020" s="15">
        <f t="shared" si="3"/>
        <v>2023</v>
      </c>
      <c r="K1020" s="16">
        <f>STANDARDIZE(F1020,'estatística'!$C$2,'estatística'!$H$2)</f>
        <v>0.8133704735</v>
      </c>
    </row>
    <row r="1021" ht="15.75" customHeight="1">
      <c r="A1021" s="9">
        <v>92.0</v>
      </c>
      <c r="B1021" s="10" t="s">
        <v>81</v>
      </c>
      <c r="C1021" s="11" t="s">
        <v>169</v>
      </c>
      <c r="D1021" s="10" t="s">
        <v>13</v>
      </c>
      <c r="E1021" s="11" t="s">
        <v>77</v>
      </c>
      <c r="F1021" s="13">
        <v>13.84</v>
      </c>
      <c r="G1021" s="14">
        <v>45114.0</v>
      </c>
      <c r="H1021" s="15">
        <f t="shared" si="1"/>
        <v>7</v>
      </c>
      <c r="I1021" s="16">
        <f t="shared" si="2"/>
        <v>7</v>
      </c>
      <c r="J1021" s="15">
        <f t="shared" si="3"/>
        <v>2023</v>
      </c>
      <c r="K1021" s="16">
        <f>STANDARDIZE(F1021,'estatística'!$C$2,'estatística'!$H$2)</f>
        <v>0.1587743733</v>
      </c>
    </row>
    <row r="1022" ht="15.75" customHeight="1">
      <c r="A1022" s="9">
        <v>43.0</v>
      </c>
      <c r="B1022" s="10" t="s">
        <v>63</v>
      </c>
      <c r="C1022" s="11" t="s">
        <v>64</v>
      </c>
      <c r="D1022" s="10" t="s">
        <v>17</v>
      </c>
      <c r="E1022" s="11" t="s">
        <v>32</v>
      </c>
      <c r="F1022" s="13">
        <v>29.31</v>
      </c>
      <c r="G1022" s="14">
        <v>45114.0</v>
      </c>
      <c r="H1022" s="15">
        <f t="shared" si="1"/>
        <v>7</v>
      </c>
      <c r="I1022" s="16">
        <f t="shared" si="2"/>
        <v>7</v>
      </c>
      <c r="J1022" s="15">
        <f t="shared" si="3"/>
        <v>2023</v>
      </c>
      <c r="K1022" s="16">
        <f>STANDARDIZE(F1022,'estatística'!$C$2,'estatística'!$H$2)</f>
        <v>0.354646746</v>
      </c>
    </row>
    <row r="1023" ht="15.75" customHeight="1">
      <c r="A1023" s="9">
        <v>27.0</v>
      </c>
      <c r="B1023" s="10" t="s">
        <v>145</v>
      </c>
      <c r="C1023" s="11" t="s">
        <v>146</v>
      </c>
      <c r="D1023" s="10" t="s">
        <v>13</v>
      </c>
      <c r="E1023" s="11" t="s">
        <v>21</v>
      </c>
      <c r="F1023" s="13">
        <v>16.92</v>
      </c>
      <c r="G1023" s="14">
        <v>45115.0</v>
      </c>
      <c r="H1023" s="15">
        <f t="shared" si="1"/>
        <v>8</v>
      </c>
      <c r="I1023" s="16">
        <f t="shared" si="2"/>
        <v>7</v>
      </c>
      <c r="J1023" s="15">
        <f t="shared" si="3"/>
        <v>2023</v>
      </c>
      <c r="K1023" s="16">
        <f>STANDARDIZE(F1023,'estatística'!$C$2,'estatística'!$H$2)</f>
        <v>0.1977715877</v>
      </c>
    </row>
    <row r="1024" ht="15.75" customHeight="1">
      <c r="A1024" s="9">
        <v>38.0</v>
      </c>
      <c r="B1024" s="10" t="s">
        <v>85</v>
      </c>
      <c r="C1024" s="11" t="s">
        <v>86</v>
      </c>
      <c r="D1024" s="10" t="s">
        <v>17</v>
      </c>
      <c r="E1024" s="11" t="s">
        <v>21</v>
      </c>
      <c r="F1024" s="13">
        <v>18.63</v>
      </c>
      <c r="G1024" s="14">
        <v>45115.0</v>
      </c>
      <c r="H1024" s="15">
        <f t="shared" si="1"/>
        <v>8</v>
      </c>
      <c r="I1024" s="16">
        <f t="shared" si="2"/>
        <v>7</v>
      </c>
      <c r="J1024" s="15">
        <f t="shared" si="3"/>
        <v>2023</v>
      </c>
      <c r="K1024" s="16">
        <f>STANDARDIZE(F1024,'estatística'!$C$2,'estatística'!$H$2)</f>
        <v>0.2194226386</v>
      </c>
    </row>
    <row r="1025" ht="15.75" customHeight="1">
      <c r="A1025" s="9">
        <v>46.0</v>
      </c>
      <c r="B1025" s="10" t="s">
        <v>114</v>
      </c>
      <c r="C1025" s="11" t="s">
        <v>115</v>
      </c>
      <c r="D1025" s="10" t="s">
        <v>13</v>
      </c>
      <c r="E1025" s="11" t="s">
        <v>32</v>
      </c>
      <c r="F1025" s="13">
        <v>34.11</v>
      </c>
      <c r="G1025" s="14">
        <v>45115.0</v>
      </c>
      <c r="H1025" s="15">
        <f t="shared" si="1"/>
        <v>8</v>
      </c>
      <c r="I1025" s="16">
        <f t="shared" si="2"/>
        <v>7</v>
      </c>
      <c r="J1025" s="15">
        <f t="shared" si="3"/>
        <v>2023</v>
      </c>
      <c r="K1025" s="16">
        <f>STANDARDIZE(F1025,'estatística'!$C$2,'estatística'!$H$2)</f>
        <v>0.4154216257</v>
      </c>
    </row>
    <row r="1026" ht="15.75" customHeight="1">
      <c r="A1026" s="9">
        <v>57.0</v>
      </c>
      <c r="B1026" s="10" t="s">
        <v>60</v>
      </c>
      <c r="C1026" s="11" t="s">
        <v>162</v>
      </c>
      <c r="D1026" s="10" t="s">
        <v>17</v>
      </c>
      <c r="E1026" s="11" t="s">
        <v>116</v>
      </c>
      <c r="F1026" s="13">
        <v>3.54</v>
      </c>
      <c r="G1026" s="14">
        <v>45115.0</v>
      </c>
      <c r="H1026" s="15">
        <f t="shared" si="1"/>
        <v>8</v>
      </c>
      <c r="I1026" s="16">
        <f t="shared" si="2"/>
        <v>7</v>
      </c>
      <c r="J1026" s="15">
        <f t="shared" si="3"/>
        <v>2023</v>
      </c>
      <c r="K1026" s="16">
        <f>STANDARDIZE(F1026,'estatística'!$C$2,'estatística'!$H$2)</f>
        <v>0.02836161053</v>
      </c>
    </row>
    <row r="1027" ht="15.75" customHeight="1">
      <c r="A1027" s="9">
        <v>12.0</v>
      </c>
      <c r="B1027" s="10" t="s">
        <v>160</v>
      </c>
      <c r="C1027" s="11" t="s">
        <v>161</v>
      </c>
      <c r="D1027" s="10" t="s">
        <v>17</v>
      </c>
      <c r="E1027" s="11" t="s">
        <v>116</v>
      </c>
      <c r="F1027" s="13">
        <v>4.56</v>
      </c>
      <c r="G1027" s="14">
        <v>45116.0</v>
      </c>
      <c r="H1027" s="15">
        <f t="shared" si="1"/>
        <v>9</v>
      </c>
      <c r="I1027" s="16">
        <f t="shared" si="2"/>
        <v>7</v>
      </c>
      <c r="J1027" s="15">
        <f t="shared" si="3"/>
        <v>2023</v>
      </c>
      <c r="K1027" s="16">
        <f>STANDARDIZE(F1027,'estatística'!$C$2,'estatística'!$H$2)</f>
        <v>0.04127627247</v>
      </c>
    </row>
    <row r="1028" ht="15.75" customHeight="1">
      <c r="A1028" s="9">
        <v>18.0</v>
      </c>
      <c r="B1028" s="10" t="s">
        <v>135</v>
      </c>
      <c r="C1028" s="11" t="s">
        <v>212</v>
      </c>
      <c r="D1028" s="10" t="s">
        <v>17</v>
      </c>
      <c r="E1028" s="11" t="s">
        <v>65</v>
      </c>
      <c r="F1028" s="13">
        <v>38.95</v>
      </c>
      <c r="G1028" s="14">
        <v>45116.0</v>
      </c>
      <c r="H1028" s="15">
        <f t="shared" si="1"/>
        <v>9</v>
      </c>
      <c r="I1028" s="16">
        <f t="shared" si="2"/>
        <v>7</v>
      </c>
      <c r="J1028" s="15">
        <f t="shared" si="3"/>
        <v>2023</v>
      </c>
      <c r="K1028" s="16">
        <f>STANDARDIZE(F1028,'estatística'!$C$2,'estatística'!$H$2)</f>
        <v>0.4767029628</v>
      </c>
    </row>
    <row r="1029" ht="15.75" customHeight="1">
      <c r="A1029" s="9">
        <v>49.0</v>
      </c>
      <c r="B1029" s="10" t="s">
        <v>151</v>
      </c>
      <c r="C1029" s="11" t="s">
        <v>152</v>
      </c>
      <c r="D1029" s="10" t="s">
        <v>17</v>
      </c>
      <c r="E1029" s="11" t="s">
        <v>39</v>
      </c>
      <c r="F1029" s="13">
        <v>40.28</v>
      </c>
      <c r="G1029" s="14">
        <v>45116.0</v>
      </c>
      <c r="H1029" s="15">
        <f t="shared" si="1"/>
        <v>9</v>
      </c>
      <c r="I1029" s="16">
        <f t="shared" si="2"/>
        <v>7</v>
      </c>
      <c r="J1029" s="15">
        <f t="shared" si="3"/>
        <v>2023</v>
      </c>
      <c r="K1029" s="16">
        <f>STANDARDIZE(F1029,'estatística'!$C$2,'estatística'!$H$2)</f>
        <v>0.493542669</v>
      </c>
    </row>
    <row r="1030" ht="15.75" customHeight="1">
      <c r="A1030" s="9">
        <v>94.0</v>
      </c>
      <c r="B1030" s="10" t="s">
        <v>179</v>
      </c>
      <c r="C1030" s="11" t="s">
        <v>209</v>
      </c>
      <c r="D1030" s="10" t="s">
        <v>17</v>
      </c>
      <c r="E1030" s="11" t="s">
        <v>39</v>
      </c>
      <c r="F1030" s="13">
        <v>54.64</v>
      </c>
      <c r="G1030" s="14">
        <v>45116.0</v>
      </c>
      <c r="H1030" s="15">
        <f t="shared" si="1"/>
        <v>9</v>
      </c>
      <c r="I1030" s="16">
        <f t="shared" si="2"/>
        <v>7</v>
      </c>
      <c r="J1030" s="15">
        <f t="shared" si="3"/>
        <v>2023</v>
      </c>
      <c r="K1030" s="16">
        <f>STANDARDIZE(F1030,'estatística'!$C$2,'estatística'!$H$2)</f>
        <v>0.6753608508</v>
      </c>
    </row>
    <row r="1031" ht="15.75" customHeight="1">
      <c r="A1031" s="9">
        <v>88.0</v>
      </c>
      <c r="B1031" s="10" t="s">
        <v>172</v>
      </c>
      <c r="C1031" s="11" t="s">
        <v>178</v>
      </c>
      <c r="D1031" s="10" t="s">
        <v>13</v>
      </c>
      <c r="E1031" s="11" t="s">
        <v>18</v>
      </c>
      <c r="F1031" s="13">
        <v>39.91</v>
      </c>
      <c r="G1031" s="14">
        <v>45117.0</v>
      </c>
      <c r="H1031" s="15">
        <f t="shared" si="1"/>
        <v>10</v>
      </c>
      <c r="I1031" s="16">
        <f t="shared" si="2"/>
        <v>7</v>
      </c>
      <c r="J1031" s="15">
        <f t="shared" si="3"/>
        <v>2023</v>
      </c>
      <c r="K1031" s="16">
        <f>STANDARDIZE(F1031,'estatística'!$C$2,'estatística'!$H$2)</f>
        <v>0.4888579387</v>
      </c>
    </row>
    <row r="1032" ht="15.75" customHeight="1">
      <c r="A1032" s="9">
        <v>62.0</v>
      </c>
      <c r="B1032" s="10" t="s">
        <v>128</v>
      </c>
      <c r="C1032" s="11" t="s">
        <v>129</v>
      </c>
      <c r="D1032" s="10" t="s">
        <v>17</v>
      </c>
      <c r="E1032" s="11" t="s">
        <v>32</v>
      </c>
      <c r="F1032" s="13">
        <v>31.08</v>
      </c>
      <c r="G1032" s="14">
        <v>45117.0</v>
      </c>
      <c r="H1032" s="15">
        <f t="shared" si="1"/>
        <v>10</v>
      </c>
      <c r="I1032" s="16">
        <f t="shared" si="2"/>
        <v>7</v>
      </c>
      <c r="J1032" s="15">
        <f t="shared" si="3"/>
        <v>2023</v>
      </c>
      <c r="K1032" s="16">
        <f>STANDARDIZE(F1032,'estatística'!$C$2,'estatística'!$H$2)</f>
        <v>0.3770574829</v>
      </c>
    </row>
    <row r="1033" ht="15.75" customHeight="1">
      <c r="A1033" s="9">
        <v>100.0</v>
      </c>
      <c r="B1033" s="10" t="s">
        <v>30</v>
      </c>
      <c r="C1033" s="11" t="s">
        <v>31</v>
      </c>
      <c r="D1033" s="10" t="s">
        <v>13</v>
      </c>
      <c r="E1033" s="11" t="s">
        <v>39</v>
      </c>
      <c r="F1033" s="13">
        <v>40.93</v>
      </c>
      <c r="G1033" s="14">
        <v>45117.0</v>
      </c>
      <c r="H1033" s="15">
        <f t="shared" si="1"/>
        <v>10</v>
      </c>
      <c r="I1033" s="16">
        <f t="shared" si="2"/>
        <v>7</v>
      </c>
      <c r="J1033" s="15">
        <f t="shared" si="3"/>
        <v>2023</v>
      </c>
      <c r="K1033" s="16">
        <f>STANDARDIZE(F1033,'estatística'!$C$2,'estatística'!$H$2)</f>
        <v>0.5017726007</v>
      </c>
    </row>
    <row r="1034" ht="15.75" customHeight="1">
      <c r="A1034" s="9">
        <v>35.0</v>
      </c>
      <c r="B1034" s="10" t="s">
        <v>95</v>
      </c>
      <c r="C1034" s="11" t="s">
        <v>96</v>
      </c>
      <c r="D1034" s="10" t="s">
        <v>17</v>
      </c>
      <c r="E1034" s="11" t="s">
        <v>68</v>
      </c>
      <c r="F1034" s="13">
        <v>10.26</v>
      </c>
      <c r="G1034" s="14">
        <v>45117.0</v>
      </c>
      <c r="H1034" s="15">
        <f t="shared" si="1"/>
        <v>10</v>
      </c>
      <c r="I1034" s="16">
        <f t="shared" si="2"/>
        <v>7</v>
      </c>
      <c r="J1034" s="15">
        <f t="shared" si="3"/>
        <v>2023</v>
      </c>
      <c r="K1034" s="16">
        <f>STANDARDIZE(F1034,'estatística'!$C$2,'estatística'!$H$2)</f>
        <v>0.1134464421</v>
      </c>
    </row>
    <row r="1035" ht="15.75" customHeight="1">
      <c r="A1035" s="9">
        <v>94.0</v>
      </c>
      <c r="B1035" s="10" t="s">
        <v>179</v>
      </c>
      <c r="C1035" s="11" t="s">
        <v>209</v>
      </c>
      <c r="D1035" s="10" t="s">
        <v>17</v>
      </c>
      <c r="E1035" s="11" t="s">
        <v>32</v>
      </c>
      <c r="F1035" s="13">
        <v>24.82</v>
      </c>
      <c r="G1035" s="14">
        <v>45118.0</v>
      </c>
      <c r="H1035" s="15">
        <f t="shared" si="1"/>
        <v>11</v>
      </c>
      <c r="I1035" s="16">
        <f t="shared" si="2"/>
        <v>7</v>
      </c>
      <c r="J1035" s="15">
        <f t="shared" si="3"/>
        <v>2023</v>
      </c>
      <c r="K1035" s="16">
        <f>STANDARDIZE(F1035,'estatística'!$C$2,'estatística'!$H$2)</f>
        <v>0.2977969106</v>
      </c>
    </row>
    <row r="1036" ht="15.75" customHeight="1">
      <c r="A1036" s="9">
        <v>79.0</v>
      </c>
      <c r="B1036" s="10" t="s">
        <v>69</v>
      </c>
      <c r="C1036" s="11" t="s">
        <v>70</v>
      </c>
      <c r="D1036" s="10" t="s">
        <v>13</v>
      </c>
      <c r="E1036" s="11" t="s">
        <v>39</v>
      </c>
      <c r="F1036" s="13">
        <v>41.57</v>
      </c>
      <c r="G1036" s="14">
        <v>45119.0</v>
      </c>
      <c r="H1036" s="15">
        <f t="shared" si="1"/>
        <v>12</v>
      </c>
      <c r="I1036" s="16">
        <f t="shared" si="2"/>
        <v>7</v>
      </c>
      <c r="J1036" s="15">
        <f t="shared" si="3"/>
        <v>2023</v>
      </c>
      <c r="K1036" s="16">
        <f>STANDARDIZE(F1036,'estatística'!$C$2,'estatística'!$H$2)</f>
        <v>0.509875918</v>
      </c>
    </row>
    <row r="1037" ht="15.75" customHeight="1">
      <c r="A1037" s="9">
        <v>94.0</v>
      </c>
      <c r="B1037" s="10" t="s">
        <v>179</v>
      </c>
      <c r="C1037" s="11" t="s">
        <v>209</v>
      </c>
      <c r="D1037" s="10" t="s">
        <v>17</v>
      </c>
      <c r="E1037" s="11" t="s">
        <v>21</v>
      </c>
      <c r="F1037" s="13">
        <v>12.11</v>
      </c>
      <c r="G1037" s="14">
        <v>45119.0</v>
      </c>
      <c r="H1037" s="15">
        <f t="shared" si="1"/>
        <v>12</v>
      </c>
      <c r="I1037" s="16">
        <f t="shared" si="2"/>
        <v>7</v>
      </c>
      <c r="J1037" s="15">
        <f t="shared" si="3"/>
        <v>2023</v>
      </c>
      <c r="K1037" s="16">
        <f>STANDARDIZE(F1037,'estatística'!$C$2,'estatística'!$H$2)</f>
        <v>0.1368700937</v>
      </c>
    </row>
    <row r="1038" ht="15.75" customHeight="1">
      <c r="A1038" s="9">
        <v>13.0</v>
      </c>
      <c r="B1038" s="10" t="s">
        <v>108</v>
      </c>
      <c r="C1038" s="11" t="s">
        <v>109</v>
      </c>
      <c r="D1038" s="10" t="s">
        <v>17</v>
      </c>
      <c r="E1038" s="11" t="s">
        <v>91</v>
      </c>
      <c r="F1038" s="13">
        <v>4.25</v>
      </c>
      <c r="G1038" s="14">
        <v>45119.0</v>
      </c>
      <c r="H1038" s="15">
        <f t="shared" si="1"/>
        <v>12</v>
      </c>
      <c r="I1038" s="16">
        <f t="shared" si="2"/>
        <v>7</v>
      </c>
      <c r="J1038" s="15">
        <f t="shared" si="3"/>
        <v>2023</v>
      </c>
      <c r="K1038" s="16">
        <f>STANDARDIZE(F1038,'estatística'!$C$2,'estatística'!$H$2)</f>
        <v>0.03735122816</v>
      </c>
    </row>
    <row r="1039" ht="15.75" customHeight="1">
      <c r="A1039" s="9">
        <v>38.0</v>
      </c>
      <c r="B1039" s="10" t="s">
        <v>85</v>
      </c>
      <c r="C1039" s="11" t="s">
        <v>86</v>
      </c>
      <c r="D1039" s="10" t="s">
        <v>13</v>
      </c>
      <c r="E1039" s="11" t="s">
        <v>116</v>
      </c>
      <c r="F1039" s="13">
        <v>4.79</v>
      </c>
      <c r="G1039" s="14">
        <v>45119.0</v>
      </c>
      <c r="H1039" s="15">
        <f t="shared" si="1"/>
        <v>12</v>
      </c>
      <c r="I1039" s="16">
        <f t="shared" si="2"/>
        <v>7</v>
      </c>
      <c r="J1039" s="15">
        <f t="shared" si="3"/>
        <v>2023</v>
      </c>
      <c r="K1039" s="16">
        <f>STANDARDIZE(F1039,'estatística'!$C$2,'estatística'!$H$2)</f>
        <v>0.04418840213</v>
      </c>
    </row>
    <row r="1040" ht="15.75" customHeight="1">
      <c r="A1040" s="9">
        <v>91.0</v>
      </c>
      <c r="B1040" s="10" t="s">
        <v>81</v>
      </c>
      <c r="C1040" s="11" t="s">
        <v>82</v>
      </c>
      <c r="D1040" s="10" t="s">
        <v>17</v>
      </c>
      <c r="E1040" s="11" t="s">
        <v>91</v>
      </c>
      <c r="F1040" s="13">
        <v>2.81</v>
      </c>
      <c r="G1040" s="14">
        <v>45119.0</v>
      </c>
      <c r="H1040" s="15">
        <f t="shared" si="1"/>
        <v>12</v>
      </c>
      <c r="I1040" s="16">
        <f t="shared" si="2"/>
        <v>7</v>
      </c>
      <c r="J1040" s="15">
        <f t="shared" si="3"/>
        <v>2023</v>
      </c>
      <c r="K1040" s="16">
        <f>STANDARDIZE(F1040,'estatística'!$C$2,'estatística'!$H$2)</f>
        <v>0.01911876424</v>
      </c>
    </row>
    <row r="1041" ht="15.75" customHeight="1">
      <c r="A1041" s="9">
        <v>79.0</v>
      </c>
      <c r="B1041" s="10" t="s">
        <v>69</v>
      </c>
      <c r="C1041" s="11" t="s">
        <v>70</v>
      </c>
      <c r="D1041" s="10" t="s">
        <v>13</v>
      </c>
      <c r="E1041" s="11" t="s">
        <v>27</v>
      </c>
      <c r="F1041" s="13">
        <v>16.43</v>
      </c>
      <c r="G1041" s="14">
        <v>45119.0</v>
      </c>
      <c r="H1041" s="15">
        <f t="shared" si="1"/>
        <v>12</v>
      </c>
      <c r="I1041" s="16">
        <f t="shared" si="2"/>
        <v>7</v>
      </c>
      <c r="J1041" s="15">
        <f t="shared" si="3"/>
        <v>2023</v>
      </c>
      <c r="K1041" s="16">
        <f>STANDARDIZE(F1041,'estatística'!$C$2,'estatística'!$H$2)</f>
        <v>0.1915674854</v>
      </c>
    </row>
    <row r="1042" ht="15.75" customHeight="1">
      <c r="A1042" s="9">
        <v>20.0</v>
      </c>
      <c r="B1042" s="10" t="s">
        <v>133</v>
      </c>
      <c r="C1042" s="11" t="s">
        <v>134</v>
      </c>
      <c r="D1042" s="10" t="s">
        <v>17</v>
      </c>
      <c r="E1042" s="11" t="s">
        <v>62</v>
      </c>
      <c r="F1042" s="13">
        <v>12.4</v>
      </c>
      <c r="G1042" s="14">
        <v>45119.0</v>
      </c>
      <c r="H1042" s="15">
        <f t="shared" si="1"/>
        <v>12</v>
      </c>
      <c r="I1042" s="16">
        <f t="shared" si="2"/>
        <v>7</v>
      </c>
      <c r="J1042" s="15">
        <f t="shared" si="3"/>
        <v>2023</v>
      </c>
      <c r="K1042" s="16">
        <f>STANDARDIZE(F1042,'estatística'!$C$2,'estatística'!$H$2)</f>
        <v>0.1405419093</v>
      </c>
    </row>
    <row r="1043" ht="15.75" customHeight="1">
      <c r="A1043" s="9">
        <v>74.0</v>
      </c>
      <c r="B1043" s="10" t="s">
        <v>11</v>
      </c>
      <c r="C1043" s="11" t="s">
        <v>94</v>
      </c>
      <c r="D1043" s="10" t="s">
        <v>13</v>
      </c>
      <c r="E1043" s="11" t="s">
        <v>62</v>
      </c>
      <c r="F1043" s="13">
        <v>10.93</v>
      </c>
      <c r="G1043" s="14">
        <v>45119.0</v>
      </c>
      <c r="H1043" s="15">
        <f t="shared" si="1"/>
        <v>12</v>
      </c>
      <c r="I1043" s="16">
        <f t="shared" si="2"/>
        <v>7</v>
      </c>
      <c r="J1043" s="15">
        <f t="shared" si="3"/>
        <v>2023</v>
      </c>
      <c r="K1043" s="16">
        <f>STANDARDIZE(F1043,'estatística'!$C$2,'estatística'!$H$2)</f>
        <v>0.1219296024</v>
      </c>
    </row>
    <row r="1044" ht="15.75" customHeight="1">
      <c r="A1044" s="9">
        <v>17.0</v>
      </c>
      <c r="B1044" s="10" t="s">
        <v>172</v>
      </c>
      <c r="C1044" s="11" t="s">
        <v>173</v>
      </c>
      <c r="D1044" s="10" t="s">
        <v>17</v>
      </c>
      <c r="E1044" s="11" t="s">
        <v>65</v>
      </c>
      <c r="F1044" s="13">
        <v>34.6</v>
      </c>
      <c r="G1044" s="14">
        <v>45120.0</v>
      </c>
      <c r="H1044" s="15">
        <f t="shared" si="1"/>
        <v>13</v>
      </c>
      <c r="I1044" s="16">
        <f t="shared" si="2"/>
        <v>7</v>
      </c>
      <c r="J1044" s="15">
        <f t="shared" si="3"/>
        <v>2023</v>
      </c>
      <c r="K1044" s="16">
        <f>STANDARDIZE(F1044,'estatística'!$C$2,'estatística'!$H$2)</f>
        <v>0.421625728</v>
      </c>
    </row>
    <row r="1045" ht="15.75" customHeight="1">
      <c r="A1045" s="9">
        <v>90.0</v>
      </c>
      <c r="B1045" s="10" t="s">
        <v>191</v>
      </c>
      <c r="C1045" s="11" t="s">
        <v>192</v>
      </c>
      <c r="D1045" s="10" t="s">
        <v>17</v>
      </c>
      <c r="E1045" s="11" t="s">
        <v>18</v>
      </c>
      <c r="F1045" s="13">
        <v>40.4</v>
      </c>
      <c r="G1045" s="14">
        <v>45120.0</v>
      </c>
      <c r="H1045" s="15">
        <f t="shared" si="1"/>
        <v>13</v>
      </c>
      <c r="I1045" s="16">
        <f t="shared" si="2"/>
        <v>7</v>
      </c>
      <c r="J1045" s="15">
        <f t="shared" si="3"/>
        <v>2023</v>
      </c>
      <c r="K1045" s="16">
        <f>STANDARDIZE(F1045,'estatística'!$C$2,'estatística'!$H$2)</f>
        <v>0.495062041</v>
      </c>
    </row>
    <row r="1046" ht="15.75" customHeight="1">
      <c r="A1046" s="9">
        <v>41.0</v>
      </c>
      <c r="B1046" s="10" t="s">
        <v>189</v>
      </c>
      <c r="C1046" s="11" t="s">
        <v>190</v>
      </c>
      <c r="D1046" s="10" t="s">
        <v>17</v>
      </c>
      <c r="E1046" s="11" t="s">
        <v>32</v>
      </c>
      <c r="F1046" s="13">
        <v>33.51</v>
      </c>
      <c r="G1046" s="14">
        <v>45120.0</v>
      </c>
      <c r="H1046" s="15">
        <f t="shared" si="1"/>
        <v>13</v>
      </c>
      <c r="I1046" s="16">
        <f t="shared" si="2"/>
        <v>7</v>
      </c>
      <c r="J1046" s="15">
        <f t="shared" si="3"/>
        <v>2023</v>
      </c>
      <c r="K1046" s="16">
        <f>STANDARDIZE(F1046,'estatística'!$C$2,'estatística'!$H$2)</f>
        <v>0.4078247658</v>
      </c>
    </row>
    <row r="1047" ht="15.75" customHeight="1">
      <c r="A1047" s="9">
        <v>68.0</v>
      </c>
      <c r="B1047" s="10" t="s">
        <v>25</v>
      </c>
      <c r="C1047" s="11" t="s">
        <v>26</v>
      </c>
      <c r="D1047" s="10" t="s">
        <v>13</v>
      </c>
      <c r="E1047" s="11" t="s">
        <v>36</v>
      </c>
      <c r="F1047" s="13">
        <v>69.62</v>
      </c>
      <c r="G1047" s="14">
        <v>45120.0</v>
      </c>
      <c r="H1047" s="15">
        <f t="shared" si="1"/>
        <v>13</v>
      </c>
      <c r="I1047" s="16">
        <f t="shared" si="2"/>
        <v>7</v>
      </c>
      <c r="J1047" s="15">
        <f t="shared" si="3"/>
        <v>2023</v>
      </c>
      <c r="K1047" s="16">
        <f>STANDARDIZE(F1047,'estatística'!$C$2,'estatística'!$H$2)</f>
        <v>0.8650291213</v>
      </c>
    </row>
    <row r="1048" ht="15.75" customHeight="1">
      <c r="A1048" s="9">
        <v>39.0</v>
      </c>
      <c r="B1048" s="10" t="s">
        <v>58</v>
      </c>
      <c r="C1048" s="11" t="s">
        <v>59</v>
      </c>
      <c r="D1048" s="10" t="s">
        <v>17</v>
      </c>
      <c r="E1048" s="11" t="s">
        <v>14</v>
      </c>
      <c r="F1048" s="13">
        <v>10.19</v>
      </c>
      <c r="G1048" s="14">
        <v>45120.0</v>
      </c>
      <c r="H1048" s="15">
        <f t="shared" si="1"/>
        <v>13</v>
      </c>
      <c r="I1048" s="16">
        <f t="shared" si="2"/>
        <v>7</v>
      </c>
      <c r="J1048" s="15">
        <f t="shared" si="3"/>
        <v>2023</v>
      </c>
      <c r="K1048" s="16">
        <f>STANDARDIZE(F1048,'estatística'!$C$2,'estatística'!$H$2)</f>
        <v>0.1125601418</v>
      </c>
    </row>
    <row r="1049" ht="15.75" customHeight="1">
      <c r="A1049" s="9">
        <v>86.0</v>
      </c>
      <c r="B1049" s="10" t="s">
        <v>40</v>
      </c>
      <c r="C1049" s="11" t="s">
        <v>41</v>
      </c>
      <c r="D1049" s="10" t="s">
        <v>17</v>
      </c>
      <c r="E1049" s="11" t="s">
        <v>21</v>
      </c>
      <c r="F1049" s="13">
        <v>20.97</v>
      </c>
      <c r="G1049" s="14">
        <v>45120.0</v>
      </c>
      <c r="H1049" s="15">
        <f t="shared" si="1"/>
        <v>13</v>
      </c>
      <c r="I1049" s="16">
        <f t="shared" si="2"/>
        <v>7</v>
      </c>
      <c r="J1049" s="15">
        <f t="shared" si="3"/>
        <v>2023</v>
      </c>
      <c r="K1049" s="16">
        <f>STANDARDIZE(F1049,'estatística'!$C$2,'estatística'!$H$2)</f>
        <v>0.2490503925</v>
      </c>
    </row>
    <row r="1050" ht="15.75" customHeight="1">
      <c r="A1050" s="9">
        <v>69.0</v>
      </c>
      <c r="B1050" s="10" t="s">
        <v>75</v>
      </c>
      <c r="C1050" s="11" t="s">
        <v>117</v>
      </c>
      <c r="D1050" s="10" t="s">
        <v>17</v>
      </c>
      <c r="E1050" s="11" t="s">
        <v>14</v>
      </c>
      <c r="F1050" s="13">
        <v>10.21</v>
      </c>
      <c r="G1050" s="14">
        <v>45120.0</v>
      </c>
      <c r="H1050" s="15">
        <f t="shared" si="1"/>
        <v>13</v>
      </c>
      <c r="I1050" s="16">
        <f t="shared" si="2"/>
        <v>7</v>
      </c>
      <c r="J1050" s="15">
        <f t="shared" si="3"/>
        <v>2023</v>
      </c>
      <c r="K1050" s="16">
        <f>STANDARDIZE(F1050,'estatística'!$C$2,'estatística'!$H$2)</f>
        <v>0.1128133705</v>
      </c>
    </row>
    <row r="1051" ht="15.75" customHeight="1">
      <c r="A1051" s="9">
        <v>11.0</v>
      </c>
      <c r="B1051" s="10" t="s">
        <v>199</v>
      </c>
      <c r="C1051" s="11" t="s">
        <v>200</v>
      </c>
      <c r="D1051" s="10" t="s">
        <v>13</v>
      </c>
      <c r="E1051" s="11" t="s">
        <v>29</v>
      </c>
      <c r="F1051" s="13">
        <v>13.24</v>
      </c>
      <c r="G1051" s="14">
        <v>45121.0</v>
      </c>
      <c r="H1051" s="15">
        <f t="shared" si="1"/>
        <v>14</v>
      </c>
      <c r="I1051" s="16">
        <f t="shared" si="2"/>
        <v>7</v>
      </c>
      <c r="J1051" s="15">
        <f t="shared" si="3"/>
        <v>2023</v>
      </c>
      <c r="K1051" s="16">
        <f>STANDARDIZE(F1051,'estatística'!$C$2,'estatística'!$H$2)</f>
        <v>0.1511775133</v>
      </c>
    </row>
    <row r="1052" ht="15.75" customHeight="1">
      <c r="A1052" s="9">
        <v>58.0</v>
      </c>
      <c r="B1052" s="10" t="s">
        <v>137</v>
      </c>
      <c r="C1052" s="11" t="s">
        <v>138</v>
      </c>
      <c r="D1052" s="10" t="s">
        <v>17</v>
      </c>
      <c r="E1052" s="11" t="s">
        <v>57</v>
      </c>
      <c r="F1052" s="13">
        <v>22.44</v>
      </c>
      <c r="G1052" s="14">
        <v>45121.0</v>
      </c>
      <c r="H1052" s="15">
        <f t="shared" si="1"/>
        <v>14</v>
      </c>
      <c r="I1052" s="16">
        <f t="shared" si="2"/>
        <v>7</v>
      </c>
      <c r="J1052" s="15">
        <f t="shared" si="3"/>
        <v>2023</v>
      </c>
      <c r="K1052" s="16">
        <f>STANDARDIZE(F1052,'estatística'!$C$2,'estatística'!$H$2)</f>
        <v>0.2676626994</v>
      </c>
    </row>
    <row r="1053" ht="15.75" customHeight="1">
      <c r="A1053" s="9">
        <v>11.0</v>
      </c>
      <c r="B1053" s="10" t="s">
        <v>199</v>
      </c>
      <c r="C1053" s="11" t="s">
        <v>200</v>
      </c>
      <c r="D1053" s="10" t="s">
        <v>13</v>
      </c>
      <c r="E1053" s="11" t="s">
        <v>21</v>
      </c>
      <c r="F1053" s="13">
        <v>12.52</v>
      </c>
      <c r="G1053" s="14">
        <v>45121.0</v>
      </c>
      <c r="H1053" s="15">
        <f t="shared" si="1"/>
        <v>14</v>
      </c>
      <c r="I1053" s="16">
        <f t="shared" si="2"/>
        <v>7</v>
      </c>
      <c r="J1053" s="15">
        <f t="shared" si="3"/>
        <v>2023</v>
      </c>
      <c r="K1053" s="16">
        <f>STANDARDIZE(F1053,'estatística'!$C$2,'estatística'!$H$2)</f>
        <v>0.1420612813</v>
      </c>
    </row>
    <row r="1054" ht="15.75" customHeight="1">
      <c r="A1054" s="9">
        <v>16.0</v>
      </c>
      <c r="B1054" s="10" t="s">
        <v>147</v>
      </c>
      <c r="C1054" s="11" t="s">
        <v>148</v>
      </c>
      <c r="D1054" s="10" t="s">
        <v>13</v>
      </c>
      <c r="E1054" s="11" t="s">
        <v>107</v>
      </c>
      <c r="F1054" s="13">
        <v>32.06</v>
      </c>
      <c r="G1054" s="14">
        <v>45121.0</v>
      </c>
      <c r="H1054" s="15">
        <f t="shared" si="1"/>
        <v>14</v>
      </c>
      <c r="I1054" s="16">
        <f t="shared" si="2"/>
        <v>7</v>
      </c>
      <c r="J1054" s="15">
        <f t="shared" si="3"/>
        <v>2023</v>
      </c>
      <c r="K1054" s="16">
        <f>STANDARDIZE(F1054,'estatística'!$C$2,'estatística'!$H$2)</f>
        <v>0.3894656875</v>
      </c>
    </row>
    <row r="1055" ht="15.75" customHeight="1">
      <c r="A1055" s="9">
        <v>49.0</v>
      </c>
      <c r="B1055" s="10" t="s">
        <v>151</v>
      </c>
      <c r="C1055" s="11" t="s">
        <v>152</v>
      </c>
      <c r="D1055" s="10" t="s">
        <v>13</v>
      </c>
      <c r="E1055" s="11" t="s">
        <v>62</v>
      </c>
      <c r="F1055" s="13">
        <v>11.5</v>
      </c>
      <c r="G1055" s="14">
        <v>45121.0</v>
      </c>
      <c r="H1055" s="15">
        <f t="shared" si="1"/>
        <v>14</v>
      </c>
      <c r="I1055" s="16">
        <f t="shared" si="2"/>
        <v>7</v>
      </c>
      <c r="J1055" s="15">
        <f t="shared" si="3"/>
        <v>2023</v>
      </c>
      <c r="K1055" s="16">
        <f>STANDARDIZE(F1055,'estatística'!$C$2,'estatística'!$H$2)</f>
        <v>0.1291466194</v>
      </c>
    </row>
    <row r="1056" ht="15.75" customHeight="1">
      <c r="A1056" s="9">
        <v>81.0</v>
      </c>
      <c r="B1056" s="10" t="s">
        <v>34</v>
      </c>
      <c r="C1056" s="11" t="s">
        <v>35</v>
      </c>
      <c r="D1056" s="10" t="s">
        <v>13</v>
      </c>
      <c r="E1056" s="11" t="s">
        <v>116</v>
      </c>
      <c r="F1056" s="13">
        <v>4.18</v>
      </c>
      <c r="G1056" s="14">
        <v>45122.0</v>
      </c>
      <c r="H1056" s="15">
        <f t="shared" si="1"/>
        <v>15</v>
      </c>
      <c r="I1056" s="16">
        <f t="shared" si="2"/>
        <v>7</v>
      </c>
      <c r="J1056" s="15">
        <f t="shared" si="3"/>
        <v>2023</v>
      </c>
      <c r="K1056" s="16">
        <f>STANDARDIZE(F1056,'estatística'!$C$2,'estatística'!$H$2)</f>
        <v>0.03646492783</v>
      </c>
    </row>
    <row r="1057" ht="15.75" customHeight="1">
      <c r="A1057" s="9">
        <v>12.0</v>
      </c>
      <c r="B1057" s="10" t="s">
        <v>160</v>
      </c>
      <c r="C1057" s="11" t="s">
        <v>161</v>
      </c>
      <c r="D1057" s="10" t="s">
        <v>17</v>
      </c>
      <c r="E1057" s="11" t="s">
        <v>24</v>
      </c>
      <c r="F1057" s="13">
        <v>41.76</v>
      </c>
      <c r="G1057" s="14">
        <v>45122.0</v>
      </c>
      <c r="H1057" s="15">
        <f t="shared" si="1"/>
        <v>15</v>
      </c>
      <c r="I1057" s="16">
        <f t="shared" si="2"/>
        <v>7</v>
      </c>
      <c r="J1057" s="15">
        <f t="shared" si="3"/>
        <v>2023</v>
      </c>
      <c r="K1057" s="16">
        <f>STANDARDIZE(F1057,'estatística'!$C$2,'estatística'!$H$2)</f>
        <v>0.5122815903</v>
      </c>
    </row>
    <row r="1058" ht="15.75" customHeight="1">
      <c r="A1058" s="9">
        <v>14.0</v>
      </c>
      <c r="B1058" s="10" t="s">
        <v>143</v>
      </c>
      <c r="C1058" s="11" t="s">
        <v>144</v>
      </c>
      <c r="D1058" s="10" t="s">
        <v>13</v>
      </c>
      <c r="E1058" s="11" t="s">
        <v>91</v>
      </c>
      <c r="F1058" s="13">
        <v>1.67</v>
      </c>
      <c r="G1058" s="14">
        <v>45122.0</v>
      </c>
      <c r="H1058" s="15">
        <f t="shared" si="1"/>
        <v>15</v>
      </c>
      <c r="I1058" s="16">
        <f t="shared" si="2"/>
        <v>7</v>
      </c>
      <c r="J1058" s="15">
        <f t="shared" si="3"/>
        <v>2023</v>
      </c>
      <c r="K1058" s="16">
        <f>STANDARDIZE(F1058,'estatística'!$C$2,'estatística'!$H$2)</f>
        <v>0.004684730311</v>
      </c>
    </row>
    <row r="1059" ht="15.75" customHeight="1">
      <c r="A1059" s="9">
        <v>13.0</v>
      </c>
      <c r="B1059" s="10" t="s">
        <v>108</v>
      </c>
      <c r="C1059" s="11" t="s">
        <v>109</v>
      </c>
      <c r="D1059" s="10" t="s">
        <v>13</v>
      </c>
      <c r="E1059" s="11" t="s">
        <v>91</v>
      </c>
      <c r="F1059" s="13">
        <v>3.9</v>
      </c>
      <c r="G1059" s="14">
        <v>45122.0</v>
      </c>
      <c r="H1059" s="15">
        <f t="shared" si="1"/>
        <v>15</v>
      </c>
      <c r="I1059" s="16">
        <f t="shared" si="2"/>
        <v>7</v>
      </c>
      <c r="J1059" s="15">
        <f t="shared" si="3"/>
        <v>2023</v>
      </c>
      <c r="K1059" s="16">
        <f>STANDARDIZE(F1059,'estatística'!$C$2,'estatística'!$H$2)</f>
        <v>0.03291972651</v>
      </c>
    </row>
    <row r="1060" ht="15.75" customHeight="1">
      <c r="A1060" s="9">
        <v>96.0</v>
      </c>
      <c r="B1060" s="10" t="s">
        <v>135</v>
      </c>
      <c r="C1060" s="11" t="s">
        <v>136</v>
      </c>
      <c r="D1060" s="10" t="s">
        <v>13</v>
      </c>
      <c r="E1060" s="11" t="s">
        <v>48</v>
      </c>
      <c r="F1060" s="13">
        <v>12.26</v>
      </c>
      <c r="G1060" s="14">
        <v>45122.0</v>
      </c>
      <c r="H1060" s="15">
        <f t="shared" si="1"/>
        <v>15</v>
      </c>
      <c r="I1060" s="16">
        <f t="shared" si="2"/>
        <v>7</v>
      </c>
      <c r="J1060" s="15">
        <f t="shared" si="3"/>
        <v>2023</v>
      </c>
      <c r="K1060" s="16">
        <f>STANDARDIZE(F1060,'estatística'!$C$2,'estatística'!$H$2)</f>
        <v>0.1387693087</v>
      </c>
    </row>
    <row r="1061" ht="15.75" customHeight="1">
      <c r="A1061" s="9">
        <v>39.0</v>
      </c>
      <c r="B1061" s="10" t="s">
        <v>58</v>
      </c>
      <c r="C1061" s="11" t="s">
        <v>59</v>
      </c>
      <c r="D1061" s="10" t="s">
        <v>17</v>
      </c>
      <c r="E1061" s="11" t="s">
        <v>62</v>
      </c>
      <c r="F1061" s="13">
        <v>12.26</v>
      </c>
      <c r="G1061" s="14">
        <v>45122.0</v>
      </c>
      <c r="H1061" s="15">
        <f t="shared" si="1"/>
        <v>15</v>
      </c>
      <c r="I1061" s="16">
        <f t="shared" si="2"/>
        <v>7</v>
      </c>
      <c r="J1061" s="15">
        <f t="shared" si="3"/>
        <v>2023</v>
      </c>
      <c r="K1061" s="16">
        <f>STANDARDIZE(F1061,'estatística'!$C$2,'estatística'!$H$2)</f>
        <v>0.1387693087</v>
      </c>
    </row>
    <row r="1062" ht="15.75" customHeight="1">
      <c r="A1062" s="9">
        <v>52.0</v>
      </c>
      <c r="B1062" s="10" t="s">
        <v>153</v>
      </c>
      <c r="C1062" s="11" t="s">
        <v>154</v>
      </c>
      <c r="D1062" s="10" t="s">
        <v>17</v>
      </c>
      <c r="E1062" s="11" t="s">
        <v>116</v>
      </c>
      <c r="F1062" s="13">
        <v>2.38</v>
      </c>
      <c r="G1062" s="14">
        <v>45122.0</v>
      </c>
      <c r="H1062" s="15">
        <f t="shared" si="1"/>
        <v>15</v>
      </c>
      <c r="I1062" s="16">
        <f t="shared" si="2"/>
        <v>7</v>
      </c>
      <c r="J1062" s="15">
        <f t="shared" si="3"/>
        <v>2023</v>
      </c>
      <c r="K1062" s="16">
        <f>STANDARDIZE(F1062,'estatística'!$C$2,'estatística'!$H$2)</f>
        <v>0.01367434794</v>
      </c>
    </row>
    <row r="1063" ht="15.75" customHeight="1">
      <c r="A1063" s="9">
        <v>47.0</v>
      </c>
      <c r="B1063" s="10" t="s">
        <v>89</v>
      </c>
      <c r="C1063" s="11" t="s">
        <v>90</v>
      </c>
      <c r="D1063" s="10" t="s">
        <v>17</v>
      </c>
      <c r="E1063" s="11" t="s">
        <v>91</v>
      </c>
      <c r="F1063" s="13">
        <v>3.83</v>
      </c>
      <c r="G1063" s="14">
        <v>45122.0</v>
      </c>
      <c r="H1063" s="15">
        <f t="shared" si="1"/>
        <v>15</v>
      </c>
      <c r="I1063" s="16">
        <f t="shared" si="2"/>
        <v>7</v>
      </c>
      <c r="J1063" s="15">
        <f t="shared" si="3"/>
        <v>2023</v>
      </c>
      <c r="K1063" s="16">
        <f>STANDARDIZE(F1063,'estatística'!$C$2,'estatística'!$H$2)</f>
        <v>0.03203342618</v>
      </c>
    </row>
    <row r="1064" ht="15.75" customHeight="1">
      <c r="A1064" s="9">
        <v>93.0</v>
      </c>
      <c r="B1064" s="10" t="s">
        <v>99</v>
      </c>
      <c r="C1064" s="11" t="s">
        <v>100</v>
      </c>
      <c r="D1064" s="10" t="s">
        <v>17</v>
      </c>
      <c r="E1064" s="11" t="s">
        <v>65</v>
      </c>
      <c r="F1064" s="13">
        <v>36.04</v>
      </c>
      <c r="G1064" s="14">
        <v>45122.0</v>
      </c>
      <c r="H1064" s="15">
        <f t="shared" si="1"/>
        <v>15</v>
      </c>
      <c r="I1064" s="16">
        <f t="shared" si="2"/>
        <v>7</v>
      </c>
      <c r="J1064" s="15">
        <f t="shared" si="3"/>
        <v>2023</v>
      </c>
      <c r="K1064" s="16">
        <f>STANDARDIZE(F1064,'estatística'!$C$2,'estatística'!$H$2)</f>
        <v>0.4398581919</v>
      </c>
    </row>
    <row r="1065" ht="15.75" customHeight="1">
      <c r="A1065" s="9">
        <v>55.0</v>
      </c>
      <c r="B1065" s="10" t="s">
        <v>174</v>
      </c>
      <c r="C1065" s="11" t="s">
        <v>175</v>
      </c>
      <c r="D1065" s="10" t="s">
        <v>17</v>
      </c>
      <c r="E1065" s="11" t="s">
        <v>68</v>
      </c>
      <c r="F1065" s="13">
        <v>14.08</v>
      </c>
      <c r="G1065" s="14">
        <v>45123.0</v>
      </c>
      <c r="H1065" s="15">
        <f t="shared" si="1"/>
        <v>16</v>
      </c>
      <c r="I1065" s="16">
        <f t="shared" si="2"/>
        <v>7</v>
      </c>
      <c r="J1065" s="15">
        <f t="shared" si="3"/>
        <v>2023</v>
      </c>
      <c r="K1065" s="16">
        <f>STANDARDIZE(F1065,'estatística'!$C$2,'estatística'!$H$2)</f>
        <v>0.1618131172</v>
      </c>
    </row>
    <row r="1066" ht="15.75" customHeight="1">
      <c r="A1066" s="9">
        <v>26.0</v>
      </c>
      <c r="B1066" s="10" t="s">
        <v>183</v>
      </c>
      <c r="C1066" s="11" t="s">
        <v>184</v>
      </c>
      <c r="D1066" s="10" t="s">
        <v>17</v>
      </c>
      <c r="E1066" s="11" t="s">
        <v>80</v>
      </c>
      <c r="F1066" s="13">
        <v>36.13</v>
      </c>
      <c r="G1066" s="14">
        <v>45123.0</v>
      </c>
      <c r="H1066" s="15">
        <f t="shared" si="1"/>
        <v>16</v>
      </c>
      <c r="I1066" s="16">
        <f t="shared" si="2"/>
        <v>7</v>
      </c>
      <c r="J1066" s="15">
        <f t="shared" si="3"/>
        <v>2023</v>
      </c>
      <c r="K1066" s="16">
        <f>STANDARDIZE(F1066,'estatística'!$C$2,'estatística'!$H$2)</f>
        <v>0.4409977209</v>
      </c>
    </row>
    <row r="1067" ht="15.75" customHeight="1">
      <c r="A1067" s="9">
        <v>42.0</v>
      </c>
      <c r="B1067" s="10" t="s">
        <v>60</v>
      </c>
      <c r="C1067" s="11" t="s">
        <v>142</v>
      </c>
      <c r="D1067" s="10" t="s">
        <v>17</v>
      </c>
      <c r="E1067" s="11" t="s">
        <v>32</v>
      </c>
      <c r="F1067" s="13">
        <v>22.66</v>
      </c>
      <c r="G1067" s="14">
        <v>45123.0</v>
      </c>
      <c r="H1067" s="15">
        <f t="shared" si="1"/>
        <v>16</v>
      </c>
      <c r="I1067" s="16">
        <f t="shared" si="2"/>
        <v>7</v>
      </c>
      <c r="J1067" s="15">
        <f t="shared" si="3"/>
        <v>2023</v>
      </c>
      <c r="K1067" s="16">
        <f>STANDARDIZE(F1067,'estatística'!$C$2,'estatística'!$H$2)</f>
        <v>0.2704482147</v>
      </c>
    </row>
    <row r="1068" ht="15.75" customHeight="1">
      <c r="A1068" s="9">
        <v>85.0</v>
      </c>
      <c r="B1068" s="10" t="s">
        <v>170</v>
      </c>
      <c r="C1068" s="11" t="s">
        <v>171</v>
      </c>
      <c r="D1068" s="10" t="s">
        <v>17</v>
      </c>
      <c r="E1068" s="11" t="s">
        <v>29</v>
      </c>
      <c r="F1068" s="13">
        <v>12.09</v>
      </c>
      <c r="G1068" s="14">
        <v>45123.0</v>
      </c>
      <c r="H1068" s="15">
        <f t="shared" si="1"/>
        <v>16</v>
      </c>
      <c r="I1068" s="16">
        <f t="shared" si="2"/>
        <v>7</v>
      </c>
      <c r="J1068" s="15">
        <f t="shared" si="3"/>
        <v>2023</v>
      </c>
      <c r="K1068" s="16">
        <f>STANDARDIZE(F1068,'estatística'!$C$2,'estatística'!$H$2)</f>
        <v>0.136616865</v>
      </c>
    </row>
    <row r="1069" ht="15.75" customHeight="1">
      <c r="A1069" s="9">
        <v>15.0</v>
      </c>
      <c r="B1069" s="10" t="s">
        <v>37</v>
      </c>
      <c r="C1069" s="11" t="s">
        <v>38</v>
      </c>
      <c r="D1069" s="10" t="s">
        <v>17</v>
      </c>
      <c r="E1069" s="11" t="s">
        <v>77</v>
      </c>
      <c r="F1069" s="13">
        <v>15.89</v>
      </c>
      <c r="G1069" s="14">
        <v>45123.0</v>
      </c>
      <c r="H1069" s="15">
        <f t="shared" si="1"/>
        <v>16</v>
      </c>
      <c r="I1069" s="16">
        <f t="shared" si="2"/>
        <v>7</v>
      </c>
      <c r="J1069" s="15">
        <f t="shared" si="3"/>
        <v>2023</v>
      </c>
      <c r="K1069" s="16">
        <f>STANDARDIZE(F1069,'estatística'!$C$2,'estatística'!$H$2)</f>
        <v>0.1847303115</v>
      </c>
    </row>
    <row r="1070" ht="15.75" customHeight="1">
      <c r="A1070" s="9">
        <v>78.0</v>
      </c>
      <c r="B1070" s="10" t="s">
        <v>15</v>
      </c>
      <c r="C1070" s="11" t="s">
        <v>16</v>
      </c>
      <c r="D1070" s="10" t="s">
        <v>17</v>
      </c>
      <c r="E1070" s="11" t="s">
        <v>116</v>
      </c>
      <c r="F1070" s="13">
        <v>2.93</v>
      </c>
      <c r="G1070" s="14">
        <v>45123.0</v>
      </c>
      <c r="H1070" s="15">
        <f t="shared" si="1"/>
        <v>16</v>
      </c>
      <c r="I1070" s="16">
        <f t="shared" si="2"/>
        <v>7</v>
      </c>
      <c r="J1070" s="15">
        <f t="shared" si="3"/>
        <v>2023</v>
      </c>
      <c r="K1070" s="16">
        <f>STANDARDIZE(F1070,'estatística'!$C$2,'estatística'!$H$2)</f>
        <v>0.02063813624</v>
      </c>
    </row>
    <row r="1071" ht="15.75" customHeight="1">
      <c r="A1071" s="9">
        <v>43.0</v>
      </c>
      <c r="B1071" s="10" t="s">
        <v>63</v>
      </c>
      <c r="C1071" s="11" t="s">
        <v>64</v>
      </c>
      <c r="D1071" s="10" t="s">
        <v>17</v>
      </c>
      <c r="E1071" s="11" t="s">
        <v>62</v>
      </c>
      <c r="F1071" s="13">
        <v>10.99</v>
      </c>
      <c r="G1071" s="14">
        <v>45123.0</v>
      </c>
      <c r="H1071" s="15">
        <f t="shared" si="1"/>
        <v>16</v>
      </c>
      <c r="I1071" s="16">
        <f t="shared" si="2"/>
        <v>7</v>
      </c>
      <c r="J1071" s="15">
        <f t="shared" si="3"/>
        <v>2023</v>
      </c>
      <c r="K1071" s="16">
        <f>STANDARDIZE(F1071,'estatística'!$C$2,'estatística'!$H$2)</f>
        <v>0.1226892884</v>
      </c>
    </row>
    <row r="1072" ht="15.75" customHeight="1">
      <c r="A1072" s="9">
        <v>59.0</v>
      </c>
      <c r="B1072" s="10" t="s">
        <v>71</v>
      </c>
      <c r="C1072" s="11" t="s">
        <v>72</v>
      </c>
      <c r="D1072" s="10" t="s">
        <v>17</v>
      </c>
      <c r="E1072" s="11" t="s">
        <v>116</v>
      </c>
      <c r="F1072" s="13">
        <v>2.49</v>
      </c>
      <c r="G1072" s="14">
        <v>45123.0</v>
      </c>
      <c r="H1072" s="15">
        <f t="shared" si="1"/>
        <v>16</v>
      </c>
      <c r="I1072" s="16">
        <f t="shared" si="2"/>
        <v>7</v>
      </c>
      <c r="J1072" s="15">
        <f t="shared" si="3"/>
        <v>2023</v>
      </c>
      <c r="K1072" s="16">
        <f>STANDARDIZE(F1072,'estatística'!$C$2,'estatística'!$H$2)</f>
        <v>0.0150671056</v>
      </c>
    </row>
    <row r="1073" ht="15.75" customHeight="1">
      <c r="A1073" s="9">
        <v>20.0</v>
      </c>
      <c r="B1073" s="10" t="s">
        <v>133</v>
      </c>
      <c r="C1073" s="11" t="s">
        <v>134</v>
      </c>
      <c r="D1073" s="10" t="s">
        <v>17</v>
      </c>
      <c r="E1073" s="11" t="s">
        <v>77</v>
      </c>
      <c r="F1073" s="13">
        <v>12.23</v>
      </c>
      <c r="G1073" s="14">
        <v>45124.0</v>
      </c>
      <c r="H1073" s="15">
        <f t="shared" si="1"/>
        <v>17</v>
      </c>
      <c r="I1073" s="16">
        <f t="shared" si="2"/>
        <v>7</v>
      </c>
      <c r="J1073" s="15">
        <f t="shared" si="3"/>
        <v>2023</v>
      </c>
      <c r="K1073" s="16">
        <f>STANDARDIZE(F1073,'estatística'!$C$2,'estatística'!$H$2)</f>
        <v>0.1383894657</v>
      </c>
    </row>
    <row r="1074" ht="15.75" customHeight="1">
      <c r="A1074" s="9">
        <v>33.0</v>
      </c>
      <c r="B1074" s="10" t="s">
        <v>163</v>
      </c>
      <c r="C1074" s="11" t="s">
        <v>164</v>
      </c>
      <c r="D1074" s="10" t="s">
        <v>13</v>
      </c>
      <c r="E1074" s="11" t="s">
        <v>65</v>
      </c>
      <c r="F1074" s="13">
        <v>38.58</v>
      </c>
      <c r="G1074" s="14">
        <v>45124.0</v>
      </c>
      <c r="H1074" s="15">
        <f t="shared" si="1"/>
        <v>17</v>
      </c>
      <c r="I1074" s="16">
        <f t="shared" si="2"/>
        <v>7</v>
      </c>
      <c r="J1074" s="15">
        <f t="shared" si="3"/>
        <v>2023</v>
      </c>
      <c r="K1074" s="16">
        <f>STANDARDIZE(F1074,'estatística'!$C$2,'estatística'!$H$2)</f>
        <v>0.4720182325</v>
      </c>
    </row>
    <row r="1075" ht="15.75" customHeight="1">
      <c r="A1075" s="9">
        <v>45.0</v>
      </c>
      <c r="B1075" s="10" t="s">
        <v>193</v>
      </c>
      <c r="C1075" s="11" t="s">
        <v>194</v>
      </c>
      <c r="D1075" s="10" t="s">
        <v>17</v>
      </c>
      <c r="E1075" s="11" t="s">
        <v>33</v>
      </c>
      <c r="F1075" s="13">
        <v>63.55</v>
      </c>
      <c r="G1075" s="14">
        <v>45124.0</v>
      </c>
      <c r="H1075" s="15">
        <f t="shared" si="1"/>
        <v>17</v>
      </c>
      <c r="I1075" s="16">
        <f t="shared" si="2"/>
        <v>7</v>
      </c>
      <c r="J1075" s="15">
        <f t="shared" si="3"/>
        <v>2023</v>
      </c>
      <c r="K1075" s="16">
        <f>STANDARDIZE(F1075,'estatística'!$C$2,'estatística'!$H$2)</f>
        <v>0.7881742213</v>
      </c>
    </row>
    <row r="1076" ht="15.75" customHeight="1">
      <c r="A1076" s="9">
        <v>86.0</v>
      </c>
      <c r="B1076" s="10" t="s">
        <v>40</v>
      </c>
      <c r="C1076" s="11" t="s">
        <v>41</v>
      </c>
      <c r="D1076" s="10" t="s">
        <v>13</v>
      </c>
      <c r="E1076" s="11" t="s">
        <v>68</v>
      </c>
      <c r="F1076" s="13">
        <v>13.69</v>
      </c>
      <c r="G1076" s="14">
        <v>45124.0</v>
      </c>
      <c r="H1076" s="15">
        <f t="shared" si="1"/>
        <v>17</v>
      </c>
      <c r="I1076" s="16">
        <f t="shared" si="2"/>
        <v>7</v>
      </c>
      <c r="J1076" s="15">
        <f t="shared" si="3"/>
        <v>2023</v>
      </c>
      <c r="K1076" s="16">
        <f>STANDARDIZE(F1076,'estatística'!$C$2,'estatística'!$H$2)</f>
        <v>0.1568751583</v>
      </c>
    </row>
    <row r="1077" ht="15.75" customHeight="1">
      <c r="A1077" s="9">
        <v>91.0</v>
      </c>
      <c r="B1077" s="10" t="s">
        <v>81</v>
      </c>
      <c r="C1077" s="11" t="s">
        <v>82</v>
      </c>
      <c r="D1077" s="10" t="s">
        <v>17</v>
      </c>
      <c r="E1077" s="11" t="s">
        <v>91</v>
      </c>
      <c r="F1077" s="13">
        <v>3.22</v>
      </c>
      <c r="G1077" s="14">
        <v>45124.0</v>
      </c>
      <c r="H1077" s="15">
        <f t="shared" si="1"/>
        <v>17</v>
      </c>
      <c r="I1077" s="16">
        <f t="shared" si="2"/>
        <v>7</v>
      </c>
      <c r="J1077" s="15">
        <f t="shared" si="3"/>
        <v>2023</v>
      </c>
      <c r="K1077" s="16">
        <f>STANDARDIZE(F1077,'estatística'!$C$2,'estatística'!$H$2)</f>
        <v>0.02430995189</v>
      </c>
    </row>
    <row r="1078" ht="15.75" customHeight="1">
      <c r="A1078" s="9">
        <v>1.0</v>
      </c>
      <c r="B1078" s="10" t="s">
        <v>166</v>
      </c>
      <c r="C1078" s="11" t="s">
        <v>167</v>
      </c>
      <c r="D1078" s="10" t="s">
        <v>13</v>
      </c>
      <c r="E1078" s="11" t="s">
        <v>33</v>
      </c>
      <c r="F1078" s="13">
        <v>68.56</v>
      </c>
      <c r="G1078" s="14">
        <v>45124.0</v>
      </c>
      <c r="H1078" s="15">
        <f t="shared" si="1"/>
        <v>17</v>
      </c>
      <c r="I1078" s="16">
        <f t="shared" si="2"/>
        <v>7</v>
      </c>
      <c r="J1078" s="15">
        <f t="shared" si="3"/>
        <v>2023</v>
      </c>
      <c r="K1078" s="16">
        <f>STANDARDIZE(F1078,'estatística'!$C$2,'estatística'!$H$2)</f>
        <v>0.851608002</v>
      </c>
    </row>
    <row r="1079" ht="15.75" customHeight="1">
      <c r="A1079" s="9">
        <v>23.0</v>
      </c>
      <c r="B1079" s="10" t="s">
        <v>207</v>
      </c>
      <c r="C1079" s="11" t="s">
        <v>208</v>
      </c>
      <c r="D1079" s="10" t="s">
        <v>17</v>
      </c>
      <c r="E1079" s="11" t="s">
        <v>91</v>
      </c>
      <c r="F1079" s="13">
        <v>2.81</v>
      </c>
      <c r="G1079" s="14">
        <v>45125.0</v>
      </c>
      <c r="H1079" s="15">
        <f t="shared" si="1"/>
        <v>18</v>
      </c>
      <c r="I1079" s="16">
        <f t="shared" si="2"/>
        <v>7</v>
      </c>
      <c r="J1079" s="15">
        <f t="shared" si="3"/>
        <v>2023</v>
      </c>
      <c r="K1079" s="16">
        <f>STANDARDIZE(F1079,'estatística'!$C$2,'estatística'!$H$2)</f>
        <v>0.01911876424</v>
      </c>
    </row>
    <row r="1080" ht="15.75" customHeight="1">
      <c r="A1080" s="9">
        <v>58.0</v>
      </c>
      <c r="B1080" s="10" t="s">
        <v>137</v>
      </c>
      <c r="C1080" s="11" t="s">
        <v>138</v>
      </c>
      <c r="D1080" s="10" t="s">
        <v>17</v>
      </c>
      <c r="E1080" s="11" t="s">
        <v>36</v>
      </c>
      <c r="F1080" s="13">
        <v>60.74</v>
      </c>
      <c r="G1080" s="14">
        <v>45125.0</v>
      </c>
      <c r="H1080" s="15">
        <f t="shared" si="1"/>
        <v>18</v>
      </c>
      <c r="I1080" s="16">
        <f t="shared" si="2"/>
        <v>7</v>
      </c>
      <c r="J1080" s="15">
        <f t="shared" si="3"/>
        <v>2023</v>
      </c>
      <c r="K1080" s="16">
        <f>STANDARDIZE(F1080,'estatística'!$C$2,'estatística'!$H$2)</f>
        <v>0.7525955938</v>
      </c>
    </row>
    <row r="1081" ht="15.75" customHeight="1">
      <c r="A1081" s="9">
        <v>25.0</v>
      </c>
      <c r="B1081" s="10" t="s">
        <v>126</v>
      </c>
      <c r="C1081" s="11" t="s">
        <v>127</v>
      </c>
      <c r="D1081" s="10" t="s">
        <v>17</v>
      </c>
      <c r="E1081" s="11" t="s">
        <v>18</v>
      </c>
      <c r="F1081" s="13">
        <v>52.25</v>
      </c>
      <c r="G1081" s="14">
        <v>45125.0</v>
      </c>
      <c r="H1081" s="15">
        <f t="shared" si="1"/>
        <v>18</v>
      </c>
      <c r="I1081" s="16">
        <f t="shared" si="2"/>
        <v>7</v>
      </c>
      <c r="J1081" s="15">
        <f t="shared" si="3"/>
        <v>2023</v>
      </c>
      <c r="K1081" s="16">
        <f>STANDARDIZE(F1081,'estatística'!$C$2,'estatística'!$H$2)</f>
        <v>0.6451000253</v>
      </c>
    </row>
    <row r="1082" ht="15.75" customHeight="1">
      <c r="A1082" s="9">
        <v>24.0</v>
      </c>
      <c r="B1082" s="10" t="s">
        <v>110</v>
      </c>
      <c r="C1082" s="11" t="s">
        <v>111</v>
      </c>
      <c r="D1082" s="10" t="s">
        <v>13</v>
      </c>
      <c r="E1082" s="11" t="s">
        <v>48</v>
      </c>
      <c r="F1082" s="13">
        <v>16.59</v>
      </c>
      <c r="G1082" s="14">
        <v>45125.0</v>
      </c>
      <c r="H1082" s="15">
        <f t="shared" si="1"/>
        <v>18</v>
      </c>
      <c r="I1082" s="16">
        <f t="shared" si="2"/>
        <v>7</v>
      </c>
      <c r="J1082" s="15">
        <f t="shared" si="3"/>
        <v>2023</v>
      </c>
      <c r="K1082" s="16">
        <f>STANDARDIZE(F1082,'estatística'!$C$2,'estatística'!$H$2)</f>
        <v>0.1935933148</v>
      </c>
    </row>
    <row r="1083" ht="15.75" customHeight="1">
      <c r="A1083" s="9">
        <v>88.0</v>
      </c>
      <c r="B1083" s="10" t="s">
        <v>172</v>
      </c>
      <c r="C1083" s="11" t="s">
        <v>178</v>
      </c>
      <c r="D1083" s="10" t="s">
        <v>17</v>
      </c>
      <c r="E1083" s="11" t="s">
        <v>48</v>
      </c>
      <c r="F1083" s="13">
        <v>8.52</v>
      </c>
      <c r="G1083" s="14">
        <v>45125.0</v>
      </c>
      <c r="H1083" s="15">
        <f t="shared" si="1"/>
        <v>18</v>
      </c>
      <c r="I1083" s="16">
        <f t="shared" si="2"/>
        <v>7</v>
      </c>
      <c r="J1083" s="15">
        <f t="shared" si="3"/>
        <v>2023</v>
      </c>
      <c r="K1083" s="16">
        <f>STANDARDIZE(F1083,'estatística'!$C$2,'estatística'!$H$2)</f>
        <v>0.09141554824</v>
      </c>
    </row>
    <row r="1084" ht="15.75" customHeight="1">
      <c r="A1084" s="9">
        <v>47.0</v>
      </c>
      <c r="B1084" s="10" t="s">
        <v>89</v>
      </c>
      <c r="C1084" s="11" t="s">
        <v>90</v>
      </c>
      <c r="D1084" s="10" t="s">
        <v>13</v>
      </c>
      <c r="E1084" s="11" t="s">
        <v>33</v>
      </c>
      <c r="F1084" s="13">
        <v>58.77</v>
      </c>
      <c r="G1084" s="14">
        <v>45126.0</v>
      </c>
      <c r="H1084" s="15">
        <f t="shared" si="1"/>
        <v>19</v>
      </c>
      <c r="I1084" s="16">
        <f t="shared" si="2"/>
        <v>7</v>
      </c>
      <c r="J1084" s="15">
        <f t="shared" si="3"/>
        <v>2023</v>
      </c>
      <c r="K1084" s="16">
        <f>STANDARDIZE(F1084,'estatística'!$C$2,'estatística'!$H$2)</f>
        <v>0.7276525703</v>
      </c>
    </row>
    <row r="1085" ht="15.75" customHeight="1">
      <c r="A1085" s="9">
        <v>76.0</v>
      </c>
      <c r="B1085" s="10" t="s">
        <v>185</v>
      </c>
      <c r="C1085" s="11" t="s">
        <v>186</v>
      </c>
      <c r="D1085" s="10" t="s">
        <v>13</v>
      </c>
      <c r="E1085" s="11" t="s">
        <v>18</v>
      </c>
      <c r="F1085" s="13">
        <v>43.53</v>
      </c>
      <c r="G1085" s="14">
        <v>45126.0</v>
      </c>
      <c r="H1085" s="15">
        <f t="shared" si="1"/>
        <v>19</v>
      </c>
      <c r="I1085" s="16">
        <f t="shared" si="2"/>
        <v>7</v>
      </c>
      <c r="J1085" s="15">
        <f t="shared" si="3"/>
        <v>2023</v>
      </c>
      <c r="K1085" s="16">
        <f>STANDARDIZE(F1085,'estatística'!$C$2,'estatística'!$H$2)</f>
        <v>0.5346923272</v>
      </c>
    </row>
    <row r="1086" ht="15.75" customHeight="1">
      <c r="A1086" s="9">
        <v>89.0</v>
      </c>
      <c r="B1086" s="10" t="s">
        <v>105</v>
      </c>
      <c r="C1086" s="11" t="s">
        <v>106</v>
      </c>
      <c r="D1086" s="10" t="s">
        <v>17</v>
      </c>
      <c r="E1086" s="11" t="s">
        <v>36</v>
      </c>
      <c r="F1086" s="13">
        <v>78.34</v>
      </c>
      <c r="G1086" s="14">
        <v>45126.0</v>
      </c>
      <c r="H1086" s="15">
        <f t="shared" si="1"/>
        <v>19</v>
      </c>
      <c r="I1086" s="16">
        <f t="shared" si="2"/>
        <v>7</v>
      </c>
      <c r="J1086" s="15">
        <f t="shared" si="3"/>
        <v>2023</v>
      </c>
      <c r="K1086" s="16">
        <f>STANDARDIZE(F1086,'estatística'!$C$2,'estatística'!$H$2)</f>
        <v>0.9754368194</v>
      </c>
    </row>
    <row r="1087" ht="15.75" customHeight="1">
      <c r="A1087" s="9">
        <v>1.0</v>
      </c>
      <c r="B1087" s="10" t="s">
        <v>166</v>
      </c>
      <c r="C1087" s="11" t="s">
        <v>167</v>
      </c>
      <c r="D1087" s="10" t="s">
        <v>13</v>
      </c>
      <c r="E1087" s="11" t="s">
        <v>48</v>
      </c>
      <c r="F1087" s="13">
        <v>8.52</v>
      </c>
      <c r="G1087" s="14">
        <v>45126.0</v>
      </c>
      <c r="H1087" s="15">
        <f t="shared" si="1"/>
        <v>19</v>
      </c>
      <c r="I1087" s="16">
        <f t="shared" si="2"/>
        <v>7</v>
      </c>
      <c r="J1087" s="15">
        <f t="shared" si="3"/>
        <v>2023</v>
      </c>
      <c r="K1087" s="16">
        <f>STANDARDIZE(F1087,'estatística'!$C$2,'estatística'!$H$2)</f>
        <v>0.09141554824</v>
      </c>
    </row>
    <row r="1088" ht="15.75" customHeight="1">
      <c r="A1088" s="9">
        <v>54.0</v>
      </c>
      <c r="B1088" s="10" t="s">
        <v>55</v>
      </c>
      <c r="C1088" s="11" t="s">
        <v>56</v>
      </c>
      <c r="D1088" s="10" t="s">
        <v>17</v>
      </c>
      <c r="E1088" s="11" t="s">
        <v>21</v>
      </c>
      <c r="F1088" s="13">
        <v>20.45</v>
      </c>
      <c r="G1088" s="14">
        <v>45126.0</v>
      </c>
      <c r="H1088" s="15">
        <f t="shared" si="1"/>
        <v>19</v>
      </c>
      <c r="I1088" s="16">
        <f t="shared" si="2"/>
        <v>7</v>
      </c>
      <c r="J1088" s="15">
        <f t="shared" si="3"/>
        <v>2023</v>
      </c>
      <c r="K1088" s="16">
        <f>STANDARDIZE(F1088,'estatística'!$C$2,'estatística'!$H$2)</f>
        <v>0.2424664472</v>
      </c>
    </row>
    <row r="1089" ht="15.75" customHeight="1">
      <c r="A1089" s="9">
        <v>17.0</v>
      </c>
      <c r="B1089" s="10" t="s">
        <v>172</v>
      </c>
      <c r="C1089" s="11" t="s">
        <v>173</v>
      </c>
      <c r="D1089" s="10" t="s">
        <v>17</v>
      </c>
      <c r="E1089" s="11" t="s">
        <v>39</v>
      </c>
      <c r="F1089" s="13">
        <v>56.72</v>
      </c>
      <c r="G1089" s="14">
        <v>45126.0</v>
      </c>
      <c r="H1089" s="15">
        <f t="shared" si="1"/>
        <v>19</v>
      </c>
      <c r="I1089" s="16">
        <f t="shared" si="2"/>
        <v>7</v>
      </c>
      <c r="J1089" s="15">
        <f t="shared" si="3"/>
        <v>2023</v>
      </c>
      <c r="K1089" s="16">
        <f>STANDARDIZE(F1089,'estatística'!$C$2,'estatística'!$H$2)</f>
        <v>0.7016966321</v>
      </c>
    </row>
    <row r="1090" ht="15.75" customHeight="1">
      <c r="A1090" s="9">
        <v>46.0</v>
      </c>
      <c r="B1090" s="10" t="s">
        <v>114</v>
      </c>
      <c r="C1090" s="11" t="s">
        <v>115</v>
      </c>
      <c r="D1090" s="10" t="s">
        <v>17</v>
      </c>
      <c r="E1090" s="11" t="s">
        <v>39</v>
      </c>
      <c r="F1090" s="13">
        <v>48.37</v>
      </c>
      <c r="G1090" s="14">
        <v>45127.0</v>
      </c>
      <c r="H1090" s="15">
        <f t="shared" si="1"/>
        <v>20</v>
      </c>
      <c r="I1090" s="16">
        <f t="shared" si="2"/>
        <v>7</v>
      </c>
      <c r="J1090" s="15">
        <f t="shared" si="3"/>
        <v>2023</v>
      </c>
      <c r="K1090" s="16">
        <f>STANDARDIZE(F1090,'estatística'!$C$2,'estatística'!$H$2)</f>
        <v>0.5959736642</v>
      </c>
    </row>
    <row r="1091" ht="15.75" customHeight="1">
      <c r="A1091" s="9">
        <v>85.0</v>
      </c>
      <c r="B1091" s="10" t="s">
        <v>170</v>
      </c>
      <c r="C1091" s="11" t="s">
        <v>171</v>
      </c>
      <c r="D1091" s="10" t="s">
        <v>17</v>
      </c>
      <c r="E1091" s="11" t="s">
        <v>14</v>
      </c>
      <c r="F1091" s="13">
        <v>10.5</v>
      </c>
      <c r="G1091" s="14">
        <v>45127.0</v>
      </c>
      <c r="H1091" s="15">
        <f t="shared" si="1"/>
        <v>20</v>
      </c>
      <c r="I1091" s="16">
        <f t="shared" si="2"/>
        <v>7</v>
      </c>
      <c r="J1091" s="15">
        <f t="shared" si="3"/>
        <v>2023</v>
      </c>
      <c r="K1091" s="16">
        <f>STANDARDIZE(F1091,'estatística'!$C$2,'estatística'!$H$2)</f>
        <v>0.1164851861</v>
      </c>
    </row>
    <row r="1092" ht="15.75" customHeight="1">
      <c r="A1092" s="9">
        <v>94.0</v>
      </c>
      <c r="B1092" s="10" t="s">
        <v>179</v>
      </c>
      <c r="C1092" s="11" t="s">
        <v>209</v>
      </c>
      <c r="D1092" s="10" t="s">
        <v>17</v>
      </c>
      <c r="E1092" s="11" t="s">
        <v>14</v>
      </c>
      <c r="F1092" s="13">
        <v>10.72</v>
      </c>
      <c r="G1092" s="14">
        <v>45127.0</v>
      </c>
      <c r="H1092" s="15">
        <f t="shared" si="1"/>
        <v>20</v>
      </c>
      <c r="I1092" s="16">
        <f t="shared" si="2"/>
        <v>7</v>
      </c>
      <c r="J1092" s="15">
        <f t="shared" si="3"/>
        <v>2023</v>
      </c>
      <c r="K1092" s="16">
        <f>STANDARDIZE(F1092,'estatística'!$C$2,'estatística'!$H$2)</f>
        <v>0.1192707014</v>
      </c>
    </row>
    <row r="1093" ht="15.75" customHeight="1">
      <c r="A1093" s="9">
        <v>61.0</v>
      </c>
      <c r="B1093" s="10" t="s">
        <v>73</v>
      </c>
      <c r="C1093" s="11" t="s">
        <v>74</v>
      </c>
      <c r="D1093" s="10" t="s">
        <v>13</v>
      </c>
      <c r="E1093" s="11" t="s">
        <v>62</v>
      </c>
      <c r="F1093" s="13">
        <v>11.19</v>
      </c>
      <c r="G1093" s="14">
        <v>45127.0</v>
      </c>
      <c r="H1093" s="15">
        <f t="shared" si="1"/>
        <v>20</v>
      </c>
      <c r="I1093" s="16">
        <f t="shared" si="2"/>
        <v>7</v>
      </c>
      <c r="J1093" s="15">
        <f t="shared" si="3"/>
        <v>2023</v>
      </c>
      <c r="K1093" s="16">
        <f>STANDARDIZE(F1093,'estatística'!$C$2,'estatística'!$H$2)</f>
        <v>0.1252215751</v>
      </c>
    </row>
    <row r="1094" ht="15.75" customHeight="1">
      <c r="A1094" s="9">
        <v>36.0</v>
      </c>
      <c r="B1094" s="10" t="s">
        <v>60</v>
      </c>
      <c r="C1094" s="11" t="s">
        <v>61</v>
      </c>
      <c r="D1094" s="10" t="s">
        <v>17</v>
      </c>
      <c r="E1094" s="11" t="s">
        <v>32</v>
      </c>
      <c r="F1094" s="13">
        <v>30.02</v>
      </c>
      <c r="G1094" s="14">
        <v>45128.0</v>
      </c>
      <c r="H1094" s="15">
        <f t="shared" si="1"/>
        <v>21</v>
      </c>
      <c r="I1094" s="16">
        <f t="shared" si="2"/>
        <v>7</v>
      </c>
      <c r="J1094" s="15">
        <f t="shared" si="3"/>
        <v>2023</v>
      </c>
      <c r="K1094" s="16">
        <f>STANDARDIZE(F1094,'estatística'!$C$2,'estatística'!$H$2)</f>
        <v>0.3636363636</v>
      </c>
    </row>
    <row r="1095" ht="15.75" customHeight="1">
      <c r="A1095" s="9">
        <v>92.0</v>
      </c>
      <c r="B1095" s="10" t="s">
        <v>81</v>
      </c>
      <c r="C1095" s="11" t="s">
        <v>169</v>
      </c>
      <c r="D1095" s="10" t="s">
        <v>17</v>
      </c>
      <c r="E1095" s="11" t="s">
        <v>32</v>
      </c>
      <c r="F1095" s="13">
        <v>22.15</v>
      </c>
      <c r="G1095" s="14">
        <v>45128.0</v>
      </c>
      <c r="H1095" s="15">
        <f t="shared" si="1"/>
        <v>21</v>
      </c>
      <c r="I1095" s="16">
        <f t="shared" si="2"/>
        <v>7</v>
      </c>
      <c r="J1095" s="15">
        <f t="shared" si="3"/>
        <v>2023</v>
      </c>
      <c r="K1095" s="16">
        <f>STANDARDIZE(F1095,'estatística'!$C$2,'estatística'!$H$2)</f>
        <v>0.2639908838</v>
      </c>
    </row>
    <row r="1096" ht="15.75" customHeight="1">
      <c r="A1096" s="9">
        <v>58.0</v>
      </c>
      <c r="B1096" s="10" t="s">
        <v>137</v>
      </c>
      <c r="C1096" s="11" t="s">
        <v>138</v>
      </c>
      <c r="D1096" s="10" t="s">
        <v>17</v>
      </c>
      <c r="E1096" s="11" t="s">
        <v>21</v>
      </c>
      <c r="F1096" s="13">
        <v>21.46</v>
      </c>
      <c r="G1096" s="14">
        <v>45128.0</v>
      </c>
      <c r="H1096" s="15">
        <f t="shared" si="1"/>
        <v>21</v>
      </c>
      <c r="I1096" s="16">
        <f t="shared" si="2"/>
        <v>7</v>
      </c>
      <c r="J1096" s="15">
        <f t="shared" si="3"/>
        <v>2023</v>
      </c>
      <c r="K1096" s="16">
        <f>STANDARDIZE(F1096,'estatística'!$C$2,'estatística'!$H$2)</f>
        <v>0.2552544948</v>
      </c>
    </row>
    <row r="1097" ht="15.75" customHeight="1">
      <c r="A1097" s="9">
        <v>25.0</v>
      </c>
      <c r="B1097" s="10" t="s">
        <v>126</v>
      </c>
      <c r="C1097" s="11" t="s">
        <v>127</v>
      </c>
      <c r="D1097" s="10" t="s">
        <v>17</v>
      </c>
      <c r="E1097" s="11" t="s">
        <v>29</v>
      </c>
      <c r="F1097" s="13">
        <v>14.96</v>
      </c>
      <c r="G1097" s="14">
        <v>45129.0</v>
      </c>
      <c r="H1097" s="15">
        <f t="shared" si="1"/>
        <v>22</v>
      </c>
      <c r="I1097" s="16">
        <f t="shared" si="2"/>
        <v>7</v>
      </c>
      <c r="J1097" s="15">
        <f t="shared" si="3"/>
        <v>2023</v>
      </c>
      <c r="K1097" s="16">
        <f>STANDARDIZE(F1097,'estatística'!$C$2,'estatística'!$H$2)</f>
        <v>0.1729551785</v>
      </c>
    </row>
    <row r="1098" ht="15.75" customHeight="1">
      <c r="A1098" s="9">
        <v>22.0</v>
      </c>
      <c r="B1098" s="10" t="s">
        <v>101</v>
      </c>
      <c r="C1098" s="11" t="s">
        <v>102</v>
      </c>
      <c r="D1098" s="10" t="s">
        <v>17</v>
      </c>
      <c r="E1098" s="11" t="s">
        <v>62</v>
      </c>
      <c r="F1098" s="13">
        <v>11.03</v>
      </c>
      <c r="G1098" s="14">
        <v>45129.0</v>
      </c>
      <c r="H1098" s="15">
        <f t="shared" si="1"/>
        <v>22</v>
      </c>
      <c r="I1098" s="16">
        <f t="shared" si="2"/>
        <v>7</v>
      </c>
      <c r="J1098" s="15">
        <f t="shared" si="3"/>
        <v>2023</v>
      </c>
      <c r="K1098" s="16">
        <f>STANDARDIZE(F1098,'estatística'!$C$2,'estatística'!$H$2)</f>
        <v>0.1231957458</v>
      </c>
    </row>
    <row r="1099" ht="15.75" customHeight="1">
      <c r="A1099" s="9">
        <v>88.0</v>
      </c>
      <c r="B1099" s="10" t="s">
        <v>172</v>
      </c>
      <c r="C1099" s="11" t="s">
        <v>178</v>
      </c>
      <c r="D1099" s="10" t="s">
        <v>17</v>
      </c>
      <c r="E1099" s="11" t="s">
        <v>18</v>
      </c>
      <c r="F1099" s="13">
        <v>36.26</v>
      </c>
      <c r="G1099" s="14">
        <v>45129.0</v>
      </c>
      <c r="H1099" s="15">
        <f t="shared" si="1"/>
        <v>22</v>
      </c>
      <c r="I1099" s="16">
        <f t="shared" si="2"/>
        <v>7</v>
      </c>
      <c r="J1099" s="15">
        <f t="shared" si="3"/>
        <v>2023</v>
      </c>
      <c r="K1099" s="16">
        <f>STANDARDIZE(F1099,'estatística'!$C$2,'estatística'!$H$2)</f>
        <v>0.4426437073</v>
      </c>
    </row>
    <row r="1100" ht="15.75" customHeight="1">
      <c r="A1100" s="9">
        <v>8.0</v>
      </c>
      <c r="B1100" s="10" t="s">
        <v>75</v>
      </c>
      <c r="C1100" s="11" t="s">
        <v>76</v>
      </c>
      <c r="D1100" s="10" t="s">
        <v>17</v>
      </c>
      <c r="E1100" s="11" t="s">
        <v>36</v>
      </c>
      <c r="F1100" s="13">
        <v>62.55</v>
      </c>
      <c r="G1100" s="14">
        <v>45129.0</v>
      </c>
      <c r="H1100" s="15">
        <f t="shared" si="1"/>
        <v>22</v>
      </c>
      <c r="I1100" s="16">
        <f t="shared" si="2"/>
        <v>7</v>
      </c>
      <c r="J1100" s="15">
        <f t="shared" si="3"/>
        <v>2023</v>
      </c>
      <c r="K1100" s="16">
        <f>STANDARDIZE(F1100,'estatística'!$C$2,'estatística'!$H$2)</f>
        <v>0.775512788</v>
      </c>
    </row>
    <row r="1101" ht="15.75" customHeight="1">
      <c r="A1101" s="9">
        <v>16.0</v>
      </c>
      <c r="B1101" s="10" t="s">
        <v>147</v>
      </c>
      <c r="C1101" s="11" t="s">
        <v>148</v>
      </c>
      <c r="D1101" s="10" t="s">
        <v>13</v>
      </c>
      <c r="E1101" s="11" t="s">
        <v>65</v>
      </c>
      <c r="F1101" s="13">
        <v>32.68</v>
      </c>
      <c r="G1101" s="14">
        <v>45130.0</v>
      </c>
      <c r="H1101" s="15">
        <f t="shared" si="1"/>
        <v>23</v>
      </c>
      <c r="I1101" s="16">
        <f t="shared" si="2"/>
        <v>7</v>
      </c>
      <c r="J1101" s="15">
        <f t="shared" si="3"/>
        <v>2023</v>
      </c>
      <c r="K1101" s="16">
        <f>STANDARDIZE(F1101,'estatística'!$C$2,'estatística'!$H$2)</f>
        <v>0.3973157761</v>
      </c>
    </row>
    <row r="1102" ht="15.75" customHeight="1">
      <c r="A1102" s="9">
        <v>44.0</v>
      </c>
      <c r="B1102" s="10" t="s">
        <v>187</v>
      </c>
      <c r="C1102" s="11" t="s">
        <v>188</v>
      </c>
      <c r="D1102" s="10" t="s">
        <v>17</v>
      </c>
      <c r="E1102" s="11" t="s">
        <v>65</v>
      </c>
      <c r="F1102" s="13">
        <v>36.54</v>
      </c>
      <c r="G1102" s="14">
        <v>45130.0</v>
      </c>
      <c r="H1102" s="15">
        <f t="shared" si="1"/>
        <v>23</v>
      </c>
      <c r="I1102" s="16">
        <f t="shared" si="2"/>
        <v>7</v>
      </c>
      <c r="J1102" s="15">
        <f t="shared" si="3"/>
        <v>2023</v>
      </c>
      <c r="K1102" s="16">
        <f>STANDARDIZE(F1102,'estatística'!$C$2,'estatística'!$H$2)</f>
        <v>0.4461889086</v>
      </c>
    </row>
    <row r="1103" ht="15.75" customHeight="1">
      <c r="A1103" s="9">
        <v>72.0</v>
      </c>
      <c r="B1103" s="10" t="s">
        <v>103</v>
      </c>
      <c r="C1103" s="11" t="s">
        <v>104</v>
      </c>
      <c r="D1103" s="10" t="s">
        <v>13</v>
      </c>
      <c r="E1103" s="11" t="s">
        <v>14</v>
      </c>
      <c r="F1103" s="13">
        <v>10.59</v>
      </c>
      <c r="G1103" s="14">
        <v>45130.0</v>
      </c>
      <c r="H1103" s="15">
        <f t="shared" si="1"/>
        <v>23</v>
      </c>
      <c r="I1103" s="16">
        <f t="shared" si="2"/>
        <v>7</v>
      </c>
      <c r="J1103" s="15">
        <f t="shared" si="3"/>
        <v>2023</v>
      </c>
      <c r="K1103" s="16">
        <f>STANDARDIZE(F1103,'estatística'!$C$2,'estatística'!$H$2)</f>
        <v>0.1176247151</v>
      </c>
    </row>
    <row r="1104" ht="15.75" customHeight="1">
      <c r="A1104" s="9">
        <v>80.0</v>
      </c>
      <c r="B1104" s="10" t="s">
        <v>22</v>
      </c>
      <c r="C1104" s="11" t="s">
        <v>23</v>
      </c>
      <c r="D1104" s="10" t="s">
        <v>13</v>
      </c>
      <c r="E1104" s="11" t="s">
        <v>39</v>
      </c>
      <c r="F1104" s="13">
        <v>49.73</v>
      </c>
      <c r="G1104" s="14">
        <v>45130.0</v>
      </c>
      <c r="H1104" s="15">
        <f t="shared" si="1"/>
        <v>23</v>
      </c>
      <c r="I1104" s="16">
        <f t="shared" si="2"/>
        <v>7</v>
      </c>
      <c r="J1104" s="15">
        <f t="shared" si="3"/>
        <v>2023</v>
      </c>
      <c r="K1104" s="16">
        <f>STANDARDIZE(F1104,'estatística'!$C$2,'estatística'!$H$2)</f>
        <v>0.6131932135</v>
      </c>
    </row>
    <row r="1105" ht="15.75" customHeight="1">
      <c r="A1105" s="9">
        <v>85.0</v>
      </c>
      <c r="B1105" s="10" t="s">
        <v>170</v>
      </c>
      <c r="C1105" s="11" t="s">
        <v>171</v>
      </c>
      <c r="D1105" s="10" t="s">
        <v>13</v>
      </c>
      <c r="E1105" s="11" t="s">
        <v>116</v>
      </c>
      <c r="F1105" s="13">
        <v>2.95</v>
      </c>
      <c r="G1105" s="14">
        <v>45130.0</v>
      </c>
      <c r="H1105" s="15">
        <f t="shared" si="1"/>
        <v>23</v>
      </c>
      <c r="I1105" s="16">
        <f t="shared" si="2"/>
        <v>7</v>
      </c>
      <c r="J1105" s="15">
        <f t="shared" si="3"/>
        <v>2023</v>
      </c>
      <c r="K1105" s="16">
        <f>STANDARDIZE(F1105,'estatística'!$C$2,'estatística'!$H$2)</f>
        <v>0.0208913649</v>
      </c>
    </row>
    <row r="1106" ht="15.75" customHeight="1">
      <c r="A1106" s="9">
        <v>28.0</v>
      </c>
      <c r="B1106" s="10" t="s">
        <v>49</v>
      </c>
      <c r="C1106" s="11" t="s">
        <v>50</v>
      </c>
      <c r="D1106" s="10" t="s">
        <v>13</v>
      </c>
      <c r="E1106" s="11" t="s">
        <v>14</v>
      </c>
      <c r="F1106" s="13">
        <v>10.81</v>
      </c>
      <c r="G1106" s="14">
        <v>45130.0</v>
      </c>
      <c r="H1106" s="15">
        <f t="shared" si="1"/>
        <v>23</v>
      </c>
      <c r="I1106" s="16">
        <f t="shared" si="2"/>
        <v>7</v>
      </c>
      <c r="J1106" s="15">
        <f t="shared" si="3"/>
        <v>2023</v>
      </c>
      <c r="K1106" s="16">
        <f>STANDARDIZE(F1106,'estatística'!$C$2,'estatística'!$H$2)</f>
        <v>0.1204102304</v>
      </c>
    </row>
    <row r="1107" ht="15.75" customHeight="1">
      <c r="A1107" s="9">
        <v>40.0</v>
      </c>
      <c r="B1107" s="10" t="s">
        <v>92</v>
      </c>
      <c r="C1107" s="11" t="s">
        <v>157</v>
      </c>
      <c r="D1107" s="10" t="s">
        <v>13</v>
      </c>
      <c r="E1107" s="11" t="s">
        <v>24</v>
      </c>
      <c r="F1107" s="13">
        <v>24.98</v>
      </c>
      <c r="G1107" s="14">
        <v>45131.0</v>
      </c>
      <c r="H1107" s="15">
        <f t="shared" si="1"/>
        <v>24</v>
      </c>
      <c r="I1107" s="16">
        <f t="shared" si="2"/>
        <v>7</v>
      </c>
      <c r="J1107" s="15">
        <f t="shared" si="3"/>
        <v>2023</v>
      </c>
      <c r="K1107" s="16">
        <f>STANDARDIZE(F1107,'estatística'!$C$2,'estatística'!$H$2)</f>
        <v>0.2998227399</v>
      </c>
    </row>
    <row r="1108" ht="15.75" customHeight="1">
      <c r="A1108" s="9">
        <v>36.0</v>
      </c>
      <c r="B1108" s="10" t="s">
        <v>60</v>
      </c>
      <c r="C1108" s="11" t="s">
        <v>61</v>
      </c>
      <c r="D1108" s="10" t="s">
        <v>17</v>
      </c>
      <c r="E1108" s="11" t="s">
        <v>80</v>
      </c>
      <c r="F1108" s="13">
        <v>39.02</v>
      </c>
      <c r="G1108" s="14">
        <v>45131.0</v>
      </c>
      <c r="H1108" s="15">
        <f t="shared" si="1"/>
        <v>24</v>
      </c>
      <c r="I1108" s="16">
        <f t="shared" si="2"/>
        <v>7</v>
      </c>
      <c r="J1108" s="15">
        <f t="shared" si="3"/>
        <v>2023</v>
      </c>
      <c r="K1108" s="16">
        <f>STANDARDIZE(F1108,'estatística'!$C$2,'estatística'!$H$2)</f>
        <v>0.4775892631</v>
      </c>
    </row>
    <row r="1109" ht="15.75" customHeight="1">
      <c r="A1109" s="9">
        <v>91.0</v>
      </c>
      <c r="B1109" s="10" t="s">
        <v>81</v>
      </c>
      <c r="C1109" s="11" t="s">
        <v>82</v>
      </c>
      <c r="D1109" s="10" t="s">
        <v>17</v>
      </c>
      <c r="E1109" s="11" t="s">
        <v>33</v>
      </c>
      <c r="F1109" s="13">
        <v>61.21</v>
      </c>
      <c r="G1109" s="14">
        <v>45131.0</v>
      </c>
      <c r="H1109" s="15">
        <f t="shared" si="1"/>
        <v>24</v>
      </c>
      <c r="I1109" s="16">
        <f t="shared" si="2"/>
        <v>7</v>
      </c>
      <c r="J1109" s="15">
        <f t="shared" si="3"/>
        <v>2023</v>
      </c>
      <c r="K1109" s="16">
        <f>STANDARDIZE(F1109,'estatística'!$C$2,'estatística'!$H$2)</f>
        <v>0.7585464675</v>
      </c>
    </row>
    <row r="1110" ht="15.75" customHeight="1">
      <c r="A1110" s="9">
        <v>61.0</v>
      </c>
      <c r="B1110" s="10" t="s">
        <v>73</v>
      </c>
      <c r="C1110" s="11" t="s">
        <v>74</v>
      </c>
      <c r="D1110" s="10" t="s">
        <v>17</v>
      </c>
      <c r="E1110" s="11" t="s">
        <v>65</v>
      </c>
      <c r="F1110" s="13">
        <v>27.17</v>
      </c>
      <c r="G1110" s="14">
        <v>45131.0</v>
      </c>
      <c r="H1110" s="15">
        <f t="shared" si="1"/>
        <v>24</v>
      </c>
      <c r="I1110" s="16">
        <f t="shared" si="2"/>
        <v>7</v>
      </c>
      <c r="J1110" s="15">
        <f t="shared" si="3"/>
        <v>2023</v>
      </c>
      <c r="K1110" s="16">
        <f>STANDARDIZE(F1110,'estatística'!$C$2,'estatística'!$H$2)</f>
        <v>0.3275512788</v>
      </c>
    </row>
    <row r="1111" ht="15.75" customHeight="1">
      <c r="A1111" s="9">
        <v>91.0</v>
      </c>
      <c r="B1111" s="10" t="s">
        <v>81</v>
      </c>
      <c r="C1111" s="11" t="s">
        <v>82</v>
      </c>
      <c r="D1111" s="10" t="s">
        <v>13</v>
      </c>
      <c r="E1111" s="11" t="s">
        <v>18</v>
      </c>
      <c r="F1111" s="13">
        <v>53.14</v>
      </c>
      <c r="G1111" s="14">
        <v>45131.0</v>
      </c>
      <c r="H1111" s="15">
        <f t="shared" si="1"/>
        <v>24</v>
      </c>
      <c r="I1111" s="16">
        <f t="shared" si="2"/>
        <v>7</v>
      </c>
      <c r="J1111" s="15">
        <f t="shared" si="3"/>
        <v>2023</v>
      </c>
      <c r="K1111" s="16">
        <f>STANDARDIZE(F1111,'estatística'!$C$2,'estatística'!$H$2)</f>
        <v>0.6563687009</v>
      </c>
    </row>
    <row r="1112" ht="15.75" customHeight="1">
      <c r="A1112" s="9">
        <v>92.0</v>
      </c>
      <c r="B1112" s="10" t="s">
        <v>81</v>
      </c>
      <c r="C1112" s="11" t="s">
        <v>169</v>
      </c>
      <c r="D1112" s="10" t="s">
        <v>17</v>
      </c>
      <c r="E1112" s="11" t="s">
        <v>21</v>
      </c>
      <c r="F1112" s="13">
        <v>12.37</v>
      </c>
      <c r="G1112" s="14">
        <v>45131.0</v>
      </c>
      <c r="H1112" s="15">
        <f t="shared" si="1"/>
        <v>24</v>
      </c>
      <c r="I1112" s="16">
        <f t="shared" si="2"/>
        <v>7</v>
      </c>
      <c r="J1112" s="15">
        <f t="shared" si="3"/>
        <v>2023</v>
      </c>
      <c r="K1112" s="16">
        <f>STANDARDIZE(F1112,'estatística'!$C$2,'estatística'!$H$2)</f>
        <v>0.1401620663</v>
      </c>
    </row>
    <row r="1113" ht="15.75" customHeight="1">
      <c r="A1113" s="9">
        <v>2.0</v>
      </c>
      <c r="B1113" s="10" t="s">
        <v>53</v>
      </c>
      <c r="C1113" s="11" t="s">
        <v>54</v>
      </c>
      <c r="D1113" s="10" t="s">
        <v>17</v>
      </c>
      <c r="E1113" s="11" t="s">
        <v>27</v>
      </c>
      <c r="F1113" s="13">
        <v>17.61</v>
      </c>
      <c r="G1113" s="14">
        <v>45131.0</v>
      </c>
      <c r="H1113" s="15">
        <f t="shared" si="1"/>
        <v>24</v>
      </c>
      <c r="I1113" s="16">
        <f t="shared" si="2"/>
        <v>7</v>
      </c>
      <c r="J1113" s="15">
        <f t="shared" si="3"/>
        <v>2023</v>
      </c>
      <c r="K1113" s="16">
        <f>STANDARDIZE(F1113,'estatística'!$C$2,'estatística'!$H$2)</f>
        <v>0.2065079767</v>
      </c>
    </row>
    <row r="1114" ht="15.75" customHeight="1">
      <c r="A1114" s="9">
        <v>9.0</v>
      </c>
      <c r="B1114" s="10" t="s">
        <v>179</v>
      </c>
      <c r="C1114" s="11" t="s">
        <v>180</v>
      </c>
      <c r="D1114" s="10" t="s">
        <v>17</v>
      </c>
      <c r="E1114" s="11" t="s">
        <v>80</v>
      </c>
      <c r="F1114" s="13">
        <v>41.09</v>
      </c>
      <c r="G1114" s="14">
        <v>45131.0</v>
      </c>
      <c r="H1114" s="15">
        <f t="shared" si="1"/>
        <v>24</v>
      </c>
      <c r="I1114" s="16">
        <f t="shared" si="2"/>
        <v>7</v>
      </c>
      <c r="J1114" s="15">
        <f t="shared" si="3"/>
        <v>2023</v>
      </c>
      <c r="K1114" s="16">
        <f>STANDARDIZE(F1114,'estatística'!$C$2,'estatística'!$H$2)</f>
        <v>0.50379843</v>
      </c>
    </row>
    <row r="1115" ht="15.75" customHeight="1">
      <c r="A1115" s="9">
        <v>70.0</v>
      </c>
      <c r="B1115" s="10" t="s">
        <v>124</v>
      </c>
      <c r="C1115" s="11" t="s">
        <v>125</v>
      </c>
      <c r="D1115" s="10" t="s">
        <v>13</v>
      </c>
      <c r="E1115" s="11" t="s">
        <v>29</v>
      </c>
      <c r="F1115" s="13">
        <v>13.34</v>
      </c>
      <c r="G1115" s="14">
        <v>45132.0</v>
      </c>
      <c r="H1115" s="15">
        <f t="shared" si="1"/>
        <v>25</v>
      </c>
      <c r="I1115" s="16">
        <f t="shared" si="2"/>
        <v>7</v>
      </c>
      <c r="J1115" s="15">
        <f t="shared" si="3"/>
        <v>2023</v>
      </c>
      <c r="K1115" s="16">
        <f>STANDARDIZE(F1115,'estatística'!$C$2,'estatística'!$H$2)</f>
        <v>0.1524436566</v>
      </c>
    </row>
    <row r="1116" ht="15.75" customHeight="1">
      <c r="A1116" s="9">
        <v>4.0</v>
      </c>
      <c r="B1116" s="10" t="s">
        <v>87</v>
      </c>
      <c r="C1116" s="11" t="s">
        <v>88</v>
      </c>
      <c r="D1116" s="10" t="s">
        <v>17</v>
      </c>
      <c r="E1116" s="11" t="s">
        <v>21</v>
      </c>
      <c r="F1116" s="13">
        <v>14.11</v>
      </c>
      <c r="G1116" s="14">
        <v>45132.0</v>
      </c>
      <c r="H1116" s="15">
        <f t="shared" si="1"/>
        <v>25</v>
      </c>
      <c r="I1116" s="16">
        <f t="shared" si="2"/>
        <v>7</v>
      </c>
      <c r="J1116" s="15">
        <f t="shared" si="3"/>
        <v>2023</v>
      </c>
      <c r="K1116" s="16">
        <f>STANDARDIZE(F1116,'estatística'!$C$2,'estatística'!$H$2)</f>
        <v>0.1621929602</v>
      </c>
    </row>
    <row r="1117" ht="15.75" customHeight="1">
      <c r="A1117" s="9">
        <v>46.0</v>
      </c>
      <c r="B1117" s="10" t="s">
        <v>114</v>
      </c>
      <c r="C1117" s="11" t="s">
        <v>115</v>
      </c>
      <c r="D1117" s="10" t="s">
        <v>17</v>
      </c>
      <c r="E1117" s="11" t="s">
        <v>65</v>
      </c>
      <c r="F1117" s="13">
        <v>35.63</v>
      </c>
      <c r="G1117" s="14">
        <v>45132.0</v>
      </c>
      <c r="H1117" s="15">
        <f t="shared" si="1"/>
        <v>25</v>
      </c>
      <c r="I1117" s="16">
        <f t="shared" si="2"/>
        <v>7</v>
      </c>
      <c r="J1117" s="15">
        <f t="shared" si="3"/>
        <v>2023</v>
      </c>
      <c r="K1117" s="16">
        <f>STANDARDIZE(F1117,'estatística'!$C$2,'estatística'!$H$2)</f>
        <v>0.4346670043</v>
      </c>
    </row>
    <row r="1118" ht="15.75" customHeight="1">
      <c r="A1118" s="9">
        <v>74.0</v>
      </c>
      <c r="B1118" s="10" t="s">
        <v>11</v>
      </c>
      <c r="C1118" s="11" t="s">
        <v>94</v>
      </c>
      <c r="D1118" s="10" t="s">
        <v>13</v>
      </c>
      <c r="E1118" s="11" t="s">
        <v>27</v>
      </c>
      <c r="F1118" s="13">
        <v>14.13</v>
      </c>
      <c r="G1118" s="14">
        <v>45132.0</v>
      </c>
      <c r="H1118" s="15">
        <f t="shared" si="1"/>
        <v>25</v>
      </c>
      <c r="I1118" s="16">
        <f t="shared" si="2"/>
        <v>7</v>
      </c>
      <c r="J1118" s="15">
        <f t="shared" si="3"/>
        <v>2023</v>
      </c>
      <c r="K1118" s="16">
        <f>STANDARDIZE(F1118,'estatística'!$C$2,'estatística'!$H$2)</f>
        <v>0.1624461889</v>
      </c>
    </row>
    <row r="1119" ht="15.75" customHeight="1">
      <c r="A1119" s="9">
        <v>41.0</v>
      </c>
      <c r="B1119" s="10" t="s">
        <v>189</v>
      </c>
      <c r="C1119" s="11" t="s">
        <v>190</v>
      </c>
      <c r="D1119" s="10" t="s">
        <v>17</v>
      </c>
      <c r="E1119" s="11" t="s">
        <v>116</v>
      </c>
      <c r="F1119" s="13">
        <v>4.62</v>
      </c>
      <c r="G1119" s="14">
        <v>45133.0</v>
      </c>
      <c r="H1119" s="15">
        <f t="shared" si="1"/>
        <v>26</v>
      </c>
      <c r="I1119" s="16">
        <f t="shared" si="2"/>
        <v>7</v>
      </c>
      <c r="J1119" s="15">
        <f t="shared" si="3"/>
        <v>2023</v>
      </c>
      <c r="K1119" s="16">
        <f>STANDARDIZE(F1119,'estatística'!$C$2,'estatística'!$H$2)</f>
        <v>0.04203595847</v>
      </c>
    </row>
    <row r="1120" ht="15.75" customHeight="1">
      <c r="A1120" s="9">
        <v>47.0</v>
      </c>
      <c r="B1120" s="10" t="s">
        <v>89</v>
      </c>
      <c r="C1120" s="11" t="s">
        <v>90</v>
      </c>
      <c r="D1120" s="10" t="s">
        <v>17</v>
      </c>
      <c r="E1120" s="11" t="s">
        <v>91</v>
      </c>
      <c r="F1120" s="13">
        <v>1.93</v>
      </c>
      <c r="G1120" s="14">
        <v>45133.0</v>
      </c>
      <c r="H1120" s="15">
        <f t="shared" si="1"/>
        <v>26</v>
      </c>
      <c r="I1120" s="16">
        <f t="shared" si="2"/>
        <v>7</v>
      </c>
      <c r="J1120" s="15">
        <f t="shared" si="3"/>
        <v>2023</v>
      </c>
      <c r="K1120" s="16">
        <f>STANDARDIZE(F1120,'estatística'!$C$2,'estatística'!$H$2)</f>
        <v>0.007976702963</v>
      </c>
    </row>
    <row r="1121" ht="15.75" customHeight="1">
      <c r="A1121" s="9">
        <v>22.0</v>
      </c>
      <c r="B1121" s="10" t="s">
        <v>101</v>
      </c>
      <c r="C1121" s="11" t="s">
        <v>102</v>
      </c>
      <c r="D1121" s="10" t="s">
        <v>17</v>
      </c>
      <c r="E1121" s="11" t="s">
        <v>65</v>
      </c>
      <c r="F1121" s="13">
        <v>31.64</v>
      </c>
      <c r="G1121" s="14">
        <v>45133.0</v>
      </c>
      <c r="H1121" s="15">
        <f t="shared" si="1"/>
        <v>26</v>
      </c>
      <c r="I1121" s="16">
        <f t="shared" si="2"/>
        <v>7</v>
      </c>
      <c r="J1121" s="15">
        <f t="shared" si="3"/>
        <v>2023</v>
      </c>
      <c r="K1121" s="16">
        <f>STANDARDIZE(F1121,'estatística'!$C$2,'estatística'!$H$2)</f>
        <v>0.3841478855</v>
      </c>
    </row>
    <row r="1122" ht="15.75" customHeight="1">
      <c r="A1122" s="9">
        <v>19.0</v>
      </c>
      <c r="B1122" s="10" t="s">
        <v>25</v>
      </c>
      <c r="C1122" s="11" t="s">
        <v>165</v>
      </c>
      <c r="D1122" s="10" t="s">
        <v>13</v>
      </c>
      <c r="E1122" s="11" t="s">
        <v>65</v>
      </c>
      <c r="F1122" s="13">
        <v>33.94</v>
      </c>
      <c r="G1122" s="14">
        <v>45133.0</v>
      </c>
      <c r="H1122" s="15">
        <f t="shared" si="1"/>
        <v>26</v>
      </c>
      <c r="I1122" s="16">
        <f t="shared" si="2"/>
        <v>7</v>
      </c>
      <c r="J1122" s="15">
        <f t="shared" si="3"/>
        <v>2023</v>
      </c>
      <c r="K1122" s="16">
        <f>STANDARDIZE(F1122,'estatística'!$C$2,'estatística'!$H$2)</f>
        <v>0.4132691821</v>
      </c>
    </row>
    <row r="1123" ht="15.75" customHeight="1">
      <c r="A1123" s="9">
        <v>2.0</v>
      </c>
      <c r="B1123" s="10" t="s">
        <v>53</v>
      </c>
      <c r="C1123" s="11" t="s">
        <v>54</v>
      </c>
      <c r="D1123" s="10" t="s">
        <v>13</v>
      </c>
      <c r="E1123" s="11" t="s">
        <v>80</v>
      </c>
      <c r="F1123" s="13">
        <v>39.57</v>
      </c>
      <c r="G1123" s="14">
        <v>45133.0</v>
      </c>
      <c r="H1123" s="15">
        <f t="shared" si="1"/>
        <v>26</v>
      </c>
      <c r="I1123" s="16">
        <f t="shared" si="2"/>
        <v>7</v>
      </c>
      <c r="J1123" s="15">
        <f t="shared" si="3"/>
        <v>2023</v>
      </c>
      <c r="K1123" s="16">
        <f>STANDARDIZE(F1123,'estatística'!$C$2,'estatística'!$H$2)</f>
        <v>0.4845530514</v>
      </c>
    </row>
    <row r="1124" ht="15.75" customHeight="1">
      <c r="A1124" s="9">
        <v>47.0</v>
      </c>
      <c r="B1124" s="10" t="s">
        <v>89</v>
      </c>
      <c r="C1124" s="11" t="s">
        <v>90</v>
      </c>
      <c r="D1124" s="10" t="s">
        <v>13</v>
      </c>
      <c r="E1124" s="11" t="s">
        <v>91</v>
      </c>
      <c r="F1124" s="13">
        <v>2.58</v>
      </c>
      <c r="G1124" s="14">
        <v>45133.0</v>
      </c>
      <c r="H1124" s="15">
        <f t="shared" si="1"/>
        <v>26</v>
      </c>
      <c r="I1124" s="16">
        <f t="shared" si="2"/>
        <v>7</v>
      </c>
      <c r="J1124" s="15">
        <f t="shared" si="3"/>
        <v>2023</v>
      </c>
      <c r="K1124" s="16">
        <f>STANDARDIZE(F1124,'estatística'!$C$2,'estatística'!$H$2)</f>
        <v>0.01620663459</v>
      </c>
    </row>
    <row r="1125" ht="15.75" customHeight="1">
      <c r="A1125" s="9">
        <v>53.0</v>
      </c>
      <c r="B1125" s="10" t="s">
        <v>213</v>
      </c>
      <c r="C1125" s="11" t="s">
        <v>214</v>
      </c>
      <c r="D1125" s="10" t="s">
        <v>13</v>
      </c>
      <c r="E1125" s="11" t="s">
        <v>32</v>
      </c>
      <c r="F1125" s="13">
        <v>32.79</v>
      </c>
      <c r="G1125" s="14">
        <v>45133.0</v>
      </c>
      <c r="H1125" s="15">
        <f t="shared" si="1"/>
        <v>26</v>
      </c>
      <c r="I1125" s="16">
        <f t="shared" si="2"/>
        <v>7</v>
      </c>
      <c r="J1125" s="15">
        <f t="shared" si="3"/>
        <v>2023</v>
      </c>
      <c r="K1125" s="16">
        <f>STANDARDIZE(F1125,'estatística'!$C$2,'estatística'!$H$2)</f>
        <v>0.3987085338</v>
      </c>
    </row>
    <row r="1126" ht="15.75" customHeight="1">
      <c r="A1126" s="9">
        <v>5.0</v>
      </c>
      <c r="B1126" s="10" t="s">
        <v>139</v>
      </c>
      <c r="C1126" s="11" t="s">
        <v>140</v>
      </c>
      <c r="D1126" s="10" t="s">
        <v>13</v>
      </c>
      <c r="E1126" s="11" t="s">
        <v>107</v>
      </c>
      <c r="F1126" s="13">
        <v>32.48</v>
      </c>
      <c r="G1126" s="14">
        <v>45134.0</v>
      </c>
      <c r="H1126" s="15">
        <f t="shared" si="1"/>
        <v>27</v>
      </c>
      <c r="I1126" s="16">
        <f t="shared" si="2"/>
        <v>7</v>
      </c>
      <c r="J1126" s="15">
        <f t="shared" si="3"/>
        <v>2023</v>
      </c>
      <c r="K1126" s="16">
        <f>STANDARDIZE(F1126,'estatística'!$C$2,'estatística'!$H$2)</f>
        <v>0.3947834895</v>
      </c>
    </row>
    <row r="1127" ht="15.75" customHeight="1">
      <c r="A1127" s="9">
        <v>60.0</v>
      </c>
      <c r="B1127" s="10" t="s">
        <v>42</v>
      </c>
      <c r="C1127" s="11" t="s">
        <v>43</v>
      </c>
      <c r="D1127" s="10" t="s">
        <v>13</v>
      </c>
      <c r="E1127" s="11" t="s">
        <v>29</v>
      </c>
      <c r="F1127" s="13">
        <v>13.36</v>
      </c>
      <c r="G1127" s="14">
        <v>45134.0</v>
      </c>
      <c r="H1127" s="15">
        <f t="shared" si="1"/>
        <v>27</v>
      </c>
      <c r="I1127" s="16">
        <f t="shared" si="2"/>
        <v>7</v>
      </c>
      <c r="J1127" s="15">
        <f t="shared" si="3"/>
        <v>2023</v>
      </c>
      <c r="K1127" s="16">
        <f>STANDARDIZE(F1127,'estatística'!$C$2,'estatística'!$H$2)</f>
        <v>0.1526968853</v>
      </c>
    </row>
    <row r="1128" ht="15.75" customHeight="1">
      <c r="A1128" s="9">
        <v>30.0</v>
      </c>
      <c r="B1128" s="10" t="s">
        <v>11</v>
      </c>
      <c r="C1128" s="11" t="s">
        <v>12</v>
      </c>
      <c r="D1128" s="10" t="s">
        <v>13</v>
      </c>
      <c r="E1128" s="11" t="s">
        <v>48</v>
      </c>
      <c r="F1128" s="13">
        <v>7.16</v>
      </c>
      <c r="G1128" s="14">
        <v>45134.0</v>
      </c>
      <c r="H1128" s="15">
        <f t="shared" si="1"/>
        <v>27</v>
      </c>
      <c r="I1128" s="16">
        <f t="shared" si="2"/>
        <v>7</v>
      </c>
      <c r="J1128" s="15">
        <f t="shared" si="3"/>
        <v>2023</v>
      </c>
      <c r="K1128" s="16">
        <f>STANDARDIZE(F1128,'estatística'!$C$2,'estatística'!$H$2)</f>
        <v>0.07419599899</v>
      </c>
    </row>
    <row r="1129" ht="15.75" customHeight="1">
      <c r="A1129" s="9">
        <v>73.0</v>
      </c>
      <c r="B1129" s="10" t="s">
        <v>195</v>
      </c>
      <c r="C1129" s="11" t="s">
        <v>196</v>
      </c>
      <c r="D1129" s="10" t="s">
        <v>17</v>
      </c>
      <c r="E1129" s="11" t="s">
        <v>77</v>
      </c>
      <c r="F1129" s="13">
        <v>14.15</v>
      </c>
      <c r="G1129" s="14">
        <v>45134.0</v>
      </c>
      <c r="H1129" s="15">
        <f t="shared" si="1"/>
        <v>27</v>
      </c>
      <c r="I1129" s="16">
        <f t="shared" si="2"/>
        <v>7</v>
      </c>
      <c r="J1129" s="15">
        <f t="shared" si="3"/>
        <v>2023</v>
      </c>
      <c r="K1129" s="16">
        <f>STANDARDIZE(F1129,'estatística'!$C$2,'estatística'!$H$2)</f>
        <v>0.1626994176</v>
      </c>
    </row>
    <row r="1130" ht="15.75" customHeight="1">
      <c r="A1130" s="9">
        <v>87.0</v>
      </c>
      <c r="B1130" s="10" t="s">
        <v>215</v>
      </c>
      <c r="C1130" s="11" t="s">
        <v>216</v>
      </c>
      <c r="D1130" s="10" t="s">
        <v>17</v>
      </c>
      <c r="E1130" s="11" t="s">
        <v>68</v>
      </c>
      <c r="F1130" s="13">
        <v>15.0</v>
      </c>
      <c r="G1130" s="14">
        <v>45134.0</v>
      </c>
      <c r="H1130" s="15">
        <f t="shared" si="1"/>
        <v>27</v>
      </c>
      <c r="I1130" s="16">
        <f t="shared" si="2"/>
        <v>7</v>
      </c>
      <c r="J1130" s="15">
        <f t="shared" si="3"/>
        <v>2023</v>
      </c>
      <c r="K1130" s="16">
        <f>STANDARDIZE(F1130,'estatística'!$C$2,'estatística'!$H$2)</f>
        <v>0.1734616359</v>
      </c>
    </row>
    <row r="1131" ht="15.75" customHeight="1">
      <c r="A1131" s="9">
        <v>77.0</v>
      </c>
      <c r="B1131" s="10" t="s">
        <v>11</v>
      </c>
      <c r="C1131" s="11" t="s">
        <v>141</v>
      </c>
      <c r="D1131" s="10" t="s">
        <v>17</v>
      </c>
      <c r="E1131" s="11" t="s">
        <v>27</v>
      </c>
      <c r="F1131" s="13">
        <v>13.26</v>
      </c>
      <c r="G1131" s="14">
        <v>45134.0</v>
      </c>
      <c r="H1131" s="15">
        <f t="shared" si="1"/>
        <v>27</v>
      </c>
      <c r="I1131" s="16">
        <f t="shared" si="2"/>
        <v>7</v>
      </c>
      <c r="J1131" s="15">
        <f t="shared" si="3"/>
        <v>2023</v>
      </c>
      <c r="K1131" s="16">
        <f>STANDARDIZE(F1131,'estatística'!$C$2,'estatística'!$H$2)</f>
        <v>0.151430742</v>
      </c>
    </row>
    <row r="1132" ht="15.75" customHeight="1">
      <c r="A1132" s="9">
        <v>81.0</v>
      </c>
      <c r="B1132" s="10" t="s">
        <v>34</v>
      </c>
      <c r="C1132" s="11" t="s">
        <v>35</v>
      </c>
      <c r="D1132" s="10" t="s">
        <v>17</v>
      </c>
      <c r="E1132" s="11" t="s">
        <v>62</v>
      </c>
      <c r="F1132" s="13">
        <v>12.64</v>
      </c>
      <c r="G1132" s="14">
        <v>45134.0</v>
      </c>
      <c r="H1132" s="15">
        <f t="shared" si="1"/>
        <v>27</v>
      </c>
      <c r="I1132" s="16">
        <f t="shared" si="2"/>
        <v>7</v>
      </c>
      <c r="J1132" s="15">
        <f t="shared" si="3"/>
        <v>2023</v>
      </c>
      <c r="K1132" s="16">
        <f>STANDARDIZE(F1132,'estatística'!$C$2,'estatística'!$H$2)</f>
        <v>0.1435806533</v>
      </c>
    </row>
    <row r="1133" ht="15.75" customHeight="1">
      <c r="A1133" s="9">
        <v>40.0</v>
      </c>
      <c r="B1133" s="10" t="s">
        <v>92</v>
      </c>
      <c r="C1133" s="11" t="s">
        <v>157</v>
      </c>
      <c r="D1133" s="10" t="s">
        <v>17</v>
      </c>
      <c r="E1133" s="11" t="s">
        <v>57</v>
      </c>
      <c r="F1133" s="13">
        <v>17.88</v>
      </c>
      <c r="G1133" s="14">
        <v>45135.0</v>
      </c>
      <c r="H1133" s="15">
        <f t="shared" si="1"/>
        <v>28</v>
      </c>
      <c r="I1133" s="16">
        <f t="shared" si="2"/>
        <v>7</v>
      </c>
      <c r="J1133" s="15">
        <f t="shared" si="3"/>
        <v>2023</v>
      </c>
      <c r="K1133" s="16">
        <f>STANDARDIZE(F1133,'estatística'!$C$2,'estatística'!$H$2)</f>
        <v>0.2099265637</v>
      </c>
    </row>
    <row r="1134" ht="15.75" customHeight="1">
      <c r="A1134" s="9">
        <v>81.0</v>
      </c>
      <c r="B1134" s="10" t="s">
        <v>34</v>
      </c>
      <c r="C1134" s="11" t="s">
        <v>35</v>
      </c>
      <c r="D1134" s="10" t="s">
        <v>17</v>
      </c>
      <c r="E1134" s="11" t="s">
        <v>36</v>
      </c>
      <c r="F1134" s="13">
        <v>66.64</v>
      </c>
      <c r="G1134" s="14">
        <v>45135.0</v>
      </c>
      <c r="H1134" s="15">
        <f t="shared" si="1"/>
        <v>28</v>
      </c>
      <c r="I1134" s="16">
        <f t="shared" si="2"/>
        <v>7</v>
      </c>
      <c r="J1134" s="15">
        <f t="shared" si="3"/>
        <v>2023</v>
      </c>
      <c r="K1134" s="16">
        <f>STANDARDIZE(F1134,'estatística'!$C$2,'estatística'!$H$2)</f>
        <v>0.8272980501</v>
      </c>
    </row>
    <row r="1135" ht="15.75" customHeight="1">
      <c r="A1135" s="9">
        <v>10.0</v>
      </c>
      <c r="B1135" s="10" t="s">
        <v>120</v>
      </c>
      <c r="C1135" s="11" t="s">
        <v>121</v>
      </c>
      <c r="D1135" s="10" t="s">
        <v>17</v>
      </c>
      <c r="E1135" s="11" t="s">
        <v>24</v>
      </c>
      <c r="F1135" s="13">
        <v>40.24</v>
      </c>
      <c r="G1135" s="14">
        <v>45135.0</v>
      </c>
      <c r="H1135" s="15">
        <f t="shared" si="1"/>
        <v>28</v>
      </c>
      <c r="I1135" s="16">
        <f t="shared" si="2"/>
        <v>7</v>
      </c>
      <c r="J1135" s="15">
        <f t="shared" si="3"/>
        <v>2023</v>
      </c>
      <c r="K1135" s="16">
        <f>STANDARDIZE(F1135,'estatística'!$C$2,'estatística'!$H$2)</f>
        <v>0.4930362117</v>
      </c>
    </row>
    <row r="1136" ht="15.75" customHeight="1">
      <c r="A1136" s="9">
        <v>40.0</v>
      </c>
      <c r="B1136" s="10" t="s">
        <v>92</v>
      </c>
      <c r="C1136" s="11" t="s">
        <v>157</v>
      </c>
      <c r="D1136" s="10" t="s">
        <v>13</v>
      </c>
      <c r="E1136" s="11" t="s">
        <v>14</v>
      </c>
      <c r="F1136" s="13">
        <v>10.52</v>
      </c>
      <c r="G1136" s="14">
        <v>45135.0</v>
      </c>
      <c r="H1136" s="15">
        <f t="shared" si="1"/>
        <v>28</v>
      </c>
      <c r="I1136" s="16">
        <f t="shared" si="2"/>
        <v>7</v>
      </c>
      <c r="J1136" s="15">
        <f t="shared" si="3"/>
        <v>2023</v>
      </c>
      <c r="K1136" s="16">
        <f>STANDARDIZE(F1136,'estatística'!$C$2,'estatística'!$H$2)</f>
        <v>0.1167384148</v>
      </c>
    </row>
    <row r="1137" ht="15.75" customHeight="1">
      <c r="A1137" s="9">
        <v>41.0</v>
      </c>
      <c r="B1137" s="10" t="s">
        <v>189</v>
      </c>
      <c r="C1137" s="11" t="s">
        <v>190</v>
      </c>
      <c r="D1137" s="10" t="s">
        <v>17</v>
      </c>
      <c r="E1137" s="11" t="s">
        <v>24</v>
      </c>
      <c r="F1137" s="13">
        <v>34.18</v>
      </c>
      <c r="G1137" s="14">
        <v>45135.0</v>
      </c>
      <c r="H1137" s="15">
        <f t="shared" si="1"/>
        <v>28</v>
      </c>
      <c r="I1137" s="16">
        <f t="shared" si="2"/>
        <v>7</v>
      </c>
      <c r="J1137" s="15">
        <f t="shared" si="3"/>
        <v>2023</v>
      </c>
      <c r="K1137" s="16">
        <f>STANDARDIZE(F1137,'estatística'!$C$2,'estatística'!$H$2)</f>
        <v>0.4163079261</v>
      </c>
    </row>
    <row r="1138" ht="15.75" customHeight="1">
      <c r="A1138" s="9">
        <v>98.0</v>
      </c>
      <c r="B1138" s="10" t="s">
        <v>131</v>
      </c>
      <c r="C1138" s="11" t="s">
        <v>168</v>
      </c>
      <c r="D1138" s="10" t="s">
        <v>13</v>
      </c>
      <c r="E1138" s="11" t="s">
        <v>68</v>
      </c>
      <c r="F1138" s="13">
        <v>11.16</v>
      </c>
      <c r="G1138" s="14">
        <v>45135.0</v>
      </c>
      <c r="H1138" s="15">
        <f t="shared" si="1"/>
        <v>28</v>
      </c>
      <c r="I1138" s="16">
        <f t="shared" si="2"/>
        <v>7</v>
      </c>
      <c r="J1138" s="15">
        <f t="shared" si="3"/>
        <v>2023</v>
      </c>
      <c r="K1138" s="16">
        <f>STANDARDIZE(F1138,'estatística'!$C$2,'estatística'!$H$2)</f>
        <v>0.1248417321</v>
      </c>
    </row>
    <row r="1139" ht="15.75" customHeight="1">
      <c r="A1139" s="9">
        <v>85.0</v>
      </c>
      <c r="B1139" s="10" t="s">
        <v>170</v>
      </c>
      <c r="C1139" s="11" t="s">
        <v>171</v>
      </c>
      <c r="D1139" s="10" t="s">
        <v>13</v>
      </c>
      <c r="E1139" s="11" t="s">
        <v>80</v>
      </c>
      <c r="F1139" s="13">
        <v>35.0</v>
      </c>
      <c r="G1139" s="14">
        <v>45135.0</v>
      </c>
      <c r="H1139" s="15">
        <f t="shared" si="1"/>
        <v>28</v>
      </c>
      <c r="I1139" s="16">
        <f t="shared" si="2"/>
        <v>7</v>
      </c>
      <c r="J1139" s="15">
        <f t="shared" si="3"/>
        <v>2023</v>
      </c>
      <c r="K1139" s="16">
        <f>STANDARDIZE(F1139,'estatística'!$C$2,'estatística'!$H$2)</f>
        <v>0.4266903013</v>
      </c>
    </row>
    <row r="1140" ht="15.75" customHeight="1">
      <c r="A1140" s="9">
        <v>97.0</v>
      </c>
      <c r="B1140" s="10" t="s">
        <v>44</v>
      </c>
      <c r="C1140" s="11" t="s">
        <v>45</v>
      </c>
      <c r="D1140" s="10" t="s">
        <v>13</v>
      </c>
      <c r="E1140" s="11" t="s">
        <v>29</v>
      </c>
      <c r="F1140" s="13">
        <v>12.23</v>
      </c>
      <c r="G1140" s="14">
        <v>45139.0</v>
      </c>
      <c r="H1140" s="15">
        <f t="shared" si="1"/>
        <v>1</v>
      </c>
      <c r="I1140" s="16">
        <f t="shared" si="2"/>
        <v>8</v>
      </c>
      <c r="J1140" s="15">
        <f t="shared" si="3"/>
        <v>2023</v>
      </c>
      <c r="K1140" s="16">
        <f>STANDARDIZE(F1140,'estatística'!$C$2,'estatística'!$H$2)</f>
        <v>0.1383894657</v>
      </c>
    </row>
    <row r="1141" ht="15.75" customHeight="1">
      <c r="A1141" s="9">
        <v>75.0</v>
      </c>
      <c r="B1141" s="10" t="s">
        <v>210</v>
      </c>
      <c r="C1141" s="11" t="s">
        <v>211</v>
      </c>
      <c r="D1141" s="10" t="s">
        <v>13</v>
      </c>
      <c r="E1141" s="11" t="s">
        <v>62</v>
      </c>
      <c r="F1141" s="13">
        <v>12.63</v>
      </c>
      <c r="G1141" s="14">
        <v>45139.0</v>
      </c>
      <c r="H1141" s="15">
        <f t="shared" si="1"/>
        <v>1</v>
      </c>
      <c r="I1141" s="16">
        <f t="shared" si="2"/>
        <v>8</v>
      </c>
      <c r="J1141" s="15">
        <f t="shared" si="3"/>
        <v>2023</v>
      </c>
      <c r="K1141" s="16">
        <f>STANDARDIZE(F1141,'estatística'!$C$2,'estatística'!$H$2)</f>
        <v>0.143454039</v>
      </c>
    </row>
    <row r="1142" ht="15.75" customHeight="1">
      <c r="A1142" s="9">
        <v>48.0</v>
      </c>
      <c r="B1142" s="10" t="s">
        <v>25</v>
      </c>
      <c r="C1142" s="11" t="s">
        <v>28</v>
      </c>
      <c r="D1142" s="10" t="s">
        <v>17</v>
      </c>
      <c r="E1142" s="11" t="s">
        <v>116</v>
      </c>
      <c r="F1142" s="13">
        <v>2.84</v>
      </c>
      <c r="G1142" s="14">
        <v>45139.0</v>
      </c>
      <c r="H1142" s="15">
        <f t="shared" si="1"/>
        <v>1</v>
      </c>
      <c r="I1142" s="16">
        <f t="shared" si="2"/>
        <v>8</v>
      </c>
      <c r="J1142" s="15">
        <f t="shared" si="3"/>
        <v>2023</v>
      </c>
      <c r="K1142" s="16">
        <f>STANDARDIZE(F1142,'estatística'!$C$2,'estatística'!$H$2)</f>
        <v>0.01949860724</v>
      </c>
    </row>
    <row r="1143" ht="15.75" customHeight="1">
      <c r="A1143" s="9">
        <v>3.0</v>
      </c>
      <c r="B1143" s="10" t="s">
        <v>51</v>
      </c>
      <c r="C1143" s="11" t="s">
        <v>52</v>
      </c>
      <c r="D1143" s="10" t="s">
        <v>13</v>
      </c>
      <c r="E1143" s="11" t="s">
        <v>27</v>
      </c>
      <c r="F1143" s="13">
        <v>18.42</v>
      </c>
      <c r="G1143" s="14">
        <v>45139.0</v>
      </c>
      <c r="H1143" s="15">
        <f t="shared" si="1"/>
        <v>1</v>
      </c>
      <c r="I1143" s="16">
        <f t="shared" si="2"/>
        <v>8</v>
      </c>
      <c r="J1143" s="15">
        <f t="shared" si="3"/>
        <v>2023</v>
      </c>
      <c r="K1143" s="16">
        <f>STANDARDIZE(F1143,'estatística'!$C$2,'estatística'!$H$2)</f>
        <v>0.2167637377</v>
      </c>
    </row>
    <row r="1144" ht="15.75" customHeight="1">
      <c r="A1144" s="9">
        <v>73.0</v>
      </c>
      <c r="B1144" s="10" t="s">
        <v>195</v>
      </c>
      <c r="C1144" s="11" t="s">
        <v>196</v>
      </c>
      <c r="D1144" s="10" t="s">
        <v>13</v>
      </c>
      <c r="E1144" s="11" t="s">
        <v>29</v>
      </c>
      <c r="F1144" s="13">
        <v>12.72</v>
      </c>
      <c r="G1144" s="14">
        <v>45140.0</v>
      </c>
      <c r="H1144" s="15">
        <f t="shared" si="1"/>
        <v>2</v>
      </c>
      <c r="I1144" s="16">
        <f t="shared" si="2"/>
        <v>8</v>
      </c>
      <c r="J1144" s="15">
        <f t="shared" si="3"/>
        <v>2023</v>
      </c>
      <c r="K1144" s="16">
        <f>STANDARDIZE(F1144,'estatística'!$C$2,'estatística'!$H$2)</f>
        <v>0.144593568</v>
      </c>
    </row>
    <row r="1145" ht="15.75" customHeight="1">
      <c r="A1145" s="9">
        <v>64.0</v>
      </c>
      <c r="B1145" s="10" t="s">
        <v>131</v>
      </c>
      <c r="C1145" s="11" t="s">
        <v>132</v>
      </c>
      <c r="D1145" s="10" t="s">
        <v>17</v>
      </c>
      <c r="E1145" s="11" t="s">
        <v>91</v>
      </c>
      <c r="F1145" s="13">
        <v>3.21</v>
      </c>
      <c r="G1145" s="14">
        <v>45140.0</v>
      </c>
      <c r="H1145" s="15">
        <f t="shared" si="1"/>
        <v>2</v>
      </c>
      <c r="I1145" s="16">
        <f t="shared" si="2"/>
        <v>8</v>
      </c>
      <c r="J1145" s="15">
        <f t="shared" si="3"/>
        <v>2023</v>
      </c>
      <c r="K1145" s="16">
        <f>STANDARDIZE(F1145,'estatística'!$C$2,'estatística'!$H$2)</f>
        <v>0.02418333755</v>
      </c>
    </row>
    <row r="1146" ht="15.75" customHeight="1">
      <c r="A1146" s="9">
        <v>60.0</v>
      </c>
      <c r="B1146" s="10" t="s">
        <v>42</v>
      </c>
      <c r="C1146" s="11" t="s">
        <v>43</v>
      </c>
      <c r="D1146" s="10" t="s">
        <v>17</v>
      </c>
      <c r="E1146" s="11" t="s">
        <v>107</v>
      </c>
      <c r="F1146" s="13">
        <v>28.85</v>
      </c>
      <c r="G1146" s="14">
        <v>45140.0</v>
      </c>
      <c r="H1146" s="15">
        <f t="shared" si="1"/>
        <v>2</v>
      </c>
      <c r="I1146" s="16">
        <f t="shared" si="2"/>
        <v>8</v>
      </c>
      <c r="J1146" s="15">
        <f t="shared" si="3"/>
        <v>2023</v>
      </c>
      <c r="K1146" s="16">
        <f>STANDARDIZE(F1146,'estatística'!$C$2,'estatística'!$H$2)</f>
        <v>0.3488224867</v>
      </c>
    </row>
    <row r="1147" ht="15.75" customHeight="1">
      <c r="A1147" s="9">
        <v>51.0</v>
      </c>
      <c r="B1147" s="10" t="s">
        <v>205</v>
      </c>
      <c r="C1147" s="11" t="s">
        <v>206</v>
      </c>
      <c r="D1147" s="10" t="s">
        <v>13</v>
      </c>
      <c r="E1147" s="11" t="s">
        <v>18</v>
      </c>
      <c r="F1147" s="13">
        <v>50.85</v>
      </c>
      <c r="G1147" s="14">
        <v>45140.0</v>
      </c>
      <c r="H1147" s="15">
        <f t="shared" si="1"/>
        <v>2</v>
      </c>
      <c r="I1147" s="16">
        <f t="shared" si="2"/>
        <v>8</v>
      </c>
      <c r="J1147" s="15">
        <f t="shared" si="3"/>
        <v>2023</v>
      </c>
      <c r="K1147" s="16">
        <f>STANDARDIZE(F1147,'estatística'!$C$2,'estatística'!$H$2)</f>
        <v>0.6273740187</v>
      </c>
    </row>
    <row r="1148" ht="15.75" customHeight="1">
      <c r="A1148" s="9">
        <v>38.0</v>
      </c>
      <c r="B1148" s="10" t="s">
        <v>85</v>
      </c>
      <c r="C1148" s="11" t="s">
        <v>86</v>
      </c>
      <c r="D1148" s="10" t="s">
        <v>17</v>
      </c>
      <c r="E1148" s="11" t="s">
        <v>80</v>
      </c>
      <c r="F1148" s="13">
        <v>38.76</v>
      </c>
      <c r="G1148" s="14">
        <v>45140.0</v>
      </c>
      <c r="H1148" s="15">
        <f t="shared" si="1"/>
        <v>2</v>
      </c>
      <c r="I1148" s="16">
        <f t="shared" si="2"/>
        <v>8</v>
      </c>
      <c r="J1148" s="15">
        <f t="shared" si="3"/>
        <v>2023</v>
      </c>
      <c r="K1148" s="16">
        <f>STANDARDIZE(F1148,'estatística'!$C$2,'estatística'!$H$2)</f>
        <v>0.4742972905</v>
      </c>
    </row>
    <row r="1149" ht="15.75" customHeight="1">
      <c r="A1149" s="9">
        <v>24.0</v>
      </c>
      <c r="B1149" s="10" t="s">
        <v>110</v>
      </c>
      <c r="C1149" s="11" t="s">
        <v>111</v>
      </c>
      <c r="D1149" s="10" t="s">
        <v>13</v>
      </c>
      <c r="E1149" s="11" t="s">
        <v>80</v>
      </c>
      <c r="F1149" s="13">
        <v>41.04</v>
      </c>
      <c r="G1149" s="14">
        <v>45140.0</v>
      </c>
      <c r="H1149" s="15">
        <f t="shared" si="1"/>
        <v>2</v>
      </c>
      <c r="I1149" s="16">
        <f t="shared" si="2"/>
        <v>8</v>
      </c>
      <c r="J1149" s="15">
        <f t="shared" si="3"/>
        <v>2023</v>
      </c>
      <c r="K1149" s="16">
        <f>STANDARDIZE(F1149,'estatística'!$C$2,'estatística'!$H$2)</f>
        <v>0.5031653583</v>
      </c>
    </row>
    <row r="1150" ht="15.75" customHeight="1">
      <c r="A1150" s="9">
        <v>41.0</v>
      </c>
      <c r="B1150" s="10" t="s">
        <v>189</v>
      </c>
      <c r="C1150" s="11" t="s">
        <v>190</v>
      </c>
      <c r="D1150" s="10" t="s">
        <v>13</v>
      </c>
      <c r="E1150" s="11" t="s">
        <v>14</v>
      </c>
      <c r="F1150" s="13">
        <v>10.73</v>
      </c>
      <c r="G1150" s="14">
        <v>45140.0</v>
      </c>
      <c r="H1150" s="15">
        <f t="shared" si="1"/>
        <v>2</v>
      </c>
      <c r="I1150" s="16">
        <f t="shared" si="2"/>
        <v>8</v>
      </c>
      <c r="J1150" s="15">
        <f t="shared" si="3"/>
        <v>2023</v>
      </c>
      <c r="K1150" s="16">
        <f>STANDARDIZE(F1150,'estatística'!$C$2,'estatística'!$H$2)</f>
        <v>0.1193973158</v>
      </c>
    </row>
    <row r="1151" ht="15.75" customHeight="1">
      <c r="A1151" s="9">
        <v>26.0</v>
      </c>
      <c r="B1151" s="10" t="s">
        <v>183</v>
      </c>
      <c r="C1151" s="11" t="s">
        <v>184</v>
      </c>
      <c r="D1151" s="10" t="s">
        <v>17</v>
      </c>
      <c r="E1151" s="11" t="s">
        <v>24</v>
      </c>
      <c r="F1151" s="13">
        <v>17.49</v>
      </c>
      <c r="G1151" s="14">
        <v>45141.0</v>
      </c>
      <c r="H1151" s="15">
        <f t="shared" si="1"/>
        <v>3</v>
      </c>
      <c r="I1151" s="16">
        <f t="shared" si="2"/>
        <v>8</v>
      </c>
      <c r="J1151" s="15">
        <f t="shared" si="3"/>
        <v>2023</v>
      </c>
      <c r="K1151" s="16">
        <f>STANDARDIZE(F1151,'estatística'!$C$2,'estatística'!$H$2)</f>
        <v>0.2049886047</v>
      </c>
    </row>
    <row r="1152" ht="15.75" customHeight="1">
      <c r="A1152" s="9">
        <v>76.0</v>
      </c>
      <c r="B1152" s="10" t="s">
        <v>185</v>
      </c>
      <c r="C1152" s="11" t="s">
        <v>186</v>
      </c>
      <c r="D1152" s="10" t="s">
        <v>17</v>
      </c>
      <c r="E1152" s="11" t="s">
        <v>68</v>
      </c>
      <c r="F1152" s="13">
        <v>11.96</v>
      </c>
      <c r="G1152" s="14">
        <v>45142.0</v>
      </c>
      <c r="H1152" s="15">
        <f t="shared" si="1"/>
        <v>4</v>
      </c>
      <c r="I1152" s="16">
        <f t="shared" si="2"/>
        <v>8</v>
      </c>
      <c r="J1152" s="15">
        <f t="shared" si="3"/>
        <v>2023</v>
      </c>
      <c r="K1152" s="16">
        <f>STANDARDIZE(F1152,'estatística'!$C$2,'estatística'!$H$2)</f>
        <v>0.1349708787</v>
      </c>
    </row>
    <row r="1153" ht="15.75" customHeight="1">
      <c r="A1153" s="9">
        <v>49.0</v>
      </c>
      <c r="B1153" s="10" t="s">
        <v>151</v>
      </c>
      <c r="C1153" s="11" t="s">
        <v>152</v>
      </c>
      <c r="D1153" s="10" t="s">
        <v>17</v>
      </c>
      <c r="E1153" s="11" t="s">
        <v>68</v>
      </c>
      <c r="F1153" s="13">
        <v>15.14</v>
      </c>
      <c r="G1153" s="14">
        <v>45142.0</v>
      </c>
      <c r="H1153" s="15">
        <f t="shared" si="1"/>
        <v>4</v>
      </c>
      <c r="I1153" s="16">
        <f t="shared" si="2"/>
        <v>8</v>
      </c>
      <c r="J1153" s="15">
        <f t="shared" si="3"/>
        <v>2023</v>
      </c>
      <c r="K1153" s="16">
        <f>STANDARDIZE(F1153,'estatística'!$C$2,'estatística'!$H$2)</f>
        <v>0.1752342365</v>
      </c>
    </row>
    <row r="1154" ht="15.75" customHeight="1">
      <c r="A1154" s="9">
        <v>36.0</v>
      </c>
      <c r="B1154" s="10" t="s">
        <v>60</v>
      </c>
      <c r="C1154" s="11" t="s">
        <v>61</v>
      </c>
      <c r="D1154" s="10" t="s">
        <v>13</v>
      </c>
      <c r="E1154" s="11" t="s">
        <v>91</v>
      </c>
      <c r="F1154" s="13">
        <v>3.25</v>
      </c>
      <c r="G1154" s="14">
        <v>45142.0</v>
      </c>
      <c r="H1154" s="15">
        <f t="shared" si="1"/>
        <v>4</v>
      </c>
      <c r="I1154" s="16">
        <f t="shared" si="2"/>
        <v>8</v>
      </c>
      <c r="J1154" s="15">
        <f t="shared" si="3"/>
        <v>2023</v>
      </c>
      <c r="K1154" s="16">
        <f>STANDARDIZE(F1154,'estatística'!$C$2,'estatística'!$H$2)</f>
        <v>0.02468979488</v>
      </c>
    </row>
    <row r="1155" ht="15.75" customHeight="1">
      <c r="A1155" s="9">
        <v>40.0</v>
      </c>
      <c r="B1155" s="10" t="s">
        <v>92</v>
      </c>
      <c r="C1155" s="11" t="s">
        <v>157</v>
      </c>
      <c r="D1155" s="10" t="s">
        <v>17</v>
      </c>
      <c r="E1155" s="11" t="s">
        <v>91</v>
      </c>
      <c r="F1155" s="13">
        <v>2.62</v>
      </c>
      <c r="G1155" s="14">
        <v>45142.0</v>
      </c>
      <c r="H1155" s="15">
        <f t="shared" si="1"/>
        <v>4</v>
      </c>
      <c r="I1155" s="16">
        <f t="shared" si="2"/>
        <v>8</v>
      </c>
      <c r="J1155" s="15">
        <f t="shared" si="3"/>
        <v>2023</v>
      </c>
      <c r="K1155" s="16">
        <f>STANDARDIZE(F1155,'estatística'!$C$2,'estatística'!$H$2)</f>
        <v>0.01671309192</v>
      </c>
    </row>
    <row r="1156" ht="15.75" customHeight="1">
      <c r="A1156" s="9">
        <v>32.0</v>
      </c>
      <c r="B1156" s="10" t="s">
        <v>118</v>
      </c>
      <c r="C1156" s="11" t="s">
        <v>119</v>
      </c>
      <c r="D1156" s="10" t="s">
        <v>13</v>
      </c>
      <c r="E1156" s="11" t="s">
        <v>21</v>
      </c>
      <c r="F1156" s="13">
        <v>15.76</v>
      </c>
      <c r="G1156" s="14">
        <v>45142.0</v>
      </c>
      <c r="H1156" s="15">
        <f t="shared" si="1"/>
        <v>4</v>
      </c>
      <c r="I1156" s="16">
        <f t="shared" si="2"/>
        <v>8</v>
      </c>
      <c r="J1156" s="15">
        <f t="shared" si="3"/>
        <v>2023</v>
      </c>
      <c r="K1156" s="16">
        <f>STANDARDIZE(F1156,'estatística'!$C$2,'estatística'!$H$2)</f>
        <v>0.1830843251</v>
      </c>
    </row>
    <row r="1157" ht="15.75" customHeight="1">
      <c r="A1157" s="9">
        <v>63.0</v>
      </c>
      <c r="B1157" s="10" t="s">
        <v>197</v>
      </c>
      <c r="C1157" s="11" t="s">
        <v>198</v>
      </c>
      <c r="D1157" s="10" t="s">
        <v>13</v>
      </c>
      <c r="E1157" s="11" t="s">
        <v>21</v>
      </c>
      <c r="F1157" s="13">
        <v>13.41</v>
      </c>
      <c r="G1157" s="14">
        <v>45142.0</v>
      </c>
      <c r="H1157" s="15">
        <f t="shared" si="1"/>
        <v>4</v>
      </c>
      <c r="I1157" s="16">
        <f t="shared" si="2"/>
        <v>8</v>
      </c>
      <c r="J1157" s="15">
        <f t="shared" si="3"/>
        <v>2023</v>
      </c>
      <c r="K1157" s="16">
        <f>STANDARDIZE(F1157,'estatística'!$C$2,'estatística'!$H$2)</f>
        <v>0.153329957</v>
      </c>
    </row>
    <row r="1158" ht="15.75" customHeight="1">
      <c r="A1158" s="9">
        <v>4.0</v>
      </c>
      <c r="B1158" s="10" t="s">
        <v>87</v>
      </c>
      <c r="C1158" s="11" t="s">
        <v>88</v>
      </c>
      <c r="D1158" s="10" t="s">
        <v>13</v>
      </c>
      <c r="E1158" s="11" t="s">
        <v>14</v>
      </c>
      <c r="F1158" s="13">
        <v>10.69</v>
      </c>
      <c r="G1158" s="14">
        <v>45142.0</v>
      </c>
      <c r="H1158" s="15">
        <f t="shared" si="1"/>
        <v>4</v>
      </c>
      <c r="I1158" s="16">
        <f t="shared" si="2"/>
        <v>8</v>
      </c>
      <c r="J1158" s="15">
        <f t="shared" si="3"/>
        <v>2023</v>
      </c>
      <c r="K1158" s="16">
        <f>STANDARDIZE(F1158,'estatística'!$C$2,'estatística'!$H$2)</f>
        <v>0.1188908584</v>
      </c>
    </row>
    <row r="1159" ht="15.75" customHeight="1">
      <c r="A1159" s="9">
        <v>52.0</v>
      </c>
      <c r="B1159" s="10" t="s">
        <v>153</v>
      </c>
      <c r="C1159" s="11" t="s">
        <v>154</v>
      </c>
      <c r="D1159" s="10" t="s">
        <v>17</v>
      </c>
      <c r="E1159" s="11" t="s">
        <v>116</v>
      </c>
      <c r="F1159" s="13">
        <v>3.18</v>
      </c>
      <c r="G1159" s="14">
        <v>45143.0</v>
      </c>
      <c r="H1159" s="15">
        <f t="shared" si="1"/>
        <v>5</v>
      </c>
      <c r="I1159" s="16">
        <f t="shared" si="2"/>
        <v>8</v>
      </c>
      <c r="J1159" s="15">
        <f t="shared" si="3"/>
        <v>2023</v>
      </c>
      <c r="K1159" s="16">
        <f>STANDARDIZE(F1159,'estatística'!$C$2,'estatística'!$H$2)</f>
        <v>0.02380349456</v>
      </c>
    </row>
    <row r="1160" ht="15.75" customHeight="1">
      <c r="A1160" s="9">
        <v>83.0</v>
      </c>
      <c r="B1160" s="10" t="s">
        <v>66</v>
      </c>
      <c r="C1160" s="11" t="s">
        <v>67</v>
      </c>
      <c r="D1160" s="10" t="s">
        <v>13</v>
      </c>
      <c r="E1160" s="11" t="s">
        <v>39</v>
      </c>
      <c r="F1160" s="13">
        <v>43.63</v>
      </c>
      <c r="G1160" s="14">
        <v>45143.0</v>
      </c>
      <c r="H1160" s="15">
        <f t="shared" si="1"/>
        <v>5</v>
      </c>
      <c r="I1160" s="16">
        <f t="shared" si="2"/>
        <v>8</v>
      </c>
      <c r="J1160" s="15">
        <f t="shared" si="3"/>
        <v>2023</v>
      </c>
      <c r="K1160" s="16">
        <f>STANDARDIZE(F1160,'estatística'!$C$2,'estatística'!$H$2)</f>
        <v>0.5359584705</v>
      </c>
    </row>
    <row r="1161" ht="15.75" customHeight="1">
      <c r="A1161" s="9">
        <v>58.0</v>
      </c>
      <c r="B1161" s="10" t="s">
        <v>137</v>
      </c>
      <c r="C1161" s="11" t="s">
        <v>138</v>
      </c>
      <c r="D1161" s="10" t="s">
        <v>17</v>
      </c>
      <c r="E1161" s="11" t="s">
        <v>116</v>
      </c>
      <c r="F1161" s="13">
        <v>3.06</v>
      </c>
      <c r="G1161" s="14">
        <v>45143.0</v>
      </c>
      <c r="H1161" s="15">
        <f t="shared" si="1"/>
        <v>5</v>
      </c>
      <c r="I1161" s="16">
        <f t="shared" si="2"/>
        <v>8</v>
      </c>
      <c r="J1161" s="15">
        <f t="shared" si="3"/>
        <v>2023</v>
      </c>
      <c r="K1161" s="16">
        <f>STANDARDIZE(F1161,'estatística'!$C$2,'estatística'!$H$2)</f>
        <v>0.02228412256</v>
      </c>
    </row>
    <row r="1162" ht="15.75" customHeight="1">
      <c r="A1162" s="9">
        <v>88.0</v>
      </c>
      <c r="B1162" s="10" t="s">
        <v>172</v>
      </c>
      <c r="C1162" s="11" t="s">
        <v>178</v>
      </c>
      <c r="D1162" s="10" t="s">
        <v>17</v>
      </c>
      <c r="E1162" s="11" t="s">
        <v>68</v>
      </c>
      <c r="F1162" s="13">
        <v>14.16</v>
      </c>
      <c r="G1162" s="14">
        <v>45144.0</v>
      </c>
      <c r="H1162" s="15">
        <f t="shared" si="1"/>
        <v>6</v>
      </c>
      <c r="I1162" s="16">
        <f t="shared" si="2"/>
        <v>8</v>
      </c>
      <c r="J1162" s="15">
        <f t="shared" si="3"/>
        <v>2023</v>
      </c>
      <c r="K1162" s="16">
        <f>STANDARDIZE(F1162,'estatística'!$C$2,'estatística'!$H$2)</f>
        <v>0.1628260319</v>
      </c>
    </row>
    <row r="1163" ht="15.75" customHeight="1">
      <c r="A1163" s="9">
        <v>99.0</v>
      </c>
      <c r="B1163" s="10" t="s">
        <v>46</v>
      </c>
      <c r="C1163" s="11" t="s">
        <v>47</v>
      </c>
      <c r="D1163" s="10" t="s">
        <v>13</v>
      </c>
      <c r="E1163" s="11" t="s">
        <v>91</v>
      </c>
      <c r="F1163" s="13">
        <v>1.54</v>
      </c>
      <c r="G1163" s="14">
        <v>45144.0</v>
      </c>
      <c r="H1163" s="15">
        <f t="shared" si="1"/>
        <v>6</v>
      </c>
      <c r="I1163" s="16">
        <f t="shared" si="2"/>
        <v>8</v>
      </c>
      <c r="J1163" s="15">
        <f t="shared" si="3"/>
        <v>2023</v>
      </c>
      <c r="K1163" s="16">
        <f>STANDARDIZE(F1163,'estatística'!$C$2,'estatística'!$H$2)</f>
        <v>0.003038743986</v>
      </c>
    </row>
    <row r="1164" ht="15.75" customHeight="1">
      <c r="A1164" s="9">
        <v>38.0</v>
      </c>
      <c r="B1164" s="10" t="s">
        <v>85</v>
      </c>
      <c r="C1164" s="11" t="s">
        <v>86</v>
      </c>
      <c r="D1164" s="10" t="s">
        <v>17</v>
      </c>
      <c r="E1164" s="11" t="s">
        <v>29</v>
      </c>
      <c r="F1164" s="13">
        <v>12.87</v>
      </c>
      <c r="G1164" s="14">
        <v>45144.0</v>
      </c>
      <c r="H1164" s="15">
        <f t="shared" si="1"/>
        <v>6</v>
      </c>
      <c r="I1164" s="16">
        <f t="shared" si="2"/>
        <v>8</v>
      </c>
      <c r="J1164" s="15">
        <f t="shared" si="3"/>
        <v>2023</v>
      </c>
      <c r="K1164" s="16">
        <f>STANDARDIZE(F1164,'estatística'!$C$2,'estatística'!$H$2)</f>
        <v>0.146492783</v>
      </c>
    </row>
    <row r="1165" ht="15.75" customHeight="1">
      <c r="A1165" s="9">
        <v>57.0</v>
      </c>
      <c r="B1165" s="10" t="s">
        <v>60</v>
      </c>
      <c r="C1165" s="11" t="s">
        <v>162</v>
      </c>
      <c r="D1165" s="10" t="s">
        <v>13</v>
      </c>
      <c r="E1165" s="11" t="s">
        <v>116</v>
      </c>
      <c r="F1165" s="13">
        <v>4.75</v>
      </c>
      <c r="G1165" s="14">
        <v>45144.0</v>
      </c>
      <c r="H1165" s="15">
        <f t="shared" si="1"/>
        <v>6</v>
      </c>
      <c r="I1165" s="16">
        <f t="shared" si="2"/>
        <v>8</v>
      </c>
      <c r="J1165" s="15">
        <f t="shared" si="3"/>
        <v>2023</v>
      </c>
      <c r="K1165" s="16">
        <f>STANDARDIZE(F1165,'estatística'!$C$2,'estatística'!$H$2)</f>
        <v>0.0436819448</v>
      </c>
    </row>
    <row r="1166" ht="15.75" customHeight="1">
      <c r="A1166" s="9">
        <v>9.0</v>
      </c>
      <c r="B1166" s="10" t="s">
        <v>179</v>
      </c>
      <c r="C1166" s="11" t="s">
        <v>180</v>
      </c>
      <c r="D1166" s="10" t="s">
        <v>13</v>
      </c>
      <c r="E1166" s="11" t="s">
        <v>33</v>
      </c>
      <c r="F1166" s="13">
        <v>55.9</v>
      </c>
      <c r="G1166" s="14">
        <v>45144.0</v>
      </c>
      <c r="H1166" s="15">
        <f t="shared" si="1"/>
        <v>6</v>
      </c>
      <c r="I1166" s="16">
        <f t="shared" si="2"/>
        <v>8</v>
      </c>
      <c r="J1166" s="15">
        <f t="shared" si="3"/>
        <v>2023</v>
      </c>
      <c r="K1166" s="16">
        <f>STANDARDIZE(F1166,'estatística'!$C$2,'estatística'!$H$2)</f>
        <v>0.6913142568</v>
      </c>
    </row>
    <row r="1167" ht="15.75" customHeight="1">
      <c r="A1167" s="9">
        <v>26.0</v>
      </c>
      <c r="B1167" s="10" t="s">
        <v>183</v>
      </c>
      <c r="C1167" s="11" t="s">
        <v>184</v>
      </c>
      <c r="D1167" s="10" t="s">
        <v>13</v>
      </c>
      <c r="E1167" s="11" t="s">
        <v>65</v>
      </c>
      <c r="F1167" s="13">
        <v>37.15</v>
      </c>
      <c r="G1167" s="14">
        <v>45144.0</v>
      </c>
      <c r="H1167" s="15">
        <f t="shared" si="1"/>
        <v>6</v>
      </c>
      <c r="I1167" s="16">
        <f t="shared" si="2"/>
        <v>8</v>
      </c>
      <c r="J1167" s="15">
        <f t="shared" si="3"/>
        <v>2023</v>
      </c>
      <c r="K1167" s="16">
        <f>STANDARDIZE(F1167,'estatística'!$C$2,'estatística'!$H$2)</f>
        <v>0.4539123829</v>
      </c>
    </row>
    <row r="1168" ht="15.75" customHeight="1">
      <c r="A1168" s="9">
        <v>72.0</v>
      </c>
      <c r="B1168" s="10" t="s">
        <v>103</v>
      </c>
      <c r="C1168" s="11" t="s">
        <v>104</v>
      </c>
      <c r="D1168" s="10" t="s">
        <v>17</v>
      </c>
      <c r="E1168" s="11" t="s">
        <v>80</v>
      </c>
      <c r="F1168" s="13">
        <v>39.29</v>
      </c>
      <c r="G1168" s="14">
        <v>45144.0</v>
      </c>
      <c r="H1168" s="15">
        <f t="shared" si="1"/>
        <v>6</v>
      </c>
      <c r="I1168" s="16">
        <f t="shared" si="2"/>
        <v>8</v>
      </c>
      <c r="J1168" s="15">
        <f t="shared" si="3"/>
        <v>2023</v>
      </c>
      <c r="K1168" s="16">
        <f>STANDARDIZE(F1168,'estatística'!$C$2,'estatística'!$H$2)</f>
        <v>0.4810078501</v>
      </c>
    </row>
    <row r="1169" ht="15.75" customHeight="1">
      <c r="A1169" s="9">
        <v>54.0</v>
      </c>
      <c r="B1169" s="10" t="s">
        <v>55</v>
      </c>
      <c r="C1169" s="11" t="s">
        <v>56</v>
      </c>
      <c r="D1169" s="10" t="s">
        <v>13</v>
      </c>
      <c r="E1169" s="11" t="s">
        <v>57</v>
      </c>
      <c r="F1169" s="13">
        <v>20.13</v>
      </c>
      <c r="G1169" s="14">
        <v>45144.0</v>
      </c>
      <c r="H1169" s="15">
        <f t="shared" si="1"/>
        <v>6</v>
      </c>
      <c r="I1169" s="16">
        <f t="shared" si="2"/>
        <v>8</v>
      </c>
      <c r="J1169" s="15">
        <f t="shared" si="3"/>
        <v>2023</v>
      </c>
      <c r="K1169" s="16">
        <f>STANDARDIZE(F1169,'estatística'!$C$2,'estatística'!$H$2)</f>
        <v>0.2384147886</v>
      </c>
    </row>
    <row r="1170" ht="15.75" customHeight="1">
      <c r="A1170" s="9">
        <v>25.0</v>
      </c>
      <c r="B1170" s="10" t="s">
        <v>126</v>
      </c>
      <c r="C1170" s="11" t="s">
        <v>127</v>
      </c>
      <c r="D1170" s="10" t="s">
        <v>17</v>
      </c>
      <c r="E1170" s="11" t="s">
        <v>32</v>
      </c>
      <c r="F1170" s="13">
        <v>23.19</v>
      </c>
      <c r="G1170" s="14">
        <v>45144.0</v>
      </c>
      <c r="H1170" s="15">
        <f t="shared" si="1"/>
        <v>6</v>
      </c>
      <c r="I1170" s="16">
        <f t="shared" si="2"/>
        <v>8</v>
      </c>
      <c r="J1170" s="15">
        <f t="shared" si="3"/>
        <v>2023</v>
      </c>
      <c r="K1170" s="16">
        <f>STANDARDIZE(F1170,'estatística'!$C$2,'estatística'!$H$2)</f>
        <v>0.2771587744</v>
      </c>
    </row>
    <row r="1171" ht="15.75" customHeight="1">
      <c r="A1171" s="9">
        <v>90.0</v>
      </c>
      <c r="B1171" s="10" t="s">
        <v>191</v>
      </c>
      <c r="C1171" s="11" t="s">
        <v>192</v>
      </c>
      <c r="D1171" s="10" t="s">
        <v>13</v>
      </c>
      <c r="E1171" s="11" t="s">
        <v>48</v>
      </c>
      <c r="F1171" s="13">
        <v>15.65</v>
      </c>
      <c r="G1171" s="14">
        <v>45144.0</v>
      </c>
      <c r="H1171" s="15">
        <f t="shared" si="1"/>
        <v>6</v>
      </c>
      <c r="I1171" s="16">
        <f t="shared" si="2"/>
        <v>8</v>
      </c>
      <c r="J1171" s="15">
        <f t="shared" si="3"/>
        <v>2023</v>
      </c>
      <c r="K1171" s="16">
        <f>STANDARDIZE(F1171,'estatística'!$C$2,'estatística'!$H$2)</f>
        <v>0.1816915675</v>
      </c>
    </row>
    <row r="1172" ht="15.75" customHeight="1">
      <c r="A1172" s="9">
        <v>69.0</v>
      </c>
      <c r="B1172" s="10" t="s">
        <v>75</v>
      </c>
      <c r="C1172" s="11" t="s">
        <v>117</v>
      </c>
      <c r="D1172" s="10" t="s">
        <v>13</v>
      </c>
      <c r="E1172" s="11" t="s">
        <v>68</v>
      </c>
      <c r="F1172" s="13">
        <v>11.59</v>
      </c>
      <c r="G1172" s="14">
        <v>45144.0</v>
      </c>
      <c r="H1172" s="15">
        <f t="shared" si="1"/>
        <v>6</v>
      </c>
      <c r="I1172" s="16">
        <f t="shared" si="2"/>
        <v>8</v>
      </c>
      <c r="J1172" s="15">
        <f t="shared" si="3"/>
        <v>2023</v>
      </c>
      <c r="K1172" s="16">
        <f>STANDARDIZE(F1172,'estatística'!$C$2,'estatística'!$H$2)</f>
        <v>0.1302861484</v>
      </c>
    </row>
    <row r="1173" ht="15.75" customHeight="1">
      <c r="A1173" s="9">
        <v>80.0</v>
      </c>
      <c r="B1173" s="10" t="s">
        <v>22</v>
      </c>
      <c r="C1173" s="11" t="s">
        <v>23</v>
      </c>
      <c r="D1173" s="10" t="s">
        <v>17</v>
      </c>
      <c r="E1173" s="11" t="s">
        <v>57</v>
      </c>
      <c r="F1173" s="13">
        <v>21.04</v>
      </c>
      <c r="G1173" s="14">
        <v>45145.0</v>
      </c>
      <c r="H1173" s="15">
        <f t="shared" si="1"/>
        <v>7</v>
      </c>
      <c r="I1173" s="16">
        <f t="shared" si="2"/>
        <v>8</v>
      </c>
      <c r="J1173" s="15">
        <f t="shared" si="3"/>
        <v>2023</v>
      </c>
      <c r="K1173" s="16">
        <f>STANDARDIZE(F1173,'estatística'!$C$2,'estatística'!$H$2)</f>
        <v>0.2499366928</v>
      </c>
    </row>
    <row r="1174" ht="15.75" customHeight="1">
      <c r="A1174" s="9">
        <v>54.0</v>
      </c>
      <c r="B1174" s="10" t="s">
        <v>55</v>
      </c>
      <c r="C1174" s="11" t="s">
        <v>56</v>
      </c>
      <c r="D1174" s="10" t="s">
        <v>17</v>
      </c>
      <c r="E1174" s="11" t="s">
        <v>62</v>
      </c>
      <c r="F1174" s="13">
        <v>10.74</v>
      </c>
      <c r="G1174" s="14">
        <v>45145.0</v>
      </c>
      <c r="H1174" s="15">
        <f t="shared" si="1"/>
        <v>7</v>
      </c>
      <c r="I1174" s="16">
        <f t="shared" si="2"/>
        <v>8</v>
      </c>
      <c r="J1174" s="15">
        <f t="shared" si="3"/>
        <v>2023</v>
      </c>
      <c r="K1174" s="16">
        <f>STANDARDIZE(F1174,'estatística'!$C$2,'estatística'!$H$2)</f>
        <v>0.1195239301</v>
      </c>
    </row>
    <row r="1175" ht="15.75" customHeight="1">
      <c r="A1175" s="9">
        <v>13.0</v>
      </c>
      <c r="B1175" s="10" t="s">
        <v>108</v>
      </c>
      <c r="C1175" s="11" t="s">
        <v>109</v>
      </c>
      <c r="D1175" s="10" t="s">
        <v>13</v>
      </c>
      <c r="E1175" s="11" t="s">
        <v>36</v>
      </c>
      <c r="F1175" s="13">
        <v>64.94</v>
      </c>
      <c r="G1175" s="14">
        <v>45146.0</v>
      </c>
      <c r="H1175" s="15">
        <f t="shared" si="1"/>
        <v>8</v>
      </c>
      <c r="I1175" s="16">
        <f t="shared" si="2"/>
        <v>8</v>
      </c>
      <c r="J1175" s="15">
        <f t="shared" si="3"/>
        <v>2023</v>
      </c>
      <c r="K1175" s="16">
        <f>STANDARDIZE(F1175,'estatística'!$C$2,'estatística'!$H$2)</f>
        <v>0.8057736136</v>
      </c>
    </row>
    <row r="1176" ht="15.75" customHeight="1">
      <c r="A1176" s="9">
        <v>53.0</v>
      </c>
      <c r="B1176" s="10" t="s">
        <v>213</v>
      </c>
      <c r="C1176" s="11" t="s">
        <v>214</v>
      </c>
      <c r="D1176" s="10" t="s">
        <v>13</v>
      </c>
      <c r="E1176" s="11" t="s">
        <v>21</v>
      </c>
      <c r="F1176" s="13">
        <v>11.85</v>
      </c>
      <c r="G1176" s="14">
        <v>45146.0</v>
      </c>
      <c r="H1176" s="15">
        <f t="shared" si="1"/>
        <v>8</v>
      </c>
      <c r="I1176" s="16">
        <f t="shared" si="2"/>
        <v>8</v>
      </c>
      <c r="J1176" s="15">
        <f t="shared" si="3"/>
        <v>2023</v>
      </c>
      <c r="K1176" s="16">
        <f>STANDARDIZE(F1176,'estatística'!$C$2,'estatística'!$H$2)</f>
        <v>0.133578121</v>
      </c>
    </row>
    <row r="1177" ht="15.75" customHeight="1">
      <c r="A1177" s="9">
        <v>57.0</v>
      </c>
      <c r="B1177" s="10" t="s">
        <v>60</v>
      </c>
      <c r="C1177" s="11" t="s">
        <v>162</v>
      </c>
      <c r="D1177" s="10" t="s">
        <v>13</v>
      </c>
      <c r="E1177" s="11" t="s">
        <v>21</v>
      </c>
      <c r="F1177" s="13">
        <v>21.37</v>
      </c>
      <c r="G1177" s="14">
        <v>45146.0</v>
      </c>
      <c r="H1177" s="15">
        <f t="shared" si="1"/>
        <v>8</v>
      </c>
      <c r="I1177" s="16">
        <f t="shared" si="2"/>
        <v>8</v>
      </c>
      <c r="J1177" s="15">
        <f t="shared" si="3"/>
        <v>2023</v>
      </c>
      <c r="K1177" s="16">
        <f>STANDARDIZE(F1177,'estatística'!$C$2,'estatística'!$H$2)</f>
        <v>0.2541149658</v>
      </c>
    </row>
    <row r="1178" ht="15.75" customHeight="1">
      <c r="A1178" s="9">
        <v>40.0</v>
      </c>
      <c r="B1178" s="10" t="s">
        <v>92</v>
      </c>
      <c r="C1178" s="11" t="s">
        <v>157</v>
      </c>
      <c r="D1178" s="10" t="s">
        <v>13</v>
      </c>
      <c r="E1178" s="11" t="s">
        <v>107</v>
      </c>
      <c r="F1178" s="13">
        <v>30.76</v>
      </c>
      <c r="G1178" s="14">
        <v>45146.0</v>
      </c>
      <c r="H1178" s="15">
        <f t="shared" si="1"/>
        <v>8</v>
      </c>
      <c r="I1178" s="16">
        <f t="shared" si="2"/>
        <v>8</v>
      </c>
      <c r="J1178" s="15">
        <f t="shared" si="3"/>
        <v>2023</v>
      </c>
      <c r="K1178" s="16">
        <f>STANDARDIZE(F1178,'estatística'!$C$2,'estatística'!$H$2)</f>
        <v>0.3730058243</v>
      </c>
    </row>
    <row r="1179" ht="15.75" customHeight="1">
      <c r="A1179" s="9">
        <v>16.0</v>
      </c>
      <c r="B1179" s="10" t="s">
        <v>147</v>
      </c>
      <c r="C1179" s="11" t="s">
        <v>148</v>
      </c>
      <c r="D1179" s="10" t="s">
        <v>17</v>
      </c>
      <c r="E1179" s="11" t="s">
        <v>116</v>
      </c>
      <c r="F1179" s="13">
        <v>5.34</v>
      </c>
      <c r="G1179" s="14">
        <v>45146.0</v>
      </c>
      <c r="H1179" s="15">
        <f t="shared" si="1"/>
        <v>8</v>
      </c>
      <c r="I1179" s="16">
        <f t="shared" si="2"/>
        <v>8</v>
      </c>
      <c r="J1179" s="15">
        <f t="shared" si="3"/>
        <v>2023</v>
      </c>
      <c r="K1179" s="16">
        <f>STANDARDIZE(F1179,'estatística'!$C$2,'estatística'!$H$2)</f>
        <v>0.05115219043</v>
      </c>
    </row>
    <row r="1180" ht="15.75" customHeight="1">
      <c r="A1180" s="9">
        <v>30.0</v>
      </c>
      <c r="B1180" s="10" t="s">
        <v>11</v>
      </c>
      <c r="C1180" s="11" t="s">
        <v>12</v>
      </c>
      <c r="D1180" s="10" t="s">
        <v>17</v>
      </c>
      <c r="E1180" s="11" t="s">
        <v>14</v>
      </c>
      <c r="F1180" s="13">
        <v>10.16</v>
      </c>
      <c r="G1180" s="14">
        <v>45146.0</v>
      </c>
      <c r="H1180" s="15">
        <f t="shared" si="1"/>
        <v>8</v>
      </c>
      <c r="I1180" s="16">
        <f t="shared" si="2"/>
        <v>8</v>
      </c>
      <c r="J1180" s="15">
        <f t="shared" si="3"/>
        <v>2023</v>
      </c>
      <c r="K1180" s="16">
        <f>STANDARDIZE(F1180,'estatística'!$C$2,'estatística'!$H$2)</f>
        <v>0.1121802988</v>
      </c>
    </row>
    <row r="1181" ht="15.75" customHeight="1">
      <c r="A1181" s="9">
        <v>32.0</v>
      </c>
      <c r="B1181" s="10" t="s">
        <v>118</v>
      </c>
      <c r="C1181" s="11" t="s">
        <v>119</v>
      </c>
      <c r="D1181" s="10" t="s">
        <v>13</v>
      </c>
      <c r="E1181" s="11" t="s">
        <v>107</v>
      </c>
      <c r="F1181" s="13">
        <v>29.83</v>
      </c>
      <c r="G1181" s="14">
        <v>45146.0</v>
      </c>
      <c r="H1181" s="15">
        <f t="shared" si="1"/>
        <v>8</v>
      </c>
      <c r="I1181" s="16">
        <f t="shared" si="2"/>
        <v>8</v>
      </c>
      <c r="J1181" s="15">
        <f t="shared" si="3"/>
        <v>2023</v>
      </c>
      <c r="K1181" s="16">
        <f>STANDARDIZE(F1181,'estatística'!$C$2,'estatística'!$H$2)</f>
        <v>0.3612306913</v>
      </c>
    </row>
    <row r="1182" ht="15.75" customHeight="1">
      <c r="A1182" s="9">
        <v>34.0</v>
      </c>
      <c r="B1182" s="10" t="s">
        <v>149</v>
      </c>
      <c r="C1182" s="11" t="s">
        <v>150</v>
      </c>
      <c r="D1182" s="10" t="s">
        <v>13</v>
      </c>
      <c r="E1182" s="11" t="s">
        <v>18</v>
      </c>
      <c r="F1182" s="13">
        <v>36.46</v>
      </c>
      <c r="G1182" s="14">
        <v>45147.0</v>
      </c>
      <c r="H1182" s="15">
        <f t="shared" si="1"/>
        <v>9</v>
      </c>
      <c r="I1182" s="16">
        <f t="shared" si="2"/>
        <v>8</v>
      </c>
      <c r="J1182" s="15">
        <f t="shared" si="3"/>
        <v>2023</v>
      </c>
      <c r="K1182" s="16">
        <f>STANDARDIZE(F1182,'estatística'!$C$2,'estatística'!$H$2)</f>
        <v>0.4451759939</v>
      </c>
    </row>
    <row r="1183" ht="15.75" customHeight="1">
      <c r="A1183" s="9">
        <v>63.0</v>
      </c>
      <c r="B1183" s="10" t="s">
        <v>197</v>
      </c>
      <c r="C1183" s="11" t="s">
        <v>198</v>
      </c>
      <c r="D1183" s="10" t="s">
        <v>13</v>
      </c>
      <c r="E1183" s="11" t="s">
        <v>29</v>
      </c>
      <c r="F1183" s="13">
        <v>12.21</v>
      </c>
      <c r="G1183" s="14">
        <v>45147.0</v>
      </c>
      <c r="H1183" s="15">
        <f t="shared" si="1"/>
        <v>9</v>
      </c>
      <c r="I1183" s="16">
        <f t="shared" si="2"/>
        <v>8</v>
      </c>
      <c r="J1183" s="15">
        <f t="shared" si="3"/>
        <v>2023</v>
      </c>
      <c r="K1183" s="16">
        <f>STANDARDIZE(F1183,'estatística'!$C$2,'estatística'!$H$2)</f>
        <v>0.138136237</v>
      </c>
    </row>
    <row r="1184" ht="15.75" customHeight="1">
      <c r="A1184" s="9">
        <v>30.0</v>
      </c>
      <c r="B1184" s="10" t="s">
        <v>11</v>
      </c>
      <c r="C1184" s="11" t="s">
        <v>12</v>
      </c>
      <c r="D1184" s="10" t="s">
        <v>13</v>
      </c>
      <c r="E1184" s="11" t="s">
        <v>68</v>
      </c>
      <c r="F1184" s="13">
        <v>14.8</v>
      </c>
      <c r="G1184" s="14">
        <v>45147.0</v>
      </c>
      <c r="H1184" s="15">
        <f t="shared" si="1"/>
        <v>9</v>
      </c>
      <c r="I1184" s="16">
        <f t="shared" si="2"/>
        <v>8</v>
      </c>
      <c r="J1184" s="15">
        <f t="shared" si="3"/>
        <v>2023</v>
      </c>
      <c r="K1184" s="16">
        <f>STANDARDIZE(F1184,'estatística'!$C$2,'estatística'!$H$2)</f>
        <v>0.1709293492</v>
      </c>
    </row>
    <row r="1185" ht="15.75" customHeight="1">
      <c r="A1185" s="9">
        <v>46.0</v>
      </c>
      <c r="B1185" s="10" t="s">
        <v>114</v>
      </c>
      <c r="C1185" s="11" t="s">
        <v>115</v>
      </c>
      <c r="D1185" s="10" t="s">
        <v>13</v>
      </c>
      <c r="E1185" s="11" t="s">
        <v>77</v>
      </c>
      <c r="F1185" s="13">
        <v>14.56</v>
      </c>
      <c r="G1185" s="14">
        <v>45147.0</v>
      </c>
      <c r="H1185" s="15">
        <f t="shared" si="1"/>
        <v>9</v>
      </c>
      <c r="I1185" s="16">
        <f t="shared" si="2"/>
        <v>8</v>
      </c>
      <c r="J1185" s="15">
        <f t="shared" si="3"/>
        <v>2023</v>
      </c>
      <c r="K1185" s="16">
        <f>STANDARDIZE(F1185,'estatística'!$C$2,'estatística'!$H$2)</f>
        <v>0.1678906052</v>
      </c>
    </row>
    <row r="1186" ht="15.75" customHeight="1">
      <c r="A1186" s="9">
        <v>59.0</v>
      </c>
      <c r="B1186" s="10" t="s">
        <v>71</v>
      </c>
      <c r="C1186" s="11" t="s">
        <v>72</v>
      </c>
      <c r="D1186" s="10" t="s">
        <v>17</v>
      </c>
      <c r="E1186" s="11" t="s">
        <v>27</v>
      </c>
      <c r="F1186" s="13">
        <v>16.36</v>
      </c>
      <c r="G1186" s="14">
        <v>45147.0</v>
      </c>
      <c r="H1186" s="15">
        <f t="shared" si="1"/>
        <v>9</v>
      </c>
      <c r="I1186" s="16">
        <f t="shared" si="2"/>
        <v>8</v>
      </c>
      <c r="J1186" s="15">
        <f t="shared" si="3"/>
        <v>2023</v>
      </c>
      <c r="K1186" s="16">
        <f>STANDARDIZE(F1186,'estatística'!$C$2,'estatística'!$H$2)</f>
        <v>0.1906811851</v>
      </c>
    </row>
    <row r="1187" ht="15.75" customHeight="1">
      <c r="A1187" s="9">
        <v>91.0</v>
      </c>
      <c r="B1187" s="10" t="s">
        <v>81</v>
      </c>
      <c r="C1187" s="11" t="s">
        <v>82</v>
      </c>
      <c r="D1187" s="10" t="s">
        <v>13</v>
      </c>
      <c r="E1187" s="11" t="s">
        <v>27</v>
      </c>
      <c r="F1187" s="13">
        <v>18.89</v>
      </c>
      <c r="G1187" s="14">
        <v>45148.0</v>
      </c>
      <c r="H1187" s="15">
        <f t="shared" si="1"/>
        <v>10</v>
      </c>
      <c r="I1187" s="16">
        <f t="shared" si="2"/>
        <v>8</v>
      </c>
      <c r="J1187" s="15">
        <f t="shared" si="3"/>
        <v>2023</v>
      </c>
      <c r="K1187" s="16">
        <f>STANDARDIZE(F1187,'estatística'!$C$2,'estatística'!$H$2)</f>
        <v>0.2227146113</v>
      </c>
    </row>
    <row r="1188" ht="15.75" customHeight="1">
      <c r="A1188" s="9">
        <v>84.0</v>
      </c>
      <c r="B1188" s="10" t="s">
        <v>112</v>
      </c>
      <c r="C1188" s="11" t="s">
        <v>113</v>
      </c>
      <c r="D1188" s="10" t="s">
        <v>13</v>
      </c>
      <c r="E1188" s="11" t="s">
        <v>80</v>
      </c>
      <c r="F1188" s="13">
        <v>40.85</v>
      </c>
      <c r="G1188" s="14">
        <v>45148.0</v>
      </c>
      <c r="H1188" s="15">
        <f t="shared" si="1"/>
        <v>10</v>
      </c>
      <c r="I1188" s="16">
        <f t="shared" si="2"/>
        <v>8</v>
      </c>
      <c r="J1188" s="15">
        <f t="shared" si="3"/>
        <v>2023</v>
      </c>
      <c r="K1188" s="16">
        <f>STANDARDIZE(F1188,'estatística'!$C$2,'estatística'!$H$2)</f>
        <v>0.500759686</v>
      </c>
    </row>
    <row r="1189" ht="15.75" customHeight="1">
      <c r="A1189" s="9">
        <v>20.0</v>
      </c>
      <c r="B1189" s="10" t="s">
        <v>133</v>
      </c>
      <c r="C1189" s="11" t="s">
        <v>134</v>
      </c>
      <c r="D1189" s="10" t="s">
        <v>13</v>
      </c>
      <c r="E1189" s="11" t="s">
        <v>65</v>
      </c>
      <c r="F1189" s="13">
        <v>26.58</v>
      </c>
      <c r="G1189" s="14">
        <v>45148.0</v>
      </c>
      <c r="H1189" s="15">
        <f t="shared" si="1"/>
        <v>10</v>
      </c>
      <c r="I1189" s="16">
        <f t="shared" si="2"/>
        <v>8</v>
      </c>
      <c r="J1189" s="15">
        <f t="shared" si="3"/>
        <v>2023</v>
      </c>
      <c r="K1189" s="16">
        <f>STANDARDIZE(F1189,'estatística'!$C$2,'estatística'!$H$2)</f>
        <v>0.3200810332</v>
      </c>
    </row>
    <row r="1190" ht="15.75" customHeight="1">
      <c r="A1190" s="9">
        <v>80.0</v>
      </c>
      <c r="B1190" s="10" t="s">
        <v>22</v>
      </c>
      <c r="C1190" s="11" t="s">
        <v>23</v>
      </c>
      <c r="D1190" s="10" t="s">
        <v>13</v>
      </c>
      <c r="E1190" s="11" t="s">
        <v>57</v>
      </c>
      <c r="F1190" s="13">
        <v>17.42</v>
      </c>
      <c r="G1190" s="14">
        <v>45148.0</v>
      </c>
      <c r="H1190" s="15">
        <f t="shared" si="1"/>
        <v>10</v>
      </c>
      <c r="I1190" s="16">
        <f t="shared" si="2"/>
        <v>8</v>
      </c>
      <c r="J1190" s="15">
        <f t="shared" si="3"/>
        <v>2023</v>
      </c>
      <c r="K1190" s="16">
        <f>STANDARDIZE(F1190,'estatística'!$C$2,'estatística'!$H$2)</f>
        <v>0.2041023044</v>
      </c>
    </row>
    <row r="1191" ht="15.75" customHeight="1">
      <c r="A1191" s="9">
        <v>66.0</v>
      </c>
      <c r="B1191" s="10" t="s">
        <v>122</v>
      </c>
      <c r="C1191" s="11" t="s">
        <v>130</v>
      </c>
      <c r="D1191" s="10" t="s">
        <v>13</v>
      </c>
      <c r="E1191" s="11" t="s">
        <v>116</v>
      </c>
      <c r="F1191" s="13">
        <v>3.66</v>
      </c>
      <c r="G1191" s="14">
        <v>45148.0</v>
      </c>
      <c r="H1191" s="15">
        <f t="shared" si="1"/>
        <v>10</v>
      </c>
      <c r="I1191" s="16">
        <f t="shared" si="2"/>
        <v>8</v>
      </c>
      <c r="J1191" s="15">
        <f t="shared" si="3"/>
        <v>2023</v>
      </c>
      <c r="K1191" s="16">
        <f>STANDARDIZE(F1191,'estatística'!$C$2,'estatística'!$H$2)</f>
        <v>0.02988098253</v>
      </c>
    </row>
    <row r="1192" ht="15.75" customHeight="1">
      <c r="A1192" s="9">
        <v>53.0</v>
      </c>
      <c r="B1192" s="10" t="s">
        <v>213</v>
      </c>
      <c r="C1192" s="11" t="s">
        <v>214</v>
      </c>
      <c r="D1192" s="10" t="s">
        <v>17</v>
      </c>
      <c r="E1192" s="11" t="s">
        <v>107</v>
      </c>
      <c r="F1192" s="13">
        <v>29.75</v>
      </c>
      <c r="G1192" s="14">
        <v>45148.0</v>
      </c>
      <c r="H1192" s="15">
        <f t="shared" si="1"/>
        <v>10</v>
      </c>
      <c r="I1192" s="16">
        <f t="shared" si="2"/>
        <v>8</v>
      </c>
      <c r="J1192" s="15">
        <f t="shared" si="3"/>
        <v>2023</v>
      </c>
      <c r="K1192" s="16">
        <f>STANDARDIZE(F1192,'estatística'!$C$2,'estatística'!$H$2)</f>
        <v>0.3602177767</v>
      </c>
    </row>
    <row r="1193" ht="15.75" customHeight="1">
      <c r="A1193" s="9">
        <v>98.0</v>
      </c>
      <c r="B1193" s="10" t="s">
        <v>131</v>
      </c>
      <c r="C1193" s="11" t="s">
        <v>168</v>
      </c>
      <c r="D1193" s="10" t="s">
        <v>13</v>
      </c>
      <c r="E1193" s="11" t="s">
        <v>116</v>
      </c>
      <c r="F1193" s="13">
        <v>5.0</v>
      </c>
      <c r="G1193" s="14">
        <v>45148.0</v>
      </c>
      <c r="H1193" s="15">
        <f t="shared" si="1"/>
        <v>10</v>
      </c>
      <c r="I1193" s="16">
        <f t="shared" si="2"/>
        <v>8</v>
      </c>
      <c r="J1193" s="15">
        <f t="shared" si="3"/>
        <v>2023</v>
      </c>
      <c r="K1193" s="16">
        <f>STANDARDIZE(F1193,'estatística'!$C$2,'estatística'!$H$2)</f>
        <v>0.04684730311</v>
      </c>
    </row>
    <row r="1194" ht="15.75" customHeight="1">
      <c r="A1194" s="9">
        <v>54.0</v>
      </c>
      <c r="B1194" s="10" t="s">
        <v>55</v>
      </c>
      <c r="C1194" s="11" t="s">
        <v>56</v>
      </c>
      <c r="D1194" s="10" t="s">
        <v>17</v>
      </c>
      <c r="E1194" s="11" t="s">
        <v>18</v>
      </c>
      <c r="F1194" s="13">
        <v>45.16</v>
      </c>
      <c r="G1194" s="14">
        <v>45148.0</v>
      </c>
      <c r="H1194" s="15">
        <f t="shared" si="1"/>
        <v>10</v>
      </c>
      <c r="I1194" s="16">
        <f t="shared" si="2"/>
        <v>8</v>
      </c>
      <c r="J1194" s="15">
        <f t="shared" si="3"/>
        <v>2023</v>
      </c>
      <c r="K1194" s="16">
        <f>STANDARDIZE(F1194,'estatística'!$C$2,'estatística'!$H$2)</f>
        <v>0.5553304634</v>
      </c>
    </row>
    <row r="1195" ht="15.75" customHeight="1">
      <c r="A1195" s="9">
        <v>79.0</v>
      </c>
      <c r="B1195" s="10" t="s">
        <v>69</v>
      </c>
      <c r="C1195" s="11" t="s">
        <v>70</v>
      </c>
      <c r="D1195" s="10" t="s">
        <v>17</v>
      </c>
      <c r="E1195" s="11" t="s">
        <v>107</v>
      </c>
      <c r="F1195" s="13">
        <v>29.87</v>
      </c>
      <c r="G1195" s="14">
        <v>45148.0</v>
      </c>
      <c r="H1195" s="15">
        <f t="shared" si="1"/>
        <v>10</v>
      </c>
      <c r="I1195" s="16">
        <f t="shared" si="2"/>
        <v>8</v>
      </c>
      <c r="J1195" s="15">
        <f t="shared" si="3"/>
        <v>2023</v>
      </c>
      <c r="K1195" s="16">
        <f>STANDARDIZE(F1195,'estatística'!$C$2,'estatística'!$H$2)</f>
        <v>0.3617371486</v>
      </c>
    </row>
    <row r="1196" ht="15.75" customHeight="1">
      <c r="A1196" s="9">
        <v>11.0</v>
      </c>
      <c r="B1196" s="10" t="s">
        <v>199</v>
      </c>
      <c r="C1196" s="11" t="s">
        <v>200</v>
      </c>
      <c r="D1196" s="10" t="s">
        <v>17</v>
      </c>
      <c r="E1196" s="11" t="s">
        <v>91</v>
      </c>
      <c r="F1196" s="13">
        <v>4.38</v>
      </c>
      <c r="G1196" s="14">
        <v>45148.0</v>
      </c>
      <c r="H1196" s="15">
        <f t="shared" si="1"/>
        <v>10</v>
      </c>
      <c r="I1196" s="16">
        <f t="shared" si="2"/>
        <v>8</v>
      </c>
      <c r="J1196" s="15">
        <f t="shared" si="3"/>
        <v>2023</v>
      </c>
      <c r="K1196" s="16">
        <f>STANDARDIZE(F1196,'estatística'!$C$2,'estatística'!$H$2)</f>
        <v>0.03899721448</v>
      </c>
    </row>
    <row r="1197" ht="15.75" customHeight="1">
      <c r="A1197" s="9">
        <v>6.0</v>
      </c>
      <c r="B1197" s="10" t="s">
        <v>155</v>
      </c>
      <c r="C1197" s="11" t="s">
        <v>156</v>
      </c>
      <c r="D1197" s="10" t="s">
        <v>17</v>
      </c>
      <c r="E1197" s="11" t="s">
        <v>107</v>
      </c>
      <c r="F1197" s="13">
        <v>27.43</v>
      </c>
      <c r="G1197" s="14">
        <v>45148.0</v>
      </c>
      <c r="H1197" s="15">
        <f t="shared" si="1"/>
        <v>10</v>
      </c>
      <c r="I1197" s="16">
        <f t="shared" si="2"/>
        <v>8</v>
      </c>
      <c r="J1197" s="15">
        <f t="shared" si="3"/>
        <v>2023</v>
      </c>
      <c r="K1197" s="16">
        <f>STANDARDIZE(F1197,'estatística'!$C$2,'estatística'!$H$2)</f>
        <v>0.3308432515</v>
      </c>
    </row>
    <row r="1198" ht="15.75" customHeight="1">
      <c r="A1198" s="9">
        <v>12.0</v>
      </c>
      <c r="B1198" s="10" t="s">
        <v>160</v>
      </c>
      <c r="C1198" s="11" t="s">
        <v>161</v>
      </c>
      <c r="D1198" s="10" t="s">
        <v>17</v>
      </c>
      <c r="E1198" s="11" t="s">
        <v>14</v>
      </c>
      <c r="F1198" s="13">
        <v>10.14</v>
      </c>
      <c r="G1198" s="14">
        <v>45148.0</v>
      </c>
      <c r="H1198" s="15">
        <f t="shared" si="1"/>
        <v>10</v>
      </c>
      <c r="I1198" s="16">
        <f t="shared" si="2"/>
        <v>8</v>
      </c>
      <c r="J1198" s="15">
        <f t="shared" si="3"/>
        <v>2023</v>
      </c>
      <c r="K1198" s="16">
        <f>STANDARDIZE(F1198,'estatística'!$C$2,'estatística'!$H$2)</f>
        <v>0.1119270701</v>
      </c>
    </row>
    <row r="1199" ht="15.75" customHeight="1">
      <c r="A1199" s="9">
        <v>36.0</v>
      </c>
      <c r="B1199" s="10" t="s">
        <v>60</v>
      </c>
      <c r="C1199" s="11" t="s">
        <v>61</v>
      </c>
      <c r="D1199" s="10" t="s">
        <v>13</v>
      </c>
      <c r="E1199" s="11" t="s">
        <v>33</v>
      </c>
      <c r="F1199" s="13">
        <v>68.3</v>
      </c>
      <c r="G1199" s="14">
        <v>45148.0</v>
      </c>
      <c r="H1199" s="15">
        <f t="shared" si="1"/>
        <v>10</v>
      </c>
      <c r="I1199" s="16">
        <f t="shared" si="2"/>
        <v>8</v>
      </c>
      <c r="J1199" s="15">
        <f t="shared" si="3"/>
        <v>2023</v>
      </c>
      <c r="K1199" s="16">
        <f>STANDARDIZE(F1199,'estatística'!$C$2,'estatística'!$H$2)</f>
        <v>0.8483160294</v>
      </c>
    </row>
    <row r="1200" ht="15.75" customHeight="1">
      <c r="A1200" s="9">
        <v>26.0</v>
      </c>
      <c r="B1200" s="10" t="s">
        <v>183</v>
      </c>
      <c r="C1200" s="11" t="s">
        <v>184</v>
      </c>
      <c r="D1200" s="10" t="s">
        <v>13</v>
      </c>
      <c r="E1200" s="11" t="s">
        <v>21</v>
      </c>
      <c r="F1200" s="13">
        <v>15.51</v>
      </c>
      <c r="G1200" s="14">
        <v>45149.0</v>
      </c>
      <c r="H1200" s="15">
        <f t="shared" si="1"/>
        <v>11</v>
      </c>
      <c r="I1200" s="16">
        <f t="shared" si="2"/>
        <v>8</v>
      </c>
      <c r="J1200" s="15">
        <f t="shared" si="3"/>
        <v>2023</v>
      </c>
      <c r="K1200" s="16">
        <f>STANDARDIZE(F1200,'estatística'!$C$2,'estatística'!$H$2)</f>
        <v>0.1799189668</v>
      </c>
    </row>
    <row r="1201" ht="15.75" customHeight="1">
      <c r="A1201" s="9">
        <v>79.0</v>
      </c>
      <c r="B1201" s="10" t="s">
        <v>69</v>
      </c>
      <c r="C1201" s="11" t="s">
        <v>70</v>
      </c>
      <c r="D1201" s="10" t="s">
        <v>17</v>
      </c>
      <c r="E1201" s="11" t="s">
        <v>14</v>
      </c>
      <c r="F1201" s="13">
        <v>10.83</v>
      </c>
      <c r="G1201" s="14">
        <v>45149.0</v>
      </c>
      <c r="H1201" s="15">
        <f t="shared" si="1"/>
        <v>11</v>
      </c>
      <c r="I1201" s="16">
        <f t="shared" si="2"/>
        <v>8</v>
      </c>
      <c r="J1201" s="15">
        <f t="shared" si="3"/>
        <v>2023</v>
      </c>
      <c r="K1201" s="16">
        <f>STANDARDIZE(F1201,'estatística'!$C$2,'estatística'!$H$2)</f>
        <v>0.1206634591</v>
      </c>
    </row>
    <row r="1202" ht="15.75" customHeight="1">
      <c r="A1202" s="9">
        <v>8.0</v>
      </c>
      <c r="B1202" s="10" t="s">
        <v>75</v>
      </c>
      <c r="C1202" s="11" t="s">
        <v>76</v>
      </c>
      <c r="D1202" s="10" t="s">
        <v>17</v>
      </c>
      <c r="E1202" s="11" t="s">
        <v>68</v>
      </c>
      <c r="F1202" s="13">
        <v>11.25</v>
      </c>
      <c r="G1202" s="14">
        <v>45149.0</v>
      </c>
      <c r="H1202" s="15">
        <f t="shared" si="1"/>
        <v>11</v>
      </c>
      <c r="I1202" s="16">
        <f t="shared" si="2"/>
        <v>8</v>
      </c>
      <c r="J1202" s="15">
        <f t="shared" si="3"/>
        <v>2023</v>
      </c>
      <c r="K1202" s="16">
        <f>STANDARDIZE(F1202,'estatística'!$C$2,'estatística'!$H$2)</f>
        <v>0.1259812611</v>
      </c>
    </row>
    <row r="1203" ht="15.75" customHeight="1">
      <c r="A1203" s="9">
        <v>86.0</v>
      </c>
      <c r="B1203" s="10" t="s">
        <v>40</v>
      </c>
      <c r="C1203" s="11" t="s">
        <v>41</v>
      </c>
      <c r="D1203" s="10" t="s">
        <v>17</v>
      </c>
      <c r="E1203" s="11" t="s">
        <v>62</v>
      </c>
      <c r="F1203" s="13">
        <v>11.62</v>
      </c>
      <c r="G1203" s="14">
        <v>45149.0</v>
      </c>
      <c r="H1203" s="15">
        <f t="shared" si="1"/>
        <v>11</v>
      </c>
      <c r="I1203" s="16">
        <f t="shared" si="2"/>
        <v>8</v>
      </c>
      <c r="J1203" s="15">
        <f t="shared" si="3"/>
        <v>2023</v>
      </c>
      <c r="K1203" s="16">
        <f>STANDARDIZE(F1203,'estatística'!$C$2,'estatística'!$H$2)</f>
        <v>0.1306659914</v>
      </c>
    </row>
    <row r="1204" ht="15.75" customHeight="1">
      <c r="A1204" s="9">
        <v>31.0</v>
      </c>
      <c r="B1204" s="10" t="s">
        <v>201</v>
      </c>
      <c r="C1204" s="11" t="s">
        <v>202</v>
      </c>
      <c r="D1204" s="10" t="s">
        <v>17</v>
      </c>
      <c r="E1204" s="11" t="s">
        <v>39</v>
      </c>
      <c r="F1204" s="13">
        <v>46.29</v>
      </c>
      <c r="G1204" s="14">
        <v>45149.0</v>
      </c>
      <c r="H1204" s="15">
        <f t="shared" si="1"/>
        <v>11</v>
      </c>
      <c r="I1204" s="16">
        <f t="shared" si="2"/>
        <v>8</v>
      </c>
      <c r="J1204" s="15">
        <f t="shared" si="3"/>
        <v>2023</v>
      </c>
      <c r="K1204" s="16">
        <f>STANDARDIZE(F1204,'estatística'!$C$2,'estatística'!$H$2)</f>
        <v>0.569637883</v>
      </c>
    </row>
    <row r="1205" ht="15.75" customHeight="1">
      <c r="A1205" s="9">
        <v>83.0</v>
      </c>
      <c r="B1205" s="10" t="s">
        <v>66</v>
      </c>
      <c r="C1205" s="11" t="s">
        <v>67</v>
      </c>
      <c r="D1205" s="10" t="s">
        <v>17</v>
      </c>
      <c r="E1205" s="11" t="s">
        <v>107</v>
      </c>
      <c r="F1205" s="13">
        <v>32.03</v>
      </c>
      <c r="G1205" s="14">
        <v>45150.0</v>
      </c>
      <c r="H1205" s="15">
        <f t="shared" si="1"/>
        <v>12</v>
      </c>
      <c r="I1205" s="16">
        <f t="shared" si="2"/>
        <v>8</v>
      </c>
      <c r="J1205" s="15">
        <f t="shared" si="3"/>
        <v>2023</v>
      </c>
      <c r="K1205" s="16">
        <f>STANDARDIZE(F1205,'estatística'!$C$2,'estatística'!$H$2)</f>
        <v>0.3890858445</v>
      </c>
    </row>
    <row r="1206" ht="15.75" customHeight="1">
      <c r="A1206" s="9">
        <v>32.0</v>
      </c>
      <c r="B1206" s="10" t="s">
        <v>118</v>
      </c>
      <c r="C1206" s="11" t="s">
        <v>119</v>
      </c>
      <c r="D1206" s="10" t="s">
        <v>13</v>
      </c>
      <c r="E1206" s="11" t="s">
        <v>32</v>
      </c>
      <c r="F1206" s="13">
        <v>21.86</v>
      </c>
      <c r="G1206" s="14">
        <v>45150.0</v>
      </c>
      <c r="H1206" s="15">
        <f t="shared" si="1"/>
        <v>12</v>
      </c>
      <c r="I1206" s="16">
        <f t="shared" si="2"/>
        <v>8</v>
      </c>
      <c r="J1206" s="15">
        <f t="shared" si="3"/>
        <v>2023</v>
      </c>
      <c r="K1206" s="16">
        <f>STANDARDIZE(F1206,'estatística'!$C$2,'estatística'!$H$2)</f>
        <v>0.2603190681</v>
      </c>
    </row>
    <row r="1207" ht="15.75" customHeight="1">
      <c r="A1207" s="9">
        <v>46.0</v>
      </c>
      <c r="B1207" s="10" t="s">
        <v>114</v>
      </c>
      <c r="C1207" s="11" t="s">
        <v>115</v>
      </c>
      <c r="D1207" s="10" t="s">
        <v>17</v>
      </c>
      <c r="E1207" s="11" t="s">
        <v>48</v>
      </c>
      <c r="F1207" s="13">
        <v>15.05</v>
      </c>
      <c r="G1207" s="14">
        <v>45150.0</v>
      </c>
      <c r="H1207" s="15">
        <f t="shared" si="1"/>
        <v>12</v>
      </c>
      <c r="I1207" s="16">
        <f t="shared" si="2"/>
        <v>8</v>
      </c>
      <c r="J1207" s="15">
        <f t="shared" si="3"/>
        <v>2023</v>
      </c>
      <c r="K1207" s="16">
        <f>STANDARDIZE(F1207,'estatística'!$C$2,'estatística'!$H$2)</f>
        <v>0.1740947075</v>
      </c>
    </row>
    <row r="1208" ht="15.75" customHeight="1">
      <c r="A1208" s="9">
        <v>52.0</v>
      </c>
      <c r="B1208" s="10" t="s">
        <v>153</v>
      </c>
      <c r="C1208" s="11" t="s">
        <v>154</v>
      </c>
      <c r="D1208" s="10" t="s">
        <v>13</v>
      </c>
      <c r="E1208" s="11" t="s">
        <v>32</v>
      </c>
      <c r="F1208" s="13">
        <v>31.14</v>
      </c>
      <c r="G1208" s="14">
        <v>45150.0</v>
      </c>
      <c r="H1208" s="15">
        <f t="shared" si="1"/>
        <v>12</v>
      </c>
      <c r="I1208" s="16">
        <f t="shared" si="2"/>
        <v>8</v>
      </c>
      <c r="J1208" s="15">
        <f t="shared" si="3"/>
        <v>2023</v>
      </c>
      <c r="K1208" s="16">
        <f>STANDARDIZE(F1208,'estatística'!$C$2,'estatística'!$H$2)</f>
        <v>0.3778171689</v>
      </c>
    </row>
    <row r="1209" ht="15.75" customHeight="1">
      <c r="A1209" s="9">
        <v>50.0</v>
      </c>
      <c r="B1209" s="10" t="s">
        <v>19</v>
      </c>
      <c r="C1209" s="11" t="s">
        <v>20</v>
      </c>
      <c r="D1209" s="10" t="s">
        <v>13</v>
      </c>
      <c r="E1209" s="11" t="s">
        <v>29</v>
      </c>
      <c r="F1209" s="13">
        <v>14.02</v>
      </c>
      <c r="G1209" s="14">
        <v>45150.0</v>
      </c>
      <c r="H1209" s="15">
        <f t="shared" si="1"/>
        <v>12</v>
      </c>
      <c r="I1209" s="16">
        <f t="shared" si="2"/>
        <v>8</v>
      </c>
      <c r="J1209" s="15">
        <f t="shared" si="3"/>
        <v>2023</v>
      </c>
      <c r="K1209" s="16">
        <f>STANDARDIZE(F1209,'estatística'!$C$2,'estatística'!$H$2)</f>
        <v>0.1610534312</v>
      </c>
    </row>
    <row r="1210" ht="15.75" customHeight="1">
      <c r="A1210" s="9">
        <v>16.0</v>
      </c>
      <c r="B1210" s="10" t="s">
        <v>147</v>
      </c>
      <c r="C1210" s="11" t="s">
        <v>148</v>
      </c>
      <c r="D1210" s="10" t="s">
        <v>17</v>
      </c>
      <c r="E1210" s="11" t="s">
        <v>80</v>
      </c>
      <c r="F1210" s="13">
        <v>42.18</v>
      </c>
      <c r="G1210" s="14">
        <v>45150.0</v>
      </c>
      <c r="H1210" s="15">
        <f t="shared" si="1"/>
        <v>12</v>
      </c>
      <c r="I1210" s="16">
        <f t="shared" si="2"/>
        <v>8</v>
      </c>
      <c r="J1210" s="15">
        <f t="shared" si="3"/>
        <v>2023</v>
      </c>
      <c r="K1210" s="16">
        <f>STANDARDIZE(F1210,'estatística'!$C$2,'estatística'!$H$2)</f>
        <v>0.5175993923</v>
      </c>
    </row>
    <row r="1211" ht="15.75" customHeight="1">
      <c r="A1211" s="9">
        <v>3.0</v>
      </c>
      <c r="B1211" s="10" t="s">
        <v>51</v>
      </c>
      <c r="C1211" s="11" t="s">
        <v>52</v>
      </c>
      <c r="D1211" s="10" t="s">
        <v>17</v>
      </c>
      <c r="E1211" s="11" t="s">
        <v>33</v>
      </c>
      <c r="F1211" s="13">
        <v>58.5</v>
      </c>
      <c r="G1211" s="14">
        <v>45150.0</v>
      </c>
      <c r="H1211" s="15">
        <f t="shared" si="1"/>
        <v>12</v>
      </c>
      <c r="I1211" s="16">
        <f t="shared" si="2"/>
        <v>8</v>
      </c>
      <c r="J1211" s="15">
        <f t="shared" si="3"/>
        <v>2023</v>
      </c>
      <c r="K1211" s="16">
        <f>STANDARDIZE(F1211,'estatística'!$C$2,'estatística'!$H$2)</f>
        <v>0.7242339833</v>
      </c>
    </row>
    <row r="1212" ht="15.75" customHeight="1">
      <c r="A1212" s="9">
        <v>31.0</v>
      </c>
      <c r="B1212" s="10" t="s">
        <v>201</v>
      </c>
      <c r="C1212" s="11" t="s">
        <v>202</v>
      </c>
      <c r="D1212" s="10" t="s">
        <v>17</v>
      </c>
      <c r="E1212" s="11" t="s">
        <v>91</v>
      </c>
      <c r="F1212" s="13">
        <v>3.19</v>
      </c>
      <c r="G1212" s="14">
        <v>45150.0</v>
      </c>
      <c r="H1212" s="15">
        <f t="shared" si="1"/>
        <v>12</v>
      </c>
      <c r="I1212" s="16">
        <f t="shared" si="2"/>
        <v>8</v>
      </c>
      <c r="J1212" s="15">
        <f t="shared" si="3"/>
        <v>2023</v>
      </c>
      <c r="K1212" s="16">
        <f>STANDARDIZE(F1212,'estatística'!$C$2,'estatística'!$H$2)</f>
        <v>0.02393010889</v>
      </c>
    </row>
    <row r="1213" ht="15.75" customHeight="1">
      <c r="A1213" s="9">
        <v>35.0</v>
      </c>
      <c r="B1213" s="10" t="s">
        <v>95</v>
      </c>
      <c r="C1213" s="11" t="s">
        <v>96</v>
      </c>
      <c r="D1213" s="10" t="s">
        <v>13</v>
      </c>
      <c r="E1213" s="11" t="s">
        <v>21</v>
      </c>
      <c r="F1213" s="13">
        <v>13.23</v>
      </c>
      <c r="G1213" s="14">
        <v>45150.0</v>
      </c>
      <c r="H1213" s="15">
        <f t="shared" si="1"/>
        <v>12</v>
      </c>
      <c r="I1213" s="16">
        <f t="shared" si="2"/>
        <v>8</v>
      </c>
      <c r="J1213" s="15">
        <f t="shared" si="3"/>
        <v>2023</v>
      </c>
      <c r="K1213" s="16">
        <f>STANDARDIZE(F1213,'estatística'!$C$2,'estatística'!$H$2)</f>
        <v>0.151050899</v>
      </c>
    </row>
    <row r="1214" ht="15.75" customHeight="1">
      <c r="A1214" s="9">
        <v>36.0</v>
      </c>
      <c r="B1214" s="10" t="s">
        <v>60</v>
      </c>
      <c r="C1214" s="11" t="s">
        <v>61</v>
      </c>
      <c r="D1214" s="10" t="s">
        <v>13</v>
      </c>
      <c r="E1214" s="11" t="s">
        <v>33</v>
      </c>
      <c r="F1214" s="13">
        <v>47.88</v>
      </c>
      <c r="G1214" s="14">
        <v>45151.0</v>
      </c>
      <c r="H1214" s="15">
        <f t="shared" si="1"/>
        <v>13</v>
      </c>
      <c r="I1214" s="16">
        <f t="shared" si="2"/>
        <v>8</v>
      </c>
      <c r="J1214" s="15">
        <f t="shared" si="3"/>
        <v>2023</v>
      </c>
      <c r="K1214" s="16">
        <f>STANDARDIZE(F1214,'estatística'!$C$2,'estatística'!$H$2)</f>
        <v>0.5897695619</v>
      </c>
    </row>
    <row r="1215" ht="15.75" customHeight="1">
      <c r="A1215" s="9">
        <v>61.0</v>
      </c>
      <c r="B1215" s="10" t="s">
        <v>73</v>
      </c>
      <c r="C1215" s="11" t="s">
        <v>74</v>
      </c>
      <c r="D1215" s="10" t="s">
        <v>17</v>
      </c>
      <c r="E1215" s="11" t="s">
        <v>68</v>
      </c>
      <c r="F1215" s="13">
        <v>10.56</v>
      </c>
      <c r="G1215" s="14">
        <v>45151.0</v>
      </c>
      <c r="H1215" s="15">
        <f t="shared" si="1"/>
        <v>13</v>
      </c>
      <c r="I1215" s="16">
        <f t="shared" si="2"/>
        <v>8</v>
      </c>
      <c r="J1215" s="15">
        <f t="shared" si="3"/>
        <v>2023</v>
      </c>
      <c r="K1215" s="16">
        <f>STANDARDIZE(F1215,'estatística'!$C$2,'estatística'!$H$2)</f>
        <v>0.1172448721</v>
      </c>
    </row>
    <row r="1216" ht="15.75" customHeight="1">
      <c r="A1216" s="9">
        <v>79.0</v>
      </c>
      <c r="B1216" s="10" t="s">
        <v>69</v>
      </c>
      <c r="C1216" s="11" t="s">
        <v>70</v>
      </c>
      <c r="D1216" s="10" t="s">
        <v>17</v>
      </c>
      <c r="E1216" s="11" t="s">
        <v>77</v>
      </c>
      <c r="F1216" s="13">
        <v>16.77</v>
      </c>
      <c r="G1216" s="14">
        <v>45151.0</v>
      </c>
      <c r="H1216" s="15">
        <f t="shared" si="1"/>
        <v>13</v>
      </c>
      <c r="I1216" s="16">
        <f t="shared" si="2"/>
        <v>8</v>
      </c>
      <c r="J1216" s="15">
        <f t="shared" si="3"/>
        <v>2023</v>
      </c>
      <c r="K1216" s="16">
        <f>STANDARDIZE(F1216,'estatística'!$C$2,'estatística'!$H$2)</f>
        <v>0.1958723728</v>
      </c>
    </row>
    <row r="1217" ht="15.75" customHeight="1">
      <c r="A1217" s="9">
        <v>9.0</v>
      </c>
      <c r="B1217" s="10" t="s">
        <v>179</v>
      </c>
      <c r="C1217" s="11" t="s">
        <v>180</v>
      </c>
      <c r="D1217" s="10" t="s">
        <v>17</v>
      </c>
      <c r="E1217" s="11" t="s">
        <v>77</v>
      </c>
      <c r="F1217" s="13">
        <v>16.56</v>
      </c>
      <c r="G1217" s="14">
        <v>45151.0</v>
      </c>
      <c r="H1217" s="15">
        <f t="shared" si="1"/>
        <v>13</v>
      </c>
      <c r="I1217" s="16">
        <f t="shared" si="2"/>
        <v>8</v>
      </c>
      <c r="J1217" s="15">
        <f t="shared" si="3"/>
        <v>2023</v>
      </c>
      <c r="K1217" s="16">
        <f>STANDARDIZE(F1217,'estatística'!$C$2,'estatística'!$H$2)</f>
        <v>0.1932134718</v>
      </c>
    </row>
    <row r="1218" ht="15.75" customHeight="1">
      <c r="A1218" s="9">
        <v>12.0</v>
      </c>
      <c r="B1218" s="10" t="s">
        <v>160</v>
      </c>
      <c r="C1218" s="11" t="s">
        <v>161</v>
      </c>
      <c r="D1218" s="10" t="s">
        <v>13</v>
      </c>
      <c r="E1218" s="11" t="s">
        <v>65</v>
      </c>
      <c r="F1218" s="13">
        <v>34.37</v>
      </c>
      <c r="G1218" s="14">
        <v>45151.0</v>
      </c>
      <c r="H1218" s="15">
        <f t="shared" si="1"/>
        <v>13</v>
      </c>
      <c r="I1218" s="16">
        <f t="shared" si="2"/>
        <v>8</v>
      </c>
      <c r="J1218" s="15">
        <f t="shared" si="3"/>
        <v>2023</v>
      </c>
      <c r="K1218" s="16">
        <f>STANDARDIZE(F1218,'estatística'!$C$2,'estatística'!$H$2)</f>
        <v>0.4187135984</v>
      </c>
    </row>
    <row r="1219" ht="15.75" customHeight="1">
      <c r="A1219" s="9">
        <v>49.0</v>
      </c>
      <c r="B1219" s="10" t="s">
        <v>151</v>
      </c>
      <c r="C1219" s="11" t="s">
        <v>152</v>
      </c>
      <c r="D1219" s="10" t="s">
        <v>17</v>
      </c>
      <c r="E1219" s="11" t="s">
        <v>107</v>
      </c>
      <c r="F1219" s="13">
        <v>26.47</v>
      </c>
      <c r="G1219" s="14">
        <v>45151.0</v>
      </c>
      <c r="H1219" s="15">
        <f t="shared" si="1"/>
        <v>13</v>
      </c>
      <c r="I1219" s="16">
        <f t="shared" si="2"/>
        <v>8</v>
      </c>
      <c r="J1219" s="15">
        <f t="shared" si="3"/>
        <v>2023</v>
      </c>
      <c r="K1219" s="16">
        <f>STANDARDIZE(F1219,'estatística'!$C$2,'estatística'!$H$2)</f>
        <v>0.3186882755</v>
      </c>
    </row>
    <row r="1220" ht="15.75" customHeight="1">
      <c r="A1220" s="9">
        <v>83.0</v>
      </c>
      <c r="B1220" s="10" t="s">
        <v>66</v>
      </c>
      <c r="C1220" s="11" t="s">
        <v>67</v>
      </c>
      <c r="D1220" s="10" t="s">
        <v>17</v>
      </c>
      <c r="E1220" s="11" t="s">
        <v>39</v>
      </c>
      <c r="F1220" s="13">
        <v>46.98</v>
      </c>
      <c r="G1220" s="14">
        <v>45152.0</v>
      </c>
      <c r="H1220" s="15">
        <f t="shared" si="1"/>
        <v>14</v>
      </c>
      <c r="I1220" s="16">
        <f t="shared" si="2"/>
        <v>8</v>
      </c>
      <c r="J1220" s="15">
        <f t="shared" si="3"/>
        <v>2023</v>
      </c>
      <c r="K1220" s="16">
        <f>STANDARDIZE(F1220,'estatística'!$C$2,'estatística'!$H$2)</f>
        <v>0.578374272</v>
      </c>
    </row>
    <row r="1221" ht="15.75" customHeight="1">
      <c r="A1221" s="9">
        <v>51.0</v>
      </c>
      <c r="B1221" s="10" t="s">
        <v>205</v>
      </c>
      <c r="C1221" s="11" t="s">
        <v>206</v>
      </c>
      <c r="D1221" s="10" t="s">
        <v>13</v>
      </c>
      <c r="E1221" s="11" t="s">
        <v>48</v>
      </c>
      <c r="F1221" s="13">
        <v>17.29</v>
      </c>
      <c r="G1221" s="14">
        <v>45152.0</v>
      </c>
      <c r="H1221" s="15">
        <f t="shared" si="1"/>
        <v>14</v>
      </c>
      <c r="I1221" s="16">
        <f t="shared" si="2"/>
        <v>8</v>
      </c>
      <c r="J1221" s="15">
        <f t="shared" si="3"/>
        <v>2023</v>
      </c>
      <c r="K1221" s="16">
        <f>STANDARDIZE(F1221,'estatística'!$C$2,'estatística'!$H$2)</f>
        <v>0.2024563181</v>
      </c>
    </row>
    <row r="1222" ht="15.75" customHeight="1">
      <c r="A1222" s="9">
        <v>10.0</v>
      </c>
      <c r="B1222" s="10" t="s">
        <v>120</v>
      </c>
      <c r="C1222" s="11" t="s">
        <v>121</v>
      </c>
      <c r="D1222" s="10" t="s">
        <v>17</v>
      </c>
      <c r="E1222" s="11" t="s">
        <v>36</v>
      </c>
      <c r="F1222" s="13">
        <v>63.18</v>
      </c>
      <c r="G1222" s="14">
        <v>45152.0</v>
      </c>
      <c r="H1222" s="15">
        <f t="shared" si="1"/>
        <v>14</v>
      </c>
      <c r="I1222" s="16">
        <f t="shared" si="2"/>
        <v>8</v>
      </c>
      <c r="J1222" s="15">
        <f t="shared" si="3"/>
        <v>2023</v>
      </c>
      <c r="K1222" s="16">
        <f>STANDARDIZE(F1222,'estatística'!$C$2,'estatística'!$H$2)</f>
        <v>0.783489491</v>
      </c>
    </row>
    <row r="1223" ht="15.75" customHeight="1">
      <c r="A1223" s="9">
        <v>85.0</v>
      </c>
      <c r="B1223" s="10" t="s">
        <v>170</v>
      </c>
      <c r="C1223" s="11" t="s">
        <v>171</v>
      </c>
      <c r="D1223" s="10" t="s">
        <v>17</v>
      </c>
      <c r="E1223" s="11" t="s">
        <v>32</v>
      </c>
      <c r="F1223" s="13">
        <v>32.39</v>
      </c>
      <c r="G1223" s="14">
        <v>45152.0</v>
      </c>
      <c r="H1223" s="15">
        <f t="shared" si="1"/>
        <v>14</v>
      </c>
      <c r="I1223" s="16">
        <f t="shared" si="2"/>
        <v>8</v>
      </c>
      <c r="J1223" s="15">
        <f t="shared" si="3"/>
        <v>2023</v>
      </c>
      <c r="K1223" s="16">
        <f>STANDARDIZE(F1223,'estatística'!$C$2,'estatística'!$H$2)</f>
        <v>0.3936439605</v>
      </c>
    </row>
    <row r="1224" ht="15.75" customHeight="1">
      <c r="A1224" s="9">
        <v>79.0</v>
      </c>
      <c r="B1224" s="10" t="s">
        <v>69</v>
      </c>
      <c r="C1224" s="11" t="s">
        <v>70</v>
      </c>
      <c r="D1224" s="10" t="s">
        <v>13</v>
      </c>
      <c r="E1224" s="11" t="s">
        <v>21</v>
      </c>
      <c r="F1224" s="13">
        <v>17.69</v>
      </c>
      <c r="G1224" s="14">
        <v>45152.0</v>
      </c>
      <c r="H1224" s="15">
        <f t="shared" si="1"/>
        <v>14</v>
      </c>
      <c r="I1224" s="16">
        <f t="shared" si="2"/>
        <v>8</v>
      </c>
      <c r="J1224" s="15">
        <f t="shared" si="3"/>
        <v>2023</v>
      </c>
      <c r="K1224" s="16">
        <f>STANDARDIZE(F1224,'estatística'!$C$2,'estatística'!$H$2)</f>
        <v>0.2075208914</v>
      </c>
    </row>
    <row r="1225" ht="15.75" customHeight="1">
      <c r="A1225" s="9">
        <v>62.0</v>
      </c>
      <c r="B1225" s="10" t="s">
        <v>128</v>
      </c>
      <c r="C1225" s="11" t="s">
        <v>129</v>
      </c>
      <c r="D1225" s="10" t="s">
        <v>17</v>
      </c>
      <c r="E1225" s="11" t="s">
        <v>48</v>
      </c>
      <c r="F1225" s="13">
        <v>19.17</v>
      </c>
      <c r="G1225" s="14">
        <v>45152.0</v>
      </c>
      <c r="H1225" s="15">
        <f t="shared" si="1"/>
        <v>14</v>
      </c>
      <c r="I1225" s="16">
        <f t="shared" si="2"/>
        <v>8</v>
      </c>
      <c r="J1225" s="15">
        <f t="shared" si="3"/>
        <v>2023</v>
      </c>
      <c r="K1225" s="16">
        <f>STANDARDIZE(F1225,'estatística'!$C$2,'estatística'!$H$2)</f>
        <v>0.2262598126</v>
      </c>
    </row>
    <row r="1226" ht="15.75" customHeight="1">
      <c r="A1226" s="9">
        <v>6.0</v>
      </c>
      <c r="B1226" s="10" t="s">
        <v>155</v>
      </c>
      <c r="C1226" s="11" t="s">
        <v>156</v>
      </c>
      <c r="D1226" s="10" t="s">
        <v>13</v>
      </c>
      <c r="E1226" s="11" t="s">
        <v>36</v>
      </c>
      <c r="F1226" s="13">
        <v>72.37</v>
      </c>
      <c r="G1226" s="14">
        <v>45153.0</v>
      </c>
      <c r="H1226" s="15">
        <f t="shared" si="1"/>
        <v>15</v>
      </c>
      <c r="I1226" s="16">
        <f t="shared" si="2"/>
        <v>8</v>
      </c>
      <c r="J1226" s="15">
        <f t="shared" si="3"/>
        <v>2023</v>
      </c>
      <c r="K1226" s="16">
        <f>STANDARDIZE(F1226,'estatística'!$C$2,'estatística'!$H$2)</f>
        <v>0.8998480628</v>
      </c>
    </row>
    <row r="1227" ht="15.75" customHeight="1">
      <c r="A1227" s="9">
        <v>53.0</v>
      </c>
      <c r="B1227" s="10" t="s">
        <v>213</v>
      </c>
      <c r="C1227" s="11" t="s">
        <v>214</v>
      </c>
      <c r="D1227" s="10" t="s">
        <v>17</v>
      </c>
      <c r="E1227" s="11" t="s">
        <v>33</v>
      </c>
      <c r="F1227" s="13">
        <v>64.4</v>
      </c>
      <c r="G1227" s="14">
        <v>45153.0</v>
      </c>
      <c r="H1227" s="15">
        <f t="shared" si="1"/>
        <v>15</v>
      </c>
      <c r="I1227" s="16">
        <f t="shared" si="2"/>
        <v>8</v>
      </c>
      <c r="J1227" s="15">
        <f t="shared" si="3"/>
        <v>2023</v>
      </c>
      <c r="K1227" s="16">
        <f>STANDARDIZE(F1227,'estatística'!$C$2,'estatística'!$H$2)</f>
        <v>0.7989364396</v>
      </c>
    </row>
    <row r="1228" ht="15.75" customHeight="1">
      <c r="A1228" s="9">
        <v>58.0</v>
      </c>
      <c r="B1228" s="10" t="s">
        <v>137</v>
      </c>
      <c r="C1228" s="11" t="s">
        <v>138</v>
      </c>
      <c r="D1228" s="10" t="s">
        <v>17</v>
      </c>
      <c r="E1228" s="11" t="s">
        <v>24</v>
      </c>
      <c r="F1228" s="13">
        <v>27.87</v>
      </c>
      <c r="G1228" s="14">
        <v>45153.0</v>
      </c>
      <c r="H1228" s="15">
        <f t="shared" si="1"/>
        <v>15</v>
      </c>
      <c r="I1228" s="16">
        <f t="shared" si="2"/>
        <v>8</v>
      </c>
      <c r="J1228" s="15">
        <f t="shared" si="3"/>
        <v>2023</v>
      </c>
      <c r="K1228" s="16">
        <f>STANDARDIZE(F1228,'estatística'!$C$2,'estatística'!$H$2)</f>
        <v>0.3364142821</v>
      </c>
    </row>
    <row r="1229" ht="15.75" customHeight="1">
      <c r="A1229" s="9">
        <v>32.0</v>
      </c>
      <c r="B1229" s="10" t="s">
        <v>118</v>
      </c>
      <c r="C1229" s="11" t="s">
        <v>119</v>
      </c>
      <c r="D1229" s="10" t="s">
        <v>13</v>
      </c>
      <c r="E1229" s="11" t="s">
        <v>21</v>
      </c>
      <c r="F1229" s="13">
        <v>15.88</v>
      </c>
      <c r="G1229" s="14">
        <v>45153.0</v>
      </c>
      <c r="H1229" s="15">
        <f t="shared" si="1"/>
        <v>15</v>
      </c>
      <c r="I1229" s="16">
        <f t="shared" si="2"/>
        <v>8</v>
      </c>
      <c r="J1229" s="15">
        <f t="shared" si="3"/>
        <v>2023</v>
      </c>
      <c r="K1229" s="16">
        <f>STANDARDIZE(F1229,'estatística'!$C$2,'estatística'!$H$2)</f>
        <v>0.1846036971</v>
      </c>
    </row>
    <row r="1230" ht="15.75" customHeight="1">
      <c r="A1230" s="9">
        <v>17.0</v>
      </c>
      <c r="B1230" s="10" t="s">
        <v>172</v>
      </c>
      <c r="C1230" s="11" t="s">
        <v>173</v>
      </c>
      <c r="D1230" s="10" t="s">
        <v>17</v>
      </c>
      <c r="E1230" s="11" t="s">
        <v>107</v>
      </c>
      <c r="F1230" s="13">
        <v>29.79</v>
      </c>
      <c r="G1230" s="14">
        <v>45153.0</v>
      </c>
      <c r="H1230" s="15">
        <f t="shared" si="1"/>
        <v>15</v>
      </c>
      <c r="I1230" s="16">
        <f t="shared" si="2"/>
        <v>8</v>
      </c>
      <c r="J1230" s="15">
        <f t="shared" si="3"/>
        <v>2023</v>
      </c>
      <c r="K1230" s="16">
        <f>STANDARDIZE(F1230,'estatística'!$C$2,'estatística'!$H$2)</f>
        <v>0.360724234</v>
      </c>
    </row>
    <row r="1231" ht="15.75" customHeight="1">
      <c r="A1231" s="9">
        <v>77.0</v>
      </c>
      <c r="B1231" s="10" t="s">
        <v>11</v>
      </c>
      <c r="C1231" s="11" t="s">
        <v>141</v>
      </c>
      <c r="D1231" s="10" t="s">
        <v>17</v>
      </c>
      <c r="E1231" s="11" t="s">
        <v>57</v>
      </c>
      <c r="F1231" s="13">
        <v>19.73</v>
      </c>
      <c r="G1231" s="14">
        <v>45153.0</v>
      </c>
      <c r="H1231" s="15">
        <f t="shared" si="1"/>
        <v>15</v>
      </c>
      <c r="I1231" s="16">
        <f t="shared" si="2"/>
        <v>8</v>
      </c>
      <c r="J1231" s="15">
        <f t="shared" si="3"/>
        <v>2023</v>
      </c>
      <c r="K1231" s="16">
        <f>STANDARDIZE(F1231,'estatística'!$C$2,'estatística'!$H$2)</f>
        <v>0.2333502152</v>
      </c>
    </row>
    <row r="1232" ht="15.75" customHeight="1">
      <c r="A1232" s="9">
        <v>40.0</v>
      </c>
      <c r="B1232" s="10" t="s">
        <v>92</v>
      </c>
      <c r="C1232" s="11" t="s">
        <v>157</v>
      </c>
      <c r="D1232" s="10" t="s">
        <v>13</v>
      </c>
      <c r="E1232" s="11" t="s">
        <v>116</v>
      </c>
      <c r="F1232" s="13">
        <v>3.61</v>
      </c>
      <c r="G1232" s="14">
        <v>45153.0</v>
      </c>
      <c r="H1232" s="15">
        <f t="shared" si="1"/>
        <v>15</v>
      </c>
      <c r="I1232" s="16">
        <f t="shared" si="2"/>
        <v>8</v>
      </c>
      <c r="J1232" s="15">
        <f t="shared" si="3"/>
        <v>2023</v>
      </c>
      <c r="K1232" s="16">
        <f>STANDARDIZE(F1232,'estatística'!$C$2,'estatística'!$H$2)</f>
        <v>0.02924791086</v>
      </c>
    </row>
    <row r="1233" ht="15.75" customHeight="1">
      <c r="A1233" s="9">
        <v>27.0</v>
      </c>
      <c r="B1233" s="10" t="s">
        <v>145</v>
      </c>
      <c r="C1233" s="11" t="s">
        <v>146</v>
      </c>
      <c r="D1233" s="10" t="s">
        <v>13</v>
      </c>
      <c r="E1233" s="11" t="s">
        <v>68</v>
      </c>
      <c r="F1233" s="13">
        <v>12.07</v>
      </c>
      <c r="G1233" s="14">
        <v>45154.0</v>
      </c>
      <c r="H1233" s="15">
        <f t="shared" si="1"/>
        <v>16</v>
      </c>
      <c r="I1233" s="16">
        <f t="shared" si="2"/>
        <v>8</v>
      </c>
      <c r="J1233" s="15">
        <f t="shared" si="3"/>
        <v>2023</v>
      </c>
      <c r="K1233" s="16">
        <f>STANDARDIZE(F1233,'estatística'!$C$2,'estatística'!$H$2)</f>
        <v>0.1363636364</v>
      </c>
    </row>
    <row r="1234" ht="15.75" customHeight="1">
      <c r="A1234" s="9">
        <v>28.0</v>
      </c>
      <c r="B1234" s="10" t="s">
        <v>49</v>
      </c>
      <c r="C1234" s="11" t="s">
        <v>50</v>
      </c>
      <c r="D1234" s="10" t="s">
        <v>17</v>
      </c>
      <c r="E1234" s="11" t="s">
        <v>68</v>
      </c>
      <c r="F1234" s="13">
        <v>12.29</v>
      </c>
      <c r="G1234" s="14">
        <v>45154.0</v>
      </c>
      <c r="H1234" s="15">
        <f t="shared" si="1"/>
        <v>16</v>
      </c>
      <c r="I1234" s="16">
        <f t="shared" si="2"/>
        <v>8</v>
      </c>
      <c r="J1234" s="15">
        <f t="shared" si="3"/>
        <v>2023</v>
      </c>
      <c r="K1234" s="16">
        <f>STANDARDIZE(F1234,'estatística'!$C$2,'estatística'!$H$2)</f>
        <v>0.1391491517</v>
      </c>
    </row>
    <row r="1235" ht="15.75" customHeight="1">
      <c r="A1235" s="9">
        <v>82.0</v>
      </c>
      <c r="B1235" s="10" t="s">
        <v>203</v>
      </c>
      <c r="C1235" s="11" t="s">
        <v>204</v>
      </c>
      <c r="D1235" s="10" t="s">
        <v>13</v>
      </c>
      <c r="E1235" s="11" t="s">
        <v>36</v>
      </c>
      <c r="F1235" s="13">
        <v>59.5</v>
      </c>
      <c r="G1235" s="14">
        <v>45154.0</v>
      </c>
      <c r="H1235" s="15">
        <f t="shared" si="1"/>
        <v>16</v>
      </c>
      <c r="I1235" s="16">
        <f t="shared" si="2"/>
        <v>8</v>
      </c>
      <c r="J1235" s="15">
        <f t="shared" si="3"/>
        <v>2023</v>
      </c>
      <c r="K1235" s="16">
        <f>STANDARDIZE(F1235,'estatística'!$C$2,'estatística'!$H$2)</f>
        <v>0.7368954166</v>
      </c>
    </row>
    <row r="1236" ht="15.75" customHeight="1">
      <c r="A1236" s="9">
        <v>64.0</v>
      </c>
      <c r="B1236" s="10" t="s">
        <v>131</v>
      </c>
      <c r="C1236" s="11" t="s">
        <v>132</v>
      </c>
      <c r="D1236" s="10" t="s">
        <v>13</v>
      </c>
      <c r="E1236" s="11" t="s">
        <v>116</v>
      </c>
      <c r="F1236" s="13">
        <v>2.17</v>
      </c>
      <c r="G1236" s="14">
        <v>45154.0</v>
      </c>
      <c r="H1236" s="15">
        <f t="shared" si="1"/>
        <v>16</v>
      </c>
      <c r="I1236" s="16">
        <f t="shared" si="2"/>
        <v>8</v>
      </c>
      <c r="J1236" s="15">
        <f t="shared" si="3"/>
        <v>2023</v>
      </c>
      <c r="K1236" s="16">
        <f>STANDARDIZE(F1236,'estatística'!$C$2,'estatística'!$H$2)</f>
        <v>0.01101544695</v>
      </c>
    </row>
    <row r="1237" ht="15.75" customHeight="1">
      <c r="A1237" s="9">
        <v>1.0</v>
      </c>
      <c r="B1237" s="10" t="s">
        <v>166</v>
      </c>
      <c r="C1237" s="11" t="s">
        <v>167</v>
      </c>
      <c r="D1237" s="10" t="s">
        <v>13</v>
      </c>
      <c r="E1237" s="11" t="s">
        <v>77</v>
      </c>
      <c r="F1237" s="13">
        <v>13.48</v>
      </c>
      <c r="G1237" s="14">
        <v>45154.0</v>
      </c>
      <c r="H1237" s="15">
        <f t="shared" si="1"/>
        <v>16</v>
      </c>
      <c r="I1237" s="16">
        <f t="shared" si="2"/>
        <v>8</v>
      </c>
      <c r="J1237" s="15">
        <f t="shared" si="3"/>
        <v>2023</v>
      </c>
      <c r="K1237" s="16">
        <f>STANDARDIZE(F1237,'estatística'!$C$2,'estatística'!$H$2)</f>
        <v>0.1542162573</v>
      </c>
    </row>
    <row r="1238" ht="15.75" customHeight="1">
      <c r="A1238" s="9">
        <v>39.0</v>
      </c>
      <c r="B1238" s="10" t="s">
        <v>58</v>
      </c>
      <c r="C1238" s="11" t="s">
        <v>59</v>
      </c>
      <c r="D1238" s="10" t="s">
        <v>17</v>
      </c>
      <c r="E1238" s="11" t="s">
        <v>107</v>
      </c>
      <c r="F1238" s="13">
        <v>29.42</v>
      </c>
      <c r="G1238" s="14">
        <v>45154.0</v>
      </c>
      <c r="H1238" s="15">
        <f t="shared" si="1"/>
        <v>16</v>
      </c>
      <c r="I1238" s="16">
        <f t="shared" si="2"/>
        <v>8</v>
      </c>
      <c r="J1238" s="15">
        <f t="shared" si="3"/>
        <v>2023</v>
      </c>
      <c r="K1238" s="16">
        <f>STANDARDIZE(F1238,'estatística'!$C$2,'estatística'!$H$2)</f>
        <v>0.3560395037</v>
      </c>
    </row>
    <row r="1239" ht="15.75" customHeight="1">
      <c r="A1239" s="9">
        <v>37.0</v>
      </c>
      <c r="B1239" s="10" t="s">
        <v>217</v>
      </c>
      <c r="C1239" s="11" t="s">
        <v>218</v>
      </c>
      <c r="D1239" s="10" t="s">
        <v>13</v>
      </c>
      <c r="E1239" s="11" t="s">
        <v>18</v>
      </c>
      <c r="F1239" s="13">
        <v>50.67</v>
      </c>
      <c r="G1239" s="14">
        <v>45154.0</v>
      </c>
      <c r="H1239" s="15">
        <f t="shared" si="1"/>
        <v>16</v>
      </c>
      <c r="I1239" s="16">
        <f t="shared" si="2"/>
        <v>8</v>
      </c>
      <c r="J1239" s="15">
        <f t="shared" si="3"/>
        <v>2023</v>
      </c>
      <c r="K1239" s="16">
        <f>STANDARDIZE(F1239,'estatística'!$C$2,'estatística'!$H$2)</f>
        <v>0.6250949607</v>
      </c>
    </row>
    <row r="1240" ht="15.75" customHeight="1">
      <c r="A1240" s="9">
        <v>13.0</v>
      </c>
      <c r="B1240" s="10" t="s">
        <v>108</v>
      </c>
      <c r="C1240" s="11" t="s">
        <v>109</v>
      </c>
      <c r="D1240" s="10" t="s">
        <v>17</v>
      </c>
      <c r="E1240" s="11" t="s">
        <v>21</v>
      </c>
      <c r="F1240" s="13">
        <v>21.84</v>
      </c>
      <c r="G1240" s="14">
        <v>45155.0</v>
      </c>
      <c r="H1240" s="15">
        <f t="shared" si="1"/>
        <v>17</v>
      </c>
      <c r="I1240" s="16">
        <f t="shared" si="2"/>
        <v>8</v>
      </c>
      <c r="J1240" s="15">
        <f t="shared" si="3"/>
        <v>2023</v>
      </c>
      <c r="K1240" s="16">
        <f>STANDARDIZE(F1240,'estatística'!$C$2,'estatística'!$H$2)</f>
        <v>0.2600658395</v>
      </c>
    </row>
    <row r="1241" ht="15.75" customHeight="1">
      <c r="A1241" s="9">
        <v>90.0</v>
      </c>
      <c r="B1241" s="10" t="s">
        <v>191</v>
      </c>
      <c r="C1241" s="11" t="s">
        <v>192</v>
      </c>
      <c r="D1241" s="10" t="s">
        <v>17</v>
      </c>
      <c r="E1241" s="11" t="s">
        <v>65</v>
      </c>
      <c r="F1241" s="13">
        <v>29.51</v>
      </c>
      <c r="G1241" s="14">
        <v>45155.0</v>
      </c>
      <c r="H1241" s="15">
        <f t="shared" si="1"/>
        <v>17</v>
      </c>
      <c r="I1241" s="16">
        <f t="shared" si="2"/>
        <v>8</v>
      </c>
      <c r="J1241" s="15">
        <f t="shared" si="3"/>
        <v>2023</v>
      </c>
      <c r="K1241" s="16">
        <f>STANDARDIZE(F1241,'estatística'!$C$2,'estatística'!$H$2)</f>
        <v>0.3571790327</v>
      </c>
    </row>
    <row r="1242" ht="15.75" customHeight="1">
      <c r="A1242" s="9">
        <v>60.0</v>
      </c>
      <c r="B1242" s="10" t="s">
        <v>42</v>
      </c>
      <c r="C1242" s="11" t="s">
        <v>43</v>
      </c>
      <c r="D1242" s="10" t="s">
        <v>17</v>
      </c>
      <c r="E1242" s="11" t="s">
        <v>91</v>
      </c>
      <c r="F1242" s="13">
        <v>3.98</v>
      </c>
      <c r="G1242" s="14">
        <v>45155.0</v>
      </c>
      <c r="H1242" s="15">
        <f t="shared" si="1"/>
        <v>17</v>
      </c>
      <c r="I1242" s="16">
        <f t="shared" si="2"/>
        <v>8</v>
      </c>
      <c r="J1242" s="15">
        <f t="shared" si="3"/>
        <v>2023</v>
      </c>
      <c r="K1242" s="16">
        <f>STANDARDIZE(F1242,'estatística'!$C$2,'estatística'!$H$2)</f>
        <v>0.03393264117</v>
      </c>
    </row>
    <row r="1243" ht="15.75" customHeight="1">
      <c r="A1243" s="9">
        <v>58.0</v>
      </c>
      <c r="B1243" s="10" t="s">
        <v>137</v>
      </c>
      <c r="C1243" s="11" t="s">
        <v>138</v>
      </c>
      <c r="D1243" s="10" t="s">
        <v>17</v>
      </c>
      <c r="E1243" s="11" t="s">
        <v>36</v>
      </c>
      <c r="F1243" s="13">
        <v>59.82</v>
      </c>
      <c r="G1243" s="14">
        <v>45155.0</v>
      </c>
      <c r="H1243" s="15">
        <f t="shared" si="1"/>
        <v>17</v>
      </c>
      <c r="I1243" s="16">
        <f t="shared" si="2"/>
        <v>8</v>
      </c>
      <c r="J1243" s="15">
        <f t="shared" si="3"/>
        <v>2023</v>
      </c>
      <c r="K1243" s="16">
        <f>STANDARDIZE(F1243,'estatística'!$C$2,'estatística'!$H$2)</f>
        <v>0.7409470752</v>
      </c>
    </row>
    <row r="1244" ht="15.75" customHeight="1">
      <c r="A1244" s="9">
        <v>53.0</v>
      </c>
      <c r="B1244" s="10" t="s">
        <v>213</v>
      </c>
      <c r="C1244" s="11" t="s">
        <v>214</v>
      </c>
      <c r="D1244" s="10" t="s">
        <v>13</v>
      </c>
      <c r="E1244" s="11" t="s">
        <v>116</v>
      </c>
      <c r="F1244" s="13">
        <v>4.06</v>
      </c>
      <c r="G1244" s="14">
        <v>45155.0</v>
      </c>
      <c r="H1244" s="15">
        <f t="shared" si="1"/>
        <v>17</v>
      </c>
      <c r="I1244" s="16">
        <f t="shared" si="2"/>
        <v>8</v>
      </c>
      <c r="J1244" s="15">
        <f t="shared" si="3"/>
        <v>2023</v>
      </c>
      <c r="K1244" s="16">
        <f>STANDARDIZE(F1244,'estatística'!$C$2,'estatística'!$H$2)</f>
        <v>0.03494555584</v>
      </c>
    </row>
    <row r="1245" ht="15.75" customHeight="1">
      <c r="A1245" s="9">
        <v>40.0</v>
      </c>
      <c r="B1245" s="10" t="s">
        <v>92</v>
      </c>
      <c r="C1245" s="11" t="s">
        <v>157</v>
      </c>
      <c r="D1245" s="10" t="s">
        <v>13</v>
      </c>
      <c r="E1245" s="11" t="s">
        <v>57</v>
      </c>
      <c r="F1245" s="13">
        <v>21.75</v>
      </c>
      <c r="G1245" s="14">
        <v>45155.0</v>
      </c>
      <c r="H1245" s="15">
        <f t="shared" si="1"/>
        <v>17</v>
      </c>
      <c r="I1245" s="16">
        <f t="shared" si="2"/>
        <v>8</v>
      </c>
      <c r="J1245" s="15">
        <f t="shared" si="3"/>
        <v>2023</v>
      </c>
      <c r="K1245" s="16">
        <f>STANDARDIZE(F1245,'estatística'!$C$2,'estatística'!$H$2)</f>
        <v>0.2589263105</v>
      </c>
    </row>
    <row r="1246" ht="15.75" customHeight="1">
      <c r="A1246" s="9">
        <v>70.0</v>
      </c>
      <c r="B1246" s="10" t="s">
        <v>124</v>
      </c>
      <c r="C1246" s="11" t="s">
        <v>125</v>
      </c>
      <c r="D1246" s="10" t="s">
        <v>13</v>
      </c>
      <c r="E1246" s="11" t="s">
        <v>57</v>
      </c>
      <c r="F1246" s="13">
        <v>19.84</v>
      </c>
      <c r="G1246" s="14">
        <v>45155.0</v>
      </c>
      <c r="H1246" s="15">
        <f t="shared" si="1"/>
        <v>17</v>
      </c>
      <c r="I1246" s="16">
        <f t="shared" si="2"/>
        <v>8</v>
      </c>
      <c r="J1246" s="15">
        <f t="shared" si="3"/>
        <v>2023</v>
      </c>
      <c r="K1246" s="16">
        <f>STANDARDIZE(F1246,'estatística'!$C$2,'estatística'!$H$2)</f>
        <v>0.2347429729</v>
      </c>
    </row>
    <row r="1247" ht="15.75" customHeight="1">
      <c r="A1247" s="9">
        <v>19.0</v>
      </c>
      <c r="B1247" s="10" t="s">
        <v>25</v>
      </c>
      <c r="C1247" s="11" t="s">
        <v>165</v>
      </c>
      <c r="D1247" s="10" t="s">
        <v>17</v>
      </c>
      <c r="E1247" s="11" t="s">
        <v>48</v>
      </c>
      <c r="F1247" s="13">
        <v>19.53</v>
      </c>
      <c r="G1247" s="14">
        <v>45155.0</v>
      </c>
      <c r="H1247" s="15">
        <f t="shared" si="1"/>
        <v>17</v>
      </c>
      <c r="I1247" s="16">
        <f t="shared" si="2"/>
        <v>8</v>
      </c>
      <c r="J1247" s="15">
        <f t="shared" si="3"/>
        <v>2023</v>
      </c>
      <c r="K1247" s="16">
        <f>STANDARDIZE(F1247,'estatística'!$C$2,'estatística'!$H$2)</f>
        <v>0.2308179286</v>
      </c>
    </row>
    <row r="1248" ht="15.75" customHeight="1">
      <c r="A1248" s="9">
        <v>10.0</v>
      </c>
      <c r="B1248" s="10" t="s">
        <v>120</v>
      </c>
      <c r="C1248" s="11" t="s">
        <v>121</v>
      </c>
      <c r="D1248" s="10" t="s">
        <v>17</v>
      </c>
      <c r="E1248" s="11" t="s">
        <v>77</v>
      </c>
      <c r="F1248" s="13">
        <v>14.44</v>
      </c>
      <c r="G1248" s="14">
        <v>45156.0</v>
      </c>
      <c r="H1248" s="15">
        <f t="shared" si="1"/>
        <v>18</v>
      </c>
      <c r="I1248" s="16">
        <f t="shared" si="2"/>
        <v>8</v>
      </c>
      <c r="J1248" s="15">
        <f t="shared" si="3"/>
        <v>2023</v>
      </c>
      <c r="K1248" s="16">
        <f>STANDARDIZE(F1248,'estatística'!$C$2,'estatística'!$H$2)</f>
        <v>0.1663712332</v>
      </c>
    </row>
    <row r="1249" ht="15.75" customHeight="1">
      <c r="A1249" s="9">
        <v>86.0</v>
      </c>
      <c r="B1249" s="10" t="s">
        <v>40</v>
      </c>
      <c r="C1249" s="11" t="s">
        <v>41</v>
      </c>
      <c r="D1249" s="10" t="s">
        <v>17</v>
      </c>
      <c r="E1249" s="11" t="s">
        <v>27</v>
      </c>
      <c r="F1249" s="13">
        <v>18.67</v>
      </c>
      <c r="G1249" s="14">
        <v>45156.0</v>
      </c>
      <c r="H1249" s="15">
        <f t="shared" si="1"/>
        <v>18</v>
      </c>
      <c r="I1249" s="16">
        <f t="shared" si="2"/>
        <v>8</v>
      </c>
      <c r="J1249" s="15">
        <f t="shared" si="3"/>
        <v>2023</v>
      </c>
      <c r="K1249" s="16">
        <f>STANDARDIZE(F1249,'estatística'!$C$2,'estatística'!$H$2)</f>
        <v>0.219929096</v>
      </c>
    </row>
    <row r="1250" ht="15.75" customHeight="1">
      <c r="A1250" s="9">
        <v>85.0</v>
      </c>
      <c r="B1250" s="10" t="s">
        <v>170</v>
      </c>
      <c r="C1250" s="11" t="s">
        <v>171</v>
      </c>
      <c r="D1250" s="10" t="s">
        <v>17</v>
      </c>
      <c r="E1250" s="11" t="s">
        <v>65</v>
      </c>
      <c r="F1250" s="13">
        <v>32.99</v>
      </c>
      <c r="G1250" s="14">
        <v>45156.0</v>
      </c>
      <c r="H1250" s="15">
        <f t="shared" si="1"/>
        <v>18</v>
      </c>
      <c r="I1250" s="16">
        <f t="shared" si="2"/>
        <v>8</v>
      </c>
      <c r="J1250" s="15">
        <f t="shared" si="3"/>
        <v>2023</v>
      </c>
      <c r="K1250" s="16">
        <f>STANDARDIZE(F1250,'estatística'!$C$2,'estatística'!$H$2)</f>
        <v>0.4012408205</v>
      </c>
    </row>
    <row r="1251" ht="15.75" customHeight="1">
      <c r="A1251" s="9">
        <v>15.0</v>
      </c>
      <c r="B1251" s="10" t="s">
        <v>37</v>
      </c>
      <c r="C1251" s="11" t="s">
        <v>38</v>
      </c>
      <c r="D1251" s="10" t="s">
        <v>17</v>
      </c>
      <c r="E1251" s="11" t="s">
        <v>116</v>
      </c>
      <c r="F1251" s="13">
        <v>3.22</v>
      </c>
      <c r="G1251" s="14">
        <v>45156.0</v>
      </c>
      <c r="H1251" s="15">
        <f t="shared" si="1"/>
        <v>18</v>
      </c>
      <c r="I1251" s="16">
        <f t="shared" si="2"/>
        <v>8</v>
      </c>
      <c r="J1251" s="15">
        <f t="shared" si="3"/>
        <v>2023</v>
      </c>
      <c r="K1251" s="16">
        <f>STANDARDIZE(F1251,'estatística'!$C$2,'estatística'!$H$2)</f>
        <v>0.02430995189</v>
      </c>
    </row>
    <row r="1252" ht="15.75" customHeight="1">
      <c r="A1252" s="9">
        <v>23.0</v>
      </c>
      <c r="B1252" s="10" t="s">
        <v>207</v>
      </c>
      <c r="C1252" s="11" t="s">
        <v>208</v>
      </c>
      <c r="D1252" s="10" t="s">
        <v>17</v>
      </c>
      <c r="E1252" s="11" t="s">
        <v>80</v>
      </c>
      <c r="F1252" s="13">
        <v>39.86</v>
      </c>
      <c r="G1252" s="14">
        <v>45156.0</v>
      </c>
      <c r="H1252" s="15">
        <f t="shared" si="1"/>
        <v>18</v>
      </c>
      <c r="I1252" s="16">
        <f t="shared" si="2"/>
        <v>8</v>
      </c>
      <c r="J1252" s="15">
        <f t="shared" si="3"/>
        <v>2023</v>
      </c>
      <c r="K1252" s="16">
        <f>STANDARDIZE(F1252,'estatística'!$C$2,'estatística'!$H$2)</f>
        <v>0.4882248671</v>
      </c>
    </row>
    <row r="1253" ht="15.75" customHeight="1">
      <c r="A1253" s="9">
        <v>23.0</v>
      </c>
      <c r="B1253" s="10" t="s">
        <v>207</v>
      </c>
      <c r="C1253" s="11" t="s">
        <v>208</v>
      </c>
      <c r="D1253" s="10" t="s">
        <v>17</v>
      </c>
      <c r="E1253" s="11" t="s">
        <v>39</v>
      </c>
      <c r="F1253" s="13">
        <v>48.24</v>
      </c>
      <c r="G1253" s="14">
        <v>45157.0</v>
      </c>
      <c r="H1253" s="15">
        <f t="shared" si="1"/>
        <v>19</v>
      </c>
      <c r="I1253" s="16">
        <f t="shared" si="2"/>
        <v>8</v>
      </c>
      <c r="J1253" s="15">
        <f t="shared" si="3"/>
        <v>2023</v>
      </c>
      <c r="K1253" s="16">
        <f>STANDARDIZE(F1253,'estatística'!$C$2,'estatística'!$H$2)</f>
        <v>0.5943276779</v>
      </c>
    </row>
    <row r="1254" ht="15.75" customHeight="1">
      <c r="A1254" s="9">
        <v>19.0</v>
      </c>
      <c r="B1254" s="10" t="s">
        <v>25</v>
      </c>
      <c r="C1254" s="11" t="s">
        <v>165</v>
      </c>
      <c r="D1254" s="10" t="s">
        <v>17</v>
      </c>
      <c r="E1254" s="11" t="s">
        <v>27</v>
      </c>
      <c r="F1254" s="13">
        <v>14.79</v>
      </c>
      <c r="G1254" s="14">
        <v>45157.0</v>
      </c>
      <c r="H1254" s="15">
        <f t="shared" si="1"/>
        <v>19</v>
      </c>
      <c r="I1254" s="16">
        <f t="shared" si="2"/>
        <v>8</v>
      </c>
      <c r="J1254" s="15">
        <f t="shared" si="3"/>
        <v>2023</v>
      </c>
      <c r="K1254" s="16">
        <f>STANDARDIZE(F1254,'estatística'!$C$2,'estatística'!$H$2)</f>
        <v>0.1708027349</v>
      </c>
    </row>
    <row r="1255" ht="15.75" customHeight="1">
      <c r="A1255" s="9">
        <v>14.0</v>
      </c>
      <c r="B1255" s="10" t="s">
        <v>143</v>
      </c>
      <c r="C1255" s="11" t="s">
        <v>144</v>
      </c>
      <c r="D1255" s="10" t="s">
        <v>13</v>
      </c>
      <c r="E1255" s="11" t="s">
        <v>107</v>
      </c>
      <c r="F1255" s="13">
        <v>25.52</v>
      </c>
      <c r="G1255" s="14">
        <v>45157.0</v>
      </c>
      <c r="H1255" s="15">
        <f t="shared" si="1"/>
        <v>19</v>
      </c>
      <c r="I1255" s="16">
        <f t="shared" si="2"/>
        <v>8</v>
      </c>
      <c r="J1255" s="15">
        <f t="shared" si="3"/>
        <v>2023</v>
      </c>
      <c r="K1255" s="16">
        <f>STANDARDIZE(F1255,'estatística'!$C$2,'estatística'!$H$2)</f>
        <v>0.3066599139</v>
      </c>
    </row>
    <row r="1256" ht="15.75" customHeight="1">
      <c r="A1256" s="9">
        <v>71.0</v>
      </c>
      <c r="B1256" s="10" t="s">
        <v>122</v>
      </c>
      <c r="C1256" s="11" t="s">
        <v>123</v>
      </c>
      <c r="D1256" s="10" t="s">
        <v>17</v>
      </c>
      <c r="E1256" s="11" t="s">
        <v>107</v>
      </c>
      <c r="F1256" s="13">
        <v>27.37</v>
      </c>
      <c r="G1256" s="14">
        <v>45157.0</v>
      </c>
      <c r="H1256" s="15">
        <f t="shared" si="1"/>
        <v>19</v>
      </c>
      <c r="I1256" s="16">
        <f t="shared" si="2"/>
        <v>8</v>
      </c>
      <c r="J1256" s="15">
        <f t="shared" si="3"/>
        <v>2023</v>
      </c>
      <c r="K1256" s="16">
        <f>STANDARDIZE(F1256,'estatística'!$C$2,'estatística'!$H$2)</f>
        <v>0.3300835655</v>
      </c>
    </row>
    <row r="1257" ht="15.75" customHeight="1">
      <c r="A1257" s="9">
        <v>4.0</v>
      </c>
      <c r="B1257" s="10" t="s">
        <v>87</v>
      </c>
      <c r="C1257" s="11" t="s">
        <v>88</v>
      </c>
      <c r="D1257" s="10" t="s">
        <v>17</v>
      </c>
      <c r="E1257" s="11" t="s">
        <v>29</v>
      </c>
      <c r="F1257" s="13">
        <v>13.84</v>
      </c>
      <c r="G1257" s="14">
        <v>45157.0</v>
      </c>
      <c r="H1257" s="15">
        <f t="shared" si="1"/>
        <v>19</v>
      </c>
      <c r="I1257" s="16">
        <f t="shared" si="2"/>
        <v>8</v>
      </c>
      <c r="J1257" s="15">
        <f t="shared" si="3"/>
        <v>2023</v>
      </c>
      <c r="K1257" s="16">
        <f>STANDARDIZE(F1257,'estatística'!$C$2,'estatística'!$H$2)</f>
        <v>0.1587743733</v>
      </c>
    </row>
    <row r="1258" ht="15.75" customHeight="1">
      <c r="A1258" s="9">
        <v>6.0</v>
      </c>
      <c r="B1258" s="10" t="s">
        <v>155</v>
      </c>
      <c r="C1258" s="11" t="s">
        <v>156</v>
      </c>
      <c r="D1258" s="10" t="s">
        <v>13</v>
      </c>
      <c r="E1258" s="11" t="s">
        <v>32</v>
      </c>
      <c r="F1258" s="13">
        <v>26.77</v>
      </c>
      <c r="G1258" s="14">
        <v>45157.0</v>
      </c>
      <c r="H1258" s="15">
        <f t="shared" si="1"/>
        <v>19</v>
      </c>
      <c r="I1258" s="16">
        <f t="shared" si="2"/>
        <v>8</v>
      </c>
      <c r="J1258" s="15">
        <f t="shared" si="3"/>
        <v>2023</v>
      </c>
      <c r="K1258" s="16">
        <f>STANDARDIZE(F1258,'estatística'!$C$2,'estatística'!$H$2)</f>
        <v>0.3224867055</v>
      </c>
    </row>
    <row r="1259" ht="15.75" customHeight="1">
      <c r="A1259" s="9">
        <v>24.0</v>
      </c>
      <c r="B1259" s="10" t="s">
        <v>110</v>
      </c>
      <c r="C1259" s="11" t="s">
        <v>111</v>
      </c>
      <c r="D1259" s="10" t="s">
        <v>17</v>
      </c>
      <c r="E1259" s="11" t="s">
        <v>48</v>
      </c>
      <c r="F1259" s="13">
        <v>11.11</v>
      </c>
      <c r="G1259" s="14">
        <v>45157.0</v>
      </c>
      <c r="H1259" s="15">
        <f t="shared" si="1"/>
        <v>19</v>
      </c>
      <c r="I1259" s="16">
        <f t="shared" si="2"/>
        <v>8</v>
      </c>
      <c r="J1259" s="15">
        <f t="shared" si="3"/>
        <v>2023</v>
      </c>
      <c r="K1259" s="16">
        <f>STANDARDIZE(F1259,'estatística'!$C$2,'estatística'!$H$2)</f>
        <v>0.1242086604</v>
      </c>
    </row>
    <row r="1260" ht="15.75" customHeight="1">
      <c r="A1260" s="9">
        <v>63.0</v>
      </c>
      <c r="B1260" s="10" t="s">
        <v>197</v>
      </c>
      <c r="C1260" s="11" t="s">
        <v>198</v>
      </c>
      <c r="D1260" s="10" t="s">
        <v>13</v>
      </c>
      <c r="E1260" s="11" t="s">
        <v>29</v>
      </c>
      <c r="F1260" s="13">
        <v>12.9</v>
      </c>
      <c r="G1260" s="14">
        <v>45157.0</v>
      </c>
      <c r="H1260" s="15">
        <f t="shared" si="1"/>
        <v>19</v>
      </c>
      <c r="I1260" s="16">
        <f t="shared" si="2"/>
        <v>8</v>
      </c>
      <c r="J1260" s="15">
        <f t="shared" si="3"/>
        <v>2023</v>
      </c>
      <c r="K1260" s="16">
        <f>STANDARDIZE(F1260,'estatística'!$C$2,'estatística'!$H$2)</f>
        <v>0.146872626</v>
      </c>
    </row>
    <row r="1261" ht="15.75" customHeight="1">
      <c r="A1261" s="9">
        <v>3.0</v>
      </c>
      <c r="B1261" s="10" t="s">
        <v>51</v>
      </c>
      <c r="C1261" s="11" t="s">
        <v>52</v>
      </c>
      <c r="D1261" s="10" t="s">
        <v>17</v>
      </c>
      <c r="E1261" s="11" t="s">
        <v>32</v>
      </c>
      <c r="F1261" s="13">
        <v>28.31</v>
      </c>
      <c r="G1261" s="14">
        <v>45158.0</v>
      </c>
      <c r="H1261" s="15">
        <f t="shared" si="1"/>
        <v>20</v>
      </c>
      <c r="I1261" s="16">
        <f t="shared" si="2"/>
        <v>8</v>
      </c>
      <c r="J1261" s="15">
        <f t="shared" si="3"/>
        <v>2023</v>
      </c>
      <c r="K1261" s="16">
        <f>STANDARDIZE(F1261,'estatística'!$C$2,'estatística'!$H$2)</f>
        <v>0.3419853127</v>
      </c>
    </row>
    <row r="1262" ht="15.75" customHeight="1">
      <c r="A1262" s="9">
        <v>25.0</v>
      </c>
      <c r="B1262" s="10" t="s">
        <v>126</v>
      </c>
      <c r="C1262" s="11" t="s">
        <v>127</v>
      </c>
      <c r="D1262" s="10" t="s">
        <v>13</v>
      </c>
      <c r="E1262" s="11" t="s">
        <v>32</v>
      </c>
      <c r="F1262" s="13">
        <v>27.82</v>
      </c>
      <c r="G1262" s="14">
        <v>45158.0</v>
      </c>
      <c r="H1262" s="15">
        <f t="shared" si="1"/>
        <v>20</v>
      </c>
      <c r="I1262" s="16">
        <f t="shared" si="2"/>
        <v>8</v>
      </c>
      <c r="J1262" s="15">
        <f t="shared" si="3"/>
        <v>2023</v>
      </c>
      <c r="K1262" s="16">
        <f>STANDARDIZE(F1262,'estatística'!$C$2,'estatística'!$H$2)</f>
        <v>0.3357812104</v>
      </c>
    </row>
    <row r="1263" ht="15.75" customHeight="1">
      <c r="A1263" s="9">
        <v>13.0</v>
      </c>
      <c r="B1263" s="10" t="s">
        <v>108</v>
      </c>
      <c r="C1263" s="11" t="s">
        <v>109</v>
      </c>
      <c r="D1263" s="10" t="s">
        <v>13</v>
      </c>
      <c r="E1263" s="11" t="s">
        <v>39</v>
      </c>
      <c r="F1263" s="13">
        <v>34.55</v>
      </c>
      <c r="G1263" s="14">
        <v>45158.0</v>
      </c>
      <c r="H1263" s="15">
        <f t="shared" si="1"/>
        <v>20</v>
      </c>
      <c r="I1263" s="16">
        <f t="shared" si="2"/>
        <v>8</v>
      </c>
      <c r="J1263" s="15">
        <f t="shared" si="3"/>
        <v>2023</v>
      </c>
      <c r="K1263" s="16">
        <f>STANDARDIZE(F1263,'estatística'!$C$2,'estatística'!$H$2)</f>
        <v>0.4209926564</v>
      </c>
    </row>
    <row r="1264" ht="15.75" customHeight="1">
      <c r="A1264" s="9">
        <v>49.0</v>
      </c>
      <c r="B1264" s="10" t="s">
        <v>151</v>
      </c>
      <c r="C1264" s="11" t="s">
        <v>152</v>
      </c>
      <c r="D1264" s="10" t="s">
        <v>17</v>
      </c>
      <c r="E1264" s="11" t="s">
        <v>32</v>
      </c>
      <c r="F1264" s="13">
        <v>32.64</v>
      </c>
      <c r="G1264" s="14">
        <v>45158.0</v>
      </c>
      <c r="H1264" s="15">
        <f t="shared" si="1"/>
        <v>20</v>
      </c>
      <c r="I1264" s="16">
        <f t="shared" si="2"/>
        <v>8</v>
      </c>
      <c r="J1264" s="15">
        <f t="shared" si="3"/>
        <v>2023</v>
      </c>
      <c r="K1264" s="16">
        <f>STANDARDIZE(F1264,'estatística'!$C$2,'estatística'!$H$2)</f>
        <v>0.3968093188</v>
      </c>
    </row>
    <row r="1265" ht="15.75" customHeight="1">
      <c r="A1265" s="9">
        <v>52.0</v>
      </c>
      <c r="B1265" s="10" t="s">
        <v>153</v>
      </c>
      <c r="C1265" s="11" t="s">
        <v>154</v>
      </c>
      <c r="D1265" s="10" t="s">
        <v>17</v>
      </c>
      <c r="E1265" s="11" t="s">
        <v>107</v>
      </c>
      <c r="F1265" s="13">
        <v>32.28</v>
      </c>
      <c r="G1265" s="14">
        <v>45158.0</v>
      </c>
      <c r="H1265" s="15">
        <f t="shared" si="1"/>
        <v>20</v>
      </c>
      <c r="I1265" s="16">
        <f t="shared" si="2"/>
        <v>8</v>
      </c>
      <c r="J1265" s="15">
        <f t="shared" si="3"/>
        <v>2023</v>
      </c>
      <c r="K1265" s="16">
        <f>STANDARDIZE(F1265,'estatística'!$C$2,'estatística'!$H$2)</f>
        <v>0.3922512028</v>
      </c>
    </row>
    <row r="1266" ht="15.75" customHeight="1">
      <c r="A1266" s="9">
        <v>90.0</v>
      </c>
      <c r="B1266" s="10" t="s">
        <v>191</v>
      </c>
      <c r="C1266" s="11" t="s">
        <v>192</v>
      </c>
      <c r="D1266" s="10" t="s">
        <v>17</v>
      </c>
      <c r="E1266" s="11" t="s">
        <v>80</v>
      </c>
      <c r="F1266" s="13">
        <v>41.32</v>
      </c>
      <c r="G1266" s="14">
        <v>45159.0</v>
      </c>
      <c r="H1266" s="15">
        <f t="shared" si="1"/>
        <v>21</v>
      </c>
      <c r="I1266" s="16">
        <f t="shared" si="2"/>
        <v>8</v>
      </c>
      <c r="J1266" s="15">
        <f t="shared" si="3"/>
        <v>2023</v>
      </c>
      <c r="K1266" s="16">
        <f>STANDARDIZE(F1266,'estatística'!$C$2,'estatística'!$H$2)</f>
        <v>0.5067105596</v>
      </c>
    </row>
    <row r="1267" ht="15.75" customHeight="1">
      <c r="A1267" s="9">
        <v>52.0</v>
      </c>
      <c r="B1267" s="10" t="s">
        <v>153</v>
      </c>
      <c r="C1267" s="11" t="s">
        <v>154</v>
      </c>
      <c r="D1267" s="10" t="s">
        <v>17</v>
      </c>
      <c r="E1267" s="11" t="s">
        <v>36</v>
      </c>
      <c r="F1267" s="13">
        <v>74.68</v>
      </c>
      <c r="G1267" s="14">
        <v>45159.0</v>
      </c>
      <c r="H1267" s="15">
        <f t="shared" si="1"/>
        <v>21</v>
      </c>
      <c r="I1267" s="16">
        <f t="shared" si="2"/>
        <v>8</v>
      </c>
      <c r="J1267" s="15">
        <f t="shared" si="3"/>
        <v>2023</v>
      </c>
      <c r="K1267" s="16">
        <f>STANDARDIZE(F1267,'estatística'!$C$2,'estatística'!$H$2)</f>
        <v>0.9290959737</v>
      </c>
    </row>
    <row r="1268" ht="15.75" customHeight="1">
      <c r="A1268" s="9">
        <v>23.0</v>
      </c>
      <c r="B1268" s="10" t="s">
        <v>207</v>
      </c>
      <c r="C1268" s="11" t="s">
        <v>208</v>
      </c>
      <c r="D1268" s="10" t="s">
        <v>17</v>
      </c>
      <c r="E1268" s="11" t="s">
        <v>14</v>
      </c>
      <c r="F1268" s="13">
        <v>10.46</v>
      </c>
      <c r="G1268" s="14">
        <v>45159.0</v>
      </c>
      <c r="H1268" s="15">
        <f t="shared" si="1"/>
        <v>21</v>
      </c>
      <c r="I1268" s="16">
        <f t="shared" si="2"/>
        <v>8</v>
      </c>
      <c r="J1268" s="15">
        <f t="shared" si="3"/>
        <v>2023</v>
      </c>
      <c r="K1268" s="16">
        <f>STANDARDIZE(F1268,'estatística'!$C$2,'estatística'!$H$2)</f>
        <v>0.1159787288</v>
      </c>
    </row>
    <row r="1269" ht="15.75" customHeight="1">
      <c r="A1269" s="9">
        <v>85.0</v>
      </c>
      <c r="B1269" s="10" t="s">
        <v>170</v>
      </c>
      <c r="C1269" s="11" t="s">
        <v>171</v>
      </c>
      <c r="D1269" s="10" t="s">
        <v>13</v>
      </c>
      <c r="E1269" s="11" t="s">
        <v>27</v>
      </c>
      <c r="F1269" s="13">
        <v>13.66</v>
      </c>
      <c r="G1269" s="14">
        <v>45159.0</v>
      </c>
      <c r="H1269" s="15">
        <f t="shared" si="1"/>
        <v>21</v>
      </c>
      <c r="I1269" s="16">
        <f t="shared" si="2"/>
        <v>8</v>
      </c>
      <c r="J1269" s="15">
        <f t="shared" si="3"/>
        <v>2023</v>
      </c>
      <c r="K1269" s="16">
        <f>STANDARDIZE(F1269,'estatística'!$C$2,'estatística'!$H$2)</f>
        <v>0.1564953153</v>
      </c>
    </row>
    <row r="1270" ht="15.75" customHeight="1">
      <c r="A1270" s="9">
        <v>16.0</v>
      </c>
      <c r="B1270" s="10" t="s">
        <v>147</v>
      </c>
      <c r="C1270" s="11" t="s">
        <v>148</v>
      </c>
      <c r="D1270" s="10" t="s">
        <v>17</v>
      </c>
      <c r="E1270" s="11" t="s">
        <v>33</v>
      </c>
      <c r="F1270" s="13">
        <v>62.25</v>
      </c>
      <c r="G1270" s="14">
        <v>45159.0</v>
      </c>
      <c r="H1270" s="15">
        <f t="shared" si="1"/>
        <v>21</v>
      </c>
      <c r="I1270" s="16">
        <f t="shared" si="2"/>
        <v>8</v>
      </c>
      <c r="J1270" s="15">
        <f t="shared" si="3"/>
        <v>2023</v>
      </c>
      <c r="K1270" s="16">
        <f>STANDARDIZE(F1270,'estatística'!$C$2,'estatística'!$H$2)</f>
        <v>0.7717143581</v>
      </c>
    </row>
    <row r="1271" ht="15.75" customHeight="1">
      <c r="A1271" s="9">
        <v>28.0</v>
      </c>
      <c r="B1271" s="10" t="s">
        <v>49</v>
      </c>
      <c r="C1271" s="11" t="s">
        <v>50</v>
      </c>
      <c r="D1271" s="10" t="s">
        <v>17</v>
      </c>
      <c r="E1271" s="11" t="s">
        <v>116</v>
      </c>
      <c r="F1271" s="13">
        <v>2.61</v>
      </c>
      <c r="G1271" s="14">
        <v>45159.0</v>
      </c>
      <c r="H1271" s="15">
        <f t="shared" si="1"/>
        <v>21</v>
      </c>
      <c r="I1271" s="16">
        <f t="shared" si="2"/>
        <v>8</v>
      </c>
      <c r="J1271" s="15">
        <f t="shared" si="3"/>
        <v>2023</v>
      </c>
      <c r="K1271" s="16">
        <f>STANDARDIZE(F1271,'estatística'!$C$2,'estatística'!$H$2)</f>
        <v>0.01658647759</v>
      </c>
    </row>
    <row r="1272" ht="15.75" customHeight="1">
      <c r="A1272" s="9">
        <v>2.0</v>
      </c>
      <c r="B1272" s="10" t="s">
        <v>53</v>
      </c>
      <c r="C1272" s="11" t="s">
        <v>54</v>
      </c>
      <c r="D1272" s="10" t="s">
        <v>17</v>
      </c>
      <c r="E1272" s="11" t="s">
        <v>33</v>
      </c>
      <c r="F1272" s="13">
        <v>47.61</v>
      </c>
      <c r="G1272" s="14">
        <v>45159.0</v>
      </c>
      <c r="H1272" s="15">
        <f t="shared" si="1"/>
        <v>21</v>
      </c>
      <c r="I1272" s="16">
        <f t="shared" si="2"/>
        <v>8</v>
      </c>
      <c r="J1272" s="15">
        <f t="shared" si="3"/>
        <v>2023</v>
      </c>
      <c r="K1272" s="16">
        <f>STANDARDIZE(F1272,'estatística'!$C$2,'estatística'!$H$2)</f>
        <v>0.5863509749</v>
      </c>
    </row>
    <row r="1273" ht="15.75" customHeight="1">
      <c r="A1273" s="9">
        <v>72.0</v>
      </c>
      <c r="B1273" s="10" t="s">
        <v>103</v>
      </c>
      <c r="C1273" s="11" t="s">
        <v>104</v>
      </c>
      <c r="D1273" s="10" t="s">
        <v>17</v>
      </c>
      <c r="E1273" s="11" t="s">
        <v>39</v>
      </c>
      <c r="F1273" s="13">
        <v>39.66</v>
      </c>
      <c r="G1273" s="14">
        <v>45160.0</v>
      </c>
      <c r="H1273" s="15">
        <f t="shared" si="1"/>
        <v>22</v>
      </c>
      <c r="I1273" s="16">
        <f t="shared" si="2"/>
        <v>8</v>
      </c>
      <c r="J1273" s="15">
        <f t="shared" si="3"/>
        <v>2023</v>
      </c>
      <c r="K1273" s="16">
        <f>STANDARDIZE(F1273,'estatística'!$C$2,'estatística'!$H$2)</f>
        <v>0.4856925804</v>
      </c>
    </row>
    <row r="1274" ht="15.75" customHeight="1">
      <c r="A1274" s="9">
        <v>31.0</v>
      </c>
      <c r="B1274" s="10" t="s">
        <v>201</v>
      </c>
      <c r="C1274" s="11" t="s">
        <v>202</v>
      </c>
      <c r="D1274" s="10" t="s">
        <v>17</v>
      </c>
      <c r="E1274" s="11" t="s">
        <v>36</v>
      </c>
      <c r="F1274" s="13">
        <v>65.14</v>
      </c>
      <c r="G1274" s="14">
        <v>45160.0</v>
      </c>
      <c r="H1274" s="15">
        <f t="shared" si="1"/>
        <v>22</v>
      </c>
      <c r="I1274" s="16">
        <f t="shared" si="2"/>
        <v>8</v>
      </c>
      <c r="J1274" s="15">
        <f t="shared" si="3"/>
        <v>2023</v>
      </c>
      <c r="K1274" s="16">
        <f>STANDARDIZE(F1274,'estatística'!$C$2,'estatística'!$H$2)</f>
        <v>0.8083059002</v>
      </c>
    </row>
    <row r="1275" ht="15.75" customHeight="1">
      <c r="A1275" s="9">
        <v>9.0</v>
      </c>
      <c r="B1275" s="10" t="s">
        <v>179</v>
      </c>
      <c r="C1275" s="11" t="s">
        <v>180</v>
      </c>
      <c r="D1275" s="10" t="s">
        <v>13</v>
      </c>
      <c r="E1275" s="11" t="s">
        <v>62</v>
      </c>
      <c r="F1275" s="13">
        <v>11.29</v>
      </c>
      <c r="G1275" s="14">
        <v>45160.0</v>
      </c>
      <c r="H1275" s="15">
        <f t="shared" si="1"/>
        <v>22</v>
      </c>
      <c r="I1275" s="16">
        <f t="shared" si="2"/>
        <v>8</v>
      </c>
      <c r="J1275" s="15">
        <f t="shared" si="3"/>
        <v>2023</v>
      </c>
      <c r="K1275" s="16">
        <f>STANDARDIZE(F1275,'estatística'!$C$2,'estatística'!$H$2)</f>
        <v>0.1264877184</v>
      </c>
    </row>
    <row r="1276" ht="15.75" customHeight="1">
      <c r="A1276" s="9">
        <v>15.0</v>
      </c>
      <c r="B1276" s="10" t="s">
        <v>37</v>
      </c>
      <c r="C1276" s="11" t="s">
        <v>38</v>
      </c>
      <c r="D1276" s="10" t="s">
        <v>13</v>
      </c>
      <c r="E1276" s="11" t="s">
        <v>14</v>
      </c>
      <c r="F1276" s="13">
        <v>10.43</v>
      </c>
      <c r="G1276" s="14">
        <v>45160.0</v>
      </c>
      <c r="H1276" s="15">
        <f t="shared" si="1"/>
        <v>22</v>
      </c>
      <c r="I1276" s="16">
        <f t="shared" si="2"/>
        <v>8</v>
      </c>
      <c r="J1276" s="15">
        <f t="shared" si="3"/>
        <v>2023</v>
      </c>
      <c r="K1276" s="16">
        <f>STANDARDIZE(F1276,'estatística'!$C$2,'estatística'!$H$2)</f>
        <v>0.1155988858</v>
      </c>
    </row>
    <row r="1277" ht="15.75" customHeight="1">
      <c r="A1277" s="9">
        <v>62.0</v>
      </c>
      <c r="B1277" s="10" t="s">
        <v>128</v>
      </c>
      <c r="C1277" s="11" t="s">
        <v>129</v>
      </c>
      <c r="D1277" s="10" t="s">
        <v>13</v>
      </c>
      <c r="E1277" s="11" t="s">
        <v>39</v>
      </c>
      <c r="F1277" s="13">
        <v>35.14</v>
      </c>
      <c r="G1277" s="14">
        <v>45160.0</v>
      </c>
      <c r="H1277" s="15">
        <f t="shared" si="1"/>
        <v>22</v>
      </c>
      <c r="I1277" s="16">
        <f t="shared" si="2"/>
        <v>8</v>
      </c>
      <c r="J1277" s="15">
        <f t="shared" si="3"/>
        <v>2023</v>
      </c>
      <c r="K1277" s="16">
        <f>STANDARDIZE(F1277,'estatística'!$C$2,'estatística'!$H$2)</f>
        <v>0.428462902</v>
      </c>
    </row>
    <row r="1278" ht="15.75" customHeight="1">
      <c r="A1278" s="9">
        <v>55.0</v>
      </c>
      <c r="B1278" s="10" t="s">
        <v>174</v>
      </c>
      <c r="C1278" s="11" t="s">
        <v>175</v>
      </c>
      <c r="D1278" s="10" t="s">
        <v>17</v>
      </c>
      <c r="E1278" s="11" t="s">
        <v>21</v>
      </c>
      <c r="F1278" s="13">
        <v>20.23</v>
      </c>
      <c r="G1278" s="14">
        <v>45160.0</v>
      </c>
      <c r="H1278" s="15">
        <f t="shared" si="1"/>
        <v>22</v>
      </c>
      <c r="I1278" s="16">
        <f t="shared" si="2"/>
        <v>8</v>
      </c>
      <c r="J1278" s="15">
        <f t="shared" si="3"/>
        <v>2023</v>
      </c>
      <c r="K1278" s="16">
        <f>STANDARDIZE(F1278,'estatística'!$C$2,'estatística'!$H$2)</f>
        <v>0.2396809319</v>
      </c>
    </row>
    <row r="1279" ht="15.75" customHeight="1">
      <c r="A1279" s="9">
        <v>59.0</v>
      </c>
      <c r="B1279" s="10" t="s">
        <v>71</v>
      </c>
      <c r="C1279" s="11" t="s">
        <v>72</v>
      </c>
      <c r="D1279" s="10" t="s">
        <v>17</v>
      </c>
      <c r="E1279" s="11" t="s">
        <v>32</v>
      </c>
      <c r="F1279" s="13">
        <v>26.13</v>
      </c>
      <c r="G1279" s="14">
        <v>45160.0</v>
      </c>
      <c r="H1279" s="15">
        <f t="shared" si="1"/>
        <v>22</v>
      </c>
      <c r="I1279" s="16">
        <f t="shared" si="2"/>
        <v>8</v>
      </c>
      <c r="J1279" s="15">
        <f t="shared" si="3"/>
        <v>2023</v>
      </c>
      <c r="K1279" s="16">
        <f>STANDARDIZE(F1279,'estatística'!$C$2,'estatística'!$H$2)</f>
        <v>0.3143833882</v>
      </c>
    </row>
    <row r="1280" ht="15.75" customHeight="1">
      <c r="A1280" s="9">
        <v>58.0</v>
      </c>
      <c r="B1280" s="10" t="s">
        <v>137</v>
      </c>
      <c r="C1280" s="11" t="s">
        <v>138</v>
      </c>
      <c r="D1280" s="10" t="s">
        <v>17</v>
      </c>
      <c r="E1280" s="11" t="s">
        <v>65</v>
      </c>
      <c r="F1280" s="13">
        <v>28.55</v>
      </c>
      <c r="G1280" s="14">
        <v>45160.0</v>
      </c>
      <c r="H1280" s="15">
        <f t="shared" si="1"/>
        <v>22</v>
      </c>
      <c r="I1280" s="16">
        <f t="shared" si="2"/>
        <v>8</v>
      </c>
      <c r="J1280" s="15">
        <f t="shared" si="3"/>
        <v>2023</v>
      </c>
      <c r="K1280" s="16">
        <f>STANDARDIZE(F1280,'estatística'!$C$2,'estatística'!$H$2)</f>
        <v>0.3450240567</v>
      </c>
    </row>
    <row r="1281" ht="15.75" customHeight="1">
      <c r="A1281" s="9">
        <v>21.0</v>
      </c>
      <c r="B1281" s="10" t="s">
        <v>158</v>
      </c>
      <c r="C1281" s="11" t="s">
        <v>159</v>
      </c>
      <c r="D1281" s="10" t="s">
        <v>13</v>
      </c>
      <c r="E1281" s="11" t="s">
        <v>65</v>
      </c>
      <c r="F1281" s="13">
        <v>31.6</v>
      </c>
      <c r="G1281" s="14">
        <v>45160.0</v>
      </c>
      <c r="H1281" s="15">
        <f t="shared" si="1"/>
        <v>22</v>
      </c>
      <c r="I1281" s="16">
        <f t="shared" si="2"/>
        <v>8</v>
      </c>
      <c r="J1281" s="15">
        <f t="shared" si="3"/>
        <v>2023</v>
      </c>
      <c r="K1281" s="16">
        <f>STANDARDIZE(F1281,'estatística'!$C$2,'estatística'!$H$2)</f>
        <v>0.3836414282</v>
      </c>
    </row>
    <row r="1282" ht="15.75" customHeight="1">
      <c r="A1282" s="9">
        <v>24.0</v>
      </c>
      <c r="B1282" s="10" t="s">
        <v>110</v>
      </c>
      <c r="C1282" s="11" t="s">
        <v>111</v>
      </c>
      <c r="D1282" s="10" t="s">
        <v>13</v>
      </c>
      <c r="E1282" s="11" t="s">
        <v>27</v>
      </c>
      <c r="F1282" s="13">
        <v>15.92</v>
      </c>
      <c r="G1282" s="14">
        <v>45160.0</v>
      </c>
      <c r="H1282" s="15">
        <f t="shared" si="1"/>
        <v>22</v>
      </c>
      <c r="I1282" s="16">
        <f t="shared" si="2"/>
        <v>8</v>
      </c>
      <c r="J1282" s="15">
        <f t="shared" si="3"/>
        <v>2023</v>
      </c>
      <c r="K1282" s="16">
        <f>STANDARDIZE(F1282,'estatística'!$C$2,'estatística'!$H$2)</f>
        <v>0.1851101545</v>
      </c>
    </row>
    <row r="1283" ht="15.75" customHeight="1">
      <c r="A1283" s="9">
        <v>64.0</v>
      </c>
      <c r="B1283" s="10" t="s">
        <v>131</v>
      </c>
      <c r="C1283" s="11" t="s">
        <v>132</v>
      </c>
      <c r="D1283" s="10" t="s">
        <v>13</v>
      </c>
      <c r="E1283" s="11" t="s">
        <v>39</v>
      </c>
      <c r="F1283" s="13">
        <v>51.7</v>
      </c>
      <c r="G1283" s="14">
        <v>45161.0</v>
      </c>
      <c r="H1283" s="15">
        <f t="shared" si="1"/>
        <v>23</v>
      </c>
      <c r="I1283" s="16">
        <f t="shared" si="2"/>
        <v>8</v>
      </c>
      <c r="J1283" s="15">
        <f t="shared" si="3"/>
        <v>2023</v>
      </c>
      <c r="K1283" s="16">
        <f>STANDARDIZE(F1283,'estatística'!$C$2,'estatística'!$H$2)</f>
        <v>0.638136237</v>
      </c>
    </row>
    <row r="1284" ht="15.75" customHeight="1">
      <c r="A1284" s="9">
        <v>18.0</v>
      </c>
      <c r="B1284" s="10" t="s">
        <v>135</v>
      </c>
      <c r="C1284" s="11" t="s">
        <v>212</v>
      </c>
      <c r="D1284" s="10" t="s">
        <v>13</v>
      </c>
      <c r="E1284" s="11" t="s">
        <v>48</v>
      </c>
      <c r="F1284" s="13">
        <v>10.0</v>
      </c>
      <c r="G1284" s="14">
        <v>45161.0</v>
      </c>
      <c r="H1284" s="15">
        <f t="shared" si="1"/>
        <v>23</v>
      </c>
      <c r="I1284" s="16">
        <f t="shared" si="2"/>
        <v>8</v>
      </c>
      <c r="J1284" s="15">
        <f t="shared" si="3"/>
        <v>2023</v>
      </c>
      <c r="K1284" s="16">
        <f>STANDARDIZE(F1284,'estatística'!$C$2,'estatística'!$H$2)</f>
        <v>0.1101544695</v>
      </c>
    </row>
    <row r="1285" ht="15.75" customHeight="1">
      <c r="A1285" s="9">
        <v>75.0</v>
      </c>
      <c r="B1285" s="10" t="s">
        <v>210</v>
      </c>
      <c r="C1285" s="11" t="s">
        <v>211</v>
      </c>
      <c r="D1285" s="10" t="s">
        <v>13</v>
      </c>
      <c r="E1285" s="11" t="s">
        <v>77</v>
      </c>
      <c r="F1285" s="13">
        <v>12.81</v>
      </c>
      <c r="G1285" s="14">
        <v>45161.0</v>
      </c>
      <c r="H1285" s="15">
        <f t="shared" si="1"/>
        <v>23</v>
      </c>
      <c r="I1285" s="16">
        <f t="shared" si="2"/>
        <v>8</v>
      </c>
      <c r="J1285" s="15">
        <f t="shared" si="3"/>
        <v>2023</v>
      </c>
      <c r="K1285" s="16">
        <f>STANDARDIZE(F1285,'estatística'!$C$2,'estatística'!$H$2)</f>
        <v>0.145733097</v>
      </c>
    </row>
    <row r="1286" ht="15.75" customHeight="1">
      <c r="A1286" s="9">
        <v>99.0</v>
      </c>
      <c r="B1286" s="10" t="s">
        <v>46</v>
      </c>
      <c r="C1286" s="11" t="s">
        <v>47</v>
      </c>
      <c r="D1286" s="10" t="s">
        <v>13</v>
      </c>
      <c r="E1286" s="11" t="s">
        <v>80</v>
      </c>
      <c r="F1286" s="13">
        <v>35.86</v>
      </c>
      <c r="G1286" s="14">
        <v>45161.0</v>
      </c>
      <c r="H1286" s="15">
        <f t="shared" si="1"/>
        <v>23</v>
      </c>
      <c r="I1286" s="16">
        <f t="shared" si="2"/>
        <v>8</v>
      </c>
      <c r="J1286" s="15">
        <f t="shared" si="3"/>
        <v>2023</v>
      </c>
      <c r="K1286" s="16">
        <f>STANDARDIZE(F1286,'estatística'!$C$2,'estatística'!$H$2)</f>
        <v>0.437579134</v>
      </c>
    </row>
    <row r="1287" ht="15.75" customHeight="1">
      <c r="A1287" s="9">
        <v>28.0</v>
      </c>
      <c r="B1287" s="10" t="s">
        <v>49</v>
      </c>
      <c r="C1287" s="11" t="s">
        <v>50</v>
      </c>
      <c r="D1287" s="10" t="s">
        <v>17</v>
      </c>
      <c r="E1287" s="11" t="s">
        <v>29</v>
      </c>
      <c r="F1287" s="13">
        <v>12.61</v>
      </c>
      <c r="G1287" s="14">
        <v>45161.0</v>
      </c>
      <c r="H1287" s="15">
        <f t="shared" si="1"/>
        <v>23</v>
      </c>
      <c r="I1287" s="16">
        <f t="shared" si="2"/>
        <v>8</v>
      </c>
      <c r="J1287" s="15">
        <f t="shared" si="3"/>
        <v>2023</v>
      </c>
      <c r="K1287" s="16">
        <f>STANDARDIZE(F1287,'estatística'!$C$2,'estatística'!$H$2)</f>
        <v>0.1432008103</v>
      </c>
    </row>
    <row r="1288" ht="15.75" customHeight="1">
      <c r="A1288" s="9">
        <v>21.0</v>
      </c>
      <c r="B1288" s="10" t="s">
        <v>158</v>
      </c>
      <c r="C1288" s="11" t="s">
        <v>159</v>
      </c>
      <c r="D1288" s="10" t="s">
        <v>13</v>
      </c>
      <c r="E1288" s="11" t="s">
        <v>33</v>
      </c>
      <c r="F1288" s="13">
        <v>57.97</v>
      </c>
      <c r="G1288" s="14">
        <v>45162.0</v>
      </c>
      <c r="H1288" s="15">
        <f t="shared" si="1"/>
        <v>24</v>
      </c>
      <c r="I1288" s="16">
        <f t="shared" si="2"/>
        <v>8</v>
      </c>
      <c r="J1288" s="15">
        <f t="shared" si="3"/>
        <v>2023</v>
      </c>
      <c r="K1288" s="16">
        <f>STANDARDIZE(F1288,'estatística'!$C$2,'estatística'!$H$2)</f>
        <v>0.7175234237</v>
      </c>
    </row>
    <row r="1289" ht="15.75" customHeight="1">
      <c r="A1289" s="9">
        <v>88.0</v>
      </c>
      <c r="B1289" s="10" t="s">
        <v>172</v>
      </c>
      <c r="C1289" s="11" t="s">
        <v>178</v>
      </c>
      <c r="D1289" s="10" t="s">
        <v>17</v>
      </c>
      <c r="E1289" s="11" t="s">
        <v>39</v>
      </c>
      <c r="F1289" s="13">
        <v>51.9</v>
      </c>
      <c r="G1289" s="14">
        <v>45162.0</v>
      </c>
      <c r="H1289" s="15">
        <f t="shared" si="1"/>
        <v>24</v>
      </c>
      <c r="I1289" s="16">
        <f t="shared" si="2"/>
        <v>8</v>
      </c>
      <c r="J1289" s="15">
        <f t="shared" si="3"/>
        <v>2023</v>
      </c>
      <c r="K1289" s="16">
        <f>STANDARDIZE(F1289,'estatística'!$C$2,'estatística'!$H$2)</f>
        <v>0.6406685237</v>
      </c>
    </row>
    <row r="1290" ht="15.75" customHeight="1">
      <c r="A1290" s="9">
        <v>70.0</v>
      </c>
      <c r="B1290" s="10" t="s">
        <v>124</v>
      </c>
      <c r="C1290" s="11" t="s">
        <v>125</v>
      </c>
      <c r="D1290" s="10" t="s">
        <v>13</v>
      </c>
      <c r="E1290" s="11" t="s">
        <v>33</v>
      </c>
      <c r="F1290" s="13">
        <v>53.87</v>
      </c>
      <c r="G1290" s="14">
        <v>45162.0</v>
      </c>
      <c r="H1290" s="15">
        <f t="shared" si="1"/>
        <v>24</v>
      </c>
      <c r="I1290" s="16">
        <f t="shared" si="2"/>
        <v>8</v>
      </c>
      <c r="J1290" s="15">
        <f t="shared" si="3"/>
        <v>2023</v>
      </c>
      <c r="K1290" s="16">
        <f>STANDARDIZE(F1290,'estatística'!$C$2,'estatística'!$H$2)</f>
        <v>0.6656115472</v>
      </c>
    </row>
    <row r="1291" ht="15.75" customHeight="1">
      <c r="A1291" s="9">
        <v>39.0</v>
      </c>
      <c r="B1291" s="10" t="s">
        <v>58</v>
      </c>
      <c r="C1291" s="11" t="s">
        <v>59</v>
      </c>
      <c r="D1291" s="10" t="s">
        <v>17</v>
      </c>
      <c r="E1291" s="11" t="s">
        <v>91</v>
      </c>
      <c r="F1291" s="13">
        <v>2.96</v>
      </c>
      <c r="G1291" s="14">
        <v>45162.0</v>
      </c>
      <c r="H1291" s="15">
        <f t="shared" si="1"/>
        <v>24</v>
      </c>
      <c r="I1291" s="16">
        <f t="shared" si="2"/>
        <v>8</v>
      </c>
      <c r="J1291" s="15">
        <f t="shared" si="3"/>
        <v>2023</v>
      </c>
      <c r="K1291" s="16">
        <f>STANDARDIZE(F1291,'estatística'!$C$2,'estatística'!$H$2)</f>
        <v>0.02101797924</v>
      </c>
    </row>
    <row r="1292" ht="15.75" customHeight="1">
      <c r="A1292" s="9">
        <v>10.0</v>
      </c>
      <c r="B1292" s="10" t="s">
        <v>120</v>
      </c>
      <c r="C1292" s="11" t="s">
        <v>121</v>
      </c>
      <c r="D1292" s="10" t="s">
        <v>17</v>
      </c>
      <c r="E1292" s="11" t="s">
        <v>29</v>
      </c>
      <c r="F1292" s="13">
        <v>14.02</v>
      </c>
      <c r="G1292" s="14">
        <v>45162.0</v>
      </c>
      <c r="H1292" s="15">
        <f t="shared" si="1"/>
        <v>24</v>
      </c>
      <c r="I1292" s="16">
        <f t="shared" si="2"/>
        <v>8</v>
      </c>
      <c r="J1292" s="15">
        <f t="shared" si="3"/>
        <v>2023</v>
      </c>
      <c r="K1292" s="16">
        <f>STANDARDIZE(F1292,'estatística'!$C$2,'estatística'!$H$2)</f>
        <v>0.1610534312</v>
      </c>
    </row>
    <row r="1293" ht="15.75" customHeight="1">
      <c r="A1293" s="9">
        <v>18.0</v>
      </c>
      <c r="B1293" s="10" t="s">
        <v>135</v>
      </c>
      <c r="C1293" s="11" t="s">
        <v>212</v>
      </c>
      <c r="D1293" s="10" t="s">
        <v>17</v>
      </c>
      <c r="E1293" s="11" t="s">
        <v>68</v>
      </c>
      <c r="F1293" s="13">
        <v>11.26</v>
      </c>
      <c r="G1293" s="14">
        <v>45162.0</v>
      </c>
      <c r="H1293" s="15">
        <f t="shared" si="1"/>
        <v>24</v>
      </c>
      <c r="I1293" s="16">
        <f t="shared" si="2"/>
        <v>8</v>
      </c>
      <c r="J1293" s="15">
        <f t="shared" si="3"/>
        <v>2023</v>
      </c>
      <c r="K1293" s="16">
        <f>STANDARDIZE(F1293,'estatística'!$C$2,'estatística'!$H$2)</f>
        <v>0.1261078754</v>
      </c>
    </row>
    <row r="1294" ht="15.75" customHeight="1">
      <c r="A1294" s="9">
        <v>95.0</v>
      </c>
      <c r="B1294" s="10" t="s">
        <v>78</v>
      </c>
      <c r="C1294" s="11" t="s">
        <v>79</v>
      </c>
      <c r="D1294" s="10" t="s">
        <v>13</v>
      </c>
      <c r="E1294" s="11" t="s">
        <v>107</v>
      </c>
      <c r="F1294" s="13">
        <v>31.28</v>
      </c>
      <c r="G1294" s="14">
        <v>45162.0</v>
      </c>
      <c r="H1294" s="15">
        <f t="shared" si="1"/>
        <v>24</v>
      </c>
      <c r="I1294" s="16">
        <f t="shared" si="2"/>
        <v>8</v>
      </c>
      <c r="J1294" s="15">
        <f t="shared" si="3"/>
        <v>2023</v>
      </c>
      <c r="K1294" s="16">
        <f>STANDARDIZE(F1294,'estatística'!$C$2,'estatística'!$H$2)</f>
        <v>0.3795897696</v>
      </c>
    </row>
    <row r="1295" ht="15.75" customHeight="1">
      <c r="A1295" s="9">
        <v>31.0</v>
      </c>
      <c r="B1295" s="10" t="s">
        <v>201</v>
      </c>
      <c r="C1295" s="11" t="s">
        <v>202</v>
      </c>
      <c r="D1295" s="10" t="s">
        <v>17</v>
      </c>
      <c r="E1295" s="11" t="s">
        <v>91</v>
      </c>
      <c r="F1295" s="13">
        <v>2.26</v>
      </c>
      <c r="G1295" s="14">
        <v>45162.0</v>
      </c>
      <c r="H1295" s="15">
        <f t="shared" si="1"/>
        <v>24</v>
      </c>
      <c r="I1295" s="16">
        <f t="shared" si="2"/>
        <v>8</v>
      </c>
      <c r="J1295" s="15">
        <f t="shared" si="3"/>
        <v>2023</v>
      </c>
      <c r="K1295" s="16">
        <f>STANDARDIZE(F1295,'estatística'!$C$2,'estatística'!$H$2)</f>
        <v>0.01215497594</v>
      </c>
    </row>
    <row r="1296" ht="15.75" customHeight="1">
      <c r="A1296" s="9">
        <v>76.0</v>
      </c>
      <c r="B1296" s="10" t="s">
        <v>185</v>
      </c>
      <c r="C1296" s="11" t="s">
        <v>186</v>
      </c>
      <c r="D1296" s="10" t="s">
        <v>13</v>
      </c>
      <c r="E1296" s="11" t="s">
        <v>14</v>
      </c>
      <c r="F1296" s="13">
        <v>10.27</v>
      </c>
      <c r="G1296" s="14">
        <v>45163.0</v>
      </c>
      <c r="H1296" s="15">
        <f t="shared" si="1"/>
        <v>25</v>
      </c>
      <c r="I1296" s="16">
        <f t="shared" si="2"/>
        <v>8</v>
      </c>
      <c r="J1296" s="15">
        <f t="shared" si="3"/>
        <v>2023</v>
      </c>
      <c r="K1296" s="16">
        <f>STANDARDIZE(F1296,'estatística'!$C$2,'estatística'!$H$2)</f>
        <v>0.1135730565</v>
      </c>
    </row>
    <row r="1297" ht="15.75" customHeight="1">
      <c r="A1297" s="9">
        <v>49.0</v>
      </c>
      <c r="B1297" s="10" t="s">
        <v>151</v>
      </c>
      <c r="C1297" s="11" t="s">
        <v>152</v>
      </c>
      <c r="D1297" s="10" t="s">
        <v>17</v>
      </c>
      <c r="E1297" s="11" t="s">
        <v>77</v>
      </c>
      <c r="F1297" s="13">
        <v>12.19</v>
      </c>
      <c r="G1297" s="14">
        <v>45163.0</v>
      </c>
      <c r="H1297" s="15">
        <f t="shared" si="1"/>
        <v>25</v>
      </c>
      <c r="I1297" s="16">
        <f t="shared" si="2"/>
        <v>8</v>
      </c>
      <c r="J1297" s="15">
        <f t="shared" si="3"/>
        <v>2023</v>
      </c>
      <c r="K1297" s="16">
        <f>STANDARDIZE(F1297,'estatística'!$C$2,'estatística'!$H$2)</f>
        <v>0.1378830084</v>
      </c>
    </row>
    <row r="1298" ht="15.75" customHeight="1">
      <c r="A1298" s="9">
        <v>71.0</v>
      </c>
      <c r="B1298" s="10" t="s">
        <v>122</v>
      </c>
      <c r="C1298" s="11" t="s">
        <v>123</v>
      </c>
      <c r="D1298" s="10" t="s">
        <v>13</v>
      </c>
      <c r="E1298" s="11" t="s">
        <v>21</v>
      </c>
      <c r="F1298" s="13">
        <v>12.3</v>
      </c>
      <c r="G1298" s="14">
        <v>45163.0</v>
      </c>
      <c r="H1298" s="15">
        <f t="shared" si="1"/>
        <v>25</v>
      </c>
      <c r="I1298" s="16">
        <f t="shared" si="2"/>
        <v>8</v>
      </c>
      <c r="J1298" s="15">
        <f t="shared" si="3"/>
        <v>2023</v>
      </c>
      <c r="K1298" s="16">
        <f>STANDARDIZE(F1298,'estatística'!$C$2,'estatística'!$H$2)</f>
        <v>0.139275766</v>
      </c>
    </row>
    <row r="1299" ht="15.75" customHeight="1">
      <c r="A1299" s="9">
        <v>24.0</v>
      </c>
      <c r="B1299" s="10" t="s">
        <v>110</v>
      </c>
      <c r="C1299" s="11" t="s">
        <v>111</v>
      </c>
      <c r="D1299" s="10" t="s">
        <v>13</v>
      </c>
      <c r="E1299" s="11" t="s">
        <v>24</v>
      </c>
      <c r="F1299" s="13">
        <v>31.44</v>
      </c>
      <c r="G1299" s="14">
        <v>45164.0</v>
      </c>
      <c r="H1299" s="15">
        <f t="shared" si="1"/>
        <v>26</v>
      </c>
      <c r="I1299" s="16">
        <f t="shared" si="2"/>
        <v>8</v>
      </c>
      <c r="J1299" s="15">
        <f t="shared" si="3"/>
        <v>2023</v>
      </c>
      <c r="K1299" s="16">
        <f>STANDARDIZE(F1299,'estatística'!$C$2,'estatística'!$H$2)</f>
        <v>0.3816155989</v>
      </c>
    </row>
    <row r="1300" ht="15.75" customHeight="1">
      <c r="A1300" s="9">
        <v>36.0</v>
      </c>
      <c r="B1300" s="10" t="s">
        <v>60</v>
      </c>
      <c r="C1300" s="11" t="s">
        <v>61</v>
      </c>
      <c r="D1300" s="10" t="s">
        <v>13</v>
      </c>
      <c r="E1300" s="11" t="s">
        <v>68</v>
      </c>
      <c r="F1300" s="13">
        <v>12.64</v>
      </c>
      <c r="G1300" s="14">
        <v>45164.0</v>
      </c>
      <c r="H1300" s="15">
        <f t="shared" si="1"/>
        <v>26</v>
      </c>
      <c r="I1300" s="16">
        <f t="shared" si="2"/>
        <v>8</v>
      </c>
      <c r="J1300" s="15">
        <f t="shared" si="3"/>
        <v>2023</v>
      </c>
      <c r="K1300" s="16">
        <f>STANDARDIZE(F1300,'estatística'!$C$2,'estatística'!$H$2)</f>
        <v>0.1435806533</v>
      </c>
    </row>
    <row r="1301" ht="15.75" customHeight="1">
      <c r="A1301" s="9">
        <v>31.0</v>
      </c>
      <c r="B1301" s="10" t="s">
        <v>201</v>
      </c>
      <c r="C1301" s="11" t="s">
        <v>202</v>
      </c>
      <c r="D1301" s="10" t="s">
        <v>13</v>
      </c>
      <c r="E1301" s="11" t="s">
        <v>32</v>
      </c>
      <c r="F1301" s="13">
        <v>26.13</v>
      </c>
      <c r="G1301" s="14">
        <v>45164.0</v>
      </c>
      <c r="H1301" s="15">
        <f t="shared" si="1"/>
        <v>26</v>
      </c>
      <c r="I1301" s="16">
        <f t="shared" si="2"/>
        <v>8</v>
      </c>
      <c r="J1301" s="15">
        <f t="shared" si="3"/>
        <v>2023</v>
      </c>
      <c r="K1301" s="16">
        <f>STANDARDIZE(F1301,'estatística'!$C$2,'estatística'!$H$2)</f>
        <v>0.3143833882</v>
      </c>
    </row>
    <row r="1302" ht="15.75" customHeight="1">
      <c r="A1302" s="9">
        <v>45.0</v>
      </c>
      <c r="B1302" s="10" t="s">
        <v>193</v>
      </c>
      <c r="C1302" s="11" t="s">
        <v>194</v>
      </c>
      <c r="D1302" s="10" t="s">
        <v>17</v>
      </c>
      <c r="E1302" s="11" t="s">
        <v>107</v>
      </c>
      <c r="F1302" s="13">
        <v>27.22</v>
      </c>
      <c r="G1302" s="14">
        <v>45164.0</v>
      </c>
      <c r="H1302" s="15">
        <f t="shared" si="1"/>
        <v>26</v>
      </c>
      <c r="I1302" s="16">
        <f t="shared" si="2"/>
        <v>8</v>
      </c>
      <c r="J1302" s="15">
        <f t="shared" si="3"/>
        <v>2023</v>
      </c>
      <c r="K1302" s="16">
        <f>STANDARDIZE(F1302,'estatística'!$C$2,'estatística'!$H$2)</f>
        <v>0.3281843505</v>
      </c>
    </row>
    <row r="1303" ht="15.75" customHeight="1">
      <c r="A1303" s="9">
        <v>21.0</v>
      </c>
      <c r="B1303" s="10" t="s">
        <v>158</v>
      </c>
      <c r="C1303" s="11" t="s">
        <v>159</v>
      </c>
      <c r="D1303" s="10" t="s">
        <v>17</v>
      </c>
      <c r="E1303" s="11" t="s">
        <v>116</v>
      </c>
      <c r="F1303" s="13">
        <v>2.17</v>
      </c>
      <c r="G1303" s="14">
        <v>45164.0</v>
      </c>
      <c r="H1303" s="15">
        <f t="shared" si="1"/>
        <v>26</v>
      </c>
      <c r="I1303" s="16">
        <f t="shared" si="2"/>
        <v>8</v>
      </c>
      <c r="J1303" s="15">
        <f t="shared" si="3"/>
        <v>2023</v>
      </c>
      <c r="K1303" s="16">
        <f>STANDARDIZE(F1303,'estatística'!$C$2,'estatística'!$H$2)</f>
        <v>0.01101544695</v>
      </c>
    </row>
    <row r="1304" ht="15.75" customHeight="1">
      <c r="A1304" s="9">
        <v>5.0</v>
      </c>
      <c r="B1304" s="10" t="s">
        <v>139</v>
      </c>
      <c r="C1304" s="11" t="s">
        <v>140</v>
      </c>
      <c r="D1304" s="10" t="s">
        <v>17</v>
      </c>
      <c r="E1304" s="11" t="s">
        <v>57</v>
      </c>
      <c r="F1304" s="13">
        <v>20.69</v>
      </c>
      <c r="G1304" s="14">
        <v>45165.0</v>
      </c>
      <c r="H1304" s="15">
        <f t="shared" si="1"/>
        <v>27</v>
      </c>
      <c r="I1304" s="16">
        <f t="shared" si="2"/>
        <v>8</v>
      </c>
      <c r="J1304" s="15">
        <f t="shared" si="3"/>
        <v>2023</v>
      </c>
      <c r="K1304" s="16">
        <f>STANDARDIZE(F1304,'estatística'!$C$2,'estatística'!$H$2)</f>
        <v>0.2455051912</v>
      </c>
    </row>
    <row r="1305" ht="15.75" customHeight="1">
      <c r="A1305" s="9">
        <v>17.0</v>
      </c>
      <c r="B1305" s="10" t="s">
        <v>172</v>
      </c>
      <c r="C1305" s="11" t="s">
        <v>173</v>
      </c>
      <c r="D1305" s="10" t="s">
        <v>17</v>
      </c>
      <c r="E1305" s="11" t="s">
        <v>33</v>
      </c>
      <c r="F1305" s="13">
        <v>68.89</v>
      </c>
      <c r="G1305" s="14">
        <v>45165.0</v>
      </c>
      <c r="H1305" s="15">
        <f t="shared" si="1"/>
        <v>27</v>
      </c>
      <c r="I1305" s="16">
        <f t="shared" si="2"/>
        <v>8</v>
      </c>
      <c r="J1305" s="15">
        <f t="shared" si="3"/>
        <v>2023</v>
      </c>
      <c r="K1305" s="16">
        <f>STANDARDIZE(F1305,'estatística'!$C$2,'estatística'!$H$2)</f>
        <v>0.855786275</v>
      </c>
    </row>
    <row r="1306" ht="15.75" customHeight="1">
      <c r="A1306" s="9">
        <v>44.0</v>
      </c>
      <c r="B1306" s="10" t="s">
        <v>187</v>
      </c>
      <c r="C1306" s="11" t="s">
        <v>188</v>
      </c>
      <c r="D1306" s="10" t="s">
        <v>13</v>
      </c>
      <c r="E1306" s="11" t="s">
        <v>57</v>
      </c>
      <c r="F1306" s="13">
        <v>24.32</v>
      </c>
      <c r="G1306" s="14">
        <v>45165.0</v>
      </c>
      <c r="H1306" s="15">
        <f t="shared" si="1"/>
        <v>27</v>
      </c>
      <c r="I1306" s="16">
        <f t="shared" si="2"/>
        <v>8</v>
      </c>
      <c r="J1306" s="15">
        <f t="shared" si="3"/>
        <v>2023</v>
      </c>
      <c r="K1306" s="16">
        <f>STANDARDIZE(F1306,'estatística'!$C$2,'estatística'!$H$2)</f>
        <v>0.291466194</v>
      </c>
    </row>
    <row r="1307" ht="15.75" customHeight="1">
      <c r="A1307" s="9">
        <v>18.0</v>
      </c>
      <c r="B1307" s="10" t="s">
        <v>135</v>
      </c>
      <c r="C1307" s="11" t="s">
        <v>212</v>
      </c>
      <c r="D1307" s="10" t="s">
        <v>13</v>
      </c>
      <c r="E1307" s="11" t="s">
        <v>32</v>
      </c>
      <c r="F1307" s="13">
        <v>29.94</v>
      </c>
      <c r="G1307" s="14">
        <v>45165.0</v>
      </c>
      <c r="H1307" s="15">
        <f t="shared" si="1"/>
        <v>27</v>
      </c>
      <c r="I1307" s="16">
        <f t="shared" si="2"/>
        <v>8</v>
      </c>
      <c r="J1307" s="15">
        <f t="shared" si="3"/>
        <v>2023</v>
      </c>
      <c r="K1307" s="16">
        <f>STANDARDIZE(F1307,'estatística'!$C$2,'estatística'!$H$2)</f>
        <v>0.362623449</v>
      </c>
    </row>
    <row r="1308" ht="15.75" customHeight="1">
      <c r="A1308" s="9">
        <v>99.0</v>
      </c>
      <c r="B1308" s="10" t="s">
        <v>46</v>
      </c>
      <c r="C1308" s="11" t="s">
        <v>47</v>
      </c>
      <c r="D1308" s="10" t="s">
        <v>13</v>
      </c>
      <c r="E1308" s="11" t="s">
        <v>80</v>
      </c>
      <c r="F1308" s="13">
        <v>34.28</v>
      </c>
      <c r="G1308" s="14">
        <v>45165.0</v>
      </c>
      <c r="H1308" s="15">
        <f t="shared" si="1"/>
        <v>27</v>
      </c>
      <c r="I1308" s="16">
        <f t="shared" si="2"/>
        <v>8</v>
      </c>
      <c r="J1308" s="15">
        <f t="shared" si="3"/>
        <v>2023</v>
      </c>
      <c r="K1308" s="16">
        <f>STANDARDIZE(F1308,'estatística'!$C$2,'estatística'!$H$2)</f>
        <v>0.4175740694</v>
      </c>
    </row>
    <row r="1309" ht="15.75" customHeight="1">
      <c r="A1309" s="9">
        <v>59.0</v>
      </c>
      <c r="B1309" s="10" t="s">
        <v>71</v>
      </c>
      <c r="C1309" s="11" t="s">
        <v>72</v>
      </c>
      <c r="D1309" s="10" t="s">
        <v>13</v>
      </c>
      <c r="E1309" s="11" t="s">
        <v>57</v>
      </c>
      <c r="F1309" s="13">
        <v>23.8</v>
      </c>
      <c r="G1309" s="14">
        <v>45165.0</v>
      </c>
      <c r="H1309" s="15">
        <f t="shared" si="1"/>
        <v>27</v>
      </c>
      <c r="I1309" s="16">
        <f t="shared" si="2"/>
        <v>8</v>
      </c>
      <c r="J1309" s="15">
        <f t="shared" si="3"/>
        <v>2023</v>
      </c>
      <c r="K1309" s="16">
        <f>STANDARDIZE(F1309,'estatística'!$C$2,'estatística'!$H$2)</f>
        <v>0.2848822487</v>
      </c>
    </row>
    <row r="1310" ht="15.75" customHeight="1">
      <c r="A1310" s="9">
        <v>29.0</v>
      </c>
      <c r="B1310" s="10" t="s">
        <v>92</v>
      </c>
      <c r="C1310" s="11" t="s">
        <v>93</v>
      </c>
      <c r="D1310" s="10" t="s">
        <v>13</v>
      </c>
      <c r="E1310" s="11" t="s">
        <v>18</v>
      </c>
      <c r="F1310" s="13">
        <v>52.01</v>
      </c>
      <c r="G1310" s="14">
        <v>45165.0</v>
      </c>
      <c r="H1310" s="15">
        <f t="shared" si="1"/>
        <v>27</v>
      </c>
      <c r="I1310" s="16">
        <f t="shared" si="2"/>
        <v>8</v>
      </c>
      <c r="J1310" s="15">
        <f t="shared" si="3"/>
        <v>2023</v>
      </c>
      <c r="K1310" s="16">
        <f>STANDARDIZE(F1310,'estatística'!$C$2,'estatística'!$H$2)</f>
        <v>0.6420612813</v>
      </c>
    </row>
    <row r="1311" ht="15.75" customHeight="1">
      <c r="A1311" s="9">
        <v>82.0</v>
      </c>
      <c r="B1311" s="10" t="s">
        <v>203</v>
      </c>
      <c r="C1311" s="11" t="s">
        <v>204</v>
      </c>
      <c r="D1311" s="10" t="s">
        <v>17</v>
      </c>
      <c r="E1311" s="11" t="s">
        <v>57</v>
      </c>
      <c r="F1311" s="13">
        <v>22.41</v>
      </c>
      <c r="G1311" s="14">
        <v>45166.0</v>
      </c>
      <c r="H1311" s="15">
        <f t="shared" si="1"/>
        <v>28</v>
      </c>
      <c r="I1311" s="16">
        <f t="shared" si="2"/>
        <v>8</v>
      </c>
      <c r="J1311" s="15">
        <f t="shared" si="3"/>
        <v>2023</v>
      </c>
      <c r="K1311" s="16">
        <f>STANDARDIZE(F1311,'estatística'!$C$2,'estatística'!$H$2)</f>
        <v>0.2672828564</v>
      </c>
    </row>
    <row r="1312" ht="15.75" customHeight="1">
      <c r="A1312" s="9">
        <v>57.0</v>
      </c>
      <c r="B1312" s="10" t="s">
        <v>60</v>
      </c>
      <c r="C1312" s="11" t="s">
        <v>162</v>
      </c>
      <c r="D1312" s="10" t="s">
        <v>13</v>
      </c>
      <c r="E1312" s="11" t="s">
        <v>27</v>
      </c>
      <c r="F1312" s="13">
        <v>19.69</v>
      </c>
      <c r="G1312" s="14">
        <v>45166.0</v>
      </c>
      <c r="H1312" s="15">
        <f t="shared" si="1"/>
        <v>28</v>
      </c>
      <c r="I1312" s="16">
        <f t="shared" si="2"/>
        <v>8</v>
      </c>
      <c r="J1312" s="15">
        <f t="shared" si="3"/>
        <v>2023</v>
      </c>
      <c r="K1312" s="16">
        <f>STANDARDIZE(F1312,'estatística'!$C$2,'estatística'!$H$2)</f>
        <v>0.2328437579</v>
      </c>
    </row>
    <row r="1313" ht="15.75" customHeight="1">
      <c r="A1313" s="9">
        <v>87.0</v>
      </c>
      <c r="B1313" s="10" t="s">
        <v>215</v>
      </c>
      <c r="C1313" s="11" t="s">
        <v>216</v>
      </c>
      <c r="D1313" s="10" t="s">
        <v>13</v>
      </c>
      <c r="E1313" s="11" t="s">
        <v>77</v>
      </c>
      <c r="F1313" s="13">
        <v>14.93</v>
      </c>
      <c r="G1313" s="14">
        <v>45166.0</v>
      </c>
      <c r="H1313" s="15">
        <f t="shared" si="1"/>
        <v>28</v>
      </c>
      <c r="I1313" s="16">
        <f t="shared" si="2"/>
        <v>8</v>
      </c>
      <c r="J1313" s="15">
        <f t="shared" si="3"/>
        <v>2023</v>
      </c>
      <c r="K1313" s="16">
        <f>STANDARDIZE(F1313,'estatística'!$C$2,'estatística'!$H$2)</f>
        <v>0.1725753355</v>
      </c>
    </row>
    <row r="1314" ht="15.75" customHeight="1">
      <c r="A1314" s="9">
        <v>95.0</v>
      </c>
      <c r="B1314" s="10" t="s">
        <v>78</v>
      </c>
      <c r="C1314" s="11" t="s">
        <v>79</v>
      </c>
      <c r="D1314" s="10" t="s">
        <v>13</v>
      </c>
      <c r="E1314" s="11" t="s">
        <v>91</v>
      </c>
      <c r="F1314" s="13">
        <v>4.35</v>
      </c>
      <c r="G1314" s="14">
        <v>45166.0</v>
      </c>
      <c r="H1314" s="15">
        <f t="shared" si="1"/>
        <v>28</v>
      </c>
      <c r="I1314" s="16">
        <f t="shared" si="2"/>
        <v>8</v>
      </c>
      <c r="J1314" s="15">
        <f t="shared" si="3"/>
        <v>2023</v>
      </c>
      <c r="K1314" s="16">
        <f>STANDARDIZE(F1314,'estatística'!$C$2,'estatística'!$H$2)</f>
        <v>0.03861737149</v>
      </c>
    </row>
    <row r="1315" ht="15.75" customHeight="1">
      <c r="A1315" s="9">
        <v>81.0</v>
      </c>
      <c r="B1315" s="10" t="s">
        <v>34</v>
      </c>
      <c r="C1315" s="11" t="s">
        <v>35</v>
      </c>
      <c r="D1315" s="10" t="s">
        <v>17</v>
      </c>
      <c r="E1315" s="11" t="s">
        <v>80</v>
      </c>
      <c r="F1315" s="13">
        <v>32.44</v>
      </c>
      <c r="G1315" s="14">
        <v>45166.0</v>
      </c>
      <c r="H1315" s="15">
        <f t="shared" si="1"/>
        <v>28</v>
      </c>
      <c r="I1315" s="16">
        <f t="shared" si="2"/>
        <v>8</v>
      </c>
      <c r="J1315" s="15">
        <f t="shared" si="3"/>
        <v>2023</v>
      </c>
      <c r="K1315" s="16">
        <f>STANDARDIZE(F1315,'estatística'!$C$2,'estatística'!$H$2)</f>
        <v>0.3942770322</v>
      </c>
    </row>
    <row r="1316" ht="15.75" customHeight="1">
      <c r="A1316" s="9">
        <v>46.0</v>
      </c>
      <c r="B1316" s="10" t="s">
        <v>114</v>
      </c>
      <c r="C1316" s="11" t="s">
        <v>115</v>
      </c>
      <c r="D1316" s="10" t="s">
        <v>13</v>
      </c>
      <c r="E1316" s="11" t="s">
        <v>48</v>
      </c>
      <c r="F1316" s="13">
        <v>7.1</v>
      </c>
      <c r="G1316" s="14">
        <v>45166.0</v>
      </c>
      <c r="H1316" s="15">
        <f t="shared" si="1"/>
        <v>28</v>
      </c>
      <c r="I1316" s="16">
        <f t="shared" si="2"/>
        <v>8</v>
      </c>
      <c r="J1316" s="15">
        <f t="shared" si="3"/>
        <v>2023</v>
      </c>
      <c r="K1316" s="16">
        <f>STANDARDIZE(F1316,'estatística'!$C$2,'estatística'!$H$2)</f>
        <v>0.07343631299</v>
      </c>
    </row>
    <row r="1317" ht="15.75" customHeight="1">
      <c r="A1317" s="9">
        <v>70.0</v>
      </c>
      <c r="B1317" s="10" t="s">
        <v>124</v>
      </c>
      <c r="C1317" s="11" t="s">
        <v>125</v>
      </c>
      <c r="D1317" s="10" t="s">
        <v>17</v>
      </c>
      <c r="E1317" s="11" t="s">
        <v>18</v>
      </c>
      <c r="F1317" s="13">
        <v>41.8</v>
      </c>
      <c r="G1317" s="14">
        <v>45166.0</v>
      </c>
      <c r="H1317" s="15">
        <f t="shared" si="1"/>
        <v>28</v>
      </c>
      <c r="I1317" s="16">
        <f t="shared" si="2"/>
        <v>8</v>
      </c>
      <c r="J1317" s="15">
        <f t="shared" si="3"/>
        <v>2023</v>
      </c>
      <c r="K1317" s="16">
        <f>STANDARDIZE(F1317,'estatística'!$C$2,'estatística'!$H$2)</f>
        <v>0.5127880476</v>
      </c>
    </row>
    <row r="1318" ht="15.75" customHeight="1">
      <c r="A1318" s="9">
        <v>30.0</v>
      </c>
      <c r="B1318" s="10" t="s">
        <v>11</v>
      </c>
      <c r="C1318" s="11" t="s">
        <v>12</v>
      </c>
      <c r="D1318" s="10" t="s">
        <v>17</v>
      </c>
      <c r="E1318" s="11" t="s">
        <v>24</v>
      </c>
      <c r="F1318" s="13">
        <v>32.56</v>
      </c>
      <c r="G1318" s="14">
        <v>45166.0</v>
      </c>
      <c r="H1318" s="15">
        <f t="shared" si="1"/>
        <v>28</v>
      </c>
      <c r="I1318" s="16">
        <f t="shared" si="2"/>
        <v>8</v>
      </c>
      <c r="J1318" s="15">
        <f t="shared" si="3"/>
        <v>2023</v>
      </c>
      <c r="K1318" s="16">
        <f>STANDARDIZE(F1318,'estatística'!$C$2,'estatística'!$H$2)</f>
        <v>0.3957964042</v>
      </c>
    </row>
    <row r="1319" ht="15.75" customHeight="1">
      <c r="A1319" s="9">
        <v>32.0</v>
      </c>
      <c r="B1319" s="10" t="s">
        <v>118</v>
      </c>
      <c r="C1319" s="11" t="s">
        <v>119</v>
      </c>
      <c r="D1319" s="10" t="s">
        <v>17</v>
      </c>
      <c r="E1319" s="11" t="s">
        <v>107</v>
      </c>
      <c r="F1319" s="13">
        <v>28.66</v>
      </c>
      <c r="G1319" s="14">
        <v>45166.0</v>
      </c>
      <c r="H1319" s="15">
        <f t="shared" si="1"/>
        <v>28</v>
      </c>
      <c r="I1319" s="16">
        <f t="shared" si="2"/>
        <v>8</v>
      </c>
      <c r="J1319" s="15">
        <f t="shared" si="3"/>
        <v>2023</v>
      </c>
      <c r="K1319" s="16">
        <f>STANDARDIZE(F1319,'estatística'!$C$2,'estatística'!$H$2)</f>
        <v>0.3464168144</v>
      </c>
    </row>
    <row r="1320" ht="15.75" customHeight="1">
      <c r="A1320" s="9">
        <v>20.0</v>
      </c>
      <c r="B1320" s="10" t="s">
        <v>133</v>
      </c>
      <c r="C1320" s="11" t="s">
        <v>134</v>
      </c>
      <c r="D1320" s="10" t="s">
        <v>17</v>
      </c>
      <c r="E1320" s="11" t="s">
        <v>39</v>
      </c>
      <c r="F1320" s="13">
        <v>54.2</v>
      </c>
      <c r="G1320" s="14">
        <v>45170.0</v>
      </c>
      <c r="H1320" s="15">
        <f t="shared" si="1"/>
        <v>1</v>
      </c>
      <c r="I1320" s="16">
        <f t="shared" si="2"/>
        <v>9</v>
      </c>
      <c r="J1320" s="15">
        <f t="shared" si="3"/>
        <v>2023</v>
      </c>
      <c r="K1320" s="16">
        <f>STANDARDIZE(F1320,'estatística'!$C$2,'estatística'!$H$2)</f>
        <v>0.6697898202</v>
      </c>
    </row>
    <row r="1321" ht="15.75" customHeight="1">
      <c r="A1321" s="9">
        <v>32.0</v>
      </c>
      <c r="B1321" s="10" t="s">
        <v>118</v>
      </c>
      <c r="C1321" s="11" t="s">
        <v>119</v>
      </c>
      <c r="D1321" s="10" t="s">
        <v>17</v>
      </c>
      <c r="E1321" s="11" t="s">
        <v>80</v>
      </c>
      <c r="F1321" s="13">
        <v>37.81</v>
      </c>
      <c r="G1321" s="14">
        <v>45170.0</v>
      </c>
      <c r="H1321" s="15">
        <f t="shared" si="1"/>
        <v>1</v>
      </c>
      <c r="I1321" s="16">
        <f t="shared" si="2"/>
        <v>9</v>
      </c>
      <c r="J1321" s="15">
        <f t="shared" si="3"/>
        <v>2023</v>
      </c>
      <c r="K1321" s="16">
        <f>STANDARDIZE(F1321,'estatística'!$C$2,'estatística'!$H$2)</f>
        <v>0.4622689288</v>
      </c>
    </row>
    <row r="1322" ht="15.75" customHeight="1">
      <c r="A1322" s="9">
        <v>61.0</v>
      </c>
      <c r="B1322" s="10" t="s">
        <v>73</v>
      </c>
      <c r="C1322" s="11" t="s">
        <v>74</v>
      </c>
      <c r="D1322" s="10" t="s">
        <v>17</v>
      </c>
      <c r="E1322" s="11" t="s">
        <v>36</v>
      </c>
      <c r="F1322" s="13">
        <v>71.8</v>
      </c>
      <c r="G1322" s="14">
        <v>45170.0</v>
      </c>
      <c r="H1322" s="15">
        <f t="shared" si="1"/>
        <v>1</v>
      </c>
      <c r="I1322" s="16">
        <f t="shared" si="2"/>
        <v>9</v>
      </c>
      <c r="J1322" s="15">
        <f t="shared" si="3"/>
        <v>2023</v>
      </c>
      <c r="K1322" s="16">
        <f>STANDARDIZE(F1322,'estatística'!$C$2,'estatística'!$H$2)</f>
        <v>0.8926310458</v>
      </c>
    </row>
    <row r="1323" ht="15.75" customHeight="1">
      <c r="A1323" s="9">
        <v>66.0</v>
      </c>
      <c r="B1323" s="10" t="s">
        <v>122</v>
      </c>
      <c r="C1323" s="11" t="s">
        <v>130</v>
      </c>
      <c r="D1323" s="10" t="s">
        <v>17</v>
      </c>
      <c r="E1323" s="11" t="s">
        <v>57</v>
      </c>
      <c r="F1323" s="13">
        <v>17.77</v>
      </c>
      <c r="G1323" s="14">
        <v>45170.0</v>
      </c>
      <c r="H1323" s="15">
        <f t="shared" si="1"/>
        <v>1</v>
      </c>
      <c r="I1323" s="16">
        <f t="shared" si="2"/>
        <v>9</v>
      </c>
      <c r="J1323" s="15">
        <f t="shared" si="3"/>
        <v>2023</v>
      </c>
      <c r="K1323" s="16">
        <f>STANDARDIZE(F1323,'estatística'!$C$2,'estatística'!$H$2)</f>
        <v>0.208533806</v>
      </c>
    </row>
    <row r="1324" ht="15.75" customHeight="1">
      <c r="A1324" s="9">
        <v>6.0</v>
      </c>
      <c r="B1324" s="10" t="s">
        <v>155</v>
      </c>
      <c r="C1324" s="11" t="s">
        <v>156</v>
      </c>
      <c r="D1324" s="10" t="s">
        <v>13</v>
      </c>
      <c r="E1324" s="11" t="s">
        <v>18</v>
      </c>
      <c r="F1324" s="13">
        <v>44.27</v>
      </c>
      <c r="G1324" s="14">
        <v>45170.0</v>
      </c>
      <c r="H1324" s="15">
        <f t="shared" si="1"/>
        <v>1</v>
      </c>
      <c r="I1324" s="16">
        <f t="shared" si="2"/>
        <v>9</v>
      </c>
      <c r="J1324" s="15">
        <f t="shared" si="3"/>
        <v>2023</v>
      </c>
      <c r="K1324" s="16">
        <f>STANDARDIZE(F1324,'estatística'!$C$2,'estatística'!$H$2)</f>
        <v>0.5440617878</v>
      </c>
    </row>
    <row r="1325" ht="15.75" customHeight="1">
      <c r="A1325" s="9">
        <v>21.0</v>
      </c>
      <c r="B1325" s="10" t="s">
        <v>158</v>
      </c>
      <c r="C1325" s="11" t="s">
        <v>159</v>
      </c>
      <c r="D1325" s="10" t="s">
        <v>17</v>
      </c>
      <c r="E1325" s="11" t="s">
        <v>27</v>
      </c>
      <c r="F1325" s="13">
        <v>14.85</v>
      </c>
      <c r="G1325" s="14">
        <v>45170.0</v>
      </c>
      <c r="H1325" s="15">
        <f t="shared" si="1"/>
        <v>1</v>
      </c>
      <c r="I1325" s="16">
        <f t="shared" si="2"/>
        <v>9</v>
      </c>
      <c r="J1325" s="15">
        <f t="shared" si="3"/>
        <v>2023</v>
      </c>
      <c r="K1325" s="16">
        <f>STANDARDIZE(F1325,'estatística'!$C$2,'estatística'!$H$2)</f>
        <v>0.1715624209</v>
      </c>
    </row>
    <row r="1326" ht="15.75" customHeight="1">
      <c r="A1326" s="9">
        <v>13.0</v>
      </c>
      <c r="B1326" s="10" t="s">
        <v>108</v>
      </c>
      <c r="C1326" s="11" t="s">
        <v>109</v>
      </c>
      <c r="D1326" s="10" t="s">
        <v>13</v>
      </c>
      <c r="E1326" s="11" t="s">
        <v>91</v>
      </c>
      <c r="F1326" s="13">
        <v>1.37</v>
      </c>
      <c r="G1326" s="14">
        <v>45171.0</v>
      </c>
      <c r="H1326" s="15">
        <f t="shared" si="1"/>
        <v>2</v>
      </c>
      <c r="I1326" s="16">
        <f t="shared" si="2"/>
        <v>9</v>
      </c>
      <c r="J1326" s="15">
        <f t="shared" si="3"/>
        <v>2023</v>
      </c>
      <c r="K1326" s="16">
        <f>STANDARDIZE(F1326,'estatística'!$C$2,'estatística'!$H$2)</f>
        <v>0.0008863003292</v>
      </c>
    </row>
    <row r="1327" ht="15.75" customHeight="1">
      <c r="A1327" s="9">
        <v>70.0</v>
      </c>
      <c r="B1327" s="10" t="s">
        <v>124</v>
      </c>
      <c r="C1327" s="11" t="s">
        <v>125</v>
      </c>
      <c r="D1327" s="10" t="s">
        <v>13</v>
      </c>
      <c r="E1327" s="11" t="s">
        <v>116</v>
      </c>
      <c r="F1327" s="13">
        <v>2.19</v>
      </c>
      <c r="G1327" s="14">
        <v>45172.0</v>
      </c>
      <c r="H1327" s="15">
        <f t="shared" si="1"/>
        <v>3</v>
      </c>
      <c r="I1327" s="16">
        <f t="shared" si="2"/>
        <v>9</v>
      </c>
      <c r="J1327" s="15">
        <f t="shared" si="3"/>
        <v>2023</v>
      </c>
      <c r="K1327" s="16">
        <f>STANDARDIZE(F1327,'estatística'!$C$2,'estatística'!$H$2)</f>
        <v>0.01126867561</v>
      </c>
    </row>
    <row r="1328" ht="15.75" customHeight="1">
      <c r="A1328" s="9">
        <v>85.0</v>
      </c>
      <c r="B1328" s="10" t="s">
        <v>170</v>
      </c>
      <c r="C1328" s="11" t="s">
        <v>171</v>
      </c>
      <c r="D1328" s="10" t="s">
        <v>13</v>
      </c>
      <c r="E1328" s="11" t="s">
        <v>62</v>
      </c>
      <c r="F1328" s="13">
        <v>12.48</v>
      </c>
      <c r="G1328" s="14">
        <v>45172.0</v>
      </c>
      <c r="H1328" s="15">
        <f t="shared" si="1"/>
        <v>3</v>
      </c>
      <c r="I1328" s="16">
        <f t="shared" si="2"/>
        <v>9</v>
      </c>
      <c r="J1328" s="15">
        <f t="shared" si="3"/>
        <v>2023</v>
      </c>
      <c r="K1328" s="16">
        <f>STANDARDIZE(F1328,'estatística'!$C$2,'estatística'!$H$2)</f>
        <v>0.141554824</v>
      </c>
    </row>
    <row r="1329" ht="15.75" customHeight="1">
      <c r="A1329" s="9">
        <v>26.0</v>
      </c>
      <c r="B1329" s="10" t="s">
        <v>183</v>
      </c>
      <c r="C1329" s="11" t="s">
        <v>184</v>
      </c>
      <c r="D1329" s="10" t="s">
        <v>17</v>
      </c>
      <c r="E1329" s="11" t="s">
        <v>14</v>
      </c>
      <c r="F1329" s="13">
        <v>10.76</v>
      </c>
      <c r="G1329" s="14">
        <v>45172.0</v>
      </c>
      <c r="H1329" s="15">
        <f t="shared" si="1"/>
        <v>3</v>
      </c>
      <c r="I1329" s="16">
        <f t="shared" si="2"/>
        <v>9</v>
      </c>
      <c r="J1329" s="15">
        <f t="shared" si="3"/>
        <v>2023</v>
      </c>
      <c r="K1329" s="16">
        <f>STANDARDIZE(F1329,'estatística'!$C$2,'estatística'!$H$2)</f>
        <v>0.1197771588</v>
      </c>
    </row>
    <row r="1330" ht="15.75" customHeight="1">
      <c r="A1330" s="9">
        <v>18.0</v>
      </c>
      <c r="B1330" s="10" t="s">
        <v>135</v>
      </c>
      <c r="C1330" s="11" t="s">
        <v>212</v>
      </c>
      <c r="D1330" s="10" t="s">
        <v>13</v>
      </c>
      <c r="E1330" s="11" t="s">
        <v>68</v>
      </c>
      <c r="F1330" s="13">
        <v>10.14</v>
      </c>
      <c r="G1330" s="14">
        <v>45172.0</v>
      </c>
      <c r="H1330" s="15">
        <f t="shared" si="1"/>
        <v>3</v>
      </c>
      <c r="I1330" s="16">
        <f t="shared" si="2"/>
        <v>9</v>
      </c>
      <c r="J1330" s="15">
        <f t="shared" si="3"/>
        <v>2023</v>
      </c>
      <c r="K1330" s="16">
        <f>STANDARDIZE(F1330,'estatística'!$C$2,'estatística'!$H$2)</f>
        <v>0.1119270701</v>
      </c>
    </row>
    <row r="1331" ht="15.75" customHeight="1">
      <c r="A1331" s="9">
        <v>97.0</v>
      </c>
      <c r="B1331" s="10" t="s">
        <v>44</v>
      </c>
      <c r="C1331" s="11" t="s">
        <v>45</v>
      </c>
      <c r="D1331" s="10" t="s">
        <v>13</v>
      </c>
      <c r="E1331" s="11" t="s">
        <v>18</v>
      </c>
      <c r="F1331" s="13">
        <v>39.52</v>
      </c>
      <c r="G1331" s="14">
        <v>45172.0</v>
      </c>
      <c r="H1331" s="15">
        <f t="shared" si="1"/>
        <v>3</v>
      </c>
      <c r="I1331" s="16">
        <f t="shared" si="2"/>
        <v>9</v>
      </c>
      <c r="J1331" s="15">
        <f t="shared" si="3"/>
        <v>2023</v>
      </c>
      <c r="K1331" s="16">
        <f>STANDARDIZE(F1331,'estatística'!$C$2,'estatística'!$H$2)</f>
        <v>0.4839199797</v>
      </c>
    </row>
    <row r="1332" ht="15.75" customHeight="1">
      <c r="A1332" s="9">
        <v>37.0</v>
      </c>
      <c r="B1332" s="10" t="s">
        <v>217</v>
      </c>
      <c r="C1332" s="11" t="s">
        <v>218</v>
      </c>
      <c r="D1332" s="10" t="s">
        <v>13</v>
      </c>
      <c r="E1332" s="11" t="s">
        <v>68</v>
      </c>
      <c r="F1332" s="13">
        <v>12.11</v>
      </c>
      <c r="G1332" s="14">
        <v>45172.0</v>
      </c>
      <c r="H1332" s="15">
        <f t="shared" si="1"/>
        <v>3</v>
      </c>
      <c r="I1332" s="16">
        <f t="shared" si="2"/>
        <v>9</v>
      </c>
      <c r="J1332" s="15">
        <f t="shared" si="3"/>
        <v>2023</v>
      </c>
      <c r="K1332" s="16">
        <f>STANDARDIZE(F1332,'estatística'!$C$2,'estatística'!$H$2)</f>
        <v>0.1368700937</v>
      </c>
    </row>
    <row r="1333" ht="15.75" customHeight="1">
      <c r="A1333" s="9">
        <v>66.0</v>
      </c>
      <c r="B1333" s="10" t="s">
        <v>122</v>
      </c>
      <c r="C1333" s="11" t="s">
        <v>130</v>
      </c>
      <c r="D1333" s="10" t="s">
        <v>17</v>
      </c>
      <c r="E1333" s="11" t="s">
        <v>116</v>
      </c>
      <c r="F1333" s="13">
        <v>3.32</v>
      </c>
      <c r="G1333" s="14">
        <v>45173.0</v>
      </c>
      <c r="H1333" s="15">
        <f t="shared" si="1"/>
        <v>4</v>
      </c>
      <c r="I1333" s="16">
        <f t="shared" si="2"/>
        <v>9</v>
      </c>
      <c r="J1333" s="15">
        <f t="shared" si="3"/>
        <v>2023</v>
      </c>
      <c r="K1333" s="16">
        <f>STANDARDIZE(F1333,'estatística'!$C$2,'estatística'!$H$2)</f>
        <v>0.02557609521</v>
      </c>
    </row>
    <row r="1334" ht="15.75" customHeight="1">
      <c r="A1334" s="9">
        <v>45.0</v>
      </c>
      <c r="B1334" s="10" t="s">
        <v>193</v>
      </c>
      <c r="C1334" s="11" t="s">
        <v>194</v>
      </c>
      <c r="D1334" s="10" t="s">
        <v>13</v>
      </c>
      <c r="E1334" s="11" t="s">
        <v>107</v>
      </c>
      <c r="F1334" s="13">
        <v>26.03</v>
      </c>
      <c r="G1334" s="14">
        <v>45173.0</v>
      </c>
      <c r="H1334" s="15">
        <f t="shared" si="1"/>
        <v>4</v>
      </c>
      <c r="I1334" s="16">
        <f t="shared" si="2"/>
        <v>9</v>
      </c>
      <c r="J1334" s="15">
        <f t="shared" si="3"/>
        <v>2023</v>
      </c>
      <c r="K1334" s="16">
        <f>STANDARDIZE(F1334,'estatística'!$C$2,'estatística'!$H$2)</f>
        <v>0.3131172449</v>
      </c>
    </row>
    <row r="1335" ht="15.75" customHeight="1">
      <c r="A1335" s="9">
        <v>99.0</v>
      </c>
      <c r="B1335" s="10" t="s">
        <v>46</v>
      </c>
      <c r="C1335" s="11" t="s">
        <v>47</v>
      </c>
      <c r="D1335" s="10" t="s">
        <v>17</v>
      </c>
      <c r="E1335" s="11" t="s">
        <v>18</v>
      </c>
      <c r="F1335" s="13">
        <v>43.57</v>
      </c>
      <c r="G1335" s="14">
        <v>45173.0</v>
      </c>
      <c r="H1335" s="15">
        <f t="shared" si="1"/>
        <v>4</v>
      </c>
      <c r="I1335" s="16">
        <f t="shared" si="2"/>
        <v>9</v>
      </c>
      <c r="J1335" s="15">
        <f t="shared" si="3"/>
        <v>2023</v>
      </c>
      <c r="K1335" s="16">
        <f>STANDARDIZE(F1335,'estatística'!$C$2,'estatística'!$H$2)</f>
        <v>0.5351987845</v>
      </c>
    </row>
    <row r="1336" ht="15.75" customHeight="1">
      <c r="A1336" s="9">
        <v>84.0</v>
      </c>
      <c r="B1336" s="10" t="s">
        <v>112</v>
      </c>
      <c r="C1336" s="11" t="s">
        <v>113</v>
      </c>
      <c r="D1336" s="10" t="s">
        <v>17</v>
      </c>
      <c r="E1336" s="11" t="s">
        <v>91</v>
      </c>
      <c r="F1336" s="13">
        <v>1.36</v>
      </c>
      <c r="G1336" s="14">
        <v>45173.0</v>
      </c>
      <c r="H1336" s="15">
        <f t="shared" si="1"/>
        <v>4</v>
      </c>
      <c r="I1336" s="16">
        <f t="shared" si="2"/>
        <v>9</v>
      </c>
      <c r="J1336" s="15">
        <f t="shared" si="3"/>
        <v>2023</v>
      </c>
      <c r="K1336" s="16">
        <f>STANDARDIZE(F1336,'estatística'!$C$2,'estatística'!$H$2)</f>
        <v>0.0007596859965</v>
      </c>
    </row>
    <row r="1337" ht="15.75" customHeight="1">
      <c r="A1337" s="9">
        <v>74.0</v>
      </c>
      <c r="B1337" s="10" t="s">
        <v>11</v>
      </c>
      <c r="C1337" s="11" t="s">
        <v>94</v>
      </c>
      <c r="D1337" s="10" t="s">
        <v>13</v>
      </c>
      <c r="E1337" s="11" t="s">
        <v>116</v>
      </c>
      <c r="F1337" s="13">
        <v>3.28</v>
      </c>
      <c r="G1337" s="14">
        <v>45173.0</v>
      </c>
      <c r="H1337" s="15">
        <f t="shared" si="1"/>
        <v>4</v>
      </c>
      <c r="I1337" s="16">
        <f t="shared" si="2"/>
        <v>9</v>
      </c>
      <c r="J1337" s="15">
        <f t="shared" si="3"/>
        <v>2023</v>
      </c>
      <c r="K1337" s="16">
        <f>STANDARDIZE(F1337,'estatística'!$C$2,'estatística'!$H$2)</f>
        <v>0.02506963788</v>
      </c>
    </row>
    <row r="1338" ht="15.75" customHeight="1">
      <c r="A1338" s="9">
        <v>70.0</v>
      </c>
      <c r="B1338" s="10" t="s">
        <v>124</v>
      </c>
      <c r="C1338" s="11" t="s">
        <v>125</v>
      </c>
      <c r="D1338" s="10" t="s">
        <v>13</v>
      </c>
      <c r="E1338" s="11" t="s">
        <v>32</v>
      </c>
      <c r="F1338" s="13">
        <v>34.23</v>
      </c>
      <c r="G1338" s="14">
        <v>45174.0</v>
      </c>
      <c r="H1338" s="15">
        <f t="shared" si="1"/>
        <v>5</v>
      </c>
      <c r="I1338" s="16">
        <f t="shared" si="2"/>
        <v>9</v>
      </c>
      <c r="J1338" s="15">
        <f t="shared" si="3"/>
        <v>2023</v>
      </c>
      <c r="K1338" s="16">
        <f>STANDARDIZE(F1338,'estatística'!$C$2,'estatística'!$H$2)</f>
        <v>0.4169409977</v>
      </c>
    </row>
    <row r="1339" ht="15.75" customHeight="1">
      <c r="A1339" s="9">
        <v>47.0</v>
      </c>
      <c r="B1339" s="10" t="s">
        <v>89</v>
      </c>
      <c r="C1339" s="11" t="s">
        <v>90</v>
      </c>
      <c r="D1339" s="10" t="s">
        <v>13</v>
      </c>
      <c r="E1339" s="11" t="s">
        <v>62</v>
      </c>
      <c r="F1339" s="13">
        <v>10.91</v>
      </c>
      <c r="G1339" s="14">
        <v>45174.0</v>
      </c>
      <c r="H1339" s="15">
        <f t="shared" si="1"/>
        <v>5</v>
      </c>
      <c r="I1339" s="16">
        <f t="shared" si="2"/>
        <v>9</v>
      </c>
      <c r="J1339" s="15">
        <f t="shared" si="3"/>
        <v>2023</v>
      </c>
      <c r="K1339" s="16">
        <f>STANDARDIZE(F1339,'estatística'!$C$2,'estatística'!$H$2)</f>
        <v>0.1216763738</v>
      </c>
    </row>
    <row r="1340" ht="15.75" customHeight="1">
      <c r="A1340" s="9">
        <v>44.0</v>
      </c>
      <c r="B1340" s="10" t="s">
        <v>187</v>
      </c>
      <c r="C1340" s="11" t="s">
        <v>188</v>
      </c>
      <c r="D1340" s="10" t="s">
        <v>13</v>
      </c>
      <c r="E1340" s="11" t="s">
        <v>32</v>
      </c>
      <c r="F1340" s="13">
        <v>28.65</v>
      </c>
      <c r="G1340" s="14">
        <v>45174.0</v>
      </c>
      <c r="H1340" s="15">
        <f t="shared" si="1"/>
        <v>5</v>
      </c>
      <c r="I1340" s="16">
        <f t="shared" si="2"/>
        <v>9</v>
      </c>
      <c r="J1340" s="15">
        <f t="shared" si="3"/>
        <v>2023</v>
      </c>
      <c r="K1340" s="16">
        <f>STANDARDIZE(F1340,'estatística'!$C$2,'estatística'!$H$2)</f>
        <v>0.3462902001</v>
      </c>
    </row>
    <row r="1341" ht="15.75" customHeight="1">
      <c r="A1341" s="9">
        <v>74.0</v>
      </c>
      <c r="B1341" s="10" t="s">
        <v>11</v>
      </c>
      <c r="C1341" s="11" t="s">
        <v>94</v>
      </c>
      <c r="D1341" s="10" t="s">
        <v>13</v>
      </c>
      <c r="E1341" s="11" t="s">
        <v>21</v>
      </c>
      <c r="F1341" s="13">
        <v>18.53</v>
      </c>
      <c r="G1341" s="14">
        <v>45174.0</v>
      </c>
      <c r="H1341" s="15">
        <f t="shared" si="1"/>
        <v>5</v>
      </c>
      <c r="I1341" s="16">
        <f t="shared" si="2"/>
        <v>9</v>
      </c>
      <c r="J1341" s="15">
        <f t="shared" si="3"/>
        <v>2023</v>
      </c>
      <c r="K1341" s="16">
        <f>STANDARDIZE(F1341,'estatística'!$C$2,'estatística'!$H$2)</f>
        <v>0.2181564953</v>
      </c>
    </row>
    <row r="1342" ht="15.75" customHeight="1">
      <c r="A1342" s="9">
        <v>34.0</v>
      </c>
      <c r="B1342" s="10" t="s">
        <v>149</v>
      </c>
      <c r="C1342" s="11" t="s">
        <v>150</v>
      </c>
      <c r="D1342" s="10" t="s">
        <v>13</v>
      </c>
      <c r="E1342" s="11" t="s">
        <v>29</v>
      </c>
      <c r="F1342" s="13">
        <v>12.62</v>
      </c>
      <c r="G1342" s="14">
        <v>45174.0</v>
      </c>
      <c r="H1342" s="15">
        <f t="shared" si="1"/>
        <v>5</v>
      </c>
      <c r="I1342" s="16">
        <f t="shared" si="2"/>
        <v>9</v>
      </c>
      <c r="J1342" s="15">
        <f t="shared" si="3"/>
        <v>2023</v>
      </c>
      <c r="K1342" s="16">
        <f>STANDARDIZE(F1342,'estatística'!$C$2,'estatística'!$H$2)</f>
        <v>0.1433274247</v>
      </c>
    </row>
    <row r="1343" ht="15.75" customHeight="1">
      <c r="A1343" s="9">
        <v>100.0</v>
      </c>
      <c r="B1343" s="10" t="s">
        <v>30</v>
      </c>
      <c r="C1343" s="11" t="s">
        <v>31</v>
      </c>
      <c r="D1343" s="10" t="s">
        <v>17</v>
      </c>
      <c r="E1343" s="11" t="s">
        <v>68</v>
      </c>
      <c r="F1343" s="13">
        <v>12.86</v>
      </c>
      <c r="G1343" s="14">
        <v>45174.0</v>
      </c>
      <c r="H1343" s="15">
        <f t="shared" si="1"/>
        <v>5</v>
      </c>
      <c r="I1343" s="16">
        <f t="shared" si="2"/>
        <v>9</v>
      </c>
      <c r="J1343" s="15">
        <f t="shared" si="3"/>
        <v>2023</v>
      </c>
      <c r="K1343" s="16">
        <f>STANDARDIZE(F1343,'estatística'!$C$2,'estatística'!$H$2)</f>
        <v>0.1463661687</v>
      </c>
    </row>
    <row r="1344" ht="15.75" customHeight="1">
      <c r="A1344" s="9">
        <v>13.0</v>
      </c>
      <c r="B1344" s="10" t="s">
        <v>108</v>
      </c>
      <c r="C1344" s="11" t="s">
        <v>109</v>
      </c>
      <c r="D1344" s="10" t="s">
        <v>17</v>
      </c>
      <c r="E1344" s="11" t="s">
        <v>39</v>
      </c>
      <c r="F1344" s="13">
        <v>44.27</v>
      </c>
      <c r="G1344" s="14">
        <v>45174.0</v>
      </c>
      <c r="H1344" s="15">
        <f t="shared" si="1"/>
        <v>5</v>
      </c>
      <c r="I1344" s="16">
        <f t="shared" si="2"/>
        <v>9</v>
      </c>
      <c r="J1344" s="15">
        <f t="shared" si="3"/>
        <v>2023</v>
      </c>
      <c r="K1344" s="16">
        <f>STANDARDIZE(F1344,'estatística'!$C$2,'estatística'!$H$2)</f>
        <v>0.5440617878</v>
      </c>
    </row>
    <row r="1345" ht="15.75" customHeight="1">
      <c r="A1345" s="9">
        <v>77.0</v>
      </c>
      <c r="B1345" s="10" t="s">
        <v>11</v>
      </c>
      <c r="C1345" s="11" t="s">
        <v>141</v>
      </c>
      <c r="D1345" s="10" t="s">
        <v>17</v>
      </c>
      <c r="E1345" s="11" t="s">
        <v>116</v>
      </c>
      <c r="F1345" s="13">
        <v>4.8</v>
      </c>
      <c r="G1345" s="14">
        <v>45175.0</v>
      </c>
      <c r="H1345" s="15">
        <f t="shared" si="1"/>
        <v>6</v>
      </c>
      <c r="I1345" s="16">
        <f t="shared" si="2"/>
        <v>9</v>
      </c>
      <c r="J1345" s="15">
        <f t="shared" si="3"/>
        <v>2023</v>
      </c>
      <c r="K1345" s="16">
        <f>STANDARDIZE(F1345,'estatística'!$C$2,'estatística'!$H$2)</f>
        <v>0.04431501646</v>
      </c>
    </row>
    <row r="1346" ht="15.75" customHeight="1">
      <c r="A1346" s="9">
        <v>73.0</v>
      </c>
      <c r="B1346" s="10" t="s">
        <v>195</v>
      </c>
      <c r="C1346" s="11" t="s">
        <v>196</v>
      </c>
      <c r="D1346" s="10" t="s">
        <v>13</v>
      </c>
      <c r="E1346" s="11" t="s">
        <v>39</v>
      </c>
      <c r="F1346" s="13">
        <v>54.36</v>
      </c>
      <c r="G1346" s="14">
        <v>45175.0</v>
      </c>
      <c r="H1346" s="15">
        <f t="shared" si="1"/>
        <v>6</v>
      </c>
      <c r="I1346" s="16">
        <f t="shared" si="2"/>
        <v>9</v>
      </c>
      <c r="J1346" s="15">
        <f t="shared" si="3"/>
        <v>2023</v>
      </c>
      <c r="K1346" s="16">
        <f>STANDARDIZE(F1346,'estatística'!$C$2,'estatística'!$H$2)</f>
        <v>0.6718156495</v>
      </c>
    </row>
    <row r="1347" ht="15.75" customHeight="1">
      <c r="A1347" s="9">
        <v>93.0</v>
      </c>
      <c r="B1347" s="10" t="s">
        <v>99</v>
      </c>
      <c r="C1347" s="11" t="s">
        <v>100</v>
      </c>
      <c r="D1347" s="10" t="s">
        <v>13</v>
      </c>
      <c r="E1347" s="11" t="s">
        <v>48</v>
      </c>
      <c r="F1347" s="13">
        <v>18.51</v>
      </c>
      <c r="G1347" s="14">
        <v>45176.0</v>
      </c>
      <c r="H1347" s="15">
        <f t="shared" si="1"/>
        <v>7</v>
      </c>
      <c r="I1347" s="16">
        <f t="shared" si="2"/>
        <v>9</v>
      </c>
      <c r="J1347" s="15">
        <f t="shared" si="3"/>
        <v>2023</v>
      </c>
      <c r="K1347" s="16">
        <f>STANDARDIZE(F1347,'estatística'!$C$2,'estatística'!$H$2)</f>
        <v>0.2179032666</v>
      </c>
    </row>
    <row r="1348" ht="15.75" customHeight="1">
      <c r="A1348" s="9">
        <v>3.0</v>
      </c>
      <c r="B1348" s="10" t="s">
        <v>51</v>
      </c>
      <c r="C1348" s="11" t="s">
        <v>52</v>
      </c>
      <c r="D1348" s="10" t="s">
        <v>13</v>
      </c>
      <c r="E1348" s="11" t="s">
        <v>27</v>
      </c>
      <c r="F1348" s="13">
        <v>20.55</v>
      </c>
      <c r="G1348" s="14">
        <v>45176.0</v>
      </c>
      <c r="H1348" s="15">
        <f t="shared" si="1"/>
        <v>7</v>
      </c>
      <c r="I1348" s="16">
        <f t="shared" si="2"/>
        <v>9</v>
      </c>
      <c r="J1348" s="15">
        <f t="shared" si="3"/>
        <v>2023</v>
      </c>
      <c r="K1348" s="16">
        <f>STANDARDIZE(F1348,'estatística'!$C$2,'estatística'!$H$2)</f>
        <v>0.2437325905</v>
      </c>
    </row>
    <row r="1349" ht="15.75" customHeight="1">
      <c r="A1349" s="9">
        <v>44.0</v>
      </c>
      <c r="B1349" s="10" t="s">
        <v>187</v>
      </c>
      <c r="C1349" s="11" t="s">
        <v>188</v>
      </c>
      <c r="D1349" s="10" t="s">
        <v>13</v>
      </c>
      <c r="E1349" s="11" t="s">
        <v>21</v>
      </c>
      <c r="F1349" s="13">
        <v>15.45</v>
      </c>
      <c r="G1349" s="14">
        <v>45176.0</v>
      </c>
      <c r="H1349" s="15">
        <f t="shared" si="1"/>
        <v>7</v>
      </c>
      <c r="I1349" s="16">
        <f t="shared" si="2"/>
        <v>9</v>
      </c>
      <c r="J1349" s="15">
        <f t="shared" si="3"/>
        <v>2023</v>
      </c>
      <c r="K1349" s="16">
        <f>STANDARDIZE(F1349,'estatística'!$C$2,'estatística'!$H$2)</f>
        <v>0.1791592808</v>
      </c>
    </row>
    <row r="1350" ht="15.75" customHeight="1">
      <c r="A1350" s="9">
        <v>89.0</v>
      </c>
      <c r="B1350" s="10" t="s">
        <v>105</v>
      </c>
      <c r="C1350" s="11" t="s">
        <v>106</v>
      </c>
      <c r="D1350" s="10" t="s">
        <v>13</v>
      </c>
      <c r="E1350" s="11" t="s">
        <v>18</v>
      </c>
      <c r="F1350" s="13">
        <v>40.34</v>
      </c>
      <c r="G1350" s="14">
        <v>45176.0</v>
      </c>
      <c r="H1350" s="15">
        <f t="shared" si="1"/>
        <v>7</v>
      </c>
      <c r="I1350" s="16">
        <f t="shared" si="2"/>
        <v>9</v>
      </c>
      <c r="J1350" s="15">
        <f t="shared" si="3"/>
        <v>2023</v>
      </c>
      <c r="K1350" s="16">
        <f>STANDARDIZE(F1350,'estatística'!$C$2,'estatística'!$H$2)</f>
        <v>0.494302355</v>
      </c>
    </row>
    <row r="1351" ht="15.75" customHeight="1">
      <c r="A1351" s="9">
        <v>92.0</v>
      </c>
      <c r="B1351" s="10" t="s">
        <v>81</v>
      </c>
      <c r="C1351" s="11" t="s">
        <v>169</v>
      </c>
      <c r="D1351" s="10" t="s">
        <v>13</v>
      </c>
      <c r="E1351" s="11" t="s">
        <v>68</v>
      </c>
      <c r="F1351" s="13">
        <v>13.66</v>
      </c>
      <c r="G1351" s="14">
        <v>45176.0</v>
      </c>
      <c r="H1351" s="15">
        <f t="shared" si="1"/>
        <v>7</v>
      </c>
      <c r="I1351" s="16">
        <f t="shared" si="2"/>
        <v>9</v>
      </c>
      <c r="J1351" s="15">
        <f t="shared" si="3"/>
        <v>2023</v>
      </c>
      <c r="K1351" s="16">
        <f>STANDARDIZE(F1351,'estatística'!$C$2,'estatística'!$H$2)</f>
        <v>0.1564953153</v>
      </c>
    </row>
    <row r="1352" ht="15.75" customHeight="1">
      <c r="A1352" s="9">
        <v>55.0</v>
      </c>
      <c r="B1352" s="10" t="s">
        <v>174</v>
      </c>
      <c r="C1352" s="11" t="s">
        <v>175</v>
      </c>
      <c r="D1352" s="10" t="s">
        <v>13</v>
      </c>
      <c r="E1352" s="11" t="s">
        <v>39</v>
      </c>
      <c r="F1352" s="13">
        <v>53.37</v>
      </c>
      <c r="G1352" s="14">
        <v>45177.0</v>
      </c>
      <c r="H1352" s="15">
        <f t="shared" si="1"/>
        <v>8</v>
      </c>
      <c r="I1352" s="16">
        <f t="shared" si="2"/>
        <v>9</v>
      </c>
      <c r="J1352" s="15">
        <f t="shared" si="3"/>
        <v>2023</v>
      </c>
      <c r="K1352" s="16">
        <f>STANDARDIZE(F1352,'estatística'!$C$2,'estatística'!$H$2)</f>
        <v>0.6592808306</v>
      </c>
    </row>
    <row r="1353" ht="15.75" customHeight="1">
      <c r="A1353" s="9">
        <v>30.0</v>
      </c>
      <c r="B1353" s="10" t="s">
        <v>11</v>
      </c>
      <c r="C1353" s="11" t="s">
        <v>12</v>
      </c>
      <c r="D1353" s="10" t="s">
        <v>17</v>
      </c>
      <c r="E1353" s="11" t="s">
        <v>107</v>
      </c>
      <c r="F1353" s="13">
        <v>27.78</v>
      </c>
      <c r="G1353" s="14">
        <v>45177.0</v>
      </c>
      <c r="H1353" s="15">
        <f t="shared" si="1"/>
        <v>8</v>
      </c>
      <c r="I1353" s="16">
        <f t="shared" si="2"/>
        <v>9</v>
      </c>
      <c r="J1353" s="15">
        <f t="shared" si="3"/>
        <v>2023</v>
      </c>
      <c r="K1353" s="16">
        <f>STANDARDIZE(F1353,'estatística'!$C$2,'estatística'!$H$2)</f>
        <v>0.3352747531</v>
      </c>
    </row>
    <row r="1354" ht="15.75" customHeight="1">
      <c r="A1354" s="9">
        <v>37.0</v>
      </c>
      <c r="B1354" s="10" t="s">
        <v>217</v>
      </c>
      <c r="C1354" s="11" t="s">
        <v>218</v>
      </c>
      <c r="D1354" s="10" t="s">
        <v>13</v>
      </c>
      <c r="E1354" s="11" t="s">
        <v>77</v>
      </c>
      <c r="F1354" s="13">
        <v>14.35</v>
      </c>
      <c r="G1354" s="14">
        <v>45177.0</v>
      </c>
      <c r="H1354" s="15">
        <f t="shared" si="1"/>
        <v>8</v>
      </c>
      <c r="I1354" s="16">
        <f t="shared" si="2"/>
        <v>9</v>
      </c>
      <c r="J1354" s="15">
        <f t="shared" si="3"/>
        <v>2023</v>
      </c>
      <c r="K1354" s="16">
        <f>STANDARDIZE(F1354,'estatística'!$C$2,'estatística'!$H$2)</f>
        <v>0.1652317042</v>
      </c>
    </row>
    <row r="1355" ht="15.75" customHeight="1">
      <c r="A1355" s="9">
        <v>6.0</v>
      </c>
      <c r="B1355" s="10" t="s">
        <v>155</v>
      </c>
      <c r="C1355" s="11" t="s">
        <v>156</v>
      </c>
      <c r="D1355" s="10" t="s">
        <v>13</v>
      </c>
      <c r="E1355" s="11" t="s">
        <v>39</v>
      </c>
      <c r="F1355" s="13">
        <v>44.93</v>
      </c>
      <c r="G1355" s="14">
        <v>45178.0</v>
      </c>
      <c r="H1355" s="15">
        <f t="shared" si="1"/>
        <v>9</v>
      </c>
      <c r="I1355" s="16">
        <f t="shared" si="2"/>
        <v>9</v>
      </c>
      <c r="J1355" s="15">
        <f t="shared" si="3"/>
        <v>2023</v>
      </c>
      <c r="K1355" s="16">
        <f>STANDARDIZE(F1355,'estatística'!$C$2,'estatística'!$H$2)</f>
        <v>0.5524183338</v>
      </c>
    </row>
    <row r="1356" ht="15.75" customHeight="1">
      <c r="A1356" s="9">
        <v>97.0</v>
      </c>
      <c r="B1356" s="10" t="s">
        <v>44</v>
      </c>
      <c r="C1356" s="11" t="s">
        <v>45</v>
      </c>
      <c r="D1356" s="10" t="s">
        <v>13</v>
      </c>
      <c r="E1356" s="11" t="s">
        <v>107</v>
      </c>
      <c r="F1356" s="13">
        <v>26.12</v>
      </c>
      <c r="G1356" s="14">
        <v>45178.0</v>
      </c>
      <c r="H1356" s="15">
        <f t="shared" si="1"/>
        <v>9</v>
      </c>
      <c r="I1356" s="16">
        <f t="shared" si="2"/>
        <v>9</v>
      </c>
      <c r="J1356" s="15">
        <f t="shared" si="3"/>
        <v>2023</v>
      </c>
      <c r="K1356" s="16">
        <f>STANDARDIZE(F1356,'estatística'!$C$2,'estatística'!$H$2)</f>
        <v>0.3142567739</v>
      </c>
    </row>
    <row r="1357" ht="15.75" customHeight="1">
      <c r="A1357" s="9">
        <v>32.0</v>
      </c>
      <c r="B1357" s="10" t="s">
        <v>118</v>
      </c>
      <c r="C1357" s="11" t="s">
        <v>119</v>
      </c>
      <c r="D1357" s="10" t="s">
        <v>13</v>
      </c>
      <c r="E1357" s="11" t="s">
        <v>116</v>
      </c>
      <c r="F1357" s="13">
        <v>5.24</v>
      </c>
      <c r="G1357" s="14">
        <v>45179.0</v>
      </c>
      <c r="H1357" s="15">
        <f t="shared" si="1"/>
        <v>10</v>
      </c>
      <c r="I1357" s="16">
        <f t="shared" si="2"/>
        <v>9</v>
      </c>
      <c r="J1357" s="15">
        <f t="shared" si="3"/>
        <v>2023</v>
      </c>
      <c r="K1357" s="16">
        <f>STANDARDIZE(F1357,'estatística'!$C$2,'estatística'!$H$2)</f>
        <v>0.0498860471</v>
      </c>
    </row>
    <row r="1358" ht="15.75" customHeight="1">
      <c r="A1358" s="9">
        <v>2.0</v>
      </c>
      <c r="B1358" s="10" t="s">
        <v>53</v>
      </c>
      <c r="C1358" s="11" t="s">
        <v>54</v>
      </c>
      <c r="D1358" s="10" t="s">
        <v>13</v>
      </c>
      <c r="E1358" s="11" t="s">
        <v>29</v>
      </c>
      <c r="F1358" s="13">
        <v>12.95</v>
      </c>
      <c r="G1358" s="14">
        <v>45179.0</v>
      </c>
      <c r="H1358" s="15">
        <f t="shared" si="1"/>
        <v>10</v>
      </c>
      <c r="I1358" s="16">
        <f t="shared" si="2"/>
        <v>9</v>
      </c>
      <c r="J1358" s="15">
        <f t="shared" si="3"/>
        <v>2023</v>
      </c>
      <c r="K1358" s="16">
        <f>STANDARDIZE(F1358,'estatística'!$C$2,'estatística'!$H$2)</f>
        <v>0.1475056976</v>
      </c>
    </row>
    <row r="1359" ht="15.75" customHeight="1">
      <c r="A1359" s="9">
        <v>72.0</v>
      </c>
      <c r="B1359" s="10" t="s">
        <v>103</v>
      </c>
      <c r="C1359" s="11" t="s">
        <v>104</v>
      </c>
      <c r="D1359" s="10" t="s">
        <v>13</v>
      </c>
      <c r="E1359" s="11" t="s">
        <v>107</v>
      </c>
      <c r="F1359" s="13">
        <v>31.76</v>
      </c>
      <c r="G1359" s="14">
        <v>45179.0</v>
      </c>
      <c r="H1359" s="15">
        <f t="shared" si="1"/>
        <v>10</v>
      </c>
      <c r="I1359" s="16">
        <f t="shared" si="2"/>
        <v>9</v>
      </c>
      <c r="J1359" s="15">
        <f t="shared" si="3"/>
        <v>2023</v>
      </c>
      <c r="K1359" s="16">
        <f>STANDARDIZE(F1359,'estatística'!$C$2,'estatística'!$H$2)</f>
        <v>0.3856672575</v>
      </c>
    </row>
    <row r="1360" ht="15.75" customHeight="1">
      <c r="A1360" s="9">
        <v>22.0</v>
      </c>
      <c r="B1360" s="10" t="s">
        <v>101</v>
      </c>
      <c r="C1360" s="11" t="s">
        <v>102</v>
      </c>
      <c r="D1360" s="10" t="s">
        <v>17</v>
      </c>
      <c r="E1360" s="11" t="s">
        <v>36</v>
      </c>
      <c r="F1360" s="13">
        <v>64.53</v>
      </c>
      <c r="G1360" s="14">
        <v>45179.0</v>
      </c>
      <c r="H1360" s="15">
        <f t="shared" si="1"/>
        <v>10</v>
      </c>
      <c r="I1360" s="16">
        <f t="shared" si="2"/>
        <v>9</v>
      </c>
      <c r="J1360" s="15">
        <f t="shared" si="3"/>
        <v>2023</v>
      </c>
      <c r="K1360" s="16">
        <f>STANDARDIZE(F1360,'estatística'!$C$2,'estatística'!$H$2)</f>
        <v>0.8005824259</v>
      </c>
    </row>
    <row r="1361" ht="15.75" customHeight="1">
      <c r="A1361" s="9">
        <v>72.0</v>
      </c>
      <c r="B1361" s="10" t="s">
        <v>103</v>
      </c>
      <c r="C1361" s="11" t="s">
        <v>104</v>
      </c>
      <c r="D1361" s="10" t="s">
        <v>17</v>
      </c>
      <c r="E1361" s="11" t="s">
        <v>27</v>
      </c>
      <c r="F1361" s="13">
        <v>13.15</v>
      </c>
      <c r="G1361" s="14">
        <v>45180.0</v>
      </c>
      <c r="H1361" s="15">
        <f t="shared" si="1"/>
        <v>11</v>
      </c>
      <c r="I1361" s="16">
        <f t="shared" si="2"/>
        <v>9</v>
      </c>
      <c r="J1361" s="15">
        <f t="shared" si="3"/>
        <v>2023</v>
      </c>
      <c r="K1361" s="16">
        <f>STANDARDIZE(F1361,'estatística'!$C$2,'estatística'!$H$2)</f>
        <v>0.1500379843</v>
      </c>
    </row>
    <row r="1362" ht="15.75" customHeight="1">
      <c r="A1362" s="9">
        <v>10.0</v>
      </c>
      <c r="B1362" s="10" t="s">
        <v>120</v>
      </c>
      <c r="C1362" s="11" t="s">
        <v>121</v>
      </c>
      <c r="D1362" s="10" t="s">
        <v>13</v>
      </c>
      <c r="E1362" s="11" t="s">
        <v>24</v>
      </c>
      <c r="F1362" s="13">
        <v>19.6</v>
      </c>
      <c r="G1362" s="14">
        <v>45180.0</v>
      </c>
      <c r="H1362" s="15">
        <f t="shared" si="1"/>
        <v>11</v>
      </c>
      <c r="I1362" s="16">
        <f t="shared" si="2"/>
        <v>9</v>
      </c>
      <c r="J1362" s="15">
        <f t="shared" si="3"/>
        <v>2023</v>
      </c>
      <c r="K1362" s="16">
        <f>STANDARDIZE(F1362,'estatística'!$C$2,'estatística'!$H$2)</f>
        <v>0.2317042289</v>
      </c>
    </row>
    <row r="1363" ht="15.75" customHeight="1">
      <c r="A1363" s="9">
        <v>37.0</v>
      </c>
      <c r="B1363" s="10" t="s">
        <v>217</v>
      </c>
      <c r="C1363" s="11" t="s">
        <v>218</v>
      </c>
      <c r="D1363" s="10" t="s">
        <v>13</v>
      </c>
      <c r="E1363" s="11" t="s">
        <v>33</v>
      </c>
      <c r="F1363" s="13">
        <v>59.63</v>
      </c>
      <c r="G1363" s="14">
        <v>45180.0</v>
      </c>
      <c r="H1363" s="15">
        <f t="shared" si="1"/>
        <v>11</v>
      </c>
      <c r="I1363" s="16">
        <f t="shared" si="2"/>
        <v>9</v>
      </c>
      <c r="J1363" s="15">
        <f t="shared" si="3"/>
        <v>2023</v>
      </c>
      <c r="K1363" s="16">
        <f>STANDARDIZE(F1363,'estatística'!$C$2,'estatística'!$H$2)</f>
        <v>0.7385414029</v>
      </c>
    </row>
    <row r="1364" ht="15.75" customHeight="1">
      <c r="A1364" s="9">
        <v>75.0</v>
      </c>
      <c r="B1364" s="10" t="s">
        <v>210</v>
      </c>
      <c r="C1364" s="11" t="s">
        <v>211</v>
      </c>
      <c r="D1364" s="10" t="s">
        <v>13</v>
      </c>
      <c r="E1364" s="11" t="s">
        <v>65</v>
      </c>
      <c r="F1364" s="13">
        <v>28.14</v>
      </c>
      <c r="G1364" s="14">
        <v>45180.0</v>
      </c>
      <c r="H1364" s="15">
        <f t="shared" si="1"/>
        <v>11</v>
      </c>
      <c r="I1364" s="16">
        <f t="shared" si="2"/>
        <v>9</v>
      </c>
      <c r="J1364" s="15">
        <f t="shared" si="3"/>
        <v>2023</v>
      </c>
      <c r="K1364" s="16">
        <f>STANDARDIZE(F1364,'estatística'!$C$2,'estatística'!$H$2)</f>
        <v>0.3398328691</v>
      </c>
    </row>
    <row r="1365" ht="15.75" customHeight="1">
      <c r="A1365" s="9">
        <v>17.0</v>
      </c>
      <c r="B1365" s="10" t="s">
        <v>172</v>
      </c>
      <c r="C1365" s="11" t="s">
        <v>173</v>
      </c>
      <c r="D1365" s="10" t="s">
        <v>13</v>
      </c>
      <c r="E1365" s="11" t="s">
        <v>57</v>
      </c>
      <c r="F1365" s="13">
        <v>24.86</v>
      </c>
      <c r="G1365" s="14">
        <v>45180.0</v>
      </c>
      <c r="H1365" s="15">
        <f t="shared" si="1"/>
        <v>11</v>
      </c>
      <c r="I1365" s="16">
        <f t="shared" si="2"/>
        <v>9</v>
      </c>
      <c r="J1365" s="15">
        <f t="shared" si="3"/>
        <v>2023</v>
      </c>
      <c r="K1365" s="16">
        <f>STANDARDIZE(F1365,'estatística'!$C$2,'estatística'!$H$2)</f>
        <v>0.2983033679</v>
      </c>
    </row>
    <row r="1366" ht="15.75" customHeight="1">
      <c r="A1366" s="9">
        <v>60.0</v>
      </c>
      <c r="B1366" s="10" t="s">
        <v>42</v>
      </c>
      <c r="C1366" s="11" t="s">
        <v>43</v>
      </c>
      <c r="D1366" s="10" t="s">
        <v>17</v>
      </c>
      <c r="E1366" s="11" t="s">
        <v>29</v>
      </c>
      <c r="F1366" s="13">
        <v>12.55</v>
      </c>
      <c r="G1366" s="14">
        <v>45180.0</v>
      </c>
      <c r="H1366" s="15">
        <f t="shared" si="1"/>
        <v>11</v>
      </c>
      <c r="I1366" s="16">
        <f t="shared" si="2"/>
        <v>9</v>
      </c>
      <c r="J1366" s="15">
        <f t="shared" si="3"/>
        <v>2023</v>
      </c>
      <c r="K1366" s="16">
        <f>STANDARDIZE(F1366,'estatística'!$C$2,'estatística'!$H$2)</f>
        <v>0.1424411243</v>
      </c>
    </row>
    <row r="1367" ht="15.75" customHeight="1">
      <c r="A1367" s="9">
        <v>45.0</v>
      </c>
      <c r="B1367" s="10" t="s">
        <v>193</v>
      </c>
      <c r="C1367" s="11" t="s">
        <v>194</v>
      </c>
      <c r="D1367" s="10" t="s">
        <v>17</v>
      </c>
      <c r="E1367" s="11" t="s">
        <v>18</v>
      </c>
      <c r="F1367" s="13">
        <v>51.69</v>
      </c>
      <c r="G1367" s="14">
        <v>45180.0</v>
      </c>
      <c r="H1367" s="15">
        <f t="shared" si="1"/>
        <v>11</v>
      </c>
      <c r="I1367" s="16">
        <f t="shared" si="2"/>
        <v>9</v>
      </c>
      <c r="J1367" s="15">
        <f t="shared" si="3"/>
        <v>2023</v>
      </c>
      <c r="K1367" s="16">
        <f>STANDARDIZE(F1367,'estatística'!$C$2,'estatística'!$H$2)</f>
        <v>0.6380096227</v>
      </c>
    </row>
    <row r="1368" ht="15.75" customHeight="1">
      <c r="A1368" s="9">
        <v>89.0</v>
      </c>
      <c r="B1368" s="10" t="s">
        <v>105</v>
      </c>
      <c r="C1368" s="11" t="s">
        <v>106</v>
      </c>
      <c r="D1368" s="10" t="s">
        <v>17</v>
      </c>
      <c r="E1368" s="11" t="s">
        <v>107</v>
      </c>
      <c r="F1368" s="13">
        <v>29.1</v>
      </c>
      <c r="G1368" s="14">
        <v>45181.0</v>
      </c>
      <c r="H1368" s="15">
        <f t="shared" si="1"/>
        <v>12</v>
      </c>
      <c r="I1368" s="16">
        <f t="shared" si="2"/>
        <v>9</v>
      </c>
      <c r="J1368" s="15">
        <f t="shared" si="3"/>
        <v>2023</v>
      </c>
      <c r="K1368" s="16">
        <f>STANDARDIZE(F1368,'estatística'!$C$2,'estatística'!$H$2)</f>
        <v>0.351987845</v>
      </c>
    </row>
    <row r="1369" ht="15.75" customHeight="1">
      <c r="A1369" s="9">
        <v>29.0</v>
      </c>
      <c r="B1369" s="10" t="s">
        <v>92</v>
      </c>
      <c r="C1369" s="11" t="s">
        <v>93</v>
      </c>
      <c r="D1369" s="10" t="s">
        <v>13</v>
      </c>
      <c r="E1369" s="11" t="s">
        <v>116</v>
      </c>
      <c r="F1369" s="13">
        <v>4.33</v>
      </c>
      <c r="G1369" s="14">
        <v>45181.0</v>
      </c>
      <c r="H1369" s="15">
        <f t="shared" si="1"/>
        <v>12</v>
      </c>
      <c r="I1369" s="16">
        <f t="shared" si="2"/>
        <v>9</v>
      </c>
      <c r="J1369" s="15">
        <f t="shared" si="3"/>
        <v>2023</v>
      </c>
      <c r="K1369" s="16">
        <f>STANDARDIZE(F1369,'estatística'!$C$2,'estatística'!$H$2)</f>
        <v>0.03836414282</v>
      </c>
    </row>
    <row r="1370" ht="15.75" customHeight="1">
      <c r="A1370" s="9">
        <v>87.0</v>
      </c>
      <c r="B1370" s="10" t="s">
        <v>215</v>
      </c>
      <c r="C1370" s="11" t="s">
        <v>216</v>
      </c>
      <c r="D1370" s="10" t="s">
        <v>17</v>
      </c>
      <c r="E1370" s="11" t="s">
        <v>116</v>
      </c>
      <c r="F1370" s="13">
        <v>2.07</v>
      </c>
      <c r="G1370" s="14">
        <v>45181.0</v>
      </c>
      <c r="H1370" s="15">
        <f t="shared" si="1"/>
        <v>12</v>
      </c>
      <c r="I1370" s="16">
        <f t="shared" si="2"/>
        <v>9</v>
      </c>
      <c r="J1370" s="15">
        <f t="shared" si="3"/>
        <v>2023</v>
      </c>
      <c r="K1370" s="16">
        <f>STANDARDIZE(F1370,'estatística'!$C$2,'estatística'!$H$2)</f>
        <v>0.009749303621</v>
      </c>
    </row>
    <row r="1371" ht="15.75" customHeight="1">
      <c r="A1371" s="9">
        <v>71.0</v>
      </c>
      <c r="B1371" s="10" t="s">
        <v>122</v>
      </c>
      <c r="C1371" s="11" t="s">
        <v>123</v>
      </c>
      <c r="D1371" s="10" t="s">
        <v>17</v>
      </c>
      <c r="E1371" s="11" t="s">
        <v>65</v>
      </c>
      <c r="F1371" s="13">
        <v>32.65</v>
      </c>
      <c r="G1371" s="14">
        <v>45181.0</v>
      </c>
      <c r="H1371" s="15">
        <f t="shared" si="1"/>
        <v>12</v>
      </c>
      <c r="I1371" s="16">
        <f t="shared" si="2"/>
        <v>9</v>
      </c>
      <c r="J1371" s="15">
        <f t="shared" si="3"/>
        <v>2023</v>
      </c>
      <c r="K1371" s="16">
        <f>STANDARDIZE(F1371,'estatística'!$C$2,'estatística'!$H$2)</f>
        <v>0.3969359331</v>
      </c>
    </row>
    <row r="1372" ht="15.75" customHeight="1">
      <c r="A1372" s="9">
        <v>22.0</v>
      </c>
      <c r="B1372" s="10" t="s">
        <v>101</v>
      </c>
      <c r="C1372" s="11" t="s">
        <v>102</v>
      </c>
      <c r="D1372" s="10" t="s">
        <v>17</v>
      </c>
      <c r="E1372" s="11" t="s">
        <v>18</v>
      </c>
      <c r="F1372" s="13">
        <v>55.69</v>
      </c>
      <c r="G1372" s="14">
        <v>45181.0</v>
      </c>
      <c r="H1372" s="15">
        <f t="shared" si="1"/>
        <v>12</v>
      </c>
      <c r="I1372" s="16">
        <f t="shared" si="2"/>
        <v>9</v>
      </c>
      <c r="J1372" s="15">
        <f t="shared" si="3"/>
        <v>2023</v>
      </c>
      <c r="K1372" s="16">
        <f>STANDARDIZE(F1372,'estatística'!$C$2,'estatística'!$H$2)</f>
        <v>0.6886553558</v>
      </c>
    </row>
    <row r="1373" ht="15.75" customHeight="1">
      <c r="A1373" s="9">
        <v>57.0</v>
      </c>
      <c r="B1373" s="10" t="s">
        <v>60</v>
      </c>
      <c r="C1373" s="11" t="s">
        <v>162</v>
      </c>
      <c r="D1373" s="10" t="s">
        <v>13</v>
      </c>
      <c r="E1373" s="11" t="s">
        <v>39</v>
      </c>
      <c r="F1373" s="13">
        <v>35.57</v>
      </c>
      <c r="G1373" s="14">
        <v>45181.0</v>
      </c>
      <c r="H1373" s="15">
        <f t="shared" si="1"/>
        <v>12</v>
      </c>
      <c r="I1373" s="16">
        <f t="shared" si="2"/>
        <v>9</v>
      </c>
      <c r="J1373" s="15">
        <f t="shared" si="3"/>
        <v>2023</v>
      </c>
      <c r="K1373" s="16">
        <f>STANDARDIZE(F1373,'estatística'!$C$2,'estatística'!$H$2)</f>
        <v>0.4339073183</v>
      </c>
    </row>
    <row r="1374" ht="15.75" customHeight="1">
      <c r="A1374" s="9">
        <v>70.0</v>
      </c>
      <c r="B1374" s="10" t="s">
        <v>124</v>
      </c>
      <c r="C1374" s="11" t="s">
        <v>125</v>
      </c>
      <c r="D1374" s="10" t="s">
        <v>17</v>
      </c>
      <c r="E1374" s="11" t="s">
        <v>77</v>
      </c>
      <c r="F1374" s="13">
        <v>15.91</v>
      </c>
      <c r="G1374" s="14">
        <v>45181.0</v>
      </c>
      <c r="H1374" s="15">
        <f t="shared" si="1"/>
        <v>12</v>
      </c>
      <c r="I1374" s="16">
        <f t="shared" si="2"/>
        <v>9</v>
      </c>
      <c r="J1374" s="15">
        <f t="shared" si="3"/>
        <v>2023</v>
      </c>
      <c r="K1374" s="16">
        <f>STANDARDIZE(F1374,'estatística'!$C$2,'estatística'!$H$2)</f>
        <v>0.1849835401</v>
      </c>
    </row>
    <row r="1375" ht="15.75" customHeight="1">
      <c r="A1375" s="9">
        <v>1.0</v>
      </c>
      <c r="B1375" s="10" t="s">
        <v>166</v>
      </c>
      <c r="C1375" s="11" t="s">
        <v>167</v>
      </c>
      <c r="D1375" s="10" t="s">
        <v>17</v>
      </c>
      <c r="E1375" s="11" t="s">
        <v>62</v>
      </c>
      <c r="F1375" s="13">
        <v>11.66</v>
      </c>
      <c r="G1375" s="14">
        <v>45181.0</v>
      </c>
      <c r="H1375" s="15">
        <f t="shared" si="1"/>
        <v>12</v>
      </c>
      <c r="I1375" s="16">
        <f t="shared" si="2"/>
        <v>9</v>
      </c>
      <c r="J1375" s="15">
        <f t="shared" si="3"/>
        <v>2023</v>
      </c>
      <c r="K1375" s="16">
        <f>STANDARDIZE(F1375,'estatística'!$C$2,'estatística'!$H$2)</f>
        <v>0.1311724487</v>
      </c>
    </row>
    <row r="1376" ht="15.75" customHeight="1">
      <c r="A1376" s="9">
        <v>74.0</v>
      </c>
      <c r="B1376" s="10" t="s">
        <v>11</v>
      </c>
      <c r="C1376" s="11" t="s">
        <v>94</v>
      </c>
      <c r="D1376" s="10" t="s">
        <v>17</v>
      </c>
      <c r="E1376" s="11" t="s">
        <v>116</v>
      </c>
      <c r="F1376" s="13">
        <v>4.83</v>
      </c>
      <c r="G1376" s="14">
        <v>45181.0</v>
      </c>
      <c r="H1376" s="15">
        <f t="shared" si="1"/>
        <v>12</v>
      </c>
      <c r="I1376" s="16">
        <f t="shared" si="2"/>
        <v>9</v>
      </c>
      <c r="J1376" s="15">
        <f t="shared" si="3"/>
        <v>2023</v>
      </c>
      <c r="K1376" s="16">
        <f>STANDARDIZE(F1376,'estatística'!$C$2,'estatística'!$H$2)</f>
        <v>0.04469485946</v>
      </c>
    </row>
    <row r="1377" ht="15.75" customHeight="1">
      <c r="A1377" s="9">
        <v>38.0</v>
      </c>
      <c r="B1377" s="10" t="s">
        <v>85</v>
      </c>
      <c r="C1377" s="11" t="s">
        <v>86</v>
      </c>
      <c r="D1377" s="10" t="s">
        <v>17</v>
      </c>
      <c r="E1377" s="11" t="s">
        <v>24</v>
      </c>
      <c r="F1377" s="13">
        <v>18.52</v>
      </c>
      <c r="G1377" s="14">
        <v>45182.0</v>
      </c>
      <c r="H1377" s="15">
        <f t="shared" si="1"/>
        <v>13</v>
      </c>
      <c r="I1377" s="16">
        <f t="shared" si="2"/>
        <v>9</v>
      </c>
      <c r="J1377" s="15">
        <f t="shared" si="3"/>
        <v>2023</v>
      </c>
      <c r="K1377" s="16">
        <f>STANDARDIZE(F1377,'estatística'!$C$2,'estatística'!$H$2)</f>
        <v>0.218029881</v>
      </c>
    </row>
    <row r="1378" ht="15.75" customHeight="1">
      <c r="A1378" s="9">
        <v>6.0</v>
      </c>
      <c r="B1378" s="10" t="s">
        <v>155</v>
      </c>
      <c r="C1378" s="11" t="s">
        <v>156</v>
      </c>
      <c r="D1378" s="10" t="s">
        <v>13</v>
      </c>
      <c r="E1378" s="11" t="s">
        <v>57</v>
      </c>
      <c r="F1378" s="13">
        <v>19.5</v>
      </c>
      <c r="G1378" s="14">
        <v>45182.0</v>
      </c>
      <c r="H1378" s="15">
        <f t="shared" si="1"/>
        <v>13</v>
      </c>
      <c r="I1378" s="16">
        <f t="shared" si="2"/>
        <v>9</v>
      </c>
      <c r="J1378" s="15">
        <f t="shared" si="3"/>
        <v>2023</v>
      </c>
      <c r="K1378" s="16">
        <f>STANDARDIZE(F1378,'estatística'!$C$2,'estatística'!$H$2)</f>
        <v>0.2304380856</v>
      </c>
    </row>
    <row r="1379" ht="15.75" customHeight="1">
      <c r="A1379" s="9">
        <v>56.0</v>
      </c>
      <c r="B1379" s="10" t="s">
        <v>97</v>
      </c>
      <c r="C1379" s="11" t="s">
        <v>98</v>
      </c>
      <c r="D1379" s="10" t="s">
        <v>13</v>
      </c>
      <c r="E1379" s="11" t="s">
        <v>77</v>
      </c>
      <c r="F1379" s="13">
        <v>14.17</v>
      </c>
      <c r="G1379" s="14">
        <v>45182.0</v>
      </c>
      <c r="H1379" s="15">
        <f t="shared" si="1"/>
        <v>13</v>
      </c>
      <c r="I1379" s="16">
        <f t="shared" si="2"/>
        <v>9</v>
      </c>
      <c r="J1379" s="15">
        <f t="shared" si="3"/>
        <v>2023</v>
      </c>
      <c r="K1379" s="16">
        <f>STANDARDIZE(F1379,'estatística'!$C$2,'estatística'!$H$2)</f>
        <v>0.1629526462</v>
      </c>
    </row>
    <row r="1380" ht="15.75" customHeight="1">
      <c r="A1380" s="9">
        <v>21.0</v>
      </c>
      <c r="B1380" s="10" t="s">
        <v>158</v>
      </c>
      <c r="C1380" s="11" t="s">
        <v>159</v>
      </c>
      <c r="D1380" s="10" t="s">
        <v>17</v>
      </c>
      <c r="E1380" s="11" t="s">
        <v>32</v>
      </c>
      <c r="F1380" s="13">
        <v>25.39</v>
      </c>
      <c r="G1380" s="14">
        <v>45182.0</v>
      </c>
      <c r="H1380" s="15">
        <f t="shared" si="1"/>
        <v>13</v>
      </c>
      <c r="I1380" s="16">
        <f t="shared" si="2"/>
        <v>9</v>
      </c>
      <c r="J1380" s="15">
        <f t="shared" si="3"/>
        <v>2023</v>
      </c>
      <c r="K1380" s="16">
        <f>STANDARDIZE(F1380,'estatística'!$C$2,'estatística'!$H$2)</f>
        <v>0.3050139276</v>
      </c>
    </row>
    <row r="1381" ht="15.75" customHeight="1">
      <c r="A1381" s="9">
        <v>20.0</v>
      </c>
      <c r="B1381" s="10" t="s">
        <v>133</v>
      </c>
      <c r="C1381" s="11" t="s">
        <v>134</v>
      </c>
      <c r="D1381" s="10" t="s">
        <v>17</v>
      </c>
      <c r="E1381" s="11" t="s">
        <v>39</v>
      </c>
      <c r="F1381" s="13">
        <v>46.82</v>
      </c>
      <c r="G1381" s="14">
        <v>45182.0</v>
      </c>
      <c r="H1381" s="15">
        <f t="shared" si="1"/>
        <v>13</v>
      </c>
      <c r="I1381" s="16">
        <f t="shared" si="2"/>
        <v>9</v>
      </c>
      <c r="J1381" s="15">
        <f t="shared" si="3"/>
        <v>2023</v>
      </c>
      <c r="K1381" s="16">
        <f>STANDARDIZE(F1381,'estatística'!$C$2,'estatística'!$H$2)</f>
        <v>0.5763484426</v>
      </c>
    </row>
    <row r="1382" ht="15.75" customHeight="1">
      <c r="A1382" s="9">
        <v>19.0</v>
      </c>
      <c r="B1382" s="10" t="s">
        <v>25</v>
      </c>
      <c r="C1382" s="11" t="s">
        <v>165</v>
      </c>
      <c r="D1382" s="10" t="s">
        <v>17</v>
      </c>
      <c r="E1382" s="11" t="s">
        <v>18</v>
      </c>
      <c r="F1382" s="13">
        <v>49.07</v>
      </c>
      <c r="G1382" s="14">
        <v>45182.0</v>
      </c>
      <c r="H1382" s="15">
        <f t="shared" si="1"/>
        <v>13</v>
      </c>
      <c r="I1382" s="16">
        <f t="shared" si="2"/>
        <v>9</v>
      </c>
      <c r="J1382" s="15">
        <f t="shared" si="3"/>
        <v>2023</v>
      </c>
      <c r="K1382" s="16">
        <f>STANDARDIZE(F1382,'estatística'!$C$2,'estatística'!$H$2)</f>
        <v>0.6048366675</v>
      </c>
    </row>
    <row r="1383" ht="15.75" customHeight="1">
      <c r="A1383" s="9">
        <v>82.0</v>
      </c>
      <c r="B1383" s="10" t="s">
        <v>203</v>
      </c>
      <c r="C1383" s="11" t="s">
        <v>204</v>
      </c>
      <c r="D1383" s="10" t="s">
        <v>17</v>
      </c>
      <c r="E1383" s="11" t="s">
        <v>36</v>
      </c>
      <c r="F1383" s="13">
        <v>72.01</v>
      </c>
      <c r="G1383" s="14">
        <v>45182.0</v>
      </c>
      <c r="H1383" s="15">
        <f t="shared" si="1"/>
        <v>13</v>
      </c>
      <c r="I1383" s="16">
        <f t="shared" si="2"/>
        <v>9</v>
      </c>
      <c r="J1383" s="15">
        <f t="shared" si="3"/>
        <v>2023</v>
      </c>
      <c r="K1383" s="16">
        <f>STANDARDIZE(F1383,'estatística'!$C$2,'estatística'!$H$2)</f>
        <v>0.8952899468</v>
      </c>
    </row>
    <row r="1384" ht="15.75" customHeight="1">
      <c r="A1384" s="9">
        <v>93.0</v>
      </c>
      <c r="B1384" s="10" t="s">
        <v>99</v>
      </c>
      <c r="C1384" s="11" t="s">
        <v>100</v>
      </c>
      <c r="D1384" s="10" t="s">
        <v>13</v>
      </c>
      <c r="E1384" s="11" t="s">
        <v>21</v>
      </c>
      <c r="F1384" s="13">
        <v>21.69</v>
      </c>
      <c r="G1384" s="14">
        <v>45182.0</v>
      </c>
      <c r="H1384" s="15">
        <f t="shared" si="1"/>
        <v>13</v>
      </c>
      <c r="I1384" s="16">
        <f t="shared" si="2"/>
        <v>9</v>
      </c>
      <c r="J1384" s="15">
        <f t="shared" si="3"/>
        <v>2023</v>
      </c>
      <c r="K1384" s="16">
        <f>STANDARDIZE(F1384,'estatística'!$C$2,'estatística'!$H$2)</f>
        <v>0.2581666245</v>
      </c>
    </row>
    <row r="1385" ht="15.75" customHeight="1">
      <c r="A1385" s="9">
        <v>79.0</v>
      </c>
      <c r="B1385" s="10" t="s">
        <v>69</v>
      </c>
      <c r="C1385" s="11" t="s">
        <v>70</v>
      </c>
      <c r="D1385" s="10" t="s">
        <v>13</v>
      </c>
      <c r="E1385" s="11" t="s">
        <v>80</v>
      </c>
      <c r="F1385" s="13">
        <v>39.88</v>
      </c>
      <c r="G1385" s="14">
        <v>45182.0</v>
      </c>
      <c r="H1385" s="15">
        <f t="shared" si="1"/>
        <v>13</v>
      </c>
      <c r="I1385" s="16">
        <f t="shared" si="2"/>
        <v>9</v>
      </c>
      <c r="J1385" s="15">
        <f t="shared" si="3"/>
        <v>2023</v>
      </c>
      <c r="K1385" s="16">
        <f>STANDARDIZE(F1385,'estatística'!$C$2,'estatística'!$H$2)</f>
        <v>0.4884780957</v>
      </c>
    </row>
    <row r="1386" ht="15.75" customHeight="1">
      <c r="A1386" s="9">
        <v>43.0</v>
      </c>
      <c r="B1386" s="10" t="s">
        <v>63</v>
      </c>
      <c r="C1386" s="11" t="s">
        <v>64</v>
      </c>
      <c r="D1386" s="10" t="s">
        <v>13</v>
      </c>
      <c r="E1386" s="11" t="s">
        <v>14</v>
      </c>
      <c r="F1386" s="13">
        <v>10.63</v>
      </c>
      <c r="G1386" s="14">
        <v>45182.0</v>
      </c>
      <c r="H1386" s="15">
        <f t="shared" si="1"/>
        <v>13</v>
      </c>
      <c r="I1386" s="16">
        <f t="shared" si="2"/>
        <v>9</v>
      </c>
      <c r="J1386" s="15">
        <f t="shared" si="3"/>
        <v>2023</v>
      </c>
      <c r="K1386" s="16">
        <f>STANDARDIZE(F1386,'estatística'!$C$2,'estatística'!$H$2)</f>
        <v>0.1181311724</v>
      </c>
    </row>
    <row r="1387" ht="15.75" customHeight="1">
      <c r="A1387" s="9">
        <v>30.0</v>
      </c>
      <c r="B1387" s="10" t="s">
        <v>11</v>
      </c>
      <c r="C1387" s="11" t="s">
        <v>12</v>
      </c>
      <c r="D1387" s="10" t="s">
        <v>17</v>
      </c>
      <c r="E1387" s="11" t="s">
        <v>68</v>
      </c>
      <c r="F1387" s="13">
        <v>13.0</v>
      </c>
      <c r="G1387" s="14">
        <v>45183.0</v>
      </c>
      <c r="H1387" s="15">
        <f t="shared" si="1"/>
        <v>14</v>
      </c>
      <c r="I1387" s="16">
        <f t="shared" si="2"/>
        <v>9</v>
      </c>
      <c r="J1387" s="15">
        <f t="shared" si="3"/>
        <v>2023</v>
      </c>
      <c r="K1387" s="16">
        <f>STANDARDIZE(F1387,'estatística'!$C$2,'estatística'!$H$2)</f>
        <v>0.1481387693</v>
      </c>
    </row>
    <row r="1388" ht="15.75" customHeight="1">
      <c r="A1388" s="9">
        <v>55.0</v>
      </c>
      <c r="B1388" s="10" t="s">
        <v>174</v>
      </c>
      <c r="C1388" s="11" t="s">
        <v>175</v>
      </c>
      <c r="D1388" s="10" t="s">
        <v>13</v>
      </c>
      <c r="E1388" s="11" t="s">
        <v>62</v>
      </c>
      <c r="F1388" s="13">
        <v>12.6</v>
      </c>
      <c r="G1388" s="14">
        <v>45183.0</v>
      </c>
      <c r="H1388" s="15">
        <f t="shared" si="1"/>
        <v>14</v>
      </c>
      <c r="I1388" s="16">
        <f t="shared" si="2"/>
        <v>9</v>
      </c>
      <c r="J1388" s="15">
        <f t="shared" si="3"/>
        <v>2023</v>
      </c>
      <c r="K1388" s="16">
        <f>STANDARDIZE(F1388,'estatística'!$C$2,'estatística'!$H$2)</f>
        <v>0.143074196</v>
      </c>
    </row>
    <row r="1389" ht="15.75" customHeight="1">
      <c r="A1389" s="9">
        <v>22.0</v>
      </c>
      <c r="B1389" s="10" t="s">
        <v>101</v>
      </c>
      <c r="C1389" s="11" t="s">
        <v>102</v>
      </c>
      <c r="D1389" s="10" t="s">
        <v>13</v>
      </c>
      <c r="E1389" s="11" t="s">
        <v>116</v>
      </c>
      <c r="F1389" s="13">
        <v>2.59</v>
      </c>
      <c r="G1389" s="14">
        <v>45183.0</v>
      </c>
      <c r="H1389" s="15">
        <f t="shared" si="1"/>
        <v>14</v>
      </c>
      <c r="I1389" s="16">
        <f t="shared" si="2"/>
        <v>9</v>
      </c>
      <c r="J1389" s="15">
        <f t="shared" si="3"/>
        <v>2023</v>
      </c>
      <c r="K1389" s="16">
        <f>STANDARDIZE(F1389,'estatística'!$C$2,'estatística'!$H$2)</f>
        <v>0.01633324892</v>
      </c>
    </row>
    <row r="1390" ht="15.75" customHeight="1">
      <c r="A1390" s="9">
        <v>9.0</v>
      </c>
      <c r="B1390" s="10" t="s">
        <v>179</v>
      </c>
      <c r="C1390" s="11" t="s">
        <v>180</v>
      </c>
      <c r="D1390" s="10" t="s">
        <v>17</v>
      </c>
      <c r="E1390" s="11" t="s">
        <v>62</v>
      </c>
      <c r="F1390" s="13">
        <v>11.01</v>
      </c>
      <c r="G1390" s="14">
        <v>45183.0</v>
      </c>
      <c r="H1390" s="15">
        <f t="shared" si="1"/>
        <v>14</v>
      </c>
      <c r="I1390" s="16">
        <f t="shared" si="2"/>
        <v>9</v>
      </c>
      <c r="J1390" s="15">
        <f t="shared" si="3"/>
        <v>2023</v>
      </c>
      <c r="K1390" s="16">
        <f>STANDARDIZE(F1390,'estatística'!$C$2,'estatística'!$H$2)</f>
        <v>0.1229425171</v>
      </c>
    </row>
    <row r="1391" ht="15.75" customHeight="1">
      <c r="A1391" s="9">
        <v>42.0</v>
      </c>
      <c r="B1391" s="10" t="s">
        <v>60</v>
      </c>
      <c r="C1391" s="11" t="s">
        <v>142</v>
      </c>
      <c r="D1391" s="10" t="s">
        <v>13</v>
      </c>
      <c r="E1391" s="11" t="s">
        <v>62</v>
      </c>
      <c r="F1391" s="13">
        <v>12.31</v>
      </c>
      <c r="G1391" s="14">
        <v>45183.0</v>
      </c>
      <c r="H1391" s="15">
        <f t="shared" si="1"/>
        <v>14</v>
      </c>
      <c r="I1391" s="16">
        <f t="shared" si="2"/>
        <v>9</v>
      </c>
      <c r="J1391" s="15">
        <f t="shared" si="3"/>
        <v>2023</v>
      </c>
      <c r="K1391" s="16">
        <f>STANDARDIZE(F1391,'estatística'!$C$2,'estatística'!$H$2)</f>
        <v>0.1394023803</v>
      </c>
    </row>
    <row r="1392" ht="15.75" customHeight="1">
      <c r="A1392" s="9">
        <v>32.0</v>
      </c>
      <c r="B1392" s="10" t="s">
        <v>118</v>
      </c>
      <c r="C1392" s="11" t="s">
        <v>119</v>
      </c>
      <c r="D1392" s="10" t="s">
        <v>13</v>
      </c>
      <c r="E1392" s="11" t="s">
        <v>14</v>
      </c>
      <c r="F1392" s="13">
        <v>10.16</v>
      </c>
      <c r="G1392" s="14">
        <v>45183.0</v>
      </c>
      <c r="H1392" s="15">
        <f t="shared" si="1"/>
        <v>14</v>
      </c>
      <c r="I1392" s="16">
        <f t="shared" si="2"/>
        <v>9</v>
      </c>
      <c r="J1392" s="15">
        <f t="shared" si="3"/>
        <v>2023</v>
      </c>
      <c r="K1392" s="16">
        <f>STANDARDIZE(F1392,'estatística'!$C$2,'estatística'!$H$2)</f>
        <v>0.1121802988</v>
      </c>
    </row>
    <row r="1393" ht="15.75" customHeight="1">
      <c r="A1393" s="9">
        <v>76.0</v>
      </c>
      <c r="B1393" s="10" t="s">
        <v>185</v>
      </c>
      <c r="C1393" s="11" t="s">
        <v>186</v>
      </c>
      <c r="D1393" s="10" t="s">
        <v>13</v>
      </c>
      <c r="E1393" s="11" t="s">
        <v>21</v>
      </c>
      <c r="F1393" s="13">
        <v>13.23</v>
      </c>
      <c r="G1393" s="14">
        <v>45184.0</v>
      </c>
      <c r="H1393" s="15">
        <f t="shared" si="1"/>
        <v>15</v>
      </c>
      <c r="I1393" s="16">
        <f t="shared" si="2"/>
        <v>9</v>
      </c>
      <c r="J1393" s="15">
        <f t="shared" si="3"/>
        <v>2023</v>
      </c>
      <c r="K1393" s="16">
        <f>STANDARDIZE(F1393,'estatística'!$C$2,'estatística'!$H$2)</f>
        <v>0.151050899</v>
      </c>
    </row>
    <row r="1394" ht="15.75" customHeight="1">
      <c r="A1394" s="9">
        <v>40.0</v>
      </c>
      <c r="B1394" s="10" t="s">
        <v>92</v>
      </c>
      <c r="C1394" s="11" t="s">
        <v>157</v>
      </c>
      <c r="D1394" s="10" t="s">
        <v>17</v>
      </c>
      <c r="E1394" s="11" t="s">
        <v>68</v>
      </c>
      <c r="F1394" s="13">
        <v>12.84</v>
      </c>
      <c r="G1394" s="14">
        <v>45184.0</v>
      </c>
      <c r="H1394" s="15">
        <f t="shared" si="1"/>
        <v>15</v>
      </c>
      <c r="I1394" s="16">
        <f t="shared" si="2"/>
        <v>9</v>
      </c>
      <c r="J1394" s="15">
        <f t="shared" si="3"/>
        <v>2023</v>
      </c>
      <c r="K1394" s="16">
        <f>STANDARDIZE(F1394,'estatística'!$C$2,'estatística'!$H$2)</f>
        <v>0.14611294</v>
      </c>
    </row>
    <row r="1395" ht="15.75" customHeight="1">
      <c r="A1395" s="9">
        <v>90.0</v>
      </c>
      <c r="B1395" s="10" t="s">
        <v>191</v>
      </c>
      <c r="C1395" s="11" t="s">
        <v>192</v>
      </c>
      <c r="D1395" s="10" t="s">
        <v>17</v>
      </c>
      <c r="E1395" s="11" t="s">
        <v>48</v>
      </c>
      <c r="F1395" s="13">
        <v>9.52</v>
      </c>
      <c r="G1395" s="14">
        <v>45184.0</v>
      </c>
      <c r="H1395" s="15">
        <f t="shared" si="1"/>
        <v>15</v>
      </c>
      <c r="I1395" s="16">
        <f t="shared" si="2"/>
        <v>9</v>
      </c>
      <c r="J1395" s="15">
        <f t="shared" si="3"/>
        <v>2023</v>
      </c>
      <c r="K1395" s="16">
        <f>STANDARDIZE(F1395,'estatística'!$C$2,'estatística'!$H$2)</f>
        <v>0.1040769815</v>
      </c>
    </row>
    <row r="1396" ht="15.75" customHeight="1">
      <c r="A1396" s="9">
        <v>58.0</v>
      </c>
      <c r="B1396" s="10" t="s">
        <v>137</v>
      </c>
      <c r="C1396" s="11" t="s">
        <v>138</v>
      </c>
      <c r="D1396" s="10" t="s">
        <v>13</v>
      </c>
      <c r="E1396" s="11" t="s">
        <v>21</v>
      </c>
      <c r="F1396" s="13">
        <v>20.35</v>
      </c>
      <c r="G1396" s="14">
        <v>45184.0</v>
      </c>
      <c r="H1396" s="15">
        <f t="shared" si="1"/>
        <v>15</v>
      </c>
      <c r="I1396" s="16">
        <f t="shared" si="2"/>
        <v>9</v>
      </c>
      <c r="J1396" s="15">
        <f t="shared" si="3"/>
        <v>2023</v>
      </c>
      <c r="K1396" s="16">
        <f>STANDARDIZE(F1396,'estatística'!$C$2,'estatística'!$H$2)</f>
        <v>0.2412003039</v>
      </c>
    </row>
    <row r="1397" ht="15.75" customHeight="1">
      <c r="A1397" s="9">
        <v>36.0</v>
      </c>
      <c r="B1397" s="10" t="s">
        <v>60</v>
      </c>
      <c r="C1397" s="11" t="s">
        <v>61</v>
      </c>
      <c r="D1397" s="10" t="s">
        <v>17</v>
      </c>
      <c r="E1397" s="11" t="s">
        <v>39</v>
      </c>
      <c r="F1397" s="13">
        <v>58.54</v>
      </c>
      <c r="G1397" s="14">
        <v>45184.0</v>
      </c>
      <c r="H1397" s="15">
        <f t="shared" si="1"/>
        <v>15</v>
      </c>
      <c r="I1397" s="16">
        <f t="shared" si="2"/>
        <v>9</v>
      </c>
      <c r="J1397" s="15">
        <f t="shared" si="3"/>
        <v>2023</v>
      </c>
      <c r="K1397" s="16">
        <f>STANDARDIZE(F1397,'estatística'!$C$2,'estatística'!$H$2)</f>
        <v>0.7247404406</v>
      </c>
    </row>
    <row r="1398" ht="15.75" customHeight="1">
      <c r="A1398" s="9">
        <v>54.0</v>
      </c>
      <c r="B1398" s="10" t="s">
        <v>55</v>
      </c>
      <c r="C1398" s="11" t="s">
        <v>56</v>
      </c>
      <c r="D1398" s="10" t="s">
        <v>13</v>
      </c>
      <c r="E1398" s="11" t="s">
        <v>48</v>
      </c>
      <c r="F1398" s="13">
        <v>9.29</v>
      </c>
      <c r="G1398" s="14">
        <v>45184.0</v>
      </c>
      <c r="H1398" s="15">
        <f t="shared" si="1"/>
        <v>15</v>
      </c>
      <c r="I1398" s="16">
        <f t="shared" si="2"/>
        <v>9</v>
      </c>
      <c r="J1398" s="15">
        <f t="shared" si="3"/>
        <v>2023</v>
      </c>
      <c r="K1398" s="16">
        <f>STANDARDIZE(F1398,'estatística'!$C$2,'estatística'!$H$2)</f>
        <v>0.1011648519</v>
      </c>
    </row>
    <row r="1399" ht="15.75" customHeight="1">
      <c r="A1399" s="9">
        <v>12.0</v>
      </c>
      <c r="B1399" s="10" t="s">
        <v>160</v>
      </c>
      <c r="C1399" s="11" t="s">
        <v>161</v>
      </c>
      <c r="D1399" s="10" t="s">
        <v>13</v>
      </c>
      <c r="E1399" s="11" t="s">
        <v>33</v>
      </c>
      <c r="F1399" s="13">
        <v>51.5</v>
      </c>
      <c r="G1399" s="14">
        <v>45184.0</v>
      </c>
      <c r="H1399" s="15">
        <f t="shared" si="1"/>
        <v>15</v>
      </c>
      <c r="I1399" s="16">
        <f t="shared" si="2"/>
        <v>9</v>
      </c>
      <c r="J1399" s="15">
        <f t="shared" si="3"/>
        <v>2023</v>
      </c>
      <c r="K1399" s="16">
        <f>STANDARDIZE(F1399,'estatística'!$C$2,'estatística'!$H$2)</f>
        <v>0.6356039504</v>
      </c>
    </row>
    <row r="1400" ht="15.75" customHeight="1">
      <c r="A1400" s="9">
        <v>5.0</v>
      </c>
      <c r="B1400" s="10" t="s">
        <v>139</v>
      </c>
      <c r="C1400" s="11" t="s">
        <v>140</v>
      </c>
      <c r="D1400" s="10" t="s">
        <v>17</v>
      </c>
      <c r="E1400" s="11" t="s">
        <v>91</v>
      </c>
      <c r="F1400" s="13">
        <v>4.36</v>
      </c>
      <c r="G1400" s="14">
        <v>45184.0</v>
      </c>
      <c r="H1400" s="15">
        <f t="shared" si="1"/>
        <v>15</v>
      </c>
      <c r="I1400" s="16">
        <f t="shared" si="2"/>
        <v>9</v>
      </c>
      <c r="J1400" s="15">
        <f t="shared" si="3"/>
        <v>2023</v>
      </c>
      <c r="K1400" s="16">
        <f>STANDARDIZE(F1400,'estatística'!$C$2,'estatística'!$H$2)</f>
        <v>0.03874398582</v>
      </c>
    </row>
    <row r="1401" ht="15.75" customHeight="1">
      <c r="A1401" s="9">
        <v>28.0</v>
      </c>
      <c r="B1401" s="10" t="s">
        <v>49</v>
      </c>
      <c r="C1401" s="11" t="s">
        <v>50</v>
      </c>
      <c r="D1401" s="10" t="s">
        <v>13</v>
      </c>
      <c r="E1401" s="11" t="s">
        <v>80</v>
      </c>
      <c r="F1401" s="13">
        <v>37.14</v>
      </c>
      <c r="G1401" s="14">
        <v>45184.0</v>
      </c>
      <c r="H1401" s="15">
        <f t="shared" si="1"/>
        <v>15</v>
      </c>
      <c r="I1401" s="16">
        <f t="shared" si="2"/>
        <v>9</v>
      </c>
      <c r="J1401" s="15">
        <f t="shared" si="3"/>
        <v>2023</v>
      </c>
      <c r="K1401" s="16">
        <f>STANDARDIZE(F1401,'estatística'!$C$2,'estatística'!$H$2)</f>
        <v>0.4537857685</v>
      </c>
    </row>
    <row r="1402" ht="15.75" customHeight="1">
      <c r="A1402" s="9">
        <v>11.0</v>
      </c>
      <c r="B1402" s="10" t="s">
        <v>199</v>
      </c>
      <c r="C1402" s="11" t="s">
        <v>200</v>
      </c>
      <c r="D1402" s="10" t="s">
        <v>13</v>
      </c>
      <c r="E1402" s="11" t="s">
        <v>80</v>
      </c>
      <c r="F1402" s="13">
        <v>31.58</v>
      </c>
      <c r="G1402" s="14">
        <v>45185.0</v>
      </c>
      <c r="H1402" s="15">
        <f t="shared" si="1"/>
        <v>16</v>
      </c>
      <c r="I1402" s="16">
        <f t="shared" si="2"/>
        <v>9</v>
      </c>
      <c r="J1402" s="15">
        <f t="shared" si="3"/>
        <v>2023</v>
      </c>
      <c r="K1402" s="16">
        <f>STANDARDIZE(F1402,'estatística'!$C$2,'estatística'!$H$2)</f>
        <v>0.3833881995</v>
      </c>
    </row>
    <row r="1403" ht="15.75" customHeight="1">
      <c r="A1403" s="9">
        <v>23.0</v>
      </c>
      <c r="B1403" s="10" t="s">
        <v>207</v>
      </c>
      <c r="C1403" s="11" t="s">
        <v>208</v>
      </c>
      <c r="D1403" s="10" t="s">
        <v>17</v>
      </c>
      <c r="E1403" s="11" t="s">
        <v>68</v>
      </c>
      <c r="F1403" s="13">
        <v>10.68</v>
      </c>
      <c r="G1403" s="14">
        <v>45185.0</v>
      </c>
      <c r="H1403" s="15">
        <f t="shared" si="1"/>
        <v>16</v>
      </c>
      <c r="I1403" s="16">
        <f t="shared" si="2"/>
        <v>9</v>
      </c>
      <c r="J1403" s="15">
        <f t="shared" si="3"/>
        <v>2023</v>
      </c>
      <c r="K1403" s="16">
        <f>STANDARDIZE(F1403,'estatística'!$C$2,'estatística'!$H$2)</f>
        <v>0.1187642441</v>
      </c>
    </row>
    <row r="1404" ht="15.75" customHeight="1">
      <c r="A1404" s="9">
        <v>44.0</v>
      </c>
      <c r="B1404" s="10" t="s">
        <v>187</v>
      </c>
      <c r="C1404" s="11" t="s">
        <v>188</v>
      </c>
      <c r="D1404" s="10" t="s">
        <v>17</v>
      </c>
      <c r="E1404" s="11" t="s">
        <v>77</v>
      </c>
      <c r="F1404" s="13">
        <v>13.66</v>
      </c>
      <c r="G1404" s="14">
        <v>45185.0</v>
      </c>
      <c r="H1404" s="15">
        <f t="shared" si="1"/>
        <v>16</v>
      </c>
      <c r="I1404" s="16">
        <f t="shared" si="2"/>
        <v>9</v>
      </c>
      <c r="J1404" s="15">
        <f t="shared" si="3"/>
        <v>2023</v>
      </c>
      <c r="K1404" s="16">
        <f>STANDARDIZE(F1404,'estatística'!$C$2,'estatística'!$H$2)</f>
        <v>0.1564953153</v>
      </c>
    </row>
    <row r="1405" ht="15.75" customHeight="1">
      <c r="A1405" s="9">
        <v>82.0</v>
      </c>
      <c r="B1405" s="10" t="s">
        <v>203</v>
      </c>
      <c r="C1405" s="11" t="s">
        <v>204</v>
      </c>
      <c r="D1405" s="10" t="s">
        <v>17</v>
      </c>
      <c r="E1405" s="11" t="s">
        <v>24</v>
      </c>
      <c r="F1405" s="13">
        <v>32.27</v>
      </c>
      <c r="G1405" s="14">
        <v>45186.0</v>
      </c>
      <c r="H1405" s="15">
        <f t="shared" si="1"/>
        <v>17</v>
      </c>
      <c r="I1405" s="16">
        <f t="shared" si="2"/>
        <v>9</v>
      </c>
      <c r="J1405" s="15">
        <f t="shared" si="3"/>
        <v>2023</v>
      </c>
      <c r="K1405" s="16">
        <f>STANDARDIZE(F1405,'estatística'!$C$2,'estatística'!$H$2)</f>
        <v>0.3921245885</v>
      </c>
    </row>
    <row r="1406" ht="15.75" customHeight="1">
      <c r="A1406" s="9">
        <v>14.0</v>
      </c>
      <c r="B1406" s="10" t="s">
        <v>143</v>
      </c>
      <c r="C1406" s="11" t="s">
        <v>144</v>
      </c>
      <c r="D1406" s="10" t="s">
        <v>13</v>
      </c>
      <c r="E1406" s="11" t="s">
        <v>24</v>
      </c>
      <c r="F1406" s="13">
        <v>42.86</v>
      </c>
      <c r="G1406" s="14">
        <v>45186.0</v>
      </c>
      <c r="H1406" s="15">
        <f t="shared" si="1"/>
        <v>17</v>
      </c>
      <c r="I1406" s="16">
        <f t="shared" si="2"/>
        <v>9</v>
      </c>
      <c r="J1406" s="15">
        <f t="shared" si="3"/>
        <v>2023</v>
      </c>
      <c r="K1406" s="16">
        <f>STANDARDIZE(F1406,'estatística'!$C$2,'estatística'!$H$2)</f>
        <v>0.5262091669</v>
      </c>
    </row>
    <row r="1407" ht="15.75" customHeight="1">
      <c r="A1407" s="9">
        <v>23.0</v>
      </c>
      <c r="B1407" s="10" t="s">
        <v>207</v>
      </c>
      <c r="C1407" s="11" t="s">
        <v>208</v>
      </c>
      <c r="D1407" s="10" t="s">
        <v>17</v>
      </c>
      <c r="E1407" s="11" t="s">
        <v>14</v>
      </c>
      <c r="F1407" s="13">
        <v>10.56</v>
      </c>
      <c r="G1407" s="14">
        <v>45186.0</v>
      </c>
      <c r="H1407" s="15">
        <f t="shared" si="1"/>
        <v>17</v>
      </c>
      <c r="I1407" s="16">
        <f t="shared" si="2"/>
        <v>9</v>
      </c>
      <c r="J1407" s="15">
        <f t="shared" si="3"/>
        <v>2023</v>
      </c>
      <c r="K1407" s="16">
        <f>STANDARDIZE(F1407,'estatística'!$C$2,'estatística'!$H$2)</f>
        <v>0.1172448721</v>
      </c>
    </row>
    <row r="1408" ht="15.75" customHeight="1">
      <c r="A1408" s="9">
        <v>33.0</v>
      </c>
      <c r="B1408" s="10" t="s">
        <v>163</v>
      </c>
      <c r="C1408" s="11" t="s">
        <v>164</v>
      </c>
      <c r="D1408" s="10" t="s">
        <v>13</v>
      </c>
      <c r="E1408" s="11" t="s">
        <v>116</v>
      </c>
      <c r="F1408" s="13">
        <v>4.54</v>
      </c>
      <c r="G1408" s="14">
        <v>45186.0</v>
      </c>
      <c r="H1408" s="15">
        <f t="shared" si="1"/>
        <v>17</v>
      </c>
      <c r="I1408" s="16">
        <f t="shared" si="2"/>
        <v>9</v>
      </c>
      <c r="J1408" s="15">
        <f t="shared" si="3"/>
        <v>2023</v>
      </c>
      <c r="K1408" s="16">
        <f>STANDARDIZE(F1408,'estatística'!$C$2,'estatística'!$H$2)</f>
        <v>0.04102304381</v>
      </c>
    </row>
    <row r="1409" ht="15.75" customHeight="1">
      <c r="A1409" s="9">
        <v>34.0</v>
      </c>
      <c r="B1409" s="10" t="s">
        <v>149</v>
      </c>
      <c r="C1409" s="11" t="s">
        <v>150</v>
      </c>
      <c r="D1409" s="10" t="s">
        <v>17</v>
      </c>
      <c r="E1409" s="11" t="s">
        <v>32</v>
      </c>
      <c r="F1409" s="13">
        <v>22.06</v>
      </c>
      <c r="G1409" s="14">
        <v>45186.0</v>
      </c>
      <c r="H1409" s="15">
        <f t="shared" si="1"/>
        <v>17</v>
      </c>
      <c r="I1409" s="16">
        <f t="shared" si="2"/>
        <v>9</v>
      </c>
      <c r="J1409" s="15">
        <f t="shared" si="3"/>
        <v>2023</v>
      </c>
      <c r="K1409" s="16">
        <f>STANDARDIZE(F1409,'estatística'!$C$2,'estatística'!$H$2)</f>
        <v>0.2628513548</v>
      </c>
    </row>
    <row r="1410" ht="15.75" customHeight="1">
      <c r="A1410" s="9">
        <v>8.0</v>
      </c>
      <c r="B1410" s="10" t="s">
        <v>75</v>
      </c>
      <c r="C1410" s="11" t="s">
        <v>76</v>
      </c>
      <c r="D1410" s="10" t="s">
        <v>17</v>
      </c>
      <c r="E1410" s="11" t="s">
        <v>21</v>
      </c>
      <c r="F1410" s="13">
        <v>16.38</v>
      </c>
      <c r="G1410" s="14">
        <v>45186.0</v>
      </c>
      <c r="H1410" s="15">
        <f t="shared" si="1"/>
        <v>17</v>
      </c>
      <c r="I1410" s="16">
        <f t="shared" si="2"/>
        <v>9</v>
      </c>
      <c r="J1410" s="15">
        <f t="shared" si="3"/>
        <v>2023</v>
      </c>
      <c r="K1410" s="16">
        <f>STANDARDIZE(F1410,'estatística'!$C$2,'estatística'!$H$2)</f>
        <v>0.1909344138</v>
      </c>
    </row>
    <row r="1411" ht="15.75" customHeight="1">
      <c r="A1411" s="9">
        <v>55.0</v>
      </c>
      <c r="B1411" s="10" t="s">
        <v>174</v>
      </c>
      <c r="C1411" s="11" t="s">
        <v>175</v>
      </c>
      <c r="D1411" s="10" t="s">
        <v>17</v>
      </c>
      <c r="E1411" s="11" t="s">
        <v>36</v>
      </c>
      <c r="F1411" s="13">
        <v>77.94</v>
      </c>
      <c r="G1411" s="14">
        <v>45186.0</v>
      </c>
      <c r="H1411" s="15">
        <f t="shared" si="1"/>
        <v>17</v>
      </c>
      <c r="I1411" s="16">
        <f t="shared" si="2"/>
        <v>9</v>
      </c>
      <c r="J1411" s="15">
        <f t="shared" si="3"/>
        <v>2023</v>
      </c>
      <c r="K1411" s="16">
        <f>STANDARDIZE(F1411,'estatística'!$C$2,'estatística'!$H$2)</f>
        <v>0.9703722461</v>
      </c>
    </row>
    <row r="1412" ht="15.75" customHeight="1">
      <c r="A1412" s="9">
        <v>74.0</v>
      </c>
      <c r="B1412" s="10" t="s">
        <v>11</v>
      </c>
      <c r="C1412" s="11" t="s">
        <v>94</v>
      </c>
      <c r="D1412" s="10" t="s">
        <v>13</v>
      </c>
      <c r="E1412" s="11" t="s">
        <v>116</v>
      </c>
      <c r="F1412" s="13">
        <v>3.7</v>
      </c>
      <c r="G1412" s="14">
        <v>45186.0</v>
      </c>
      <c r="H1412" s="15">
        <f t="shared" si="1"/>
        <v>17</v>
      </c>
      <c r="I1412" s="16">
        <f t="shared" si="2"/>
        <v>9</v>
      </c>
      <c r="J1412" s="15">
        <f t="shared" si="3"/>
        <v>2023</v>
      </c>
      <c r="K1412" s="16">
        <f>STANDARDIZE(F1412,'estatística'!$C$2,'estatística'!$H$2)</f>
        <v>0.03038743986</v>
      </c>
    </row>
    <row r="1413" ht="15.75" customHeight="1">
      <c r="A1413" s="9">
        <v>11.0</v>
      </c>
      <c r="B1413" s="10" t="s">
        <v>199</v>
      </c>
      <c r="C1413" s="11" t="s">
        <v>200</v>
      </c>
      <c r="D1413" s="10" t="s">
        <v>17</v>
      </c>
      <c r="E1413" s="11" t="s">
        <v>32</v>
      </c>
      <c r="F1413" s="13">
        <v>23.17</v>
      </c>
      <c r="G1413" s="14">
        <v>45187.0</v>
      </c>
      <c r="H1413" s="15">
        <f t="shared" si="1"/>
        <v>18</v>
      </c>
      <c r="I1413" s="16">
        <f t="shared" si="2"/>
        <v>9</v>
      </c>
      <c r="J1413" s="15">
        <f t="shared" si="3"/>
        <v>2023</v>
      </c>
      <c r="K1413" s="16">
        <f>STANDARDIZE(F1413,'estatística'!$C$2,'estatística'!$H$2)</f>
        <v>0.2769055457</v>
      </c>
    </row>
    <row r="1414" ht="15.75" customHeight="1">
      <c r="A1414" s="9">
        <v>5.0</v>
      </c>
      <c r="B1414" s="10" t="s">
        <v>139</v>
      </c>
      <c r="C1414" s="11" t="s">
        <v>140</v>
      </c>
      <c r="D1414" s="10" t="s">
        <v>17</v>
      </c>
      <c r="E1414" s="11" t="s">
        <v>18</v>
      </c>
      <c r="F1414" s="13">
        <v>55.15</v>
      </c>
      <c r="G1414" s="14">
        <v>45187.0</v>
      </c>
      <c r="H1414" s="15">
        <f t="shared" si="1"/>
        <v>18</v>
      </c>
      <c r="I1414" s="16">
        <f t="shared" si="2"/>
        <v>9</v>
      </c>
      <c r="J1414" s="15">
        <f t="shared" si="3"/>
        <v>2023</v>
      </c>
      <c r="K1414" s="16">
        <f>STANDARDIZE(F1414,'estatística'!$C$2,'estatística'!$H$2)</f>
        <v>0.6818181818</v>
      </c>
    </row>
    <row r="1415" ht="15.75" customHeight="1">
      <c r="A1415" s="9">
        <v>77.0</v>
      </c>
      <c r="B1415" s="10" t="s">
        <v>11</v>
      </c>
      <c r="C1415" s="11" t="s">
        <v>141</v>
      </c>
      <c r="D1415" s="10" t="s">
        <v>17</v>
      </c>
      <c r="E1415" s="11" t="s">
        <v>27</v>
      </c>
      <c r="F1415" s="13">
        <v>16.77</v>
      </c>
      <c r="G1415" s="14">
        <v>45187.0</v>
      </c>
      <c r="H1415" s="15">
        <f t="shared" si="1"/>
        <v>18</v>
      </c>
      <c r="I1415" s="16">
        <f t="shared" si="2"/>
        <v>9</v>
      </c>
      <c r="J1415" s="15">
        <f t="shared" si="3"/>
        <v>2023</v>
      </c>
      <c r="K1415" s="16">
        <f>STANDARDIZE(F1415,'estatística'!$C$2,'estatística'!$H$2)</f>
        <v>0.1958723728</v>
      </c>
    </row>
    <row r="1416" ht="15.75" customHeight="1">
      <c r="A1416" s="9">
        <v>47.0</v>
      </c>
      <c r="B1416" s="10" t="s">
        <v>89</v>
      </c>
      <c r="C1416" s="11" t="s">
        <v>90</v>
      </c>
      <c r="D1416" s="10" t="s">
        <v>13</v>
      </c>
      <c r="E1416" s="11" t="s">
        <v>91</v>
      </c>
      <c r="F1416" s="13">
        <v>3.6</v>
      </c>
      <c r="G1416" s="14">
        <v>45187.0</v>
      </c>
      <c r="H1416" s="15">
        <f t="shared" si="1"/>
        <v>18</v>
      </c>
      <c r="I1416" s="16">
        <f t="shared" si="2"/>
        <v>9</v>
      </c>
      <c r="J1416" s="15">
        <f t="shared" si="3"/>
        <v>2023</v>
      </c>
      <c r="K1416" s="16">
        <f>STANDARDIZE(F1416,'estatística'!$C$2,'estatística'!$H$2)</f>
        <v>0.02912129653</v>
      </c>
    </row>
    <row r="1417" ht="15.75" customHeight="1">
      <c r="A1417" s="9">
        <v>99.0</v>
      </c>
      <c r="B1417" s="10" t="s">
        <v>46</v>
      </c>
      <c r="C1417" s="11" t="s">
        <v>47</v>
      </c>
      <c r="D1417" s="10" t="s">
        <v>13</v>
      </c>
      <c r="E1417" s="11" t="s">
        <v>80</v>
      </c>
      <c r="F1417" s="13">
        <v>37.34</v>
      </c>
      <c r="G1417" s="14">
        <v>45187.0</v>
      </c>
      <c r="H1417" s="15">
        <f t="shared" si="1"/>
        <v>18</v>
      </c>
      <c r="I1417" s="16">
        <f t="shared" si="2"/>
        <v>9</v>
      </c>
      <c r="J1417" s="15">
        <f t="shared" si="3"/>
        <v>2023</v>
      </c>
      <c r="K1417" s="16">
        <f>STANDARDIZE(F1417,'estatística'!$C$2,'estatística'!$H$2)</f>
        <v>0.4563180552</v>
      </c>
    </row>
    <row r="1418" ht="15.75" customHeight="1">
      <c r="A1418" s="9">
        <v>32.0</v>
      </c>
      <c r="B1418" s="10" t="s">
        <v>118</v>
      </c>
      <c r="C1418" s="11" t="s">
        <v>119</v>
      </c>
      <c r="D1418" s="10" t="s">
        <v>17</v>
      </c>
      <c r="E1418" s="11" t="s">
        <v>27</v>
      </c>
      <c r="F1418" s="13">
        <v>15.62</v>
      </c>
      <c r="G1418" s="14">
        <v>45187.0</v>
      </c>
      <c r="H1418" s="15">
        <f t="shared" si="1"/>
        <v>18</v>
      </c>
      <c r="I1418" s="16">
        <f t="shared" si="2"/>
        <v>9</v>
      </c>
      <c r="J1418" s="15">
        <f t="shared" si="3"/>
        <v>2023</v>
      </c>
      <c r="K1418" s="16">
        <f>STANDARDIZE(F1418,'estatística'!$C$2,'estatística'!$H$2)</f>
        <v>0.1813117245</v>
      </c>
    </row>
    <row r="1419" ht="15.75" customHeight="1">
      <c r="A1419" s="9">
        <v>53.0</v>
      </c>
      <c r="B1419" s="10" t="s">
        <v>213</v>
      </c>
      <c r="C1419" s="11" t="s">
        <v>214</v>
      </c>
      <c r="D1419" s="10" t="s">
        <v>13</v>
      </c>
      <c r="E1419" s="11" t="s">
        <v>116</v>
      </c>
      <c r="F1419" s="13">
        <v>5.41</v>
      </c>
      <c r="G1419" s="14">
        <v>45187.0</v>
      </c>
      <c r="H1419" s="15">
        <f t="shared" si="1"/>
        <v>18</v>
      </c>
      <c r="I1419" s="16">
        <f t="shared" si="2"/>
        <v>9</v>
      </c>
      <c r="J1419" s="15">
        <f t="shared" si="3"/>
        <v>2023</v>
      </c>
      <c r="K1419" s="16">
        <f>STANDARDIZE(F1419,'estatística'!$C$2,'estatística'!$H$2)</f>
        <v>0.05203849076</v>
      </c>
    </row>
    <row r="1420" ht="15.75" customHeight="1">
      <c r="A1420" s="9">
        <v>34.0</v>
      </c>
      <c r="B1420" s="10" t="s">
        <v>149</v>
      </c>
      <c r="C1420" s="11" t="s">
        <v>150</v>
      </c>
      <c r="D1420" s="10" t="s">
        <v>17</v>
      </c>
      <c r="E1420" s="11" t="s">
        <v>24</v>
      </c>
      <c r="F1420" s="13">
        <v>39.19</v>
      </c>
      <c r="G1420" s="14">
        <v>45187.0</v>
      </c>
      <c r="H1420" s="15">
        <f t="shared" si="1"/>
        <v>18</v>
      </c>
      <c r="I1420" s="16">
        <f t="shared" si="2"/>
        <v>9</v>
      </c>
      <c r="J1420" s="15">
        <f t="shared" si="3"/>
        <v>2023</v>
      </c>
      <c r="K1420" s="16">
        <f>STANDARDIZE(F1420,'estatística'!$C$2,'estatística'!$H$2)</f>
        <v>0.4797417068</v>
      </c>
    </row>
    <row r="1421" ht="15.75" customHeight="1">
      <c r="A1421" s="9">
        <v>7.0</v>
      </c>
      <c r="B1421" s="10" t="s">
        <v>83</v>
      </c>
      <c r="C1421" s="11" t="s">
        <v>84</v>
      </c>
      <c r="D1421" s="10" t="s">
        <v>17</v>
      </c>
      <c r="E1421" s="11" t="s">
        <v>24</v>
      </c>
      <c r="F1421" s="13">
        <v>21.9</v>
      </c>
      <c r="G1421" s="14">
        <v>45188.0</v>
      </c>
      <c r="H1421" s="15">
        <f t="shared" si="1"/>
        <v>19</v>
      </c>
      <c r="I1421" s="16">
        <f t="shared" si="2"/>
        <v>9</v>
      </c>
      <c r="J1421" s="15">
        <f t="shared" si="3"/>
        <v>2023</v>
      </c>
      <c r="K1421" s="16">
        <f>STANDARDIZE(F1421,'estatística'!$C$2,'estatística'!$H$2)</f>
        <v>0.2608255254</v>
      </c>
    </row>
    <row r="1422" ht="15.75" customHeight="1">
      <c r="A1422" s="9">
        <v>54.0</v>
      </c>
      <c r="B1422" s="10" t="s">
        <v>55</v>
      </c>
      <c r="C1422" s="11" t="s">
        <v>56</v>
      </c>
      <c r="D1422" s="10" t="s">
        <v>17</v>
      </c>
      <c r="E1422" s="11" t="s">
        <v>48</v>
      </c>
      <c r="F1422" s="13">
        <v>14.44</v>
      </c>
      <c r="G1422" s="14">
        <v>45188.0</v>
      </c>
      <c r="H1422" s="15">
        <f t="shared" si="1"/>
        <v>19</v>
      </c>
      <c r="I1422" s="16">
        <f t="shared" si="2"/>
        <v>9</v>
      </c>
      <c r="J1422" s="15">
        <f t="shared" si="3"/>
        <v>2023</v>
      </c>
      <c r="K1422" s="16">
        <f>STANDARDIZE(F1422,'estatística'!$C$2,'estatística'!$H$2)</f>
        <v>0.1663712332</v>
      </c>
    </row>
    <row r="1423" ht="15.75" customHeight="1">
      <c r="A1423" s="9">
        <v>43.0</v>
      </c>
      <c r="B1423" s="10" t="s">
        <v>63</v>
      </c>
      <c r="C1423" s="11" t="s">
        <v>64</v>
      </c>
      <c r="D1423" s="10" t="s">
        <v>13</v>
      </c>
      <c r="E1423" s="11" t="s">
        <v>116</v>
      </c>
      <c r="F1423" s="13">
        <v>2.83</v>
      </c>
      <c r="G1423" s="14">
        <v>45188.0</v>
      </c>
      <c r="H1423" s="15">
        <f t="shared" si="1"/>
        <v>19</v>
      </c>
      <c r="I1423" s="16">
        <f t="shared" si="2"/>
        <v>9</v>
      </c>
      <c r="J1423" s="15">
        <f t="shared" si="3"/>
        <v>2023</v>
      </c>
      <c r="K1423" s="16">
        <f>STANDARDIZE(F1423,'estatística'!$C$2,'estatística'!$H$2)</f>
        <v>0.01937199291</v>
      </c>
    </row>
    <row r="1424" ht="15.75" customHeight="1">
      <c r="A1424" s="9">
        <v>84.0</v>
      </c>
      <c r="B1424" s="10" t="s">
        <v>112</v>
      </c>
      <c r="C1424" s="11" t="s">
        <v>113</v>
      </c>
      <c r="D1424" s="10" t="s">
        <v>17</v>
      </c>
      <c r="E1424" s="11" t="s">
        <v>116</v>
      </c>
      <c r="F1424" s="13">
        <v>5.3</v>
      </c>
      <c r="G1424" s="14">
        <v>45188.0</v>
      </c>
      <c r="H1424" s="15">
        <f t="shared" si="1"/>
        <v>19</v>
      </c>
      <c r="I1424" s="16">
        <f t="shared" si="2"/>
        <v>9</v>
      </c>
      <c r="J1424" s="15">
        <f t="shared" si="3"/>
        <v>2023</v>
      </c>
      <c r="K1424" s="16">
        <f>STANDARDIZE(F1424,'estatística'!$C$2,'estatística'!$H$2)</f>
        <v>0.0506457331</v>
      </c>
    </row>
    <row r="1425" ht="15.75" customHeight="1">
      <c r="A1425" s="9">
        <v>69.0</v>
      </c>
      <c r="B1425" s="10" t="s">
        <v>75</v>
      </c>
      <c r="C1425" s="11" t="s">
        <v>117</v>
      </c>
      <c r="D1425" s="10" t="s">
        <v>17</v>
      </c>
      <c r="E1425" s="11" t="s">
        <v>65</v>
      </c>
      <c r="F1425" s="13">
        <v>34.61</v>
      </c>
      <c r="G1425" s="14">
        <v>45188.0</v>
      </c>
      <c r="H1425" s="15">
        <f t="shared" si="1"/>
        <v>19</v>
      </c>
      <c r="I1425" s="16">
        <f t="shared" si="2"/>
        <v>9</v>
      </c>
      <c r="J1425" s="15">
        <f t="shared" si="3"/>
        <v>2023</v>
      </c>
      <c r="K1425" s="16">
        <f>STANDARDIZE(F1425,'estatística'!$C$2,'estatística'!$H$2)</f>
        <v>0.4217523424</v>
      </c>
    </row>
    <row r="1426" ht="15.75" customHeight="1">
      <c r="A1426" s="9">
        <v>31.0</v>
      </c>
      <c r="B1426" s="10" t="s">
        <v>201</v>
      </c>
      <c r="C1426" s="11" t="s">
        <v>202</v>
      </c>
      <c r="D1426" s="10" t="s">
        <v>17</v>
      </c>
      <c r="E1426" s="11" t="s">
        <v>33</v>
      </c>
      <c r="F1426" s="13">
        <v>47.73</v>
      </c>
      <c r="G1426" s="14">
        <v>45188.0</v>
      </c>
      <c r="H1426" s="15">
        <f t="shared" si="1"/>
        <v>19</v>
      </c>
      <c r="I1426" s="16">
        <f t="shared" si="2"/>
        <v>9</v>
      </c>
      <c r="J1426" s="15">
        <f t="shared" si="3"/>
        <v>2023</v>
      </c>
      <c r="K1426" s="16">
        <f>STANDARDIZE(F1426,'estatística'!$C$2,'estatística'!$H$2)</f>
        <v>0.5878703469</v>
      </c>
    </row>
    <row r="1427" ht="15.75" customHeight="1">
      <c r="A1427" s="9">
        <v>3.0</v>
      </c>
      <c r="B1427" s="10" t="s">
        <v>51</v>
      </c>
      <c r="C1427" s="11" t="s">
        <v>52</v>
      </c>
      <c r="D1427" s="10" t="s">
        <v>17</v>
      </c>
      <c r="E1427" s="11" t="s">
        <v>80</v>
      </c>
      <c r="F1427" s="13">
        <v>34.47</v>
      </c>
      <c r="G1427" s="14">
        <v>45188.0</v>
      </c>
      <c r="H1427" s="15">
        <f t="shared" si="1"/>
        <v>19</v>
      </c>
      <c r="I1427" s="16">
        <f t="shared" si="2"/>
        <v>9</v>
      </c>
      <c r="J1427" s="15">
        <f t="shared" si="3"/>
        <v>2023</v>
      </c>
      <c r="K1427" s="16">
        <f>STANDARDIZE(F1427,'estatística'!$C$2,'estatística'!$H$2)</f>
        <v>0.4199797417</v>
      </c>
    </row>
    <row r="1428" ht="15.75" customHeight="1">
      <c r="A1428" s="9">
        <v>78.0</v>
      </c>
      <c r="B1428" s="10" t="s">
        <v>15</v>
      </c>
      <c r="C1428" s="11" t="s">
        <v>16</v>
      </c>
      <c r="D1428" s="10" t="s">
        <v>13</v>
      </c>
      <c r="E1428" s="11" t="s">
        <v>77</v>
      </c>
      <c r="F1428" s="13">
        <v>11.78</v>
      </c>
      <c r="G1428" s="14">
        <v>45189.0</v>
      </c>
      <c r="H1428" s="15">
        <f t="shared" si="1"/>
        <v>20</v>
      </c>
      <c r="I1428" s="16">
        <f t="shared" si="2"/>
        <v>9</v>
      </c>
      <c r="J1428" s="15">
        <f t="shared" si="3"/>
        <v>2023</v>
      </c>
      <c r="K1428" s="16">
        <f>STANDARDIZE(F1428,'estatística'!$C$2,'estatística'!$H$2)</f>
        <v>0.1326918207</v>
      </c>
    </row>
    <row r="1429" ht="15.75" customHeight="1">
      <c r="A1429" s="9">
        <v>29.0</v>
      </c>
      <c r="B1429" s="10" t="s">
        <v>92</v>
      </c>
      <c r="C1429" s="11" t="s">
        <v>93</v>
      </c>
      <c r="D1429" s="10" t="s">
        <v>13</v>
      </c>
      <c r="E1429" s="11" t="s">
        <v>24</v>
      </c>
      <c r="F1429" s="13">
        <v>41.45</v>
      </c>
      <c r="G1429" s="14">
        <v>45189.0</v>
      </c>
      <c r="H1429" s="15">
        <f t="shared" si="1"/>
        <v>20</v>
      </c>
      <c r="I1429" s="16">
        <f t="shared" si="2"/>
        <v>9</v>
      </c>
      <c r="J1429" s="15">
        <f t="shared" si="3"/>
        <v>2023</v>
      </c>
      <c r="K1429" s="16">
        <f>STANDARDIZE(F1429,'estatística'!$C$2,'estatística'!$H$2)</f>
        <v>0.508356546</v>
      </c>
    </row>
    <row r="1430" ht="15.75" customHeight="1">
      <c r="A1430" s="9">
        <v>51.0</v>
      </c>
      <c r="B1430" s="10" t="s">
        <v>205</v>
      </c>
      <c r="C1430" s="11" t="s">
        <v>206</v>
      </c>
      <c r="D1430" s="10" t="s">
        <v>17</v>
      </c>
      <c r="E1430" s="11" t="s">
        <v>77</v>
      </c>
      <c r="F1430" s="13">
        <v>13.85</v>
      </c>
      <c r="G1430" s="14">
        <v>45189.0</v>
      </c>
      <c r="H1430" s="15">
        <f t="shared" si="1"/>
        <v>20</v>
      </c>
      <c r="I1430" s="16">
        <f t="shared" si="2"/>
        <v>9</v>
      </c>
      <c r="J1430" s="15">
        <f t="shared" si="3"/>
        <v>2023</v>
      </c>
      <c r="K1430" s="16">
        <f>STANDARDIZE(F1430,'estatística'!$C$2,'estatística'!$H$2)</f>
        <v>0.1589009876</v>
      </c>
    </row>
    <row r="1431" ht="15.75" customHeight="1">
      <c r="A1431" s="9">
        <v>71.0</v>
      </c>
      <c r="B1431" s="10" t="s">
        <v>122</v>
      </c>
      <c r="C1431" s="11" t="s">
        <v>123</v>
      </c>
      <c r="D1431" s="10" t="s">
        <v>13</v>
      </c>
      <c r="E1431" s="11" t="s">
        <v>116</v>
      </c>
      <c r="F1431" s="13">
        <v>4.31</v>
      </c>
      <c r="G1431" s="14">
        <v>45189.0</v>
      </c>
      <c r="H1431" s="15">
        <f t="shared" si="1"/>
        <v>20</v>
      </c>
      <c r="I1431" s="16">
        <f t="shared" si="2"/>
        <v>9</v>
      </c>
      <c r="J1431" s="15">
        <f t="shared" si="3"/>
        <v>2023</v>
      </c>
      <c r="K1431" s="16">
        <f>STANDARDIZE(F1431,'estatística'!$C$2,'estatística'!$H$2)</f>
        <v>0.03811091416</v>
      </c>
    </row>
    <row r="1432" ht="15.75" customHeight="1">
      <c r="A1432" s="9">
        <v>53.0</v>
      </c>
      <c r="B1432" s="10" t="s">
        <v>213</v>
      </c>
      <c r="C1432" s="11" t="s">
        <v>214</v>
      </c>
      <c r="D1432" s="10" t="s">
        <v>13</v>
      </c>
      <c r="E1432" s="11" t="s">
        <v>27</v>
      </c>
      <c r="F1432" s="13">
        <v>15.58</v>
      </c>
      <c r="G1432" s="14">
        <v>45189.0</v>
      </c>
      <c r="H1432" s="15">
        <f t="shared" si="1"/>
        <v>20</v>
      </c>
      <c r="I1432" s="16">
        <f t="shared" si="2"/>
        <v>9</v>
      </c>
      <c r="J1432" s="15">
        <f t="shared" si="3"/>
        <v>2023</v>
      </c>
      <c r="K1432" s="16">
        <f>STANDARDIZE(F1432,'estatística'!$C$2,'estatística'!$H$2)</f>
        <v>0.1808052672</v>
      </c>
    </row>
    <row r="1433" ht="15.75" customHeight="1">
      <c r="A1433" s="9">
        <v>17.0</v>
      </c>
      <c r="B1433" s="10" t="s">
        <v>172</v>
      </c>
      <c r="C1433" s="11" t="s">
        <v>173</v>
      </c>
      <c r="D1433" s="10" t="s">
        <v>13</v>
      </c>
      <c r="E1433" s="11" t="s">
        <v>36</v>
      </c>
      <c r="F1433" s="13">
        <v>76.29</v>
      </c>
      <c r="G1433" s="14">
        <v>45189.0</v>
      </c>
      <c r="H1433" s="15">
        <f t="shared" si="1"/>
        <v>20</v>
      </c>
      <c r="I1433" s="16">
        <f t="shared" si="2"/>
        <v>9</v>
      </c>
      <c r="J1433" s="15">
        <f t="shared" si="3"/>
        <v>2023</v>
      </c>
      <c r="K1433" s="16">
        <f>STANDARDIZE(F1433,'estatística'!$C$2,'estatística'!$H$2)</f>
        <v>0.9494808812</v>
      </c>
    </row>
    <row r="1434" ht="15.75" customHeight="1">
      <c r="A1434" s="9">
        <v>68.0</v>
      </c>
      <c r="B1434" s="10" t="s">
        <v>25</v>
      </c>
      <c r="C1434" s="11" t="s">
        <v>26</v>
      </c>
      <c r="D1434" s="10" t="s">
        <v>13</v>
      </c>
      <c r="E1434" s="11" t="s">
        <v>21</v>
      </c>
      <c r="F1434" s="13">
        <v>14.9</v>
      </c>
      <c r="G1434" s="14">
        <v>45189.0</v>
      </c>
      <c r="H1434" s="15">
        <f t="shared" si="1"/>
        <v>20</v>
      </c>
      <c r="I1434" s="16">
        <f t="shared" si="2"/>
        <v>9</v>
      </c>
      <c r="J1434" s="15">
        <f t="shared" si="3"/>
        <v>2023</v>
      </c>
      <c r="K1434" s="16">
        <f>STANDARDIZE(F1434,'estatística'!$C$2,'estatística'!$H$2)</f>
        <v>0.1721954925</v>
      </c>
    </row>
    <row r="1435" ht="15.75" customHeight="1">
      <c r="A1435" s="9">
        <v>98.0</v>
      </c>
      <c r="B1435" s="10" t="s">
        <v>131</v>
      </c>
      <c r="C1435" s="11" t="s">
        <v>168</v>
      </c>
      <c r="D1435" s="10" t="s">
        <v>17</v>
      </c>
      <c r="E1435" s="11" t="s">
        <v>91</v>
      </c>
      <c r="F1435" s="13">
        <v>2.52</v>
      </c>
      <c r="G1435" s="14">
        <v>45190.0</v>
      </c>
      <c r="H1435" s="15">
        <f t="shared" si="1"/>
        <v>21</v>
      </c>
      <c r="I1435" s="16">
        <f t="shared" si="2"/>
        <v>9</v>
      </c>
      <c r="J1435" s="15">
        <f t="shared" si="3"/>
        <v>2023</v>
      </c>
      <c r="K1435" s="16">
        <f>STANDARDIZE(F1435,'estatística'!$C$2,'estatística'!$H$2)</f>
        <v>0.01544694859</v>
      </c>
    </row>
    <row r="1436" ht="15.75" customHeight="1">
      <c r="A1436" s="9">
        <v>75.0</v>
      </c>
      <c r="B1436" s="10" t="s">
        <v>210</v>
      </c>
      <c r="C1436" s="11" t="s">
        <v>211</v>
      </c>
      <c r="D1436" s="10" t="s">
        <v>13</v>
      </c>
      <c r="E1436" s="11" t="s">
        <v>80</v>
      </c>
      <c r="F1436" s="13">
        <v>35.77</v>
      </c>
      <c r="G1436" s="14">
        <v>45190.0</v>
      </c>
      <c r="H1436" s="15">
        <f t="shared" si="1"/>
        <v>21</v>
      </c>
      <c r="I1436" s="16">
        <f t="shared" si="2"/>
        <v>9</v>
      </c>
      <c r="J1436" s="15">
        <f t="shared" si="3"/>
        <v>2023</v>
      </c>
      <c r="K1436" s="16">
        <f>STANDARDIZE(F1436,'estatística'!$C$2,'estatística'!$H$2)</f>
        <v>0.436439605</v>
      </c>
    </row>
    <row r="1437" ht="15.75" customHeight="1">
      <c r="A1437" s="9">
        <v>16.0</v>
      </c>
      <c r="B1437" s="10" t="s">
        <v>147</v>
      </c>
      <c r="C1437" s="11" t="s">
        <v>148</v>
      </c>
      <c r="D1437" s="10" t="s">
        <v>17</v>
      </c>
      <c r="E1437" s="11" t="s">
        <v>68</v>
      </c>
      <c r="F1437" s="13">
        <v>14.72</v>
      </c>
      <c r="G1437" s="14">
        <v>45190.0</v>
      </c>
      <c r="H1437" s="15">
        <f t="shared" si="1"/>
        <v>21</v>
      </c>
      <c r="I1437" s="16">
        <f t="shared" si="2"/>
        <v>9</v>
      </c>
      <c r="J1437" s="15">
        <f t="shared" si="3"/>
        <v>2023</v>
      </c>
      <c r="K1437" s="16">
        <f>STANDARDIZE(F1437,'estatística'!$C$2,'estatística'!$H$2)</f>
        <v>0.1699164345</v>
      </c>
    </row>
    <row r="1438" ht="15.75" customHeight="1">
      <c r="A1438" s="9">
        <v>90.0</v>
      </c>
      <c r="B1438" s="10" t="s">
        <v>191</v>
      </c>
      <c r="C1438" s="11" t="s">
        <v>192</v>
      </c>
      <c r="D1438" s="10" t="s">
        <v>13</v>
      </c>
      <c r="E1438" s="11" t="s">
        <v>48</v>
      </c>
      <c r="F1438" s="13">
        <v>10.38</v>
      </c>
      <c r="G1438" s="14">
        <v>45190.0</v>
      </c>
      <c r="H1438" s="15">
        <f t="shared" si="1"/>
        <v>21</v>
      </c>
      <c r="I1438" s="16">
        <f t="shared" si="2"/>
        <v>9</v>
      </c>
      <c r="J1438" s="15">
        <f t="shared" si="3"/>
        <v>2023</v>
      </c>
      <c r="K1438" s="16">
        <f>STANDARDIZE(F1438,'estatística'!$C$2,'estatística'!$H$2)</f>
        <v>0.1149658141</v>
      </c>
    </row>
    <row r="1439" ht="15.75" customHeight="1">
      <c r="A1439" s="9">
        <v>12.0</v>
      </c>
      <c r="B1439" s="10" t="s">
        <v>160</v>
      </c>
      <c r="C1439" s="11" t="s">
        <v>161</v>
      </c>
      <c r="D1439" s="10" t="s">
        <v>13</v>
      </c>
      <c r="E1439" s="11" t="s">
        <v>39</v>
      </c>
      <c r="F1439" s="13">
        <v>56.92</v>
      </c>
      <c r="G1439" s="14">
        <v>45190.0</v>
      </c>
      <c r="H1439" s="15">
        <f t="shared" si="1"/>
        <v>21</v>
      </c>
      <c r="I1439" s="16">
        <f t="shared" si="2"/>
        <v>9</v>
      </c>
      <c r="J1439" s="15">
        <f t="shared" si="3"/>
        <v>2023</v>
      </c>
      <c r="K1439" s="16">
        <f>STANDARDIZE(F1439,'estatística'!$C$2,'estatística'!$H$2)</f>
        <v>0.7042289187</v>
      </c>
    </row>
    <row r="1440" ht="15.75" customHeight="1">
      <c r="A1440" s="9">
        <v>59.0</v>
      </c>
      <c r="B1440" s="10" t="s">
        <v>71</v>
      </c>
      <c r="C1440" s="11" t="s">
        <v>72</v>
      </c>
      <c r="D1440" s="10" t="s">
        <v>17</v>
      </c>
      <c r="E1440" s="11" t="s">
        <v>91</v>
      </c>
      <c r="F1440" s="13">
        <v>1.43</v>
      </c>
      <c r="G1440" s="14">
        <v>45190.0</v>
      </c>
      <c r="H1440" s="15">
        <f t="shared" si="1"/>
        <v>21</v>
      </c>
      <c r="I1440" s="16">
        <f t="shared" si="2"/>
        <v>9</v>
      </c>
      <c r="J1440" s="15">
        <f t="shared" si="3"/>
        <v>2023</v>
      </c>
      <c r="K1440" s="16">
        <f>STANDARDIZE(F1440,'estatística'!$C$2,'estatística'!$H$2)</f>
        <v>0.001645986326</v>
      </c>
    </row>
    <row r="1441" ht="15.75" customHeight="1">
      <c r="A1441" s="9">
        <v>90.0</v>
      </c>
      <c r="B1441" s="10" t="s">
        <v>191</v>
      </c>
      <c r="C1441" s="11" t="s">
        <v>192</v>
      </c>
      <c r="D1441" s="10" t="s">
        <v>13</v>
      </c>
      <c r="E1441" s="11" t="s">
        <v>80</v>
      </c>
      <c r="F1441" s="13">
        <v>33.68</v>
      </c>
      <c r="G1441" s="14">
        <v>45190.0</v>
      </c>
      <c r="H1441" s="15">
        <f t="shared" si="1"/>
        <v>21</v>
      </c>
      <c r="I1441" s="16">
        <f t="shared" si="2"/>
        <v>9</v>
      </c>
      <c r="J1441" s="15">
        <f t="shared" si="3"/>
        <v>2023</v>
      </c>
      <c r="K1441" s="16">
        <f>STANDARDIZE(F1441,'estatística'!$C$2,'estatística'!$H$2)</f>
        <v>0.4099772094</v>
      </c>
    </row>
    <row r="1442" ht="15.75" customHeight="1">
      <c r="A1442" s="9">
        <v>42.0</v>
      </c>
      <c r="B1442" s="10" t="s">
        <v>60</v>
      </c>
      <c r="C1442" s="11" t="s">
        <v>142</v>
      </c>
      <c r="D1442" s="10" t="s">
        <v>17</v>
      </c>
      <c r="E1442" s="11" t="s">
        <v>80</v>
      </c>
      <c r="F1442" s="13">
        <v>36.82</v>
      </c>
      <c r="G1442" s="14">
        <v>45191.0</v>
      </c>
      <c r="H1442" s="15">
        <f t="shared" si="1"/>
        <v>22</v>
      </c>
      <c r="I1442" s="16">
        <f t="shared" si="2"/>
        <v>9</v>
      </c>
      <c r="J1442" s="15">
        <f t="shared" si="3"/>
        <v>2023</v>
      </c>
      <c r="K1442" s="16">
        <f>STANDARDIZE(F1442,'estatística'!$C$2,'estatística'!$H$2)</f>
        <v>0.4497341099</v>
      </c>
    </row>
    <row r="1443" ht="15.75" customHeight="1">
      <c r="A1443" s="9">
        <v>61.0</v>
      </c>
      <c r="B1443" s="10" t="s">
        <v>73</v>
      </c>
      <c r="C1443" s="11" t="s">
        <v>74</v>
      </c>
      <c r="D1443" s="10" t="s">
        <v>13</v>
      </c>
      <c r="E1443" s="11" t="s">
        <v>29</v>
      </c>
      <c r="F1443" s="13">
        <v>12.54</v>
      </c>
      <c r="G1443" s="14">
        <v>45191.0</v>
      </c>
      <c r="H1443" s="15">
        <f t="shared" si="1"/>
        <v>22</v>
      </c>
      <c r="I1443" s="16">
        <f t="shared" si="2"/>
        <v>9</v>
      </c>
      <c r="J1443" s="15">
        <f t="shared" si="3"/>
        <v>2023</v>
      </c>
      <c r="K1443" s="16">
        <f>STANDARDIZE(F1443,'estatística'!$C$2,'estatística'!$H$2)</f>
        <v>0.14231451</v>
      </c>
    </row>
    <row r="1444" ht="15.75" customHeight="1">
      <c r="A1444" s="9">
        <v>82.0</v>
      </c>
      <c r="B1444" s="10" t="s">
        <v>203</v>
      </c>
      <c r="C1444" s="11" t="s">
        <v>204</v>
      </c>
      <c r="D1444" s="10" t="s">
        <v>17</v>
      </c>
      <c r="E1444" s="11" t="s">
        <v>27</v>
      </c>
      <c r="F1444" s="13">
        <v>18.01</v>
      </c>
      <c r="G1444" s="14">
        <v>45191.0</v>
      </c>
      <c r="H1444" s="15">
        <f t="shared" si="1"/>
        <v>22</v>
      </c>
      <c r="I1444" s="16">
        <f t="shared" si="2"/>
        <v>9</v>
      </c>
      <c r="J1444" s="15">
        <f t="shared" si="3"/>
        <v>2023</v>
      </c>
      <c r="K1444" s="16">
        <f>STANDARDIZE(F1444,'estatística'!$C$2,'estatística'!$H$2)</f>
        <v>0.21157255</v>
      </c>
    </row>
    <row r="1445" ht="15.75" customHeight="1">
      <c r="A1445" s="9">
        <v>41.0</v>
      </c>
      <c r="B1445" s="10" t="s">
        <v>189</v>
      </c>
      <c r="C1445" s="11" t="s">
        <v>190</v>
      </c>
      <c r="D1445" s="10" t="s">
        <v>17</v>
      </c>
      <c r="E1445" s="11" t="s">
        <v>80</v>
      </c>
      <c r="F1445" s="13">
        <v>33.54</v>
      </c>
      <c r="G1445" s="14">
        <v>45192.0</v>
      </c>
      <c r="H1445" s="15">
        <f t="shared" si="1"/>
        <v>23</v>
      </c>
      <c r="I1445" s="16">
        <f t="shared" si="2"/>
        <v>9</v>
      </c>
      <c r="J1445" s="15">
        <f t="shared" si="3"/>
        <v>2023</v>
      </c>
      <c r="K1445" s="16">
        <f>STANDARDIZE(F1445,'estatística'!$C$2,'estatística'!$H$2)</f>
        <v>0.4082046088</v>
      </c>
    </row>
    <row r="1446" ht="15.75" customHeight="1">
      <c r="A1446" s="9">
        <v>32.0</v>
      </c>
      <c r="B1446" s="10" t="s">
        <v>118</v>
      </c>
      <c r="C1446" s="11" t="s">
        <v>119</v>
      </c>
      <c r="D1446" s="10" t="s">
        <v>13</v>
      </c>
      <c r="E1446" s="11" t="s">
        <v>48</v>
      </c>
      <c r="F1446" s="13">
        <v>16.49</v>
      </c>
      <c r="G1446" s="14">
        <v>45192.0</v>
      </c>
      <c r="H1446" s="15">
        <f t="shared" si="1"/>
        <v>23</v>
      </c>
      <c r="I1446" s="16">
        <f t="shared" si="2"/>
        <v>9</v>
      </c>
      <c r="J1446" s="15">
        <f t="shared" si="3"/>
        <v>2023</v>
      </c>
      <c r="K1446" s="16">
        <f>STANDARDIZE(F1446,'estatística'!$C$2,'estatística'!$H$2)</f>
        <v>0.1923271714</v>
      </c>
    </row>
    <row r="1447" ht="15.75" customHeight="1">
      <c r="A1447" s="9">
        <v>98.0</v>
      </c>
      <c r="B1447" s="10" t="s">
        <v>131</v>
      </c>
      <c r="C1447" s="11" t="s">
        <v>168</v>
      </c>
      <c r="D1447" s="10" t="s">
        <v>17</v>
      </c>
      <c r="E1447" s="11" t="s">
        <v>80</v>
      </c>
      <c r="F1447" s="13">
        <v>34.78</v>
      </c>
      <c r="G1447" s="14">
        <v>45192.0</v>
      </c>
      <c r="H1447" s="15">
        <f t="shared" si="1"/>
        <v>23</v>
      </c>
      <c r="I1447" s="16">
        <f t="shared" si="2"/>
        <v>9</v>
      </c>
      <c r="J1447" s="15">
        <f t="shared" si="3"/>
        <v>2023</v>
      </c>
      <c r="K1447" s="16">
        <f>STANDARDIZE(F1447,'estatística'!$C$2,'estatística'!$H$2)</f>
        <v>0.423904786</v>
      </c>
    </row>
    <row r="1448" ht="15.75" customHeight="1">
      <c r="A1448" s="9">
        <v>50.0</v>
      </c>
      <c r="B1448" s="10" t="s">
        <v>19</v>
      </c>
      <c r="C1448" s="11" t="s">
        <v>20</v>
      </c>
      <c r="D1448" s="10" t="s">
        <v>13</v>
      </c>
      <c r="E1448" s="11" t="s">
        <v>33</v>
      </c>
      <c r="F1448" s="13">
        <v>47.14</v>
      </c>
      <c r="G1448" s="14">
        <v>45192.0</v>
      </c>
      <c r="H1448" s="15">
        <f t="shared" si="1"/>
        <v>23</v>
      </c>
      <c r="I1448" s="16">
        <f t="shared" si="2"/>
        <v>9</v>
      </c>
      <c r="J1448" s="15">
        <f t="shared" si="3"/>
        <v>2023</v>
      </c>
      <c r="K1448" s="16">
        <f>STANDARDIZE(F1448,'estatística'!$C$2,'estatística'!$H$2)</f>
        <v>0.5804001013</v>
      </c>
    </row>
    <row r="1449" ht="15.75" customHeight="1">
      <c r="A1449" s="9">
        <v>95.0</v>
      </c>
      <c r="B1449" s="10" t="s">
        <v>78</v>
      </c>
      <c r="C1449" s="11" t="s">
        <v>79</v>
      </c>
      <c r="D1449" s="10" t="s">
        <v>13</v>
      </c>
      <c r="E1449" s="11" t="s">
        <v>107</v>
      </c>
      <c r="F1449" s="13">
        <v>31.34</v>
      </c>
      <c r="G1449" s="14">
        <v>45193.0</v>
      </c>
      <c r="H1449" s="15">
        <f t="shared" si="1"/>
        <v>24</v>
      </c>
      <c r="I1449" s="16">
        <f t="shared" si="2"/>
        <v>9</v>
      </c>
      <c r="J1449" s="15">
        <f t="shared" si="3"/>
        <v>2023</v>
      </c>
      <c r="K1449" s="16">
        <f>STANDARDIZE(F1449,'estatística'!$C$2,'estatística'!$H$2)</f>
        <v>0.3803494556</v>
      </c>
    </row>
    <row r="1450" ht="15.75" customHeight="1">
      <c r="A1450" s="9">
        <v>40.0</v>
      </c>
      <c r="B1450" s="10" t="s">
        <v>92</v>
      </c>
      <c r="C1450" s="11" t="s">
        <v>157</v>
      </c>
      <c r="D1450" s="10" t="s">
        <v>17</v>
      </c>
      <c r="E1450" s="11" t="s">
        <v>77</v>
      </c>
      <c r="F1450" s="13">
        <v>13.67</v>
      </c>
      <c r="G1450" s="14">
        <v>45193.0</v>
      </c>
      <c r="H1450" s="15">
        <f t="shared" si="1"/>
        <v>24</v>
      </c>
      <c r="I1450" s="16">
        <f t="shared" si="2"/>
        <v>9</v>
      </c>
      <c r="J1450" s="15">
        <f t="shared" si="3"/>
        <v>2023</v>
      </c>
      <c r="K1450" s="16">
        <f>STANDARDIZE(F1450,'estatística'!$C$2,'estatística'!$H$2)</f>
        <v>0.1566219296</v>
      </c>
    </row>
    <row r="1451" ht="15.75" customHeight="1">
      <c r="A1451" s="9">
        <v>73.0</v>
      </c>
      <c r="B1451" s="10" t="s">
        <v>195</v>
      </c>
      <c r="C1451" s="11" t="s">
        <v>196</v>
      </c>
      <c r="D1451" s="10" t="s">
        <v>17</v>
      </c>
      <c r="E1451" s="11" t="s">
        <v>24</v>
      </c>
      <c r="F1451" s="13">
        <v>22.59</v>
      </c>
      <c r="G1451" s="14">
        <v>45193.0</v>
      </c>
      <c r="H1451" s="15">
        <f t="shared" si="1"/>
        <v>24</v>
      </c>
      <c r="I1451" s="16">
        <f t="shared" si="2"/>
        <v>9</v>
      </c>
      <c r="J1451" s="15">
        <f t="shared" si="3"/>
        <v>2023</v>
      </c>
      <c r="K1451" s="16">
        <f>STANDARDIZE(F1451,'estatística'!$C$2,'estatística'!$H$2)</f>
        <v>0.2695619144</v>
      </c>
    </row>
    <row r="1452" ht="15.75" customHeight="1">
      <c r="A1452" s="9">
        <v>71.0</v>
      </c>
      <c r="B1452" s="10" t="s">
        <v>122</v>
      </c>
      <c r="C1452" s="11" t="s">
        <v>123</v>
      </c>
      <c r="D1452" s="10" t="s">
        <v>17</v>
      </c>
      <c r="E1452" s="11" t="s">
        <v>24</v>
      </c>
      <c r="F1452" s="13">
        <v>28.81</v>
      </c>
      <c r="G1452" s="14">
        <v>45193.0</v>
      </c>
      <c r="H1452" s="15">
        <f t="shared" si="1"/>
        <v>24</v>
      </c>
      <c r="I1452" s="16">
        <f t="shared" si="2"/>
        <v>9</v>
      </c>
      <c r="J1452" s="15">
        <f t="shared" si="3"/>
        <v>2023</v>
      </c>
      <c r="K1452" s="16">
        <f>STANDARDIZE(F1452,'estatística'!$C$2,'estatística'!$H$2)</f>
        <v>0.3483160294</v>
      </c>
    </row>
    <row r="1453" ht="15.75" customHeight="1">
      <c r="A1453" s="9">
        <v>67.0</v>
      </c>
      <c r="B1453" s="10" t="s">
        <v>176</v>
      </c>
      <c r="C1453" s="11" t="s">
        <v>177</v>
      </c>
      <c r="D1453" s="10" t="s">
        <v>17</v>
      </c>
      <c r="E1453" s="11" t="s">
        <v>21</v>
      </c>
      <c r="F1453" s="13">
        <v>15.66</v>
      </c>
      <c r="G1453" s="14">
        <v>45193.0</v>
      </c>
      <c r="H1453" s="15">
        <f t="shared" si="1"/>
        <v>24</v>
      </c>
      <c r="I1453" s="16">
        <f t="shared" si="2"/>
        <v>9</v>
      </c>
      <c r="J1453" s="15">
        <f t="shared" si="3"/>
        <v>2023</v>
      </c>
      <c r="K1453" s="16">
        <f>STANDARDIZE(F1453,'estatística'!$C$2,'estatística'!$H$2)</f>
        <v>0.1818181818</v>
      </c>
    </row>
    <row r="1454" ht="15.75" customHeight="1">
      <c r="A1454" s="9">
        <v>84.0</v>
      </c>
      <c r="B1454" s="10" t="s">
        <v>112</v>
      </c>
      <c r="C1454" s="11" t="s">
        <v>113</v>
      </c>
      <c r="D1454" s="10" t="s">
        <v>13</v>
      </c>
      <c r="E1454" s="11" t="s">
        <v>29</v>
      </c>
      <c r="F1454" s="13">
        <v>12.35</v>
      </c>
      <c r="G1454" s="14">
        <v>45193.0</v>
      </c>
      <c r="H1454" s="15">
        <f t="shared" si="1"/>
        <v>24</v>
      </c>
      <c r="I1454" s="16">
        <f t="shared" si="2"/>
        <v>9</v>
      </c>
      <c r="J1454" s="15">
        <f t="shared" si="3"/>
        <v>2023</v>
      </c>
      <c r="K1454" s="16">
        <f>STANDARDIZE(F1454,'estatística'!$C$2,'estatística'!$H$2)</f>
        <v>0.1399088377</v>
      </c>
    </row>
    <row r="1455" ht="15.75" customHeight="1">
      <c r="A1455" s="9">
        <v>93.0</v>
      </c>
      <c r="B1455" s="10" t="s">
        <v>99</v>
      </c>
      <c r="C1455" s="11" t="s">
        <v>100</v>
      </c>
      <c r="D1455" s="10" t="s">
        <v>13</v>
      </c>
      <c r="E1455" s="11" t="s">
        <v>21</v>
      </c>
      <c r="F1455" s="13">
        <v>17.94</v>
      </c>
      <c r="G1455" s="14">
        <v>45193.0</v>
      </c>
      <c r="H1455" s="15">
        <f t="shared" si="1"/>
        <v>24</v>
      </c>
      <c r="I1455" s="16">
        <f t="shared" si="2"/>
        <v>9</v>
      </c>
      <c r="J1455" s="15">
        <f t="shared" si="3"/>
        <v>2023</v>
      </c>
      <c r="K1455" s="16">
        <f>STANDARDIZE(F1455,'estatística'!$C$2,'estatística'!$H$2)</f>
        <v>0.2106862497</v>
      </c>
    </row>
    <row r="1456" ht="15.75" customHeight="1">
      <c r="A1456" s="9">
        <v>17.0</v>
      </c>
      <c r="B1456" s="10" t="s">
        <v>172</v>
      </c>
      <c r="C1456" s="11" t="s">
        <v>173</v>
      </c>
      <c r="D1456" s="10" t="s">
        <v>13</v>
      </c>
      <c r="E1456" s="11" t="s">
        <v>116</v>
      </c>
      <c r="F1456" s="13">
        <v>2.05</v>
      </c>
      <c r="G1456" s="14">
        <v>45193.0</v>
      </c>
      <c r="H1456" s="15">
        <f t="shared" si="1"/>
        <v>24</v>
      </c>
      <c r="I1456" s="16">
        <f t="shared" si="2"/>
        <v>9</v>
      </c>
      <c r="J1456" s="15">
        <f t="shared" si="3"/>
        <v>2023</v>
      </c>
      <c r="K1456" s="16">
        <f>STANDARDIZE(F1456,'estatística'!$C$2,'estatística'!$H$2)</f>
        <v>0.009496074956</v>
      </c>
    </row>
    <row r="1457" ht="15.75" customHeight="1">
      <c r="A1457" s="9">
        <v>1.0</v>
      </c>
      <c r="B1457" s="10" t="s">
        <v>166</v>
      </c>
      <c r="C1457" s="11" t="s">
        <v>167</v>
      </c>
      <c r="D1457" s="10" t="s">
        <v>17</v>
      </c>
      <c r="E1457" s="11" t="s">
        <v>68</v>
      </c>
      <c r="F1457" s="13">
        <v>15.16</v>
      </c>
      <c r="G1457" s="14">
        <v>45194.0</v>
      </c>
      <c r="H1457" s="15">
        <f t="shared" si="1"/>
        <v>25</v>
      </c>
      <c r="I1457" s="16">
        <f t="shared" si="2"/>
        <v>9</v>
      </c>
      <c r="J1457" s="15">
        <f t="shared" si="3"/>
        <v>2023</v>
      </c>
      <c r="K1457" s="16">
        <f>STANDARDIZE(F1457,'estatística'!$C$2,'estatística'!$H$2)</f>
        <v>0.1754874652</v>
      </c>
    </row>
    <row r="1458" ht="15.75" customHeight="1">
      <c r="A1458" s="9">
        <v>1.0</v>
      </c>
      <c r="B1458" s="10" t="s">
        <v>166</v>
      </c>
      <c r="C1458" s="11" t="s">
        <v>167</v>
      </c>
      <c r="D1458" s="10" t="s">
        <v>17</v>
      </c>
      <c r="E1458" s="11" t="s">
        <v>27</v>
      </c>
      <c r="F1458" s="13">
        <v>18.3</v>
      </c>
      <c r="G1458" s="14">
        <v>45194.0</v>
      </c>
      <c r="H1458" s="15">
        <f t="shared" si="1"/>
        <v>25</v>
      </c>
      <c r="I1458" s="16">
        <f t="shared" si="2"/>
        <v>9</v>
      </c>
      <c r="J1458" s="15">
        <f t="shared" si="3"/>
        <v>2023</v>
      </c>
      <c r="K1458" s="16">
        <f>STANDARDIZE(F1458,'estatística'!$C$2,'estatística'!$H$2)</f>
        <v>0.2152443657</v>
      </c>
    </row>
    <row r="1459" ht="15.75" customHeight="1">
      <c r="A1459" s="9">
        <v>77.0</v>
      </c>
      <c r="B1459" s="10" t="s">
        <v>11</v>
      </c>
      <c r="C1459" s="11" t="s">
        <v>141</v>
      </c>
      <c r="D1459" s="10" t="s">
        <v>17</v>
      </c>
      <c r="E1459" s="11" t="s">
        <v>24</v>
      </c>
      <c r="F1459" s="13">
        <v>22.33</v>
      </c>
      <c r="G1459" s="14">
        <v>45195.0</v>
      </c>
      <c r="H1459" s="15">
        <f t="shared" si="1"/>
        <v>26</v>
      </c>
      <c r="I1459" s="16">
        <f t="shared" si="2"/>
        <v>9</v>
      </c>
      <c r="J1459" s="15">
        <f t="shared" si="3"/>
        <v>2023</v>
      </c>
      <c r="K1459" s="16">
        <f>STANDARDIZE(F1459,'estatística'!$C$2,'estatística'!$H$2)</f>
        <v>0.2662699418</v>
      </c>
    </row>
    <row r="1460" ht="15.75" customHeight="1">
      <c r="A1460" s="9">
        <v>35.0</v>
      </c>
      <c r="B1460" s="10" t="s">
        <v>95</v>
      </c>
      <c r="C1460" s="11" t="s">
        <v>96</v>
      </c>
      <c r="D1460" s="10" t="s">
        <v>13</v>
      </c>
      <c r="E1460" s="11" t="s">
        <v>36</v>
      </c>
      <c r="F1460" s="13">
        <v>73.16</v>
      </c>
      <c r="G1460" s="14">
        <v>45195.0</v>
      </c>
      <c r="H1460" s="15">
        <f t="shared" si="1"/>
        <v>26</v>
      </c>
      <c r="I1460" s="16">
        <f t="shared" si="2"/>
        <v>9</v>
      </c>
      <c r="J1460" s="15">
        <f t="shared" si="3"/>
        <v>2023</v>
      </c>
      <c r="K1460" s="16">
        <f>STANDARDIZE(F1460,'estatística'!$C$2,'estatística'!$H$2)</f>
        <v>0.9098505951</v>
      </c>
    </row>
    <row r="1461" ht="15.75" customHeight="1">
      <c r="A1461" s="9">
        <v>81.0</v>
      </c>
      <c r="B1461" s="10" t="s">
        <v>34</v>
      </c>
      <c r="C1461" s="11" t="s">
        <v>35</v>
      </c>
      <c r="D1461" s="10" t="s">
        <v>17</v>
      </c>
      <c r="E1461" s="11" t="s">
        <v>65</v>
      </c>
      <c r="F1461" s="13">
        <v>36.84</v>
      </c>
      <c r="G1461" s="14">
        <v>45195.0</v>
      </c>
      <c r="H1461" s="15">
        <f t="shared" si="1"/>
        <v>26</v>
      </c>
      <c r="I1461" s="16">
        <f t="shared" si="2"/>
        <v>9</v>
      </c>
      <c r="J1461" s="15">
        <f t="shared" si="3"/>
        <v>2023</v>
      </c>
      <c r="K1461" s="16">
        <f>STANDARDIZE(F1461,'estatística'!$C$2,'estatística'!$H$2)</f>
        <v>0.4499873386</v>
      </c>
    </row>
    <row r="1462" ht="15.75" customHeight="1">
      <c r="A1462" s="9">
        <v>48.0</v>
      </c>
      <c r="B1462" s="10" t="s">
        <v>25</v>
      </c>
      <c r="C1462" s="11" t="s">
        <v>28</v>
      </c>
      <c r="D1462" s="10" t="s">
        <v>13</v>
      </c>
      <c r="E1462" s="11" t="s">
        <v>29</v>
      </c>
      <c r="F1462" s="13">
        <v>12.13</v>
      </c>
      <c r="G1462" s="14">
        <v>45195.0</v>
      </c>
      <c r="H1462" s="15">
        <f t="shared" si="1"/>
        <v>26</v>
      </c>
      <c r="I1462" s="16">
        <f t="shared" si="2"/>
        <v>9</v>
      </c>
      <c r="J1462" s="15">
        <f t="shared" si="3"/>
        <v>2023</v>
      </c>
      <c r="K1462" s="16">
        <f>STANDARDIZE(F1462,'estatística'!$C$2,'estatística'!$H$2)</f>
        <v>0.1371233224</v>
      </c>
    </row>
    <row r="1463" ht="15.75" customHeight="1">
      <c r="A1463" s="9">
        <v>68.0</v>
      </c>
      <c r="B1463" s="10" t="s">
        <v>25</v>
      </c>
      <c r="C1463" s="11" t="s">
        <v>26</v>
      </c>
      <c r="D1463" s="10" t="s">
        <v>13</v>
      </c>
      <c r="E1463" s="11" t="s">
        <v>32</v>
      </c>
      <c r="F1463" s="13">
        <v>29.42</v>
      </c>
      <c r="G1463" s="14">
        <v>45195.0</v>
      </c>
      <c r="H1463" s="15">
        <f t="shared" si="1"/>
        <v>26</v>
      </c>
      <c r="I1463" s="16">
        <f t="shared" si="2"/>
        <v>9</v>
      </c>
      <c r="J1463" s="15">
        <f t="shared" si="3"/>
        <v>2023</v>
      </c>
      <c r="K1463" s="16">
        <f>STANDARDIZE(F1463,'estatística'!$C$2,'estatística'!$H$2)</f>
        <v>0.3560395037</v>
      </c>
    </row>
    <row r="1464" ht="15.75" customHeight="1">
      <c r="A1464" s="9">
        <v>22.0</v>
      </c>
      <c r="B1464" s="10" t="s">
        <v>101</v>
      </c>
      <c r="C1464" s="11" t="s">
        <v>102</v>
      </c>
      <c r="D1464" s="10" t="s">
        <v>17</v>
      </c>
      <c r="E1464" s="11" t="s">
        <v>65</v>
      </c>
      <c r="F1464" s="13">
        <v>30.94</v>
      </c>
      <c r="G1464" s="14">
        <v>45195.0</v>
      </c>
      <c r="H1464" s="15">
        <f t="shared" si="1"/>
        <v>26</v>
      </c>
      <c r="I1464" s="16">
        <f t="shared" si="2"/>
        <v>9</v>
      </c>
      <c r="J1464" s="15">
        <f t="shared" si="3"/>
        <v>2023</v>
      </c>
      <c r="K1464" s="16">
        <f>STANDARDIZE(F1464,'estatística'!$C$2,'estatística'!$H$2)</f>
        <v>0.3752848822</v>
      </c>
    </row>
    <row r="1465" ht="15.75" customHeight="1">
      <c r="A1465" s="9">
        <v>6.0</v>
      </c>
      <c r="B1465" s="10" t="s">
        <v>155</v>
      </c>
      <c r="C1465" s="11" t="s">
        <v>156</v>
      </c>
      <c r="D1465" s="10" t="s">
        <v>13</v>
      </c>
      <c r="E1465" s="11" t="s">
        <v>91</v>
      </c>
      <c r="F1465" s="13">
        <v>1.78</v>
      </c>
      <c r="G1465" s="14">
        <v>45195.0</v>
      </c>
      <c r="H1465" s="15">
        <f t="shared" si="1"/>
        <v>26</v>
      </c>
      <c r="I1465" s="16">
        <f t="shared" si="2"/>
        <v>9</v>
      </c>
      <c r="J1465" s="15">
        <f t="shared" si="3"/>
        <v>2023</v>
      </c>
      <c r="K1465" s="16">
        <f>STANDARDIZE(F1465,'estatística'!$C$2,'estatística'!$H$2)</f>
        <v>0.006077487972</v>
      </c>
    </row>
    <row r="1466" ht="15.75" customHeight="1">
      <c r="A1466" s="9">
        <v>75.0</v>
      </c>
      <c r="B1466" s="10" t="s">
        <v>210</v>
      </c>
      <c r="C1466" s="11" t="s">
        <v>211</v>
      </c>
      <c r="D1466" s="10" t="s">
        <v>17</v>
      </c>
      <c r="E1466" s="11" t="s">
        <v>33</v>
      </c>
      <c r="F1466" s="13">
        <v>53.66</v>
      </c>
      <c r="G1466" s="14">
        <v>45196.0</v>
      </c>
      <c r="H1466" s="15">
        <f t="shared" si="1"/>
        <v>27</v>
      </c>
      <c r="I1466" s="16">
        <f t="shared" si="2"/>
        <v>9</v>
      </c>
      <c r="J1466" s="15">
        <f t="shared" si="3"/>
        <v>2023</v>
      </c>
      <c r="K1466" s="16">
        <f>STANDARDIZE(F1466,'estatística'!$C$2,'estatística'!$H$2)</f>
        <v>0.6629526462</v>
      </c>
    </row>
    <row r="1467" ht="15.75" customHeight="1">
      <c r="A1467" s="9">
        <v>3.0</v>
      </c>
      <c r="B1467" s="10" t="s">
        <v>51</v>
      </c>
      <c r="C1467" s="11" t="s">
        <v>52</v>
      </c>
      <c r="D1467" s="10" t="s">
        <v>17</v>
      </c>
      <c r="E1467" s="11" t="s">
        <v>32</v>
      </c>
      <c r="F1467" s="13">
        <v>28.68</v>
      </c>
      <c r="G1467" s="14">
        <v>45196.0</v>
      </c>
      <c r="H1467" s="15">
        <f t="shared" si="1"/>
        <v>27</v>
      </c>
      <c r="I1467" s="16">
        <f t="shared" si="2"/>
        <v>9</v>
      </c>
      <c r="J1467" s="15">
        <f t="shared" si="3"/>
        <v>2023</v>
      </c>
      <c r="K1467" s="16">
        <f>STANDARDIZE(F1467,'estatística'!$C$2,'estatística'!$H$2)</f>
        <v>0.346670043</v>
      </c>
    </row>
    <row r="1468" ht="15.75" customHeight="1">
      <c r="A1468" s="9">
        <v>87.0</v>
      </c>
      <c r="B1468" s="10" t="s">
        <v>215</v>
      </c>
      <c r="C1468" s="11" t="s">
        <v>216</v>
      </c>
      <c r="D1468" s="10" t="s">
        <v>17</v>
      </c>
      <c r="E1468" s="11" t="s">
        <v>29</v>
      </c>
      <c r="F1468" s="13">
        <v>14.81</v>
      </c>
      <c r="G1468" s="14">
        <v>45196.0</v>
      </c>
      <c r="H1468" s="15">
        <f t="shared" si="1"/>
        <v>27</v>
      </c>
      <c r="I1468" s="16">
        <f t="shared" si="2"/>
        <v>9</v>
      </c>
      <c r="J1468" s="15">
        <f t="shared" si="3"/>
        <v>2023</v>
      </c>
      <c r="K1468" s="16">
        <f>STANDARDIZE(F1468,'estatística'!$C$2,'estatística'!$H$2)</f>
        <v>0.1710559635</v>
      </c>
    </row>
    <row r="1469" ht="15.75" customHeight="1">
      <c r="A1469" s="9">
        <v>81.0</v>
      </c>
      <c r="B1469" s="10" t="s">
        <v>34</v>
      </c>
      <c r="C1469" s="11" t="s">
        <v>35</v>
      </c>
      <c r="D1469" s="10" t="s">
        <v>17</v>
      </c>
      <c r="E1469" s="11" t="s">
        <v>107</v>
      </c>
      <c r="F1469" s="13">
        <v>28.6</v>
      </c>
      <c r="G1469" s="14">
        <v>45196.0</v>
      </c>
      <c r="H1469" s="15">
        <f t="shared" si="1"/>
        <v>27</v>
      </c>
      <c r="I1469" s="16">
        <f t="shared" si="2"/>
        <v>9</v>
      </c>
      <c r="J1469" s="15">
        <f t="shared" si="3"/>
        <v>2023</v>
      </c>
      <c r="K1469" s="16">
        <f>STANDARDIZE(F1469,'estatística'!$C$2,'estatística'!$H$2)</f>
        <v>0.3456571284</v>
      </c>
    </row>
    <row r="1470" ht="15.75" customHeight="1">
      <c r="A1470" s="9">
        <v>94.0</v>
      </c>
      <c r="B1470" s="10" t="s">
        <v>179</v>
      </c>
      <c r="C1470" s="11" t="s">
        <v>209</v>
      </c>
      <c r="D1470" s="10" t="s">
        <v>13</v>
      </c>
      <c r="E1470" s="11" t="s">
        <v>80</v>
      </c>
      <c r="F1470" s="13">
        <v>40.82</v>
      </c>
      <c r="G1470" s="14">
        <v>45197.0</v>
      </c>
      <c r="H1470" s="15">
        <f t="shared" si="1"/>
        <v>28</v>
      </c>
      <c r="I1470" s="16">
        <f t="shared" si="2"/>
        <v>9</v>
      </c>
      <c r="J1470" s="15">
        <f t="shared" si="3"/>
        <v>2023</v>
      </c>
      <c r="K1470" s="16">
        <f>STANDARDIZE(F1470,'estatística'!$C$2,'estatística'!$H$2)</f>
        <v>0.500379843</v>
      </c>
    </row>
    <row r="1471" ht="15.75" customHeight="1">
      <c r="A1471" s="9">
        <v>68.0</v>
      </c>
      <c r="B1471" s="10" t="s">
        <v>25</v>
      </c>
      <c r="C1471" s="11" t="s">
        <v>26</v>
      </c>
      <c r="D1471" s="10" t="s">
        <v>17</v>
      </c>
      <c r="E1471" s="11" t="s">
        <v>80</v>
      </c>
      <c r="F1471" s="13">
        <v>39.42</v>
      </c>
      <c r="G1471" s="14">
        <v>45197.0</v>
      </c>
      <c r="H1471" s="15">
        <f t="shared" si="1"/>
        <v>28</v>
      </c>
      <c r="I1471" s="16">
        <f t="shared" si="2"/>
        <v>9</v>
      </c>
      <c r="J1471" s="15">
        <f t="shared" si="3"/>
        <v>2023</v>
      </c>
      <c r="K1471" s="16">
        <f>STANDARDIZE(F1471,'estatística'!$C$2,'estatística'!$H$2)</f>
        <v>0.4826538364</v>
      </c>
    </row>
    <row r="1472" ht="15.75" customHeight="1">
      <c r="A1472" s="9">
        <v>99.0</v>
      </c>
      <c r="B1472" s="10" t="s">
        <v>46</v>
      </c>
      <c r="C1472" s="11" t="s">
        <v>47</v>
      </c>
      <c r="D1472" s="10" t="s">
        <v>17</v>
      </c>
      <c r="E1472" s="11" t="s">
        <v>91</v>
      </c>
      <c r="F1472" s="13">
        <v>3.4</v>
      </c>
      <c r="G1472" s="14">
        <v>45197.0</v>
      </c>
      <c r="H1472" s="15">
        <f t="shared" si="1"/>
        <v>28</v>
      </c>
      <c r="I1472" s="16">
        <f t="shared" si="2"/>
        <v>9</v>
      </c>
      <c r="J1472" s="15">
        <f t="shared" si="3"/>
        <v>2023</v>
      </c>
      <c r="K1472" s="16">
        <f>STANDARDIZE(F1472,'estatística'!$C$2,'estatística'!$H$2)</f>
        <v>0.02658900988</v>
      </c>
    </row>
    <row r="1473" ht="15.75" customHeight="1">
      <c r="A1473" s="9">
        <v>74.0</v>
      </c>
      <c r="B1473" s="10" t="s">
        <v>11</v>
      </c>
      <c r="C1473" s="11" t="s">
        <v>94</v>
      </c>
      <c r="D1473" s="10" t="s">
        <v>13</v>
      </c>
      <c r="E1473" s="11" t="s">
        <v>116</v>
      </c>
      <c r="F1473" s="13">
        <v>4.59</v>
      </c>
      <c r="G1473" s="14">
        <v>45197.0</v>
      </c>
      <c r="H1473" s="15">
        <f t="shared" si="1"/>
        <v>28</v>
      </c>
      <c r="I1473" s="16">
        <f t="shared" si="2"/>
        <v>9</v>
      </c>
      <c r="J1473" s="15">
        <f t="shared" si="3"/>
        <v>2023</v>
      </c>
      <c r="K1473" s="16">
        <f>STANDARDIZE(F1473,'estatística'!$C$2,'estatística'!$H$2)</f>
        <v>0.04165611547</v>
      </c>
    </row>
    <row r="1474" ht="15.75" customHeight="1">
      <c r="A1474" s="9">
        <v>7.0</v>
      </c>
      <c r="B1474" s="10" t="s">
        <v>83</v>
      </c>
      <c r="C1474" s="11" t="s">
        <v>84</v>
      </c>
      <c r="D1474" s="10" t="s">
        <v>17</v>
      </c>
      <c r="E1474" s="11" t="s">
        <v>91</v>
      </c>
      <c r="F1474" s="13">
        <v>3.89</v>
      </c>
      <c r="G1474" s="14">
        <v>45200.0</v>
      </c>
      <c r="H1474" s="15">
        <f t="shared" si="1"/>
        <v>1</v>
      </c>
      <c r="I1474" s="16">
        <f t="shared" si="2"/>
        <v>10</v>
      </c>
      <c r="J1474" s="15">
        <f t="shared" si="3"/>
        <v>2023</v>
      </c>
      <c r="K1474" s="16">
        <f>STANDARDIZE(F1474,'estatística'!$C$2,'estatística'!$H$2)</f>
        <v>0.03279311218</v>
      </c>
    </row>
    <row r="1475" ht="15.75" customHeight="1">
      <c r="A1475" s="9">
        <v>48.0</v>
      </c>
      <c r="B1475" s="10" t="s">
        <v>25</v>
      </c>
      <c r="C1475" s="11" t="s">
        <v>28</v>
      </c>
      <c r="D1475" s="10" t="s">
        <v>17</v>
      </c>
      <c r="E1475" s="11" t="s">
        <v>65</v>
      </c>
      <c r="F1475" s="13">
        <v>33.51</v>
      </c>
      <c r="G1475" s="14">
        <v>45200.0</v>
      </c>
      <c r="H1475" s="15">
        <f t="shared" si="1"/>
        <v>1</v>
      </c>
      <c r="I1475" s="16">
        <f t="shared" si="2"/>
        <v>10</v>
      </c>
      <c r="J1475" s="15">
        <f t="shared" si="3"/>
        <v>2023</v>
      </c>
      <c r="K1475" s="16">
        <f>STANDARDIZE(F1475,'estatística'!$C$2,'estatística'!$H$2)</f>
        <v>0.4078247658</v>
      </c>
    </row>
    <row r="1476" ht="15.75" customHeight="1">
      <c r="A1476" s="9">
        <v>94.0</v>
      </c>
      <c r="B1476" s="10" t="s">
        <v>179</v>
      </c>
      <c r="C1476" s="11" t="s">
        <v>209</v>
      </c>
      <c r="D1476" s="10" t="s">
        <v>17</v>
      </c>
      <c r="E1476" s="11" t="s">
        <v>18</v>
      </c>
      <c r="F1476" s="13">
        <v>55.41</v>
      </c>
      <c r="G1476" s="14">
        <v>45200.0</v>
      </c>
      <c r="H1476" s="15">
        <f t="shared" si="1"/>
        <v>1</v>
      </c>
      <c r="I1476" s="16">
        <f t="shared" si="2"/>
        <v>10</v>
      </c>
      <c r="J1476" s="15">
        <f t="shared" si="3"/>
        <v>2023</v>
      </c>
      <c r="K1476" s="16">
        <f>STANDARDIZE(F1476,'estatística'!$C$2,'estatística'!$H$2)</f>
        <v>0.6851101545</v>
      </c>
    </row>
    <row r="1477" ht="15.75" customHeight="1">
      <c r="A1477" s="9">
        <v>72.0</v>
      </c>
      <c r="B1477" s="10" t="s">
        <v>103</v>
      </c>
      <c r="C1477" s="11" t="s">
        <v>104</v>
      </c>
      <c r="D1477" s="10" t="s">
        <v>17</v>
      </c>
      <c r="E1477" s="11" t="s">
        <v>48</v>
      </c>
      <c r="F1477" s="13">
        <v>17.24</v>
      </c>
      <c r="G1477" s="14">
        <v>45200.0</v>
      </c>
      <c r="H1477" s="15">
        <f t="shared" si="1"/>
        <v>1</v>
      </c>
      <c r="I1477" s="16">
        <f t="shared" si="2"/>
        <v>10</v>
      </c>
      <c r="J1477" s="15">
        <f t="shared" si="3"/>
        <v>2023</v>
      </c>
      <c r="K1477" s="16">
        <f>STANDARDIZE(F1477,'estatística'!$C$2,'estatística'!$H$2)</f>
        <v>0.2018232464</v>
      </c>
    </row>
    <row r="1478" ht="15.75" customHeight="1">
      <c r="A1478" s="9">
        <v>52.0</v>
      </c>
      <c r="B1478" s="10" t="s">
        <v>153</v>
      </c>
      <c r="C1478" s="11" t="s">
        <v>154</v>
      </c>
      <c r="D1478" s="10" t="s">
        <v>13</v>
      </c>
      <c r="E1478" s="11" t="s">
        <v>24</v>
      </c>
      <c r="F1478" s="13">
        <v>42.2</v>
      </c>
      <c r="G1478" s="14">
        <v>45200.0</v>
      </c>
      <c r="H1478" s="15">
        <f t="shared" si="1"/>
        <v>1</v>
      </c>
      <c r="I1478" s="16">
        <f t="shared" si="2"/>
        <v>10</v>
      </c>
      <c r="J1478" s="15">
        <f t="shared" si="3"/>
        <v>2023</v>
      </c>
      <c r="K1478" s="16">
        <f>STANDARDIZE(F1478,'estatística'!$C$2,'estatística'!$H$2)</f>
        <v>0.5178526209</v>
      </c>
    </row>
    <row r="1479" ht="15.75" customHeight="1">
      <c r="A1479" s="9">
        <v>36.0</v>
      </c>
      <c r="B1479" s="10" t="s">
        <v>60</v>
      </c>
      <c r="C1479" s="11" t="s">
        <v>61</v>
      </c>
      <c r="D1479" s="10" t="s">
        <v>13</v>
      </c>
      <c r="E1479" s="11" t="s">
        <v>24</v>
      </c>
      <c r="F1479" s="13">
        <v>32.9</v>
      </c>
      <c r="G1479" s="14">
        <v>45200.0</v>
      </c>
      <c r="H1479" s="15">
        <f t="shared" si="1"/>
        <v>1</v>
      </c>
      <c r="I1479" s="16">
        <f t="shared" si="2"/>
        <v>10</v>
      </c>
      <c r="J1479" s="15">
        <f t="shared" si="3"/>
        <v>2023</v>
      </c>
      <c r="K1479" s="16">
        <f>STANDARDIZE(F1479,'estatística'!$C$2,'estatística'!$H$2)</f>
        <v>0.4001012915</v>
      </c>
    </row>
    <row r="1480" ht="15.75" customHeight="1">
      <c r="A1480" s="9">
        <v>7.0</v>
      </c>
      <c r="B1480" s="10" t="s">
        <v>83</v>
      </c>
      <c r="C1480" s="11" t="s">
        <v>84</v>
      </c>
      <c r="D1480" s="10" t="s">
        <v>13</v>
      </c>
      <c r="E1480" s="11" t="s">
        <v>80</v>
      </c>
      <c r="F1480" s="13">
        <v>38.84</v>
      </c>
      <c r="G1480" s="14">
        <v>45200.0</v>
      </c>
      <c r="H1480" s="15">
        <f t="shared" si="1"/>
        <v>1</v>
      </c>
      <c r="I1480" s="16">
        <f t="shared" si="2"/>
        <v>10</v>
      </c>
      <c r="J1480" s="15">
        <f t="shared" si="3"/>
        <v>2023</v>
      </c>
      <c r="K1480" s="16">
        <f>STANDARDIZE(F1480,'estatística'!$C$2,'estatística'!$H$2)</f>
        <v>0.4753102051</v>
      </c>
    </row>
    <row r="1481" ht="15.75" customHeight="1">
      <c r="A1481" s="9">
        <v>48.0</v>
      </c>
      <c r="B1481" s="10" t="s">
        <v>25</v>
      </c>
      <c r="C1481" s="11" t="s">
        <v>28</v>
      </c>
      <c r="D1481" s="10" t="s">
        <v>17</v>
      </c>
      <c r="E1481" s="11" t="s">
        <v>39</v>
      </c>
      <c r="F1481" s="13">
        <v>40.21</v>
      </c>
      <c r="G1481" s="14">
        <v>45200.0</v>
      </c>
      <c r="H1481" s="15">
        <f t="shared" si="1"/>
        <v>1</v>
      </c>
      <c r="I1481" s="16">
        <f t="shared" si="2"/>
        <v>10</v>
      </c>
      <c r="J1481" s="15">
        <f t="shared" si="3"/>
        <v>2023</v>
      </c>
      <c r="K1481" s="16">
        <f>STANDARDIZE(F1481,'estatística'!$C$2,'estatística'!$H$2)</f>
        <v>0.4926563687</v>
      </c>
    </row>
    <row r="1482" ht="15.75" customHeight="1">
      <c r="A1482" s="9">
        <v>96.0</v>
      </c>
      <c r="B1482" s="10" t="s">
        <v>135</v>
      </c>
      <c r="C1482" s="11" t="s">
        <v>136</v>
      </c>
      <c r="D1482" s="10" t="s">
        <v>13</v>
      </c>
      <c r="E1482" s="11" t="s">
        <v>77</v>
      </c>
      <c r="F1482" s="13">
        <v>16.95</v>
      </c>
      <c r="G1482" s="14">
        <v>45200.0</v>
      </c>
      <c r="H1482" s="15">
        <f t="shared" si="1"/>
        <v>1</v>
      </c>
      <c r="I1482" s="16">
        <f t="shared" si="2"/>
        <v>10</v>
      </c>
      <c r="J1482" s="15">
        <f t="shared" si="3"/>
        <v>2023</v>
      </c>
      <c r="K1482" s="16">
        <f>STANDARDIZE(F1482,'estatística'!$C$2,'estatística'!$H$2)</f>
        <v>0.1981514307</v>
      </c>
    </row>
    <row r="1483" ht="15.75" customHeight="1">
      <c r="A1483" s="9">
        <v>59.0</v>
      </c>
      <c r="B1483" s="10" t="s">
        <v>71</v>
      </c>
      <c r="C1483" s="11" t="s">
        <v>72</v>
      </c>
      <c r="D1483" s="10" t="s">
        <v>17</v>
      </c>
      <c r="E1483" s="11" t="s">
        <v>32</v>
      </c>
      <c r="F1483" s="13">
        <v>28.87</v>
      </c>
      <c r="G1483" s="14">
        <v>45201.0</v>
      </c>
      <c r="H1483" s="15">
        <f t="shared" si="1"/>
        <v>2</v>
      </c>
      <c r="I1483" s="16">
        <f t="shared" si="2"/>
        <v>10</v>
      </c>
      <c r="J1483" s="15">
        <f t="shared" si="3"/>
        <v>2023</v>
      </c>
      <c r="K1483" s="16">
        <f>STANDARDIZE(F1483,'estatística'!$C$2,'estatística'!$H$2)</f>
        <v>0.3490757154</v>
      </c>
    </row>
    <row r="1484" ht="15.75" customHeight="1">
      <c r="A1484" s="9">
        <v>48.0</v>
      </c>
      <c r="B1484" s="10" t="s">
        <v>25</v>
      </c>
      <c r="C1484" s="11" t="s">
        <v>28</v>
      </c>
      <c r="D1484" s="10" t="s">
        <v>17</v>
      </c>
      <c r="E1484" s="11" t="s">
        <v>39</v>
      </c>
      <c r="F1484" s="13">
        <v>56.8</v>
      </c>
      <c r="G1484" s="14">
        <v>45201.0</v>
      </c>
      <c r="H1484" s="15">
        <f t="shared" si="1"/>
        <v>2</v>
      </c>
      <c r="I1484" s="16">
        <f t="shared" si="2"/>
        <v>10</v>
      </c>
      <c r="J1484" s="15">
        <f t="shared" si="3"/>
        <v>2023</v>
      </c>
      <c r="K1484" s="16">
        <f>STANDARDIZE(F1484,'estatística'!$C$2,'estatística'!$H$2)</f>
        <v>0.7027095467</v>
      </c>
    </row>
    <row r="1485" ht="15.75" customHeight="1">
      <c r="A1485" s="9">
        <v>95.0</v>
      </c>
      <c r="B1485" s="10" t="s">
        <v>78</v>
      </c>
      <c r="C1485" s="11" t="s">
        <v>79</v>
      </c>
      <c r="D1485" s="10" t="s">
        <v>13</v>
      </c>
      <c r="E1485" s="11" t="s">
        <v>14</v>
      </c>
      <c r="F1485" s="13">
        <v>10.33</v>
      </c>
      <c r="G1485" s="14">
        <v>45201.0</v>
      </c>
      <c r="H1485" s="15">
        <f t="shared" si="1"/>
        <v>2</v>
      </c>
      <c r="I1485" s="16">
        <f t="shared" si="2"/>
        <v>10</v>
      </c>
      <c r="J1485" s="15">
        <f t="shared" si="3"/>
        <v>2023</v>
      </c>
      <c r="K1485" s="16">
        <f>STANDARDIZE(F1485,'estatística'!$C$2,'estatística'!$H$2)</f>
        <v>0.1143327425</v>
      </c>
    </row>
    <row r="1486" ht="15.75" customHeight="1">
      <c r="A1486" s="9">
        <v>75.0</v>
      </c>
      <c r="B1486" s="10" t="s">
        <v>210</v>
      </c>
      <c r="C1486" s="11" t="s">
        <v>211</v>
      </c>
      <c r="D1486" s="10" t="s">
        <v>13</v>
      </c>
      <c r="E1486" s="11" t="s">
        <v>48</v>
      </c>
      <c r="F1486" s="13">
        <v>19.84</v>
      </c>
      <c r="G1486" s="14">
        <v>45201.0</v>
      </c>
      <c r="H1486" s="15">
        <f t="shared" si="1"/>
        <v>2</v>
      </c>
      <c r="I1486" s="16">
        <f t="shared" si="2"/>
        <v>10</v>
      </c>
      <c r="J1486" s="15">
        <f t="shared" si="3"/>
        <v>2023</v>
      </c>
      <c r="K1486" s="16">
        <f>STANDARDIZE(F1486,'estatística'!$C$2,'estatística'!$H$2)</f>
        <v>0.2347429729</v>
      </c>
    </row>
    <row r="1487" ht="15.75" customHeight="1">
      <c r="A1487" s="9">
        <v>36.0</v>
      </c>
      <c r="B1487" s="10" t="s">
        <v>60</v>
      </c>
      <c r="C1487" s="11" t="s">
        <v>61</v>
      </c>
      <c r="D1487" s="10" t="s">
        <v>17</v>
      </c>
      <c r="E1487" s="11" t="s">
        <v>107</v>
      </c>
      <c r="F1487" s="13">
        <v>29.44</v>
      </c>
      <c r="G1487" s="14">
        <v>45201.0</v>
      </c>
      <c r="H1487" s="15">
        <f t="shared" si="1"/>
        <v>2</v>
      </c>
      <c r="I1487" s="16">
        <f t="shared" si="2"/>
        <v>10</v>
      </c>
      <c r="J1487" s="15">
        <f t="shared" si="3"/>
        <v>2023</v>
      </c>
      <c r="K1487" s="16">
        <f>STANDARDIZE(F1487,'estatística'!$C$2,'estatística'!$H$2)</f>
        <v>0.3562927323</v>
      </c>
    </row>
    <row r="1488" ht="15.75" customHeight="1">
      <c r="A1488" s="9">
        <v>54.0</v>
      </c>
      <c r="B1488" s="10" t="s">
        <v>55</v>
      </c>
      <c r="C1488" s="11" t="s">
        <v>56</v>
      </c>
      <c r="D1488" s="10" t="s">
        <v>13</v>
      </c>
      <c r="E1488" s="11" t="s">
        <v>91</v>
      </c>
      <c r="F1488" s="13">
        <v>3.41</v>
      </c>
      <c r="G1488" s="14">
        <v>45202.0</v>
      </c>
      <c r="H1488" s="15">
        <f t="shared" si="1"/>
        <v>3</v>
      </c>
      <c r="I1488" s="16">
        <f t="shared" si="2"/>
        <v>10</v>
      </c>
      <c r="J1488" s="15">
        <f t="shared" si="3"/>
        <v>2023</v>
      </c>
      <c r="K1488" s="16">
        <f>STANDARDIZE(F1488,'estatística'!$C$2,'estatística'!$H$2)</f>
        <v>0.02671562421</v>
      </c>
    </row>
    <row r="1489" ht="15.75" customHeight="1">
      <c r="A1489" s="9">
        <v>78.0</v>
      </c>
      <c r="B1489" s="10" t="s">
        <v>15</v>
      </c>
      <c r="C1489" s="11" t="s">
        <v>16</v>
      </c>
      <c r="D1489" s="10" t="s">
        <v>17</v>
      </c>
      <c r="E1489" s="11" t="s">
        <v>36</v>
      </c>
      <c r="F1489" s="13">
        <v>59.4</v>
      </c>
      <c r="G1489" s="14">
        <v>45202.0</v>
      </c>
      <c r="H1489" s="15">
        <f t="shared" si="1"/>
        <v>3</v>
      </c>
      <c r="I1489" s="16">
        <f t="shared" si="2"/>
        <v>10</v>
      </c>
      <c r="J1489" s="15">
        <f t="shared" si="3"/>
        <v>2023</v>
      </c>
      <c r="K1489" s="16">
        <f>STANDARDIZE(F1489,'estatística'!$C$2,'estatística'!$H$2)</f>
        <v>0.7356292732</v>
      </c>
    </row>
    <row r="1490" ht="15.75" customHeight="1">
      <c r="A1490" s="9">
        <v>55.0</v>
      </c>
      <c r="B1490" s="10" t="s">
        <v>174</v>
      </c>
      <c r="C1490" s="11" t="s">
        <v>175</v>
      </c>
      <c r="D1490" s="10" t="s">
        <v>13</v>
      </c>
      <c r="E1490" s="11" t="s">
        <v>29</v>
      </c>
      <c r="F1490" s="13">
        <v>13.21</v>
      </c>
      <c r="G1490" s="14">
        <v>45202.0</v>
      </c>
      <c r="H1490" s="15">
        <f t="shared" si="1"/>
        <v>3</v>
      </c>
      <c r="I1490" s="16">
        <f t="shared" si="2"/>
        <v>10</v>
      </c>
      <c r="J1490" s="15">
        <f t="shared" si="3"/>
        <v>2023</v>
      </c>
      <c r="K1490" s="16">
        <f>STANDARDIZE(F1490,'estatística'!$C$2,'estatística'!$H$2)</f>
        <v>0.1507976703</v>
      </c>
    </row>
    <row r="1491" ht="15.75" customHeight="1">
      <c r="A1491" s="9">
        <v>91.0</v>
      </c>
      <c r="B1491" s="10" t="s">
        <v>81</v>
      </c>
      <c r="C1491" s="11" t="s">
        <v>82</v>
      </c>
      <c r="D1491" s="10" t="s">
        <v>13</v>
      </c>
      <c r="E1491" s="11" t="s">
        <v>32</v>
      </c>
      <c r="F1491" s="13">
        <v>31.62</v>
      </c>
      <c r="G1491" s="14">
        <v>45202.0</v>
      </c>
      <c r="H1491" s="15">
        <f t="shared" si="1"/>
        <v>3</v>
      </c>
      <c r="I1491" s="16">
        <f t="shared" si="2"/>
        <v>10</v>
      </c>
      <c r="J1491" s="15">
        <f t="shared" si="3"/>
        <v>2023</v>
      </c>
      <c r="K1491" s="16">
        <f>STANDARDIZE(F1491,'estatística'!$C$2,'estatística'!$H$2)</f>
        <v>0.3838946569</v>
      </c>
    </row>
    <row r="1492" ht="15.75" customHeight="1">
      <c r="A1492" s="9">
        <v>42.0</v>
      </c>
      <c r="B1492" s="10" t="s">
        <v>60</v>
      </c>
      <c r="C1492" s="11" t="s">
        <v>142</v>
      </c>
      <c r="D1492" s="10" t="s">
        <v>13</v>
      </c>
      <c r="E1492" s="11" t="s">
        <v>36</v>
      </c>
      <c r="F1492" s="13">
        <v>60.83</v>
      </c>
      <c r="G1492" s="14">
        <v>45202.0</v>
      </c>
      <c r="H1492" s="15">
        <f t="shared" si="1"/>
        <v>3</v>
      </c>
      <c r="I1492" s="16">
        <f t="shared" si="2"/>
        <v>10</v>
      </c>
      <c r="J1492" s="15">
        <f t="shared" si="3"/>
        <v>2023</v>
      </c>
      <c r="K1492" s="16">
        <f>STANDARDIZE(F1492,'estatística'!$C$2,'estatística'!$H$2)</f>
        <v>0.7537351228</v>
      </c>
    </row>
    <row r="1493" ht="15.75" customHeight="1">
      <c r="A1493" s="9">
        <v>2.0</v>
      </c>
      <c r="B1493" s="10" t="s">
        <v>53</v>
      </c>
      <c r="C1493" s="11" t="s">
        <v>54</v>
      </c>
      <c r="D1493" s="10" t="s">
        <v>13</v>
      </c>
      <c r="E1493" s="11" t="s">
        <v>36</v>
      </c>
      <c r="F1493" s="13">
        <v>63.19</v>
      </c>
      <c r="G1493" s="14">
        <v>45202.0</v>
      </c>
      <c r="H1493" s="15">
        <f t="shared" si="1"/>
        <v>3</v>
      </c>
      <c r="I1493" s="16">
        <f t="shared" si="2"/>
        <v>10</v>
      </c>
      <c r="J1493" s="15">
        <f t="shared" si="3"/>
        <v>2023</v>
      </c>
      <c r="K1493" s="16">
        <f>STANDARDIZE(F1493,'estatística'!$C$2,'estatística'!$H$2)</f>
        <v>0.7836161053</v>
      </c>
    </row>
    <row r="1494" ht="15.75" customHeight="1">
      <c r="A1494" s="9">
        <v>65.0</v>
      </c>
      <c r="B1494" s="10" t="s">
        <v>181</v>
      </c>
      <c r="C1494" s="11" t="s">
        <v>182</v>
      </c>
      <c r="D1494" s="10" t="s">
        <v>17</v>
      </c>
      <c r="E1494" s="11" t="s">
        <v>39</v>
      </c>
      <c r="F1494" s="13">
        <v>42.19</v>
      </c>
      <c r="G1494" s="14">
        <v>45203.0</v>
      </c>
      <c r="H1494" s="15">
        <f t="shared" si="1"/>
        <v>4</v>
      </c>
      <c r="I1494" s="16">
        <f t="shared" si="2"/>
        <v>10</v>
      </c>
      <c r="J1494" s="15">
        <f t="shared" si="3"/>
        <v>2023</v>
      </c>
      <c r="K1494" s="16">
        <f>STANDARDIZE(F1494,'estatística'!$C$2,'estatística'!$H$2)</f>
        <v>0.5177260066</v>
      </c>
    </row>
    <row r="1495" ht="15.75" customHeight="1">
      <c r="A1495" s="9">
        <v>95.0</v>
      </c>
      <c r="B1495" s="10" t="s">
        <v>78</v>
      </c>
      <c r="C1495" s="11" t="s">
        <v>79</v>
      </c>
      <c r="D1495" s="10" t="s">
        <v>13</v>
      </c>
      <c r="E1495" s="11" t="s">
        <v>62</v>
      </c>
      <c r="F1495" s="13">
        <v>11.09</v>
      </c>
      <c r="G1495" s="14">
        <v>45203.0</v>
      </c>
      <c r="H1495" s="15">
        <f t="shared" si="1"/>
        <v>4</v>
      </c>
      <c r="I1495" s="16">
        <f t="shared" si="2"/>
        <v>10</v>
      </c>
      <c r="J1495" s="15">
        <f t="shared" si="3"/>
        <v>2023</v>
      </c>
      <c r="K1495" s="16">
        <f>STANDARDIZE(F1495,'estatística'!$C$2,'estatística'!$H$2)</f>
        <v>0.1239554318</v>
      </c>
    </row>
    <row r="1496" ht="15.75" customHeight="1">
      <c r="A1496" s="9">
        <v>100.0</v>
      </c>
      <c r="B1496" s="10" t="s">
        <v>30</v>
      </c>
      <c r="C1496" s="11" t="s">
        <v>31</v>
      </c>
      <c r="D1496" s="10" t="s">
        <v>13</v>
      </c>
      <c r="E1496" s="11" t="s">
        <v>65</v>
      </c>
      <c r="F1496" s="13">
        <v>36.69</v>
      </c>
      <c r="G1496" s="14">
        <v>45203.0</v>
      </c>
      <c r="H1496" s="15">
        <f t="shared" si="1"/>
        <v>4</v>
      </c>
      <c r="I1496" s="16">
        <f t="shared" si="2"/>
        <v>10</v>
      </c>
      <c r="J1496" s="15">
        <f t="shared" si="3"/>
        <v>2023</v>
      </c>
      <c r="K1496" s="16">
        <f>STANDARDIZE(F1496,'estatística'!$C$2,'estatística'!$H$2)</f>
        <v>0.4480881236</v>
      </c>
    </row>
    <row r="1497" ht="15.75" customHeight="1">
      <c r="A1497" s="9">
        <v>98.0</v>
      </c>
      <c r="B1497" s="10" t="s">
        <v>131</v>
      </c>
      <c r="C1497" s="11" t="s">
        <v>168</v>
      </c>
      <c r="D1497" s="10" t="s">
        <v>13</v>
      </c>
      <c r="E1497" s="11" t="s">
        <v>21</v>
      </c>
      <c r="F1497" s="13">
        <v>17.55</v>
      </c>
      <c r="G1497" s="14">
        <v>45203.0</v>
      </c>
      <c r="H1497" s="15">
        <f t="shared" si="1"/>
        <v>4</v>
      </c>
      <c r="I1497" s="16">
        <f t="shared" si="2"/>
        <v>10</v>
      </c>
      <c r="J1497" s="15">
        <f t="shared" si="3"/>
        <v>2023</v>
      </c>
      <c r="K1497" s="16">
        <f>STANDARDIZE(F1497,'estatística'!$C$2,'estatística'!$H$2)</f>
        <v>0.2057482907</v>
      </c>
    </row>
    <row r="1498" ht="15.75" customHeight="1">
      <c r="A1498" s="9">
        <v>64.0</v>
      </c>
      <c r="B1498" s="10" t="s">
        <v>131</v>
      </c>
      <c r="C1498" s="11" t="s">
        <v>132</v>
      </c>
      <c r="D1498" s="10" t="s">
        <v>13</v>
      </c>
      <c r="E1498" s="11" t="s">
        <v>24</v>
      </c>
      <c r="F1498" s="13">
        <v>41.41</v>
      </c>
      <c r="G1498" s="14">
        <v>45204.0</v>
      </c>
      <c r="H1498" s="15">
        <f t="shared" si="1"/>
        <v>5</v>
      </c>
      <c r="I1498" s="16">
        <f t="shared" si="2"/>
        <v>10</v>
      </c>
      <c r="J1498" s="15">
        <f t="shared" si="3"/>
        <v>2023</v>
      </c>
      <c r="K1498" s="16">
        <f>STANDARDIZE(F1498,'estatística'!$C$2,'estatística'!$H$2)</f>
        <v>0.5078500886</v>
      </c>
    </row>
    <row r="1499" ht="15.75" customHeight="1">
      <c r="A1499" s="9">
        <v>18.0</v>
      </c>
      <c r="B1499" s="10" t="s">
        <v>135</v>
      </c>
      <c r="C1499" s="11" t="s">
        <v>212</v>
      </c>
      <c r="D1499" s="10" t="s">
        <v>13</v>
      </c>
      <c r="E1499" s="11" t="s">
        <v>68</v>
      </c>
      <c r="F1499" s="13">
        <v>12.97</v>
      </c>
      <c r="G1499" s="14">
        <v>45204.0</v>
      </c>
      <c r="H1499" s="15">
        <f t="shared" si="1"/>
        <v>5</v>
      </c>
      <c r="I1499" s="16">
        <f t="shared" si="2"/>
        <v>10</v>
      </c>
      <c r="J1499" s="15">
        <f t="shared" si="3"/>
        <v>2023</v>
      </c>
      <c r="K1499" s="16">
        <f>STANDARDIZE(F1499,'estatística'!$C$2,'estatística'!$H$2)</f>
        <v>0.1477589263</v>
      </c>
    </row>
    <row r="1500" ht="15.75" customHeight="1">
      <c r="A1500" s="9">
        <v>75.0</v>
      </c>
      <c r="B1500" s="10" t="s">
        <v>210</v>
      </c>
      <c r="C1500" s="11" t="s">
        <v>211</v>
      </c>
      <c r="D1500" s="10" t="s">
        <v>17</v>
      </c>
      <c r="E1500" s="11" t="s">
        <v>77</v>
      </c>
      <c r="F1500" s="13">
        <v>14.93</v>
      </c>
      <c r="G1500" s="14">
        <v>45204.0</v>
      </c>
      <c r="H1500" s="15">
        <f t="shared" si="1"/>
        <v>5</v>
      </c>
      <c r="I1500" s="16">
        <f t="shared" si="2"/>
        <v>10</v>
      </c>
      <c r="J1500" s="15">
        <f t="shared" si="3"/>
        <v>2023</v>
      </c>
      <c r="K1500" s="16">
        <f>STANDARDIZE(F1500,'estatística'!$C$2,'estatística'!$H$2)</f>
        <v>0.1725753355</v>
      </c>
    </row>
    <row r="1501" ht="15.75" customHeight="1">
      <c r="A1501" s="9">
        <v>38.0</v>
      </c>
      <c r="B1501" s="10" t="s">
        <v>85</v>
      </c>
      <c r="C1501" s="11" t="s">
        <v>86</v>
      </c>
      <c r="D1501" s="10" t="s">
        <v>13</v>
      </c>
      <c r="E1501" s="11" t="s">
        <v>57</v>
      </c>
      <c r="F1501" s="13">
        <v>16.33</v>
      </c>
      <c r="G1501" s="14">
        <v>45204.0</v>
      </c>
      <c r="H1501" s="15">
        <f t="shared" si="1"/>
        <v>5</v>
      </c>
      <c r="I1501" s="16">
        <f t="shared" si="2"/>
        <v>10</v>
      </c>
      <c r="J1501" s="15">
        <f t="shared" si="3"/>
        <v>2023</v>
      </c>
      <c r="K1501" s="16">
        <f>STANDARDIZE(F1501,'estatística'!$C$2,'estatística'!$H$2)</f>
        <v>0.1903013421</v>
      </c>
    </row>
    <row r="1502" ht="15.75" customHeight="1">
      <c r="A1502" s="9">
        <v>22.0</v>
      </c>
      <c r="B1502" s="10" t="s">
        <v>101</v>
      </c>
      <c r="C1502" s="11" t="s">
        <v>102</v>
      </c>
      <c r="D1502" s="10" t="s">
        <v>13</v>
      </c>
      <c r="E1502" s="11" t="s">
        <v>116</v>
      </c>
      <c r="F1502" s="13">
        <v>2.43</v>
      </c>
      <c r="G1502" s="14">
        <v>45204.0</v>
      </c>
      <c r="H1502" s="15">
        <f t="shared" si="1"/>
        <v>5</v>
      </c>
      <c r="I1502" s="16">
        <f t="shared" si="2"/>
        <v>10</v>
      </c>
      <c r="J1502" s="15">
        <f t="shared" si="3"/>
        <v>2023</v>
      </c>
      <c r="K1502" s="16">
        <f>STANDARDIZE(F1502,'estatística'!$C$2,'estatística'!$H$2)</f>
        <v>0.0143074196</v>
      </c>
    </row>
    <row r="1503" ht="15.75" customHeight="1">
      <c r="A1503" s="9">
        <v>8.0</v>
      </c>
      <c r="B1503" s="10" t="s">
        <v>75</v>
      </c>
      <c r="C1503" s="11" t="s">
        <v>76</v>
      </c>
      <c r="D1503" s="10" t="s">
        <v>13</v>
      </c>
      <c r="E1503" s="11" t="s">
        <v>24</v>
      </c>
      <c r="F1503" s="13">
        <v>25.01</v>
      </c>
      <c r="G1503" s="14">
        <v>45205.0</v>
      </c>
      <c r="H1503" s="15">
        <f t="shared" si="1"/>
        <v>6</v>
      </c>
      <c r="I1503" s="16">
        <f t="shared" si="2"/>
        <v>10</v>
      </c>
      <c r="J1503" s="15">
        <f t="shared" si="3"/>
        <v>2023</v>
      </c>
      <c r="K1503" s="16">
        <f>STANDARDIZE(F1503,'estatística'!$C$2,'estatística'!$H$2)</f>
        <v>0.3002025829</v>
      </c>
    </row>
    <row r="1504" ht="15.75" customHeight="1">
      <c r="A1504" s="9">
        <v>1.0</v>
      </c>
      <c r="B1504" s="10" t="s">
        <v>166</v>
      </c>
      <c r="C1504" s="11" t="s">
        <v>167</v>
      </c>
      <c r="D1504" s="10" t="s">
        <v>17</v>
      </c>
      <c r="E1504" s="11" t="s">
        <v>68</v>
      </c>
      <c r="F1504" s="13">
        <v>15.01</v>
      </c>
      <c r="G1504" s="14">
        <v>45205.0</v>
      </c>
      <c r="H1504" s="15">
        <f t="shared" si="1"/>
        <v>6</v>
      </c>
      <c r="I1504" s="16">
        <f t="shared" si="2"/>
        <v>10</v>
      </c>
      <c r="J1504" s="15">
        <f t="shared" si="3"/>
        <v>2023</v>
      </c>
      <c r="K1504" s="16">
        <f>STANDARDIZE(F1504,'estatística'!$C$2,'estatística'!$H$2)</f>
        <v>0.1735882502</v>
      </c>
    </row>
    <row r="1505" ht="15.75" customHeight="1">
      <c r="A1505" s="9">
        <v>31.0</v>
      </c>
      <c r="B1505" s="10" t="s">
        <v>201</v>
      </c>
      <c r="C1505" s="11" t="s">
        <v>202</v>
      </c>
      <c r="D1505" s="10" t="s">
        <v>13</v>
      </c>
      <c r="E1505" s="11" t="s">
        <v>80</v>
      </c>
      <c r="F1505" s="13">
        <v>34.7</v>
      </c>
      <c r="G1505" s="14">
        <v>45205.0</v>
      </c>
      <c r="H1505" s="15">
        <f t="shared" si="1"/>
        <v>6</v>
      </c>
      <c r="I1505" s="16">
        <f t="shared" si="2"/>
        <v>10</v>
      </c>
      <c r="J1505" s="15">
        <f t="shared" si="3"/>
        <v>2023</v>
      </c>
      <c r="K1505" s="16">
        <f>STANDARDIZE(F1505,'estatística'!$C$2,'estatística'!$H$2)</f>
        <v>0.4228918714</v>
      </c>
    </row>
    <row r="1506" ht="15.75" customHeight="1">
      <c r="A1506" s="9">
        <v>8.0</v>
      </c>
      <c r="B1506" s="10" t="s">
        <v>75</v>
      </c>
      <c r="C1506" s="11" t="s">
        <v>76</v>
      </c>
      <c r="D1506" s="10" t="s">
        <v>13</v>
      </c>
      <c r="E1506" s="11" t="s">
        <v>77</v>
      </c>
      <c r="F1506" s="13">
        <v>15.98</v>
      </c>
      <c r="G1506" s="14">
        <v>45205.0</v>
      </c>
      <c r="H1506" s="15">
        <f t="shared" si="1"/>
        <v>6</v>
      </c>
      <c r="I1506" s="16">
        <f t="shared" si="2"/>
        <v>10</v>
      </c>
      <c r="J1506" s="15">
        <f t="shared" si="3"/>
        <v>2023</v>
      </c>
      <c r="K1506" s="16">
        <f>STANDARDIZE(F1506,'estatística'!$C$2,'estatística'!$H$2)</f>
        <v>0.1858698405</v>
      </c>
    </row>
    <row r="1507" ht="15.75" customHeight="1">
      <c r="A1507" s="9">
        <v>95.0</v>
      </c>
      <c r="B1507" s="10" t="s">
        <v>78</v>
      </c>
      <c r="C1507" s="11" t="s">
        <v>79</v>
      </c>
      <c r="D1507" s="10" t="s">
        <v>17</v>
      </c>
      <c r="E1507" s="11" t="s">
        <v>57</v>
      </c>
      <c r="F1507" s="13">
        <v>15.8</v>
      </c>
      <c r="G1507" s="14">
        <v>45206.0</v>
      </c>
      <c r="H1507" s="15">
        <f t="shared" si="1"/>
        <v>7</v>
      </c>
      <c r="I1507" s="16">
        <f t="shared" si="2"/>
        <v>10</v>
      </c>
      <c r="J1507" s="15">
        <f t="shared" si="3"/>
        <v>2023</v>
      </c>
      <c r="K1507" s="16">
        <f>STANDARDIZE(F1507,'estatística'!$C$2,'estatística'!$H$2)</f>
        <v>0.1835907825</v>
      </c>
    </row>
    <row r="1508" ht="15.75" customHeight="1">
      <c r="A1508" s="9">
        <v>10.0</v>
      </c>
      <c r="B1508" s="10" t="s">
        <v>120</v>
      </c>
      <c r="C1508" s="11" t="s">
        <v>121</v>
      </c>
      <c r="D1508" s="10" t="s">
        <v>13</v>
      </c>
      <c r="E1508" s="11" t="s">
        <v>107</v>
      </c>
      <c r="F1508" s="13">
        <v>26.54</v>
      </c>
      <c r="G1508" s="14">
        <v>45206.0</v>
      </c>
      <c r="H1508" s="15">
        <f t="shared" si="1"/>
        <v>7</v>
      </c>
      <c r="I1508" s="16">
        <f t="shared" si="2"/>
        <v>10</v>
      </c>
      <c r="J1508" s="15">
        <f t="shared" si="3"/>
        <v>2023</v>
      </c>
      <c r="K1508" s="16">
        <f>STANDARDIZE(F1508,'estatística'!$C$2,'estatística'!$H$2)</f>
        <v>0.3195745758</v>
      </c>
    </row>
    <row r="1509" ht="15.75" customHeight="1">
      <c r="A1509" s="9">
        <v>70.0</v>
      </c>
      <c r="B1509" s="10" t="s">
        <v>124</v>
      </c>
      <c r="C1509" s="11" t="s">
        <v>125</v>
      </c>
      <c r="D1509" s="10" t="s">
        <v>17</v>
      </c>
      <c r="E1509" s="11" t="s">
        <v>57</v>
      </c>
      <c r="F1509" s="13">
        <v>15.07</v>
      </c>
      <c r="G1509" s="14">
        <v>45207.0</v>
      </c>
      <c r="H1509" s="15">
        <f t="shared" si="1"/>
        <v>8</v>
      </c>
      <c r="I1509" s="16">
        <f t="shared" si="2"/>
        <v>10</v>
      </c>
      <c r="J1509" s="15">
        <f t="shared" si="3"/>
        <v>2023</v>
      </c>
      <c r="K1509" s="16">
        <f>STANDARDIZE(F1509,'estatística'!$C$2,'estatística'!$H$2)</f>
        <v>0.1743479362</v>
      </c>
    </row>
    <row r="1510" ht="15.75" customHeight="1">
      <c r="A1510" s="9">
        <v>34.0</v>
      </c>
      <c r="B1510" s="10" t="s">
        <v>149</v>
      </c>
      <c r="C1510" s="11" t="s">
        <v>150</v>
      </c>
      <c r="D1510" s="10" t="s">
        <v>13</v>
      </c>
      <c r="E1510" s="11" t="s">
        <v>18</v>
      </c>
      <c r="F1510" s="13">
        <v>48.85</v>
      </c>
      <c r="G1510" s="14">
        <v>45207.0</v>
      </c>
      <c r="H1510" s="15">
        <f t="shared" si="1"/>
        <v>8</v>
      </c>
      <c r="I1510" s="16">
        <f t="shared" si="2"/>
        <v>10</v>
      </c>
      <c r="J1510" s="15">
        <f t="shared" si="3"/>
        <v>2023</v>
      </c>
      <c r="K1510" s="16">
        <f>STANDARDIZE(F1510,'estatística'!$C$2,'estatística'!$H$2)</f>
        <v>0.6020511522</v>
      </c>
    </row>
    <row r="1511" ht="15.75" customHeight="1">
      <c r="A1511" s="9">
        <v>50.0</v>
      </c>
      <c r="B1511" s="10" t="s">
        <v>19</v>
      </c>
      <c r="C1511" s="11" t="s">
        <v>20</v>
      </c>
      <c r="D1511" s="10" t="s">
        <v>17</v>
      </c>
      <c r="E1511" s="11" t="s">
        <v>80</v>
      </c>
      <c r="F1511" s="13">
        <v>36.61</v>
      </c>
      <c r="G1511" s="14">
        <v>45208.0</v>
      </c>
      <c r="H1511" s="15">
        <f t="shared" si="1"/>
        <v>9</v>
      </c>
      <c r="I1511" s="16">
        <f t="shared" si="2"/>
        <v>10</v>
      </c>
      <c r="J1511" s="15">
        <f t="shared" si="3"/>
        <v>2023</v>
      </c>
      <c r="K1511" s="16">
        <f>STANDARDIZE(F1511,'estatística'!$C$2,'estatística'!$H$2)</f>
        <v>0.4470752089</v>
      </c>
    </row>
    <row r="1512" ht="15.75" customHeight="1">
      <c r="A1512" s="9">
        <v>62.0</v>
      </c>
      <c r="B1512" s="10" t="s">
        <v>128</v>
      </c>
      <c r="C1512" s="11" t="s">
        <v>129</v>
      </c>
      <c r="D1512" s="10" t="s">
        <v>13</v>
      </c>
      <c r="E1512" s="11" t="s">
        <v>68</v>
      </c>
      <c r="F1512" s="13">
        <v>11.7</v>
      </c>
      <c r="G1512" s="14">
        <v>45208.0</v>
      </c>
      <c r="H1512" s="15">
        <f t="shared" si="1"/>
        <v>9</v>
      </c>
      <c r="I1512" s="16">
        <f t="shared" si="2"/>
        <v>10</v>
      </c>
      <c r="J1512" s="15">
        <f t="shared" si="3"/>
        <v>2023</v>
      </c>
      <c r="K1512" s="16">
        <f>STANDARDIZE(F1512,'estatística'!$C$2,'estatística'!$H$2)</f>
        <v>0.1316789061</v>
      </c>
    </row>
    <row r="1513" ht="15.75" customHeight="1">
      <c r="A1513" s="9">
        <v>19.0</v>
      </c>
      <c r="B1513" s="10" t="s">
        <v>25</v>
      </c>
      <c r="C1513" s="11" t="s">
        <v>165</v>
      </c>
      <c r="D1513" s="10" t="s">
        <v>17</v>
      </c>
      <c r="E1513" s="11" t="s">
        <v>33</v>
      </c>
      <c r="F1513" s="13">
        <v>58.94</v>
      </c>
      <c r="G1513" s="14">
        <v>45208.0</v>
      </c>
      <c r="H1513" s="15">
        <f t="shared" si="1"/>
        <v>9</v>
      </c>
      <c r="I1513" s="16">
        <f t="shared" si="2"/>
        <v>10</v>
      </c>
      <c r="J1513" s="15">
        <f t="shared" si="3"/>
        <v>2023</v>
      </c>
      <c r="K1513" s="16">
        <f>STANDARDIZE(F1513,'estatística'!$C$2,'estatística'!$H$2)</f>
        <v>0.7298050139</v>
      </c>
    </row>
    <row r="1514" ht="15.75" customHeight="1">
      <c r="A1514" s="9">
        <v>4.0</v>
      </c>
      <c r="B1514" s="10" t="s">
        <v>87</v>
      </c>
      <c r="C1514" s="11" t="s">
        <v>88</v>
      </c>
      <c r="D1514" s="10" t="s">
        <v>13</v>
      </c>
      <c r="E1514" s="11" t="s">
        <v>68</v>
      </c>
      <c r="F1514" s="13">
        <v>10.56</v>
      </c>
      <c r="G1514" s="14">
        <v>45208.0</v>
      </c>
      <c r="H1514" s="15">
        <f t="shared" si="1"/>
        <v>9</v>
      </c>
      <c r="I1514" s="16">
        <f t="shared" si="2"/>
        <v>10</v>
      </c>
      <c r="J1514" s="15">
        <f t="shared" si="3"/>
        <v>2023</v>
      </c>
      <c r="K1514" s="16">
        <f>STANDARDIZE(F1514,'estatística'!$C$2,'estatística'!$H$2)</f>
        <v>0.1172448721</v>
      </c>
    </row>
    <row r="1515" ht="15.75" customHeight="1">
      <c r="A1515" s="9">
        <v>77.0</v>
      </c>
      <c r="B1515" s="10" t="s">
        <v>11</v>
      </c>
      <c r="C1515" s="11" t="s">
        <v>141</v>
      </c>
      <c r="D1515" s="10" t="s">
        <v>13</v>
      </c>
      <c r="E1515" s="11" t="s">
        <v>29</v>
      </c>
      <c r="F1515" s="13">
        <v>14.21</v>
      </c>
      <c r="G1515" s="14">
        <v>45208.0</v>
      </c>
      <c r="H1515" s="15">
        <f t="shared" si="1"/>
        <v>9</v>
      </c>
      <c r="I1515" s="16">
        <f t="shared" si="2"/>
        <v>10</v>
      </c>
      <c r="J1515" s="15">
        <f t="shared" si="3"/>
        <v>2023</v>
      </c>
      <c r="K1515" s="16">
        <f>STANDARDIZE(F1515,'estatística'!$C$2,'estatística'!$H$2)</f>
        <v>0.1634591036</v>
      </c>
    </row>
    <row r="1516" ht="15.75" customHeight="1">
      <c r="A1516" s="9">
        <v>76.0</v>
      </c>
      <c r="B1516" s="10" t="s">
        <v>185</v>
      </c>
      <c r="C1516" s="11" t="s">
        <v>186</v>
      </c>
      <c r="D1516" s="10" t="s">
        <v>13</v>
      </c>
      <c r="E1516" s="11" t="s">
        <v>32</v>
      </c>
      <c r="F1516" s="13">
        <v>34.16</v>
      </c>
      <c r="G1516" s="14">
        <v>45209.0</v>
      </c>
      <c r="H1516" s="15">
        <f t="shared" si="1"/>
        <v>10</v>
      </c>
      <c r="I1516" s="16">
        <f t="shared" si="2"/>
        <v>10</v>
      </c>
      <c r="J1516" s="15">
        <f t="shared" si="3"/>
        <v>2023</v>
      </c>
      <c r="K1516" s="16">
        <f>STANDARDIZE(F1516,'estatística'!$C$2,'estatística'!$H$2)</f>
        <v>0.4160546974</v>
      </c>
    </row>
    <row r="1517" ht="15.75" customHeight="1">
      <c r="A1517" s="9">
        <v>77.0</v>
      </c>
      <c r="B1517" s="10" t="s">
        <v>11</v>
      </c>
      <c r="C1517" s="11" t="s">
        <v>141</v>
      </c>
      <c r="D1517" s="10" t="s">
        <v>13</v>
      </c>
      <c r="E1517" s="11" t="s">
        <v>39</v>
      </c>
      <c r="F1517" s="13">
        <v>47.91</v>
      </c>
      <c r="G1517" s="14">
        <v>45209.0</v>
      </c>
      <c r="H1517" s="15">
        <f t="shared" si="1"/>
        <v>10</v>
      </c>
      <c r="I1517" s="16">
        <f t="shared" si="2"/>
        <v>10</v>
      </c>
      <c r="J1517" s="15">
        <f t="shared" si="3"/>
        <v>2023</v>
      </c>
      <c r="K1517" s="16">
        <f>STANDARDIZE(F1517,'estatística'!$C$2,'estatística'!$H$2)</f>
        <v>0.5901494049</v>
      </c>
    </row>
    <row r="1518" ht="15.75" customHeight="1">
      <c r="A1518" s="9">
        <v>14.0</v>
      </c>
      <c r="B1518" s="10" t="s">
        <v>143</v>
      </c>
      <c r="C1518" s="11" t="s">
        <v>144</v>
      </c>
      <c r="D1518" s="10" t="s">
        <v>17</v>
      </c>
      <c r="E1518" s="11" t="s">
        <v>77</v>
      </c>
      <c r="F1518" s="13">
        <v>16.37</v>
      </c>
      <c r="G1518" s="14">
        <v>45209.0</v>
      </c>
      <c r="H1518" s="15">
        <f t="shared" si="1"/>
        <v>10</v>
      </c>
      <c r="I1518" s="16">
        <f t="shared" si="2"/>
        <v>10</v>
      </c>
      <c r="J1518" s="15">
        <f t="shared" si="3"/>
        <v>2023</v>
      </c>
      <c r="K1518" s="16">
        <f>STANDARDIZE(F1518,'estatística'!$C$2,'estatística'!$H$2)</f>
        <v>0.1908077994</v>
      </c>
    </row>
    <row r="1519" ht="15.75" customHeight="1">
      <c r="A1519" s="9">
        <v>92.0</v>
      </c>
      <c r="B1519" s="10" t="s">
        <v>81</v>
      </c>
      <c r="C1519" s="11" t="s">
        <v>169</v>
      </c>
      <c r="D1519" s="10" t="s">
        <v>13</v>
      </c>
      <c r="E1519" s="11" t="s">
        <v>24</v>
      </c>
      <c r="F1519" s="13">
        <v>38.65</v>
      </c>
      <c r="G1519" s="14">
        <v>45209.0</v>
      </c>
      <c r="H1519" s="15">
        <f t="shared" si="1"/>
        <v>10</v>
      </c>
      <c r="I1519" s="16">
        <f t="shared" si="2"/>
        <v>10</v>
      </c>
      <c r="J1519" s="15">
        <f t="shared" si="3"/>
        <v>2023</v>
      </c>
      <c r="K1519" s="16">
        <f>STANDARDIZE(F1519,'estatística'!$C$2,'estatística'!$H$2)</f>
        <v>0.4729045328</v>
      </c>
    </row>
    <row r="1520" ht="15.75" customHeight="1">
      <c r="A1520" s="9">
        <v>26.0</v>
      </c>
      <c r="B1520" s="10" t="s">
        <v>183</v>
      </c>
      <c r="C1520" s="11" t="s">
        <v>184</v>
      </c>
      <c r="D1520" s="10" t="s">
        <v>17</v>
      </c>
      <c r="E1520" s="11" t="s">
        <v>29</v>
      </c>
      <c r="F1520" s="13">
        <v>14.13</v>
      </c>
      <c r="G1520" s="14">
        <v>45209.0</v>
      </c>
      <c r="H1520" s="15">
        <f t="shared" si="1"/>
        <v>10</v>
      </c>
      <c r="I1520" s="16">
        <f t="shared" si="2"/>
        <v>10</v>
      </c>
      <c r="J1520" s="15">
        <f t="shared" si="3"/>
        <v>2023</v>
      </c>
      <c r="K1520" s="16">
        <f>STANDARDIZE(F1520,'estatística'!$C$2,'estatística'!$H$2)</f>
        <v>0.1624461889</v>
      </c>
    </row>
    <row r="1521" ht="15.75" customHeight="1">
      <c r="A1521" s="9">
        <v>87.0</v>
      </c>
      <c r="B1521" s="10" t="s">
        <v>215</v>
      </c>
      <c r="C1521" s="11" t="s">
        <v>216</v>
      </c>
      <c r="D1521" s="10" t="s">
        <v>17</v>
      </c>
      <c r="E1521" s="11" t="s">
        <v>24</v>
      </c>
      <c r="F1521" s="13">
        <v>22.02</v>
      </c>
      <c r="G1521" s="14">
        <v>45210.0</v>
      </c>
      <c r="H1521" s="15">
        <f t="shared" si="1"/>
        <v>11</v>
      </c>
      <c r="I1521" s="16">
        <f t="shared" si="2"/>
        <v>10</v>
      </c>
      <c r="J1521" s="15">
        <f t="shared" si="3"/>
        <v>2023</v>
      </c>
      <c r="K1521" s="16">
        <f>STANDARDIZE(F1521,'estatística'!$C$2,'estatística'!$H$2)</f>
        <v>0.2623448974</v>
      </c>
    </row>
    <row r="1522" ht="15.75" customHeight="1">
      <c r="A1522" s="9">
        <v>70.0</v>
      </c>
      <c r="B1522" s="10" t="s">
        <v>124</v>
      </c>
      <c r="C1522" s="11" t="s">
        <v>125</v>
      </c>
      <c r="D1522" s="10" t="s">
        <v>17</v>
      </c>
      <c r="E1522" s="11" t="s">
        <v>32</v>
      </c>
      <c r="F1522" s="13">
        <v>28.17</v>
      </c>
      <c r="G1522" s="14">
        <v>45210.0</v>
      </c>
      <c r="H1522" s="15">
        <f t="shared" si="1"/>
        <v>11</v>
      </c>
      <c r="I1522" s="16">
        <f t="shared" si="2"/>
        <v>10</v>
      </c>
      <c r="J1522" s="15">
        <f t="shared" si="3"/>
        <v>2023</v>
      </c>
      <c r="K1522" s="16">
        <f>STANDARDIZE(F1522,'estatística'!$C$2,'estatística'!$H$2)</f>
        <v>0.3402127121</v>
      </c>
    </row>
    <row r="1523" ht="15.75" customHeight="1">
      <c r="A1523" s="9">
        <v>11.0</v>
      </c>
      <c r="B1523" s="10" t="s">
        <v>199</v>
      </c>
      <c r="C1523" s="11" t="s">
        <v>200</v>
      </c>
      <c r="D1523" s="10" t="s">
        <v>13</v>
      </c>
      <c r="E1523" s="11" t="s">
        <v>24</v>
      </c>
      <c r="F1523" s="13">
        <v>18.22</v>
      </c>
      <c r="G1523" s="14">
        <v>45210.0</v>
      </c>
      <c r="H1523" s="15">
        <f t="shared" si="1"/>
        <v>11</v>
      </c>
      <c r="I1523" s="16">
        <f t="shared" si="2"/>
        <v>10</v>
      </c>
      <c r="J1523" s="15">
        <f t="shared" si="3"/>
        <v>2023</v>
      </c>
      <c r="K1523" s="16">
        <f>STANDARDIZE(F1523,'estatística'!$C$2,'estatística'!$H$2)</f>
        <v>0.214231451</v>
      </c>
    </row>
    <row r="1524" ht="15.75" customHeight="1">
      <c r="A1524" s="9">
        <v>87.0</v>
      </c>
      <c r="B1524" s="10" t="s">
        <v>215</v>
      </c>
      <c r="C1524" s="11" t="s">
        <v>216</v>
      </c>
      <c r="D1524" s="10" t="s">
        <v>17</v>
      </c>
      <c r="E1524" s="11" t="s">
        <v>18</v>
      </c>
      <c r="F1524" s="13">
        <v>54.78</v>
      </c>
      <c r="G1524" s="14">
        <v>45211.0</v>
      </c>
      <c r="H1524" s="15">
        <f t="shared" si="1"/>
        <v>12</v>
      </c>
      <c r="I1524" s="16">
        <f t="shared" si="2"/>
        <v>10</v>
      </c>
      <c r="J1524" s="15">
        <f t="shared" si="3"/>
        <v>2023</v>
      </c>
      <c r="K1524" s="16">
        <f>STANDARDIZE(F1524,'estatística'!$C$2,'estatística'!$H$2)</f>
        <v>0.6771334515</v>
      </c>
    </row>
    <row r="1525" ht="15.75" customHeight="1">
      <c r="A1525" s="9">
        <v>6.0</v>
      </c>
      <c r="B1525" s="10" t="s">
        <v>155</v>
      </c>
      <c r="C1525" s="11" t="s">
        <v>156</v>
      </c>
      <c r="D1525" s="10" t="s">
        <v>13</v>
      </c>
      <c r="E1525" s="11" t="s">
        <v>36</v>
      </c>
      <c r="F1525" s="13">
        <v>69.22</v>
      </c>
      <c r="G1525" s="14">
        <v>45211.0</v>
      </c>
      <c r="H1525" s="15">
        <f t="shared" si="1"/>
        <v>12</v>
      </c>
      <c r="I1525" s="16">
        <f t="shared" si="2"/>
        <v>10</v>
      </c>
      <c r="J1525" s="15">
        <f t="shared" si="3"/>
        <v>2023</v>
      </c>
      <c r="K1525" s="16">
        <f>STANDARDIZE(F1525,'estatística'!$C$2,'estatística'!$H$2)</f>
        <v>0.859964548</v>
      </c>
    </row>
    <row r="1526" ht="15.75" customHeight="1">
      <c r="A1526" s="9">
        <v>38.0</v>
      </c>
      <c r="B1526" s="10" t="s">
        <v>85</v>
      </c>
      <c r="C1526" s="11" t="s">
        <v>86</v>
      </c>
      <c r="D1526" s="10" t="s">
        <v>13</v>
      </c>
      <c r="E1526" s="11" t="s">
        <v>91</v>
      </c>
      <c r="F1526" s="13">
        <v>2.57</v>
      </c>
      <c r="G1526" s="14">
        <v>45211.0</v>
      </c>
      <c r="H1526" s="15">
        <f t="shared" si="1"/>
        <v>12</v>
      </c>
      <c r="I1526" s="16">
        <f t="shared" si="2"/>
        <v>10</v>
      </c>
      <c r="J1526" s="15">
        <f t="shared" si="3"/>
        <v>2023</v>
      </c>
      <c r="K1526" s="16">
        <f>STANDARDIZE(F1526,'estatística'!$C$2,'estatística'!$H$2)</f>
        <v>0.01608002026</v>
      </c>
    </row>
    <row r="1527" ht="15.75" customHeight="1">
      <c r="A1527" s="9">
        <v>73.0</v>
      </c>
      <c r="B1527" s="10" t="s">
        <v>195</v>
      </c>
      <c r="C1527" s="11" t="s">
        <v>196</v>
      </c>
      <c r="D1527" s="10" t="s">
        <v>17</v>
      </c>
      <c r="E1527" s="11" t="s">
        <v>14</v>
      </c>
      <c r="F1527" s="13">
        <v>10.16</v>
      </c>
      <c r="G1527" s="14">
        <v>45211.0</v>
      </c>
      <c r="H1527" s="15">
        <f t="shared" si="1"/>
        <v>12</v>
      </c>
      <c r="I1527" s="16">
        <f t="shared" si="2"/>
        <v>10</v>
      </c>
      <c r="J1527" s="15">
        <f t="shared" si="3"/>
        <v>2023</v>
      </c>
      <c r="K1527" s="16">
        <f>STANDARDIZE(F1527,'estatística'!$C$2,'estatística'!$H$2)</f>
        <v>0.1121802988</v>
      </c>
    </row>
    <row r="1528" ht="15.75" customHeight="1">
      <c r="A1528" s="9">
        <v>11.0</v>
      </c>
      <c r="B1528" s="10" t="s">
        <v>199</v>
      </c>
      <c r="C1528" s="11" t="s">
        <v>200</v>
      </c>
      <c r="D1528" s="10" t="s">
        <v>17</v>
      </c>
      <c r="E1528" s="11" t="s">
        <v>91</v>
      </c>
      <c r="F1528" s="13">
        <v>1.84</v>
      </c>
      <c r="G1528" s="14">
        <v>45211.0</v>
      </c>
      <c r="H1528" s="15">
        <f t="shared" si="1"/>
        <v>12</v>
      </c>
      <c r="I1528" s="16">
        <f t="shared" si="2"/>
        <v>10</v>
      </c>
      <c r="J1528" s="15">
        <f t="shared" si="3"/>
        <v>2023</v>
      </c>
      <c r="K1528" s="16">
        <f>STANDARDIZE(F1528,'estatística'!$C$2,'estatística'!$H$2)</f>
        <v>0.006837173968</v>
      </c>
    </row>
    <row r="1529" ht="15.75" customHeight="1">
      <c r="A1529" s="9">
        <v>47.0</v>
      </c>
      <c r="B1529" s="10" t="s">
        <v>89</v>
      </c>
      <c r="C1529" s="11" t="s">
        <v>90</v>
      </c>
      <c r="D1529" s="10" t="s">
        <v>13</v>
      </c>
      <c r="E1529" s="11" t="s">
        <v>77</v>
      </c>
      <c r="F1529" s="13">
        <v>15.2</v>
      </c>
      <c r="G1529" s="14">
        <v>45211.0</v>
      </c>
      <c r="H1529" s="15">
        <f t="shared" si="1"/>
        <v>12</v>
      </c>
      <c r="I1529" s="16">
        <f t="shared" si="2"/>
        <v>10</v>
      </c>
      <c r="J1529" s="15">
        <f t="shared" si="3"/>
        <v>2023</v>
      </c>
      <c r="K1529" s="16">
        <f>STANDARDIZE(F1529,'estatística'!$C$2,'estatística'!$H$2)</f>
        <v>0.1759939225</v>
      </c>
    </row>
    <row r="1530" ht="15.75" customHeight="1">
      <c r="A1530" s="9">
        <v>98.0</v>
      </c>
      <c r="B1530" s="10" t="s">
        <v>131</v>
      </c>
      <c r="C1530" s="11" t="s">
        <v>168</v>
      </c>
      <c r="D1530" s="10" t="s">
        <v>13</v>
      </c>
      <c r="E1530" s="11" t="s">
        <v>27</v>
      </c>
      <c r="F1530" s="13">
        <v>17.91</v>
      </c>
      <c r="G1530" s="14">
        <v>45211.0</v>
      </c>
      <c r="H1530" s="15">
        <f t="shared" si="1"/>
        <v>12</v>
      </c>
      <c r="I1530" s="16">
        <f t="shared" si="2"/>
        <v>10</v>
      </c>
      <c r="J1530" s="15">
        <f t="shared" si="3"/>
        <v>2023</v>
      </c>
      <c r="K1530" s="16">
        <f>STANDARDIZE(F1530,'estatística'!$C$2,'estatística'!$H$2)</f>
        <v>0.2103064067</v>
      </c>
    </row>
    <row r="1531" ht="15.75" customHeight="1">
      <c r="A1531" s="9">
        <v>90.0</v>
      </c>
      <c r="B1531" s="10" t="s">
        <v>191</v>
      </c>
      <c r="C1531" s="11" t="s">
        <v>192</v>
      </c>
      <c r="D1531" s="10" t="s">
        <v>17</v>
      </c>
      <c r="E1531" s="11" t="s">
        <v>21</v>
      </c>
      <c r="F1531" s="13">
        <v>15.09</v>
      </c>
      <c r="G1531" s="14">
        <v>45211.0</v>
      </c>
      <c r="H1531" s="15">
        <f t="shared" si="1"/>
        <v>12</v>
      </c>
      <c r="I1531" s="16">
        <f t="shared" si="2"/>
        <v>10</v>
      </c>
      <c r="J1531" s="15">
        <f t="shared" si="3"/>
        <v>2023</v>
      </c>
      <c r="K1531" s="16">
        <f>STANDARDIZE(F1531,'estatística'!$C$2,'estatística'!$H$2)</f>
        <v>0.1746011649</v>
      </c>
    </row>
    <row r="1532" ht="15.75" customHeight="1">
      <c r="A1532" s="9">
        <v>52.0</v>
      </c>
      <c r="B1532" s="10" t="s">
        <v>153</v>
      </c>
      <c r="C1532" s="11" t="s">
        <v>154</v>
      </c>
      <c r="D1532" s="10" t="s">
        <v>13</v>
      </c>
      <c r="E1532" s="11" t="s">
        <v>80</v>
      </c>
      <c r="F1532" s="13">
        <v>41.14</v>
      </c>
      <c r="G1532" s="14">
        <v>45212.0</v>
      </c>
      <c r="H1532" s="15">
        <f t="shared" si="1"/>
        <v>13</v>
      </c>
      <c r="I1532" s="16">
        <f t="shared" si="2"/>
        <v>10</v>
      </c>
      <c r="J1532" s="15">
        <f t="shared" si="3"/>
        <v>2023</v>
      </c>
      <c r="K1532" s="16">
        <f>STANDARDIZE(F1532,'estatística'!$C$2,'estatística'!$H$2)</f>
        <v>0.5044315016</v>
      </c>
    </row>
    <row r="1533" ht="15.75" customHeight="1">
      <c r="A1533" s="9">
        <v>18.0</v>
      </c>
      <c r="B1533" s="10" t="s">
        <v>135</v>
      </c>
      <c r="C1533" s="11" t="s">
        <v>212</v>
      </c>
      <c r="D1533" s="10" t="s">
        <v>17</v>
      </c>
      <c r="E1533" s="11" t="s">
        <v>33</v>
      </c>
      <c r="F1533" s="13">
        <v>66.92</v>
      </c>
      <c r="G1533" s="14">
        <v>45212.0</v>
      </c>
      <c r="H1533" s="15">
        <f t="shared" si="1"/>
        <v>13</v>
      </c>
      <c r="I1533" s="16">
        <f t="shared" si="2"/>
        <v>10</v>
      </c>
      <c r="J1533" s="15">
        <f t="shared" si="3"/>
        <v>2023</v>
      </c>
      <c r="K1533" s="16">
        <f>STANDARDIZE(F1533,'estatística'!$C$2,'estatística'!$H$2)</f>
        <v>0.8308432515</v>
      </c>
    </row>
    <row r="1534" ht="15.75" customHeight="1">
      <c r="A1534" s="9">
        <v>9.0</v>
      </c>
      <c r="B1534" s="10" t="s">
        <v>179</v>
      </c>
      <c r="C1534" s="11" t="s">
        <v>180</v>
      </c>
      <c r="D1534" s="10" t="s">
        <v>13</v>
      </c>
      <c r="E1534" s="11" t="s">
        <v>116</v>
      </c>
      <c r="F1534" s="13">
        <v>2.52</v>
      </c>
      <c r="G1534" s="14">
        <v>45212.0</v>
      </c>
      <c r="H1534" s="15">
        <f t="shared" si="1"/>
        <v>13</v>
      </c>
      <c r="I1534" s="16">
        <f t="shared" si="2"/>
        <v>10</v>
      </c>
      <c r="J1534" s="15">
        <f t="shared" si="3"/>
        <v>2023</v>
      </c>
      <c r="K1534" s="16">
        <f>STANDARDIZE(F1534,'estatística'!$C$2,'estatística'!$H$2)</f>
        <v>0.01544694859</v>
      </c>
    </row>
    <row r="1535" ht="15.75" customHeight="1">
      <c r="A1535" s="9">
        <v>56.0</v>
      </c>
      <c r="B1535" s="10" t="s">
        <v>97</v>
      </c>
      <c r="C1535" s="11" t="s">
        <v>98</v>
      </c>
      <c r="D1535" s="10" t="s">
        <v>17</v>
      </c>
      <c r="E1535" s="11" t="s">
        <v>77</v>
      </c>
      <c r="F1535" s="13">
        <v>15.74</v>
      </c>
      <c r="G1535" s="14">
        <v>45212.0</v>
      </c>
      <c r="H1535" s="15">
        <f t="shared" si="1"/>
        <v>13</v>
      </c>
      <c r="I1535" s="16">
        <f t="shared" si="2"/>
        <v>10</v>
      </c>
      <c r="J1535" s="15">
        <f t="shared" si="3"/>
        <v>2023</v>
      </c>
      <c r="K1535" s="16">
        <f>STANDARDIZE(F1535,'estatística'!$C$2,'estatística'!$H$2)</f>
        <v>0.1828310965</v>
      </c>
    </row>
    <row r="1536" ht="15.75" customHeight="1">
      <c r="A1536" s="9">
        <v>90.0</v>
      </c>
      <c r="B1536" s="10" t="s">
        <v>191</v>
      </c>
      <c r="C1536" s="11" t="s">
        <v>192</v>
      </c>
      <c r="D1536" s="10" t="s">
        <v>17</v>
      </c>
      <c r="E1536" s="11" t="s">
        <v>21</v>
      </c>
      <c r="F1536" s="13">
        <v>14.32</v>
      </c>
      <c r="G1536" s="14">
        <v>45212.0</v>
      </c>
      <c r="H1536" s="15">
        <f t="shared" si="1"/>
        <v>13</v>
      </c>
      <c r="I1536" s="16">
        <f t="shared" si="2"/>
        <v>10</v>
      </c>
      <c r="J1536" s="15">
        <f t="shared" si="3"/>
        <v>2023</v>
      </c>
      <c r="K1536" s="16">
        <f>STANDARDIZE(F1536,'estatística'!$C$2,'estatística'!$H$2)</f>
        <v>0.1648518612</v>
      </c>
    </row>
    <row r="1537" ht="15.75" customHeight="1">
      <c r="A1537" s="9">
        <v>10.0</v>
      </c>
      <c r="B1537" s="10" t="s">
        <v>120</v>
      </c>
      <c r="C1537" s="11" t="s">
        <v>121</v>
      </c>
      <c r="D1537" s="10" t="s">
        <v>13</v>
      </c>
      <c r="E1537" s="11" t="s">
        <v>80</v>
      </c>
      <c r="F1537" s="13">
        <v>34.34</v>
      </c>
      <c r="G1537" s="14">
        <v>45213.0</v>
      </c>
      <c r="H1537" s="15">
        <f t="shared" si="1"/>
        <v>14</v>
      </c>
      <c r="I1537" s="16">
        <f t="shared" si="2"/>
        <v>10</v>
      </c>
      <c r="J1537" s="15">
        <f t="shared" si="3"/>
        <v>2023</v>
      </c>
      <c r="K1537" s="16">
        <f>STANDARDIZE(F1537,'estatística'!$C$2,'estatística'!$H$2)</f>
        <v>0.4183337554</v>
      </c>
    </row>
    <row r="1538" ht="15.75" customHeight="1">
      <c r="A1538" s="9">
        <v>69.0</v>
      </c>
      <c r="B1538" s="10" t="s">
        <v>75</v>
      </c>
      <c r="C1538" s="11" t="s">
        <v>117</v>
      </c>
      <c r="D1538" s="10" t="s">
        <v>13</v>
      </c>
      <c r="E1538" s="11" t="s">
        <v>91</v>
      </c>
      <c r="F1538" s="13">
        <v>2.45</v>
      </c>
      <c r="G1538" s="14">
        <v>45213.0</v>
      </c>
      <c r="H1538" s="15">
        <f t="shared" si="1"/>
        <v>14</v>
      </c>
      <c r="I1538" s="16">
        <f t="shared" si="2"/>
        <v>10</v>
      </c>
      <c r="J1538" s="15">
        <f t="shared" si="3"/>
        <v>2023</v>
      </c>
      <c r="K1538" s="16">
        <f>STANDARDIZE(F1538,'estatística'!$C$2,'estatística'!$H$2)</f>
        <v>0.01456064827</v>
      </c>
    </row>
    <row r="1539" ht="15.75" customHeight="1">
      <c r="A1539" s="9">
        <v>86.0</v>
      </c>
      <c r="B1539" s="10" t="s">
        <v>40</v>
      </c>
      <c r="C1539" s="11" t="s">
        <v>41</v>
      </c>
      <c r="D1539" s="10" t="s">
        <v>17</v>
      </c>
      <c r="E1539" s="11" t="s">
        <v>33</v>
      </c>
      <c r="F1539" s="13">
        <v>63.88</v>
      </c>
      <c r="G1539" s="14">
        <v>45213.0</v>
      </c>
      <c r="H1539" s="15">
        <f t="shared" si="1"/>
        <v>14</v>
      </c>
      <c r="I1539" s="16">
        <f t="shared" si="2"/>
        <v>10</v>
      </c>
      <c r="J1539" s="15">
        <f t="shared" si="3"/>
        <v>2023</v>
      </c>
      <c r="K1539" s="16">
        <f>STANDARDIZE(F1539,'estatística'!$C$2,'estatística'!$H$2)</f>
        <v>0.7923524943</v>
      </c>
    </row>
    <row r="1540" ht="15.75" customHeight="1">
      <c r="A1540" s="9">
        <v>39.0</v>
      </c>
      <c r="B1540" s="10" t="s">
        <v>58</v>
      </c>
      <c r="C1540" s="11" t="s">
        <v>59</v>
      </c>
      <c r="D1540" s="10" t="s">
        <v>17</v>
      </c>
      <c r="E1540" s="11" t="s">
        <v>116</v>
      </c>
      <c r="F1540" s="13">
        <v>3.03</v>
      </c>
      <c r="G1540" s="14">
        <v>45213.0</v>
      </c>
      <c r="H1540" s="15">
        <f t="shared" si="1"/>
        <v>14</v>
      </c>
      <c r="I1540" s="16">
        <f t="shared" si="2"/>
        <v>10</v>
      </c>
      <c r="J1540" s="15">
        <f t="shared" si="3"/>
        <v>2023</v>
      </c>
      <c r="K1540" s="16">
        <f>STANDARDIZE(F1540,'estatística'!$C$2,'estatística'!$H$2)</f>
        <v>0.02190427956</v>
      </c>
    </row>
    <row r="1541" ht="15.75" customHeight="1">
      <c r="A1541" s="9">
        <v>40.0</v>
      </c>
      <c r="B1541" s="10" t="s">
        <v>92</v>
      </c>
      <c r="C1541" s="11" t="s">
        <v>157</v>
      </c>
      <c r="D1541" s="10" t="s">
        <v>13</v>
      </c>
      <c r="E1541" s="11" t="s">
        <v>32</v>
      </c>
      <c r="F1541" s="13">
        <v>32.55</v>
      </c>
      <c r="G1541" s="14">
        <v>45213.0</v>
      </c>
      <c r="H1541" s="15">
        <f t="shared" si="1"/>
        <v>14</v>
      </c>
      <c r="I1541" s="16">
        <f t="shared" si="2"/>
        <v>10</v>
      </c>
      <c r="J1541" s="15">
        <f t="shared" si="3"/>
        <v>2023</v>
      </c>
      <c r="K1541" s="16">
        <f>STANDARDIZE(F1541,'estatística'!$C$2,'estatística'!$H$2)</f>
        <v>0.3956697898</v>
      </c>
    </row>
    <row r="1542" ht="15.75" customHeight="1">
      <c r="A1542" s="9">
        <v>64.0</v>
      </c>
      <c r="B1542" s="10" t="s">
        <v>131</v>
      </c>
      <c r="C1542" s="11" t="s">
        <v>132</v>
      </c>
      <c r="D1542" s="10" t="s">
        <v>13</v>
      </c>
      <c r="E1542" s="11" t="s">
        <v>14</v>
      </c>
      <c r="F1542" s="13">
        <v>10.64</v>
      </c>
      <c r="G1542" s="14">
        <v>45213.0</v>
      </c>
      <c r="H1542" s="15">
        <f t="shared" si="1"/>
        <v>14</v>
      </c>
      <c r="I1542" s="16">
        <f t="shared" si="2"/>
        <v>10</v>
      </c>
      <c r="J1542" s="15">
        <f t="shared" si="3"/>
        <v>2023</v>
      </c>
      <c r="K1542" s="16">
        <f>STANDARDIZE(F1542,'estatística'!$C$2,'estatística'!$H$2)</f>
        <v>0.1182577868</v>
      </c>
    </row>
    <row r="1543" ht="15.75" customHeight="1">
      <c r="A1543" s="9">
        <v>7.0</v>
      </c>
      <c r="B1543" s="10" t="s">
        <v>83</v>
      </c>
      <c r="C1543" s="11" t="s">
        <v>84</v>
      </c>
      <c r="D1543" s="10" t="s">
        <v>13</v>
      </c>
      <c r="E1543" s="11" t="s">
        <v>107</v>
      </c>
      <c r="F1543" s="13">
        <v>25.59</v>
      </c>
      <c r="G1543" s="14">
        <v>45213.0</v>
      </c>
      <c r="H1543" s="15">
        <f t="shared" si="1"/>
        <v>14</v>
      </c>
      <c r="I1543" s="16">
        <f t="shared" si="2"/>
        <v>10</v>
      </c>
      <c r="J1543" s="15">
        <f t="shared" si="3"/>
        <v>2023</v>
      </c>
      <c r="K1543" s="16">
        <f>STANDARDIZE(F1543,'estatística'!$C$2,'estatística'!$H$2)</f>
        <v>0.3075462142</v>
      </c>
    </row>
    <row r="1544" ht="15.75" customHeight="1">
      <c r="A1544" s="9">
        <v>88.0</v>
      </c>
      <c r="B1544" s="10" t="s">
        <v>172</v>
      </c>
      <c r="C1544" s="11" t="s">
        <v>178</v>
      </c>
      <c r="D1544" s="10" t="s">
        <v>13</v>
      </c>
      <c r="E1544" s="11" t="s">
        <v>91</v>
      </c>
      <c r="F1544" s="13">
        <v>2.7</v>
      </c>
      <c r="G1544" s="14">
        <v>45214.0</v>
      </c>
      <c r="H1544" s="15">
        <f t="shared" si="1"/>
        <v>15</v>
      </c>
      <c r="I1544" s="16">
        <f t="shared" si="2"/>
        <v>10</v>
      </c>
      <c r="J1544" s="15">
        <f t="shared" si="3"/>
        <v>2023</v>
      </c>
      <c r="K1544" s="16">
        <f>STANDARDIZE(F1544,'estatística'!$C$2,'estatística'!$H$2)</f>
        <v>0.01772600658</v>
      </c>
    </row>
    <row r="1545" ht="15.75" customHeight="1">
      <c r="A1545" s="9">
        <v>86.0</v>
      </c>
      <c r="B1545" s="10" t="s">
        <v>40</v>
      </c>
      <c r="C1545" s="11" t="s">
        <v>41</v>
      </c>
      <c r="D1545" s="10" t="s">
        <v>13</v>
      </c>
      <c r="E1545" s="11" t="s">
        <v>77</v>
      </c>
      <c r="F1545" s="13">
        <v>14.13</v>
      </c>
      <c r="G1545" s="14">
        <v>45214.0</v>
      </c>
      <c r="H1545" s="15">
        <f t="shared" si="1"/>
        <v>15</v>
      </c>
      <c r="I1545" s="16">
        <f t="shared" si="2"/>
        <v>10</v>
      </c>
      <c r="J1545" s="15">
        <f t="shared" si="3"/>
        <v>2023</v>
      </c>
      <c r="K1545" s="16">
        <f>STANDARDIZE(F1545,'estatística'!$C$2,'estatística'!$H$2)</f>
        <v>0.1624461889</v>
      </c>
    </row>
    <row r="1546" ht="15.75" customHeight="1">
      <c r="A1546" s="9">
        <v>60.0</v>
      </c>
      <c r="B1546" s="10" t="s">
        <v>42</v>
      </c>
      <c r="C1546" s="11" t="s">
        <v>43</v>
      </c>
      <c r="D1546" s="10" t="s">
        <v>17</v>
      </c>
      <c r="E1546" s="11" t="s">
        <v>14</v>
      </c>
      <c r="F1546" s="13">
        <v>10.51</v>
      </c>
      <c r="G1546" s="14">
        <v>45214.0</v>
      </c>
      <c r="H1546" s="15">
        <f t="shared" si="1"/>
        <v>15</v>
      </c>
      <c r="I1546" s="16">
        <f t="shared" si="2"/>
        <v>10</v>
      </c>
      <c r="J1546" s="15">
        <f t="shared" si="3"/>
        <v>2023</v>
      </c>
      <c r="K1546" s="16">
        <f>STANDARDIZE(F1546,'estatística'!$C$2,'estatística'!$H$2)</f>
        <v>0.1166118005</v>
      </c>
    </row>
    <row r="1547" ht="15.75" customHeight="1">
      <c r="A1547" s="9">
        <v>74.0</v>
      </c>
      <c r="B1547" s="10" t="s">
        <v>11</v>
      </c>
      <c r="C1547" s="11" t="s">
        <v>94</v>
      </c>
      <c r="D1547" s="10" t="s">
        <v>17</v>
      </c>
      <c r="E1547" s="11" t="s">
        <v>107</v>
      </c>
      <c r="F1547" s="13">
        <v>29.44</v>
      </c>
      <c r="G1547" s="14">
        <v>45214.0</v>
      </c>
      <c r="H1547" s="15">
        <f t="shared" si="1"/>
        <v>15</v>
      </c>
      <c r="I1547" s="16">
        <f t="shared" si="2"/>
        <v>10</v>
      </c>
      <c r="J1547" s="15">
        <f t="shared" si="3"/>
        <v>2023</v>
      </c>
      <c r="K1547" s="16">
        <f>STANDARDIZE(F1547,'estatística'!$C$2,'estatística'!$H$2)</f>
        <v>0.3562927323</v>
      </c>
    </row>
    <row r="1548" ht="15.75" customHeight="1">
      <c r="A1548" s="9">
        <v>3.0</v>
      </c>
      <c r="B1548" s="10" t="s">
        <v>51</v>
      </c>
      <c r="C1548" s="11" t="s">
        <v>52</v>
      </c>
      <c r="D1548" s="10" t="s">
        <v>17</v>
      </c>
      <c r="E1548" s="11" t="s">
        <v>36</v>
      </c>
      <c r="F1548" s="13">
        <v>75.56</v>
      </c>
      <c r="G1548" s="14">
        <v>45214.0</v>
      </c>
      <c r="H1548" s="15">
        <f t="shared" si="1"/>
        <v>15</v>
      </c>
      <c r="I1548" s="16">
        <f t="shared" si="2"/>
        <v>10</v>
      </c>
      <c r="J1548" s="15">
        <f t="shared" si="3"/>
        <v>2023</v>
      </c>
      <c r="K1548" s="16">
        <f>STANDARDIZE(F1548,'estatística'!$C$2,'estatística'!$H$2)</f>
        <v>0.9402380349</v>
      </c>
    </row>
    <row r="1549" ht="15.75" customHeight="1">
      <c r="A1549" s="9">
        <v>78.0</v>
      </c>
      <c r="B1549" s="10" t="s">
        <v>15</v>
      </c>
      <c r="C1549" s="11" t="s">
        <v>16</v>
      </c>
      <c r="D1549" s="10" t="s">
        <v>13</v>
      </c>
      <c r="E1549" s="11" t="s">
        <v>91</v>
      </c>
      <c r="F1549" s="13">
        <v>2.94</v>
      </c>
      <c r="G1549" s="14">
        <v>45215.0</v>
      </c>
      <c r="H1549" s="15">
        <f t="shared" si="1"/>
        <v>16</v>
      </c>
      <c r="I1549" s="16">
        <f t="shared" si="2"/>
        <v>10</v>
      </c>
      <c r="J1549" s="15">
        <f t="shared" si="3"/>
        <v>2023</v>
      </c>
      <c r="K1549" s="16">
        <f>STANDARDIZE(F1549,'estatística'!$C$2,'estatística'!$H$2)</f>
        <v>0.02076475057</v>
      </c>
    </row>
    <row r="1550" ht="15.75" customHeight="1">
      <c r="A1550" s="9">
        <v>75.0</v>
      </c>
      <c r="B1550" s="10" t="s">
        <v>210</v>
      </c>
      <c r="C1550" s="11" t="s">
        <v>211</v>
      </c>
      <c r="D1550" s="10" t="s">
        <v>13</v>
      </c>
      <c r="E1550" s="11" t="s">
        <v>57</v>
      </c>
      <c r="F1550" s="13">
        <v>16.46</v>
      </c>
      <c r="G1550" s="14">
        <v>45215.0</v>
      </c>
      <c r="H1550" s="15">
        <f t="shared" si="1"/>
        <v>16</v>
      </c>
      <c r="I1550" s="16">
        <f t="shared" si="2"/>
        <v>10</v>
      </c>
      <c r="J1550" s="15">
        <f t="shared" si="3"/>
        <v>2023</v>
      </c>
      <c r="K1550" s="16">
        <f>STANDARDIZE(F1550,'estatística'!$C$2,'estatística'!$H$2)</f>
        <v>0.1919473284</v>
      </c>
    </row>
    <row r="1551" ht="15.75" customHeight="1">
      <c r="A1551" s="9">
        <v>36.0</v>
      </c>
      <c r="B1551" s="10" t="s">
        <v>60</v>
      </c>
      <c r="C1551" s="11" t="s">
        <v>61</v>
      </c>
      <c r="D1551" s="10" t="s">
        <v>17</v>
      </c>
      <c r="E1551" s="11" t="s">
        <v>57</v>
      </c>
      <c r="F1551" s="13">
        <v>15.51</v>
      </c>
      <c r="G1551" s="14">
        <v>45215.0</v>
      </c>
      <c r="H1551" s="15">
        <f t="shared" si="1"/>
        <v>16</v>
      </c>
      <c r="I1551" s="16">
        <f t="shared" si="2"/>
        <v>10</v>
      </c>
      <c r="J1551" s="15">
        <f t="shared" si="3"/>
        <v>2023</v>
      </c>
      <c r="K1551" s="16">
        <f>STANDARDIZE(F1551,'estatística'!$C$2,'estatística'!$H$2)</f>
        <v>0.1799189668</v>
      </c>
    </row>
    <row r="1552" ht="15.75" customHeight="1">
      <c r="A1552" s="9">
        <v>49.0</v>
      </c>
      <c r="B1552" s="10" t="s">
        <v>151</v>
      </c>
      <c r="C1552" s="11" t="s">
        <v>152</v>
      </c>
      <c r="D1552" s="10" t="s">
        <v>13</v>
      </c>
      <c r="E1552" s="11" t="s">
        <v>68</v>
      </c>
      <c r="F1552" s="13">
        <v>11.75</v>
      </c>
      <c r="G1552" s="14">
        <v>45216.0</v>
      </c>
      <c r="H1552" s="15">
        <f t="shared" si="1"/>
        <v>17</v>
      </c>
      <c r="I1552" s="16">
        <f t="shared" si="2"/>
        <v>10</v>
      </c>
      <c r="J1552" s="15">
        <f t="shared" si="3"/>
        <v>2023</v>
      </c>
      <c r="K1552" s="16">
        <f>STANDARDIZE(F1552,'estatística'!$C$2,'estatística'!$H$2)</f>
        <v>0.1323119777</v>
      </c>
    </row>
    <row r="1553" ht="15.75" customHeight="1">
      <c r="A1553" s="9">
        <v>24.0</v>
      </c>
      <c r="B1553" s="10" t="s">
        <v>110</v>
      </c>
      <c r="C1553" s="11" t="s">
        <v>111</v>
      </c>
      <c r="D1553" s="10" t="s">
        <v>17</v>
      </c>
      <c r="E1553" s="11" t="s">
        <v>65</v>
      </c>
      <c r="F1553" s="13">
        <v>36.27</v>
      </c>
      <c r="G1553" s="14">
        <v>45216.0</v>
      </c>
      <c r="H1553" s="15">
        <f t="shared" si="1"/>
        <v>17</v>
      </c>
      <c r="I1553" s="16">
        <f t="shared" si="2"/>
        <v>10</v>
      </c>
      <c r="J1553" s="15">
        <f t="shared" si="3"/>
        <v>2023</v>
      </c>
      <c r="K1553" s="16">
        <f>STANDARDIZE(F1553,'estatística'!$C$2,'estatística'!$H$2)</f>
        <v>0.4427703216</v>
      </c>
    </row>
    <row r="1554" ht="15.75" customHeight="1">
      <c r="A1554" s="9">
        <v>22.0</v>
      </c>
      <c r="B1554" s="10" t="s">
        <v>101</v>
      </c>
      <c r="C1554" s="11" t="s">
        <v>102</v>
      </c>
      <c r="D1554" s="10" t="s">
        <v>13</v>
      </c>
      <c r="E1554" s="11" t="s">
        <v>107</v>
      </c>
      <c r="F1554" s="13">
        <v>31.76</v>
      </c>
      <c r="G1554" s="14">
        <v>45216.0</v>
      </c>
      <c r="H1554" s="15">
        <f t="shared" si="1"/>
        <v>17</v>
      </c>
      <c r="I1554" s="16">
        <f t="shared" si="2"/>
        <v>10</v>
      </c>
      <c r="J1554" s="15">
        <f t="shared" si="3"/>
        <v>2023</v>
      </c>
      <c r="K1554" s="16">
        <f>STANDARDIZE(F1554,'estatística'!$C$2,'estatística'!$H$2)</f>
        <v>0.3856672575</v>
      </c>
    </row>
    <row r="1555" ht="15.75" customHeight="1">
      <c r="A1555" s="9">
        <v>64.0</v>
      </c>
      <c r="B1555" s="10" t="s">
        <v>131</v>
      </c>
      <c r="C1555" s="11" t="s">
        <v>132</v>
      </c>
      <c r="D1555" s="10" t="s">
        <v>13</v>
      </c>
      <c r="E1555" s="11" t="s">
        <v>116</v>
      </c>
      <c r="F1555" s="13">
        <v>2.68</v>
      </c>
      <c r="G1555" s="14">
        <v>45216.0</v>
      </c>
      <c r="H1555" s="15">
        <f t="shared" si="1"/>
        <v>17</v>
      </c>
      <c r="I1555" s="16">
        <f t="shared" si="2"/>
        <v>10</v>
      </c>
      <c r="J1555" s="15">
        <f t="shared" si="3"/>
        <v>2023</v>
      </c>
      <c r="K1555" s="16">
        <f>STANDARDIZE(F1555,'estatística'!$C$2,'estatística'!$H$2)</f>
        <v>0.01747277792</v>
      </c>
    </row>
    <row r="1556" ht="15.75" customHeight="1">
      <c r="A1556" s="9">
        <v>14.0</v>
      </c>
      <c r="B1556" s="10" t="s">
        <v>143</v>
      </c>
      <c r="C1556" s="11" t="s">
        <v>144</v>
      </c>
      <c r="D1556" s="10" t="s">
        <v>13</v>
      </c>
      <c r="E1556" s="11" t="s">
        <v>33</v>
      </c>
      <c r="F1556" s="13">
        <v>49.68</v>
      </c>
      <c r="G1556" s="14">
        <v>45216.0</v>
      </c>
      <c r="H1556" s="15">
        <f t="shared" si="1"/>
        <v>17</v>
      </c>
      <c r="I1556" s="16">
        <f t="shared" si="2"/>
        <v>10</v>
      </c>
      <c r="J1556" s="15">
        <f t="shared" si="3"/>
        <v>2023</v>
      </c>
      <c r="K1556" s="16">
        <f>STANDARDIZE(F1556,'estatística'!$C$2,'estatística'!$H$2)</f>
        <v>0.6125601418</v>
      </c>
    </row>
    <row r="1557" ht="15.75" customHeight="1">
      <c r="A1557" s="9">
        <v>26.0</v>
      </c>
      <c r="B1557" s="10" t="s">
        <v>183</v>
      </c>
      <c r="C1557" s="11" t="s">
        <v>184</v>
      </c>
      <c r="D1557" s="10" t="s">
        <v>17</v>
      </c>
      <c r="E1557" s="11" t="s">
        <v>57</v>
      </c>
      <c r="F1557" s="13">
        <v>23.9</v>
      </c>
      <c r="G1557" s="14">
        <v>45216.0</v>
      </c>
      <c r="H1557" s="15">
        <f t="shared" si="1"/>
        <v>17</v>
      </c>
      <c r="I1557" s="16">
        <f t="shared" si="2"/>
        <v>10</v>
      </c>
      <c r="J1557" s="15">
        <f t="shared" si="3"/>
        <v>2023</v>
      </c>
      <c r="K1557" s="16">
        <f>STANDARDIZE(F1557,'estatística'!$C$2,'estatística'!$H$2)</f>
        <v>0.286148392</v>
      </c>
    </row>
    <row r="1558" ht="15.75" customHeight="1">
      <c r="A1558" s="9">
        <v>67.0</v>
      </c>
      <c r="B1558" s="10" t="s">
        <v>176</v>
      </c>
      <c r="C1558" s="11" t="s">
        <v>177</v>
      </c>
      <c r="D1558" s="10" t="s">
        <v>17</v>
      </c>
      <c r="E1558" s="11" t="s">
        <v>21</v>
      </c>
      <c r="F1558" s="13">
        <v>17.37</v>
      </c>
      <c r="G1558" s="14">
        <v>45216.0</v>
      </c>
      <c r="H1558" s="15">
        <f t="shared" si="1"/>
        <v>17</v>
      </c>
      <c r="I1558" s="16">
        <f t="shared" si="2"/>
        <v>10</v>
      </c>
      <c r="J1558" s="15">
        <f t="shared" si="3"/>
        <v>2023</v>
      </c>
      <c r="K1558" s="16">
        <f>STANDARDIZE(F1558,'estatística'!$C$2,'estatística'!$H$2)</f>
        <v>0.2034692327</v>
      </c>
    </row>
    <row r="1559" ht="15.75" customHeight="1">
      <c r="A1559" s="9">
        <v>84.0</v>
      </c>
      <c r="B1559" s="10" t="s">
        <v>112</v>
      </c>
      <c r="C1559" s="11" t="s">
        <v>113</v>
      </c>
      <c r="D1559" s="10" t="s">
        <v>17</v>
      </c>
      <c r="E1559" s="11" t="s">
        <v>29</v>
      </c>
      <c r="F1559" s="13">
        <v>13.63</v>
      </c>
      <c r="G1559" s="14">
        <v>45216.0</v>
      </c>
      <c r="H1559" s="15">
        <f t="shared" si="1"/>
        <v>17</v>
      </c>
      <c r="I1559" s="16">
        <f t="shared" si="2"/>
        <v>10</v>
      </c>
      <c r="J1559" s="15">
        <f t="shared" si="3"/>
        <v>2023</v>
      </c>
      <c r="K1559" s="16">
        <f>STANDARDIZE(F1559,'estatística'!$C$2,'estatística'!$H$2)</f>
        <v>0.1561154723</v>
      </c>
    </row>
    <row r="1560" ht="15.75" customHeight="1">
      <c r="A1560" s="9">
        <v>13.0</v>
      </c>
      <c r="B1560" s="10" t="s">
        <v>108</v>
      </c>
      <c r="C1560" s="11" t="s">
        <v>109</v>
      </c>
      <c r="D1560" s="10" t="s">
        <v>13</v>
      </c>
      <c r="E1560" s="11" t="s">
        <v>14</v>
      </c>
      <c r="F1560" s="13">
        <v>10.43</v>
      </c>
      <c r="G1560" s="14">
        <v>45216.0</v>
      </c>
      <c r="H1560" s="15">
        <f t="shared" si="1"/>
        <v>17</v>
      </c>
      <c r="I1560" s="16">
        <f t="shared" si="2"/>
        <v>10</v>
      </c>
      <c r="J1560" s="15">
        <f t="shared" si="3"/>
        <v>2023</v>
      </c>
      <c r="K1560" s="16">
        <f>STANDARDIZE(F1560,'estatística'!$C$2,'estatística'!$H$2)</f>
        <v>0.1155988858</v>
      </c>
    </row>
    <row r="1561" ht="15.75" customHeight="1">
      <c r="A1561" s="9">
        <v>53.0</v>
      </c>
      <c r="B1561" s="10" t="s">
        <v>213</v>
      </c>
      <c r="C1561" s="11" t="s">
        <v>214</v>
      </c>
      <c r="D1561" s="10" t="s">
        <v>13</v>
      </c>
      <c r="E1561" s="11" t="s">
        <v>57</v>
      </c>
      <c r="F1561" s="13">
        <v>14.36</v>
      </c>
      <c r="G1561" s="14">
        <v>45216.0</v>
      </c>
      <c r="H1561" s="15">
        <f t="shared" si="1"/>
        <v>17</v>
      </c>
      <c r="I1561" s="16">
        <f t="shared" si="2"/>
        <v>10</v>
      </c>
      <c r="J1561" s="15">
        <f t="shared" si="3"/>
        <v>2023</v>
      </c>
      <c r="K1561" s="16">
        <f>STANDARDIZE(F1561,'estatística'!$C$2,'estatística'!$H$2)</f>
        <v>0.1653583186</v>
      </c>
    </row>
    <row r="1562" ht="15.75" customHeight="1">
      <c r="A1562" s="9">
        <v>56.0</v>
      </c>
      <c r="B1562" s="10" t="s">
        <v>97</v>
      </c>
      <c r="C1562" s="11" t="s">
        <v>98</v>
      </c>
      <c r="D1562" s="10" t="s">
        <v>13</v>
      </c>
      <c r="E1562" s="11" t="s">
        <v>68</v>
      </c>
      <c r="F1562" s="13">
        <v>12.71</v>
      </c>
      <c r="G1562" s="14">
        <v>45217.0</v>
      </c>
      <c r="H1562" s="15">
        <f t="shared" si="1"/>
        <v>18</v>
      </c>
      <c r="I1562" s="16">
        <f t="shared" si="2"/>
        <v>10</v>
      </c>
      <c r="J1562" s="15">
        <f t="shared" si="3"/>
        <v>2023</v>
      </c>
      <c r="K1562" s="16">
        <f>STANDARDIZE(F1562,'estatística'!$C$2,'estatística'!$H$2)</f>
        <v>0.1444669537</v>
      </c>
    </row>
    <row r="1563" ht="15.75" customHeight="1">
      <c r="A1563" s="9">
        <v>69.0</v>
      </c>
      <c r="B1563" s="10" t="s">
        <v>75</v>
      </c>
      <c r="C1563" s="11" t="s">
        <v>117</v>
      </c>
      <c r="D1563" s="10" t="s">
        <v>17</v>
      </c>
      <c r="E1563" s="11" t="s">
        <v>62</v>
      </c>
      <c r="F1563" s="13">
        <v>12.24</v>
      </c>
      <c r="G1563" s="14">
        <v>45217.0</v>
      </c>
      <c r="H1563" s="15">
        <f t="shared" si="1"/>
        <v>18</v>
      </c>
      <c r="I1563" s="16">
        <f t="shared" si="2"/>
        <v>10</v>
      </c>
      <c r="J1563" s="15">
        <f t="shared" si="3"/>
        <v>2023</v>
      </c>
      <c r="K1563" s="16">
        <f>STANDARDIZE(F1563,'estatística'!$C$2,'estatística'!$H$2)</f>
        <v>0.13851608</v>
      </c>
    </row>
    <row r="1564" ht="15.75" customHeight="1">
      <c r="A1564" s="9">
        <v>87.0</v>
      </c>
      <c r="B1564" s="10" t="s">
        <v>215</v>
      </c>
      <c r="C1564" s="11" t="s">
        <v>216</v>
      </c>
      <c r="D1564" s="10" t="s">
        <v>17</v>
      </c>
      <c r="E1564" s="11" t="s">
        <v>62</v>
      </c>
      <c r="F1564" s="13">
        <v>12.32</v>
      </c>
      <c r="G1564" s="14">
        <v>45217.0</v>
      </c>
      <c r="H1564" s="15">
        <f t="shared" si="1"/>
        <v>18</v>
      </c>
      <c r="I1564" s="16">
        <f t="shared" si="2"/>
        <v>10</v>
      </c>
      <c r="J1564" s="15">
        <f t="shared" si="3"/>
        <v>2023</v>
      </c>
      <c r="K1564" s="16">
        <f>STANDARDIZE(F1564,'estatística'!$C$2,'estatística'!$H$2)</f>
        <v>0.1395289947</v>
      </c>
    </row>
    <row r="1565" ht="15.75" customHeight="1">
      <c r="A1565" s="9">
        <v>77.0</v>
      </c>
      <c r="B1565" s="10" t="s">
        <v>11</v>
      </c>
      <c r="C1565" s="11" t="s">
        <v>141</v>
      </c>
      <c r="D1565" s="10" t="s">
        <v>17</v>
      </c>
      <c r="E1565" s="11" t="s">
        <v>91</v>
      </c>
      <c r="F1565" s="13">
        <v>3.05</v>
      </c>
      <c r="G1565" s="14">
        <v>45217.0</v>
      </c>
      <c r="H1565" s="15">
        <f t="shared" si="1"/>
        <v>18</v>
      </c>
      <c r="I1565" s="16">
        <f t="shared" si="2"/>
        <v>10</v>
      </c>
      <c r="J1565" s="15">
        <f t="shared" si="3"/>
        <v>2023</v>
      </c>
      <c r="K1565" s="16">
        <f>STANDARDIZE(F1565,'estatística'!$C$2,'estatística'!$H$2)</f>
        <v>0.02215750823</v>
      </c>
    </row>
    <row r="1566" ht="15.75" customHeight="1">
      <c r="A1566" s="9">
        <v>99.0</v>
      </c>
      <c r="B1566" s="10" t="s">
        <v>46</v>
      </c>
      <c r="C1566" s="11" t="s">
        <v>47</v>
      </c>
      <c r="D1566" s="10" t="s">
        <v>17</v>
      </c>
      <c r="E1566" s="11" t="s">
        <v>39</v>
      </c>
      <c r="F1566" s="13">
        <v>52.46</v>
      </c>
      <c r="G1566" s="14">
        <v>45217.0</v>
      </c>
      <c r="H1566" s="15">
        <f t="shared" si="1"/>
        <v>18</v>
      </c>
      <c r="I1566" s="16">
        <f t="shared" si="2"/>
        <v>10</v>
      </c>
      <c r="J1566" s="15">
        <f t="shared" si="3"/>
        <v>2023</v>
      </c>
      <c r="K1566" s="16">
        <f>STANDARDIZE(F1566,'estatística'!$C$2,'estatística'!$H$2)</f>
        <v>0.6477589263</v>
      </c>
    </row>
    <row r="1567" ht="15.75" customHeight="1">
      <c r="A1567" s="9">
        <v>81.0</v>
      </c>
      <c r="B1567" s="10" t="s">
        <v>34</v>
      </c>
      <c r="C1567" s="11" t="s">
        <v>35</v>
      </c>
      <c r="D1567" s="10" t="s">
        <v>13</v>
      </c>
      <c r="E1567" s="11" t="s">
        <v>14</v>
      </c>
      <c r="F1567" s="13">
        <v>10.31</v>
      </c>
      <c r="G1567" s="14">
        <v>45217.0</v>
      </c>
      <c r="H1567" s="15">
        <f t="shared" si="1"/>
        <v>18</v>
      </c>
      <c r="I1567" s="16">
        <f t="shared" si="2"/>
        <v>10</v>
      </c>
      <c r="J1567" s="15">
        <f t="shared" si="3"/>
        <v>2023</v>
      </c>
      <c r="K1567" s="16">
        <f>STANDARDIZE(F1567,'estatística'!$C$2,'estatística'!$H$2)</f>
        <v>0.1140795138</v>
      </c>
    </row>
    <row r="1568" ht="15.75" customHeight="1">
      <c r="A1568" s="9">
        <v>81.0</v>
      </c>
      <c r="B1568" s="10" t="s">
        <v>34</v>
      </c>
      <c r="C1568" s="11" t="s">
        <v>35</v>
      </c>
      <c r="D1568" s="10" t="s">
        <v>17</v>
      </c>
      <c r="E1568" s="11" t="s">
        <v>91</v>
      </c>
      <c r="F1568" s="13">
        <v>4.14</v>
      </c>
      <c r="G1568" s="14">
        <v>45217.0</v>
      </c>
      <c r="H1568" s="15">
        <f t="shared" si="1"/>
        <v>18</v>
      </c>
      <c r="I1568" s="16">
        <f t="shared" si="2"/>
        <v>10</v>
      </c>
      <c r="J1568" s="15">
        <f t="shared" si="3"/>
        <v>2023</v>
      </c>
      <c r="K1568" s="16">
        <f>STANDARDIZE(F1568,'estatística'!$C$2,'estatística'!$H$2)</f>
        <v>0.0359584705</v>
      </c>
    </row>
    <row r="1569" ht="15.75" customHeight="1">
      <c r="A1569" s="9">
        <v>37.0</v>
      </c>
      <c r="B1569" s="10" t="s">
        <v>217</v>
      </c>
      <c r="C1569" s="11" t="s">
        <v>218</v>
      </c>
      <c r="D1569" s="10" t="s">
        <v>17</v>
      </c>
      <c r="E1569" s="11" t="s">
        <v>116</v>
      </c>
      <c r="F1569" s="13">
        <v>3.73</v>
      </c>
      <c r="G1569" s="14">
        <v>45217.0</v>
      </c>
      <c r="H1569" s="15">
        <f t="shared" si="1"/>
        <v>18</v>
      </c>
      <c r="I1569" s="16">
        <f t="shared" si="2"/>
        <v>10</v>
      </c>
      <c r="J1569" s="15">
        <f t="shared" si="3"/>
        <v>2023</v>
      </c>
      <c r="K1569" s="16">
        <f>STANDARDIZE(F1569,'estatística'!$C$2,'estatística'!$H$2)</f>
        <v>0.03076728286</v>
      </c>
    </row>
    <row r="1570" ht="15.75" customHeight="1">
      <c r="A1570" s="9">
        <v>25.0</v>
      </c>
      <c r="B1570" s="10" t="s">
        <v>126</v>
      </c>
      <c r="C1570" s="11" t="s">
        <v>127</v>
      </c>
      <c r="D1570" s="10" t="s">
        <v>17</v>
      </c>
      <c r="E1570" s="11" t="s">
        <v>33</v>
      </c>
      <c r="F1570" s="13">
        <v>59.43</v>
      </c>
      <c r="G1570" s="14">
        <v>45218.0</v>
      </c>
      <c r="H1570" s="15">
        <f t="shared" si="1"/>
        <v>19</v>
      </c>
      <c r="I1570" s="16">
        <f t="shared" si="2"/>
        <v>10</v>
      </c>
      <c r="J1570" s="15">
        <f t="shared" si="3"/>
        <v>2023</v>
      </c>
      <c r="K1570" s="16">
        <f>STANDARDIZE(F1570,'estatística'!$C$2,'estatística'!$H$2)</f>
        <v>0.7360091162</v>
      </c>
    </row>
    <row r="1571" ht="15.75" customHeight="1">
      <c r="A1571" s="9">
        <v>88.0</v>
      </c>
      <c r="B1571" s="10" t="s">
        <v>172</v>
      </c>
      <c r="C1571" s="11" t="s">
        <v>178</v>
      </c>
      <c r="D1571" s="10" t="s">
        <v>13</v>
      </c>
      <c r="E1571" s="11" t="s">
        <v>32</v>
      </c>
      <c r="F1571" s="13">
        <v>33.85</v>
      </c>
      <c r="G1571" s="14">
        <v>45218.0</v>
      </c>
      <c r="H1571" s="15">
        <f t="shared" si="1"/>
        <v>19</v>
      </c>
      <c r="I1571" s="16">
        <f t="shared" si="2"/>
        <v>10</v>
      </c>
      <c r="J1571" s="15">
        <f t="shared" si="3"/>
        <v>2023</v>
      </c>
      <c r="K1571" s="16">
        <f>STANDARDIZE(F1571,'estatística'!$C$2,'estatística'!$H$2)</f>
        <v>0.4121296531</v>
      </c>
    </row>
    <row r="1572" ht="15.75" customHeight="1">
      <c r="A1572" s="9">
        <v>6.0</v>
      </c>
      <c r="B1572" s="10" t="s">
        <v>155</v>
      </c>
      <c r="C1572" s="11" t="s">
        <v>156</v>
      </c>
      <c r="D1572" s="10" t="s">
        <v>17</v>
      </c>
      <c r="E1572" s="11" t="s">
        <v>14</v>
      </c>
      <c r="F1572" s="13">
        <v>10.39</v>
      </c>
      <c r="G1572" s="14">
        <v>45218.0</v>
      </c>
      <c r="H1572" s="15">
        <f t="shared" si="1"/>
        <v>19</v>
      </c>
      <c r="I1572" s="16">
        <f t="shared" si="2"/>
        <v>10</v>
      </c>
      <c r="J1572" s="15">
        <f t="shared" si="3"/>
        <v>2023</v>
      </c>
      <c r="K1572" s="16">
        <f>STANDARDIZE(F1572,'estatística'!$C$2,'estatística'!$H$2)</f>
        <v>0.1150924285</v>
      </c>
    </row>
    <row r="1573" ht="15.75" customHeight="1">
      <c r="A1573" s="9">
        <v>40.0</v>
      </c>
      <c r="B1573" s="10" t="s">
        <v>92</v>
      </c>
      <c r="C1573" s="11" t="s">
        <v>157</v>
      </c>
      <c r="D1573" s="10" t="s">
        <v>13</v>
      </c>
      <c r="E1573" s="11" t="s">
        <v>77</v>
      </c>
      <c r="F1573" s="13">
        <v>12.86</v>
      </c>
      <c r="G1573" s="14">
        <v>45218.0</v>
      </c>
      <c r="H1573" s="15">
        <f t="shared" si="1"/>
        <v>19</v>
      </c>
      <c r="I1573" s="16">
        <f t="shared" si="2"/>
        <v>10</v>
      </c>
      <c r="J1573" s="15">
        <f t="shared" si="3"/>
        <v>2023</v>
      </c>
      <c r="K1573" s="16">
        <f>STANDARDIZE(F1573,'estatística'!$C$2,'estatística'!$H$2)</f>
        <v>0.1463661687</v>
      </c>
    </row>
    <row r="1574" ht="15.75" customHeight="1">
      <c r="A1574" s="9">
        <v>23.0</v>
      </c>
      <c r="B1574" s="10" t="s">
        <v>207</v>
      </c>
      <c r="C1574" s="11" t="s">
        <v>208</v>
      </c>
      <c r="D1574" s="10" t="s">
        <v>17</v>
      </c>
      <c r="E1574" s="11" t="s">
        <v>116</v>
      </c>
      <c r="F1574" s="13">
        <v>4.08</v>
      </c>
      <c r="G1574" s="14">
        <v>45219.0</v>
      </c>
      <c r="H1574" s="15">
        <f t="shared" si="1"/>
        <v>20</v>
      </c>
      <c r="I1574" s="16">
        <f t="shared" si="2"/>
        <v>10</v>
      </c>
      <c r="J1574" s="15">
        <f t="shared" si="3"/>
        <v>2023</v>
      </c>
      <c r="K1574" s="16">
        <f>STANDARDIZE(F1574,'estatística'!$C$2,'estatística'!$H$2)</f>
        <v>0.0351987845</v>
      </c>
    </row>
    <row r="1575" ht="15.75" customHeight="1">
      <c r="A1575" s="9">
        <v>22.0</v>
      </c>
      <c r="B1575" s="10" t="s">
        <v>101</v>
      </c>
      <c r="C1575" s="11" t="s">
        <v>102</v>
      </c>
      <c r="D1575" s="10" t="s">
        <v>13</v>
      </c>
      <c r="E1575" s="11" t="s">
        <v>68</v>
      </c>
      <c r="F1575" s="13">
        <v>13.05</v>
      </c>
      <c r="G1575" s="14">
        <v>45219.0</v>
      </c>
      <c r="H1575" s="15">
        <f t="shared" si="1"/>
        <v>20</v>
      </c>
      <c r="I1575" s="16">
        <f t="shared" si="2"/>
        <v>10</v>
      </c>
      <c r="J1575" s="15">
        <f t="shared" si="3"/>
        <v>2023</v>
      </c>
      <c r="K1575" s="16">
        <f>STANDARDIZE(F1575,'estatística'!$C$2,'estatística'!$H$2)</f>
        <v>0.148771841</v>
      </c>
    </row>
    <row r="1576" ht="15.75" customHeight="1">
      <c r="A1576" s="9">
        <v>27.0</v>
      </c>
      <c r="B1576" s="10" t="s">
        <v>145</v>
      </c>
      <c r="C1576" s="11" t="s">
        <v>146</v>
      </c>
      <c r="D1576" s="10" t="s">
        <v>13</v>
      </c>
      <c r="E1576" s="11" t="s">
        <v>65</v>
      </c>
      <c r="F1576" s="13">
        <v>37.75</v>
      </c>
      <c r="G1576" s="14">
        <v>45219.0</v>
      </c>
      <c r="H1576" s="15">
        <f t="shared" si="1"/>
        <v>20</v>
      </c>
      <c r="I1576" s="16">
        <f t="shared" si="2"/>
        <v>10</v>
      </c>
      <c r="J1576" s="15">
        <f t="shared" si="3"/>
        <v>2023</v>
      </c>
      <c r="K1576" s="16">
        <f>STANDARDIZE(F1576,'estatística'!$C$2,'estatística'!$H$2)</f>
        <v>0.4615092428</v>
      </c>
    </row>
    <row r="1577" ht="15.75" customHeight="1">
      <c r="A1577" s="9">
        <v>86.0</v>
      </c>
      <c r="B1577" s="10" t="s">
        <v>40</v>
      </c>
      <c r="C1577" s="11" t="s">
        <v>41</v>
      </c>
      <c r="D1577" s="10" t="s">
        <v>17</v>
      </c>
      <c r="E1577" s="11" t="s">
        <v>29</v>
      </c>
      <c r="F1577" s="13">
        <v>12.91</v>
      </c>
      <c r="G1577" s="14">
        <v>45219.0</v>
      </c>
      <c r="H1577" s="15">
        <f t="shared" si="1"/>
        <v>20</v>
      </c>
      <c r="I1577" s="16">
        <f t="shared" si="2"/>
        <v>10</v>
      </c>
      <c r="J1577" s="15">
        <f t="shared" si="3"/>
        <v>2023</v>
      </c>
      <c r="K1577" s="16">
        <f>STANDARDIZE(F1577,'estatística'!$C$2,'estatística'!$H$2)</f>
        <v>0.1469992403</v>
      </c>
    </row>
    <row r="1578" ht="15.75" customHeight="1">
      <c r="A1578" s="9">
        <v>100.0</v>
      </c>
      <c r="B1578" s="10" t="s">
        <v>30</v>
      </c>
      <c r="C1578" s="11" t="s">
        <v>31</v>
      </c>
      <c r="D1578" s="10" t="s">
        <v>13</v>
      </c>
      <c r="E1578" s="11" t="s">
        <v>21</v>
      </c>
      <c r="F1578" s="13">
        <v>20.88</v>
      </c>
      <c r="G1578" s="14">
        <v>45219.0</v>
      </c>
      <c r="H1578" s="15">
        <f t="shared" si="1"/>
        <v>20</v>
      </c>
      <c r="I1578" s="16">
        <f t="shared" si="2"/>
        <v>10</v>
      </c>
      <c r="J1578" s="15">
        <f t="shared" si="3"/>
        <v>2023</v>
      </c>
      <c r="K1578" s="16">
        <f>STANDARDIZE(F1578,'estatística'!$C$2,'estatística'!$H$2)</f>
        <v>0.2479108635</v>
      </c>
    </row>
    <row r="1579" ht="15.75" customHeight="1">
      <c r="A1579" s="9">
        <v>56.0</v>
      </c>
      <c r="B1579" s="10" t="s">
        <v>97</v>
      </c>
      <c r="C1579" s="11" t="s">
        <v>98</v>
      </c>
      <c r="D1579" s="10" t="s">
        <v>13</v>
      </c>
      <c r="E1579" s="11" t="s">
        <v>65</v>
      </c>
      <c r="F1579" s="13">
        <v>36.0</v>
      </c>
      <c r="G1579" s="14">
        <v>45219.0</v>
      </c>
      <c r="H1579" s="15">
        <f t="shared" si="1"/>
        <v>20</v>
      </c>
      <c r="I1579" s="16">
        <f t="shared" si="2"/>
        <v>10</v>
      </c>
      <c r="J1579" s="15">
        <f t="shared" si="3"/>
        <v>2023</v>
      </c>
      <c r="K1579" s="16">
        <f>STANDARDIZE(F1579,'estatística'!$C$2,'estatística'!$H$2)</f>
        <v>0.4393517346</v>
      </c>
    </row>
    <row r="1580" ht="15.75" customHeight="1">
      <c r="A1580" s="9">
        <v>80.0</v>
      </c>
      <c r="B1580" s="10" t="s">
        <v>22</v>
      </c>
      <c r="C1580" s="11" t="s">
        <v>23</v>
      </c>
      <c r="D1580" s="10" t="s">
        <v>17</v>
      </c>
      <c r="E1580" s="11" t="s">
        <v>48</v>
      </c>
      <c r="F1580" s="13">
        <v>7.97</v>
      </c>
      <c r="G1580" s="14">
        <v>45219.0</v>
      </c>
      <c r="H1580" s="15">
        <f t="shared" si="1"/>
        <v>20</v>
      </c>
      <c r="I1580" s="16">
        <f t="shared" si="2"/>
        <v>10</v>
      </c>
      <c r="J1580" s="15">
        <f t="shared" si="3"/>
        <v>2023</v>
      </c>
      <c r="K1580" s="16">
        <f>STANDARDIZE(F1580,'estatística'!$C$2,'estatística'!$H$2)</f>
        <v>0.08445175994</v>
      </c>
    </row>
    <row r="1581" ht="15.75" customHeight="1">
      <c r="A1581" s="9">
        <v>42.0</v>
      </c>
      <c r="B1581" s="10" t="s">
        <v>60</v>
      </c>
      <c r="C1581" s="11" t="s">
        <v>142</v>
      </c>
      <c r="D1581" s="10" t="s">
        <v>17</v>
      </c>
      <c r="E1581" s="11" t="s">
        <v>27</v>
      </c>
      <c r="F1581" s="13">
        <v>13.81</v>
      </c>
      <c r="G1581" s="14">
        <v>45219.0</v>
      </c>
      <c r="H1581" s="15">
        <f t="shared" si="1"/>
        <v>20</v>
      </c>
      <c r="I1581" s="16">
        <f t="shared" si="2"/>
        <v>10</v>
      </c>
      <c r="J1581" s="15">
        <f t="shared" si="3"/>
        <v>2023</v>
      </c>
      <c r="K1581" s="16">
        <f>STANDARDIZE(F1581,'estatística'!$C$2,'estatística'!$H$2)</f>
        <v>0.1583945303</v>
      </c>
    </row>
    <row r="1582" ht="15.75" customHeight="1">
      <c r="A1582" s="9">
        <v>56.0</v>
      </c>
      <c r="B1582" s="10" t="s">
        <v>97</v>
      </c>
      <c r="C1582" s="11" t="s">
        <v>98</v>
      </c>
      <c r="D1582" s="10" t="s">
        <v>17</v>
      </c>
      <c r="E1582" s="11" t="s">
        <v>21</v>
      </c>
      <c r="F1582" s="13">
        <v>16.08</v>
      </c>
      <c r="G1582" s="14">
        <v>45220.0</v>
      </c>
      <c r="H1582" s="15">
        <f t="shared" si="1"/>
        <v>21</v>
      </c>
      <c r="I1582" s="16">
        <f t="shared" si="2"/>
        <v>10</v>
      </c>
      <c r="J1582" s="15">
        <f t="shared" si="3"/>
        <v>2023</v>
      </c>
      <c r="K1582" s="16">
        <f>STANDARDIZE(F1582,'estatística'!$C$2,'estatística'!$H$2)</f>
        <v>0.1871359838</v>
      </c>
    </row>
    <row r="1583" ht="15.75" customHeight="1">
      <c r="A1583" s="9">
        <v>64.0</v>
      </c>
      <c r="B1583" s="10" t="s">
        <v>131</v>
      </c>
      <c r="C1583" s="11" t="s">
        <v>132</v>
      </c>
      <c r="D1583" s="10" t="s">
        <v>13</v>
      </c>
      <c r="E1583" s="11" t="s">
        <v>29</v>
      </c>
      <c r="F1583" s="13">
        <v>11.86</v>
      </c>
      <c r="G1583" s="14">
        <v>45220.0</v>
      </c>
      <c r="H1583" s="15">
        <f t="shared" si="1"/>
        <v>21</v>
      </c>
      <c r="I1583" s="16">
        <f t="shared" si="2"/>
        <v>10</v>
      </c>
      <c r="J1583" s="15">
        <f t="shared" si="3"/>
        <v>2023</v>
      </c>
      <c r="K1583" s="16">
        <f>STANDARDIZE(F1583,'estatística'!$C$2,'estatística'!$H$2)</f>
        <v>0.1337047354</v>
      </c>
    </row>
    <row r="1584" ht="15.75" customHeight="1">
      <c r="A1584" s="9">
        <v>65.0</v>
      </c>
      <c r="B1584" s="10" t="s">
        <v>181</v>
      </c>
      <c r="C1584" s="11" t="s">
        <v>182</v>
      </c>
      <c r="D1584" s="10" t="s">
        <v>13</v>
      </c>
      <c r="E1584" s="11" t="s">
        <v>36</v>
      </c>
      <c r="F1584" s="13">
        <v>61.61</v>
      </c>
      <c r="G1584" s="14">
        <v>45220.0</v>
      </c>
      <c r="H1584" s="15">
        <f t="shared" si="1"/>
        <v>21</v>
      </c>
      <c r="I1584" s="16">
        <f t="shared" si="2"/>
        <v>10</v>
      </c>
      <c r="J1584" s="15">
        <f t="shared" si="3"/>
        <v>2023</v>
      </c>
      <c r="K1584" s="16">
        <f>STANDARDIZE(F1584,'estatística'!$C$2,'estatística'!$H$2)</f>
        <v>0.7636110408</v>
      </c>
    </row>
    <row r="1585" ht="15.75" customHeight="1">
      <c r="A1585" s="9">
        <v>45.0</v>
      </c>
      <c r="B1585" s="10" t="s">
        <v>193</v>
      </c>
      <c r="C1585" s="11" t="s">
        <v>194</v>
      </c>
      <c r="D1585" s="10" t="s">
        <v>17</v>
      </c>
      <c r="E1585" s="11" t="s">
        <v>107</v>
      </c>
      <c r="F1585" s="13">
        <v>31.66</v>
      </c>
      <c r="G1585" s="14">
        <v>45220.0</v>
      </c>
      <c r="H1585" s="15">
        <f t="shared" si="1"/>
        <v>21</v>
      </c>
      <c r="I1585" s="16">
        <f t="shared" si="2"/>
        <v>10</v>
      </c>
      <c r="J1585" s="15">
        <f t="shared" si="3"/>
        <v>2023</v>
      </c>
      <c r="K1585" s="16">
        <f>STANDARDIZE(F1585,'estatística'!$C$2,'estatística'!$H$2)</f>
        <v>0.3844011142</v>
      </c>
    </row>
    <row r="1586" ht="15.75" customHeight="1">
      <c r="A1586" s="9">
        <v>52.0</v>
      </c>
      <c r="B1586" s="10" t="s">
        <v>153</v>
      </c>
      <c r="C1586" s="11" t="s">
        <v>154</v>
      </c>
      <c r="D1586" s="10" t="s">
        <v>17</v>
      </c>
      <c r="E1586" s="11" t="s">
        <v>24</v>
      </c>
      <c r="F1586" s="13">
        <v>35.31</v>
      </c>
      <c r="G1586" s="14">
        <v>45220.0</v>
      </c>
      <c r="H1586" s="15">
        <f t="shared" si="1"/>
        <v>21</v>
      </c>
      <c r="I1586" s="16">
        <f t="shared" si="2"/>
        <v>10</v>
      </c>
      <c r="J1586" s="15">
        <f t="shared" si="3"/>
        <v>2023</v>
      </c>
      <c r="K1586" s="16">
        <f>STANDARDIZE(F1586,'estatística'!$C$2,'estatística'!$H$2)</f>
        <v>0.4306153457</v>
      </c>
    </row>
    <row r="1587" ht="15.75" customHeight="1">
      <c r="A1587" s="9">
        <v>25.0</v>
      </c>
      <c r="B1587" s="10" t="s">
        <v>126</v>
      </c>
      <c r="C1587" s="11" t="s">
        <v>127</v>
      </c>
      <c r="D1587" s="10" t="s">
        <v>13</v>
      </c>
      <c r="E1587" s="11" t="s">
        <v>62</v>
      </c>
      <c r="F1587" s="13">
        <v>11.7</v>
      </c>
      <c r="G1587" s="14">
        <v>45220.0</v>
      </c>
      <c r="H1587" s="15">
        <f t="shared" si="1"/>
        <v>21</v>
      </c>
      <c r="I1587" s="16">
        <f t="shared" si="2"/>
        <v>10</v>
      </c>
      <c r="J1587" s="15">
        <f t="shared" si="3"/>
        <v>2023</v>
      </c>
      <c r="K1587" s="16">
        <f>STANDARDIZE(F1587,'estatística'!$C$2,'estatística'!$H$2)</f>
        <v>0.1316789061</v>
      </c>
    </row>
    <row r="1588" ht="15.75" customHeight="1">
      <c r="A1588" s="9">
        <v>89.0</v>
      </c>
      <c r="B1588" s="10" t="s">
        <v>105</v>
      </c>
      <c r="C1588" s="11" t="s">
        <v>106</v>
      </c>
      <c r="D1588" s="10" t="s">
        <v>13</v>
      </c>
      <c r="E1588" s="11" t="s">
        <v>33</v>
      </c>
      <c r="F1588" s="13">
        <v>68.13</v>
      </c>
      <c r="G1588" s="14">
        <v>45221.0</v>
      </c>
      <c r="H1588" s="15">
        <f t="shared" si="1"/>
        <v>22</v>
      </c>
      <c r="I1588" s="16">
        <f t="shared" si="2"/>
        <v>10</v>
      </c>
      <c r="J1588" s="15">
        <f t="shared" si="3"/>
        <v>2023</v>
      </c>
      <c r="K1588" s="16">
        <f>STANDARDIZE(F1588,'estatística'!$C$2,'estatística'!$H$2)</f>
        <v>0.8461635857</v>
      </c>
    </row>
    <row r="1589" ht="15.75" customHeight="1">
      <c r="A1589" s="9">
        <v>1.0</v>
      </c>
      <c r="B1589" s="10" t="s">
        <v>166</v>
      </c>
      <c r="C1589" s="11" t="s">
        <v>167</v>
      </c>
      <c r="D1589" s="10" t="s">
        <v>13</v>
      </c>
      <c r="E1589" s="11" t="s">
        <v>48</v>
      </c>
      <c r="F1589" s="13">
        <v>8.87</v>
      </c>
      <c r="G1589" s="14">
        <v>45221.0</v>
      </c>
      <c r="H1589" s="15">
        <f t="shared" si="1"/>
        <v>22</v>
      </c>
      <c r="I1589" s="16">
        <f t="shared" si="2"/>
        <v>10</v>
      </c>
      <c r="J1589" s="15">
        <f t="shared" si="3"/>
        <v>2023</v>
      </c>
      <c r="K1589" s="16">
        <f>STANDARDIZE(F1589,'estatística'!$C$2,'estatística'!$H$2)</f>
        <v>0.09584704989</v>
      </c>
    </row>
    <row r="1590" ht="15.75" customHeight="1">
      <c r="A1590" s="9">
        <v>19.0</v>
      </c>
      <c r="B1590" s="10" t="s">
        <v>25</v>
      </c>
      <c r="C1590" s="11" t="s">
        <v>165</v>
      </c>
      <c r="D1590" s="10" t="s">
        <v>13</v>
      </c>
      <c r="E1590" s="11" t="s">
        <v>77</v>
      </c>
      <c r="F1590" s="13">
        <v>11.86</v>
      </c>
      <c r="G1590" s="14">
        <v>45221.0</v>
      </c>
      <c r="H1590" s="15">
        <f t="shared" si="1"/>
        <v>22</v>
      </c>
      <c r="I1590" s="16">
        <f t="shared" si="2"/>
        <v>10</v>
      </c>
      <c r="J1590" s="15">
        <f t="shared" si="3"/>
        <v>2023</v>
      </c>
      <c r="K1590" s="16">
        <f>STANDARDIZE(F1590,'estatística'!$C$2,'estatística'!$H$2)</f>
        <v>0.1337047354</v>
      </c>
    </row>
    <row r="1591" ht="15.75" customHeight="1">
      <c r="A1591" s="9">
        <v>57.0</v>
      </c>
      <c r="B1591" s="10" t="s">
        <v>60</v>
      </c>
      <c r="C1591" s="11" t="s">
        <v>162</v>
      </c>
      <c r="D1591" s="10" t="s">
        <v>17</v>
      </c>
      <c r="E1591" s="11" t="s">
        <v>77</v>
      </c>
      <c r="F1591" s="13">
        <v>14.77</v>
      </c>
      <c r="G1591" s="14">
        <v>45221.0</v>
      </c>
      <c r="H1591" s="15">
        <f t="shared" si="1"/>
        <v>22</v>
      </c>
      <c r="I1591" s="16">
        <f t="shared" si="2"/>
        <v>10</v>
      </c>
      <c r="J1591" s="15">
        <f t="shared" si="3"/>
        <v>2023</v>
      </c>
      <c r="K1591" s="16">
        <f>STANDARDIZE(F1591,'estatística'!$C$2,'estatística'!$H$2)</f>
        <v>0.1705495062</v>
      </c>
    </row>
    <row r="1592" ht="15.75" customHeight="1">
      <c r="A1592" s="9">
        <v>78.0</v>
      </c>
      <c r="B1592" s="10" t="s">
        <v>15</v>
      </c>
      <c r="C1592" s="11" t="s">
        <v>16</v>
      </c>
      <c r="D1592" s="10" t="s">
        <v>13</v>
      </c>
      <c r="E1592" s="11" t="s">
        <v>14</v>
      </c>
      <c r="F1592" s="13">
        <v>10.88</v>
      </c>
      <c r="G1592" s="14">
        <v>45222.0</v>
      </c>
      <c r="H1592" s="15">
        <f t="shared" si="1"/>
        <v>23</v>
      </c>
      <c r="I1592" s="16">
        <f t="shared" si="2"/>
        <v>10</v>
      </c>
      <c r="J1592" s="15">
        <f t="shared" si="3"/>
        <v>2023</v>
      </c>
      <c r="K1592" s="16">
        <f>STANDARDIZE(F1592,'estatística'!$C$2,'estatística'!$H$2)</f>
        <v>0.1212965308</v>
      </c>
    </row>
    <row r="1593" ht="15.75" customHeight="1">
      <c r="A1593" s="9">
        <v>41.0</v>
      </c>
      <c r="B1593" s="10" t="s">
        <v>189</v>
      </c>
      <c r="C1593" s="11" t="s">
        <v>190</v>
      </c>
      <c r="D1593" s="10" t="s">
        <v>13</v>
      </c>
      <c r="E1593" s="11" t="s">
        <v>80</v>
      </c>
      <c r="F1593" s="13">
        <v>37.78</v>
      </c>
      <c r="G1593" s="14">
        <v>45222.0</v>
      </c>
      <c r="H1593" s="15">
        <f t="shared" si="1"/>
        <v>23</v>
      </c>
      <c r="I1593" s="16">
        <f t="shared" si="2"/>
        <v>10</v>
      </c>
      <c r="J1593" s="15">
        <f t="shared" si="3"/>
        <v>2023</v>
      </c>
      <c r="K1593" s="16">
        <f>STANDARDIZE(F1593,'estatística'!$C$2,'estatística'!$H$2)</f>
        <v>0.4618890858</v>
      </c>
    </row>
    <row r="1594" ht="15.75" customHeight="1">
      <c r="A1594" s="9">
        <v>87.0</v>
      </c>
      <c r="B1594" s="10" t="s">
        <v>215</v>
      </c>
      <c r="C1594" s="11" t="s">
        <v>216</v>
      </c>
      <c r="D1594" s="10" t="s">
        <v>17</v>
      </c>
      <c r="E1594" s="11" t="s">
        <v>77</v>
      </c>
      <c r="F1594" s="13">
        <v>13.91</v>
      </c>
      <c r="G1594" s="14">
        <v>45222.0</v>
      </c>
      <c r="H1594" s="15">
        <f t="shared" si="1"/>
        <v>23</v>
      </c>
      <c r="I1594" s="16">
        <f t="shared" si="2"/>
        <v>10</v>
      </c>
      <c r="J1594" s="15">
        <f t="shared" si="3"/>
        <v>2023</v>
      </c>
      <c r="K1594" s="16">
        <f>STANDARDIZE(F1594,'estatística'!$C$2,'estatística'!$H$2)</f>
        <v>0.1596606736</v>
      </c>
    </row>
    <row r="1595" ht="15.75" customHeight="1">
      <c r="A1595" s="9">
        <v>16.0</v>
      </c>
      <c r="B1595" s="10" t="s">
        <v>147</v>
      </c>
      <c r="C1595" s="11" t="s">
        <v>148</v>
      </c>
      <c r="D1595" s="10" t="s">
        <v>17</v>
      </c>
      <c r="E1595" s="11" t="s">
        <v>57</v>
      </c>
      <c r="F1595" s="13">
        <v>17.66</v>
      </c>
      <c r="G1595" s="14">
        <v>45222.0</v>
      </c>
      <c r="H1595" s="15">
        <f t="shared" si="1"/>
        <v>23</v>
      </c>
      <c r="I1595" s="16">
        <f t="shared" si="2"/>
        <v>10</v>
      </c>
      <c r="J1595" s="15">
        <f t="shared" si="3"/>
        <v>2023</v>
      </c>
      <c r="K1595" s="16">
        <f>STANDARDIZE(F1595,'estatística'!$C$2,'estatística'!$H$2)</f>
        <v>0.2071410484</v>
      </c>
    </row>
    <row r="1596" ht="15.75" customHeight="1">
      <c r="A1596" s="9">
        <v>75.0</v>
      </c>
      <c r="B1596" s="10" t="s">
        <v>210</v>
      </c>
      <c r="C1596" s="11" t="s">
        <v>211</v>
      </c>
      <c r="D1596" s="10" t="s">
        <v>13</v>
      </c>
      <c r="E1596" s="11" t="s">
        <v>80</v>
      </c>
      <c r="F1596" s="13">
        <v>33.32</v>
      </c>
      <c r="G1596" s="14">
        <v>45222.0</v>
      </c>
      <c r="H1596" s="15">
        <f t="shared" si="1"/>
        <v>23</v>
      </c>
      <c r="I1596" s="16">
        <f t="shared" si="2"/>
        <v>10</v>
      </c>
      <c r="J1596" s="15">
        <f t="shared" si="3"/>
        <v>2023</v>
      </c>
      <c r="K1596" s="16">
        <f>STANDARDIZE(F1596,'estatística'!$C$2,'estatística'!$H$2)</f>
        <v>0.4054190934</v>
      </c>
    </row>
    <row r="1597" ht="15.75" customHeight="1">
      <c r="A1597" s="9">
        <v>35.0</v>
      </c>
      <c r="B1597" s="10" t="s">
        <v>95</v>
      </c>
      <c r="C1597" s="11" t="s">
        <v>96</v>
      </c>
      <c r="D1597" s="10" t="s">
        <v>17</v>
      </c>
      <c r="E1597" s="11" t="s">
        <v>68</v>
      </c>
      <c r="F1597" s="13">
        <v>11.02</v>
      </c>
      <c r="G1597" s="14">
        <v>45222.0</v>
      </c>
      <c r="H1597" s="15">
        <f t="shared" si="1"/>
        <v>23</v>
      </c>
      <c r="I1597" s="16">
        <f t="shared" si="2"/>
        <v>10</v>
      </c>
      <c r="J1597" s="15">
        <f t="shared" si="3"/>
        <v>2023</v>
      </c>
      <c r="K1597" s="16">
        <f>STANDARDIZE(F1597,'estatística'!$C$2,'estatística'!$H$2)</f>
        <v>0.1230691314</v>
      </c>
    </row>
    <row r="1598" ht="15.75" customHeight="1">
      <c r="A1598" s="9">
        <v>84.0</v>
      </c>
      <c r="B1598" s="10" t="s">
        <v>112</v>
      </c>
      <c r="C1598" s="11" t="s">
        <v>113</v>
      </c>
      <c r="D1598" s="10" t="s">
        <v>13</v>
      </c>
      <c r="E1598" s="11" t="s">
        <v>36</v>
      </c>
      <c r="F1598" s="13">
        <v>76.78</v>
      </c>
      <c r="G1598" s="14">
        <v>45222.0</v>
      </c>
      <c r="H1598" s="15">
        <f t="shared" si="1"/>
        <v>23</v>
      </c>
      <c r="I1598" s="16">
        <f t="shared" si="2"/>
        <v>10</v>
      </c>
      <c r="J1598" s="15">
        <f t="shared" si="3"/>
        <v>2023</v>
      </c>
      <c r="K1598" s="16">
        <f>STANDARDIZE(F1598,'estatística'!$C$2,'estatística'!$H$2)</f>
        <v>0.9556849835</v>
      </c>
    </row>
    <row r="1599" ht="15.75" customHeight="1">
      <c r="A1599" s="9">
        <v>74.0</v>
      </c>
      <c r="B1599" s="10" t="s">
        <v>11</v>
      </c>
      <c r="C1599" s="11" t="s">
        <v>94</v>
      </c>
      <c r="D1599" s="10" t="s">
        <v>13</v>
      </c>
      <c r="E1599" s="11" t="s">
        <v>33</v>
      </c>
      <c r="F1599" s="13">
        <v>46.23</v>
      </c>
      <c r="G1599" s="14">
        <v>45222.0</v>
      </c>
      <c r="H1599" s="15">
        <f t="shared" si="1"/>
        <v>23</v>
      </c>
      <c r="I1599" s="16">
        <f t="shared" si="2"/>
        <v>10</v>
      </c>
      <c r="J1599" s="15">
        <f t="shared" si="3"/>
        <v>2023</v>
      </c>
      <c r="K1599" s="16">
        <f>STANDARDIZE(F1599,'estatística'!$C$2,'estatística'!$H$2)</f>
        <v>0.568878197</v>
      </c>
    </row>
    <row r="1600" ht="15.75" customHeight="1">
      <c r="A1600" s="9">
        <v>84.0</v>
      </c>
      <c r="B1600" s="10" t="s">
        <v>112</v>
      </c>
      <c r="C1600" s="11" t="s">
        <v>113</v>
      </c>
      <c r="D1600" s="10" t="s">
        <v>13</v>
      </c>
      <c r="E1600" s="11" t="s">
        <v>14</v>
      </c>
      <c r="F1600" s="13">
        <v>10.46</v>
      </c>
      <c r="G1600" s="14">
        <v>45222.0</v>
      </c>
      <c r="H1600" s="15">
        <f t="shared" si="1"/>
        <v>23</v>
      </c>
      <c r="I1600" s="16">
        <f t="shared" si="2"/>
        <v>10</v>
      </c>
      <c r="J1600" s="15">
        <f t="shared" si="3"/>
        <v>2023</v>
      </c>
      <c r="K1600" s="16">
        <f>STANDARDIZE(F1600,'estatística'!$C$2,'estatística'!$H$2)</f>
        <v>0.1159787288</v>
      </c>
    </row>
    <row r="1601" ht="15.75" customHeight="1">
      <c r="A1601" s="9">
        <v>57.0</v>
      </c>
      <c r="B1601" s="10" t="s">
        <v>60</v>
      </c>
      <c r="C1601" s="11" t="s">
        <v>162</v>
      </c>
      <c r="D1601" s="10" t="s">
        <v>13</v>
      </c>
      <c r="E1601" s="11" t="s">
        <v>57</v>
      </c>
      <c r="F1601" s="13">
        <v>16.07</v>
      </c>
      <c r="G1601" s="14">
        <v>45222.0</v>
      </c>
      <c r="H1601" s="15">
        <f t="shared" si="1"/>
        <v>23</v>
      </c>
      <c r="I1601" s="16">
        <f t="shared" si="2"/>
        <v>10</v>
      </c>
      <c r="J1601" s="15">
        <f t="shared" si="3"/>
        <v>2023</v>
      </c>
      <c r="K1601" s="16">
        <f>STANDARDIZE(F1601,'estatística'!$C$2,'estatística'!$H$2)</f>
        <v>0.1870093695</v>
      </c>
    </row>
    <row r="1602" ht="15.75" customHeight="1">
      <c r="A1602" s="9">
        <v>8.0</v>
      </c>
      <c r="B1602" s="10" t="s">
        <v>75</v>
      </c>
      <c r="C1602" s="11" t="s">
        <v>76</v>
      </c>
      <c r="D1602" s="10" t="s">
        <v>17</v>
      </c>
      <c r="E1602" s="11" t="s">
        <v>24</v>
      </c>
      <c r="F1602" s="13">
        <v>22.67</v>
      </c>
      <c r="G1602" s="14">
        <v>45223.0</v>
      </c>
      <c r="H1602" s="15">
        <f t="shared" si="1"/>
        <v>24</v>
      </c>
      <c r="I1602" s="16">
        <f t="shared" si="2"/>
        <v>10</v>
      </c>
      <c r="J1602" s="15">
        <f t="shared" si="3"/>
        <v>2023</v>
      </c>
      <c r="K1602" s="16">
        <f>STANDARDIZE(F1602,'estatística'!$C$2,'estatística'!$H$2)</f>
        <v>0.2705748291</v>
      </c>
    </row>
    <row r="1603" ht="15.75" customHeight="1">
      <c r="A1603" s="9">
        <v>65.0</v>
      </c>
      <c r="B1603" s="10" t="s">
        <v>181</v>
      </c>
      <c r="C1603" s="11" t="s">
        <v>182</v>
      </c>
      <c r="D1603" s="10" t="s">
        <v>13</v>
      </c>
      <c r="E1603" s="11" t="s">
        <v>21</v>
      </c>
      <c r="F1603" s="13">
        <v>15.62</v>
      </c>
      <c r="G1603" s="14">
        <v>45223.0</v>
      </c>
      <c r="H1603" s="15">
        <f t="shared" si="1"/>
        <v>24</v>
      </c>
      <c r="I1603" s="16">
        <f t="shared" si="2"/>
        <v>10</v>
      </c>
      <c r="J1603" s="15">
        <f t="shared" si="3"/>
        <v>2023</v>
      </c>
      <c r="K1603" s="16">
        <f>STANDARDIZE(F1603,'estatística'!$C$2,'estatística'!$H$2)</f>
        <v>0.1813117245</v>
      </c>
    </row>
    <row r="1604" ht="15.75" customHeight="1">
      <c r="A1604" s="9">
        <v>69.0</v>
      </c>
      <c r="B1604" s="10" t="s">
        <v>75</v>
      </c>
      <c r="C1604" s="11" t="s">
        <v>117</v>
      </c>
      <c r="D1604" s="10" t="s">
        <v>17</v>
      </c>
      <c r="E1604" s="11" t="s">
        <v>107</v>
      </c>
      <c r="F1604" s="13">
        <v>29.28</v>
      </c>
      <c r="G1604" s="14">
        <v>45223.0</v>
      </c>
      <c r="H1604" s="15">
        <f t="shared" si="1"/>
        <v>24</v>
      </c>
      <c r="I1604" s="16">
        <f t="shared" si="2"/>
        <v>10</v>
      </c>
      <c r="J1604" s="15">
        <f t="shared" si="3"/>
        <v>2023</v>
      </c>
      <c r="K1604" s="16">
        <f>STANDARDIZE(F1604,'estatística'!$C$2,'estatística'!$H$2)</f>
        <v>0.354266903</v>
      </c>
    </row>
    <row r="1605" ht="15.75" customHeight="1">
      <c r="A1605" s="9">
        <v>77.0</v>
      </c>
      <c r="B1605" s="10" t="s">
        <v>11</v>
      </c>
      <c r="C1605" s="11" t="s">
        <v>141</v>
      </c>
      <c r="D1605" s="10" t="s">
        <v>13</v>
      </c>
      <c r="E1605" s="11" t="s">
        <v>29</v>
      </c>
      <c r="F1605" s="13">
        <v>14.81</v>
      </c>
      <c r="G1605" s="14">
        <v>45223.0</v>
      </c>
      <c r="H1605" s="15">
        <f t="shared" si="1"/>
        <v>24</v>
      </c>
      <c r="I1605" s="16">
        <f t="shared" si="2"/>
        <v>10</v>
      </c>
      <c r="J1605" s="15">
        <f t="shared" si="3"/>
        <v>2023</v>
      </c>
      <c r="K1605" s="16">
        <f>STANDARDIZE(F1605,'estatística'!$C$2,'estatística'!$H$2)</f>
        <v>0.1710559635</v>
      </c>
    </row>
    <row r="1606" ht="15.75" customHeight="1">
      <c r="A1606" s="9">
        <v>35.0</v>
      </c>
      <c r="B1606" s="10" t="s">
        <v>95</v>
      </c>
      <c r="C1606" s="11" t="s">
        <v>96</v>
      </c>
      <c r="D1606" s="10" t="s">
        <v>17</v>
      </c>
      <c r="E1606" s="11" t="s">
        <v>29</v>
      </c>
      <c r="F1606" s="13">
        <v>13.9</v>
      </c>
      <c r="G1606" s="14">
        <v>45223.0</v>
      </c>
      <c r="H1606" s="15">
        <f t="shared" si="1"/>
        <v>24</v>
      </c>
      <c r="I1606" s="16">
        <f t="shared" si="2"/>
        <v>10</v>
      </c>
      <c r="J1606" s="15">
        <f t="shared" si="3"/>
        <v>2023</v>
      </c>
      <c r="K1606" s="16">
        <f>STANDARDIZE(F1606,'estatística'!$C$2,'estatística'!$H$2)</f>
        <v>0.1595340593</v>
      </c>
    </row>
    <row r="1607" ht="15.75" customHeight="1">
      <c r="A1607" s="9">
        <v>19.0</v>
      </c>
      <c r="B1607" s="10" t="s">
        <v>25</v>
      </c>
      <c r="C1607" s="11" t="s">
        <v>165</v>
      </c>
      <c r="D1607" s="10" t="s">
        <v>13</v>
      </c>
      <c r="E1607" s="11" t="s">
        <v>21</v>
      </c>
      <c r="F1607" s="13">
        <v>15.77</v>
      </c>
      <c r="G1607" s="14">
        <v>45223.0</v>
      </c>
      <c r="H1607" s="15">
        <f t="shared" si="1"/>
        <v>24</v>
      </c>
      <c r="I1607" s="16">
        <f t="shared" si="2"/>
        <v>10</v>
      </c>
      <c r="J1607" s="15">
        <f t="shared" si="3"/>
        <v>2023</v>
      </c>
      <c r="K1607" s="16">
        <f>STANDARDIZE(F1607,'estatística'!$C$2,'estatística'!$H$2)</f>
        <v>0.1832109395</v>
      </c>
    </row>
    <row r="1608" ht="15.75" customHeight="1">
      <c r="A1608" s="9">
        <v>12.0</v>
      </c>
      <c r="B1608" s="10" t="s">
        <v>160</v>
      </c>
      <c r="C1608" s="11" t="s">
        <v>161</v>
      </c>
      <c r="D1608" s="10" t="s">
        <v>13</v>
      </c>
      <c r="E1608" s="11" t="s">
        <v>39</v>
      </c>
      <c r="F1608" s="13">
        <v>48.63</v>
      </c>
      <c r="G1608" s="14">
        <v>45223.0</v>
      </c>
      <c r="H1608" s="15">
        <f t="shared" si="1"/>
        <v>24</v>
      </c>
      <c r="I1608" s="16">
        <f t="shared" si="2"/>
        <v>10</v>
      </c>
      <c r="J1608" s="15">
        <f t="shared" si="3"/>
        <v>2023</v>
      </c>
      <c r="K1608" s="16">
        <f>STANDARDIZE(F1608,'estatística'!$C$2,'estatística'!$H$2)</f>
        <v>0.5992656369</v>
      </c>
    </row>
    <row r="1609" ht="15.75" customHeight="1">
      <c r="A1609" s="9">
        <v>15.0</v>
      </c>
      <c r="B1609" s="10" t="s">
        <v>37</v>
      </c>
      <c r="C1609" s="11" t="s">
        <v>38</v>
      </c>
      <c r="D1609" s="10" t="s">
        <v>17</v>
      </c>
      <c r="E1609" s="11" t="s">
        <v>33</v>
      </c>
      <c r="F1609" s="13">
        <v>65.88</v>
      </c>
      <c r="G1609" s="14">
        <v>45224.0</v>
      </c>
      <c r="H1609" s="15">
        <f t="shared" si="1"/>
        <v>25</v>
      </c>
      <c r="I1609" s="16">
        <f t="shared" si="2"/>
        <v>10</v>
      </c>
      <c r="J1609" s="15">
        <f t="shared" si="3"/>
        <v>2023</v>
      </c>
      <c r="K1609" s="16">
        <f>STANDARDIZE(F1609,'estatística'!$C$2,'estatística'!$H$2)</f>
        <v>0.8176753609</v>
      </c>
    </row>
    <row r="1610" ht="15.75" customHeight="1">
      <c r="A1610" s="9">
        <v>68.0</v>
      </c>
      <c r="B1610" s="10" t="s">
        <v>25</v>
      </c>
      <c r="C1610" s="11" t="s">
        <v>26</v>
      </c>
      <c r="D1610" s="10" t="s">
        <v>17</v>
      </c>
      <c r="E1610" s="11" t="s">
        <v>21</v>
      </c>
      <c r="F1610" s="13">
        <v>14.53</v>
      </c>
      <c r="G1610" s="14">
        <v>45224.0</v>
      </c>
      <c r="H1610" s="15">
        <f t="shared" si="1"/>
        <v>25</v>
      </c>
      <c r="I1610" s="16">
        <f t="shared" si="2"/>
        <v>10</v>
      </c>
      <c r="J1610" s="15">
        <f t="shared" si="3"/>
        <v>2023</v>
      </c>
      <c r="K1610" s="16">
        <f>STANDARDIZE(F1610,'estatística'!$C$2,'estatística'!$H$2)</f>
        <v>0.1675107622</v>
      </c>
    </row>
    <row r="1611" ht="15.75" customHeight="1">
      <c r="A1611" s="9">
        <v>30.0</v>
      </c>
      <c r="B1611" s="10" t="s">
        <v>11</v>
      </c>
      <c r="C1611" s="11" t="s">
        <v>12</v>
      </c>
      <c r="D1611" s="10" t="s">
        <v>17</v>
      </c>
      <c r="E1611" s="11" t="s">
        <v>14</v>
      </c>
      <c r="F1611" s="13">
        <v>10.18</v>
      </c>
      <c r="G1611" s="14">
        <v>45224.0</v>
      </c>
      <c r="H1611" s="15">
        <f t="shared" si="1"/>
        <v>25</v>
      </c>
      <c r="I1611" s="16">
        <f t="shared" si="2"/>
        <v>10</v>
      </c>
      <c r="J1611" s="15">
        <f t="shared" si="3"/>
        <v>2023</v>
      </c>
      <c r="K1611" s="16">
        <f>STANDARDIZE(F1611,'estatística'!$C$2,'estatística'!$H$2)</f>
        <v>0.1124335275</v>
      </c>
    </row>
    <row r="1612" ht="15.75" customHeight="1">
      <c r="A1612" s="9">
        <v>94.0</v>
      </c>
      <c r="B1612" s="10" t="s">
        <v>179</v>
      </c>
      <c r="C1612" s="11" t="s">
        <v>209</v>
      </c>
      <c r="D1612" s="10" t="s">
        <v>17</v>
      </c>
      <c r="E1612" s="11" t="s">
        <v>65</v>
      </c>
      <c r="F1612" s="13">
        <v>36.23</v>
      </c>
      <c r="G1612" s="14">
        <v>45224.0</v>
      </c>
      <c r="H1612" s="15">
        <f t="shared" si="1"/>
        <v>25</v>
      </c>
      <c r="I1612" s="16">
        <f t="shared" si="2"/>
        <v>10</v>
      </c>
      <c r="J1612" s="15">
        <f t="shared" si="3"/>
        <v>2023</v>
      </c>
      <c r="K1612" s="16">
        <f>STANDARDIZE(F1612,'estatística'!$C$2,'estatística'!$H$2)</f>
        <v>0.4422638643</v>
      </c>
    </row>
    <row r="1613" ht="15.75" customHeight="1">
      <c r="A1613" s="9">
        <v>43.0</v>
      </c>
      <c r="B1613" s="10" t="s">
        <v>63</v>
      </c>
      <c r="C1613" s="11" t="s">
        <v>64</v>
      </c>
      <c r="D1613" s="10" t="s">
        <v>17</v>
      </c>
      <c r="E1613" s="11" t="s">
        <v>24</v>
      </c>
      <c r="F1613" s="13">
        <v>35.76</v>
      </c>
      <c r="G1613" s="14">
        <v>45224.0</v>
      </c>
      <c r="H1613" s="15">
        <f t="shared" si="1"/>
        <v>25</v>
      </c>
      <c r="I1613" s="16">
        <f t="shared" si="2"/>
        <v>10</v>
      </c>
      <c r="J1613" s="15">
        <f t="shared" si="3"/>
        <v>2023</v>
      </c>
      <c r="K1613" s="16">
        <f>STANDARDIZE(F1613,'estatística'!$C$2,'estatística'!$H$2)</f>
        <v>0.4363129906</v>
      </c>
    </row>
    <row r="1614" ht="15.75" customHeight="1">
      <c r="A1614" s="9">
        <v>81.0</v>
      </c>
      <c r="B1614" s="10" t="s">
        <v>34</v>
      </c>
      <c r="C1614" s="11" t="s">
        <v>35</v>
      </c>
      <c r="D1614" s="10" t="s">
        <v>17</v>
      </c>
      <c r="E1614" s="11" t="s">
        <v>14</v>
      </c>
      <c r="F1614" s="13">
        <v>10.18</v>
      </c>
      <c r="G1614" s="14">
        <v>45224.0</v>
      </c>
      <c r="H1614" s="15">
        <f t="shared" si="1"/>
        <v>25</v>
      </c>
      <c r="I1614" s="16">
        <f t="shared" si="2"/>
        <v>10</v>
      </c>
      <c r="J1614" s="15">
        <f t="shared" si="3"/>
        <v>2023</v>
      </c>
      <c r="K1614" s="16">
        <f>STANDARDIZE(F1614,'estatística'!$C$2,'estatística'!$H$2)</f>
        <v>0.1124335275</v>
      </c>
    </row>
    <row r="1615" ht="15.75" customHeight="1">
      <c r="A1615" s="9">
        <v>36.0</v>
      </c>
      <c r="B1615" s="10" t="s">
        <v>60</v>
      </c>
      <c r="C1615" s="11" t="s">
        <v>61</v>
      </c>
      <c r="D1615" s="10" t="s">
        <v>13</v>
      </c>
      <c r="E1615" s="11" t="s">
        <v>36</v>
      </c>
      <c r="F1615" s="13">
        <v>69.53</v>
      </c>
      <c r="G1615" s="14">
        <v>45225.0</v>
      </c>
      <c r="H1615" s="15">
        <f t="shared" si="1"/>
        <v>26</v>
      </c>
      <c r="I1615" s="16">
        <f t="shared" si="2"/>
        <v>10</v>
      </c>
      <c r="J1615" s="15">
        <f t="shared" si="3"/>
        <v>2023</v>
      </c>
      <c r="K1615" s="16">
        <f>STANDARDIZE(F1615,'estatística'!$C$2,'estatística'!$H$2)</f>
        <v>0.8638895923</v>
      </c>
    </row>
    <row r="1616" ht="15.75" customHeight="1">
      <c r="A1616" s="9">
        <v>52.0</v>
      </c>
      <c r="B1616" s="10" t="s">
        <v>153</v>
      </c>
      <c r="C1616" s="11" t="s">
        <v>154</v>
      </c>
      <c r="D1616" s="10" t="s">
        <v>13</v>
      </c>
      <c r="E1616" s="11" t="s">
        <v>21</v>
      </c>
      <c r="F1616" s="13">
        <v>14.77</v>
      </c>
      <c r="G1616" s="14">
        <v>45225.0</v>
      </c>
      <c r="H1616" s="15">
        <f t="shared" si="1"/>
        <v>26</v>
      </c>
      <c r="I1616" s="16">
        <f t="shared" si="2"/>
        <v>10</v>
      </c>
      <c r="J1616" s="15">
        <f t="shared" si="3"/>
        <v>2023</v>
      </c>
      <c r="K1616" s="16">
        <f>STANDARDIZE(F1616,'estatística'!$C$2,'estatística'!$H$2)</f>
        <v>0.1705495062</v>
      </c>
    </row>
    <row r="1617" ht="15.75" customHeight="1">
      <c r="A1617" s="9">
        <v>61.0</v>
      </c>
      <c r="B1617" s="10" t="s">
        <v>73</v>
      </c>
      <c r="C1617" s="11" t="s">
        <v>74</v>
      </c>
      <c r="D1617" s="10" t="s">
        <v>13</v>
      </c>
      <c r="E1617" s="11" t="s">
        <v>21</v>
      </c>
      <c r="F1617" s="13">
        <v>18.69</v>
      </c>
      <c r="G1617" s="14">
        <v>45225.0</v>
      </c>
      <c r="H1617" s="15">
        <f t="shared" si="1"/>
        <v>26</v>
      </c>
      <c r="I1617" s="16">
        <f t="shared" si="2"/>
        <v>10</v>
      </c>
      <c r="J1617" s="15">
        <f t="shared" si="3"/>
        <v>2023</v>
      </c>
      <c r="K1617" s="16">
        <f>STANDARDIZE(F1617,'estatística'!$C$2,'estatística'!$H$2)</f>
        <v>0.2201823246</v>
      </c>
    </row>
    <row r="1618" ht="15.75" customHeight="1">
      <c r="A1618" s="9">
        <v>26.0</v>
      </c>
      <c r="B1618" s="10" t="s">
        <v>183</v>
      </c>
      <c r="C1618" s="11" t="s">
        <v>184</v>
      </c>
      <c r="D1618" s="10" t="s">
        <v>17</v>
      </c>
      <c r="E1618" s="11" t="s">
        <v>18</v>
      </c>
      <c r="F1618" s="13">
        <v>52.9</v>
      </c>
      <c r="G1618" s="14">
        <v>45225.0</v>
      </c>
      <c r="H1618" s="15">
        <f t="shared" si="1"/>
        <v>26</v>
      </c>
      <c r="I1618" s="16">
        <f t="shared" si="2"/>
        <v>10</v>
      </c>
      <c r="J1618" s="15">
        <f t="shared" si="3"/>
        <v>2023</v>
      </c>
      <c r="K1618" s="16">
        <f>STANDARDIZE(F1618,'estatística'!$C$2,'estatística'!$H$2)</f>
        <v>0.653329957</v>
      </c>
    </row>
    <row r="1619" ht="15.75" customHeight="1">
      <c r="A1619" s="9">
        <v>65.0</v>
      </c>
      <c r="B1619" s="10" t="s">
        <v>181</v>
      </c>
      <c r="C1619" s="11" t="s">
        <v>182</v>
      </c>
      <c r="D1619" s="10" t="s">
        <v>17</v>
      </c>
      <c r="E1619" s="11" t="s">
        <v>62</v>
      </c>
      <c r="F1619" s="13">
        <v>10.62</v>
      </c>
      <c r="G1619" s="14">
        <v>45225.0</v>
      </c>
      <c r="H1619" s="15">
        <f t="shared" si="1"/>
        <v>26</v>
      </c>
      <c r="I1619" s="16">
        <f t="shared" si="2"/>
        <v>10</v>
      </c>
      <c r="J1619" s="15">
        <f t="shared" si="3"/>
        <v>2023</v>
      </c>
      <c r="K1619" s="16">
        <f>STANDARDIZE(F1619,'estatística'!$C$2,'estatística'!$H$2)</f>
        <v>0.1180045581</v>
      </c>
    </row>
    <row r="1620" ht="15.75" customHeight="1">
      <c r="A1620" s="9">
        <v>20.0</v>
      </c>
      <c r="B1620" s="10" t="s">
        <v>133</v>
      </c>
      <c r="C1620" s="11" t="s">
        <v>134</v>
      </c>
      <c r="D1620" s="10" t="s">
        <v>17</v>
      </c>
      <c r="E1620" s="11" t="s">
        <v>57</v>
      </c>
      <c r="F1620" s="13">
        <v>23.67</v>
      </c>
      <c r="G1620" s="14">
        <v>45225.0</v>
      </c>
      <c r="H1620" s="15">
        <f t="shared" si="1"/>
        <v>26</v>
      </c>
      <c r="I1620" s="16">
        <f t="shared" si="2"/>
        <v>10</v>
      </c>
      <c r="J1620" s="15">
        <f t="shared" si="3"/>
        <v>2023</v>
      </c>
      <c r="K1620" s="16">
        <f>STANDARDIZE(F1620,'estatística'!$C$2,'estatística'!$H$2)</f>
        <v>0.2832362623</v>
      </c>
    </row>
    <row r="1621" ht="15.75" customHeight="1">
      <c r="A1621" s="9">
        <v>11.0</v>
      </c>
      <c r="B1621" s="10" t="s">
        <v>199</v>
      </c>
      <c r="C1621" s="11" t="s">
        <v>200</v>
      </c>
      <c r="D1621" s="10" t="s">
        <v>13</v>
      </c>
      <c r="E1621" s="11" t="s">
        <v>91</v>
      </c>
      <c r="F1621" s="13">
        <v>2.93</v>
      </c>
      <c r="G1621" s="14">
        <v>45226.0</v>
      </c>
      <c r="H1621" s="15">
        <f t="shared" si="1"/>
        <v>27</v>
      </c>
      <c r="I1621" s="16">
        <f t="shared" si="2"/>
        <v>10</v>
      </c>
      <c r="J1621" s="15">
        <f t="shared" si="3"/>
        <v>2023</v>
      </c>
      <c r="K1621" s="16">
        <f>STANDARDIZE(F1621,'estatística'!$C$2,'estatística'!$H$2)</f>
        <v>0.02063813624</v>
      </c>
    </row>
    <row r="1622" ht="15.75" customHeight="1">
      <c r="A1622" s="9">
        <v>34.0</v>
      </c>
      <c r="B1622" s="10" t="s">
        <v>149</v>
      </c>
      <c r="C1622" s="11" t="s">
        <v>150</v>
      </c>
      <c r="D1622" s="10" t="s">
        <v>13</v>
      </c>
      <c r="E1622" s="11" t="s">
        <v>36</v>
      </c>
      <c r="F1622" s="13">
        <v>72.92</v>
      </c>
      <c r="G1622" s="14">
        <v>45226.0</v>
      </c>
      <c r="H1622" s="15">
        <f t="shared" si="1"/>
        <v>27</v>
      </c>
      <c r="I1622" s="16">
        <f t="shared" si="2"/>
        <v>10</v>
      </c>
      <c r="J1622" s="15">
        <f t="shared" si="3"/>
        <v>2023</v>
      </c>
      <c r="K1622" s="16">
        <f>STANDARDIZE(F1622,'estatística'!$C$2,'estatística'!$H$2)</f>
        <v>0.9068118511</v>
      </c>
    </row>
    <row r="1623" ht="15.75" customHeight="1">
      <c r="A1623" s="9">
        <v>27.0</v>
      </c>
      <c r="B1623" s="10" t="s">
        <v>145</v>
      </c>
      <c r="C1623" s="11" t="s">
        <v>146</v>
      </c>
      <c r="D1623" s="10" t="s">
        <v>17</v>
      </c>
      <c r="E1623" s="11" t="s">
        <v>57</v>
      </c>
      <c r="F1623" s="13">
        <v>18.28</v>
      </c>
      <c r="G1623" s="14">
        <v>45226.0</v>
      </c>
      <c r="H1623" s="15">
        <f t="shared" si="1"/>
        <v>27</v>
      </c>
      <c r="I1623" s="16">
        <f t="shared" si="2"/>
        <v>10</v>
      </c>
      <c r="J1623" s="15">
        <f t="shared" si="3"/>
        <v>2023</v>
      </c>
      <c r="K1623" s="16">
        <f>STANDARDIZE(F1623,'estatística'!$C$2,'estatística'!$H$2)</f>
        <v>0.214991137</v>
      </c>
    </row>
    <row r="1624" ht="15.75" customHeight="1">
      <c r="A1624" s="9">
        <v>47.0</v>
      </c>
      <c r="B1624" s="10" t="s">
        <v>89</v>
      </c>
      <c r="C1624" s="11" t="s">
        <v>90</v>
      </c>
      <c r="D1624" s="10" t="s">
        <v>17</v>
      </c>
      <c r="E1624" s="11" t="s">
        <v>68</v>
      </c>
      <c r="F1624" s="13">
        <v>10.89</v>
      </c>
      <c r="G1624" s="14">
        <v>45226.0</v>
      </c>
      <c r="H1624" s="15">
        <f t="shared" si="1"/>
        <v>27</v>
      </c>
      <c r="I1624" s="16">
        <f t="shared" si="2"/>
        <v>10</v>
      </c>
      <c r="J1624" s="15">
        <f t="shared" si="3"/>
        <v>2023</v>
      </c>
      <c r="K1624" s="16">
        <f>STANDARDIZE(F1624,'estatística'!$C$2,'estatística'!$H$2)</f>
        <v>0.1214231451</v>
      </c>
    </row>
    <row r="1625" ht="15.75" customHeight="1">
      <c r="A1625" s="9">
        <v>24.0</v>
      </c>
      <c r="B1625" s="10" t="s">
        <v>110</v>
      </c>
      <c r="C1625" s="11" t="s">
        <v>111</v>
      </c>
      <c r="D1625" s="10" t="s">
        <v>13</v>
      </c>
      <c r="E1625" s="11" t="s">
        <v>65</v>
      </c>
      <c r="F1625" s="13">
        <v>31.01</v>
      </c>
      <c r="G1625" s="14">
        <v>45226.0</v>
      </c>
      <c r="H1625" s="15">
        <f t="shared" si="1"/>
        <v>27</v>
      </c>
      <c r="I1625" s="16">
        <f t="shared" si="2"/>
        <v>10</v>
      </c>
      <c r="J1625" s="15">
        <f t="shared" si="3"/>
        <v>2023</v>
      </c>
      <c r="K1625" s="16">
        <f>STANDARDIZE(F1625,'estatística'!$C$2,'estatística'!$H$2)</f>
        <v>0.3761711826</v>
      </c>
    </row>
    <row r="1626" ht="15.75" customHeight="1">
      <c r="A1626" s="9">
        <v>49.0</v>
      </c>
      <c r="B1626" s="10" t="s">
        <v>151</v>
      </c>
      <c r="C1626" s="11" t="s">
        <v>152</v>
      </c>
      <c r="D1626" s="10" t="s">
        <v>17</v>
      </c>
      <c r="E1626" s="11" t="s">
        <v>18</v>
      </c>
      <c r="F1626" s="13">
        <v>49.78</v>
      </c>
      <c r="G1626" s="14">
        <v>45227.0</v>
      </c>
      <c r="H1626" s="15">
        <f t="shared" si="1"/>
        <v>28</v>
      </c>
      <c r="I1626" s="16">
        <f t="shared" si="2"/>
        <v>10</v>
      </c>
      <c r="J1626" s="15">
        <f t="shared" si="3"/>
        <v>2023</v>
      </c>
      <c r="K1626" s="16">
        <f>STANDARDIZE(F1626,'estatística'!$C$2,'estatística'!$H$2)</f>
        <v>0.6138262851</v>
      </c>
    </row>
    <row r="1627" ht="15.75" customHeight="1">
      <c r="A1627" s="9">
        <v>29.0</v>
      </c>
      <c r="B1627" s="10" t="s">
        <v>92</v>
      </c>
      <c r="C1627" s="11" t="s">
        <v>93</v>
      </c>
      <c r="D1627" s="10" t="s">
        <v>13</v>
      </c>
      <c r="E1627" s="11" t="s">
        <v>29</v>
      </c>
      <c r="F1627" s="13">
        <v>13.53</v>
      </c>
      <c r="G1627" s="14">
        <v>45227.0</v>
      </c>
      <c r="H1627" s="15">
        <f t="shared" si="1"/>
        <v>28</v>
      </c>
      <c r="I1627" s="16">
        <f t="shared" si="2"/>
        <v>10</v>
      </c>
      <c r="J1627" s="15">
        <f t="shared" si="3"/>
        <v>2023</v>
      </c>
      <c r="K1627" s="16">
        <f>STANDARDIZE(F1627,'estatística'!$C$2,'estatística'!$H$2)</f>
        <v>0.1548493289</v>
      </c>
    </row>
    <row r="1628" ht="15.75" customHeight="1">
      <c r="A1628" s="9">
        <v>16.0</v>
      </c>
      <c r="B1628" s="10" t="s">
        <v>147</v>
      </c>
      <c r="C1628" s="11" t="s">
        <v>148</v>
      </c>
      <c r="D1628" s="10" t="s">
        <v>17</v>
      </c>
      <c r="E1628" s="11" t="s">
        <v>21</v>
      </c>
      <c r="F1628" s="13">
        <v>15.42</v>
      </c>
      <c r="G1628" s="14">
        <v>45227.0</v>
      </c>
      <c r="H1628" s="15">
        <f t="shared" si="1"/>
        <v>28</v>
      </c>
      <c r="I1628" s="16">
        <f t="shared" si="2"/>
        <v>10</v>
      </c>
      <c r="J1628" s="15">
        <f t="shared" si="3"/>
        <v>2023</v>
      </c>
      <c r="K1628" s="16">
        <f>STANDARDIZE(F1628,'estatística'!$C$2,'estatística'!$H$2)</f>
        <v>0.1787794378</v>
      </c>
    </row>
    <row r="1629" ht="15.75" customHeight="1">
      <c r="A1629" s="9">
        <v>69.0</v>
      </c>
      <c r="B1629" s="10" t="s">
        <v>75</v>
      </c>
      <c r="C1629" s="11" t="s">
        <v>117</v>
      </c>
      <c r="D1629" s="10" t="s">
        <v>13</v>
      </c>
      <c r="E1629" s="11" t="s">
        <v>18</v>
      </c>
      <c r="F1629" s="13">
        <v>54.34</v>
      </c>
      <c r="G1629" s="14">
        <v>45227.0</v>
      </c>
      <c r="H1629" s="15">
        <f t="shared" si="1"/>
        <v>28</v>
      </c>
      <c r="I1629" s="16">
        <f t="shared" si="2"/>
        <v>10</v>
      </c>
      <c r="J1629" s="15">
        <f t="shared" si="3"/>
        <v>2023</v>
      </c>
      <c r="K1629" s="16">
        <f>STANDARDIZE(F1629,'estatística'!$C$2,'estatística'!$H$2)</f>
        <v>0.6715624209</v>
      </c>
    </row>
    <row r="1630" ht="15.75" customHeight="1">
      <c r="A1630" s="9">
        <v>13.0</v>
      </c>
      <c r="B1630" s="10" t="s">
        <v>108</v>
      </c>
      <c r="C1630" s="11" t="s">
        <v>109</v>
      </c>
      <c r="D1630" s="10" t="s">
        <v>17</v>
      </c>
      <c r="E1630" s="11" t="s">
        <v>32</v>
      </c>
      <c r="F1630" s="13">
        <v>29.36</v>
      </c>
      <c r="G1630" s="14">
        <v>45231.0</v>
      </c>
      <c r="H1630" s="15">
        <f t="shared" si="1"/>
        <v>1</v>
      </c>
      <c r="I1630" s="16">
        <f t="shared" si="2"/>
        <v>11</v>
      </c>
      <c r="J1630" s="15">
        <f t="shared" si="3"/>
        <v>2023</v>
      </c>
      <c r="K1630" s="16">
        <f>STANDARDIZE(F1630,'estatística'!$C$2,'estatística'!$H$2)</f>
        <v>0.3552798177</v>
      </c>
    </row>
    <row r="1631" ht="15.75" customHeight="1">
      <c r="A1631" s="9">
        <v>62.0</v>
      </c>
      <c r="B1631" s="10" t="s">
        <v>128</v>
      </c>
      <c r="C1631" s="11" t="s">
        <v>129</v>
      </c>
      <c r="D1631" s="10" t="s">
        <v>17</v>
      </c>
      <c r="E1631" s="11" t="s">
        <v>68</v>
      </c>
      <c r="F1631" s="13">
        <v>12.04</v>
      </c>
      <c r="G1631" s="14">
        <v>45231.0</v>
      </c>
      <c r="H1631" s="15">
        <f t="shared" si="1"/>
        <v>1</v>
      </c>
      <c r="I1631" s="16">
        <f t="shared" si="2"/>
        <v>11</v>
      </c>
      <c r="J1631" s="15">
        <f t="shared" si="3"/>
        <v>2023</v>
      </c>
      <c r="K1631" s="16">
        <f>STANDARDIZE(F1631,'estatística'!$C$2,'estatística'!$H$2)</f>
        <v>0.1359837934</v>
      </c>
    </row>
    <row r="1632" ht="15.75" customHeight="1">
      <c r="A1632" s="9">
        <v>92.0</v>
      </c>
      <c r="B1632" s="10" t="s">
        <v>81</v>
      </c>
      <c r="C1632" s="11" t="s">
        <v>169</v>
      </c>
      <c r="D1632" s="10" t="s">
        <v>17</v>
      </c>
      <c r="E1632" s="11" t="s">
        <v>24</v>
      </c>
      <c r="F1632" s="13">
        <v>39.64</v>
      </c>
      <c r="G1632" s="14">
        <v>45231.0</v>
      </c>
      <c r="H1632" s="15">
        <f t="shared" si="1"/>
        <v>1</v>
      </c>
      <c r="I1632" s="16">
        <f t="shared" si="2"/>
        <v>11</v>
      </c>
      <c r="J1632" s="15">
        <f t="shared" si="3"/>
        <v>2023</v>
      </c>
      <c r="K1632" s="16">
        <f>STANDARDIZE(F1632,'estatística'!$C$2,'estatística'!$H$2)</f>
        <v>0.4854393517</v>
      </c>
    </row>
    <row r="1633" ht="15.75" customHeight="1">
      <c r="A1633" s="9">
        <v>79.0</v>
      </c>
      <c r="B1633" s="10" t="s">
        <v>69</v>
      </c>
      <c r="C1633" s="11" t="s">
        <v>70</v>
      </c>
      <c r="D1633" s="10" t="s">
        <v>13</v>
      </c>
      <c r="E1633" s="11" t="s">
        <v>18</v>
      </c>
      <c r="F1633" s="13">
        <v>52.77</v>
      </c>
      <c r="G1633" s="14">
        <v>45231.0</v>
      </c>
      <c r="H1633" s="15">
        <f t="shared" si="1"/>
        <v>1</v>
      </c>
      <c r="I1633" s="16">
        <f t="shared" si="2"/>
        <v>11</v>
      </c>
      <c r="J1633" s="15">
        <f t="shared" si="3"/>
        <v>2023</v>
      </c>
      <c r="K1633" s="16">
        <f>STANDARDIZE(F1633,'estatística'!$C$2,'estatística'!$H$2)</f>
        <v>0.6516839706</v>
      </c>
    </row>
    <row r="1634" ht="15.75" customHeight="1">
      <c r="A1634" s="9">
        <v>40.0</v>
      </c>
      <c r="B1634" s="10" t="s">
        <v>92</v>
      </c>
      <c r="C1634" s="11" t="s">
        <v>157</v>
      </c>
      <c r="D1634" s="10" t="s">
        <v>13</v>
      </c>
      <c r="E1634" s="11" t="s">
        <v>91</v>
      </c>
      <c r="F1634" s="13">
        <v>2.28</v>
      </c>
      <c r="G1634" s="14">
        <v>45231.0</v>
      </c>
      <c r="H1634" s="15">
        <f t="shared" si="1"/>
        <v>1</v>
      </c>
      <c r="I1634" s="16">
        <f t="shared" si="2"/>
        <v>11</v>
      </c>
      <c r="J1634" s="15">
        <f t="shared" si="3"/>
        <v>2023</v>
      </c>
      <c r="K1634" s="16">
        <f>STANDARDIZE(F1634,'estatística'!$C$2,'estatística'!$H$2)</f>
        <v>0.01240820461</v>
      </c>
    </row>
    <row r="1635" ht="15.75" customHeight="1">
      <c r="A1635" s="9">
        <v>71.0</v>
      </c>
      <c r="B1635" s="10" t="s">
        <v>122</v>
      </c>
      <c r="C1635" s="11" t="s">
        <v>123</v>
      </c>
      <c r="D1635" s="10" t="s">
        <v>17</v>
      </c>
      <c r="E1635" s="11" t="s">
        <v>33</v>
      </c>
      <c r="F1635" s="13">
        <v>57.49</v>
      </c>
      <c r="G1635" s="14">
        <v>45231.0</v>
      </c>
      <c r="H1635" s="15">
        <f t="shared" si="1"/>
        <v>1</v>
      </c>
      <c r="I1635" s="16">
        <f t="shared" si="2"/>
        <v>11</v>
      </c>
      <c r="J1635" s="15">
        <f t="shared" si="3"/>
        <v>2023</v>
      </c>
      <c r="K1635" s="16">
        <f>STANDARDIZE(F1635,'estatística'!$C$2,'estatística'!$H$2)</f>
        <v>0.7114459357</v>
      </c>
    </row>
    <row r="1636" ht="15.75" customHeight="1">
      <c r="A1636" s="9">
        <v>14.0</v>
      </c>
      <c r="B1636" s="10" t="s">
        <v>143</v>
      </c>
      <c r="C1636" s="11" t="s">
        <v>144</v>
      </c>
      <c r="D1636" s="10" t="s">
        <v>13</v>
      </c>
      <c r="E1636" s="11" t="s">
        <v>33</v>
      </c>
      <c r="F1636" s="13">
        <v>57.79</v>
      </c>
      <c r="G1636" s="14">
        <v>45231.0</v>
      </c>
      <c r="H1636" s="15">
        <f t="shared" si="1"/>
        <v>1</v>
      </c>
      <c r="I1636" s="16">
        <f t="shared" si="2"/>
        <v>11</v>
      </c>
      <c r="J1636" s="15">
        <f t="shared" si="3"/>
        <v>2023</v>
      </c>
      <c r="K1636" s="16">
        <f>STANDARDIZE(F1636,'estatística'!$C$2,'estatística'!$H$2)</f>
        <v>0.7152443657</v>
      </c>
    </row>
    <row r="1637" ht="15.75" customHeight="1">
      <c r="A1637" s="9">
        <v>22.0</v>
      </c>
      <c r="B1637" s="10" t="s">
        <v>101</v>
      </c>
      <c r="C1637" s="11" t="s">
        <v>102</v>
      </c>
      <c r="D1637" s="10" t="s">
        <v>13</v>
      </c>
      <c r="E1637" s="11" t="s">
        <v>21</v>
      </c>
      <c r="F1637" s="13">
        <v>21.24</v>
      </c>
      <c r="G1637" s="14">
        <v>45231.0</v>
      </c>
      <c r="H1637" s="15">
        <f t="shared" si="1"/>
        <v>1</v>
      </c>
      <c r="I1637" s="16">
        <f t="shared" si="2"/>
        <v>11</v>
      </c>
      <c r="J1637" s="15">
        <f t="shared" si="3"/>
        <v>2023</v>
      </c>
      <c r="K1637" s="16">
        <f>STANDARDIZE(F1637,'estatística'!$C$2,'estatística'!$H$2)</f>
        <v>0.2524689795</v>
      </c>
    </row>
    <row r="1638" ht="15.75" customHeight="1">
      <c r="A1638" s="9">
        <v>68.0</v>
      </c>
      <c r="B1638" s="10" t="s">
        <v>25</v>
      </c>
      <c r="C1638" s="11" t="s">
        <v>26</v>
      </c>
      <c r="D1638" s="10" t="s">
        <v>17</v>
      </c>
      <c r="E1638" s="11" t="s">
        <v>65</v>
      </c>
      <c r="F1638" s="13">
        <v>37.5</v>
      </c>
      <c r="G1638" s="14">
        <v>45231.0</v>
      </c>
      <c r="H1638" s="15">
        <f t="shared" si="1"/>
        <v>1</v>
      </c>
      <c r="I1638" s="16">
        <f t="shared" si="2"/>
        <v>11</v>
      </c>
      <c r="J1638" s="15">
        <f t="shared" si="3"/>
        <v>2023</v>
      </c>
      <c r="K1638" s="16">
        <f>STANDARDIZE(F1638,'estatística'!$C$2,'estatística'!$H$2)</f>
        <v>0.4583438845</v>
      </c>
    </row>
    <row r="1639" ht="15.75" customHeight="1">
      <c r="A1639" s="9">
        <v>63.0</v>
      </c>
      <c r="B1639" s="10" t="s">
        <v>197</v>
      </c>
      <c r="C1639" s="11" t="s">
        <v>198</v>
      </c>
      <c r="D1639" s="10" t="s">
        <v>13</v>
      </c>
      <c r="E1639" s="11" t="s">
        <v>80</v>
      </c>
      <c r="F1639" s="13">
        <v>36.42</v>
      </c>
      <c r="G1639" s="14">
        <v>45232.0</v>
      </c>
      <c r="H1639" s="15">
        <f t="shared" si="1"/>
        <v>2</v>
      </c>
      <c r="I1639" s="16">
        <f t="shared" si="2"/>
        <v>11</v>
      </c>
      <c r="J1639" s="15">
        <f t="shared" si="3"/>
        <v>2023</v>
      </c>
      <c r="K1639" s="16">
        <f>STANDARDIZE(F1639,'estatística'!$C$2,'estatística'!$H$2)</f>
        <v>0.4446695366</v>
      </c>
    </row>
    <row r="1640" ht="15.75" customHeight="1">
      <c r="A1640" s="9">
        <v>59.0</v>
      </c>
      <c r="B1640" s="10" t="s">
        <v>71</v>
      </c>
      <c r="C1640" s="11" t="s">
        <v>72</v>
      </c>
      <c r="D1640" s="10" t="s">
        <v>13</v>
      </c>
      <c r="E1640" s="11" t="s">
        <v>116</v>
      </c>
      <c r="F1640" s="13">
        <v>1.97</v>
      </c>
      <c r="G1640" s="14">
        <v>45232.0</v>
      </c>
      <c r="H1640" s="15">
        <f t="shared" si="1"/>
        <v>2</v>
      </c>
      <c r="I1640" s="16">
        <f t="shared" si="2"/>
        <v>11</v>
      </c>
      <c r="J1640" s="15">
        <f t="shared" si="3"/>
        <v>2023</v>
      </c>
      <c r="K1640" s="16">
        <f>STANDARDIZE(F1640,'estatística'!$C$2,'estatística'!$H$2)</f>
        <v>0.008483160294</v>
      </c>
    </row>
    <row r="1641" ht="15.75" customHeight="1">
      <c r="A1641" s="9">
        <v>52.0</v>
      </c>
      <c r="B1641" s="10" t="s">
        <v>153</v>
      </c>
      <c r="C1641" s="11" t="s">
        <v>154</v>
      </c>
      <c r="D1641" s="10" t="s">
        <v>17</v>
      </c>
      <c r="E1641" s="11" t="s">
        <v>62</v>
      </c>
      <c r="F1641" s="13">
        <v>10.88</v>
      </c>
      <c r="G1641" s="14">
        <v>45232.0</v>
      </c>
      <c r="H1641" s="15">
        <f t="shared" si="1"/>
        <v>2</v>
      </c>
      <c r="I1641" s="16">
        <f t="shared" si="2"/>
        <v>11</v>
      </c>
      <c r="J1641" s="15">
        <f t="shared" si="3"/>
        <v>2023</v>
      </c>
      <c r="K1641" s="16">
        <f>STANDARDIZE(F1641,'estatística'!$C$2,'estatística'!$H$2)</f>
        <v>0.1212965308</v>
      </c>
    </row>
    <row r="1642" ht="15.75" customHeight="1">
      <c r="A1642" s="9">
        <v>44.0</v>
      </c>
      <c r="B1642" s="10" t="s">
        <v>187</v>
      </c>
      <c r="C1642" s="11" t="s">
        <v>188</v>
      </c>
      <c r="D1642" s="10" t="s">
        <v>17</v>
      </c>
      <c r="E1642" s="11" t="s">
        <v>116</v>
      </c>
      <c r="F1642" s="13">
        <v>2.5</v>
      </c>
      <c r="G1642" s="14">
        <v>45232.0</v>
      </c>
      <c r="H1642" s="15">
        <f t="shared" si="1"/>
        <v>2</v>
      </c>
      <c r="I1642" s="16">
        <f t="shared" si="2"/>
        <v>11</v>
      </c>
      <c r="J1642" s="15">
        <f t="shared" si="3"/>
        <v>2023</v>
      </c>
      <c r="K1642" s="16">
        <f>STANDARDIZE(F1642,'estatística'!$C$2,'estatística'!$H$2)</f>
        <v>0.01519371993</v>
      </c>
    </row>
    <row r="1643" ht="15.75" customHeight="1">
      <c r="A1643" s="9">
        <v>60.0</v>
      </c>
      <c r="B1643" s="10" t="s">
        <v>42</v>
      </c>
      <c r="C1643" s="11" t="s">
        <v>43</v>
      </c>
      <c r="D1643" s="10" t="s">
        <v>13</v>
      </c>
      <c r="E1643" s="11" t="s">
        <v>18</v>
      </c>
      <c r="F1643" s="13">
        <v>38.19</v>
      </c>
      <c r="G1643" s="14">
        <v>45232.0</v>
      </c>
      <c r="H1643" s="15">
        <f t="shared" si="1"/>
        <v>2</v>
      </c>
      <c r="I1643" s="16">
        <f t="shared" si="2"/>
        <v>11</v>
      </c>
      <c r="J1643" s="15">
        <f t="shared" si="3"/>
        <v>2023</v>
      </c>
      <c r="K1643" s="16">
        <f>STANDARDIZE(F1643,'estatística'!$C$2,'estatística'!$H$2)</f>
        <v>0.4670802735</v>
      </c>
    </row>
    <row r="1644" ht="15.75" customHeight="1">
      <c r="A1644" s="9">
        <v>52.0</v>
      </c>
      <c r="B1644" s="10" t="s">
        <v>153</v>
      </c>
      <c r="C1644" s="11" t="s">
        <v>154</v>
      </c>
      <c r="D1644" s="10" t="s">
        <v>17</v>
      </c>
      <c r="E1644" s="11" t="s">
        <v>36</v>
      </c>
      <c r="F1644" s="13">
        <v>74.26</v>
      </c>
      <c r="G1644" s="14">
        <v>45232.0</v>
      </c>
      <c r="H1644" s="15">
        <f t="shared" si="1"/>
        <v>2</v>
      </c>
      <c r="I1644" s="16">
        <f t="shared" si="2"/>
        <v>11</v>
      </c>
      <c r="J1644" s="15">
        <f t="shared" si="3"/>
        <v>2023</v>
      </c>
      <c r="K1644" s="16">
        <f>STANDARDIZE(F1644,'estatística'!$C$2,'estatística'!$H$2)</f>
        <v>0.9237781717</v>
      </c>
    </row>
    <row r="1645" ht="15.75" customHeight="1">
      <c r="A1645" s="9">
        <v>11.0</v>
      </c>
      <c r="B1645" s="10" t="s">
        <v>199</v>
      </c>
      <c r="C1645" s="11" t="s">
        <v>200</v>
      </c>
      <c r="D1645" s="10" t="s">
        <v>17</v>
      </c>
      <c r="E1645" s="11" t="s">
        <v>21</v>
      </c>
      <c r="F1645" s="13">
        <v>20.53</v>
      </c>
      <c r="G1645" s="14">
        <v>45233.0</v>
      </c>
      <c r="H1645" s="15">
        <f t="shared" si="1"/>
        <v>3</v>
      </c>
      <c r="I1645" s="16">
        <f t="shared" si="2"/>
        <v>11</v>
      </c>
      <c r="J1645" s="15">
        <f t="shared" si="3"/>
        <v>2023</v>
      </c>
      <c r="K1645" s="16">
        <f>STANDARDIZE(F1645,'estatística'!$C$2,'estatística'!$H$2)</f>
        <v>0.2434793619</v>
      </c>
    </row>
    <row r="1646" ht="15.75" customHeight="1">
      <c r="A1646" s="9">
        <v>18.0</v>
      </c>
      <c r="B1646" s="10" t="s">
        <v>135</v>
      </c>
      <c r="C1646" s="11" t="s">
        <v>212</v>
      </c>
      <c r="D1646" s="10" t="s">
        <v>17</v>
      </c>
      <c r="E1646" s="11" t="s">
        <v>65</v>
      </c>
      <c r="F1646" s="13">
        <v>34.32</v>
      </c>
      <c r="G1646" s="14">
        <v>45233.0</v>
      </c>
      <c r="H1646" s="15">
        <f t="shared" si="1"/>
        <v>3</v>
      </c>
      <c r="I1646" s="16">
        <f t="shared" si="2"/>
        <v>11</v>
      </c>
      <c r="J1646" s="15">
        <f t="shared" si="3"/>
        <v>2023</v>
      </c>
      <c r="K1646" s="16">
        <f>STANDARDIZE(F1646,'estatística'!$C$2,'estatística'!$H$2)</f>
        <v>0.4180805267</v>
      </c>
    </row>
    <row r="1647" ht="15.75" customHeight="1">
      <c r="A1647" s="9">
        <v>90.0</v>
      </c>
      <c r="B1647" s="10" t="s">
        <v>191</v>
      </c>
      <c r="C1647" s="11" t="s">
        <v>192</v>
      </c>
      <c r="D1647" s="10" t="s">
        <v>13</v>
      </c>
      <c r="E1647" s="11" t="s">
        <v>80</v>
      </c>
      <c r="F1647" s="13">
        <v>39.01</v>
      </c>
      <c r="G1647" s="14">
        <v>45233.0</v>
      </c>
      <c r="H1647" s="15">
        <f t="shared" si="1"/>
        <v>3</v>
      </c>
      <c r="I1647" s="16">
        <f t="shared" si="2"/>
        <v>11</v>
      </c>
      <c r="J1647" s="15">
        <f t="shared" si="3"/>
        <v>2023</v>
      </c>
      <c r="K1647" s="16">
        <f>STANDARDIZE(F1647,'estatística'!$C$2,'estatística'!$H$2)</f>
        <v>0.4774626488</v>
      </c>
    </row>
    <row r="1648" ht="15.75" customHeight="1">
      <c r="A1648" s="9">
        <v>48.0</v>
      </c>
      <c r="B1648" s="10" t="s">
        <v>25</v>
      </c>
      <c r="C1648" s="11" t="s">
        <v>28</v>
      </c>
      <c r="D1648" s="10" t="s">
        <v>17</v>
      </c>
      <c r="E1648" s="11" t="s">
        <v>65</v>
      </c>
      <c r="F1648" s="13">
        <v>28.47</v>
      </c>
      <c r="G1648" s="14">
        <v>45233.0</v>
      </c>
      <c r="H1648" s="15">
        <f t="shared" si="1"/>
        <v>3</v>
      </c>
      <c r="I1648" s="16">
        <f t="shared" si="2"/>
        <v>11</v>
      </c>
      <c r="J1648" s="15">
        <f t="shared" si="3"/>
        <v>2023</v>
      </c>
      <c r="K1648" s="16">
        <f>STANDARDIZE(F1648,'estatística'!$C$2,'estatística'!$H$2)</f>
        <v>0.3440111421</v>
      </c>
    </row>
    <row r="1649" ht="15.75" customHeight="1">
      <c r="A1649" s="9">
        <v>15.0</v>
      </c>
      <c r="B1649" s="10" t="s">
        <v>37</v>
      </c>
      <c r="C1649" s="11" t="s">
        <v>38</v>
      </c>
      <c r="D1649" s="10" t="s">
        <v>17</v>
      </c>
      <c r="E1649" s="11" t="s">
        <v>29</v>
      </c>
      <c r="F1649" s="13">
        <v>12.41</v>
      </c>
      <c r="G1649" s="14">
        <v>45233.0</v>
      </c>
      <c r="H1649" s="15">
        <f t="shared" si="1"/>
        <v>3</v>
      </c>
      <c r="I1649" s="16">
        <f t="shared" si="2"/>
        <v>11</v>
      </c>
      <c r="J1649" s="15">
        <f t="shared" si="3"/>
        <v>2023</v>
      </c>
      <c r="K1649" s="16">
        <f>STANDARDIZE(F1649,'estatística'!$C$2,'estatística'!$H$2)</f>
        <v>0.1406685237</v>
      </c>
    </row>
    <row r="1650" ht="15.75" customHeight="1">
      <c r="A1650" s="9">
        <v>5.0</v>
      </c>
      <c r="B1650" s="10" t="s">
        <v>139</v>
      </c>
      <c r="C1650" s="11" t="s">
        <v>140</v>
      </c>
      <c r="D1650" s="10" t="s">
        <v>13</v>
      </c>
      <c r="E1650" s="11" t="s">
        <v>24</v>
      </c>
      <c r="F1650" s="13">
        <v>33.5</v>
      </c>
      <c r="G1650" s="14">
        <v>45233.0</v>
      </c>
      <c r="H1650" s="15">
        <f t="shared" si="1"/>
        <v>3</v>
      </c>
      <c r="I1650" s="16">
        <f t="shared" si="2"/>
        <v>11</v>
      </c>
      <c r="J1650" s="15">
        <f t="shared" si="3"/>
        <v>2023</v>
      </c>
      <c r="K1650" s="16">
        <f>STANDARDIZE(F1650,'estatística'!$C$2,'estatística'!$H$2)</f>
        <v>0.4076981514</v>
      </c>
    </row>
    <row r="1651" ht="15.75" customHeight="1">
      <c r="A1651" s="9">
        <v>86.0</v>
      </c>
      <c r="B1651" s="10" t="s">
        <v>40</v>
      </c>
      <c r="C1651" s="11" t="s">
        <v>41</v>
      </c>
      <c r="D1651" s="10" t="s">
        <v>17</v>
      </c>
      <c r="E1651" s="11" t="s">
        <v>39</v>
      </c>
      <c r="F1651" s="13">
        <v>52.31</v>
      </c>
      <c r="G1651" s="14">
        <v>45234.0</v>
      </c>
      <c r="H1651" s="15">
        <f t="shared" si="1"/>
        <v>4</v>
      </c>
      <c r="I1651" s="16">
        <f t="shared" si="2"/>
        <v>11</v>
      </c>
      <c r="J1651" s="15">
        <f t="shared" si="3"/>
        <v>2023</v>
      </c>
      <c r="K1651" s="16">
        <f>STANDARDIZE(F1651,'estatística'!$C$2,'estatística'!$H$2)</f>
        <v>0.6458597113</v>
      </c>
    </row>
    <row r="1652" ht="15.75" customHeight="1">
      <c r="A1652" s="9">
        <v>55.0</v>
      </c>
      <c r="B1652" s="10" t="s">
        <v>174</v>
      </c>
      <c r="C1652" s="11" t="s">
        <v>175</v>
      </c>
      <c r="D1652" s="10" t="s">
        <v>13</v>
      </c>
      <c r="E1652" s="11" t="s">
        <v>32</v>
      </c>
      <c r="F1652" s="13">
        <v>29.29</v>
      </c>
      <c r="G1652" s="14">
        <v>45234.0</v>
      </c>
      <c r="H1652" s="15">
        <f t="shared" si="1"/>
        <v>4</v>
      </c>
      <c r="I1652" s="16">
        <f t="shared" si="2"/>
        <v>11</v>
      </c>
      <c r="J1652" s="15">
        <f t="shared" si="3"/>
        <v>2023</v>
      </c>
      <c r="K1652" s="16">
        <f>STANDARDIZE(F1652,'estatística'!$C$2,'estatística'!$H$2)</f>
        <v>0.3543935173</v>
      </c>
    </row>
    <row r="1653" ht="15.75" customHeight="1">
      <c r="A1653" s="9">
        <v>49.0</v>
      </c>
      <c r="B1653" s="10" t="s">
        <v>151</v>
      </c>
      <c r="C1653" s="11" t="s">
        <v>152</v>
      </c>
      <c r="D1653" s="10" t="s">
        <v>13</v>
      </c>
      <c r="E1653" s="11" t="s">
        <v>65</v>
      </c>
      <c r="F1653" s="13">
        <v>34.56</v>
      </c>
      <c r="G1653" s="14">
        <v>45234.0</v>
      </c>
      <c r="H1653" s="15">
        <f t="shared" si="1"/>
        <v>4</v>
      </c>
      <c r="I1653" s="16">
        <f t="shared" si="2"/>
        <v>11</v>
      </c>
      <c r="J1653" s="15">
        <f t="shared" si="3"/>
        <v>2023</v>
      </c>
      <c r="K1653" s="16">
        <f>STANDARDIZE(F1653,'estatística'!$C$2,'estatística'!$H$2)</f>
        <v>0.4211192707</v>
      </c>
    </row>
    <row r="1654" ht="15.75" customHeight="1">
      <c r="A1654" s="9">
        <v>74.0</v>
      </c>
      <c r="B1654" s="10" t="s">
        <v>11</v>
      </c>
      <c r="C1654" s="11" t="s">
        <v>94</v>
      </c>
      <c r="D1654" s="10" t="s">
        <v>17</v>
      </c>
      <c r="E1654" s="11" t="s">
        <v>18</v>
      </c>
      <c r="F1654" s="13">
        <v>36.81</v>
      </c>
      <c r="G1654" s="14">
        <v>45234.0</v>
      </c>
      <c r="H1654" s="15">
        <f t="shared" si="1"/>
        <v>4</v>
      </c>
      <c r="I1654" s="16">
        <f t="shared" si="2"/>
        <v>11</v>
      </c>
      <c r="J1654" s="15">
        <f t="shared" si="3"/>
        <v>2023</v>
      </c>
      <c r="K1654" s="16">
        <f>STANDARDIZE(F1654,'estatística'!$C$2,'estatística'!$H$2)</f>
        <v>0.4496074956</v>
      </c>
    </row>
    <row r="1655" ht="15.75" customHeight="1">
      <c r="A1655" s="9">
        <v>8.0</v>
      </c>
      <c r="B1655" s="10" t="s">
        <v>75</v>
      </c>
      <c r="C1655" s="11" t="s">
        <v>76</v>
      </c>
      <c r="D1655" s="10" t="s">
        <v>13</v>
      </c>
      <c r="E1655" s="11" t="s">
        <v>33</v>
      </c>
      <c r="F1655" s="13">
        <v>65.44</v>
      </c>
      <c r="G1655" s="14">
        <v>45234.0</v>
      </c>
      <c r="H1655" s="15">
        <f t="shared" si="1"/>
        <v>4</v>
      </c>
      <c r="I1655" s="16">
        <f t="shared" si="2"/>
        <v>11</v>
      </c>
      <c r="J1655" s="15">
        <f t="shared" si="3"/>
        <v>2023</v>
      </c>
      <c r="K1655" s="16">
        <f>STANDARDIZE(F1655,'estatística'!$C$2,'estatística'!$H$2)</f>
        <v>0.8121043302</v>
      </c>
    </row>
    <row r="1656" ht="15.75" customHeight="1">
      <c r="A1656" s="9">
        <v>72.0</v>
      </c>
      <c r="B1656" s="10" t="s">
        <v>103</v>
      </c>
      <c r="C1656" s="11" t="s">
        <v>104</v>
      </c>
      <c r="D1656" s="10" t="s">
        <v>17</v>
      </c>
      <c r="E1656" s="11" t="s">
        <v>48</v>
      </c>
      <c r="F1656" s="13">
        <v>14.88</v>
      </c>
      <c r="G1656" s="14">
        <v>45234.0</v>
      </c>
      <c r="H1656" s="15">
        <f t="shared" si="1"/>
        <v>4</v>
      </c>
      <c r="I1656" s="16">
        <f t="shared" si="2"/>
        <v>11</v>
      </c>
      <c r="J1656" s="15">
        <f t="shared" si="3"/>
        <v>2023</v>
      </c>
      <c r="K1656" s="16">
        <f>STANDARDIZE(F1656,'estatística'!$C$2,'estatística'!$H$2)</f>
        <v>0.1719422639</v>
      </c>
    </row>
    <row r="1657" ht="15.75" customHeight="1">
      <c r="A1657" s="9">
        <v>21.0</v>
      </c>
      <c r="B1657" s="10" t="s">
        <v>158</v>
      </c>
      <c r="C1657" s="11" t="s">
        <v>159</v>
      </c>
      <c r="D1657" s="10" t="s">
        <v>13</v>
      </c>
      <c r="E1657" s="11" t="s">
        <v>80</v>
      </c>
      <c r="F1657" s="13">
        <v>38.62</v>
      </c>
      <c r="G1657" s="14">
        <v>45235.0</v>
      </c>
      <c r="H1657" s="15">
        <f t="shared" si="1"/>
        <v>5</v>
      </c>
      <c r="I1657" s="16">
        <f t="shared" si="2"/>
        <v>11</v>
      </c>
      <c r="J1657" s="15">
        <f t="shared" si="3"/>
        <v>2023</v>
      </c>
      <c r="K1657" s="16">
        <f>STANDARDIZE(F1657,'estatística'!$C$2,'estatística'!$H$2)</f>
        <v>0.4725246898</v>
      </c>
    </row>
    <row r="1658" ht="15.75" customHeight="1">
      <c r="A1658" s="9">
        <v>55.0</v>
      </c>
      <c r="B1658" s="10" t="s">
        <v>174</v>
      </c>
      <c r="C1658" s="11" t="s">
        <v>175</v>
      </c>
      <c r="D1658" s="10" t="s">
        <v>13</v>
      </c>
      <c r="E1658" s="11" t="s">
        <v>80</v>
      </c>
      <c r="F1658" s="13">
        <v>33.88</v>
      </c>
      <c r="G1658" s="14">
        <v>45235.0</v>
      </c>
      <c r="H1658" s="15">
        <f t="shared" si="1"/>
        <v>5</v>
      </c>
      <c r="I1658" s="16">
        <f t="shared" si="2"/>
        <v>11</v>
      </c>
      <c r="J1658" s="15">
        <f t="shared" si="3"/>
        <v>2023</v>
      </c>
      <c r="K1658" s="16">
        <f>STANDARDIZE(F1658,'estatística'!$C$2,'estatística'!$H$2)</f>
        <v>0.4125094961</v>
      </c>
    </row>
    <row r="1659" ht="15.75" customHeight="1">
      <c r="A1659" s="9">
        <v>3.0</v>
      </c>
      <c r="B1659" s="10" t="s">
        <v>51</v>
      </c>
      <c r="C1659" s="11" t="s">
        <v>52</v>
      </c>
      <c r="D1659" s="10" t="s">
        <v>17</v>
      </c>
      <c r="E1659" s="11" t="s">
        <v>107</v>
      </c>
      <c r="F1659" s="13">
        <v>27.96</v>
      </c>
      <c r="G1659" s="14">
        <v>45235.0</v>
      </c>
      <c r="H1659" s="15">
        <f t="shared" si="1"/>
        <v>5</v>
      </c>
      <c r="I1659" s="16">
        <f t="shared" si="2"/>
        <v>11</v>
      </c>
      <c r="J1659" s="15">
        <f t="shared" si="3"/>
        <v>2023</v>
      </c>
      <c r="K1659" s="16">
        <f>STANDARDIZE(F1659,'estatística'!$C$2,'estatística'!$H$2)</f>
        <v>0.3375538111</v>
      </c>
    </row>
    <row r="1660" ht="15.75" customHeight="1">
      <c r="A1660" s="9">
        <v>23.0</v>
      </c>
      <c r="B1660" s="10" t="s">
        <v>207</v>
      </c>
      <c r="C1660" s="11" t="s">
        <v>208</v>
      </c>
      <c r="D1660" s="10" t="s">
        <v>13</v>
      </c>
      <c r="E1660" s="11" t="s">
        <v>68</v>
      </c>
      <c r="F1660" s="13">
        <v>11.67</v>
      </c>
      <c r="G1660" s="14">
        <v>45235.0</v>
      </c>
      <c r="H1660" s="15">
        <f t="shared" si="1"/>
        <v>5</v>
      </c>
      <c r="I1660" s="16">
        <f t="shared" si="2"/>
        <v>11</v>
      </c>
      <c r="J1660" s="15">
        <f t="shared" si="3"/>
        <v>2023</v>
      </c>
      <c r="K1660" s="16">
        <f>STANDARDIZE(F1660,'estatística'!$C$2,'estatística'!$H$2)</f>
        <v>0.1312990631</v>
      </c>
    </row>
    <row r="1661" ht="15.75" customHeight="1">
      <c r="A1661" s="9">
        <v>64.0</v>
      </c>
      <c r="B1661" s="10" t="s">
        <v>131</v>
      </c>
      <c r="C1661" s="11" t="s">
        <v>132</v>
      </c>
      <c r="D1661" s="10" t="s">
        <v>17</v>
      </c>
      <c r="E1661" s="11" t="s">
        <v>77</v>
      </c>
      <c r="F1661" s="13">
        <v>15.98</v>
      </c>
      <c r="G1661" s="14">
        <v>45235.0</v>
      </c>
      <c r="H1661" s="15">
        <f t="shared" si="1"/>
        <v>5</v>
      </c>
      <c r="I1661" s="16">
        <f t="shared" si="2"/>
        <v>11</v>
      </c>
      <c r="J1661" s="15">
        <f t="shared" si="3"/>
        <v>2023</v>
      </c>
      <c r="K1661" s="16">
        <f>STANDARDIZE(F1661,'estatística'!$C$2,'estatística'!$H$2)</f>
        <v>0.1858698405</v>
      </c>
    </row>
    <row r="1662" ht="15.75" customHeight="1">
      <c r="A1662" s="9">
        <v>58.0</v>
      </c>
      <c r="B1662" s="10" t="s">
        <v>137</v>
      </c>
      <c r="C1662" s="11" t="s">
        <v>138</v>
      </c>
      <c r="D1662" s="10" t="s">
        <v>17</v>
      </c>
      <c r="E1662" s="11" t="s">
        <v>80</v>
      </c>
      <c r="F1662" s="13">
        <v>32.6</v>
      </c>
      <c r="G1662" s="14">
        <v>45236.0</v>
      </c>
      <c r="H1662" s="15">
        <f t="shared" si="1"/>
        <v>6</v>
      </c>
      <c r="I1662" s="16">
        <f t="shared" si="2"/>
        <v>11</v>
      </c>
      <c r="J1662" s="15">
        <f t="shared" si="3"/>
        <v>2023</v>
      </c>
      <c r="K1662" s="16">
        <f>STANDARDIZE(F1662,'estatística'!$C$2,'estatística'!$H$2)</f>
        <v>0.3963028615</v>
      </c>
    </row>
    <row r="1663" ht="15.75" customHeight="1">
      <c r="A1663" s="9">
        <v>65.0</v>
      </c>
      <c r="B1663" s="10" t="s">
        <v>181</v>
      </c>
      <c r="C1663" s="11" t="s">
        <v>182</v>
      </c>
      <c r="D1663" s="10" t="s">
        <v>17</v>
      </c>
      <c r="E1663" s="11" t="s">
        <v>24</v>
      </c>
      <c r="F1663" s="13">
        <v>38.67</v>
      </c>
      <c r="G1663" s="14">
        <v>45236.0</v>
      </c>
      <c r="H1663" s="15">
        <f t="shared" si="1"/>
        <v>6</v>
      </c>
      <c r="I1663" s="16">
        <f t="shared" si="2"/>
        <v>11</v>
      </c>
      <c r="J1663" s="15">
        <f t="shared" si="3"/>
        <v>2023</v>
      </c>
      <c r="K1663" s="16">
        <f>STANDARDIZE(F1663,'estatística'!$C$2,'estatística'!$H$2)</f>
        <v>0.4731577615</v>
      </c>
    </row>
    <row r="1664" ht="15.75" customHeight="1">
      <c r="A1664" s="9">
        <v>20.0</v>
      </c>
      <c r="B1664" s="10" t="s">
        <v>133</v>
      </c>
      <c r="C1664" s="11" t="s">
        <v>134</v>
      </c>
      <c r="D1664" s="10" t="s">
        <v>13</v>
      </c>
      <c r="E1664" s="11" t="s">
        <v>27</v>
      </c>
      <c r="F1664" s="13">
        <v>18.31</v>
      </c>
      <c r="G1664" s="14">
        <v>45236.0</v>
      </c>
      <c r="H1664" s="15">
        <f t="shared" si="1"/>
        <v>6</v>
      </c>
      <c r="I1664" s="16">
        <f t="shared" si="2"/>
        <v>11</v>
      </c>
      <c r="J1664" s="15">
        <f t="shared" si="3"/>
        <v>2023</v>
      </c>
      <c r="K1664" s="16">
        <f>STANDARDIZE(F1664,'estatística'!$C$2,'estatística'!$H$2)</f>
        <v>0.21537098</v>
      </c>
    </row>
    <row r="1665" ht="15.75" customHeight="1">
      <c r="A1665" s="9">
        <v>82.0</v>
      </c>
      <c r="B1665" s="10" t="s">
        <v>203</v>
      </c>
      <c r="C1665" s="11" t="s">
        <v>204</v>
      </c>
      <c r="D1665" s="10" t="s">
        <v>13</v>
      </c>
      <c r="E1665" s="11" t="s">
        <v>68</v>
      </c>
      <c r="F1665" s="13">
        <v>11.94</v>
      </c>
      <c r="G1665" s="14">
        <v>45236.0</v>
      </c>
      <c r="H1665" s="15">
        <f t="shared" si="1"/>
        <v>6</v>
      </c>
      <c r="I1665" s="16">
        <f t="shared" si="2"/>
        <v>11</v>
      </c>
      <c r="J1665" s="15">
        <f t="shared" si="3"/>
        <v>2023</v>
      </c>
      <c r="K1665" s="16">
        <f>STANDARDIZE(F1665,'estatística'!$C$2,'estatística'!$H$2)</f>
        <v>0.13471765</v>
      </c>
    </row>
    <row r="1666" ht="15.75" customHeight="1">
      <c r="A1666" s="9">
        <v>50.0</v>
      </c>
      <c r="B1666" s="10" t="s">
        <v>19</v>
      </c>
      <c r="C1666" s="11" t="s">
        <v>20</v>
      </c>
      <c r="D1666" s="10" t="s">
        <v>13</v>
      </c>
      <c r="E1666" s="11" t="s">
        <v>62</v>
      </c>
      <c r="F1666" s="13">
        <v>10.73</v>
      </c>
      <c r="G1666" s="14">
        <v>45237.0</v>
      </c>
      <c r="H1666" s="15">
        <f t="shared" si="1"/>
        <v>7</v>
      </c>
      <c r="I1666" s="16">
        <f t="shared" si="2"/>
        <v>11</v>
      </c>
      <c r="J1666" s="15">
        <f t="shared" si="3"/>
        <v>2023</v>
      </c>
      <c r="K1666" s="16">
        <f>STANDARDIZE(F1666,'estatística'!$C$2,'estatística'!$H$2)</f>
        <v>0.1193973158</v>
      </c>
    </row>
    <row r="1667" ht="15.75" customHeight="1">
      <c r="A1667" s="9">
        <v>10.0</v>
      </c>
      <c r="B1667" s="10" t="s">
        <v>120</v>
      </c>
      <c r="C1667" s="11" t="s">
        <v>121</v>
      </c>
      <c r="D1667" s="10" t="s">
        <v>13</v>
      </c>
      <c r="E1667" s="11" t="s">
        <v>39</v>
      </c>
      <c r="F1667" s="13">
        <v>53.27</v>
      </c>
      <c r="G1667" s="14">
        <v>45237.0</v>
      </c>
      <c r="H1667" s="15">
        <f t="shared" si="1"/>
        <v>7</v>
      </c>
      <c r="I1667" s="16">
        <f t="shared" si="2"/>
        <v>11</v>
      </c>
      <c r="J1667" s="15">
        <f t="shared" si="3"/>
        <v>2023</v>
      </c>
      <c r="K1667" s="16">
        <f>STANDARDIZE(F1667,'estatística'!$C$2,'estatística'!$H$2)</f>
        <v>0.6580146873</v>
      </c>
    </row>
    <row r="1668" ht="15.75" customHeight="1">
      <c r="A1668" s="9">
        <v>83.0</v>
      </c>
      <c r="B1668" s="10" t="s">
        <v>66</v>
      </c>
      <c r="C1668" s="11" t="s">
        <v>67</v>
      </c>
      <c r="D1668" s="10" t="s">
        <v>13</v>
      </c>
      <c r="E1668" s="11" t="s">
        <v>39</v>
      </c>
      <c r="F1668" s="13">
        <v>56.0</v>
      </c>
      <c r="G1668" s="14">
        <v>45237.0</v>
      </c>
      <c r="H1668" s="15">
        <f t="shared" si="1"/>
        <v>7</v>
      </c>
      <c r="I1668" s="16">
        <f t="shared" si="2"/>
        <v>11</v>
      </c>
      <c r="J1668" s="15">
        <f t="shared" si="3"/>
        <v>2023</v>
      </c>
      <c r="K1668" s="16">
        <f>STANDARDIZE(F1668,'estatística'!$C$2,'estatística'!$H$2)</f>
        <v>0.6925804001</v>
      </c>
    </row>
    <row r="1669" ht="15.75" customHeight="1">
      <c r="A1669" s="9">
        <v>94.0</v>
      </c>
      <c r="B1669" s="10" t="s">
        <v>179</v>
      </c>
      <c r="C1669" s="11" t="s">
        <v>209</v>
      </c>
      <c r="D1669" s="10" t="s">
        <v>13</v>
      </c>
      <c r="E1669" s="11" t="s">
        <v>62</v>
      </c>
      <c r="F1669" s="13">
        <v>11.31</v>
      </c>
      <c r="G1669" s="14">
        <v>45237.0</v>
      </c>
      <c r="H1669" s="15">
        <f t="shared" si="1"/>
        <v>7</v>
      </c>
      <c r="I1669" s="16">
        <f t="shared" si="2"/>
        <v>11</v>
      </c>
      <c r="J1669" s="15">
        <f t="shared" si="3"/>
        <v>2023</v>
      </c>
      <c r="K1669" s="16">
        <f>STANDARDIZE(F1669,'estatística'!$C$2,'estatística'!$H$2)</f>
        <v>0.1267409471</v>
      </c>
    </row>
    <row r="1670" ht="15.75" customHeight="1">
      <c r="A1670" s="9">
        <v>55.0</v>
      </c>
      <c r="B1670" s="10" t="s">
        <v>174</v>
      </c>
      <c r="C1670" s="11" t="s">
        <v>175</v>
      </c>
      <c r="D1670" s="10" t="s">
        <v>13</v>
      </c>
      <c r="E1670" s="11" t="s">
        <v>29</v>
      </c>
      <c r="F1670" s="13">
        <v>13.87</v>
      </c>
      <c r="G1670" s="14">
        <v>45237.0</v>
      </c>
      <c r="H1670" s="15">
        <f t="shared" si="1"/>
        <v>7</v>
      </c>
      <c r="I1670" s="16">
        <f t="shared" si="2"/>
        <v>11</v>
      </c>
      <c r="J1670" s="15">
        <f t="shared" si="3"/>
        <v>2023</v>
      </c>
      <c r="K1670" s="16">
        <f>STANDARDIZE(F1670,'estatística'!$C$2,'estatística'!$H$2)</f>
        <v>0.1591542163</v>
      </c>
    </row>
    <row r="1671" ht="15.75" customHeight="1">
      <c r="A1671" s="9">
        <v>86.0</v>
      </c>
      <c r="B1671" s="10" t="s">
        <v>40</v>
      </c>
      <c r="C1671" s="11" t="s">
        <v>41</v>
      </c>
      <c r="D1671" s="10" t="s">
        <v>13</v>
      </c>
      <c r="E1671" s="11" t="s">
        <v>57</v>
      </c>
      <c r="F1671" s="13">
        <v>18.08</v>
      </c>
      <c r="G1671" s="14">
        <v>45237.0</v>
      </c>
      <c r="H1671" s="15">
        <f t="shared" si="1"/>
        <v>7</v>
      </c>
      <c r="I1671" s="16">
        <f t="shared" si="2"/>
        <v>11</v>
      </c>
      <c r="J1671" s="15">
        <f t="shared" si="3"/>
        <v>2023</v>
      </c>
      <c r="K1671" s="16">
        <f>STANDARDIZE(F1671,'estatística'!$C$2,'estatística'!$H$2)</f>
        <v>0.2124588503</v>
      </c>
    </row>
    <row r="1672" ht="15.75" customHeight="1">
      <c r="A1672" s="9">
        <v>91.0</v>
      </c>
      <c r="B1672" s="10" t="s">
        <v>81</v>
      </c>
      <c r="C1672" s="11" t="s">
        <v>82</v>
      </c>
      <c r="D1672" s="10" t="s">
        <v>17</v>
      </c>
      <c r="E1672" s="11" t="s">
        <v>68</v>
      </c>
      <c r="F1672" s="13">
        <v>10.47</v>
      </c>
      <c r="G1672" s="14">
        <v>45238.0</v>
      </c>
      <c r="H1672" s="15">
        <f t="shared" si="1"/>
        <v>8</v>
      </c>
      <c r="I1672" s="16">
        <f t="shared" si="2"/>
        <v>11</v>
      </c>
      <c r="J1672" s="15">
        <f t="shared" si="3"/>
        <v>2023</v>
      </c>
      <c r="K1672" s="16">
        <f>STANDARDIZE(F1672,'estatística'!$C$2,'estatística'!$H$2)</f>
        <v>0.1161053431</v>
      </c>
    </row>
    <row r="1673" ht="15.75" customHeight="1">
      <c r="A1673" s="9">
        <v>8.0</v>
      </c>
      <c r="B1673" s="10" t="s">
        <v>75</v>
      </c>
      <c r="C1673" s="11" t="s">
        <v>76</v>
      </c>
      <c r="D1673" s="10" t="s">
        <v>13</v>
      </c>
      <c r="E1673" s="11" t="s">
        <v>14</v>
      </c>
      <c r="F1673" s="13">
        <v>10.64</v>
      </c>
      <c r="G1673" s="14">
        <v>45238.0</v>
      </c>
      <c r="H1673" s="15">
        <f t="shared" si="1"/>
        <v>8</v>
      </c>
      <c r="I1673" s="16">
        <f t="shared" si="2"/>
        <v>11</v>
      </c>
      <c r="J1673" s="15">
        <f t="shared" si="3"/>
        <v>2023</v>
      </c>
      <c r="K1673" s="16">
        <f>STANDARDIZE(F1673,'estatística'!$C$2,'estatística'!$H$2)</f>
        <v>0.1182577868</v>
      </c>
    </row>
    <row r="1674" ht="15.75" customHeight="1">
      <c r="A1674" s="9">
        <v>60.0</v>
      </c>
      <c r="B1674" s="10" t="s">
        <v>42</v>
      </c>
      <c r="C1674" s="11" t="s">
        <v>43</v>
      </c>
      <c r="D1674" s="10" t="s">
        <v>17</v>
      </c>
      <c r="E1674" s="11" t="s">
        <v>29</v>
      </c>
      <c r="F1674" s="13">
        <v>13.63</v>
      </c>
      <c r="G1674" s="14">
        <v>45238.0</v>
      </c>
      <c r="H1674" s="15">
        <f t="shared" si="1"/>
        <v>8</v>
      </c>
      <c r="I1674" s="16">
        <f t="shared" si="2"/>
        <v>11</v>
      </c>
      <c r="J1674" s="15">
        <f t="shared" si="3"/>
        <v>2023</v>
      </c>
      <c r="K1674" s="16">
        <f>STANDARDIZE(F1674,'estatística'!$C$2,'estatística'!$H$2)</f>
        <v>0.1561154723</v>
      </c>
    </row>
    <row r="1675" ht="15.75" customHeight="1">
      <c r="A1675" s="9">
        <v>80.0</v>
      </c>
      <c r="B1675" s="10" t="s">
        <v>22</v>
      </c>
      <c r="C1675" s="11" t="s">
        <v>23</v>
      </c>
      <c r="D1675" s="10" t="s">
        <v>17</v>
      </c>
      <c r="E1675" s="11" t="s">
        <v>14</v>
      </c>
      <c r="F1675" s="13">
        <v>10.69</v>
      </c>
      <c r="G1675" s="14">
        <v>45238.0</v>
      </c>
      <c r="H1675" s="15">
        <f t="shared" si="1"/>
        <v>8</v>
      </c>
      <c r="I1675" s="16">
        <f t="shared" si="2"/>
        <v>11</v>
      </c>
      <c r="J1675" s="15">
        <f t="shared" si="3"/>
        <v>2023</v>
      </c>
      <c r="K1675" s="16">
        <f>STANDARDIZE(F1675,'estatística'!$C$2,'estatística'!$H$2)</f>
        <v>0.1188908584</v>
      </c>
    </row>
    <row r="1676" ht="15.75" customHeight="1">
      <c r="A1676" s="9">
        <v>20.0</v>
      </c>
      <c r="B1676" s="10" t="s">
        <v>133</v>
      </c>
      <c r="C1676" s="11" t="s">
        <v>134</v>
      </c>
      <c r="D1676" s="10" t="s">
        <v>13</v>
      </c>
      <c r="E1676" s="11" t="s">
        <v>39</v>
      </c>
      <c r="F1676" s="13">
        <v>57.38</v>
      </c>
      <c r="G1676" s="14">
        <v>45238.0</v>
      </c>
      <c r="H1676" s="15">
        <f t="shared" si="1"/>
        <v>8</v>
      </c>
      <c r="I1676" s="16">
        <f t="shared" si="2"/>
        <v>11</v>
      </c>
      <c r="J1676" s="15">
        <f t="shared" si="3"/>
        <v>2023</v>
      </c>
      <c r="K1676" s="16">
        <f>STANDARDIZE(F1676,'estatística'!$C$2,'estatística'!$H$2)</f>
        <v>0.710053178</v>
      </c>
    </row>
    <row r="1677" ht="15.75" customHeight="1">
      <c r="A1677" s="9">
        <v>83.0</v>
      </c>
      <c r="B1677" s="10" t="s">
        <v>66</v>
      </c>
      <c r="C1677" s="11" t="s">
        <v>67</v>
      </c>
      <c r="D1677" s="10" t="s">
        <v>17</v>
      </c>
      <c r="E1677" s="11" t="s">
        <v>91</v>
      </c>
      <c r="F1677" s="13">
        <v>2.44</v>
      </c>
      <c r="G1677" s="14">
        <v>45238.0</v>
      </c>
      <c r="H1677" s="15">
        <f t="shared" si="1"/>
        <v>8</v>
      </c>
      <c r="I1677" s="16">
        <f t="shared" si="2"/>
        <v>11</v>
      </c>
      <c r="J1677" s="15">
        <f t="shared" si="3"/>
        <v>2023</v>
      </c>
      <c r="K1677" s="16">
        <f>STANDARDIZE(F1677,'estatística'!$C$2,'estatística'!$H$2)</f>
        <v>0.01443403393</v>
      </c>
    </row>
    <row r="1678" ht="15.75" customHeight="1">
      <c r="A1678" s="9">
        <v>56.0</v>
      </c>
      <c r="B1678" s="10" t="s">
        <v>97</v>
      </c>
      <c r="C1678" s="11" t="s">
        <v>98</v>
      </c>
      <c r="D1678" s="10" t="s">
        <v>17</v>
      </c>
      <c r="E1678" s="11" t="s">
        <v>57</v>
      </c>
      <c r="F1678" s="13">
        <v>14.44</v>
      </c>
      <c r="G1678" s="14">
        <v>45238.0</v>
      </c>
      <c r="H1678" s="15">
        <f t="shared" si="1"/>
        <v>8</v>
      </c>
      <c r="I1678" s="16">
        <f t="shared" si="2"/>
        <v>11</v>
      </c>
      <c r="J1678" s="15">
        <f t="shared" si="3"/>
        <v>2023</v>
      </c>
      <c r="K1678" s="16">
        <f>STANDARDIZE(F1678,'estatística'!$C$2,'estatística'!$H$2)</f>
        <v>0.1663712332</v>
      </c>
    </row>
    <row r="1679" ht="15.75" customHeight="1">
      <c r="A1679" s="9">
        <v>87.0</v>
      </c>
      <c r="B1679" s="10" t="s">
        <v>215</v>
      </c>
      <c r="C1679" s="11" t="s">
        <v>216</v>
      </c>
      <c r="D1679" s="10" t="s">
        <v>17</v>
      </c>
      <c r="E1679" s="11" t="s">
        <v>68</v>
      </c>
      <c r="F1679" s="13">
        <v>14.8</v>
      </c>
      <c r="G1679" s="14">
        <v>45239.0</v>
      </c>
      <c r="H1679" s="15">
        <f t="shared" si="1"/>
        <v>9</v>
      </c>
      <c r="I1679" s="16">
        <f t="shared" si="2"/>
        <v>11</v>
      </c>
      <c r="J1679" s="15">
        <f t="shared" si="3"/>
        <v>2023</v>
      </c>
      <c r="K1679" s="16">
        <f>STANDARDIZE(F1679,'estatística'!$C$2,'estatística'!$H$2)</f>
        <v>0.1709293492</v>
      </c>
    </row>
    <row r="1680" ht="15.75" customHeight="1">
      <c r="A1680" s="9">
        <v>5.0</v>
      </c>
      <c r="B1680" s="10" t="s">
        <v>139</v>
      </c>
      <c r="C1680" s="11" t="s">
        <v>140</v>
      </c>
      <c r="D1680" s="10" t="s">
        <v>17</v>
      </c>
      <c r="E1680" s="11" t="s">
        <v>62</v>
      </c>
      <c r="F1680" s="13">
        <v>10.84</v>
      </c>
      <c r="G1680" s="14">
        <v>45239.0</v>
      </c>
      <c r="H1680" s="15">
        <f t="shared" si="1"/>
        <v>9</v>
      </c>
      <c r="I1680" s="16">
        <f t="shared" si="2"/>
        <v>11</v>
      </c>
      <c r="J1680" s="15">
        <f t="shared" si="3"/>
        <v>2023</v>
      </c>
      <c r="K1680" s="16">
        <f>STANDARDIZE(F1680,'estatística'!$C$2,'estatística'!$H$2)</f>
        <v>0.1207900734</v>
      </c>
    </row>
    <row r="1681" ht="15.75" customHeight="1">
      <c r="A1681" s="9">
        <v>28.0</v>
      </c>
      <c r="B1681" s="10" t="s">
        <v>49</v>
      </c>
      <c r="C1681" s="11" t="s">
        <v>50</v>
      </c>
      <c r="D1681" s="10" t="s">
        <v>17</v>
      </c>
      <c r="E1681" s="11" t="s">
        <v>29</v>
      </c>
      <c r="F1681" s="13">
        <v>14.66</v>
      </c>
      <c r="G1681" s="14">
        <v>45239.0</v>
      </c>
      <c r="H1681" s="15">
        <f t="shared" si="1"/>
        <v>9</v>
      </c>
      <c r="I1681" s="16">
        <f t="shared" si="2"/>
        <v>11</v>
      </c>
      <c r="J1681" s="15">
        <f t="shared" si="3"/>
        <v>2023</v>
      </c>
      <c r="K1681" s="16">
        <f>STANDARDIZE(F1681,'estatística'!$C$2,'estatística'!$H$2)</f>
        <v>0.1691567485</v>
      </c>
    </row>
    <row r="1682" ht="15.75" customHeight="1">
      <c r="A1682" s="9">
        <v>11.0</v>
      </c>
      <c r="B1682" s="10" t="s">
        <v>199</v>
      </c>
      <c r="C1682" s="11" t="s">
        <v>200</v>
      </c>
      <c r="D1682" s="10" t="s">
        <v>17</v>
      </c>
      <c r="E1682" s="11" t="s">
        <v>21</v>
      </c>
      <c r="F1682" s="13">
        <v>12.5</v>
      </c>
      <c r="G1682" s="14">
        <v>45239.0</v>
      </c>
      <c r="H1682" s="15">
        <f t="shared" si="1"/>
        <v>9</v>
      </c>
      <c r="I1682" s="16">
        <f t="shared" si="2"/>
        <v>11</v>
      </c>
      <c r="J1682" s="15">
        <f t="shared" si="3"/>
        <v>2023</v>
      </c>
      <c r="K1682" s="16">
        <f>STANDARDIZE(F1682,'estatística'!$C$2,'estatística'!$H$2)</f>
        <v>0.1418080527</v>
      </c>
    </row>
    <row r="1683" ht="15.75" customHeight="1">
      <c r="A1683" s="9">
        <v>48.0</v>
      </c>
      <c r="B1683" s="10" t="s">
        <v>25</v>
      </c>
      <c r="C1683" s="11" t="s">
        <v>28</v>
      </c>
      <c r="D1683" s="10" t="s">
        <v>17</v>
      </c>
      <c r="E1683" s="11" t="s">
        <v>24</v>
      </c>
      <c r="F1683" s="13">
        <v>28.67</v>
      </c>
      <c r="G1683" s="14">
        <v>45240.0</v>
      </c>
      <c r="H1683" s="15">
        <f t="shared" si="1"/>
        <v>10</v>
      </c>
      <c r="I1683" s="16">
        <f t="shared" si="2"/>
        <v>11</v>
      </c>
      <c r="J1683" s="15">
        <f t="shared" si="3"/>
        <v>2023</v>
      </c>
      <c r="K1683" s="16">
        <f>STANDARDIZE(F1683,'estatística'!$C$2,'estatística'!$H$2)</f>
        <v>0.3465434287</v>
      </c>
    </row>
    <row r="1684" ht="15.75" customHeight="1">
      <c r="A1684" s="9">
        <v>47.0</v>
      </c>
      <c r="B1684" s="10" t="s">
        <v>89</v>
      </c>
      <c r="C1684" s="11" t="s">
        <v>90</v>
      </c>
      <c r="D1684" s="10" t="s">
        <v>17</v>
      </c>
      <c r="E1684" s="11" t="s">
        <v>116</v>
      </c>
      <c r="F1684" s="13">
        <v>3.92</v>
      </c>
      <c r="G1684" s="14">
        <v>45240.0</v>
      </c>
      <c r="H1684" s="15">
        <f t="shared" si="1"/>
        <v>10</v>
      </c>
      <c r="I1684" s="16">
        <f t="shared" si="2"/>
        <v>11</v>
      </c>
      <c r="J1684" s="15">
        <f t="shared" si="3"/>
        <v>2023</v>
      </c>
      <c r="K1684" s="16">
        <f>STANDARDIZE(F1684,'estatística'!$C$2,'estatística'!$H$2)</f>
        <v>0.03317295518</v>
      </c>
    </row>
    <row r="1685" ht="15.75" customHeight="1">
      <c r="A1685" s="9">
        <v>29.0</v>
      </c>
      <c r="B1685" s="10" t="s">
        <v>92</v>
      </c>
      <c r="C1685" s="11" t="s">
        <v>93</v>
      </c>
      <c r="D1685" s="10" t="s">
        <v>17</v>
      </c>
      <c r="E1685" s="11" t="s">
        <v>24</v>
      </c>
      <c r="F1685" s="13">
        <v>35.08</v>
      </c>
      <c r="G1685" s="14">
        <v>45240.0</v>
      </c>
      <c r="H1685" s="15">
        <f t="shared" si="1"/>
        <v>10</v>
      </c>
      <c r="I1685" s="16">
        <f t="shared" si="2"/>
        <v>11</v>
      </c>
      <c r="J1685" s="15">
        <f t="shared" si="3"/>
        <v>2023</v>
      </c>
      <c r="K1685" s="16">
        <f>STANDARDIZE(F1685,'estatística'!$C$2,'estatística'!$H$2)</f>
        <v>0.427703216</v>
      </c>
    </row>
    <row r="1686" ht="15.75" customHeight="1">
      <c r="A1686" s="9">
        <v>30.0</v>
      </c>
      <c r="B1686" s="10" t="s">
        <v>11</v>
      </c>
      <c r="C1686" s="11" t="s">
        <v>12</v>
      </c>
      <c r="D1686" s="10" t="s">
        <v>13</v>
      </c>
      <c r="E1686" s="11" t="s">
        <v>107</v>
      </c>
      <c r="F1686" s="13">
        <v>27.07</v>
      </c>
      <c r="G1686" s="14">
        <v>45240.0</v>
      </c>
      <c r="H1686" s="15">
        <f t="shared" si="1"/>
        <v>10</v>
      </c>
      <c r="I1686" s="16">
        <f t="shared" si="2"/>
        <v>11</v>
      </c>
      <c r="J1686" s="15">
        <f t="shared" si="3"/>
        <v>2023</v>
      </c>
      <c r="K1686" s="16">
        <f>STANDARDIZE(F1686,'estatística'!$C$2,'estatística'!$H$2)</f>
        <v>0.3262851355</v>
      </c>
    </row>
    <row r="1687" ht="15.75" customHeight="1">
      <c r="A1687" s="9">
        <v>55.0</v>
      </c>
      <c r="B1687" s="10" t="s">
        <v>174</v>
      </c>
      <c r="C1687" s="11" t="s">
        <v>175</v>
      </c>
      <c r="D1687" s="10" t="s">
        <v>17</v>
      </c>
      <c r="E1687" s="11" t="s">
        <v>48</v>
      </c>
      <c r="F1687" s="13">
        <v>13.25</v>
      </c>
      <c r="G1687" s="14">
        <v>45240.0</v>
      </c>
      <c r="H1687" s="15">
        <f t="shared" si="1"/>
        <v>10</v>
      </c>
      <c r="I1687" s="16">
        <f t="shared" si="2"/>
        <v>11</v>
      </c>
      <c r="J1687" s="15">
        <f t="shared" si="3"/>
        <v>2023</v>
      </c>
      <c r="K1687" s="16">
        <f>STANDARDIZE(F1687,'estatística'!$C$2,'estatística'!$H$2)</f>
        <v>0.1513041276</v>
      </c>
    </row>
    <row r="1688" ht="15.75" customHeight="1">
      <c r="A1688" s="9">
        <v>80.0</v>
      </c>
      <c r="B1688" s="10" t="s">
        <v>22</v>
      </c>
      <c r="C1688" s="11" t="s">
        <v>23</v>
      </c>
      <c r="D1688" s="10" t="s">
        <v>17</v>
      </c>
      <c r="E1688" s="11" t="s">
        <v>116</v>
      </c>
      <c r="F1688" s="13">
        <v>2.99</v>
      </c>
      <c r="G1688" s="14">
        <v>45240.0</v>
      </c>
      <c r="H1688" s="15">
        <f t="shared" si="1"/>
        <v>10</v>
      </c>
      <c r="I1688" s="16">
        <f t="shared" si="2"/>
        <v>11</v>
      </c>
      <c r="J1688" s="15">
        <f t="shared" si="3"/>
        <v>2023</v>
      </c>
      <c r="K1688" s="16">
        <f>STANDARDIZE(F1688,'estatística'!$C$2,'estatística'!$H$2)</f>
        <v>0.02139782223</v>
      </c>
    </row>
    <row r="1689" ht="15.75" customHeight="1">
      <c r="A1689" s="9">
        <v>80.0</v>
      </c>
      <c r="B1689" s="10" t="s">
        <v>22</v>
      </c>
      <c r="C1689" s="11" t="s">
        <v>23</v>
      </c>
      <c r="D1689" s="10" t="s">
        <v>13</v>
      </c>
      <c r="E1689" s="11" t="s">
        <v>18</v>
      </c>
      <c r="F1689" s="13">
        <v>39.24</v>
      </c>
      <c r="G1689" s="14">
        <v>45240.0</v>
      </c>
      <c r="H1689" s="15">
        <f t="shared" si="1"/>
        <v>10</v>
      </c>
      <c r="I1689" s="16">
        <f t="shared" si="2"/>
        <v>11</v>
      </c>
      <c r="J1689" s="15">
        <f t="shared" si="3"/>
        <v>2023</v>
      </c>
      <c r="K1689" s="16">
        <f>STANDARDIZE(F1689,'estatística'!$C$2,'estatística'!$H$2)</f>
        <v>0.4803747784</v>
      </c>
    </row>
    <row r="1690" ht="15.75" customHeight="1">
      <c r="A1690" s="9">
        <v>77.0</v>
      </c>
      <c r="B1690" s="10" t="s">
        <v>11</v>
      </c>
      <c r="C1690" s="11" t="s">
        <v>141</v>
      </c>
      <c r="D1690" s="10" t="s">
        <v>13</v>
      </c>
      <c r="E1690" s="11" t="s">
        <v>18</v>
      </c>
      <c r="F1690" s="13">
        <v>56.13</v>
      </c>
      <c r="G1690" s="14">
        <v>45241.0</v>
      </c>
      <c r="H1690" s="15">
        <f t="shared" si="1"/>
        <v>11</v>
      </c>
      <c r="I1690" s="16">
        <f t="shared" si="2"/>
        <v>11</v>
      </c>
      <c r="J1690" s="15">
        <f t="shared" si="3"/>
        <v>2023</v>
      </c>
      <c r="K1690" s="16">
        <f>STANDARDIZE(F1690,'estatística'!$C$2,'estatística'!$H$2)</f>
        <v>0.6942263864</v>
      </c>
    </row>
    <row r="1691" ht="15.75" customHeight="1">
      <c r="A1691" s="9">
        <v>30.0</v>
      </c>
      <c r="B1691" s="10" t="s">
        <v>11</v>
      </c>
      <c r="C1691" s="11" t="s">
        <v>12</v>
      </c>
      <c r="D1691" s="10" t="s">
        <v>13</v>
      </c>
      <c r="E1691" s="11" t="s">
        <v>29</v>
      </c>
      <c r="F1691" s="13">
        <v>14.93</v>
      </c>
      <c r="G1691" s="14">
        <v>45241.0</v>
      </c>
      <c r="H1691" s="15">
        <f t="shared" si="1"/>
        <v>11</v>
      </c>
      <c r="I1691" s="16">
        <f t="shared" si="2"/>
        <v>11</v>
      </c>
      <c r="J1691" s="15">
        <f t="shared" si="3"/>
        <v>2023</v>
      </c>
      <c r="K1691" s="16">
        <f>STANDARDIZE(F1691,'estatística'!$C$2,'estatística'!$H$2)</f>
        <v>0.1725753355</v>
      </c>
    </row>
    <row r="1692" ht="15.75" customHeight="1">
      <c r="A1692" s="9">
        <v>5.0</v>
      </c>
      <c r="B1692" s="10" t="s">
        <v>139</v>
      </c>
      <c r="C1692" s="11" t="s">
        <v>140</v>
      </c>
      <c r="D1692" s="10" t="s">
        <v>17</v>
      </c>
      <c r="E1692" s="11" t="s">
        <v>27</v>
      </c>
      <c r="F1692" s="13">
        <v>16.06</v>
      </c>
      <c r="G1692" s="14">
        <v>45241.0</v>
      </c>
      <c r="H1692" s="15">
        <f t="shared" si="1"/>
        <v>11</v>
      </c>
      <c r="I1692" s="16">
        <f t="shared" si="2"/>
        <v>11</v>
      </c>
      <c r="J1692" s="15">
        <f t="shared" si="3"/>
        <v>2023</v>
      </c>
      <c r="K1692" s="16">
        <f>STANDARDIZE(F1692,'estatística'!$C$2,'estatística'!$H$2)</f>
        <v>0.1868827551</v>
      </c>
    </row>
    <row r="1693" ht="15.75" customHeight="1">
      <c r="A1693" s="9">
        <v>41.0</v>
      </c>
      <c r="B1693" s="10" t="s">
        <v>189</v>
      </c>
      <c r="C1693" s="11" t="s">
        <v>190</v>
      </c>
      <c r="D1693" s="10" t="s">
        <v>13</v>
      </c>
      <c r="E1693" s="11" t="s">
        <v>107</v>
      </c>
      <c r="F1693" s="13">
        <v>31.4</v>
      </c>
      <c r="G1693" s="14">
        <v>45241.0</v>
      </c>
      <c r="H1693" s="15">
        <f t="shared" si="1"/>
        <v>11</v>
      </c>
      <c r="I1693" s="16">
        <f t="shared" si="2"/>
        <v>11</v>
      </c>
      <c r="J1693" s="15">
        <f t="shared" si="3"/>
        <v>2023</v>
      </c>
      <c r="K1693" s="16">
        <f>STANDARDIZE(F1693,'estatística'!$C$2,'estatística'!$H$2)</f>
        <v>0.3811091416</v>
      </c>
    </row>
    <row r="1694" ht="15.75" customHeight="1">
      <c r="A1694" s="9">
        <v>17.0</v>
      </c>
      <c r="B1694" s="10" t="s">
        <v>172</v>
      </c>
      <c r="C1694" s="11" t="s">
        <v>173</v>
      </c>
      <c r="D1694" s="10" t="s">
        <v>17</v>
      </c>
      <c r="E1694" s="11" t="s">
        <v>77</v>
      </c>
      <c r="F1694" s="13">
        <v>17.02</v>
      </c>
      <c r="G1694" s="14">
        <v>45241.0</v>
      </c>
      <c r="H1694" s="15">
        <f t="shared" si="1"/>
        <v>11</v>
      </c>
      <c r="I1694" s="16">
        <f t="shared" si="2"/>
        <v>11</v>
      </c>
      <c r="J1694" s="15">
        <f t="shared" si="3"/>
        <v>2023</v>
      </c>
      <c r="K1694" s="16">
        <f>STANDARDIZE(F1694,'estatística'!$C$2,'estatística'!$H$2)</f>
        <v>0.1990377311</v>
      </c>
    </row>
    <row r="1695" ht="15.75" customHeight="1">
      <c r="A1695" s="9">
        <v>19.0</v>
      </c>
      <c r="B1695" s="10" t="s">
        <v>25</v>
      </c>
      <c r="C1695" s="11" t="s">
        <v>165</v>
      </c>
      <c r="D1695" s="10" t="s">
        <v>13</v>
      </c>
      <c r="E1695" s="11" t="s">
        <v>39</v>
      </c>
      <c r="F1695" s="13">
        <v>44.01</v>
      </c>
      <c r="G1695" s="14">
        <v>45242.0</v>
      </c>
      <c r="H1695" s="15">
        <f t="shared" si="1"/>
        <v>12</v>
      </c>
      <c r="I1695" s="16">
        <f t="shared" si="2"/>
        <v>11</v>
      </c>
      <c r="J1695" s="15">
        <f t="shared" si="3"/>
        <v>2023</v>
      </c>
      <c r="K1695" s="16">
        <f>STANDARDIZE(F1695,'estatística'!$C$2,'estatística'!$H$2)</f>
        <v>0.5407698151</v>
      </c>
    </row>
    <row r="1696" ht="15.75" customHeight="1">
      <c r="A1696" s="9">
        <v>20.0</v>
      </c>
      <c r="B1696" s="10" t="s">
        <v>133</v>
      </c>
      <c r="C1696" s="11" t="s">
        <v>134</v>
      </c>
      <c r="D1696" s="10" t="s">
        <v>17</v>
      </c>
      <c r="E1696" s="11" t="s">
        <v>62</v>
      </c>
      <c r="F1696" s="13">
        <v>11.75</v>
      </c>
      <c r="G1696" s="14">
        <v>45242.0</v>
      </c>
      <c r="H1696" s="15">
        <f t="shared" si="1"/>
        <v>12</v>
      </c>
      <c r="I1696" s="16">
        <f t="shared" si="2"/>
        <v>11</v>
      </c>
      <c r="J1696" s="15">
        <f t="shared" si="3"/>
        <v>2023</v>
      </c>
      <c r="K1696" s="16">
        <f>STANDARDIZE(F1696,'estatística'!$C$2,'estatística'!$H$2)</f>
        <v>0.1323119777</v>
      </c>
    </row>
    <row r="1697" ht="15.75" customHeight="1">
      <c r="A1697" s="9">
        <v>54.0</v>
      </c>
      <c r="B1697" s="10" t="s">
        <v>55</v>
      </c>
      <c r="C1697" s="11" t="s">
        <v>56</v>
      </c>
      <c r="D1697" s="10" t="s">
        <v>17</v>
      </c>
      <c r="E1697" s="11" t="s">
        <v>80</v>
      </c>
      <c r="F1697" s="13">
        <v>32.47</v>
      </c>
      <c r="G1697" s="14">
        <v>45242.0</v>
      </c>
      <c r="H1697" s="15">
        <f t="shared" si="1"/>
        <v>12</v>
      </c>
      <c r="I1697" s="16">
        <f t="shared" si="2"/>
        <v>11</v>
      </c>
      <c r="J1697" s="15">
        <f t="shared" si="3"/>
        <v>2023</v>
      </c>
      <c r="K1697" s="16">
        <f>STANDARDIZE(F1697,'estatística'!$C$2,'estatística'!$H$2)</f>
        <v>0.3946568752</v>
      </c>
    </row>
    <row r="1698" ht="15.75" customHeight="1">
      <c r="A1698" s="9">
        <v>14.0</v>
      </c>
      <c r="B1698" s="10" t="s">
        <v>143</v>
      </c>
      <c r="C1698" s="11" t="s">
        <v>144</v>
      </c>
      <c r="D1698" s="10" t="s">
        <v>13</v>
      </c>
      <c r="E1698" s="11" t="s">
        <v>29</v>
      </c>
      <c r="F1698" s="13">
        <v>14.22</v>
      </c>
      <c r="G1698" s="14">
        <v>45242.0</v>
      </c>
      <c r="H1698" s="15">
        <f t="shared" si="1"/>
        <v>12</v>
      </c>
      <c r="I1698" s="16">
        <f t="shared" si="2"/>
        <v>11</v>
      </c>
      <c r="J1698" s="15">
        <f t="shared" si="3"/>
        <v>2023</v>
      </c>
      <c r="K1698" s="16">
        <f>STANDARDIZE(F1698,'estatística'!$C$2,'estatística'!$H$2)</f>
        <v>0.1635857179</v>
      </c>
    </row>
    <row r="1699" ht="15.75" customHeight="1">
      <c r="A1699" s="9">
        <v>12.0</v>
      </c>
      <c r="B1699" s="10" t="s">
        <v>160</v>
      </c>
      <c r="C1699" s="11" t="s">
        <v>161</v>
      </c>
      <c r="D1699" s="10" t="s">
        <v>13</v>
      </c>
      <c r="E1699" s="11" t="s">
        <v>57</v>
      </c>
      <c r="F1699" s="13">
        <v>25.05</v>
      </c>
      <c r="G1699" s="14">
        <v>45242.0</v>
      </c>
      <c r="H1699" s="15">
        <f t="shared" si="1"/>
        <v>12</v>
      </c>
      <c r="I1699" s="16">
        <f t="shared" si="2"/>
        <v>11</v>
      </c>
      <c r="J1699" s="15">
        <f t="shared" si="3"/>
        <v>2023</v>
      </c>
      <c r="K1699" s="16">
        <f>STANDARDIZE(F1699,'estatística'!$C$2,'estatística'!$H$2)</f>
        <v>0.3007090403</v>
      </c>
    </row>
    <row r="1700" ht="15.75" customHeight="1">
      <c r="A1700" s="9">
        <v>60.0</v>
      </c>
      <c r="B1700" s="10" t="s">
        <v>42</v>
      </c>
      <c r="C1700" s="11" t="s">
        <v>43</v>
      </c>
      <c r="D1700" s="10" t="s">
        <v>13</v>
      </c>
      <c r="E1700" s="11" t="s">
        <v>80</v>
      </c>
      <c r="F1700" s="13">
        <v>33.48</v>
      </c>
      <c r="G1700" s="14">
        <v>45243.0</v>
      </c>
      <c r="H1700" s="15">
        <f t="shared" si="1"/>
        <v>13</v>
      </c>
      <c r="I1700" s="16">
        <f t="shared" si="2"/>
        <v>11</v>
      </c>
      <c r="J1700" s="15">
        <f t="shared" si="3"/>
        <v>2023</v>
      </c>
      <c r="K1700" s="16">
        <f>STANDARDIZE(F1700,'estatística'!$C$2,'estatística'!$H$2)</f>
        <v>0.4074449228</v>
      </c>
    </row>
    <row r="1701" ht="15.75" customHeight="1">
      <c r="A1701" s="9">
        <v>61.0</v>
      </c>
      <c r="B1701" s="10" t="s">
        <v>73</v>
      </c>
      <c r="C1701" s="11" t="s">
        <v>74</v>
      </c>
      <c r="D1701" s="10" t="s">
        <v>13</v>
      </c>
      <c r="E1701" s="11" t="s">
        <v>21</v>
      </c>
      <c r="F1701" s="13">
        <v>19.29</v>
      </c>
      <c r="G1701" s="14">
        <v>45243.0</v>
      </c>
      <c r="H1701" s="15">
        <f t="shared" si="1"/>
        <v>13</v>
      </c>
      <c r="I1701" s="16">
        <f t="shared" si="2"/>
        <v>11</v>
      </c>
      <c r="J1701" s="15">
        <f t="shared" si="3"/>
        <v>2023</v>
      </c>
      <c r="K1701" s="16">
        <f>STANDARDIZE(F1701,'estatística'!$C$2,'estatística'!$H$2)</f>
        <v>0.2277791846</v>
      </c>
    </row>
    <row r="1702" ht="15.75" customHeight="1">
      <c r="A1702" s="9">
        <v>48.0</v>
      </c>
      <c r="B1702" s="10" t="s">
        <v>25</v>
      </c>
      <c r="C1702" s="11" t="s">
        <v>28</v>
      </c>
      <c r="D1702" s="10" t="s">
        <v>13</v>
      </c>
      <c r="E1702" s="11" t="s">
        <v>39</v>
      </c>
      <c r="F1702" s="13">
        <v>43.59</v>
      </c>
      <c r="G1702" s="14">
        <v>45243.0</v>
      </c>
      <c r="H1702" s="15">
        <f t="shared" si="1"/>
        <v>13</v>
      </c>
      <c r="I1702" s="16">
        <f t="shared" si="2"/>
        <v>11</v>
      </c>
      <c r="J1702" s="15">
        <f t="shared" si="3"/>
        <v>2023</v>
      </c>
      <c r="K1702" s="16">
        <f>STANDARDIZE(F1702,'estatística'!$C$2,'estatística'!$H$2)</f>
        <v>0.5354520132</v>
      </c>
    </row>
    <row r="1703" ht="15.75" customHeight="1">
      <c r="A1703" s="9">
        <v>88.0</v>
      </c>
      <c r="B1703" s="10" t="s">
        <v>172</v>
      </c>
      <c r="C1703" s="11" t="s">
        <v>178</v>
      </c>
      <c r="D1703" s="10" t="s">
        <v>17</v>
      </c>
      <c r="E1703" s="11" t="s">
        <v>65</v>
      </c>
      <c r="F1703" s="13">
        <v>37.74</v>
      </c>
      <c r="G1703" s="14">
        <v>45243.0</v>
      </c>
      <c r="H1703" s="15">
        <f t="shared" si="1"/>
        <v>13</v>
      </c>
      <c r="I1703" s="16">
        <f t="shared" si="2"/>
        <v>11</v>
      </c>
      <c r="J1703" s="15">
        <f t="shared" si="3"/>
        <v>2023</v>
      </c>
      <c r="K1703" s="16">
        <f>STANDARDIZE(F1703,'estatística'!$C$2,'estatística'!$H$2)</f>
        <v>0.4613826285</v>
      </c>
    </row>
    <row r="1704" ht="15.75" customHeight="1">
      <c r="A1704" s="9">
        <v>34.0</v>
      </c>
      <c r="B1704" s="10" t="s">
        <v>149</v>
      </c>
      <c r="C1704" s="11" t="s">
        <v>150</v>
      </c>
      <c r="D1704" s="10" t="s">
        <v>17</v>
      </c>
      <c r="E1704" s="11" t="s">
        <v>39</v>
      </c>
      <c r="F1704" s="13">
        <v>34.01</v>
      </c>
      <c r="G1704" s="14">
        <v>45243.0</v>
      </c>
      <c r="H1704" s="15">
        <f t="shared" si="1"/>
        <v>13</v>
      </c>
      <c r="I1704" s="16">
        <f t="shared" si="2"/>
        <v>11</v>
      </c>
      <c r="J1704" s="15">
        <f t="shared" si="3"/>
        <v>2023</v>
      </c>
      <c r="K1704" s="16">
        <f>STANDARDIZE(F1704,'estatística'!$C$2,'estatística'!$H$2)</f>
        <v>0.4141554824</v>
      </c>
    </row>
    <row r="1705" ht="15.75" customHeight="1">
      <c r="A1705" s="9">
        <v>8.0</v>
      </c>
      <c r="B1705" s="10" t="s">
        <v>75</v>
      </c>
      <c r="C1705" s="11" t="s">
        <v>76</v>
      </c>
      <c r="D1705" s="10" t="s">
        <v>13</v>
      </c>
      <c r="E1705" s="11" t="s">
        <v>68</v>
      </c>
      <c r="F1705" s="13">
        <v>11.78</v>
      </c>
      <c r="G1705" s="14">
        <v>45244.0</v>
      </c>
      <c r="H1705" s="15">
        <f t="shared" si="1"/>
        <v>14</v>
      </c>
      <c r="I1705" s="16">
        <f t="shared" si="2"/>
        <v>11</v>
      </c>
      <c r="J1705" s="15">
        <f t="shared" si="3"/>
        <v>2023</v>
      </c>
      <c r="K1705" s="16">
        <f>STANDARDIZE(F1705,'estatística'!$C$2,'estatística'!$H$2)</f>
        <v>0.1326918207</v>
      </c>
    </row>
    <row r="1706" ht="15.75" customHeight="1">
      <c r="A1706" s="9">
        <v>19.0</v>
      </c>
      <c r="B1706" s="10" t="s">
        <v>25</v>
      </c>
      <c r="C1706" s="11" t="s">
        <v>165</v>
      </c>
      <c r="D1706" s="10" t="s">
        <v>13</v>
      </c>
      <c r="E1706" s="11" t="s">
        <v>107</v>
      </c>
      <c r="F1706" s="13">
        <v>31.54</v>
      </c>
      <c r="G1706" s="14">
        <v>45244.0</v>
      </c>
      <c r="H1706" s="15">
        <f t="shared" si="1"/>
        <v>14</v>
      </c>
      <c r="I1706" s="16">
        <f t="shared" si="2"/>
        <v>11</v>
      </c>
      <c r="J1706" s="15">
        <f t="shared" si="3"/>
        <v>2023</v>
      </c>
      <c r="K1706" s="16">
        <f>STANDARDIZE(F1706,'estatística'!$C$2,'estatística'!$H$2)</f>
        <v>0.3828817422</v>
      </c>
    </row>
    <row r="1707" ht="15.75" customHeight="1">
      <c r="A1707" s="9">
        <v>100.0</v>
      </c>
      <c r="B1707" s="10" t="s">
        <v>30</v>
      </c>
      <c r="C1707" s="11" t="s">
        <v>31</v>
      </c>
      <c r="D1707" s="10" t="s">
        <v>13</v>
      </c>
      <c r="E1707" s="11" t="s">
        <v>29</v>
      </c>
      <c r="F1707" s="13">
        <v>14.15</v>
      </c>
      <c r="G1707" s="14">
        <v>45244.0</v>
      </c>
      <c r="H1707" s="15">
        <f t="shared" si="1"/>
        <v>14</v>
      </c>
      <c r="I1707" s="16">
        <f t="shared" si="2"/>
        <v>11</v>
      </c>
      <c r="J1707" s="15">
        <f t="shared" si="3"/>
        <v>2023</v>
      </c>
      <c r="K1707" s="16">
        <f>STANDARDIZE(F1707,'estatística'!$C$2,'estatística'!$H$2)</f>
        <v>0.1626994176</v>
      </c>
    </row>
    <row r="1708" ht="15.75" customHeight="1">
      <c r="A1708" s="9">
        <v>11.0</v>
      </c>
      <c r="B1708" s="10" t="s">
        <v>199</v>
      </c>
      <c r="C1708" s="11" t="s">
        <v>200</v>
      </c>
      <c r="D1708" s="10" t="s">
        <v>13</v>
      </c>
      <c r="E1708" s="11" t="s">
        <v>57</v>
      </c>
      <c r="F1708" s="13">
        <v>15.48</v>
      </c>
      <c r="G1708" s="14">
        <v>45245.0</v>
      </c>
      <c r="H1708" s="15">
        <f t="shared" si="1"/>
        <v>15</v>
      </c>
      <c r="I1708" s="16">
        <f t="shared" si="2"/>
        <v>11</v>
      </c>
      <c r="J1708" s="15">
        <f t="shared" si="3"/>
        <v>2023</v>
      </c>
      <c r="K1708" s="16">
        <f>STANDARDIZE(F1708,'estatística'!$C$2,'estatística'!$H$2)</f>
        <v>0.1795391238</v>
      </c>
    </row>
    <row r="1709" ht="15.75" customHeight="1">
      <c r="A1709" s="9">
        <v>38.0</v>
      </c>
      <c r="B1709" s="10" t="s">
        <v>85</v>
      </c>
      <c r="C1709" s="11" t="s">
        <v>86</v>
      </c>
      <c r="D1709" s="10" t="s">
        <v>17</v>
      </c>
      <c r="E1709" s="11" t="s">
        <v>27</v>
      </c>
      <c r="F1709" s="13">
        <v>16.89</v>
      </c>
      <c r="G1709" s="14">
        <v>45245.0</v>
      </c>
      <c r="H1709" s="15">
        <f t="shared" si="1"/>
        <v>15</v>
      </c>
      <c r="I1709" s="16">
        <f t="shared" si="2"/>
        <v>11</v>
      </c>
      <c r="J1709" s="15">
        <f t="shared" si="3"/>
        <v>2023</v>
      </c>
      <c r="K1709" s="16">
        <f>STANDARDIZE(F1709,'estatística'!$C$2,'estatística'!$H$2)</f>
        <v>0.1973917447</v>
      </c>
    </row>
    <row r="1710" ht="15.75" customHeight="1">
      <c r="A1710" s="9">
        <v>4.0</v>
      </c>
      <c r="B1710" s="10" t="s">
        <v>87</v>
      </c>
      <c r="C1710" s="11" t="s">
        <v>88</v>
      </c>
      <c r="D1710" s="10" t="s">
        <v>17</v>
      </c>
      <c r="E1710" s="11" t="s">
        <v>77</v>
      </c>
      <c r="F1710" s="13">
        <v>16.36</v>
      </c>
      <c r="G1710" s="14">
        <v>45245.0</v>
      </c>
      <c r="H1710" s="15">
        <f t="shared" si="1"/>
        <v>15</v>
      </c>
      <c r="I1710" s="16">
        <f t="shared" si="2"/>
        <v>11</v>
      </c>
      <c r="J1710" s="15">
        <f t="shared" si="3"/>
        <v>2023</v>
      </c>
      <c r="K1710" s="16">
        <f>STANDARDIZE(F1710,'estatística'!$C$2,'estatística'!$H$2)</f>
        <v>0.1906811851</v>
      </c>
    </row>
    <row r="1711" ht="15.75" customHeight="1">
      <c r="A1711" s="9">
        <v>1.0</v>
      </c>
      <c r="B1711" s="10" t="s">
        <v>166</v>
      </c>
      <c r="C1711" s="11" t="s">
        <v>167</v>
      </c>
      <c r="D1711" s="10" t="s">
        <v>17</v>
      </c>
      <c r="E1711" s="11" t="s">
        <v>27</v>
      </c>
      <c r="F1711" s="13">
        <v>13.36</v>
      </c>
      <c r="G1711" s="14">
        <v>45245.0</v>
      </c>
      <c r="H1711" s="15">
        <f t="shared" si="1"/>
        <v>15</v>
      </c>
      <c r="I1711" s="16">
        <f t="shared" si="2"/>
        <v>11</v>
      </c>
      <c r="J1711" s="15">
        <f t="shared" si="3"/>
        <v>2023</v>
      </c>
      <c r="K1711" s="16">
        <f>STANDARDIZE(F1711,'estatística'!$C$2,'estatística'!$H$2)</f>
        <v>0.1526968853</v>
      </c>
    </row>
    <row r="1712" ht="15.75" customHeight="1">
      <c r="A1712" s="9">
        <v>20.0</v>
      </c>
      <c r="B1712" s="10" t="s">
        <v>133</v>
      </c>
      <c r="C1712" s="11" t="s">
        <v>134</v>
      </c>
      <c r="D1712" s="10" t="s">
        <v>17</v>
      </c>
      <c r="E1712" s="11" t="s">
        <v>80</v>
      </c>
      <c r="F1712" s="13">
        <v>38.8</v>
      </c>
      <c r="G1712" s="14">
        <v>45245.0</v>
      </c>
      <c r="H1712" s="15">
        <f t="shared" si="1"/>
        <v>15</v>
      </c>
      <c r="I1712" s="16">
        <f t="shared" si="2"/>
        <v>11</v>
      </c>
      <c r="J1712" s="15">
        <f t="shared" si="3"/>
        <v>2023</v>
      </c>
      <c r="K1712" s="16">
        <f>STANDARDIZE(F1712,'estatística'!$C$2,'estatística'!$H$2)</f>
        <v>0.4748037478</v>
      </c>
    </row>
    <row r="1713" ht="15.75" customHeight="1">
      <c r="A1713" s="9">
        <v>83.0</v>
      </c>
      <c r="B1713" s="10" t="s">
        <v>66</v>
      </c>
      <c r="C1713" s="11" t="s">
        <v>67</v>
      </c>
      <c r="D1713" s="10" t="s">
        <v>17</v>
      </c>
      <c r="E1713" s="11" t="s">
        <v>29</v>
      </c>
      <c r="F1713" s="13">
        <v>14.2</v>
      </c>
      <c r="G1713" s="14">
        <v>45245.0</v>
      </c>
      <c r="H1713" s="15">
        <f t="shared" si="1"/>
        <v>15</v>
      </c>
      <c r="I1713" s="16">
        <f t="shared" si="2"/>
        <v>11</v>
      </c>
      <c r="J1713" s="15">
        <f t="shared" si="3"/>
        <v>2023</v>
      </c>
      <c r="K1713" s="16">
        <f>STANDARDIZE(F1713,'estatística'!$C$2,'estatística'!$H$2)</f>
        <v>0.1633324892</v>
      </c>
    </row>
    <row r="1714" ht="15.75" customHeight="1">
      <c r="A1714" s="9">
        <v>90.0</v>
      </c>
      <c r="B1714" s="10" t="s">
        <v>191</v>
      </c>
      <c r="C1714" s="11" t="s">
        <v>192</v>
      </c>
      <c r="D1714" s="10" t="s">
        <v>17</v>
      </c>
      <c r="E1714" s="11" t="s">
        <v>57</v>
      </c>
      <c r="F1714" s="13">
        <v>16.81</v>
      </c>
      <c r="G1714" s="14">
        <v>45245.0</v>
      </c>
      <c r="H1714" s="15">
        <f t="shared" si="1"/>
        <v>15</v>
      </c>
      <c r="I1714" s="16">
        <f t="shared" si="2"/>
        <v>11</v>
      </c>
      <c r="J1714" s="15">
        <f t="shared" si="3"/>
        <v>2023</v>
      </c>
      <c r="K1714" s="16">
        <f>STANDARDIZE(F1714,'estatística'!$C$2,'estatística'!$H$2)</f>
        <v>0.1963788301</v>
      </c>
    </row>
    <row r="1715" ht="15.75" customHeight="1">
      <c r="A1715" s="9">
        <v>66.0</v>
      </c>
      <c r="B1715" s="10" t="s">
        <v>122</v>
      </c>
      <c r="C1715" s="11" t="s">
        <v>130</v>
      </c>
      <c r="D1715" s="10" t="s">
        <v>17</v>
      </c>
      <c r="E1715" s="11" t="s">
        <v>18</v>
      </c>
      <c r="F1715" s="13">
        <v>55.74</v>
      </c>
      <c r="G1715" s="14">
        <v>45245.0</v>
      </c>
      <c r="H1715" s="15">
        <f t="shared" si="1"/>
        <v>15</v>
      </c>
      <c r="I1715" s="16">
        <f t="shared" si="2"/>
        <v>11</v>
      </c>
      <c r="J1715" s="15">
        <f t="shared" si="3"/>
        <v>2023</v>
      </c>
      <c r="K1715" s="16">
        <f>STANDARDIZE(F1715,'estatística'!$C$2,'estatística'!$H$2)</f>
        <v>0.6892884274</v>
      </c>
    </row>
    <row r="1716" ht="15.75" customHeight="1">
      <c r="A1716" s="9">
        <v>35.0</v>
      </c>
      <c r="B1716" s="10" t="s">
        <v>95</v>
      </c>
      <c r="C1716" s="11" t="s">
        <v>96</v>
      </c>
      <c r="D1716" s="10" t="s">
        <v>17</v>
      </c>
      <c r="E1716" s="11" t="s">
        <v>33</v>
      </c>
      <c r="F1716" s="13">
        <v>68.65</v>
      </c>
      <c r="G1716" s="14">
        <v>45245.0</v>
      </c>
      <c r="H1716" s="15">
        <f t="shared" si="1"/>
        <v>15</v>
      </c>
      <c r="I1716" s="16">
        <f t="shared" si="2"/>
        <v>11</v>
      </c>
      <c r="J1716" s="15">
        <f t="shared" si="3"/>
        <v>2023</v>
      </c>
      <c r="K1716" s="16">
        <f>STANDARDIZE(F1716,'estatística'!$C$2,'estatística'!$H$2)</f>
        <v>0.852747531</v>
      </c>
    </row>
    <row r="1717" ht="15.75" customHeight="1">
      <c r="A1717" s="9">
        <v>75.0</v>
      </c>
      <c r="B1717" s="10" t="s">
        <v>210</v>
      </c>
      <c r="C1717" s="11" t="s">
        <v>211</v>
      </c>
      <c r="D1717" s="10" t="s">
        <v>17</v>
      </c>
      <c r="E1717" s="11" t="s">
        <v>80</v>
      </c>
      <c r="F1717" s="13">
        <v>39.1</v>
      </c>
      <c r="G1717" s="14">
        <v>45245.0</v>
      </c>
      <c r="H1717" s="15">
        <f t="shared" si="1"/>
        <v>15</v>
      </c>
      <c r="I1717" s="16">
        <f t="shared" si="2"/>
        <v>11</v>
      </c>
      <c r="J1717" s="15">
        <f t="shared" si="3"/>
        <v>2023</v>
      </c>
      <c r="K1717" s="16">
        <f>STANDARDIZE(F1717,'estatística'!$C$2,'estatística'!$H$2)</f>
        <v>0.4786021778</v>
      </c>
    </row>
    <row r="1718" ht="15.75" customHeight="1">
      <c r="A1718" s="9">
        <v>26.0</v>
      </c>
      <c r="B1718" s="10" t="s">
        <v>183</v>
      </c>
      <c r="C1718" s="11" t="s">
        <v>184</v>
      </c>
      <c r="D1718" s="10" t="s">
        <v>13</v>
      </c>
      <c r="E1718" s="11" t="s">
        <v>29</v>
      </c>
      <c r="F1718" s="13">
        <v>12.37</v>
      </c>
      <c r="G1718" s="14">
        <v>45246.0</v>
      </c>
      <c r="H1718" s="15">
        <f t="shared" si="1"/>
        <v>16</v>
      </c>
      <c r="I1718" s="16">
        <f t="shared" si="2"/>
        <v>11</v>
      </c>
      <c r="J1718" s="15">
        <f t="shared" si="3"/>
        <v>2023</v>
      </c>
      <c r="K1718" s="16">
        <f>STANDARDIZE(F1718,'estatística'!$C$2,'estatística'!$H$2)</f>
        <v>0.1401620663</v>
      </c>
    </row>
    <row r="1719" ht="15.75" customHeight="1">
      <c r="A1719" s="9">
        <v>29.0</v>
      </c>
      <c r="B1719" s="10" t="s">
        <v>92</v>
      </c>
      <c r="C1719" s="11" t="s">
        <v>93</v>
      </c>
      <c r="D1719" s="10" t="s">
        <v>17</v>
      </c>
      <c r="E1719" s="11" t="s">
        <v>32</v>
      </c>
      <c r="F1719" s="13">
        <v>27.02</v>
      </c>
      <c r="G1719" s="14">
        <v>45246.0</v>
      </c>
      <c r="H1719" s="15">
        <f t="shared" si="1"/>
        <v>16</v>
      </c>
      <c r="I1719" s="16">
        <f t="shared" si="2"/>
        <v>11</v>
      </c>
      <c r="J1719" s="15">
        <f t="shared" si="3"/>
        <v>2023</v>
      </c>
      <c r="K1719" s="16">
        <f>STANDARDIZE(F1719,'estatística'!$C$2,'estatística'!$H$2)</f>
        <v>0.3256520638</v>
      </c>
    </row>
    <row r="1720" ht="15.75" customHeight="1">
      <c r="A1720" s="9">
        <v>39.0</v>
      </c>
      <c r="B1720" s="10" t="s">
        <v>58</v>
      </c>
      <c r="C1720" s="11" t="s">
        <v>59</v>
      </c>
      <c r="D1720" s="10" t="s">
        <v>13</v>
      </c>
      <c r="E1720" s="11" t="s">
        <v>116</v>
      </c>
      <c r="F1720" s="13">
        <v>3.67</v>
      </c>
      <c r="G1720" s="14">
        <v>45246.0</v>
      </c>
      <c r="H1720" s="15">
        <f t="shared" si="1"/>
        <v>16</v>
      </c>
      <c r="I1720" s="16">
        <f t="shared" si="2"/>
        <v>11</v>
      </c>
      <c r="J1720" s="15">
        <f t="shared" si="3"/>
        <v>2023</v>
      </c>
      <c r="K1720" s="16">
        <f>STANDARDIZE(F1720,'estatística'!$C$2,'estatística'!$H$2)</f>
        <v>0.03000759686</v>
      </c>
    </row>
    <row r="1721" ht="15.75" customHeight="1">
      <c r="A1721" s="9">
        <v>91.0</v>
      </c>
      <c r="B1721" s="10" t="s">
        <v>81</v>
      </c>
      <c r="C1721" s="11" t="s">
        <v>82</v>
      </c>
      <c r="D1721" s="10" t="s">
        <v>17</v>
      </c>
      <c r="E1721" s="11" t="s">
        <v>77</v>
      </c>
      <c r="F1721" s="13">
        <v>14.02</v>
      </c>
      <c r="G1721" s="14">
        <v>45246.0</v>
      </c>
      <c r="H1721" s="15">
        <f t="shared" si="1"/>
        <v>16</v>
      </c>
      <c r="I1721" s="16">
        <f t="shared" si="2"/>
        <v>11</v>
      </c>
      <c r="J1721" s="15">
        <f t="shared" si="3"/>
        <v>2023</v>
      </c>
      <c r="K1721" s="16">
        <f>STANDARDIZE(F1721,'estatística'!$C$2,'estatística'!$H$2)</f>
        <v>0.1610534312</v>
      </c>
    </row>
    <row r="1722" ht="15.75" customHeight="1">
      <c r="A1722" s="9">
        <v>61.0</v>
      </c>
      <c r="B1722" s="10" t="s">
        <v>73</v>
      </c>
      <c r="C1722" s="11" t="s">
        <v>74</v>
      </c>
      <c r="D1722" s="10" t="s">
        <v>17</v>
      </c>
      <c r="E1722" s="11" t="s">
        <v>39</v>
      </c>
      <c r="F1722" s="13">
        <v>40.89</v>
      </c>
      <c r="G1722" s="14">
        <v>45246.0</v>
      </c>
      <c r="H1722" s="15">
        <f t="shared" si="1"/>
        <v>16</v>
      </c>
      <c r="I1722" s="16">
        <f t="shared" si="2"/>
        <v>11</v>
      </c>
      <c r="J1722" s="15">
        <f t="shared" si="3"/>
        <v>2023</v>
      </c>
      <c r="K1722" s="16">
        <f>STANDARDIZE(F1722,'estatística'!$C$2,'estatística'!$H$2)</f>
        <v>0.5012661433</v>
      </c>
    </row>
    <row r="1723" ht="15.75" customHeight="1">
      <c r="A1723" s="9">
        <v>7.0</v>
      </c>
      <c r="B1723" s="10" t="s">
        <v>83</v>
      </c>
      <c r="C1723" s="11" t="s">
        <v>84</v>
      </c>
      <c r="D1723" s="10" t="s">
        <v>17</v>
      </c>
      <c r="E1723" s="11" t="s">
        <v>77</v>
      </c>
      <c r="F1723" s="13">
        <v>15.68</v>
      </c>
      <c r="G1723" s="14">
        <v>45246.0</v>
      </c>
      <c r="H1723" s="15">
        <f t="shared" si="1"/>
        <v>16</v>
      </c>
      <c r="I1723" s="16">
        <f t="shared" si="2"/>
        <v>11</v>
      </c>
      <c r="J1723" s="15">
        <f t="shared" si="3"/>
        <v>2023</v>
      </c>
      <c r="K1723" s="16">
        <f>STANDARDIZE(F1723,'estatística'!$C$2,'estatística'!$H$2)</f>
        <v>0.1820714105</v>
      </c>
    </row>
    <row r="1724" ht="15.75" customHeight="1">
      <c r="A1724" s="9">
        <v>58.0</v>
      </c>
      <c r="B1724" s="10" t="s">
        <v>137</v>
      </c>
      <c r="C1724" s="11" t="s">
        <v>138</v>
      </c>
      <c r="D1724" s="10" t="s">
        <v>17</v>
      </c>
      <c r="E1724" s="11" t="s">
        <v>21</v>
      </c>
      <c r="F1724" s="13">
        <v>18.89</v>
      </c>
      <c r="G1724" s="14">
        <v>45246.0</v>
      </c>
      <c r="H1724" s="15">
        <f t="shared" si="1"/>
        <v>16</v>
      </c>
      <c r="I1724" s="16">
        <f t="shared" si="2"/>
        <v>11</v>
      </c>
      <c r="J1724" s="15">
        <f t="shared" si="3"/>
        <v>2023</v>
      </c>
      <c r="K1724" s="16">
        <f>STANDARDIZE(F1724,'estatística'!$C$2,'estatística'!$H$2)</f>
        <v>0.2227146113</v>
      </c>
    </row>
    <row r="1725" ht="15.75" customHeight="1">
      <c r="A1725" s="9">
        <v>18.0</v>
      </c>
      <c r="B1725" s="10" t="s">
        <v>135</v>
      </c>
      <c r="C1725" s="11" t="s">
        <v>212</v>
      </c>
      <c r="D1725" s="10" t="s">
        <v>17</v>
      </c>
      <c r="E1725" s="11" t="s">
        <v>77</v>
      </c>
      <c r="F1725" s="13">
        <v>16.09</v>
      </c>
      <c r="G1725" s="14">
        <v>45246.0</v>
      </c>
      <c r="H1725" s="15">
        <f t="shared" si="1"/>
        <v>16</v>
      </c>
      <c r="I1725" s="16">
        <f t="shared" si="2"/>
        <v>11</v>
      </c>
      <c r="J1725" s="15">
        <f t="shared" si="3"/>
        <v>2023</v>
      </c>
      <c r="K1725" s="16">
        <f>STANDARDIZE(F1725,'estatística'!$C$2,'estatística'!$H$2)</f>
        <v>0.1872625981</v>
      </c>
    </row>
    <row r="1726" ht="15.75" customHeight="1">
      <c r="A1726" s="9">
        <v>2.0</v>
      </c>
      <c r="B1726" s="10" t="s">
        <v>53</v>
      </c>
      <c r="C1726" s="11" t="s">
        <v>54</v>
      </c>
      <c r="D1726" s="10" t="s">
        <v>13</v>
      </c>
      <c r="E1726" s="11" t="s">
        <v>65</v>
      </c>
      <c r="F1726" s="13">
        <v>38.92</v>
      </c>
      <c r="G1726" s="14">
        <v>45246.0</v>
      </c>
      <c r="H1726" s="15">
        <f t="shared" si="1"/>
        <v>16</v>
      </c>
      <c r="I1726" s="16">
        <f t="shared" si="2"/>
        <v>11</v>
      </c>
      <c r="J1726" s="15">
        <f t="shared" si="3"/>
        <v>2023</v>
      </c>
      <c r="K1726" s="16">
        <f>STANDARDIZE(F1726,'estatística'!$C$2,'estatística'!$H$2)</f>
        <v>0.4763231198</v>
      </c>
    </row>
    <row r="1727" ht="15.75" customHeight="1">
      <c r="A1727" s="9">
        <v>26.0</v>
      </c>
      <c r="B1727" s="10" t="s">
        <v>183</v>
      </c>
      <c r="C1727" s="11" t="s">
        <v>184</v>
      </c>
      <c r="D1727" s="10" t="s">
        <v>13</v>
      </c>
      <c r="E1727" s="11" t="s">
        <v>29</v>
      </c>
      <c r="F1727" s="13">
        <v>11.79</v>
      </c>
      <c r="G1727" s="14">
        <v>45247.0</v>
      </c>
      <c r="H1727" s="15">
        <f t="shared" si="1"/>
        <v>17</v>
      </c>
      <c r="I1727" s="16">
        <f t="shared" si="2"/>
        <v>11</v>
      </c>
      <c r="J1727" s="15">
        <f t="shared" si="3"/>
        <v>2023</v>
      </c>
      <c r="K1727" s="16">
        <f>STANDARDIZE(F1727,'estatística'!$C$2,'estatística'!$H$2)</f>
        <v>0.132818435</v>
      </c>
    </row>
    <row r="1728" ht="15.75" customHeight="1">
      <c r="A1728" s="9">
        <v>15.0</v>
      </c>
      <c r="B1728" s="10" t="s">
        <v>37</v>
      </c>
      <c r="C1728" s="11" t="s">
        <v>38</v>
      </c>
      <c r="D1728" s="10" t="s">
        <v>13</v>
      </c>
      <c r="E1728" s="11" t="s">
        <v>62</v>
      </c>
      <c r="F1728" s="13">
        <v>11.96</v>
      </c>
      <c r="G1728" s="14">
        <v>45247.0</v>
      </c>
      <c r="H1728" s="15">
        <f t="shared" si="1"/>
        <v>17</v>
      </c>
      <c r="I1728" s="16">
        <f t="shared" si="2"/>
        <v>11</v>
      </c>
      <c r="J1728" s="15">
        <f t="shared" si="3"/>
        <v>2023</v>
      </c>
      <c r="K1728" s="16">
        <f>STANDARDIZE(F1728,'estatística'!$C$2,'estatística'!$H$2)</f>
        <v>0.1349708787</v>
      </c>
    </row>
    <row r="1729" ht="15.75" customHeight="1">
      <c r="A1729" s="9">
        <v>74.0</v>
      </c>
      <c r="B1729" s="10" t="s">
        <v>11</v>
      </c>
      <c r="C1729" s="11" t="s">
        <v>94</v>
      </c>
      <c r="D1729" s="10" t="s">
        <v>13</v>
      </c>
      <c r="E1729" s="11" t="s">
        <v>39</v>
      </c>
      <c r="F1729" s="13">
        <v>36.51</v>
      </c>
      <c r="G1729" s="14">
        <v>45247.0</v>
      </c>
      <c r="H1729" s="15">
        <f t="shared" si="1"/>
        <v>17</v>
      </c>
      <c r="I1729" s="16">
        <f t="shared" si="2"/>
        <v>11</v>
      </c>
      <c r="J1729" s="15">
        <f t="shared" si="3"/>
        <v>2023</v>
      </c>
      <c r="K1729" s="16">
        <f>STANDARDIZE(F1729,'estatística'!$C$2,'estatística'!$H$2)</f>
        <v>0.4458090656</v>
      </c>
    </row>
    <row r="1730" ht="15.75" customHeight="1">
      <c r="A1730" s="9">
        <v>51.0</v>
      </c>
      <c r="B1730" s="10" t="s">
        <v>205</v>
      </c>
      <c r="C1730" s="11" t="s">
        <v>206</v>
      </c>
      <c r="D1730" s="10" t="s">
        <v>13</v>
      </c>
      <c r="E1730" s="11" t="s">
        <v>18</v>
      </c>
      <c r="F1730" s="13">
        <v>53.79</v>
      </c>
      <c r="G1730" s="14">
        <v>45247.0</v>
      </c>
      <c r="H1730" s="15">
        <f t="shared" si="1"/>
        <v>17</v>
      </c>
      <c r="I1730" s="16">
        <f t="shared" si="2"/>
        <v>11</v>
      </c>
      <c r="J1730" s="15">
        <f t="shared" si="3"/>
        <v>2023</v>
      </c>
      <c r="K1730" s="16">
        <f>STANDARDIZE(F1730,'estatística'!$C$2,'estatística'!$H$2)</f>
        <v>0.6645986326</v>
      </c>
    </row>
    <row r="1731" ht="15.75" customHeight="1">
      <c r="A1731" s="9">
        <v>52.0</v>
      </c>
      <c r="B1731" s="10" t="s">
        <v>153</v>
      </c>
      <c r="C1731" s="11" t="s">
        <v>154</v>
      </c>
      <c r="D1731" s="10" t="s">
        <v>17</v>
      </c>
      <c r="E1731" s="11" t="s">
        <v>91</v>
      </c>
      <c r="F1731" s="13">
        <v>4.05</v>
      </c>
      <c r="G1731" s="14">
        <v>45247.0</v>
      </c>
      <c r="H1731" s="15">
        <f t="shared" si="1"/>
        <v>17</v>
      </c>
      <c r="I1731" s="16">
        <f t="shared" si="2"/>
        <v>11</v>
      </c>
      <c r="J1731" s="15">
        <f t="shared" si="3"/>
        <v>2023</v>
      </c>
      <c r="K1731" s="16">
        <f>STANDARDIZE(F1731,'estatística'!$C$2,'estatística'!$H$2)</f>
        <v>0.0348189415</v>
      </c>
    </row>
    <row r="1732" ht="15.75" customHeight="1">
      <c r="A1732" s="9">
        <v>9.0</v>
      </c>
      <c r="B1732" s="10" t="s">
        <v>179</v>
      </c>
      <c r="C1732" s="11" t="s">
        <v>180</v>
      </c>
      <c r="D1732" s="10" t="s">
        <v>13</v>
      </c>
      <c r="E1732" s="11" t="s">
        <v>33</v>
      </c>
      <c r="F1732" s="13">
        <v>52.58</v>
      </c>
      <c r="G1732" s="14">
        <v>45247.0</v>
      </c>
      <c r="H1732" s="15">
        <f t="shared" si="1"/>
        <v>17</v>
      </c>
      <c r="I1732" s="16">
        <f t="shared" si="2"/>
        <v>11</v>
      </c>
      <c r="J1732" s="15">
        <f t="shared" si="3"/>
        <v>2023</v>
      </c>
      <c r="K1732" s="16">
        <f>STANDARDIZE(F1732,'estatística'!$C$2,'estatística'!$H$2)</f>
        <v>0.6492782983</v>
      </c>
    </row>
    <row r="1733" ht="15.75" customHeight="1">
      <c r="A1733" s="9">
        <v>95.0</v>
      </c>
      <c r="B1733" s="10" t="s">
        <v>78</v>
      </c>
      <c r="C1733" s="11" t="s">
        <v>79</v>
      </c>
      <c r="D1733" s="10" t="s">
        <v>13</v>
      </c>
      <c r="E1733" s="11" t="s">
        <v>80</v>
      </c>
      <c r="F1733" s="13">
        <v>33.28</v>
      </c>
      <c r="G1733" s="14">
        <v>45248.0</v>
      </c>
      <c r="H1733" s="15">
        <f t="shared" si="1"/>
        <v>18</v>
      </c>
      <c r="I1733" s="16">
        <f t="shared" si="2"/>
        <v>11</v>
      </c>
      <c r="J1733" s="15">
        <f t="shared" si="3"/>
        <v>2023</v>
      </c>
      <c r="K1733" s="16">
        <f>STANDARDIZE(F1733,'estatística'!$C$2,'estatística'!$H$2)</f>
        <v>0.4049126361</v>
      </c>
    </row>
    <row r="1734" ht="15.75" customHeight="1">
      <c r="A1734" s="9">
        <v>25.0</v>
      </c>
      <c r="B1734" s="10" t="s">
        <v>126</v>
      </c>
      <c r="C1734" s="11" t="s">
        <v>127</v>
      </c>
      <c r="D1734" s="10" t="s">
        <v>13</v>
      </c>
      <c r="E1734" s="11" t="s">
        <v>65</v>
      </c>
      <c r="F1734" s="13">
        <v>32.05</v>
      </c>
      <c r="G1734" s="14">
        <v>45248.0</v>
      </c>
      <c r="H1734" s="15">
        <f t="shared" si="1"/>
        <v>18</v>
      </c>
      <c r="I1734" s="16">
        <f t="shared" si="2"/>
        <v>11</v>
      </c>
      <c r="J1734" s="15">
        <f t="shared" si="3"/>
        <v>2023</v>
      </c>
      <c r="K1734" s="16">
        <f>STANDARDIZE(F1734,'estatística'!$C$2,'estatística'!$H$2)</f>
        <v>0.3893390732</v>
      </c>
    </row>
    <row r="1735" ht="15.75" customHeight="1">
      <c r="A1735" s="9">
        <v>46.0</v>
      </c>
      <c r="B1735" s="10" t="s">
        <v>114</v>
      </c>
      <c r="C1735" s="11" t="s">
        <v>115</v>
      </c>
      <c r="D1735" s="10" t="s">
        <v>13</v>
      </c>
      <c r="E1735" s="11" t="s">
        <v>14</v>
      </c>
      <c r="F1735" s="13">
        <v>10.61</v>
      </c>
      <c r="G1735" s="14">
        <v>45248.0</v>
      </c>
      <c r="H1735" s="15">
        <f t="shared" si="1"/>
        <v>18</v>
      </c>
      <c r="I1735" s="16">
        <f t="shared" si="2"/>
        <v>11</v>
      </c>
      <c r="J1735" s="15">
        <f t="shared" si="3"/>
        <v>2023</v>
      </c>
      <c r="K1735" s="16">
        <f>STANDARDIZE(F1735,'estatística'!$C$2,'estatística'!$H$2)</f>
        <v>0.1178779438</v>
      </c>
    </row>
    <row r="1736" ht="15.75" customHeight="1">
      <c r="A1736" s="9">
        <v>80.0</v>
      </c>
      <c r="B1736" s="10" t="s">
        <v>22</v>
      </c>
      <c r="C1736" s="11" t="s">
        <v>23</v>
      </c>
      <c r="D1736" s="10" t="s">
        <v>17</v>
      </c>
      <c r="E1736" s="11" t="s">
        <v>39</v>
      </c>
      <c r="F1736" s="13">
        <v>38.54</v>
      </c>
      <c r="G1736" s="14">
        <v>45248.0</v>
      </c>
      <c r="H1736" s="15">
        <f t="shared" si="1"/>
        <v>18</v>
      </c>
      <c r="I1736" s="16">
        <f t="shared" si="2"/>
        <v>11</v>
      </c>
      <c r="J1736" s="15">
        <f t="shared" si="3"/>
        <v>2023</v>
      </c>
      <c r="K1736" s="16">
        <f>STANDARDIZE(F1736,'estatística'!$C$2,'estatística'!$H$2)</f>
        <v>0.4715117751</v>
      </c>
    </row>
    <row r="1737" ht="15.75" customHeight="1">
      <c r="A1737" s="9">
        <v>30.0</v>
      </c>
      <c r="B1737" s="10" t="s">
        <v>11</v>
      </c>
      <c r="C1737" s="11" t="s">
        <v>12</v>
      </c>
      <c r="D1737" s="10" t="s">
        <v>13</v>
      </c>
      <c r="E1737" s="11" t="s">
        <v>36</v>
      </c>
      <c r="F1737" s="13">
        <v>67.87</v>
      </c>
      <c r="G1737" s="14">
        <v>45248.0</v>
      </c>
      <c r="H1737" s="15">
        <f t="shared" si="1"/>
        <v>18</v>
      </c>
      <c r="I1737" s="16">
        <f t="shared" si="2"/>
        <v>11</v>
      </c>
      <c r="J1737" s="15">
        <f t="shared" si="3"/>
        <v>2023</v>
      </c>
      <c r="K1737" s="16">
        <f>STANDARDIZE(F1737,'estatística'!$C$2,'estatística'!$H$2)</f>
        <v>0.8428716131</v>
      </c>
    </row>
    <row r="1738" ht="15.75" customHeight="1">
      <c r="A1738" s="9">
        <v>47.0</v>
      </c>
      <c r="B1738" s="10" t="s">
        <v>89</v>
      </c>
      <c r="C1738" s="11" t="s">
        <v>90</v>
      </c>
      <c r="D1738" s="10" t="s">
        <v>17</v>
      </c>
      <c r="E1738" s="11" t="s">
        <v>62</v>
      </c>
      <c r="F1738" s="13">
        <v>11.42</v>
      </c>
      <c r="G1738" s="14">
        <v>45248.0</v>
      </c>
      <c r="H1738" s="15">
        <f t="shared" si="1"/>
        <v>18</v>
      </c>
      <c r="I1738" s="16">
        <f t="shared" si="2"/>
        <v>11</v>
      </c>
      <c r="J1738" s="15">
        <f t="shared" si="3"/>
        <v>2023</v>
      </c>
      <c r="K1738" s="16">
        <f>STANDARDIZE(F1738,'estatística'!$C$2,'estatística'!$H$2)</f>
        <v>0.1281337047</v>
      </c>
    </row>
    <row r="1739" ht="15.75" customHeight="1">
      <c r="A1739" s="9">
        <v>42.0</v>
      </c>
      <c r="B1739" s="10" t="s">
        <v>60</v>
      </c>
      <c r="C1739" s="11" t="s">
        <v>142</v>
      </c>
      <c r="D1739" s="10" t="s">
        <v>13</v>
      </c>
      <c r="E1739" s="11" t="s">
        <v>39</v>
      </c>
      <c r="F1739" s="13">
        <v>51.65</v>
      </c>
      <c r="G1739" s="14">
        <v>45249.0</v>
      </c>
      <c r="H1739" s="15">
        <f t="shared" si="1"/>
        <v>19</v>
      </c>
      <c r="I1739" s="16">
        <f t="shared" si="2"/>
        <v>11</v>
      </c>
      <c r="J1739" s="15">
        <f t="shared" si="3"/>
        <v>2023</v>
      </c>
      <c r="K1739" s="16">
        <f>STANDARDIZE(F1739,'estatística'!$C$2,'estatística'!$H$2)</f>
        <v>0.6375031654</v>
      </c>
    </row>
    <row r="1740" ht="15.75" customHeight="1">
      <c r="A1740" s="9">
        <v>62.0</v>
      </c>
      <c r="B1740" s="10" t="s">
        <v>128</v>
      </c>
      <c r="C1740" s="11" t="s">
        <v>129</v>
      </c>
      <c r="D1740" s="10" t="s">
        <v>13</v>
      </c>
      <c r="E1740" s="11" t="s">
        <v>14</v>
      </c>
      <c r="F1740" s="13">
        <v>10.75</v>
      </c>
      <c r="G1740" s="14">
        <v>45249.0</v>
      </c>
      <c r="H1740" s="15">
        <f t="shared" si="1"/>
        <v>19</v>
      </c>
      <c r="I1740" s="16">
        <f t="shared" si="2"/>
        <v>11</v>
      </c>
      <c r="J1740" s="15">
        <f t="shared" si="3"/>
        <v>2023</v>
      </c>
      <c r="K1740" s="16">
        <f>STANDARDIZE(F1740,'estatística'!$C$2,'estatística'!$H$2)</f>
        <v>0.1196505444</v>
      </c>
    </row>
    <row r="1741" ht="15.75" customHeight="1">
      <c r="A1741" s="9">
        <v>31.0</v>
      </c>
      <c r="B1741" s="10" t="s">
        <v>201</v>
      </c>
      <c r="C1741" s="11" t="s">
        <v>202</v>
      </c>
      <c r="D1741" s="10" t="s">
        <v>13</v>
      </c>
      <c r="E1741" s="11" t="s">
        <v>62</v>
      </c>
      <c r="F1741" s="13">
        <v>11.97</v>
      </c>
      <c r="G1741" s="14">
        <v>45249.0</v>
      </c>
      <c r="H1741" s="15">
        <f t="shared" si="1"/>
        <v>19</v>
      </c>
      <c r="I1741" s="16">
        <f t="shared" si="2"/>
        <v>11</v>
      </c>
      <c r="J1741" s="15">
        <f t="shared" si="3"/>
        <v>2023</v>
      </c>
      <c r="K1741" s="16">
        <f>STANDARDIZE(F1741,'estatística'!$C$2,'estatística'!$H$2)</f>
        <v>0.135097493</v>
      </c>
    </row>
    <row r="1742" ht="15.75" customHeight="1">
      <c r="A1742" s="9">
        <v>8.0</v>
      </c>
      <c r="B1742" s="10" t="s">
        <v>75</v>
      </c>
      <c r="C1742" s="11" t="s">
        <v>76</v>
      </c>
      <c r="D1742" s="10" t="s">
        <v>13</v>
      </c>
      <c r="E1742" s="11" t="s">
        <v>62</v>
      </c>
      <c r="F1742" s="13">
        <v>10.89</v>
      </c>
      <c r="G1742" s="14">
        <v>45249.0</v>
      </c>
      <c r="H1742" s="15">
        <f t="shared" si="1"/>
        <v>19</v>
      </c>
      <c r="I1742" s="16">
        <f t="shared" si="2"/>
        <v>11</v>
      </c>
      <c r="J1742" s="15">
        <f t="shared" si="3"/>
        <v>2023</v>
      </c>
      <c r="K1742" s="16">
        <f>STANDARDIZE(F1742,'estatística'!$C$2,'estatística'!$H$2)</f>
        <v>0.1214231451</v>
      </c>
    </row>
    <row r="1743" ht="15.75" customHeight="1">
      <c r="A1743" s="9">
        <v>69.0</v>
      </c>
      <c r="B1743" s="10" t="s">
        <v>75</v>
      </c>
      <c r="C1743" s="11" t="s">
        <v>117</v>
      </c>
      <c r="D1743" s="10" t="s">
        <v>13</v>
      </c>
      <c r="E1743" s="11" t="s">
        <v>107</v>
      </c>
      <c r="F1743" s="13">
        <v>30.89</v>
      </c>
      <c r="G1743" s="14">
        <v>45249.0</v>
      </c>
      <c r="H1743" s="15">
        <f t="shared" si="1"/>
        <v>19</v>
      </c>
      <c r="I1743" s="16">
        <f t="shared" si="2"/>
        <v>11</v>
      </c>
      <c r="J1743" s="15">
        <f t="shared" si="3"/>
        <v>2023</v>
      </c>
      <c r="K1743" s="16">
        <f>STANDARDIZE(F1743,'estatística'!$C$2,'estatística'!$H$2)</f>
        <v>0.3746518106</v>
      </c>
    </row>
    <row r="1744" ht="15.75" customHeight="1">
      <c r="A1744" s="9">
        <v>81.0</v>
      </c>
      <c r="B1744" s="10" t="s">
        <v>34</v>
      </c>
      <c r="C1744" s="11" t="s">
        <v>35</v>
      </c>
      <c r="D1744" s="10" t="s">
        <v>17</v>
      </c>
      <c r="E1744" s="11" t="s">
        <v>32</v>
      </c>
      <c r="F1744" s="13">
        <v>28.75</v>
      </c>
      <c r="G1744" s="14">
        <v>45249.0</v>
      </c>
      <c r="H1744" s="15">
        <f t="shared" si="1"/>
        <v>19</v>
      </c>
      <c r="I1744" s="16">
        <f t="shared" si="2"/>
        <v>11</v>
      </c>
      <c r="J1744" s="15">
        <f t="shared" si="3"/>
        <v>2023</v>
      </c>
      <c r="K1744" s="16">
        <f>STANDARDIZE(F1744,'estatística'!$C$2,'estatística'!$H$2)</f>
        <v>0.3475563434</v>
      </c>
    </row>
    <row r="1745" ht="15.75" customHeight="1">
      <c r="A1745" s="9">
        <v>79.0</v>
      </c>
      <c r="B1745" s="10" t="s">
        <v>69</v>
      </c>
      <c r="C1745" s="11" t="s">
        <v>70</v>
      </c>
      <c r="D1745" s="10" t="s">
        <v>17</v>
      </c>
      <c r="E1745" s="11" t="s">
        <v>14</v>
      </c>
      <c r="F1745" s="13">
        <v>10.47</v>
      </c>
      <c r="G1745" s="14">
        <v>45249.0</v>
      </c>
      <c r="H1745" s="15">
        <f t="shared" si="1"/>
        <v>19</v>
      </c>
      <c r="I1745" s="16">
        <f t="shared" si="2"/>
        <v>11</v>
      </c>
      <c r="J1745" s="15">
        <f t="shared" si="3"/>
        <v>2023</v>
      </c>
      <c r="K1745" s="16">
        <f>STANDARDIZE(F1745,'estatística'!$C$2,'estatística'!$H$2)</f>
        <v>0.1161053431</v>
      </c>
    </row>
    <row r="1746" ht="15.75" customHeight="1">
      <c r="A1746" s="9">
        <v>65.0</v>
      </c>
      <c r="B1746" s="10" t="s">
        <v>181</v>
      </c>
      <c r="C1746" s="11" t="s">
        <v>182</v>
      </c>
      <c r="D1746" s="10" t="s">
        <v>17</v>
      </c>
      <c r="E1746" s="11" t="s">
        <v>77</v>
      </c>
      <c r="F1746" s="13">
        <v>13.47</v>
      </c>
      <c r="G1746" s="14">
        <v>45249.0</v>
      </c>
      <c r="H1746" s="15">
        <f t="shared" si="1"/>
        <v>19</v>
      </c>
      <c r="I1746" s="16">
        <f t="shared" si="2"/>
        <v>11</v>
      </c>
      <c r="J1746" s="15">
        <f t="shared" si="3"/>
        <v>2023</v>
      </c>
      <c r="K1746" s="16">
        <f>STANDARDIZE(F1746,'estatística'!$C$2,'estatística'!$H$2)</f>
        <v>0.1540896429</v>
      </c>
    </row>
    <row r="1747" ht="15.75" customHeight="1">
      <c r="A1747" s="9">
        <v>99.0</v>
      </c>
      <c r="B1747" s="10" t="s">
        <v>46</v>
      </c>
      <c r="C1747" s="11" t="s">
        <v>47</v>
      </c>
      <c r="D1747" s="10" t="s">
        <v>13</v>
      </c>
      <c r="E1747" s="11" t="s">
        <v>21</v>
      </c>
      <c r="F1747" s="13">
        <v>14.41</v>
      </c>
      <c r="G1747" s="14">
        <v>45249.0</v>
      </c>
      <c r="H1747" s="15">
        <f t="shared" si="1"/>
        <v>19</v>
      </c>
      <c r="I1747" s="16">
        <f t="shared" si="2"/>
        <v>11</v>
      </c>
      <c r="J1747" s="15">
        <f t="shared" si="3"/>
        <v>2023</v>
      </c>
      <c r="K1747" s="16">
        <f>STANDARDIZE(F1747,'estatística'!$C$2,'estatística'!$H$2)</f>
        <v>0.1659913902</v>
      </c>
    </row>
    <row r="1748" ht="15.75" customHeight="1">
      <c r="A1748" s="9">
        <v>61.0</v>
      </c>
      <c r="B1748" s="10" t="s">
        <v>73</v>
      </c>
      <c r="C1748" s="11" t="s">
        <v>74</v>
      </c>
      <c r="D1748" s="10" t="s">
        <v>17</v>
      </c>
      <c r="E1748" s="11" t="s">
        <v>14</v>
      </c>
      <c r="F1748" s="13">
        <v>10.81</v>
      </c>
      <c r="G1748" s="14">
        <v>45249.0</v>
      </c>
      <c r="H1748" s="15">
        <f t="shared" si="1"/>
        <v>19</v>
      </c>
      <c r="I1748" s="16">
        <f t="shared" si="2"/>
        <v>11</v>
      </c>
      <c r="J1748" s="15">
        <f t="shared" si="3"/>
        <v>2023</v>
      </c>
      <c r="K1748" s="16">
        <f>STANDARDIZE(F1748,'estatística'!$C$2,'estatística'!$H$2)</f>
        <v>0.1204102304</v>
      </c>
    </row>
    <row r="1749" ht="15.75" customHeight="1">
      <c r="A1749" s="9">
        <v>85.0</v>
      </c>
      <c r="B1749" s="10" t="s">
        <v>170</v>
      </c>
      <c r="C1749" s="11" t="s">
        <v>171</v>
      </c>
      <c r="D1749" s="10" t="s">
        <v>17</v>
      </c>
      <c r="E1749" s="11" t="s">
        <v>91</v>
      </c>
      <c r="F1749" s="13">
        <v>2.2</v>
      </c>
      <c r="G1749" s="14">
        <v>45249.0</v>
      </c>
      <c r="H1749" s="15">
        <f t="shared" si="1"/>
        <v>19</v>
      </c>
      <c r="I1749" s="16">
        <f t="shared" si="2"/>
        <v>11</v>
      </c>
      <c r="J1749" s="15">
        <f t="shared" si="3"/>
        <v>2023</v>
      </c>
      <c r="K1749" s="16">
        <f>STANDARDIZE(F1749,'estatística'!$C$2,'estatística'!$H$2)</f>
        <v>0.01139528995</v>
      </c>
    </row>
    <row r="1750" ht="15.75" customHeight="1">
      <c r="A1750" s="9">
        <v>18.0</v>
      </c>
      <c r="B1750" s="10" t="s">
        <v>135</v>
      </c>
      <c r="C1750" s="11" t="s">
        <v>212</v>
      </c>
      <c r="D1750" s="10" t="s">
        <v>13</v>
      </c>
      <c r="E1750" s="11" t="s">
        <v>80</v>
      </c>
      <c r="F1750" s="13">
        <v>39.28</v>
      </c>
      <c r="G1750" s="14">
        <v>45249.0</v>
      </c>
      <c r="H1750" s="15">
        <f t="shared" si="1"/>
        <v>19</v>
      </c>
      <c r="I1750" s="16">
        <f t="shared" si="2"/>
        <v>11</v>
      </c>
      <c r="J1750" s="15">
        <f t="shared" si="3"/>
        <v>2023</v>
      </c>
      <c r="K1750" s="16">
        <f>STANDARDIZE(F1750,'estatística'!$C$2,'estatística'!$H$2)</f>
        <v>0.4808812358</v>
      </c>
    </row>
    <row r="1751" ht="15.75" customHeight="1">
      <c r="A1751" s="9">
        <v>49.0</v>
      </c>
      <c r="B1751" s="10" t="s">
        <v>151</v>
      </c>
      <c r="C1751" s="11" t="s">
        <v>152</v>
      </c>
      <c r="D1751" s="10" t="s">
        <v>13</v>
      </c>
      <c r="E1751" s="11" t="s">
        <v>21</v>
      </c>
      <c r="F1751" s="13">
        <v>21.35</v>
      </c>
      <c r="G1751" s="14">
        <v>45249.0</v>
      </c>
      <c r="H1751" s="15">
        <f t="shared" si="1"/>
        <v>19</v>
      </c>
      <c r="I1751" s="16">
        <f t="shared" si="2"/>
        <v>11</v>
      </c>
      <c r="J1751" s="15">
        <f t="shared" si="3"/>
        <v>2023</v>
      </c>
      <c r="K1751" s="16">
        <f>STANDARDIZE(F1751,'estatística'!$C$2,'estatística'!$H$2)</f>
        <v>0.2538617371</v>
      </c>
    </row>
    <row r="1752" ht="15.75" customHeight="1">
      <c r="A1752" s="9">
        <v>53.0</v>
      </c>
      <c r="B1752" s="10" t="s">
        <v>213</v>
      </c>
      <c r="C1752" s="11" t="s">
        <v>214</v>
      </c>
      <c r="D1752" s="10" t="s">
        <v>17</v>
      </c>
      <c r="E1752" s="11" t="s">
        <v>33</v>
      </c>
      <c r="F1752" s="13">
        <v>49.32</v>
      </c>
      <c r="G1752" s="14">
        <v>45250.0</v>
      </c>
      <c r="H1752" s="15">
        <f t="shared" si="1"/>
        <v>20</v>
      </c>
      <c r="I1752" s="16">
        <f t="shared" si="2"/>
        <v>11</v>
      </c>
      <c r="J1752" s="15">
        <f t="shared" si="3"/>
        <v>2023</v>
      </c>
      <c r="K1752" s="16">
        <f>STANDARDIZE(F1752,'estatística'!$C$2,'estatística'!$H$2)</f>
        <v>0.6080020258</v>
      </c>
    </row>
    <row r="1753" ht="15.75" customHeight="1">
      <c r="A1753" s="9">
        <v>82.0</v>
      </c>
      <c r="B1753" s="10" t="s">
        <v>203</v>
      </c>
      <c r="C1753" s="11" t="s">
        <v>204</v>
      </c>
      <c r="D1753" s="10" t="s">
        <v>13</v>
      </c>
      <c r="E1753" s="11" t="s">
        <v>48</v>
      </c>
      <c r="F1753" s="13">
        <v>14.92</v>
      </c>
      <c r="G1753" s="14">
        <v>45250.0</v>
      </c>
      <c r="H1753" s="15">
        <f t="shared" si="1"/>
        <v>20</v>
      </c>
      <c r="I1753" s="16">
        <f t="shared" si="2"/>
        <v>11</v>
      </c>
      <c r="J1753" s="15">
        <f t="shared" si="3"/>
        <v>2023</v>
      </c>
      <c r="K1753" s="16">
        <f>STANDARDIZE(F1753,'estatística'!$C$2,'estatística'!$H$2)</f>
        <v>0.1724487212</v>
      </c>
    </row>
    <row r="1754" ht="15.75" customHeight="1">
      <c r="A1754" s="9">
        <v>47.0</v>
      </c>
      <c r="B1754" s="10" t="s">
        <v>89</v>
      </c>
      <c r="C1754" s="11" t="s">
        <v>90</v>
      </c>
      <c r="D1754" s="10" t="s">
        <v>13</v>
      </c>
      <c r="E1754" s="11" t="s">
        <v>48</v>
      </c>
      <c r="F1754" s="13">
        <v>7.16</v>
      </c>
      <c r="G1754" s="14">
        <v>45250.0</v>
      </c>
      <c r="H1754" s="15">
        <f t="shared" si="1"/>
        <v>20</v>
      </c>
      <c r="I1754" s="16">
        <f t="shared" si="2"/>
        <v>11</v>
      </c>
      <c r="J1754" s="15">
        <f t="shared" si="3"/>
        <v>2023</v>
      </c>
      <c r="K1754" s="16">
        <f>STANDARDIZE(F1754,'estatística'!$C$2,'estatística'!$H$2)</f>
        <v>0.07419599899</v>
      </c>
    </row>
    <row r="1755" ht="15.75" customHeight="1">
      <c r="A1755" s="9">
        <v>73.0</v>
      </c>
      <c r="B1755" s="10" t="s">
        <v>195</v>
      </c>
      <c r="C1755" s="11" t="s">
        <v>196</v>
      </c>
      <c r="D1755" s="10" t="s">
        <v>17</v>
      </c>
      <c r="E1755" s="11" t="s">
        <v>48</v>
      </c>
      <c r="F1755" s="13">
        <v>14.41</v>
      </c>
      <c r="G1755" s="14">
        <v>45251.0</v>
      </c>
      <c r="H1755" s="15">
        <f t="shared" si="1"/>
        <v>21</v>
      </c>
      <c r="I1755" s="16">
        <f t="shared" si="2"/>
        <v>11</v>
      </c>
      <c r="J1755" s="15">
        <f t="shared" si="3"/>
        <v>2023</v>
      </c>
      <c r="K1755" s="16">
        <f>STANDARDIZE(F1755,'estatística'!$C$2,'estatística'!$H$2)</f>
        <v>0.1659913902</v>
      </c>
    </row>
    <row r="1756" ht="15.75" customHeight="1">
      <c r="A1756" s="9">
        <v>66.0</v>
      </c>
      <c r="B1756" s="10" t="s">
        <v>122</v>
      </c>
      <c r="C1756" s="11" t="s">
        <v>130</v>
      </c>
      <c r="D1756" s="10" t="s">
        <v>17</v>
      </c>
      <c r="E1756" s="11" t="s">
        <v>65</v>
      </c>
      <c r="F1756" s="13">
        <v>32.38</v>
      </c>
      <c r="G1756" s="14">
        <v>45251.0</v>
      </c>
      <c r="H1756" s="15">
        <f t="shared" si="1"/>
        <v>21</v>
      </c>
      <c r="I1756" s="16">
        <f t="shared" si="2"/>
        <v>11</v>
      </c>
      <c r="J1756" s="15">
        <f t="shared" si="3"/>
        <v>2023</v>
      </c>
      <c r="K1756" s="16">
        <f>STANDARDIZE(F1756,'estatística'!$C$2,'estatística'!$H$2)</f>
        <v>0.3935173462</v>
      </c>
    </row>
    <row r="1757" ht="15.75" customHeight="1">
      <c r="A1757" s="9">
        <v>81.0</v>
      </c>
      <c r="B1757" s="10" t="s">
        <v>34</v>
      </c>
      <c r="C1757" s="11" t="s">
        <v>35</v>
      </c>
      <c r="D1757" s="10" t="s">
        <v>13</v>
      </c>
      <c r="E1757" s="11" t="s">
        <v>68</v>
      </c>
      <c r="F1757" s="13">
        <v>12.93</v>
      </c>
      <c r="G1757" s="14">
        <v>45251.0</v>
      </c>
      <c r="H1757" s="15">
        <f t="shared" si="1"/>
        <v>21</v>
      </c>
      <c r="I1757" s="16">
        <f t="shared" si="2"/>
        <v>11</v>
      </c>
      <c r="J1757" s="15">
        <f t="shared" si="3"/>
        <v>2023</v>
      </c>
      <c r="K1757" s="16">
        <f>STANDARDIZE(F1757,'estatística'!$C$2,'estatística'!$H$2)</f>
        <v>0.147252469</v>
      </c>
    </row>
    <row r="1758" ht="15.75" customHeight="1">
      <c r="A1758" s="9">
        <v>44.0</v>
      </c>
      <c r="B1758" s="10" t="s">
        <v>187</v>
      </c>
      <c r="C1758" s="11" t="s">
        <v>188</v>
      </c>
      <c r="D1758" s="10" t="s">
        <v>17</v>
      </c>
      <c r="E1758" s="11" t="s">
        <v>48</v>
      </c>
      <c r="F1758" s="13">
        <v>10.49</v>
      </c>
      <c r="G1758" s="14">
        <v>45251.0</v>
      </c>
      <c r="H1758" s="15">
        <f t="shared" si="1"/>
        <v>21</v>
      </c>
      <c r="I1758" s="16">
        <f t="shared" si="2"/>
        <v>11</v>
      </c>
      <c r="J1758" s="15">
        <f t="shared" si="3"/>
        <v>2023</v>
      </c>
      <c r="K1758" s="16">
        <f>STANDARDIZE(F1758,'estatística'!$C$2,'estatística'!$H$2)</f>
        <v>0.1163585718</v>
      </c>
    </row>
    <row r="1759" ht="15.75" customHeight="1">
      <c r="A1759" s="9">
        <v>29.0</v>
      </c>
      <c r="B1759" s="10" t="s">
        <v>92</v>
      </c>
      <c r="C1759" s="11" t="s">
        <v>93</v>
      </c>
      <c r="D1759" s="10" t="s">
        <v>13</v>
      </c>
      <c r="E1759" s="11" t="s">
        <v>77</v>
      </c>
      <c r="F1759" s="13">
        <v>15.54</v>
      </c>
      <c r="G1759" s="14">
        <v>45251.0</v>
      </c>
      <c r="H1759" s="15">
        <f t="shared" si="1"/>
        <v>21</v>
      </c>
      <c r="I1759" s="16">
        <f t="shared" si="2"/>
        <v>11</v>
      </c>
      <c r="J1759" s="15">
        <f t="shared" si="3"/>
        <v>2023</v>
      </c>
      <c r="K1759" s="16">
        <f>STANDARDIZE(F1759,'estatística'!$C$2,'estatística'!$H$2)</f>
        <v>0.1802988098</v>
      </c>
    </row>
    <row r="1760" ht="15.75" customHeight="1">
      <c r="A1760" s="9">
        <v>41.0</v>
      </c>
      <c r="B1760" s="10" t="s">
        <v>189</v>
      </c>
      <c r="C1760" s="11" t="s">
        <v>190</v>
      </c>
      <c r="D1760" s="10" t="s">
        <v>17</v>
      </c>
      <c r="E1760" s="11" t="s">
        <v>33</v>
      </c>
      <c r="F1760" s="13">
        <v>69.83</v>
      </c>
      <c r="G1760" s="14">
        <v>45252.0</v>
      </c>
      <c r="H1760" s="15">
        <f t="shared" si="1"/>
        <v>22</v>
      </c>
      <c r="I1760" s="16">
        <f t="shared" si="2"/>
        <v>11</v>
      </c>
      <c r="J1760" s="15">
        <f t="shared" si="3"/>
        <v>2023</v>
      </c>
      <c r="K1760" s="16">
        <f>STANDARDIZE(F1760,'estatística'!$C$2,'estatística'!$H$2)</f>
        <v>0.8676880223</v>
      </c>
    </row>
    <row r="1761" ht="15.75" customHeight="1">
      <c r="A1761" s="9">
        <v>34.0</v>
      </c>
      <c r="B1761" s="10" t="s">
        <v>149</v>
      </c>
      <c r="C1761" s="11" t="s">
        <v>150</v>
      </c>
      <c r="D1761" s="10" t="s">
        <v>13</v>
      </c>
      <c r="E1761" s="11" t="s">
        <v>27</v>
      </c>
      <c r="F1761" s="13">
        <v>14.44</v>
      </c>
      <c r="G1761" s="14">
        <v>45252.0</v>
      </c>
      <c r="H1761" s="15">
        <f t="shared" si="1"/>
        <v>22</v>
      </c>
      <c r="I1761" s="16">
        <f t="shared" si="2"/>
        <v>11</v>
      </c>
      <c r="J1761" s="15">
        <f t="shared" si="3"/>
        <v>2023</v>
      </c>
      <c r="K1761" s="16">
        <f>STANDARDIZE(F1761,'estatística'!$C$2,'estatística'!$H$2)</f>
        <v>0.1663712332</v>
      </c>
    </row>
    <row r="1762" ht="15.75" customHeight="1">
      <c r="A1762" s="9">
        <v>77.0</v>
      </c>
      <c r="B1762" s="10" t="s">
        <v>11</v>
      </c>
      <c r="C1762" s="11" t="s">
        <v>141</v>
      </c>
      <c r="D1762" s="10" t="s">
        <v>13</v>
      </c>
      <c r="E1762" s="11" t="s">
        <v>68</v>
      </c>
      <c r="F1762" s="13">
        <v>14.68</v>
      </c>
      <c r="G1762" s="14">
        <v>45252.0</v>
      </c>
      <c r="H1762" s="15">
        <f t="shared" si="1"/>
        <v>22</v>
      </c>
      <c r="I1762" s="16">
        <f t="shared" si="2"/>
        <v>11</v>
      </c>
      <c r="J1762" s="15">
        <f t="shared" si="3"/>
        <v>2023</v>
      </c>
      <c r="K1762" s="16">
        <f>STANDARDIZE(F1762,'estatística'!$C$2,'estatística'!$H$2)</f>
        <v>0.1694099772</v>
      </c>
    </row>
    <row r="1763" ht="15.75" customHeight="1">
      <c r="A1763" s="9">
        <v>49.0</v>
      </c>
      <c r="B1763" s="10" t="s">
        <v>151</v>
      </c>
      <c r="C1763" s="11" t="s">
        <v>152</v>
      </c>
      <c r="D1763" s="10" t="s">
        <v>17</v>
      </c>
      <c r="E1763" s="11" t="s">
        <v>107</v>
      </c>
      <c r="F1763" s="13">
        <v>25.57</v>
      </c>
      <c r="G1763" s="14">
        <v>45252.0</v>
      </c>
      <c r="H1763" s="15">
        <f t="shared" si="1"/>
        <v>22</v>
      </c>
      <c r="I1763" s="16">
        <f t="shared" si="2"/>
        <v>11</v>
      </c>
      <c r="J1763" s="15">
        <f t="shared" si="3"/>
        <v>2023</v>
      </c>
      <c r="K1763" s="16">
        <f>STANDARDIZE(F1763,'estatística'!$C$2,'estatística'!$H$2)</f>
        <v>0.3072929856</v>
      </c>
    </row>
    <row r="1764" ht="15.75" customHeight="1">
      <c r="A1764" s="9">
        <v>99.0</v>
      </c>
      <c r="B1764" s="10" t="s">
        <v>46</v>
      </c>
      <c r="C1764" s="11" t="s">
        <v>47</v>
      </c>
      <c r="D1764" s="10" t="s">
        <v>13</v>
      </c>
      <c r="E1764" s="11" t="s">
        <v>65</v>
      </c>
      <c r="F1764" s="13">
        <v>34.98</v>
      </c>
      <c r="G1764" s="14">
        <v>45252.0</v>
      </c>
      <c r="H1764" s="15">
        <f t="shared" si="1"/>
        <v>22</v>
      </c>
      <c r="I1764" s="16">
        <f t="shared" si="2"/>
        <v>11</v>
      </c>
      <c r="J1764" s="15">
        <f t="shared" si="3"/>
        <v>2023</v>
      </c>
      <c r="K1764" s="16">
        <f>STANDARDIZE(F1764,'estatística'!$C$2,'estatística'!$H$2)</f>
        <v>0.4264370727</v>
      </c>
    </row>
    <row r="1765" ht="15.75" customHeight="1">
      <c r="A1765" s="9">
        <v>41.0</v>
      </c>
      <c r="B1765" s="10" t="s">
        <v>189</v>
      </c>
      <c r="C1765" s="11" t="s">
        <v>190</v>
      </c>
      <c r="D1765" s="10" t="s">
        <v>13</v>
      </c>
      <c r="E1765" s="11" t="s">
        <v>77</v>
      </c>
      <c r="F1765" s="13">
        <v>14.25</v>
      </c>
      <c r="G1765" s="14">
        <v>45252.0</v>
      </c>
      <c r="H1765" s="15">
        <f t="shared" si="1"/>
        <v>22</v>
      </c>
      <c r="I1765" s="16">
        <f t="shared" si="2"/>
        <v>11</v>
      </c>
      <c r="J1765" s="15">
        <f t="shared" si="3"/>
        <v>2023</v>
      </c>
      <c r="K1765" s="16">
        <f>STANDARDIZE(F1765,'estatística'!$C$2,'estatística'!$H$2)</f>
        <v>0.1639655609</v>
      </c>
    </row>
    <row r="1766" ht="15.75" customHeight="1">
      <c r="A1766" s="9">
        <v>94.0</v>
      </c>
      <c r="B1766" s="10" t="s">
        <v>179</v>
      </c>
      <c r="C1766" s="11" t="s">
        <v>209</v>
      </c>
      <c r="D1766" s="10" t="s">
        <v>17</v>
      </c>
      <c r="E1766" s="11" t="s">
        <v>14</v>
      </c>
      <c r="F1766" s="13">
        <v>10.73</v>
      </c>
      <c r="G1766" s="14">
        <v>45252.0</v>
      </c>
      <c r="H1766" s="15">
        <f t="shared" si="1"/>
        <v>22</v>
      </c>
      <c r="I1766" s="16">
        <f t="shared" si="2"/>
        <v>11</v>
      </c>
      <c r="J1766" s="15">
        <f t="shared" si="3"/>
        <v>2023</v>
      </c>
      <c r="K1766" s="16">
        <f>STANDARDIZE(F1766,'estatística'!$C$2,'estatística'!$H$2)</f>
        <v>0.1193973158</v>
      </c>
    </row>
    <row r="1767" ht="15.75" customHeight="1">
      <c r="A1767" s="9">
        <v>25.0</v>
      </c>
      <c r="B1767" s="10" t="s">
        <v>126</v>
      </c>
      <c r="C1767" s="11" t="s">
        <v>127</v>
      </c>
      <c r="D1767" s="10" t="s">
        <v>13</v>
      </c>
      <c r="E1767" s="11" t="s">
        <v>39</v>
      </c>
      <c r="F1767" s="13">
        <v>47.12</v>
      </c>
      <c r="G1767" s="14">
        <v>45252.0</v>
      </c>
      <c r="H1767" s="15">
        <f t="shared" si="1"/>
        <v>22</v>
      </c>
      <c r="I1767" s="16">
        <f t="shared" si="2"/>
        <v>11</v>
      </c>
      <c r="J1767" s="15">
        <f t="shared" si="3"/>
        <v>2023</v>
      </c>
      <c r="K1767" s="16">
        <f>STANDARDIZE(F1767,'estatística'!$C$2,'estatística'!$H$2)</f>
        <v>0.5801468726</v>
      </c>
    </row>
    <row r="1768" ht="15.75" customHeight="1">
      <c r="A1768" s="9">
        <v>98.0</v>
      </c>
      <c r="B1768" s="10" t="s">
        <v>131</v>
      </c>
      <c r="C1768" s="11" t="s">
        <v>168</v>
      </c>
      <c r="D1768" s="10" t="s">
        <v>17</v>
      </c>
      <c r="E1768" s="11" t="s">
        <v>36</v>
      </c>
      <c r="F1768" s="13">
        <v>73.96</v>
      </c>
      <c r="G1768" s="14">
        <v>45252.0</v>
      </c>
      <c r="H1768" s="15">
        <f t="shared" si="1"/>
        <v>22</v>
      </c>
      <c r="I1768" s="16">
        <f t="shared" si="2"/>
        <v>11</v>
      </c>
      <c r="J1768" s="15">
        <f t="shared" si="3"/>
        <v>2023</v>
      </c>
      <c r="K1768" s="16">
        <f>STANDARDIZE(F1768,'estatística'!$C$2,'estatística'!$H$2)</f>
        <v>0.9199797417</v>
      </c>
    </row>
    <row r="1769" ht="15.75" customHeight="1">
      <c r="A1769" s="9">
        <v>16.0</v>
      </c>
      <c r="B1769" s="10" t="s">
        <v>147</v>
      </c>
      <c r="C1769" s="11" t="s">
        <v>148</v>
      </c>
      <c r="D1769" s="10" t="s">
        <v>13</v>
      </c>
      <c r="E1769" s="11" t="s">
        <v>36</v>
      </c>
      <c r="F1769" s="13">
        <v>72.92</v>
      </c>
      <c r="G1769" s="14">
        <v>45253.0</v>
      </c>
      <c r="H1769" s="15">
        <f t="shared" si="1"/>
        <v>23</v>
      </c>
      <c r="I1769" s="16">
        <f t="shared" si="2"/>
        <v>11</v>
      </c>
      <c r="J1769" s="15">
        <f t="shared" si="3"/>
        <v>2023</v>
      </c>
      <c r="K1769" s="16">
        <f>STANDARDIZE(F1769,'estatística'!$C$2,'estatística'!$H$2)</f>
        <v>0.9068118511</v>
      </c>
    </row>
    <row r="1770" ht="15.75" customHeight="1">
      <c r="A1770" s="9">
        <v>49.0</v>
      </c>
      <c r="B1770" s="10" t="s">
        <v>151</v>
      </c>
      <c r="C1770" s="11" t="s">
        <v>152</v>
      </c>
      <c r="D1770" s="10" t="s">
        <v>17</v>
      </c>
      <c r="E1770" s="11" t="s">
        <v>77</v>
      </c>
      <c r="F1770" s="13">
        <v>15.86</v>
      </c>
      <c r="G1770" s="14">
        <v>45253.0</v>
      </c>
      <c r="H1770" s="15">
        <f t="shared" si="1"/>
        <v>23</v>
      </c>
      <c r="I1770" s="16">
        <f t="shared" si="2"/>
        <v>11</v>
      </c>
      <c r="J1770" s="15">
        <f t="shared" si="3"/>
        <v>2023</v>
      </c>
      <c r="K1770" s="16">
        <f>STANDARDIZE(F1770,'estatística'!$C$2,'estatística'!$H$2)</f>
        <v>0.1843504685</v>
      </c>
    </row>
    <row r="1771" ht="15.75" customHeight="1">
      <c r="A1771" s="9">
        <v>98.0</v>
      </c>
      <c r="B1771" s="10" t="s">
        <v>131</v>
      </c>
      <c r="C1771" s="11" t="s">
        <v>168</v>
      </c>
      <c r="D1771" s="10" t="s">
        <v>13</v>
      </c>
      <c r="E1771" s="11" t="s">
        <v>29</v>
      </c>
      <c r="F1771" s="13">
        <v>14.92</v>
      </c>
      <c r="G1771" s="14">
        <v>45253.0</v>
      </c>
      <c r="H1771" s="15">
        <f t="shared" si="1"/>
        <v>23</v>
      </c>
      <c r="I1771" s="16">
        <f t="shared" si="2"/>
        <v>11</v>
      </c>
      <c r="J1771" s="15">
        <f t="shared" si="3"/>
        <v>2023</v>
      </c>
      <c r="K1771" s="16">
        <f>STANDARDIZE(F1771,'estatística'!$C$2,'estatística'!$H$2)</f>
        <v>0.1724487212</v>
      </c>
    </row>
    <row r="1772" ht="15.75" customHeight="1">
      <c r="A1772" s="9">
        <v>34.0</v>
      </c>
      <c r="B1772" s="10" t="s">
        <v>149</v>
      </c>
      <c r="C1772" s="11" t="s">
        <v>150</v>
      </c>
      <c r="D1772" s="10" t="s">
        <v>13</v>
      </c>
      <c r="E1772" s="11" t="s">
        <v>36</v>
      </c>
      <c r="F1772" s="13">
        <v>76.21</v>
      </c>
      <c r="G1772" s="14">
        <v>45253.0</v>
      </c>
      <c r="H1772" s="15">
        <f t="shared" si="1"/>
        <v>23</v>
      </c>
      <c r="I1772" s="16">
        <f t="shared" si="2"/>
        <v>11</v>
      </c>
      <c r="J1772" s="15">
        <f t="shared" si="3"/>
        <v>2023</v>
      </c>
      <c r="K1772" s="16">
        <f>STANDARDIZE(F1772,'estatística'!$C$2,'estatística'!$H$2)</f>
        <v>0.9484679666</v>
      </c>
    </row>
    <row r="1773" ht="15.75" customHeight="1">
      <c r="A1773" s="9">
        <v>60.0</v>
      </c>
      <c r="B1773" s="10" t="s">
        <v>42</v>
      </c>
      <c r="C1773" s="11" t="s">
        <v>43</v>
      </c>
      <c r="D1773" s="10" t="s">
        <v>13</v>
      </c>
      <c r="E1773" s="11" t="s">
        <v>39</v>
      </c>
      <c r="F1773" s="13">
        <v>52.94</v>
      </c>
      <c r="G1773" s="14">
        <v>45253.0</v>
      </c>
      <c r="H1773" s="15">
        <f t="shared" si="1"/>
        <v>23</v>
      </c>
      <c r="I1773" s="16">
        <f t="shared" si="2"/>
        <v>11</v>
      </c>
      <c r="J1773" s="15">
        <f t="shared" si="3"/>
        <v>2023</v>
      </c>
      <c r="K1773" s="16">
        <f>STANDARDIZE(F1773,'estatística'!$C$2,'estatística'!$H$2)</f>
        <v>0.6538364143</v>
      </c>
    </row>
    <row r="1774" ht="15.75" customHeight="1">
      <c r="A1774" s="9">
        <v>14.0</v>
      </c>
      <c r="B1774" s="10" t="s">
        <v>143</v>
      </c>
      <c r="C1774" s="11" t="s">
        <v>144</v>
      </c>
      <c r="D1774" s="10" t="s">
        <v>17</v>
      </c>
      <c r="E1774" s="11" t="s">
        <v>65</v>
      </c>
      <c r="F1774" s="13">
        <v>29.15</v>
      </c>
      <c r="G1774" s="14">
        <v>45253.0</v>
      </c>
      <c r="H1774" s="15">
        <f t="shared" si="1"/>
        <v>23</v>
      </c>
      <c r="I1774" s="16">
        <f t="shared" si="2"/>
        <v>11</v>
      </c>
      <c r="J1774" s="15">
        <f t="shared" si="3"/>
        <v>2023</v>
      </c>
      <c r="K1774" s="16">
        <f>STANDARDIZE(F1774,'estatística'!$C$2,'estatística'!$H$2)</f>
        <v>0.3526209167</v>
      </c>
    </row>
    <row r="1775" ht="15.75" customHeight="1">
      <c r="A1775" s="9">
        <v>36.0</v>
      </c>
      <c r="B1775" s="10" t="s">
        <v>60</v>
      </c>
      <c r="C1775" s="11" t="s">
        <v>61</v>
      </c>
      <c r="D1775" s="10" t="s">
        <v>17</v>
      </c>
      <c r="E1775" s="11" t="s">
        <v>91</v>
      </c>
      <c r="F1775" s="13">
        <v>3.68</v>
      </c>
      <c r="G1775" s="14">
        <v>45253.0</v>
      </c>
      <c r="H1775" s="15">
        <f t="shared" si="1"/>
        <v>23</v>
      </c>
      <c r="I1775" s="16">
        <f t="shared" si="2"/>
        <v>11</v>
      </c>
      <c r="J1775" s="15">
        <f t="shared" si="3"/>
        <v>2023</v>
      </c>
      <c r="K1775" s="16">
        <f>STANDARDIZE(F1775,'estatística'!$C$2,'estatística'!$H$2)</f>
        <v>0.03013421119</v>
      </c>
    </row>
    <row r="1776" ht="15.75" customHeight="1">
      <c r="A1776" s="9">
        <v>40.0</v>
      </c>
      <c r="B1776" s="10" t="s">
        <v>92</v>
      </c>
      <c r="C1776" s="11" t="s">
        <v>157</v>
      </c>
      <c r="D1776" s="10" t="s">
        <v>13</v>
      </c>
      <c r="E1776" s="11" t="s">
        <v>29</v>
      </c>
      <c r="F1776" s="13">
        <v>12.52</v>
      </c>
      <c r="G1776" s="14">
        <v>45253.0</v>
      </c>
      <c r="H1776" s="15">
        <f t="shared" si="1"/>
        <v>23</v>
      </c>
      <c r="I1776" s="16">
        <f t="shared" si="2"/>
        <v>11</v>
      </c>
      <c r="J1776" s="15">
        <f t="shared" si="3"/>
        <v>2023</v>
      </c>
      <c r="K1776" s="16">
        <f>STANDARDIZE(F1776,'estatística'!$C$2,'estatística'!$H$2)</f>
        <v>0.1420612813</v>
      </c>
    </row>
    <row r="1777" ht="15.75" customHeight="1">
      <c r="A1777" s="9">
        <v>22.0</v>
      </c>
      <c r="B1777" s="10" t="s">
        <v>101</v>
      </c>
      <c r="C1777" s="11" t="s">
        <v>102</v>
      </c>
      <c r="D1777" s="10" t="s">
        <v>17</v>
      </c>
      <c r="E1777" s="11" t="s">
        <v>116</v>
      </c>
      <c r="F1777" s="13">
        <v>4.91</v>
      </c>
      <c r="G1777" s="14">
        <v>45254.0</v>
      </c>
      <c r="H1777" s="15">
        <f t="shared" si="1"/>
        <v>24</v>
      </c>
      <c r="I1777" s="16">
        <f t="shared" si="2"/>
        <v>11</v>
      </c>
      <c r="J1777" s="15">
        <f t="shared" si="3"/>
        <v>2023</v>
      </c>
      <c r="K1777" s="16">
        <f>STANDARDIZE(F1777,'estatística'!$C$2,'estatística'!$H$2)</f>
        <v>0.04570777412</v>
      </c>
    </row>
    <row r="1778" ht="15.75" customHeight="1">
      <c r="A1778" s="9">
        <v>85.0</v>
      </c>
      <c r="B1778" s="10" t="s">
        <v>170</v>
      </c>
      <c r="C1778" s="11" t="s">
        <v>171</v>
      </c>
      <c r="D1778" s="10" t="s">
        <v>17</v>
      </c>
      <c r="E1778" s="11" t="s">
        <v>48</v>
      </c>
      <c r="F1778" s="13">
        <v>10.49</v>
      </c>
      <c r="G1778" s="14">
        <v>45254.0</v>
      </c>
      <c r="H1778" s="15">
        <f t="shared" si="1"/>
        <v>24</v>
      </c>
      <c r="I1778" s="16">
        <f t="shared" si="2"/>
        <v>11</v>
      </c>
      <c r="J1778" s="15">
        <f t="shared" si="3"/>
        <v>2023</v>
      </c>
      <c r="K1778" s="16">
        <f>STANDARDIZE(F1778,'estatística'!$C$2,'estatística'!$H$2)</f>
        <v>0.1163585718</v>
      </c>
    </row>
    <row r="1779" ht="15.75" customHeight="1">
      <c r="A1779" s="9">
        <v>38.0</v>
      </c>
      <c r="B1779" s="10" t="s">
        <v>85</v>
      </c>
      <c r="C1779" s="11" t="s">
        <v>86</v>
      </c>
      <c r="D1779" s="10" t="s">
        <v>17</v>
      </c>
      <c r="E1779" s="11" t="s">
        <v>24</v>
      </c>
      <c r="F1779" s="13">
        <v>31.87</v>
      </c>
      <c r="G1779" s="14">
        <v>45254.0</v>
      </c>
      <c r="H1779" s="15">
        <f t="shared" si="1"/>
        <v>24</v>
      </c>
      <c r="I1779" s="16">
        <f t="shared" si="2"/>
        <v>11</v>
      </c>
      <c r="J1779" s="15">
        <f t="shared" si="3"/>
        <v>2023</v>
      </c>
      <c r="K1779" s="16">
        <f>STANDARDIZE(F1779,'estatística'!$C$2,'estatística'!$H$2)</f>
        <v>0.3870600152</v>
      </c>
    </row>
    <row r="1780" ht="15.75" customHeight="1">
      <c r="A1780" s="9">
        <v>44.0</v>
      </c>
      <c r="B1780" s="10" t="s">
        <v>187</v>
      </c>
      <c r="C1780" s="11" t="s">
        <v>188</v>
      </c>
      <c r="D1780" s="10" t="s">
        <v>13</v>
      </c>
      <c r="E1780" s="11" t="s">
        <v>21</v>
      </c>
      <c r="F1780" s="13">
        <v>19.48</v>
      </c>
      <c r="G1780" s="14">
        <v>45254.0</v>
      </c>
      <c r="H1780" s="15">
        <f t="shared" si="1"/>
        <v>24</v>
      </c>
      <c r="I1780" s="16">
        <f t="shared" si="2"/>
        <v>11</v>
      </c>
      <c r="J1780" s="15">
        <f t="shared" si="3"/>
        <v>2023</v>
      </c>
      <c r="K1780" s="16">
        <f>STANDARDIZE(F1780,'estatística'!$C$2,'estatística'!$H$2)</f>
        <v>0.2301848569</v>
      </c>
    </row>
    <row r="1781" ht="15.75" customHeight="1">
      <c r="A1781" s="9">
        <v>85.0</v>
      </c>
      <c r="B1781" s="10" t="s">
        <v>170</v>
      </c>
      <c r="C1781" s="11" t="s">
        <v>171</v>
      </c>
      <c r="D1781" s="10" t="s">
        <v>13</v>
      </c>
      <c r="E1781" s="11" t="s">
        <v>80</v>
      </c>
      <c r="F1781" s="13">
        <v>32.44</v>
      </c>
      <c r="G1781" s="14">
        <v>45254.0</v>
      </c>
      <c r="H1781" s="15">
        <f t="shared" si="1"/>
        <v>24</v>
      </c>
      <c r="I1781" s="16">
        <f t="shared" si="2"/>
        <v>11</v>
      </c>
      <c r="J1781" s="15">
        <f t="shared" si="3"/>
        <v>2023</v>
      </c>
      <c r="K1781" s="16">
        <f>STANDARDIZE(F1781,'estatística'!$C$2,'estatística'!$H$2)</f>
        <v>0.3942770322</v>
      </c>
    </row>
    <row r="1782" ht="15.75" customHeight="1">
      <c r="A1782" s="9">
        <v>52.0</v>
      </c>
      <c r="B1782" s="10" t="s">
        <v>153</v>
      </c>
      <c r="C1782" s="11" t="s">
        <v>154</v>
      </c>
      <c r="D1782" s="10" t="s">
        <v>17</v>
      </c>
      <c r="E1782" s="11" t="s">
        <v>62</v>
      </c>
      <c r="F1782" s="13">
        <v>11.32</v>
      </c>
      <c r="G1782" s="14">
        <v>45254.0</v>
      </c>
      <c r="H1782" s="15">
        <f t="shared" si="1"/>
        <v>24</v>
      </c>
      <c r="I1782" s="16">
        <f t="shared" si="2"/>
        <v>11</v>
      </c>
      <c r="J1782" s="15">
        <f t="shared" si="3"/>
        <v>2023</v>
      </c>
      <c r="K1782" s="16">
        <f>STANDARDIZE(F1782,'estatística'!$C$2,'estatística'!$H$2)</f>
        <v>0.1268675614</v>
      </c>
    </row>
    <row r="1783" ht="15.75" customHeight="1">
      <c r="A1783" s="9">
        <v>75.0</v>
      </c>
      <c r="B1783" s="10" t="s">
        <v>210</v>
      </c>
      <c r="C1783" s="11" t="s">
        <v>211</v>
      </c>
      <c r="D1783" s="10" t="s">
        <v>17</v>
      </c>
      <c r="E1783" s="11" t="s">
        <v>77</v>
      </c>
      <c r="F1783" s="13">
        <v>13.55</v>
      </c>
      <c r="G1783" s="14">
        <v>45254.0</v>
      </c>
      <c r="H1783" s="15">
        <f t="shared" si="1"/>
        <v>24</v>
      </c>
      <c r="I1783" s="16">
        <f t="shared" si="2"/>
        <v>11</v>
      </c>
      <c r="J1783" s="15">
        <f t="shared" si="3"/>
        <v>2023</v>
      </c>
      <c r="K1783" s="16">
        <f>STANDARDIZE(F1783,'estatística'!$C$2,'estatística'!$H$2)</f>
        <v>0.1551025576</v>
      </c>
    </row>
    <row r="1784" ht="15.75" customHeight="1">
      <c r="A1784" s="9">
        <v>4.0</v>
      </c>
      <c r="B1784" s="10" t="s">
        <v>87</v>
      </c>
      <c r="C1784" s="11" t="s">
        <v>88</v>
      </c>
      <c r="D1784" s="10" t="s">
        <v>17</v>
      </c>
      <c r="E1784" s="11" t="s">
        <v>107</v>
      </c>
      <c r="F1784" s="13">
        <v>30.74</v>
      </c>
      <c r="G1784" s="14">
        <v>45254.0</v>
      </c>
      <c r="H1784" s="15">
        <f t="shared" si="1"/>
        <v>24</v>
      </c>
      <c r="I1784" s="16">
        <f t="shared" si="2"/>
        <v>11</v>
      </c>
      <c r="J1784" s="15">
        <f t="shared" si="3"/>
        <v>2023</v>
      </c>
      <c r="K1784" s="16">
        <f>STANDARDIZE(F1784,'estatística'!$C$2,'estatística'!$H$2)</f>
        <v>0.3727525956</v>
      </c>
    </row>
    <row r="1785" ht="15.75" customHeight="1">
      <c r="A1785" s="9">
        <v>90.0</v>
      </c>
      <c r="B1785" s="10" t="s">
        <v>191</v>
      </c>
      <c r="C1785" s="11" t="s">
        <v>192</v>
      </c>
      <c r="D1785" s="10" t="s">
        <v>13</v>
      </c>
      <c r="E1785" s="11" t="s">
        <v>27</v>
      </c>
      <c r="F1785" s="13">
        <v>18.65</v>
      </c>
      <c r="G1785" s="14">
        <v>45254.0</v>
      </c>
      <c r="H1785" s="15">
        <f t="shared" si="1"/>
        <v>24</v>
      </c>
      <c r="I1785" s="16">
        <f t="shared" si="2"/>
        <v>11</v>
      </c>
      <c r="J1785" s="15">
        <f t="shared" si="3"/>
        <v>2023</v>
      </c>
      <c r="K1785" s="16">
        <f>STANDARDIZE(F1785,'estatística'!$C$2,'estatística'!$H$2)</f>
        <v>0.2196758673</v>
      </c>
    </row>
    <row r="1786" ht="15.75" customHeight="1">
      <c r="A1786" s="9">
        <v>19.0</v>
      </c>
      <c r="B1786" s="10" t="s">
        <v>25</v>
      </c>
      <c r="C1786" s="11" t="s">
        <v>165</v>
      </c>
      <c r="D1786" s="10" t="s">
        <v>13</v>
      </c>
      <c r="E1786" s="11" t="s">
        <v>77</v>
      </c>
      <c r="F1786" s="13">
        <v>11.91</v>
      </c>
      <c r="G1786" s="14">
        <v>45255.0</v>
      </c>
      <c r="H1786" s="15">
        <f t="shared" si="1"/>
        <v>25</v>
      </c>
      <c r="I1786" s="16">
        <f t="shared" si="2"/>
        <v>11</v>
      </c>
      <c r="J1786" s="15">
        <f t="shared" si="3"/>
        <v>2023</v>
      </c>
      <c r="K1786" s="16">
        <f>STANDARDIZE(F1786,'estatística'!$C$2,'estatística'!$H$2)</f>
        <v>0.134337807</v>
      </c>
    </row>
    <row r="1787" ht="15.75" customHeight="1">
      <c r="A1787" s="9">
        <v>93.0</v>
      </c>
      <c r="B1787" s="10" t="s">
        <v>99</v>
      </c>
      <c r="C1787" s="11" t="s">
        <v>100</v>
      </c>
      <c r="D1787" s="10" t="s">
        <v>17</v>
      </c>
      <c r="E1787" s="11" t="s">
        <v>48</v>
      </c>
      <c r="F1787" s="13">
        <v>19.52</v>
      </c>
      <c r="G1787" s="14">
        <v>45255.0</v>
      </c>
      <c r="H1787" s="15">
        <f t="shared" si="1"/>
        <v>25</v>
      </c>
      <c r="I1787" s="16">
        <f t="shared" si="2"/>
        <v>11</v>
      </c>
      <c r="J1787" s="15">
        <f t="shared" si="3"/>
        <v>2023</v>
      </c>
      <c r="K1787" s="16">
        <f>STANDARDIZE(F1787,'estatística'!$C$2,'estatística'!$H$2)</f>
        <v>0.2306913143</v>
      </c>
    </row>
    <row r="1788" ht="15.75" customHeight="1">
      <c r="A1788" s="9">
        <v>21.0</v>
      </c>
      <c r="B1788" s="10" t="s">
        <v>158</v>
      </c>
      <c r="C1788" s="11" t="s">
        <v>159</v>
      </c>
      <c r="D1788" s="10" t="s">
        <v>13</v>
      </c>
      <c r="E1788" s="11" t="s">
        <v>27</v>
      </c>
      <c r="F1788" s="13">
        <v>20.33</v>
      </c>
      <c r="G1788" s="14">
        <v>45255.0</v>
      </c>
      <c r="H1788" s="15">
        <f t="shared" si="1"/>
        <v>25</v>
      </c>
      <c r="I1788" s="16">
        <f t="shared" si="2"/>
        <v>11</v>
      </c>
      <c r="J1788" s="15">
        <f t="shared" si="3"/>
        <v>2023</v>
      </c>
      <c r="K1788" s="16">
        <f>STANDARDIZE(F1788,'estatística'!$C$2,'estatística'!$H$2)</f>
        <v>0.2409470752</v>
      </c>
    </row>
    <row r="1789" ht="15.75" customHeight="1">
      <c r="A1789" s="9">
        <v>97.0</v>
      </c>
      <c r="B1789" s="10" t="s">
        <v>44</v>
      </c>
      <c r="C1789" s="11" t="s">
        <v>45</v>
      </c>
      <c r="D1789" s="10" t="s">
        <v>17</v>
      </c>
      <c r="E1789" s="11" t="s">
        <v>24</v>
      </c>
      <c r="F1789" s="13">
        <v>28.17</v>
      </c>
      <c r="G1789" s="14">
        <v>45255.0</v>
      </c>
      <c r="H1789" s="15">
        <f t="shared" si="1"/>
        <v>25</v>
      </c>
      <c r="I1789" s="16">
        <f t="shared" si="2"/>
        <v>11</v>
      </c>
      <c r="J1789" s="15">
        <f t="shared" si="3"/>
        <v>2023</v>
      </c>
      <c r="K1789" s="16">
        <f>STANDARDIZE(F1789,'estatística'!$C$2,'estatística'!$H$2)</f>
        <v>0.3402127121</v>
      </c>
    </row>
    <row r="1790" ht="15.75" customHeight="1">
      <c r="A1790" s="9">
        <v>48.0</v>
      </c>
      <c r="B1790" s="10" t="s">
        <v>25</v>
      </c>
      <c r="C1790" s="11" t="s">
        <v>28</v>
      </c>
      <c r="D1790" s="10" t="s">
        <v>13</v>
      </c>
      <c r="E1790" s="11" t="s">
        <v>29</v>
      </c>
      <c r="F1790" s="13">
        <v>14.58</v>
      </c>
      <c r="G1790" s="14">
        <v>45255.0</v>
      </c>
      <c r="H1790" s="15">
        <f t="shared" si="1"/>
        <v>25</v>
      </c>
      <c r="I1790" s="16">
        <f t="shared" si="2"/>
        <v>11</v>
      </c>
      <c r="J1790" s="15">
        <f t="shared" si="3"/>
        <v>2023</v>
      </c>
      <c r="K1790" s="16">
        <f>STANDARDIZE(F1790,'estatística'!$C$2,'estatística'!$H$2)</f>
        <v>0.1681438339</v>
      </c>
    </row>
    <row r="1791" ht="15.75" customHeight="1">
      <c r="A1791" s="9">
        <v>66.0</v>
      </c>
      <c r="B1791" s="10" t="s">
        <v>122</v>
      </c>
      <c r="C1791" s="11" t="s">
        <v>130</v>
      </c>
      <c r="D1791" s="10" t="s">
        <v>17</v>
      </c>
      <c r="E1791" s="11" t="s">
        <v>57</v>
      </c>
      <c r="F1791" s="13">
        <v>24.99</v>
      </c>
      <c r="G1791" s="14">
        <v>45255.0</v>
      </c>
      <c r="H1791" s="15">
        <f t="shared" si="1"/>
        <v>25</v>
      </c>
      <c r="I1791" s="16">
        <f t="shared" si="2"/>
        <v>11</v>
      </c>
      <c r="J1791" s="15">
        <f t="shared" si="3"/>
        <v>2023</v>
      </c>
      <c r="K1791" s="16">
        <f>STANDARDIZE(F1791,'estatística'!$C$2,'estatística'!$H$2)</f>
        <v>0.2999493543</v>
      </c>
    </row>
    <row r="1792" ht="15.75" customHeight="1">
      <c r="A1792" s="9">
        <v>67.0</v>
      </c>
      <c r="B1792" s="10" t="s">
        <v>176</v>
      </c>
      <c r="C1792" s="11" t="s">
        <v>177</v>
      </c>
      <c r="D1792" s="10" t="s">
        <v>17</v>
      </c>
      <c r="E1792" s="11" t="s">
        <v>77</v>
      </c>
      <c r="F1792" s="13">
        <v>12.18</v>
      </c>
      <c r="G1792" s="14">
        <v>45255.0</v>
      </c>
      <c r="H1792" s="15">
        <f t="shared" si="1"/>
        <v>25</v>
      </c>
      <c r="I1792" s="16">
        <f t="shared" si="2"/>
        <v>11</v>
      </c>
      <c r="J1792" s="15">
        <f t="shared" si="3"/>
        <v>2023</v>
      </c>
      <c r="K1792" s="16">
        <f>STANDARDIZE(F1792,'estatística'!$C$2,'estatística'!$H$2)</f>
        <v>0.137756394</v>
      </c>
    </row>
    <row r="1793" ht="15.75" customHeight="1">
      <c r="A1793" s="9">
        <v>96.0</v>
      </c>
      <c r="B1793" s="10" t="s">
        <v>135</v>
      </c>
      <c r="C1793" s="11" t="s">
        <v>136</v>
      </c>
      <c r="D1793" s="10" t="s">
        <v>17</v>
      </c>
      <c r="E1793" s="11" t="s">
        <v>39</v>
      </c>
      <c r="F1793" s="13">
        <v>39.54</v>
      </c>
      <c r="G1793" s="14">
        <v>45255.0</v>
      </c>
      <c r="H1793" s="15">
        <f t="shared" si="1"/>
        <v>25</v>
      </c>
      <c r="I1793" s="16">
        <f t="shared" si="2"/>
        <v>11</v>
      </c>
      <c r="J1793" s="15">
        <f t="shared" si="3"/>
        <v>2023</v>
      </c>
      <c r="K1793" s="16">
        <f>STANDARDIZE(F1793,'estatística'!$C$2,'estatística'!$H$2)</f>
        <v>0.4841732084</v>
      </c>
    </row>
    <row r="1794" ht="15.75" customHeight="1">
      <c r="A1794" s="9">
        <v>71.0</v>
      </c>
      <c r="B1794" s="10" t="s">
        <v>122</v>
      </c>
      <c r="C1794" s="11" t="s">
        <v>123</v>
      </c>
      <c r="D1794" s="10" t="s">
        <v>17</v>
      </c>
      <c r="E1794" s="11" t="s">
        <v>77</v>
      </c>
      <c r="F1794" s="13">
        <v>17.05</v>
      </c>
      <c r="G1794" s="14">
        <v>45255.0</v>
      </c>
      <c r="H1794" s="15">
        <f t="shared" si="1"/>
        <v>25</v>
      </c>
      <c r="I1794" s="16">
        <f t="shared" si="2"/>
        <v>11</v>
      </c>
      <c r="J1794" s="15">
        <f t="shared" si="3"/>
        <v>2023</v>
      </c>
      <c r="K1794" s="16">
        <f>STANDARDIZE(F1794,'estatística'!$C$2,'estatística'!$H$2)</f>
        <v>0.1994175741</v>
      </c>
    </row>
    <row r="1795" ht="15.75" customHeight="1">
      <c r="A1795" s="9">
        <v>87.0</v>
      </c>
      <c r="B1795" s="10" t="s">
        <v>215</v>
      </c>
      <c r="C1795" s="11" t="s">
        <v>216</v>
      </c>
      <c r="D1795" s="10" t="s">
        <v>13</v>
      </c>
      <c r="E1795" s="11" t="s">
        <v>29</v>
      </c>
      <c r="F1795" s="13">
        <v>14.26</v>
      </c>
      <c r="G1795" s="14">
        <v>45255.0</v>
      </c>
      <c r="H1795" s="15">
        <f t="shared" si="1"/>
        <v>25</v>
      </c>
      <c r="I1795" s="16">
        <f t="shared" si="2"/>
        <v>11</v>
      </c>
      <c r="J1795" s="15">
        <f t="shared" si="3"/>
        <v>2023</v>
      </c>
      <c r="K1795" s="16">
        <f>STANDARDIZE(F1795,'estatística'!$C$2,'estatística'!$H$2)</f>
        <v>0.1640921752</v>
      </c>
    </row>
    <row r="1796" ht="15.75" customHeight="1">
      <c r="A1796" s="9">
        <v>37.0</v>
      </c>
      <c r="B1796" s="10" t="s">
        <v>217</v>
      </c>
      <c r="C1796" s="11" t="s">
        <v>218</v>
      </c>
      <c r="D1796" s="10" t="s">
        <v>13</v>
      </c>
      <c r="E1796" s="11" t="s">
        <v>68</v>
      </c>
      <c r="F1796" s="13">
        <v>10.54</v>
      </c>
      <c r="G1796" s="14">
        <v>45255.0</v>
      </c>
      <c r="H1796" s="15">
        <f t="shared" si="1"/>
        <v>25</v>
      </c>
      <c r="I1796" s="16">
        <f t="shared" si="2"/>
        <v>11</v>
      </c>
      <c r="J1796" s="15">
        <f t="shared" si="3"/>
        <v>2023</v>
      </c>
      <c r="K1796" s="16">
        <f>STANDARDIZE(F1796,'estatística'!$C$2,'estatística'!$H$2)</f>
        <v>0.1169916435</v>
      </c>
    </row>
    <row r="1797" ht="15.75" customHeight="1">
      <c r="A1797" s="9">
        <v>22.0</v>
      </c>
      <c r="B1797" s="10" t="s">
        <v>101</v>
      </c>
      <c r="C1797" s="11" t="s">
        <v>102</v>
      </c>
      <c r="D1797" s="10" t="s">
        <v>17</v>
      </c>
      <c r="E1797" s="11" t="s">
        <v>24</v>
      </c>
      <c r="F1797" s="13">
        <v>19.03</v>
      </c>
      <c r="G1797" s="14">
        <v>45255.0</v>
      </c>
      <c r="H1797" s="15">
        <f t="shared" si="1"/>
        <v>25</v>
      </c>
      <c r="I1797" s="16">
        <f t="shared" si="2"/>
        <v>11</v>
      </c>
      <c r="J1797" s="15">
        <f t="shared" si="3"/>
        <v>2023</v>
      </c>
      <c r="K1797" s="16">
        <f>STANDARDIZE(F1797,'estatística'!$C$2,'estatística'!$H$2)</f>
        <v>0.224487212</v>
      </c>
    </row>
    <row r="1798" ht="15.75" customHeight="1">
      <c r="A1798" s="9">
        <v>28.0</v>
      </c>
      <c r="B1798" s="10" t="s">
        <v>49</v>
      </c>
      <c r="C1798" s="11" t="s">
        <v>50</v>
      </c>
      <c r="D1798" s="10" t="s">
        <v>13</v>
      </c>
      <c r="E1798" s="11" t="s">
        <v>77</v>
      </c>
      <c r="F1798" s="13">
        <v>14.15</v>
      </c>
      <c r="G1798" s="14">
        <v>45255.0</v>
      </c>
      <c r="H1798" s="15">
        <f t="shared" si="1"/>
        <v>25</v>
      </c>
      <c r="I1798" s="16">
        <f t="shared" si="2"/>
        <v>11</v>
      </c>
      <c r="J1798" s="15">
        <f t="shared" si="3"/>
        <v>2023</v>
      </c>
      <c r="K1798" s="16">
        <f>STANDARDIZE(F1798,'estatística'!$C$2,'estatística'!$H$2)</f>
        <v>0.1626994176</v>
      </c>
    </row>
    <row r="1799" ht="15.75" customHeight="1">
      <c r="A1799" s="9">
        <v>62.0</v>
      </c>
      <c r="B1799" s="10" t="s">
        <v>128</v>
      </c>
      <c r="C1799" s="11" t="s">
        <v>129</v>
      </c>
      <c r="D1799" s="10" t="s">
        <v>13</v>
      </c>
      <c r="E1799" s="11" t="s">
        <v>27</v>
      </c>
      <c r="F1799" s="13">
        <v>14.19</v>
      </c>
      <c r="G1799" s="14">
        <v>45256.0</v>
      </c>
      <c r="H1799" s="15">
        <f t="shared" si="1"/>
        <v>26</v>
      </c>
      <c r="I1799" s="16">
        <f t="shared" si="2"/>
        <v>11</v>
      </c>
      <c r="J1799" s="15">
        <f t="shared" si="3"/>
        <v>2023</v>
      </c>
      <c r="K1799" s="16">
        <f>STANDARDIZE(F1799,'estatística'!$C$2,'estatística'!$H$2)</f>
        <v>0.1632058749</v>
      </c>
    </row>
    <row r="1800" ht="15.75" customHeight="1">
      <c r="A1800" s="9">
        <v>51.0</v>
      </c>
      <c r="B1800" s="10" t="s">
        <v>205</v>
      </c>
      <c r="C1800" s="11" t="s">
        <v>206</v>
      </c>
      <c r="D1800" s="10" t="s">
        <v>17</v>
      </c>
      <c r="E1800" s="11" t="s">
        <v>27</v>
      </c>
      <c r="F1800" s="13">
        <v>17.04</v>
      </c>
      <c r="G1800" s="14">
        <v>45256.0</v>
      </c>
      <c r="H1800" s="15">
        <f t="shared" si="1"/>
        <v>26</v>
      </c>
      <c r="I1800" s="16">
        <f t="shared" si="2"/>
        <v>11</v>
      </c>
      <c r="J1800" s="15">
        <f t="shared" si="3"/>
        <v>2023</v>
      </c>
      <c r="K1800" s="16">
        <f>STANDARDIZE(F1800,'estatística'!$C$2,'estatística'!$H$2)</f>
        <v>0.1992909597</v>
      </c>
    </row>
    <row r="1801" ht="15.75" customHeight="1">
      <c r="A1801" s="9">
        <v>31.0</v>
      </c>
      <c r="B1801" s="10" t="s">
        <v>201</v>
      </c>
      <c r="C1801" s="11" t="s">
        <v>202</v>
      </c>
      <c r="D1801" s="10" t="s">
        <v>17</v>
      </c>
      <c r="E1801" s="11" t="s">
        <v>48</v>
      </c>
      <c r="F1801" s="13">
        <v>10.6</v>
      </c>
      <c r="G1801" s="14">
        <v>45256.0</v>
      </c>
      <c r="H1801" s="15">
        <f t="shared" si="1"/>
        <v>26</v>
      </c>
      <c r="I1801" s="16">
        <f t="shared" si="2"/>
        <v>11</v>
      </c>
      <c r="J1801" s="15">
        <f t="shared" si="3"/>
        <v>2023</v>
      </c>
      <c r="K1801" s="16">
        <f>STANDARDIZE(F1801,'estatística'!$C$2,'estatística'!$H$2)</f>
        <v>0.1177513295</v>
      </c>
    </row>
    <row r="1802" ht="15.75" customHeight="1">
      <c r="A1802" s="9">
        <v>78.0</v>
      </c>
      <c r="B1802" s="10" t="s">
        <v>15</v>
      </c>
      <c r="C1802" s="11" t="s">
        <v>16</v>
      </c>
      <c r="D1802" s="10" t="s">
        <v>13</v>
      </c>
      <c r="E1802" s="11" t="s">
        <v>29</v>
      </c>
      <c r="F1802" s="13">
        <v>12.73</v>
      </c>
      <c r="G1802" s="14">
        <v>45256.0</v>
      </c>
      <c r="H1802" s="15">
        <f t="shared" si="1"/>
        <v>26</v>
      </c>
      <c r="I1802" s="16">
        <f t="shared" si="2"/>
        <v>11</v>
      </c>
      <c r="J1802" s="15">
        <f t="shared" si="3"/>
        <v>2023</v>
      </c>
      <c r="K1802" s="16">
        <f>STANDARDIZE(F1802,'estatística'!$C$2,'estatística'!$H$2)</f>
        <v>0.1447201823</v>
      </c>
    </row>
    <row r="1803" ht="15.75" customHeight="1">
      <c r="A1803" s="9">
        <v>88.0</v>
      </c>
      <c r="B1803" s="10" t="s">
        <v>172</v>
      </c>
      <c r="C1803" s="11" t="s">
        <v>178</v>
      </c>
      <c r="D1803" s="10" t="s">
        <v>13</v>
      </c>
      <c r="E1803" s="11" t="s">
        <v>80</v>
      </c>
      <c r="F1803" s="13">
        <v>34.94</v>
      </c>
      <c r="G1803" s="14">
        <v>45257.0</v>
      </c>
      <c r="H1803" s="15">
        <f t="shared" si="1"/>
        <v>27</v>
      </c>
      <c r="I1803" s="16">
        <f t="shared" si="2"/>
        <v>11</v>
      </c>
      <c r="J1803" s="15">
        <f t="shared" si="3"/>
        <v>2023</v>
      </c>
      <c r="K1803" s="16">
        <f>STANDARDIZE(F1803,'estatística'!$C$2,'estatística'!$H$2)</f>
        <v>0.4259306153</v>
      </c>
    </row>
    <row r="1804" ht="15.75" customHeight="1">
      <c r="A1804" s="9">
        <v>7.0</v>
      </c>
      <c r="B1804" s="10" t="s">
        <v>83</v>
      </c>
      <c r="C1804" s="11" t="s">
        <v>84</v>
      </c>
      <c r="D1804" s="10" t="s">
        <v>13</v>
      </c>
      <c r="E1804" s="11" t="s">
        <v>36</v>
      </c>
      <c r="F1804" s="13">
        <v>63.2</v>
      </c>
      <c r="G1804" s="14">
        <v>45257.0</v>
      </c>
      <c r="H1804" s="15">
        <f t="shared" si="1"/>
        <v>27</v>
      </c>
      <c r="I1804" s="16">
        <f t="shared" si="2"/>
        <v>11</v>
      </c>
      <c r="J1804" s="15">
        <f t="shared" si="3"/>
        <v>2023</v>
      </c>
      <c r="K1804" s="16">
        <f>STANDARDIZE(F1804,'estatística'!$C$2,'estatística'!$H$2)</f>
        <v>0.7837427197</v>
      </c>
    </row>
    <row r="1805" ht="15.75" customHeight="1">
      <c r="A1805" s="9">
        <v>49.0</v>
      </c>
      <c r="B1805" s="10" t="s">
        <v>151</v>
      </c>
      <c r="C1805" s="11" t="s">
        <v>152</v>
      </c>
      <c r="D1805" s="10" t="s">
        <v>17</v>
      </c>
      <c r="E1805" s="11" t="s">
        <v>27</v>
      </c>
      <c r="F1805" s="13">
        <v>18.45</v>
      </c>
      <c r="G1805" s="14">
        <v>45257.0</v>
      </c>
      <c r="H1805" s="15">
        <f t="shared" si="1"/>
        <v>27</v>
      </c>
      <c r="I1805" s="16">
        <f t="shared" si="2"/>
        <v>11</v>
      </c>
      <c r="J1805" s="15">
        <f t="shared" si="3"/>
        <v>2023</v>
      </c>
      <c r="K1805" s="16">
        <f>STANDARDIZE(F1805,'estatística'!$C$2,'estatística'!$H$2)</f>
        <v>0.2171435807</v>
      </c>
    </row>
    <row r="1806" ht="15.75" customHeight="1">
      <c r="A1806" s="9">
        <v>56.0</v>
      </c>
      <c r="B1806" s="10" t="s">
        <v>97</v>
      </c>
      <c r="C1806" s="11" t="s">
        <v>98</v>
      </c>
      <c r="D1806" s="10" t="s">
        <v>13</v>
      </c>
      <c r="E1806" s="11" t="s">
        <v>24</v>
      </c>
      <c r="F1806" s="13">
        <v>27.53</v>
      </c>
      <c r="G1806" s="14">
        <v>45257.0</v>
      </c>
      <c r="H1806" s="15">
        <f t="shared" si="1"/>
        <v>27</v>
      </c>
      <c r="I1806" s="16">
        <f t="shared" si="2"/>
        <v>11</v>
      </c>
      <c r="J1806" s="15">
        <f t="shared" si="3"/>
        <v>2023</v>
      </c>
      <c r="K1806" s="16">
        <f>STANDARDIZE(F1806,'estatística'!$C$2,'estatística'!$H$2)</f>
        <v>0.3321093948</v>
      </c>
    </row>
    <row r="1807" ht="15.75" customHeight="1">
      <c r="A1807" s="9">
        <v>98.0</v>
      </c>
      <c r="B1807" s="10" t="s">
        <v>131</v>
      </c>
      <c r="C1807" s="11" t="s">
        <v>168</v>
      </c>
      <c r="D1807" s="10" t="s">
        <v>13</v>
      </c>
      <c r="E1807" s="11" t="s">
        <v>48</v>
      </c>
      <c r="F1807" s="13">
        <v>19.28</v>
      </c>
      <c r="G1807" s="14">
        <v>45257.0</v>
      </c>
      <c r="H1807" s="15">
        <f t="shared" si="1"/>
        <v>27</v>
      </c>
      <c r="I1807" s="16">
        <f t="shared" si="2"/>
        <v>11</v>
      </c>
      <c r="J1807" s="15">
        <f t="shared" si="3"/>
        <v>2023</v>
      </c>
      <c r="K1807" s="16">
        <f>STANDARDIZE(F1807,'estatística'!$C$2,'estatística'!$H$2)</f>
        <v>0.2276525703</v>
      </c>
    </row>
    <row r="1808" ht="15.75" customHeight="1">
      <c r="A1808" s="9">
        <v>79.0</v>
      </c>
      <c r="B1808" s="10" t="s">
        <v>69</v>
      </c>
      <c r="C1808" s="11" t="s">
        <v>70</v>
      </c>
      <c r="D1808" s="10" t="s">
        <v>17</v>
      </c>
      <c r="E1808" s="11" t="s">
        <v>107</v>
      </c>
      <c r="F1808" s="13">
        <v>31.67</v>
      </c>
      <c r="G1808" s="14">
        <v>45257.0</v>
      </c>
      <c r="H1808" s="15">
        <f t="shared" si="1"/>
        <v>27</v>
      </c>
      <c r="I1808" s="16">
        <f t="shared" si="2"/>
        <v>11</v>
      </c>
      <c r="J1808" s="15">
        <f t="shared" si="3"/>
        <v>2023</v>
      </c>
      <c r="K1808" s="16">
        <f>STANDARDIZE(F1808,'estatística'!$C$2,'estatística'!$H$2)</f>
        <v>0.3845277285</v>
      </c>
    </row>
    <row r="1809" ht="15.75" customHeight="1">
      <c r="A1809" s="9">
        <v>79.0</v>
      </c>
      <c r="B1809" s="10" t="s">
        <v>69</v>
      </c>
      <c r="C1809" s="11" t="s">
        <v>70</v>
      </c>
      <c r="D1809" s="10" t="s">
        <v>17</v>
      </c>
      <c r="E1809" s="11" t="s">
        <v>29</v>
      </c>
      <c r="F1809" s="13">
        <v>13.02</v>
      </c>
      <c r="G1809" s="14">
        <v>45257.0</v>
      </c>
      <c r="H1809" s="15">
        <f t="shared" si="1"/>
        <v>27</v>
      </c>
      <c r="I1809" s="16">
        <f t="shared" si="2"/>
        <v>11</v>
      </c>
      <c r="J1809" s="15">
        <f t="shared" si="3"/>
        <v>2023</v>
      </c>
      <c r="K1809" s="16">
        <f>STANDARDIZE(F1809,'estatística'!$C$2,'estatística'!$H$2)</f>
        <v>0.148391998</v>
      </c>
    </row>
    <row r="1810" ht="15.75" customHeight="1">
      <c r="A1810" s="9">
        <v>24.0</v>
      </c>
      <c r="B1810" s="10" t="s">
        <v>110</v>
      </c>
      <c r="C1810" s="11" t="s">
        <v>111</v>
      </c>
      <c r="D1810" s="10" t="s">
        <v>17</v>
      </c>
      <c r="E1810" s="11" t="s">
        <v>116</v>
      </c>
      <c r="F1810" s="13">
        <v>5.21</v>
      </c>
      <c r="G1810" s="14">
        <v>45257.0</v>
      </c>
      <c r="H1810" s="15">
        <f t="shared" si="1"/>
        <v>27</v>
      </c>
      <c r="I1810" s="16">
        <f t="shared" si="2"/>
        <v>11</v>
      </c>
      <c r="J1810" s="15">
        <f t="shared" si="3"/>
        <v>2023</v>
      </c>
      <c r="K1810" s="16">
        <f>STANDARDIZE(F1810,'estatística'!$C$2,'estatística'!$H$2)</f>
        <v>0.0495062041</v>
      </c>
    </row>
    <row r="1811" ht="15.75" customHeight="1">
      <c r="A1811" s="9">
        <v>5.0</v>
      </c>
      <c r="B1811" s="10" t="s">
        <v>139</v>
      </c>
      <c r="C1811" s="11" t="s">
        <v>140</v>
      </c>
      <c r="D1811" s="10" t="s">
        <v>13</v>
      </c>
      <c r="E1811" s="11" t="s">
        <v>91</v>
      </c>
      <c r="F1811" s="13">
        <v>3.09</v>
      </c>
      <c r="G1811" s="14">
        <v>45258.0</v>
      </c>
      <c r="H1811" s="15">
        <f t="shared" si="1"/>
        <v>28</v>
      </c>
      <c r="I1811" s="16">
        <f t="shared" si="2"/>
        <v>11</v>
      </c>
      <c r="J1811" s="15">
        <f t="shared" si="3"/>
        <v>2023</v>
      </c>
      <c r="K1811" s="16">
        <f>STANDARDIZE(F1811,'estatística'!$C$2,'estatística'!$H$2)</f>
        <v>0.02266396556</v>
      </c>
    </row>
    <row r="1812" ht="15.75" customHeight="1">
      <c r="A1812" s="9">
        <v>9.0</v>
      </c>
      <c r="B1812" s="10" t="s">
        <v>179</v>
      </c>
      <c r="C1812" s="11" t="s">
        <v>180</v>
      </c>
      <c r="D1812" s="10" t="s">
        <v>17</v>
      </c>
      <c r="E1812" s="11" t="s">
        <v>32</v>
      </c>
      <c r="F1812" s="13">
        <v>23.51</v>
      </c>
      <c r="G1812" s="14">
        <v>45258.0</v>
      </c>
      <c r="H1812" s="15">
        <f t="shared" si="1"/>
        <v>28</v>
      </c>
      <c r="I1812" s="16">
        <f t="shared" si="2"/>
        <v>11</v>
      </c>
      <c r="J1812" s="15">
        <f t="shared" si="3"/>
        <v>2023</v>
      </c>
      <c r="K1812" s="16">
        <f>STANDARDIZE(F1812,'estatística'!$C$2,'estatística'!$H$2)</f>
        <v>0.281210433</v>
      </c>
    </row>
    <row r="1813" ht="15.75" customHeight="1">
      <c r="A1813" s="9">
        <v>77.0</v>
      </c>
      <c r="B1813" s="10" t="s">
        <v>11</v>
      </c>
      <c r="C1813" s="11" t="s">
        <v>141</v>
      </c>
      <c r="D1813" s="10" t="s">
        <v>13</v>
      </c>
      <c r="E1813" s="11" t="s">
        <v>24</v>
      </c>
      <c r="F1813" s="13">
        <v>33.86</v>
      </c>
      <c r="G1813" s="14">
        <v>45258.0</v>
      </c>
      <c r="H1813" s="15">
        <f t="shared" si="1"/>
        <v>28</v>
      </c>
      <c r="I1813" s="16">
        <f t="shared" si="2"/>
        <v>11</v>
      </c>
      <c r="J1813" s="15">
        <f t="shared" si="3"/>
        <v>2023</v>
      </c>
      <c r="K1813" s="16">
        <f>STANDARDIZE(F1813,'estatística'!$C$2,'estatística'!$H$2)</f>
        <v>0.4122562674</v>
      </c>
    </row>
    <row r="1814" ht="15.75" customHeight="1">
      <c r="A1814" s="9">
        <v>16.0</v>
      </c>
      <c r="B1814" s="10" t="s">
        <v>147</v>
      </c>
      <c r="C1814" s="11" t="s">
        <v>148</v>
      </c>
      <c r="D1814" s="10" t="s">
        <v>17</v>
      </c>
      <c r="E1814" s="11" t="s">
        <v>27</v>
      </c>
      <c r="F1814" s="13">
        <v>19.8</v>
      </c>
      <c r="G1814" s="14">
        <v>45258.0</v>
      </c>
      <c r="H1814" s="15">
        <f t="shared" si="1"/>
        <v>28</v>
      </c>
      <c r="I1814" s="16">
        <f t="shared" si="2"/>
        <v>11</v>
      </c>
      <c r="J1814" s="15">
        <f t="shared" si="3"/>
        <v>2023</v>
      </c>
      <c r="K1814" s="16">
        <f>STANDARDIZE(F1814,'estatística'!$C$2,'estatística'!$H$2)</f>
        <v>0.2342365156</v>
      </c>
    </row>
    <row r="1815" ht="15.75" customHeight="1">
      <c r="A1815" s="9">
        <v>90.0</v>
      </c>
      <c r="B1815" s="10" t="s">
        <v>191</v>
      </c>
      <c r="C1815" s="11" t="s">
        <v>192</v>
      </c>
      <c r="D1815" s="10" t="s">
        <v>13</v>
      </c>
      <c r="E1815" s="11" t="s">
        <v>39</v>
      </c>
      <c r="F1815" s="13">
        <v>46.22</v>
      </c>
      <c r="G1815" s="14">
        <v>45261.0</v>
      </c>
      <c r="H1815" s="15">
        <f t="shared" si="1"/>
        <v>1</v>
      </c>
      <c r="I1815" s="16">
        <f t="shared" si="2"/>
        <v>12</v>
      </c>
      <c r="J1815" s="15">
        <f t="shared" si="3"/>
        <v>2023</v>
      </c>
      <c r="K1815" s="16">
        <f>STANDARDIZE(F1815,'estatística'!$C$2,'estatística'!$H$2)</f>
        <v>0.5687515827</v>
      </c>
    </row>
    <row r="1816" ht="15.75" customHeight="1">
      <c r="A1816" s="9">
        <v>53.0</v>
      </c>
      <c r="B1816" s="10" t="s">
        <v>213</v>
      </c>
      <c r="C1816" s="11" t="s">
        <v>214</v>
      </c>
      <c r="D1816" s="10" t="s">
        <v>13</v>
      </c>
      <c r="E1816" s="11" t="s">
        <v>18</v>
      </c>
      <c r="F1816" s="13">
        <v>51.91</v>
      </c>
      <c r="G1816" s="14">
        <v>45261.0</v>
      </c>
      <c r="H1816" s="15">
        <f t="shared" si="1"/>
        <v>1</v>
      </c>
      <c r="I1816" s="16">
        <f t="shared" si="2"/>
        <v>12</v>
      </c>
      <c r="J1816" s="15">
        <f t="shared" si="3"/>
        <v>2023</v>
      </c>
      <c r="K1816" s="16">
        <f>STANDARDIZE(F1816,'estatística'!$C$2,'estatística'!$H$2)</f>
        <v>0.640795138</v>
      </c>
    </row>
    <row r="1817" ht="15.75" customHeight="1">
      <c r="A1817" s="9">
        <v>56.0</v>
      </c>
      <c r="B1817" s="10" t="s">
        <v>97</v>
      </c>
      <c r="C1817" s="11" t="s">
        <v>98</v>
      </c>
      <c r="D1817" s="10" t="s">
        <v>13</v>
      </c>
      <c r="E1817" s="11" t="s">
        <v>36</v>
      </c>
      <c r="F1817" s="13">
        <v>69.63</v>
      </c>
      <c r="G1817" s="14">
        <v>45261.0</v>
      </c>
      <c r="H1817" s="15">
        <f t="shared" si="1"/>
        <v>1</v>
      </c>
      <c r="I1817" s="16">
        <f t="shared" si="2"/>
        <v>12</v>
      </c>
      <c r="J1817" s="15">
        <f t="shared" si="3"/>
        <v>2023</v>
      </c>
      <c r="K1817" s="16">
        <f>STANDARDIZE(F1817,'estatística'!$C$2,'estatística'!$H$2)</f>
        <v>0.8651557356</v>
      </c>
    </row>
    <row r="1818" ht="15.75" customHeight="1">
      <c r="A1818" s="9">
        <v>52.0</v>
      </c>
      <c r="B1818" s="10" t="s">
        <v>153</v>
      </c>
      <c r="C1818" s="11" t="s">
        <v>154</v>
      </c>
      <c r="D1818" s="10" t="s">
        <v>13</v>
      </c>
      <c r="E1818" s="11" t="s">
        <v>24</v>
      </c>
      <c r="F1818" s="13">
        <v>18.43</v>
      </c>
      <c r="G1818" s="14">
        <v>45261.0</v>
      </c>
      <c r="H1818" s="15">
        <f t="shared" si="1"/>
        <v>1</v>
      </c>
      <c r="I1818" s="16">
        <f t="shared" si="2"/>
        <v>12</v>
      </c>
      <c r="J1818" s="15">
        <f t="shared" si="3"/>
        <v>2023</v>
      </c>
      <c r="K1818" s="16">
        <f>STANDARDIZE(F1818,'estatística'!$C$2,'estatística'!$H$2)</f>
        <v>0.216890352</v>
      </c>
    </row>
    <row r="1819" ht="15.75" customHeight="1">
      <c r="A1819" s="9">
        <v>93.0</v>
      </c>
      <c r="B1819" s="10" t="s">
        <v>99</v>
      </c>
      <c r="C1819" s="11" t="s">
        <v>100</v>
      </c>
      <c r="D1819" s="10" t="s">
        <v>17</v>
      </c>
      <c r="E1819" s="11" t="s">
        <v>18</v>
      </c>
      <c r="F1819" s="13">
        <v>43.74</v>
      </c>
      <c r="G1819" s="14">
        <v>45261.0</v>
      </c>
      <c r="H1819" s="15">
        <f t="shared" si="1"/>
        <v>1</v>
      </c>
      <c r="I1819" s="16">
        <f t="shared" si="2"/>
        <v>12</v>
      </c>
      <c r="J1819" s="15">
        <f t="shared" si="3"/>
        <v>2023</v>
      </c>
      <c r="K1819" s="16">
        <f>STANDARDIZE(F1819,'estatística'!$C$2,'estatística'!$H$2)</f>
        <v>0.5373512282</v>
      </c>
    </row>
    <row r="1820" ht="15.75" customHeight="1">
      <c r="A1820" s="9">
        <v>7.0</v>
      </c>
      <c r="B1820" s="10" t="s">
        <v>83</v>
      </c>
      <c r="C1820" s="11" t="s">
        <v>84</v>
      </c>
      <c r="D1820" s="10" t="s">
        <v>13</v>
      </c>
      <c r="E1820" s="11" t="s">
        <v>24</v>
      </c>
      <c r="F1820" s="13">
        <v>30.03</v>
      </c>
      <c r="G1820" s="14">
        <v>45261.0</v>
      </c>
      <c r="H1820" s="15">
        <f t="shared" si="1"/>
        <v>1</v>
      </c>
      <c r="I1820" s="16">
        <f t="shared" si="2"/>
        <v>12</v>
      </c>
      <c r="J1820" s="15">
        <f t="shared" si="3"/>
        <v>2023</v>
      </c>
      <c r="K1820" s="16">
        <f>STANDARDIZE(F1820,'estatística'!$C$2,'estatística'!$H$2)</f>
        <v>0.363762978</v>
      </c>
    </row>
    <row r="1821" ht="15.75" customHeight="1">
      <c r="A1821" s="9">
        <v>53.0</v>
      </c>
      <c r="B1821" s="10" t="s">
        <v>213</v>
      </c>
      <c r="C1821" s="11" t="s">
        <v>214</v>
      </c>
      <c r="D1821" s="10" t="s">
        <v>13</v>
      </c>
      <c r="E1821" s="11" t="s">
        <v>33</v>
      </c>
      <c r="F1821" s="13">
        <v>60.53</v>
      </c>
      <c r="G1821" s="14">
        <v>45261.0</v>
      </c>
      <c r="H1821" s="15">
        <f t="shared" si="1"/>
        <v>1</v>
      </c>
      <c r="I1821" s="16">
        <f t="shared" si="2"/>
        <v>12</v>
      </c>
      <c r="J1821" s="15">
        <f t="shared" si="3"/>
        <v>2023</v>
      </c>
      <c r="K1821" s="16">
        <f>STANDARDIZE(F1821,'estatística'!$C$2,'estatística'!$H$2)</f>
        <v>0.7499366928</v>
      </c>
    </row>
    <row r="1822" ht="15.75" customHeight="1">
      <c r="A1822" s="9">
        <v>97.0</v>
      </c>
      <c r="B1822" s="10" t="s">
        <v>44</v>
      </c>
      <c r="C1822" s="11" t="s">
        <v>45</v>
      </c>
      <c r="D1822" s="10" t="s">
        <v>17</v>
      </c>
      <c r="E1822" s="11" t="s">
        <v>32</v>
      </c>
      <c r="F1822" s="13">
        <v>25.38</v>
      </c>
      <c r="G1822" s="14">
        <v>45261.0</v>
      </c>
      <c r="H1822" s="15">
        <f t="shared" si="1"/>
        <v>1</v>
      </c>
      <c r="I1822" s="16">
        <f t="shared" si="2"/>
        <v>12</v>
      </c>
      <c r="J1822" s="15">
        <f t="shared" si="3"/>
        <v>2023</v>
      </c>
      <c r="K1822" s="16">
        <f>STANDARDIZE(F1822,'estatística'!$C$2,'estatística'!$H$2)</f>
        <v>0.3048873132</v>
      </c>
    </row>
    <row r="1823" ht="15.75" customHeight="1">
      <c r="A1823" s="9">
        <v>5.0</v>
      </c>
      <c r="B1823" s="10" t="s">
        <v>139</v>
      </c>
      <c r="C1823" s="11" t="s">
        <v>140</v>
      </c>
      <c r="D1823" s="10" t="s">
        <v>17</v>
      </c>
      <c r="E1823" s="11" t="s">
        <v>77</v>
      </c>
      <c r="F1823" s="13">
        <v>15.88</v>
      </c>
      <c r="G1823" s="14">
        <v>45261.0</v>
      </c>
      <c r="H1823" s="15">
        <f t="shared" si="1"/>
        <v>1</v>
      </c>
      <c r="I1823" s="16">
        <f t="shared" si="2"/>
        <v>12</v>
      </c>
      <c r="J1823" s="15">
        <f t="shared" si="3"/>
        <v>2023</v>
      </c>
      <c r="K1823" s="16">
        <f>STANDARDIZE(F1823,'estatística'!$C$2,'estatística'!$H$2)</f>
        <v>0.1846036971</v>
      </c>
    </row>
    <row r="1824" ht="15.75" customHeight="1">
      <c r="A1824" s="9">
        <v>83.0</v>
      </c>
      <c r="B1824" s="10" t="s">
        <v>66</v>
      </c>
      <c r="C1824" s="11" t="s">
        <v>67</v>
      </c>
      <c r="D1824" s="10" t="s">
        <v>13</v>
      </c>
      <c r="E1824" s="11" t="s">
        <v>77</v>
      </c>
      <c r="F1824" s="13">
        <v>14.18</v>
      </c>
      <c r="G1824" s="14">
        <v>45261.0</v>
      </c>
      <c r="H1824" s="15">
        <f t="shared" si="1"/>
        <v>1</v>
      </c>
      <c r="I1824" s="16">
        <f t="shared" si="2"/>
        <v>12</v>
      </c>
      <c r="J1824" s="15">
        <f t="shared" si="3"/>
        <v>2023</v>
      </c>
      <c r="K1824" s="16">
        <f>STANDARDIZE(F1824,'estatística'!$C$2,'estatística'!$H$2)</f>
        <v>0.1630792606</v>
      </c>
    </row>
    <row r="1825" ht="15.75" customHeight="1">
      <c r="A1825" s="9">
        <v>72.0</v>
      </c>
      <c r="B1825" s="10" t="s">
        <v>103</v>
      </c>
      <c r="C1825" s="11" t="s">
        <v>104</v>
      </c>
      <c r="D1825" s="10" t="s">
        <v>13</v>
      </c>
      <c r="E1825" s="11" t="s">
        <v>24</v>
      </c>
      <c r="F1825" s="13">
        <v>36.32</v>
      </c>
      <c r="G1825" s="14">
        <v>45262.0</v>
      </c>
      <c r="H1825" s="15">
        <f t="shared" si="1"/>
        <v>2</v>
      </c>
      <c r="I1825" s="16">
        <f t="shared" si="2"/>
        <v>12</v>
      </c>
      <c r="J1825" s="15">
        <f t="shared" si="3"/>
        <v>2023</v>
      </c>
      <c r="K1825" s="16">
        <f>STANDARDIZE(F1825,'estatística'!$C$2,'estatística'!$H$2)</f>
        <v>0.4434033933</v>
      </c>
    </row>
    <row r="1826" ht="15.75" customHeight="1">
      <c r="A1826" s="9">
        <v>99.0</v>
      </c>
      <c r="B1826" s="10" t="s">
        <v>46</v>
      </c>
      <c r="C1826" s="11" t="s">
        <v>47</v>
      </c>
      <c r="D1826" s="10" t="s">
        <v>13</v>
      </c>
      <c r="E1826" s="11" t="s">
        <v>116</v>
      </c>
      <c r="F1826" s="13">
        <v>3.31</v>
      </c>
      <c r="G1826" s="14">
        <v>45262.0</v>
      </c>
      <c r="H1826" s="15">
        <f t="shared" si="1"/>
        <v>2</v>
      </c>
      <c r="I1826" s="16">
        <f t="shared" si="2"/>
        <v>12</v>
      </c>
      <c r="J1826" s="15">
        <f t="shared" si="3"/>
        <v>2023</v>
      </c>
      <c r="K1826" s="16">
        <f>STANDARDIZE(F1826,'estatística'!$C$2,'estatística'!$H$2)</f>
        <v>0.02544948088</v>
      </c>
    </row>
    <row r="1827" ht="15.75" customHeight="1">
      <c r="A1827" s="9">
        <v>84.0</v>
      </c>
      <c r="B1827" s="10" t="s">
        <v>112</v>
      </c>
      <c r="C1827" s="11" t="s">
        <v>113</v>
      </c>
      <c r="D1827" s="10" t="s">
        <v>13</v>
      </c>
      <c r="E1827" s="11" t="s">
        <v>36</v>
      </c>
      <c r="F1827" s="13">
        <v>64.85</v>
      </c>
      <c r="G1827" s="14">
        <v>45262.0</v>
      </c>
      <c r="H1827" s="15">
        <f t="shared" si="1"/>
        <v>2</v>
      </c>
      <c r="I1827" s="16">
        <f t="shared" si="2"/>
        <v>12</v>
      </c>
      <c r="J1827" s="15">
        <f t="shared" si="3"/>
        <v>2023</v>
      </c>
      <c r="K1827" s="16">
        <f>STANDARDIZE(F1827,'estatística'!$C$2,'estatística'!$H$2)</f>
        <v>0.8046340846</v>
      </c>
    </row>
    <row r="1828" ht="15.75" customHeight="1">
      <c r="A1828" s="9">
        <v>99.0</v>
      </c>
      <c r="B1828" s="10" t="s">
        <v>46</v>
      </c>
      <c r="C1828" s="11" t="s">
        <v>47</v>
      </c>
      <c r="D1828" s="10" t="s">
        <v>13</v>
      </c>
      <c r="E1828" s="11" t="s">
        <v>91</v>
      </c>
      <c r="F1828" s="13">
        <v>1.96</v>
      </c>
      <c r="G1828" s="14">
        <v>45262.0</v>
      </c>
      <c r="H1828" s="15">
        <f t="shared" si="1"/>
        <v>2</v>
      </c>
      <c r="I1828" s="16">
        <f t="shared" si="2"/>
        <v>12</v>
      </c>
      <c r="J1828" s="15">
        <f t="shared" si="3"/>
        <v>2023</v>
      </c>
      <c r="K1828" s="16">
        <f>STANDARDIZE(F1828,'estatística'!$C$2,'estatística'!$H$2)</f>
        <v>0.008356545961</v>
      </c>
    </row>
    <row r="1829" ht="15.75" customHeight="1">
      <c r="A1829" s="9">
        <v>46.0</v>
      </c>
      <c r="B1829" s="10" t="s">
        <v>114</v>
      </c>
      <c r="C1829" s="11" t="s">
        <v>115</v>
      </c>
      <c r="D1829" s="10" t="s">
        <v>13</v>
      </c>
      <c r="E1829" s="11" t="s">
        <v>24</v>
      </c>
      <c r="F1829" s="13">
        <v>31.25</v>
      </c>
      <c r="G1829" s="14">
        <v>45262.0</v>
      </c>
      <c r="H1829" s="15">
        <f t="shared" si="1"/>
        <v>2</v>
      </c>
      <c r="I1829" s="16">
        <f t="shared" si="2"/>
        <v>12</v>
      </c>
      <c r="J1829" s="15">
        <f t="shared" si="3"/>
        <v>2023</v>
      </c>
      <c r="K1829" s="16">
        <f>STANDARDIZE(F1829,'estatística'!$C$2,'estatística'!$H$2)</f>
        <v>0.3792099266</v>
      </c>
    </row>
    <row r="1830" ht="15.75" customHeight="1">
      <c r="A1830" s="9">
        <v>50.0</v>
      </c>
      <c r="B1830" s="10" t="s">
        <v>19</v>
      </c>
      <c r="C1830" s="11" t="s">
        <v>20</v>
      </c>
      <c r="D1830" s="10" t="s">
        <v>17</v>
      </c>
      <c r="E1830" s="11" t="s">
        <v>27</v>
      </c>
      <c r="F1830" s="13">
        <v>16.94</v>
      </c>
      <c r="G1830" s="14">
        <v>45262.0</v>
      </c>
      <c r="H1830" s="15">
        <f t="shared" si="1"/>
        <v>2</v>
      </c>
      <c r="I1830" s="16">
        <f t="shared" si="2"/>
        <v>12</v>
      </c>
      <c r="J1830" s="15">
        <f t="shared" si="3"/>
        <v>2023</v>
      </c>
      <c r="K1830" s="16">
        <f>STANDARDIZE(F1830,'estatística'!$C$2,'estatística'!$H$2)</f>
        <v>0.1980248164</v>
      </c>
    </row>
    <row r="1831" ht="15.75" customHeight="1">
      <c r="A1831" s="9">
        <v>80.0</v>
      </c>
      <c r="B1831" s="10" t="s">
        <v>22</v>
      </c>
      <c r="C1831" s="11" t="s">
        <v>23</v>
      </c>
      <c r="D1831" s="10" t="s">
        <v>17</v>
      </c>
      <c r="E1831" s="11" t="s">
        <v>48</v>
      </c>
      <c r="F1831" s="13">
        <v>12.09</v>
      </c>
      <c r="G1831" s="14">
        <v>45263.0</v>
      </c>
      <c r="H1831" s="15">
        <f t="shared" si="1"/>
        <v>3</v>
      </c>
      <c r="I1831" s="16">
        <f t="shared" si="2"/>
        <v>12</v>
      </c>
      <c r="J1831" s="15">
        <f t="shared" si="3"/>
        <v>2023</v>
      </c>
      <c r="K1831" s="16">
        <f>STANDARDIZE(F1831,'estatística'!$C$2,'estatística'!$H$2)</f>
        <v>0.136616865</v>
      </c>
    </row>
    <row r="1832" ht="15.75" customHeight="1">
      <c r="A1832" s="9">
        <v>72.0</v>
      </c>
      <c r="B1832" s="10" t="s">
        <v>103</v>
      </c>
      <c r="C1832" s="11" t="s">
        <v>104</v>
      </c>
      <c r="D1832" s="10" t="s">
        <v>13</v>
      </c>
      <c r="E1832" s="11" t="s">
        <v>32</v>
      </c>
      <c r="F1832" s="13">
        <v>30.64</v>
      </c>
      <c r="G1832" s="14">
        <v>45263.0</v>
      </c>
      <c r="H1832" s="15">
        <f t="shared" si="1"/>
        <v>3</v>
      </c>
      <c r="I1832" s="16">
        <f t="shared" si="2"/>
        <v>12</v>
      </c>
      <c r="J1832" s="15">
        <f t="shared" si="3"/>
        <v>2023</v>
      </c>
      <c r="K1832" s="16">
        <f>STANDARDIZE(F1832,'estatística'!$C$2,'estatística'!$H$2)</f>
        <v>0.3714864523</v>
      </c>
    </row>
    <row r="1833" ht="15.75" customHeight="1">
      <c r="A1833" s="9">
        <v>51.0</v>
      </c>
      <c r="B1833" s="10" t="s">
        <v>205</v>
      </c>
      <c r="C1833" s="11" t="s">
        <v>206</v>
      </c>
      <c r="D1833" s="10" t="s">
        <v>13</v>
      </c>
      <c r="E1833" s="11" t="s">
        <v>27</v>
      </c>
      <c r="F1833" s="13">
        <v>18.65</v>
      </c>
      <c r="G1833" s="14">
        <v>45263.0</v>
      </c>
      <c r="H1833" s="15">
        <f t="shared" si="1"/>
        <v>3</v>
      </c>
      <c r="I1833" s="16">
        <f t="shared" si="2"/>
        <v>12</v>
      </c>
      <c r="J1833" s="15">
        <f t="shared" si="3"/>
        <v>2023</v>
      </c>
      <c r="K1833" s="16">
        <f>STANDARDIZE(F1833,'estatística'!$C$2,'estatística'!$H$2)</f>
        <v>0.2196758673</v>
      </c>
    </row>
    <row r="1834" ht="15.75" customHeight="1">
      <c r="A1834" s="9">
        <v>41.0</v>
      </c>
      <c r="B1834" s="10" t="s">
        <v>189</v>
      </c>
      <c r="C1834" s="11" t="s">
        <v>190</v>
      </c>
      <c r="D1834" s="10" t="s">
        <v>13</v>
      </c>
      <c r="E1834" s="11" t="s">
        <v>32</v>
      </c>
      <c r="F1834" s="13">
        <v>31.34</v>
      </c>
      <c r="G1834" s="14">
        <v>45264.0</v>
      </c>
      <c r="H1834" s="15">
        <f t="shared" si="1"/>
        <v>4</v>
      </c>
      <c r="I1834" s="16">
        <f t="shared" si="2"/>
        <v>12</v>
      </c>
      <c r="J1834" s="15">
        <f t="shared" si="3"/>
        <v>2023</v>
      </c>
      <c r="K1834" s="16">
        <f>STANDARDIZE(F1834,'estatística'!$C$2,'estatística'!$H$2)</f>
        <v>0.3803494556</v>
      </c>
    </row>
    <row r="1835" ht="15.75" customHeight="1">
      <c r="A1835" s="9">
        <v>96.0</v>
      </c>
      <c r="B1835" s="10" t="s">
        <v>135</v>
      </c>
      <c r="C1835" s="11" t="s">
        <v>136</v>
      </c>
      <c r="D1835" s="10" t="s">
        <v>17</v>
      </c>
      <c r="E1835" s="11" t="s">
        <v>91</v>
      </c>
      <c r="F1835" s="13">
        <v>1.94</v>
      </c>
      <c r="G1835" s="14">
        <v>45264.0</v>
      </c>
      <c r="H1835" s="15">
        <f t="shared" si="1"/>
        <v>4</v>
      </c>
      <c r="I1835" s="16">
        <f t="shared" si="2"/>
        <v>12</v>
      </c>
      <c r="J1835" s="15">
        <f t="shared" si="3"/>
        <v>2023</v>
      </c>
      <c r="K1835" s="16">
        <f>STANDARDIZE(F1835,'estatística'!$C$2,'estatística'!$H$2)</f>
        <v>0.008103317296</v>
      </c>
    </row>
    <row r="1836" ht="15.75" customHeight="1">
      <c r="A1836" s="9">
        <v>96.0</v>
      </c>
      <c r="B1836" s="10" t="s">
        <v>135</v>
      </c>
      <c r="C1836" s="11" t="s">
        <v>136</v>
      </c>
      <c r="D1836" s="10" t="s">
        <v>17</v>
      </c>
      <c r="E1836" s="11" t="s">
        <v>29</v>
      </c>
      <c r="F1836" s="13">
        <v>13.3</v>
      </c>
      <c r="G1836" s="14">
        <v>45264.0</v>
      </c>
      <c r="H1836" s="15">
        <f t="shared" si="1"/>
        <v>4</v>
      </c>
      <c r="I1836" s="16">
        <f t="shared" si="2"/>
        <v>12</v>
      </c>
      <c r="J1836" s="15">
        <f t="shared" si="3"/>
        <v>2023</v>
      </c>
      <c r="K1836" s="16">
        <f>STANDARDIZE(F1836,'estatística'!$C$2,'estatística'!$H$2)</f>
        <v>0.1519371993</v>
      </c>
    </row>
    <row r="1837" ht="15.75" customHeight="1">
      <c r="A1837" s="9">
        <v>15.0</v>
      </c>
      <c r="B1837" s="10" t="s">
        <v>37</v>
      </c>
      <c r="C1837" s="11" t="s">
        <v>38</v>
      </c>
      <c r="D1837" s="10" t="s">
        <v>17</v>
      </c>
      <c r="E1837" s="11" t="s">
        <v>62</v>
      </c>
      <c r="F1837" s="13">
        <v>12.6</v>
      </c>
      <c r="G1837" s="14">
        <v>45264.0</v>
      </c>
      <c r="H1837" s="15">
        <f t="shared" si="1"/>
        <v>4</v>
      </c>
      <c r="I1837" s="16">
        <f t="shared" si="2"/>
        <v>12</v>
      </c>
      <c r="J1837" s="15">
        <f t="shared" si="3"/>
        <v>2023</v>
      </c>
      <c r="K1837" s="16">
        <f>STANDARDIZE(F1837,'estatística'!$C$2,'estatística'!$H$2)</f>
        <v>0.143074196</v>
      </c>
    </row>
    <row r="1838" ht="15.75" customHeight="1">
      <c r="A1838" s="9">
        <v>82.0</v>
      </c>
      <c r="B1838" s="10" t="s">
        <v>203</v>
      </c>
      <c r="C1838" s="11" t="s">
        <v>204</v>
      </c>
      <c r="D1838" s="10" t="s">
        <v>13</v>
      </c>
      <c r="E1838" s="11" t="s">
        <v>68</v>
      </c>
      <c r="F1838" s="13">
        <v>13.9</v>
      </c>
      <c r="G1838" s="14">
        <v>45264.0</v>
      </c>
      <c r="H1838" s="15">
        <f t="shared" si="1"/>
        <v>4</v>
      </c>
      <c r="I1838" s="16">
        <f t="shared" si="2"/>
        <v>12</v>
      </c>
      <c r="J1838" s="15">
        <f t="shared" si="3"/>
        <v>2023</v>
      </c>
      <c r="K1838" s="16">
        <f>STANDARDIZE(F1838,'estatística'!$C$2,'estatística'!$H$2)</f>
        <v>0.1595340593</v>
      </c>
    </row>
    <row r="1839" ht="15.75" customHeight="1">
      <c r="A1839" s="9">
        <v>95.0</v>
      </c>
      <c r="B1839" s="10" t="s">
        <v>78</v>
      </c>
      <c r="C1839" s="11" t="s">
        <v>79</v>
      </c>
      <c r="D1839" s="10" t="s">
        <v>13</v>
      </c>
      <c r="E1839" s="11" t="s">
        <v>21</v>
      </c>
      <c r="F1839" s="13">
        <v>15.2</v>
      </c>
      <c r="G1839" s="14">
        <v>45264.0</v>
      </c>
      <c r="H1839" s="15">
        <f t="shared" si="1"/>
        <v>4</v>
      </c>
      <c r="I1839" s="16">
        <f t="shared" si="2"/>
        <v>12</v>
      </c>
      <c r="J1839" s="15">
        <f t="shared" si="3"/>
        <v>2023</v>
      </c>
      <c r="K1839" s="16">
        <f>STANDARDIZE(F1839,'estatística'!$C$2,'estatística'!$H$2)</f>
        <v>0.1759939225</v>
      </c>
    </row>
    <row r="1840" ht="15.75" customHeight="1">
      <c r="A1840" s="9">
        <v>11.0</v>
      </c>
      <c r="B1840" s="10" t="s">
        <v>199</v>
      </c>
      <c r="C1840" s="11" t="s">
        <v>200</v>
      </c>
      <c r="D1840" s="10" t="s">
        <v>13</v>
      </c>
      <c r="E1840" s="11" t="s">
        <v>39</v>
      </c>
      <c r="F1840" s="13">
        <v>37.22</v>
      </c>
      <c r="G1840" s="14">
        <v>45264.0</v>
      </c>
      <c r="H1840" s="15">
        <f t="shared" si="1"/>
        <v>4</v>
      </c>
      <c r="I1840" s="16">
        <f t="shared" si="2"/>
        <v>12</v>
      </c>
      <c r="J1840" s="15">
        <f t="shared" si="3"/>
        <v>2023</v>
      </c>
      <c r="K1840" s="16">
        <f>STANDARDIZE(F1840,'estatística'!$C$2,'estatística'!$H$2)</f>
        <v>0.4547986832</v>
      </c>
    </row>
    <row r="1841" ht="15.75" customHeight="1">
      <c r="A1841" s="9">
        <v>28.0</v>
      </c>
      <c r="B1841" s="10" t="s">
        <v>49</v>
      </c>
      <c r="C1841" s="11" t="s">
        <v>50</v>
      </c>
      <c r="D1841" s="10" t="s">
        <v>13</v>
      </c>
      <c r="E1841" s="11" t="s">
        <v>116</v>
      </c>
      <c r="F1841" s="13">
        <v>2.28</v>
      </c>
      <c r="G1841" s="14">
        <v>45265.0</v>
      </c>
      <c r="H1841" s="15">
        <f t="shared" si="1"/>
        <v>5</v>
      </c>
      <c r="I1841" s="16">
        <f t="shared" si="2"/>
        <v>12</v>
      </c>
      <c r="J1841" s="15">
        <f t="shared" si="3"/>
        <v>2023</v>
      </c>
      <c r="K1841" s="16">
        <f>STANDARDIZE(F1841,'estatística'!$C$2,'estatística'!$H$2)</f>
        <v>0.01240820461</v>
      </c>
    </row>
    <row r="1842" ht="15.75" customHeight="1">
      <c r="A1842" s="9">
        <v>35.0</v>
      </c>
      <c r="B1842" s="10" t="s">
        <v>95</v>
      </c>
      <c r="C1842" s="11" t="s">
        <v>96</v>
      </c>
      <c r="D1842" s="10" t="s">
        <v>13</v>
      </c>
      <c r="E1842" s="11" t="s">
        <v>21</v>
      </c>
      <c r="F1842" s="13">
        <v>20.59</v>
      </c>
      <c r="G1842" s="14">
        <v>45265.0</v>
      </c>
      <c r="H1842" s="15">
        <f t="shared" si="1"/>
        <v>5</v>
      </c>
      <c r="I1842" s="16">
        <f t="shared" si="2"/>
        <v>12</v>
      </c>
      <c r="J1842" s="15">
        <f t="shared" si="3"/>
        <v>2023</v>
      </c>
      <c r="K1842" s="16">
        <f>STANDARDIZE(F1842,'estatística'!$C$2,'estatística'!$H$2)</f>
        <v>0.2442390479</v>
      </c>
    </row>
    <row r="1843" ht="15.75" customHeight="1">
      <c r="A1843" s="9">
        <v>37.0</v>
      </c>
      <c r="B1843" s="10" t="s">
        <v>217</v>
      </c>
      <c r="C1843" s="11" t="s">
        <v>218</v>
      </c>
      <c r="D1843" s="10" t="s">
        <v>17</v>
      </c>
      <c r="E1843" s="11" t="s">
        <v>57</v>
      </c>
      <c r="F1843" s="13">
        <v>16.39</v>
      </c>
      <c r="G1843" s="14">
        <v>45265.0</v>
      </c>
      <c r="H1843" s="15">
        <f t="shared" si="1"/>
        <v>5</v>
      </c>
      <c r="I1843" s="16">
        <f t="shared" si="2"/>
        <v>12</v>
      </c>
      <c r="J1843" s="15">
        <f t="shared" si="3"/>
        <v>2023</v>
      </c>
      <c r="K1843" s="16">
        <f>STANDARDIZE(F1843,'estatística'!$C$2,'estatística'!$H$2)</f>
        <v>0.1910610281</v>
      </c>
    </row>
    <row r="1844" ht="15.75" customHeight="1">
      <c r="A1844" s="9">
        <v>51.0</v>
      </c>
      <c r="B1844" s="10" t="s">
        <v>205</v>
      </c>
      <c r="C1844" s="11" t="s">
        <v>206</v>
      </c>
      <c r="D1844" s="10" t="s">
        <v>13</v>
      </c>
      <c r="E1844" s="11" t="s">
        <v>32</v>
      </c>
      <c r="F1844" s="13">
        <v>22.44</v>
      </c>
      <c r="G1844" s="14">
        <v>45265.0</v>
      </c>
      <c r="H1844" s="15">
        <f t="shared" si="1"/>
        <v>5</v>
      </c>
      <c r="I1844" s="16">
        <f t="shared" si="2"/>
        <v>12</v>
      </c>
      <c r="J1844" s="15">
        <f t="shared" si="3"/>
        <v>2023</v>
      </c>
      <c r="K1844" s="16">
        <f>STANDARDIZE(F1844,'estatística'!$C$2,'estatística'!$H$2)</f>
        <v>0.2676626994</v>
      </c>
    </row>
    <row r="1845" ht="15.75" customHeight="1">
      <c r="A1845" s="9">
        <v>75.0</v>
      </c>
      <c r="B1845" s="10" t="s">
        <v>210</v>
      </c>
      <c r="C1845" s="11" t="s">
        <v>211</v>
      </c>
      <c r="D1845" s="10" t="s">
        <v>13</v>
      </c>
      <c r="E1845" s="11" t="s">
        <v>107</v>
      </c>
      <c r="F1845" s="13">
        <v>31.24</v>
      </c>
      <c r="G1845" s="14">
        <v>45265.0</v>
      </c>
      <c r="H1845" s="15">
        <f t="shared" si="1"/>
        <v>5</v>
      </c>
      <c r="I1845" s="16">
        <f t="shared" si="2"/>
        <v>12</v>
      </c>
      <c r="J1845" s="15">
        <f t="shared" si="3"/>
        <v>2023</v>
      </c>
      <c r="K1845" s="16">
        <f>STANDARDIZE(F1845,'estatística'!$C$2,'estatística'!$H$2)</f>
        <v>0.3790833122</v>
      </c>
    </row>
    <row r="1846" ht="15.75" customHeight="1">
      <c r="A1846" s="9">
        <v>58.0</v>
      </c>
      <c r="B1846" s="10" t="s">
        <v>137</v>
      </c>
      <c r="C1846" s="11" t="s">
        <v>138</v>
      </c>
      <c r="D1846" s="10" t="s">
        <v>13</v>
      </c>
      <c r="E1846" s="11" t="s">
        <v>107</v>
      </c>
      <c r="F1846" s="13">
        <v>29.23</v>
      </c>
      <c r="G1846" s="14">
        <v>45265.0</v>
      </c>
      <c r="H1846" s="15">
        <f t="shared" si="1"/>
        <v>5</v>
      </c>
      <c r="I1846" s="16">
        <f t="shared" si="2"/>
        <v>12</v>
      </c>
      <c r="J1846" s="15">
        <f t="shared" si="3"/>
        <v>2023</v>
      </c>
      <c r="K1846" s="16">
        <f>STANDARDIZE(F1846,'estatística'!$C$2,'estatística'!$H$2)</f>
        <v>0.3536338313</v>
      </c>
    </row>
    <row r="1847" ht="15.75" customHeight="1">
      <c r="A1847" s="9">
        <v>16.0</v>
      </c>
      <c r="B1847" s="10" t="s">
        <v>147</v>
      </c>
      <c r="C1847" s="11" t="s">
        <v>148</v>
      </c>
      <c r="D1847" s="10" t="s">
        <v>17</v>
      </c>
      <c r="E1847" s="11" t="s">
        <v>36</v>
      </c>
      <c r="F1847" s="13">
        <v>76.7</v>
      </c>
      <c r="G1847" s="14">
        <v>45265.0</v>
      </c>
      <c r="H1847" s="15">
        <f t="shared" si="1"/>
        <v>5</v>
      </c>
      <c r="I1847" s="16">
        <f t="shared" si="2"/>
        <v>12</v>
      </c>
      <c r="J1847" s="15">
        <f t="shared" si="3"/>
        <v>2023</v>
      </c>
      <c r="K1847" s="16">
        <f>STANDARDIZE(F1847,'estatística'!$C$2,'estatística'!$H$2)</f>
        <v>0.9546720689</v>
      </c>
    </row>
    <row r="1848" ht="15.75" customHeight="1">
      <c r="A1848" s="9">
        <v>16.0</v>
      </c>
      <c r="B1848" s="10" t="s">
        <v>147</v>
      </c>
      <c r="C1848" s="11" t="s">
        <v>148</v>
      </c>
      <c r="D1848" s="10" t="s">
        <v>13</v>
      </c>
      <c r="E1848" s="11" t="s">
        <v>18</v>
      </c>
      <c r="F1848" s="13">
        <v>43.62</v>
      </c>
      <c r="G1848" s="14">
        <v>45266.0</v>
      </c>
      <c r="H1848" s="15">
        <f t="shared" si="1"/>
        <v>6</v>
      </c>
      <c r="I1848" s="16">
        <f t="shared" si="2"/>
        <v>12</v>
      </c>
      <c r="J1848" s="15">
        <f t="shared" si="3"/>
        <v>2023</v>
      </c>
      <c r="K1848" s="16">
        <f>STANDARDIZE(F1848,'estatística'!$C$2,'estatística'!$H$2)</f>
        <v>0.5358318562</v>
      </c>
    </row>
    <row r="1849" ht="15.75" customHeight="1">
      <c r="A1849" s="9">
        <v>84.0</v>
      </c>
      <c r="B1849" s="10" t="s">
        <v>112</v>
      </c>
      <c r="C1849" s="11" t="s">
        <v>113</v>
      </c>
      <c r="D1849" s="10" t="s">
        <v>17</v>
      </c>
      <c r="E1849" s="11" t="s">
        <v>24</v>
      </c>
      <c r="F1849" s="13">
        <v>30.86</v>
      </c>
      <c r="G1849" s="14">
        <v>45266.0</v>
      </c>
      <c r="H1849" s="15">
        <f t="shared" si="1"/>
        <v>6</v>
      </c>
      <c r="I1849" s="16">
        <f t="shared" si="2"/>
        <v>12</v>
      </c>
      <c r="J1849" s="15">
        <f t="shared" si="3"/>
        <v>2023</v>
      </c>
      <c r="K1849" s="16">
        <f>STANDARDIZE(F1849,'estatística'!$C$2,'estatística'!$H$2)</f>
        <v>0.3742719676</v>
      </c>
    </row>
    <row r="1850" ht="15.75" customHeight="1">
      <c r="A1850" s="9">
        <v>83.0</v>
      </c>
      <c r="B1850" s="10" t="s">
        <v>66</v>
      </c>
      <c r="C1850" s="11" t="s">
        <v>67</v>
      </c>
      <c r="D1850" s="10" t="s">
        <v>17</v>
      </c>
      <c r="E1850" s="11" t="s">
        <v>80</v>
      </c>
      <c r="F1850" s="13">
        <v>40.62</v>
      </c>
      <c r="G1850" s="14">
        <v>45266.0</v>
      </c>
      <c r="H1850" s="15">
        <f t="shared" si="1"/>
        <v>6</v>
      </c>
      <c r="I1850" s="16">
        <f t="shared" si="2"/>
        <v>12</v>
      </c>
      <c r="J1850" s="15">
        <f t="shared" si="3"/>
        <v>2023</v>
      </c>
      <c r="K1850" s="16">
        <f>STANDARDIZE(F1850,'estatística'!$C$2,'estatística'!$H$2)</f>
        <v>0.4978475563</v>
      </c>
    </row>
    <row r="1851" ht="15.75" customHeight="1">
      <c r="A1851" s="9">
        <v>95.0</v>
      </c>
      <c r="B1851" s="10" t="s">
        <v>78</v>
      </c>
      <c r="C1851" s="11" t="s">
        <v>79</v>
      </c>
      <c r="D1851" s="10" t="s">
        <v>13</v>
      </c>
      <c r="E1851" s="11" t="s">
        <v>29</v>
      </c>
      <c r="F1851" s="13">
        <v>12.0</v>
      </c>
      <c r="G1851" s="14">
        <v>45267.0</v>
      </c>
      <c r="H1851" s="15">
        <f t="shared" si="1"/>
        <v>7</v>
      </c>
      <c r="I1851" s="16">
        <f t="shared" si="2"/>
        <v>12</v>
      </c>
      <c r="J1851" s="15">
        <f t="shared" si="3"/>
        <v>2023</v>
      </c>
      <c r="K1851" s="16">
        <f>STANDARDIZE(F1851,'estatística'!$C$2,'estatística'!$H$2)</f>
        <v>0.135477336</v>
      </c>
    </row>
    <row r="1852" ht="15.75" customHeight="1">
      <c r="A1852" s="9">
        <v>39.0</v>
      </c>
      <c r="B1852" s="10" t="s">
        <v>58</v>
      </c>
      <c r="C1852" s="11" t="s">
        <v>59</v>
      </c>
      <c r="D1852" s="10" t="s">
        <v>13</v>
      </c>
      <c r="E1852" s="11" t="s">
        <v>107</v>
      </c>
      <c r="F1852" s="13">
        <v>25.78</v>
      </c>
      <c r="G1852" s="14">
        <v>45267.0</v>
      </c>
      <c r="H1852" s="15">
        <f t="shared" si="1"/>
        <v>7</v>
      </c>
      <c r="I1852" s="16">
        <f t="shared" si="2"/>
        <v>12</v>
      </c>
      <c r="J1852" s="15">
        <f t="shared" si="3"/>
        <v>2023</v>
      </c>
      <c r="K1852" s="16">
        <f>STANDARDIZE(F1852,'estatística'!$C$2,'estatística'!$H$2)</f>
        <v>0.3099518866</v>
      </c>
    </row>
    <row r="1853" ht="15.75" customHeight="1">
      <c r="A1853" s="9">
        <v>54.0</v>
      </c>
      <c r="B1853" s="10" t="s">
        <v>55</v>
      </c>
      <c r="C1853" s="11" t="s">
        <v>56</v>
      </c>
      <c r="D1853" s="10" t="s">
        <v>13</v>
      </c>
      <c r="E1853" s="11" t="s">
        <v>62</v>
      </c>
      <c r="F1853" s="13">
        <v>10.57</v>
      </c>
      <c r="G1853" s="14">
        <v>45267.0</v>
      </c>
      <c r="H1853" s="15">
        <f t="shared" si="1"/>
        <v>7</v>
      </c>
      <c r="I1853" s="16">
        <f t="shared" si="2"/>
        <v>12</v>
      </c>
      <c r="J1853" s="15">
        <f t="shared" si="3"/>
        <v>2023</v>
      </c>
      <c r="K1853" s="16">
        <f>STANDARDIZE(F1853,'estatística'!$C$2,'estatística'!$H$2)</f>
        <v>0.1173714865</v>
      </c>
    </row>
    <row r="1854" ht="15.75" customHeight="1">
      <c r="A1854" s="9">
        <v>50.0</v>
      </c>
      <c r="B1854" s="10" t="s">
        <v>19</v>
      </c>
      <c r="C1854" s="11" t="s">
        <v>20</v>
      </c>
      <c r="D1854" s="10" t="s">
        <v>13</v>
      </c>
      <c r="E1854" s="11" t="s">
        <v>21</v>
      </c>
      <c r="F1854" s="13">
        <v>19.6</v>
      </c>
      <c r="G1854" s="14">
        <v>45267.0</v>
      </c>
      <c r="H1854" s="15">
        <f t="shared" si="1"/>
        <v>7</v>
      </c>
      <c r="I1854" s="16">
        <f t="shared" si="2"/>
        <v>12</v>
      </c>
      <c r="J1854" s="15">
        <f t="shared" si="3"/>
        <v>2023</v>
      </c>
      <c r="K1854" s="16">
        <f>STANDARDIZE(F1854,'estatística'!$C$2,'estatística'!$H$2)</f>
        <v>0.2317042289</v>
      </c>
    </row>
    <row r="1855" ht="15.75" customHeight="1">
      <c r="A1855" s="9">
        <v>79.0</v>
      </c>
      <c r="B1855" s="10" t="s">
        <v>69</v>
      </c>
      <c r="C1855" s="11" t="s">
        <v>70</v>
      </c>
      <c r="D1855" s="10" t="s">
        <v>17</v>
      </c>
      <c r="E1855" s="11" t="s">
        <v>68</v>
      </c>
      <c r="F1855" s="13">
        <v>10.93</v>
      </c>
      <c r="G1855" s="14">
        <v>45267.0</v>
      </c>
      <c r="H1855" s="15">
        <f t="shared" si="1"/>
        <v>7</v>
      </c>
      <c r="I1855" s="16">
        <f t="shared" si="2"/>
        <v>12</v>
      </c>
      <c r="J1855" s="15">
        <f t="shared" si="3"/>
        <v>2023</v>
      </c>
      <c r="K1855" s="16">
        <f>STANDARDIZE(F1855,'estatística'!$C$2,'estatística'!$H$2)</f>
        <v>0.1219296024</v>
      </c>
    </row>
    <row r="1856" ht="15.75" customHeight="1">
      <c r="A1856" s="9">
        <v>98.0</v>
      </c>
      <c r="B1856" s="10" t="s">
        <v>131</v>
      </c>
      <c r="C1856" s="11" t="s">
        <v>168</v>
      </c>
      <c r="D1856" s="10" t="s">
        <v>17</v>
      </c>
      <c r="E1856" s="11" t="s">
        <v>29</v>
      </c>
      <c r="F1856" s="13">
        <v>12.68</v>
      </c>
      <c r="G1856" s="14">
        <v>45267.0</v>
      </c>
      <c r="H1856" s="15">
        <f t="shared" si="1"/>
        <v>7</v>
      </c>
      <c r="I1856" s="16">
        <f t="shared" si="2"/>
        <v>12</v>
      </c>
      <c r="J1856" s="15">
        <f t="shared" si="3"/>
        <v>2023</v>
      </c>
      <c r="K1856" s="16">
        <f>STANDARDIZE(F1856,'estatística'!$C$2,'estatística'!$H$2)</f>
        <v>0.1440871107</v>
      </c>
    </row>
    <row r="1857" ht="15.75" customHeight="1">
      <c r="A1857" s="9">
        <v>19.0</v>
      </c>
      <c r="B1857" s="10" t="s">
        <v>25</v>
      </c>
      <c r="C1857" s="11" t="s">
        <v>165</v>
      </c>
      <c r="D1857" s="10" t="s">
        <v>13</v>
      </c>
      <c r="E1857" s="11" t="s">
        <v>77</v>
      </c>
      <c r="F1857" s="13">
        <v>15.23</v>
      </c>
      <c r="G1857" s="14">
        <v>45267.0</v>
      </c>
      <c r="H1857" s="15">
        <f t="shared" si="1"/>
        <v>7</v>
      </c>
      <c r="I1857" s="16">
        <f t="shared" si="2"/>
        <v>12</v>
      </c>
      <c r="J1857" s="15">
        <f t="shared" si="3"/>
        <v>2023</v>
      </c>
      <c r="K1857" s="16">
        <f>STANDARDIZE(F1857,'estatística'!$C$2,'estatística'!$H$2)</f>
        <v>0.1763737655</v>
      </c>
    </row>
    <row r="1858" ht="15.75" customHeight="1">
      <c r="A1858" s="9">
        <v>16.0</v>
      </c>
      <c r="B1858" s="10" t="s">
        <v>147</v>
      </c>
      <c r="C1858" s="11" t="s">
        <v>148</v>
      </c>
      <c r="D1858" s="10" t="s">
        <v>17</v>
      </c>
      <c r="E1858" s="11" t="s">
        <v>29</v>
      </c>
      <c r="F1858" s="13">
        <v>11.85</v>
      </c>
      <c r="G1858" s="14">
        <v>45267.0</v>
      </c>
      <c r="H1858" s="15">
        <f t="shared" si="1"/>
        <v>7</v>
      </c>
      <c r="I1858" s="16">
        <f t="shared" si="2"/>
        <v>12</v>
      </c>
      <c r="J1858" s="15">
        <f t="shared" si="3"/>
        <v>2023</v>
      </c>
      <c r="K1858" s="16">
        <f>STANDARDIZE(F1858,'estatística'!$C$2,'estatística'!$H$2)</f>
        <v>0.133578121</v>
      </c>
    </row>
    <row r="1859" ht="15.75" customHeight="1">
      <c r="A1859" s="9">
        <v>71.0</v>
      </c>
      <c r="B1859" s="10" t="s">
        <v>122</v>
      </c>
      <c r="C1859" s="11" t="s">
        <v>123</v>
      </c>
      <c r="D1859" s="10" t="s">
        <v>17</v>
      </c>
      <c r="E1859" s="11" t="s">
        <v>57</v>
      </c>
      <c r="F1859" s="13">
        <v>21.57</v>
      </c>
      <c r="G1859" s="14">
        <v>45268.0</v>
      </c>
      <c r="H1859" s="15">
        <f t="shared" si="1"/>
        <v>8</v>
      </c>
      <c r="I1859" s="16">
        <f t="shared" si="2"/>
        <v>12</v>
      </c>
      <c r="J1859" s="15">
        <f t="shared" si="3"/>
        <v>2023</v>
      </c>
      <c r="K1859" s="16">
        <f>STANDARDIZE(F1859,'estatística'!$C$2,'estatística'!$H$2)</f>
        <v>0.2566472525</v>
      </c>
    </row>
    <row r="1860" ht="15.75" customHeight="1">
      <c r="A1860" s="9">
        <v>57.0</v>
      </c>
      <c r="B1860" s="10" t="s">
        <v>60</v>
      </c>
      <c r="C1860" s="11" t="s">
        <v>162</v>
      </c>
      <c r="D1860" s="10" t="s">
        <v>13</v>
      </c>
      <c r="E1860" s="11" t="s">
        <v>48</v>
      </c>
      <c r="F1860" s="13">
        <v>15.45</v>
      </c>
      <c r="G1860" s="14">
        <v>45268.0</v>
      </c>
      <c r="H1860" s="15">
        <f t="shared" si="1"/>
        <v>8</v>
      </c>
      <c r="I1860" s="16">
        <f t="shared" si="2"/>
        <v>12</v>
      </c>
      <c r="J1860" s="15">
        <f t="shared" si="3"/>
        <v>2023</v>
      </c>
      <c r="K1860" s="16">
        <f>STANDARDIZE(F1860,'estatística'!$C$2,'estatística'!$H$2)</f>
        <v>0.1791592808</v>
      </c>
    </row>
    <row r="1861" ht="15.75" customHeight="1">
      <c r="A1861" s="9">
        <v>61.0</v>
      </c>
      <c r="B1861" s="10" t="s">
        <v>73</v>
      </c>
      <c r="C1861" s="11" t="s">
        <v>74</v>
      </c>
      <c r="D1861" s="10" t="s">
        <v>17</v>
      </c>
      <c r="E1861" s="11" t="s">
        <v>24</v>
      </c>
      <c r="F1861" s="13">
        <v>41.96</v>
      </c>
      <c r="G1861" s="14">
        <v>45268.0</v>
      </c>
      <c r="H1861" s="15">
        <f t="shared" si="1"/>
        <v>8</v>
      </c>
      <c r="I1861" s="16">
        <f t="shared" si="2"/>
        <v>12</v>
      </c>
      <c r="J1861" s="15">
        <f t="shared" si="3"/>
        <v>2023</v>
      </c>
      <c r="K1861" s="16">
        <f>STANDARDIZE(F1861,'estatística'!$C$2,'estatística'!$H$2)</f>
        <v>0.5148138769</v>
      </c>
    </row>
    <row r="1862" ht="15.75" customHeight="1">
      <c r="A1862" s="9">
        <v>2.0</v>
      </c>
      <c r="B1862" s="10" t="s">
        <v>53</v>
      </c>
      <c r="C1862" s="11" t="s">
        <v>54</v>
      </c>
      <c r="D1862" s="10" t="s">
        <v>13</v>
      </c>
      <c r="E1862" s="11" t="s">
        <v>77</v>
      </c>
      <c r="F1862" s="13">
        <v>14.47</v>
      </c>
      <c r="G1862" s="14">
        <v>45268.0</v>
      </c>
      <c r="H1862" s="15">
        <f t="shared" si="1"/>
        <v>8</v>
      </c>
      <c r="I1862" s="16">
        <f t="shared" si="2"/>
        <v>12</v>
      </c>
      <c r="J1862" s="15">
        <f t="shared" si="3"/>
        <v>2023</v>
      </c>
      <c r="K1862" s="16">
        <f>STANDARDIZE(F1862,'estatística'!$C$2,'estatística'!$H$2)</f>
        <v>0.1667510762</v>
      </c>
    </row>
    <row r="1863" ht="15.75" customHeight="1">
      <c r="A1863" s="9">
        <v>51.0</v>
      </c>
      <c r="B1863" s="10" t="s">
        <v>205</v>
      </c>
      <c r="C1863" s="11" t="s">
        <v>206</v>
      </c>
      <c r="D1863" s="10" t="s">
        <v>17</v>
      </c>
      <c r="E1863" s="11" t="s">
        <v>36</v>
      </c>
      <c r="F1863" s="13">
        <v>79.47</v>
      </c>
      <c r="G1863" s="14">
        <v>45268.0</v>
      </c>
      <c r="H1863" s="15">
        <f t="shared" si="1"/>
        <v>8</v>
      </c>
      <c r="I1863" s="16">
        <f t="shared" si="2"/>
        <v>12</v>
      </c>
      <c r="J1863" s="15">
        <f t="shared" si="3"/>
        <v>2023</v>
      </c>
      <c r="K1863" s="16">
        <f>STANDARDIZE(F1863,'estatística'!$C$2,'estatística'!$H$2)</f>
        <v>0.989744239</v>
      </c>
    </row>
    <row r="1864" ht="15.75" customHeight="1">
      <c r="A1864" s="9">
        <v>96.0</v>
      </c>
      <c r="B1864" s="10" t="s">
        <v>135</v>
      </c>
      <c r="C1864" s="11" t="s">
        <v>136</v>
      </c>
      <c r="D1864" s="10" t="s">
        <v>13</v>
      </c>
      <c r="E1864" s="11" t="s">
        <v>24</v>
      </c>
      <c r="F1864" s="13">
        <v>21.53</v>
      </c>
      <c r="G1864" s="14">
        <v>45269.0</v>
      </c>
      <c r="H1864" s="15">
        <f t="shared" si="1"/>
        <v>9</v>
      </c>
      <c r="I1864" s="16">
        <f t="shared" si="2"/>
        <v>12</v>
      </c>
      <c r="J1864" s="15">
        <f t="shared" si="3"/>
        <v>2023</v>
      </c>
      <c r="K1864" s="16">
        <f>STANDARDIZE(F1864,'estatística'!$C$2,'estatística'!$H$2)</f>
        <v>0.2561407951</v>
      </c>
    </row>
    <row r="1865" ht="15.75" customHeight="1">
      <c r="A1865" s="9">
        <v>100.0</v>
      </c>
      <c r="B1865" s="10" t="s">
        <v>30</v>
      </c>
      <c r="C1865" s="11" t="s">
        <v>31</v>
      </c>
      <c r="D1865" s="10" t="s">
        <v>17</v>
      </c>
      <c r="E1865" s="11" t="s">
        <v>116</v>
      </c>
      <c r="F1865" s="13">
        <v>2.05</v>
      </c>
      <c r="G1865" s="14">
        <v>45269.0</v>
      </c>
      <c r="H1865" s="15">
        <f t="shared" si="1"/>
        <v>9</v>
      </c>
      <c r="I1865" s="16">
        <f t="shared" si="2"/>
        <v>12</v>
      </c>
      <c r="J1865" s="15">
        <f t="shared" si="3"/>
        <v>2023</v>
      </c>
      <c r="K1865" s="16">
        <f>STANDARDIZE(F1865,'estatística'!$C$2,'estatística'!$H$2)</f>
        <v>0.009496074956</v>
      </c>
    </row>
    <row r="1866" ht="15.75" customHeight="1">
      <c r="A1866" s="9">
        <v>93.0</v>
      </c>
      <c r="B1866" s="10" t="s">
        <v>99</v>
      </c>
      <c r="C1866" s="11" t="s">
        <v>100</v>
      </c>
      <c r="D1866" s="10" t="s">
        <v>13</v>
      </c>
      <c r="E1866" s="11" t="s">
        <v>62</v>
      </c>
      <c r="F1866" s="13">
        <v>10.93</v>
      </c>
      <c r="G1866" s="14">
        <v>45269.0</v>
      </c>
      <c r="H1866" s="15">
        <f t="shared" si="1"/>
        <v>9</v>
      </c>
      <c r="I1866" s="16">
        <f t="shared" si="2"/>
        <v>12</v>
      </c>
      <c r="J1866" s="15">
        <f t="shared" si="3"/>
        <v>2023</v>
      </c>
      <c r="K1866" s="16">
        <f>STANDARDIZE(F1866,'estatística'!$C$2,'estatística'!$H$2)</f>
        <v>0.1219296024</v>
      </c>
    </row>
    <row r="1867" ht="15.75" customHeight="1">
      <c r="A1867" s="9">
        <v>33.0</v>
      </c>
      <c r="B1867" s="10" t="s">
        <v>163</v>
      </c>
      <c r="C1867" s="11" t="s">
        <v>164</v>
      </c>
      <c r="D1867" s="10" t="s">
        <v>13</v>
      </c>
      <c r="E1867" s="11" t="s">
        <v>24</v>
      </c>
      <c r="F1867" s="13">
        <v>27.63</v>
      </c>
      <c r="G1867" s="14">
        <v>45269.0</v>
      </c>
      <c r="H1867" s="15">
        <f t="shared" si="1"/>
        <v>9</v>
      </c>
      <c r="I1867" s="16">
        <f t="shared" si="2"/>
        <v>12</v>
      </c>
      <c r="J1867" s="15">
        <f t="shared" si="3"/>
        <v>2023</v>
      </c>
      <c r="K1867" s="16">
        <f>STANDARDIZE(F1867,'estatística'!$C$2,'estatística'!$H$2)</f>
        <v>0.3333755381</v>
      </c>
    </row>
    <row r="1868" ht="15.75" customHeight="1">
      <c r="A1868" s="9">
        <v>90.0</v>
      </c>
      <c r="B1868" s="10" t="s">
        <v>191</v>
      </c>
      <c r="C1868" s="11" t="s">
        <v>192</v>
      </c>
      <c r="D1868" s="10" t="s">
        <v>17</v>
      </c>
      <c r="E1868" s="11" t="s">
        <v>33</v>
      </c>
      <c r="F1868" s="13">
        <v>53.78</v>
      </c>
      <c r="G1868" s="14">
        <v>45269.0</v>
      </c>
      <c r="H1868" s="15">
        <f t="shared" si="1"/>
        <v>9</v>
      </c>
      <c r="I1868" s="16">
        <f t="shared" si="2"/>
        <v>12</v>
      </c>
      <c r="J1868" s="15">
        <f t="shared" si="3"/>
        <v>2023</v>
      </c>
      <c r="K1868" s="16">
        <f>STANDARDIZE(F1868,'estatística'!$C$2,'estatística'!$H$2)</f>
        <v>0.6644720182</v>
      </c>
    </row>
    <row r="1869" ht="15.75" customHeight="1">
      <c r="A1869" s="9">
        <v>2.0</v>
      </c>
      <c r="B1869" s="10" t="s">
        <v>53</v>
      </c>
      <c r="C1869" s="11" t="s">
        <v>54</v>
      </c>
      <c r="D1869" s="10" t="s">
        <v>17</v>
      </c>
      <c r="E1869" s="11" t="s">
        <v>32</v>
      </c>
      <c r="F1869" s="13">
        <v>28.15</v>
      </c>
      <c r="G1869" s="14">
        <v>45270.0</v>
      </c>
      <c r="H1869" s="15">
        <f t="shared" si="1"/>
        <v>10</v>
      </c>
      <c r="I1869" s="16">
        <f t="shared" si="2"/>
        <v>12</v>
      </c>
      <c r="J1869" s="15">
        <f t="shared" si="3"/>
        <v>2023</v>
      </c>
      <c r="K1869" s="16">
        <f>STANDARDIZE(F1869,'estatística'!$C$2,'estatística'!$H$2)</f>
        <v>0.3399594834</v>
      </c>
    </row>
    <row r="1870" ht="15.75" customHeight="1">
      <c r="A1870" s="9">
        <v>17.0</v>
      </c>
      <c r="B1870" s="10" t="s">
        <v>172</v>
      </c>
      <c r="C1870" s="11" t="s">
        <v>173</v>
      </c>
      <c r="D1870" s="10" t="s">
        <v>17</v>
      </c>
      <c r="E1870" s="11" t="s">
        <v>77</v>
      </c>
      <c r="F1870" s="13">
        <v>14.42</v>
      </c>
      <c r="G1870" s="14">
        <v>45270.0</v>
      </c>
      <c r="H1870" s="15">
        <f t="shared" si="1"/>
        <v>10</v>
      </c>
      <c r="I1870" s="16">
        <f t="shared" si="2"/>
        <v>12</v>
      </c>
      <c r="J1870" s="15">
        <f t="shared" si="3"/>
        <v>2023</v>
      </c>
      <c r="K1870" s="16">
        <f>STANDARDIZE(F1870,'estatística'!$C$2,'estatística'!$H$2)</f>
        <v>0.1661180046</v>
      </c>
    </row>
    <row r="1871" ht="15.75" customHeight="1">
      <c r="A1871" s="9">
        <v>95.0</v>
      </c>
      <c r="B1871" s="10" t="s">
        <v>78</v>
      </c>
      <c r="C1871" s="11" t="s">
        <v>79</v>
      </c>
      <c r="D1871" s="10" t="s">
        <v>17</v>
      </c>
      <c r="E1871" s="11" t="s">
        <v>32</v>
      </c>
      <c r="F1871" s="13">
        <v>31.15</v>
      </c>
      <c r="G1871" s="14">
        <v>45270.0</v>
      </c>
      <c r="H1871" s="15">
        <f t="shared" si="1"/>
        <v>10</v>
      </c>
      <c r="I1871" s="16">
        <f t="shared" si="2"/>
        <v>12</v>
      </c>
      <c r="J1871" s="15">
        <f t="shared" si="3"/>
        <v>2023</v>
      </c>
      <c r="K1871" s="16">
        <f>STANDARDIZE(F1871,'estatística'!$C$2,'estatística'!$H$2)</f>
        <v>0.3779437832</v>
      </c>
    </row>
    <row r="1872" ht="15.75" customHeight="1">
      <c r="A1872" s="9">
        <v>83.0</v>
      </c>
      <c r="B1872" s="10" t="s">
        <v>66</v>
      </c>
      <c r="C1872" s="11" t="s">
        <v>67</v>
      </c>
      <c r="D1872" s="10" t="s">
        <v>13</v>
      </c>
      <c r="E1872" s="11" t="s">
        <v>18</v>
      </c>
      <c r="F1872" s="13">
        <v>42.9</v>
      </c>
      <c r="G1872" s="14">
        <v>45270.0</v>
      </c>
      <c r="H1872" s="15">
        <f t="shared" si="1"/>
        <v>10</v>
      </c>
      <c r="I1872" s="16">
        <f t="shared" si="2"/>
        <v>12</v>
      </c>
      <c r="J1872" s="15">
        <f t="shared" si="3"/>
        <v>2023</v>
      </c>
      <c r="K1872" s="16">
        <f>STANDARDIZE(F1872,'estatística'!$C$2,'estatística'!$H$2)</f>
        <v>0.5267156242</v>
      </c>
    </row>
    <row r="1873" ht="15.75" customHeight="1">
      <c r="A1873" s="9">
        <v>91.0</v>
      </c>
      <c r="B1873" s="10" t="s">
        <v>81</v>
      </c>
      <c r="C1873" s="11" t="s">
        <v>82</v>
      </c>
      <c r="D1873" s="10" t="s">
        <v>17</v>
      </c>
      <c r="E1873" s="11" t="s">
        <v>65</v>
      </c>
      <c r="F1873" s="13">
        <v>37.38</v>
      </c>
      <c r="G1873" s="14">
        <v>45270.0</v>
      </c>
      <c r="H1873" s="15">
        <f t="shared" si="1"/>
        <v>10</v>
      </c>
      <c r="I1873" s="16">
        <f t="shared" si="2"/>
        <v>12</v>
      </c>
      <c r="J1873" s="15">
        <f t="shared" si="3"/>
        <v>2023</v>
      </c>
      <c r="K1873" s="16">
        <f>STANDARDIZE(F1873,'estatística'!$C$2,'estatística'!$H$2)</f>
        <v>0.4568245125</v>
      </c>
    </row>
    <row r="1874" ht="15.75" customHeight="1">
      <c r="A1874" s="9">
        <v>66.0</v>
      </c>
      <c r="B1874" s="10" t="s">
        <v>122</v>
      </c>
      <c r="C1874" s="11" t="s">
        <v>130</v>
      </c>
      <c r="D1874" s="10" t="s">
        <v>13</v>
      </c>
      <c r="E1874" s="11" t="s">
        <v>29</v>
      </c>
      <c r="F1874" s="13">
        <v>14.78</v>
      </c>
      <c r="G1874" s="14">
        <v>45270.0</v>
      </c>
      <c r="H1874" s="15">
        <f t="shared" si="1"/>
        <v>10</v>
      </c>
      <c r="I1874" s="16">
        <f t="shared" si="2"/>
        <v>12</v>
      </c>
      <c r="J1874" s="15">
        <f t="shared" si="3"/>
        <v>2023</v>
      </c>
      <c r="K1874" s="16">
        <f>STANDARDIZE(F1874,'estatística'!$C$2,'estatística'!$H$2)</f>
        <v>0.1706761205</v>
      </c>
    </row>
    <row r="1875" ht="15.75" customHeight="1">
      <c r="A1875" s="9">
        <v>27.0</v>
      </c>
      <c r="B1875" s="10" t="s">
        <v>145</v>
      </c>
      <c r="C1875" s="11" t="s">
        <v>146</v>
      </c>
      <c r="D1875" s="10" t="s">
        <v>13</v>
      </c>
      <c r="E1875" s="11" t="s">
        <v>80</v>
      </c>
      <c r="F1875" s="13">
        <v>32.67</v>
      </c>
      <c r="G1875" s="14">
        <v>45270.0</v>
      </c>
      <c r="H1875" s="15">
        <f t="shared" si="1"/>
        <v>10</v>
      </c>
      <c r="I1875" s="16">
        <f t="shared" si="2"/>
        <v>12</v>
      </c>
      <c r="J1875" s="15">
        <f t="shared" si="3"/>
        <v>2023</v>
      </c>
      <c r="K1875" s="16">
        <f>STANDARDIZE(F1875,'estatística'!$C$2,'estatística'!$H$2)</f>
        <v>0.3971891618</v>
      </c>
    </row>
    <row r="1876" ht="15.75" customHeight="1">
      <c r="A1876" s="9">
        <v>78.0</v>
      </c>
      <c r="B1876" s="10" t="s">
        <v>15</v>
      </c>
      <c r="C1876" s="11" t="s">
        <v>16</v>
      </c>
      <c r="D1876" s="10" t="s">
        <v>13</v>
      </c>
      <c r="E1876" s="11" t="s">
        <v>91</v>
      </c>
      <c r="F1876" s="13">
        <v>2.93</v>
      </c>
      <c r="G1876" s="14">
        <v>45270.0</v>
      </c>
      <c r="H1876" s="15">
        <f t="shared" si="1"/>
        <v>10</v>
      </c>
      <c r="I1876" s="16">
        <f t="shared" si="2"/>
        <v>12</v>
      </c>
      <c r="J1876" s="15">
        <f t="shared" si="3"/>
        <v>2023</v>
      </c>
      <c r="K1876" s="16">
        <f>STANDARDIZE(F1876,'estatística'!$C$2,'estatística'!$H$2)</f>
        <v>0.02063813624</v>
      </c>
    </row>
    <row r="1877" ht="15.75" customHeight="1">
      <c r="A1877" s="9">
        <v>49.0</v>
      </c>
      <c r="B1877" s="10" t="s">
        <v>151</v>
      </c>
      <c r="C1877" s="11" t="s">
        <v>152</v>
      </c>
      <c r="D1877" s="10" t="s">
        <v>17</v>
      </c>
      <c r="E1877" s="11" t="s">
        <v>36</v>
      </c>
      <c r="F1877" s="13">
        <v>68.85</v>
      </c>
      <c r="G1877" s="14">
        <v>45270.0</v>
      </c>
      <c r="H1877" s="15">
        <f t="shared" si="1"/>
        <v>10</v>
      </c>
      <c r="I1877" s="16">
        <f t="shared" si="2"/>
        <v>12</v>
      </c>
      <c r="J1877" s="15">
        <f t="shared" si="3"/>
        <v>2023</v>
      </c>
      <c r="K1877" s="16">
        <f>STANDARDIZE(F1877,'estatística'!$C$2,'estatística'!$H$2)</f>
        <v>0.8552798177</v>
      </c>
    </row>
    <row r="1878" ht="15.75" customHeight="1">
      <c r="A1878" s="9">
        <v>58.0</v>
      </c>
      <c r="B1878" s="10" t="s">
        <v>137</v>
      </c>
      <c r="C1878" s="11" t="s">
        <v>138</v>
      </c>
      <c r="D1878" s="10" t="s">
        <v>13</v>
      </c>
      <c r="E1878" s="11" t="s">
        <v>14</v>
      </c>
      <c r="F1878" s="13">
        <v>10.32</v>
      </c>
      <c r="G1878" s="14">
        <v>45270.0</v>
      </c>
      <c r="H1878" s="15">
        <f t="shared" si="1"/>
        <v>10</v>
      </c>
      <c r="I1878" s="16">
        <f t="shared" si="2"/>
        <v>12</v>
      </c>
      <c r="J1878" s="15">
        <f t="shared" si="3"/>
        <v>2023</v>
      </c>
      <c r="K1878" s="16">
        <f>STANDARDIZE(F1878,'estatística'!$C$2,'estatística'!$H$2)</f>
        <v>0.1142061281</v>
      </c>
    </row>
    <row r="1879" ht="15.75" customHeight="1">
      <c r="A1879" s="9">
        <v>24.0</v>
      </c>
      <c r="B1879" s="10" t="s">
        <v>110</v>
      </c>
      <c r="C1879" s="11" t="s">
        <v>111</v>
      </c>
      <c r="D1879" s="10" t="s">
        <v>13</v>
      </c>
      <c r="E1879" s="11" t="s">
        <v>36</v>
      </c>
      <c r="F1879" s="13">
        <v>59.32</v>
      </c>
      <c r="G1879" s="14">
        <v>45271.0</v>
      </c>
      <c r="H1879" s="15">
        <f t="shared" si="1"/>
        <v>11</v>
      </c>
      <c r="I1879" s="16">
        <f t="shared" si="2"/>
        <v>12</v>
      </c>
      <c r="J1879" s="15">
        <f t="shared" si="3"/>
        <v>2023</v>
      </c>
      <c r="K1879" s="16">
        <f>STANDARDIZE(F1879,'estatística'!$C$2,'estatística'!$H$2)</f>
        <v>0.7346163586</v>
      </c>
    </row>
    <row r="1880" ht="15.75" customHeight="1">
      <c r="A1880" s="9">
        <v>24.0</v>
      </c>
      <c r="B1880" s="10" t="s">
        <v>110</v>
      </c>
      <c r="C1880" s="11" t="s">
        <v>111</v>
      </c>
      <c r="D1880" s="10" t="s">
        <v>17</v>
      </c>
      <c r="E1880" s="11" t="s">
        <v>77</v>
      </c>
      <c r="F1880" s="13">
        <v>14.0</v>
      </c>
      <c r="G1880" s="14">
        <v>45271.0</v>
      </c>
      <c r="H1880" s="15">
        <f t="shared" si="1"/>
        <v>11</v>
      </c>
      <c r="I1880" s="16">
        <f t="shared" si="2"/>
        <v>12</v>
      </c>
      <c r="J1880" s="15">
        <f t="shared" si="3"/>
        <v>2023</v>
      </c>
      <c r="K1880" s="16">
        <f>STANDARDIZE(F1880,'estatística'!$C$2,'estatística'!$H$2)</f>
        <v>0.1608002026</v>
      </c>
    </row>
    <row r="1881" ht="15.75" customHeight="1">
      <c r="A1881" s="9">
        <v>64.0</v>
      </c>
      <c r="B1881" s="10" t="s">
        <v>131</v>
      </c>
      <c r="C1881" s="11" t="s">
        <v>132</v>
      </c>
      <c r="D1881" s="10" t="s">
        <v>17</v>
      </c>
      <c r="E1881" s="11" t="s">
        <v>107</v>
      </c>
      <c r="F1881" s="13">
        <v>31.46</v>
      </c>
      <c r="G1881" s="14">
        <v>45271.0</v>
      </c>
      <c r="H1881" s="15">
        <f t="shared" si="1"/>
        <v>11</v>
      </c>
      <c r="I1881" s="16">
        <f t="shared" si="2"/>
        <v>12</v>
      </c>
      <c r="J1881" s="15">
        <f t="shared" si="3"/>
        <v>2023</v>
      </c>
      <c r="K1881" s="16">
        <f>STANDARDIZE(F1881,'estatística'!$C$2,'estatística'!$H$2)</f>
        <v>0.3818688276</v>
      </c>
    </row>
    <row r="1882" ht="15.75" customHeight="1">
      <c r="A1882" s="9">
        <v>92.0</v>
      </c>
      <c r="B1882" s="10" t="s">
        <v>81</v>
      </c>
      <c r="C1882" s="11" t="s">
        <v>169</v>
      </c>
      <c r="D1882" s="10" t="s">
        <v>17</v>
      </c>
      <c r="E1882" s="11" t="s">
        <v>107</v>
      </c>
      <c r="F1882" s="13">
        <v>27.35</v>
      </c>
      <c r="G1882" s="14">
        <v>45271.0</v>
      </c>
      <c r="H1882" s="15">
        <f t="shared" si="1"/>
        <v>11</v>
      </c>
      <c r="I1882" s="16">
        <f t="shared" si="2"/>
        <v>12</v>
      </c>
      <c r="J1882" s="15">
        <f t="shared" si="3"/>
        <v>2023</v>
      </c>
      <c r="K1882" s="16">
        <f>STANDARDIZE(F1882,'estatística'!$C$2,'estatística'!$H$2)</f>
        <v>0.3298303368</v>
      </c>
    </row>
    <row r="1883" ht="15.75" customHeight="1">
      <c r="A1883" s="9">
        <v>65.0</v>
      </c>
      <c r="B1883" s="10" t="s">
        <v>181</v>
      </c>
      <c r="C1883" s="11" t="s">
        <v>182</v>
      </c>
      <c r="D1883" s="10" t="s">
        <v>17</v>
      </c>
      <c r="E1883" s="11" t="s">
        <v>32</v>
      </c>
      <c r="F1883" s="13">
        <v>27.32</v>
      </c>
      <c r="G1883" s="14">
        <v>45271.0</v>
      </c>
      <c r="H1883" s="15">
        <f t="shared" si="1"/>
        <v>11</v>
      </c>
      <c r="I1883" s="16">
        <f t="shared" si="2"/>
        <v>12</v>
      </c>
      <c r="J1883" s="15">
        <f t="shared" si="3"/>
        <v>2023</v>
      </c>
      <c r="K1883" s="16">
        <f>STANDARDIZE(F1883,'estatística'!$C$2,'estatística'!$H$2)</f>
        <v>0.3294504938</v>
      </c>
    </row>
    <row r="1884" ht="15.75" customHeight="1">
      <c r="A1884" s="9">
        <v>23.0</v>
      </c>
      <c r="B1884" s="10" t="s">
        <v>207</v>
      </c>
      <c r="C1884" s="11" t="s">
        <v>208</v>
      </c>
      <c r="D1884" s="10" t="s">
        <v>17</v>
      </c>
      <c r="E1884" s="11" t="s">
        <v>57</v>
      </c>
      <c r="F1884" s="13">
        <v>24.93</v>
      </c>
      <c r="G1884" s="14">
        <v>45271.0</v>
      </c>
      <c r="H1884" s="15">
        <f t="shared" si="1"/>
        <v>11</v>
      </c>
      <c r="I1884" s="16">
        <f t="shared" si="2"/>
        <v>12</v>
      </c>
      <c r="J1884" s="15">
        <f t="shared" si="3"/>
        <v>2023</v>
      </c>
      <c r="K1884" s="16">
        <f>STANDARDIZE(F1884,'estatística'!$C$2,'estatística'!$H$2)</f>
        <v>0.2991896683</v>
      </c>
    </row>
    <row r="1885" ht="15.75" customHeight="1">
      <c r="A1885" s="9">
        <v>78.0</v>
      </c>
      <c r="B1885" s="10" t="s">
        <v>15</v>
      </c>
      <c r="C1885" s="11" t="s">
        <v>16</v>
      </c>
      <c r="D1885" s="10" t="s">
        <v>13</v>
      </c>
      <c r="E1885" s="11" t="s">
        <v>77</v>
      </c>
      <c r="F1885" s="13">
        <v>16.89</v>
      </c>
      <c r="G1885" s="14">
        <v>45271.0</v>
      </c>
      <c r="H1885" s="15">
        <f t="shared" si="1"/>
        <v>11</v>
      </c>
      <c r="I1885" s="16">
        <f t="shared" si="2"/>
        <v>12</v>
      </c>
      <c r="J1885" s="15">
        <f t="shared" si="3"/>
        <v>2023</v>
      </c>
      <c r="K1885" s="16">
        <f>STANDARDIZE(F1885,'estatística'!$C$2,'estatística'!$H$2)</f>
        <v>0.1973917447</v>
      </c>
    </row>
    <row r="1886" ht="15.75" customHeight="1">
      <c r="A1886" s="9">
        <v>29.0</v>
      </c>
      <c r="B1886" s="10" t="s">
        <v>92</v>
      </c>
      <c r="C1886" s="11" t="s">
        <v>93</v>
      </c>
      <c r="D1886" s="10" t="s">
        <v>17</v>
      </c>
      <c r="E1886" s="11" t="s">
        <v>48</v>
      </c>
      <c r="F1886" s="13">
        <v>14.71</v>
      </c>
      <c r="G1886" s="14">
        <v>45272.0</v>
      </c>
      <c r="H1886" s="15">
        <f t="shared" si="1"/>
        <v>12</v>
      </c>
      <c r="I1886" s="16">
        <f t="shared" si="2"/>
        <v>12</v>
      </c>
      <c r="J1886" s="15">
        <f t="shared" si="3"/>
        <v>2023</v>
      </c>
      <c r="K1886" s="16">
        <f>STANDARDIZE(F1886,'estatística'!$C$2,'estatística'!$H$2)</f>
        <v>0.1697898202</v>
      </c>
    </row>
    <row r="1887" ht="15.75" customHeight="1">
      <c r="A1887" s="9">
        <v>78.0</v>
      </c>
      <c r="B1887" s="10" t="s">
        <v>15</v>
      </c>
      <c r="C1887" s="11" t="s">
        <v>16</v>
      </c>
      <c r="D1887" s="10" t="s">
        <v>13</v>
      </c>
      <c r="E1887" s="11" t="s">
        <v>29</v>
      </c>
      <c r="F1887" s="13">
        <v>14.96</v>
      </c>
      <c r="G1887" s="14">
        <v>45272.0</v>
      </c>
      <c r="H1887" s="15">
        <f t="shared" si="1"/>
        <v>12</v>
      </c>
      <c r="I1887" s="16">
        <f t="shared" si="2"/>
        <v>12</v>
      </c>
      <c r="J1887" s="15">
        <f t="shared" si="3"/>
        <v>2023</v>
      </c>
      <c r="K1887" s="16">
        <f>STANDARDIZE(F1887,'estatística'!$C$2,'estatística'!$H$2)</f>
        <v>0.1729551785</v>
      </c>
    </row>
    <row r="1888" ht="15.75" customHeight="1">
      <c r="A1888" s="9">
        <v>76.0</v>
      </c>
      <c r="B1888" s="10" t="s">
        <v>185</v>
      </c>
      <c r="C1888" s="11" t="s">
        <v>186</v>
      </c>
      <c r="D1888" s="10" t="s">
        <v>17</v>
      </c>
      <c r="E1888" s="11" t="s">
        <v>62</v>
      </c>
      <c r="F1888" s="13">
        <v>11.71</v>
      </c>
      <c r="G1888" s="14">
        <v>45272.0</v>
      </c>
      <c r="H1888" s="15">
        <f t="shared" si="1"/>
        <v>12</v>
      </c>
      <c r="I1888" s="16">
        <f t="shared" si="2"/>
        <v>12</v>
      </c>
      <c r="J1888" s="15">
        <f t="shared" si="3"/>
        <v>2023</v>
      </c>
      <c r="K1888" s="16">
        <f>STANDARDIZE(F1888,'estatística'!$C$2,'estatística'!$H$2)</f>
        <v>0.1318055204</v>
      </c>
    </row>
    <row r="1889" ht="15.75" customHeight="1">
      <c r="A1889" s="9">
        <v>17.0</v>
      </c>
      <c r="B1889" s="10" t="s">
        <v>172</v>
      </c>
      <c r="C1889" s="11" t="s">
        <v>173</v>
      </c>
      <c r="D1889" s="10" t="s">
        <v>13</v>
      </c>
      <c r="E1889" s="11" t="s">
        <v>65</v>
      </c>
      <c r="F1889" s="13">
        <v>26.62</v>
      </c>
      <c r="G1889" s="14">
        <v>45272.0</v>
      </c>
      <c r="H1889" s="15">
        <f t="shared" si="1"/>
        <v>12</v>
      </c>
      <c r="I1889" s="16">
        <f t="shared" si="2"/>
        <v>12</v>
      </c>
      <c r="J1889" s="15">
        <f t="shared" si="3"/>
        <v>2023</v>
      </c>
      <c r="K1889" s="16">
        <f>STANDARDIZE(F1889,'estatística'!$C$2,'estatística'!$H$2)</f>
        <v>0.3205874905</v>
      </c>
    </row>
    <row r="1890" ht="15.75" customHeight="1">
      <c r="A1890" s="9">
        <v>47.0</v>
      </c>
      <c r="B1890" s="10" t="s">
        <v>89</v>
      </c>
      <c r="C1890" s="11" t="s">
        <v>90</v>
      </c>
      <c r="D1890" s="10" t="s">
        <v>13</v>
      </c>
      <c r="E1890" s="11" t="s">
        <v>29</v>
      </c>
      <c r="F1890" s="13">
        <v>14.78</v>
      </c>
      <c r="G1890" s="14">
        <v>45272.0</v>
      </c>
      <c r="H1890" s="15">
        <f t="shared" si="1"/>
        <v>12</v>
      </c>
      <c r="I1890" s="16">
        <f t="shared" si="2"/>
        <v>12</v>
      </c>
      <c r="J1890" s="15">
        <f t="shared" si="3"/>
        <v>2023</v>
      </c>
      <c r="K1890" s="16">
        <f>STANDARDIZE(F1890,'estatística'!$C$2,'estatística'!$H$2)</f>
        <v>0.1706761205</v>
      </c>
    </row>
    <row r="1891" ht="15.75" customHeight="1">
      <c r="A1891" s="9">
        <v>45.0</v>
      </c>
      <c r="B1891" s="10" t="s">
        <v>193</v>
      </c>
      <c r="C1891" s="11" t="s">
        <v>194</v>
      </c>
      <c r="D1891" s="10" t="s">
        <v>13</v>
      </c>
      <c r="E1891" s="11" t="s">
        <v>68</v>
      </c>
      <c r="F1891" s="13">
        <v>10.99</v>
      </c>
      <c r="G1891" s="14">
        <v>45272.0</v>
      </c>
      <c r="H1891" s="15">
        <f t="shared" si="1"/>
        <v>12</v>
      </c>
      <c r="I1891" s="16">
        <f t="shared" si="2"/>
        <v>12</v>
      </c>
      <c r="J1891" s="15">
        <f t="shared" si="3"/>
        <v>2023</v>
      </c>
      <c r="K1891" s="16">
        <f>STANDARDIZE(F1891,'estatística'!$C$2,'estatística'!$H$2)</f>
        <v>0.1226892884</v>
      </c>
    </row>
    <row r="1892" ht="15.75" customHeight="1">
      <c r="A1892" s="9">
        <v>23.0</v>
      </c>
      <c r="B1892" s="10" t="s">
        <v>207</v>
      </c>
      <c r="C1892" s="11" t="s">
        <v>208</v>
      </c>
      <c r="D1892" s="10" t="s">
        <v>17</v>
      </c>
      <c r="E1892" s="11" t="s">
        <v>77</v>
      </c>
      <c r="F1892" s="13">
        <v>14.26</v>
      </c>
      <c r="G1892" s="14">
        <v>45272.0</v>
      </c>
      <c r="H1892" s="15">
        <f t="shared" si="1"/>
        <v>12</v>
      </c>
      <c r="I1892" s="16">
        <f t="shared" si="2"/>
        <v>12</v>
      </c>
      <c r="J1892" s="15">
        <f t="shared" si="3"/>
        <v>2023</v>
      </c>
      <c r="K1892" s="16">
        <f>STANDARDIZE(F1892,'estatística'!$C$2,'estatística'!$H$2)</f>
        <v>0.1640921752</v>
      </c>
    </row>
    <row r="1893" ht="15.75" customHeight="1">
      <c r="A1893" s="9">
        <v>92.0</v>
      </c>
      <c r="B1893" s="10" t="s">
        <v>81</v>
      </c>
      <c r="C1893" s="11" t="s">
        <v>169</v>
      </c>
      <c r="D1893" s="10" t="s">
        <v>17</v>
      </c>
      <c r="E1893" s="11" t="s">
        <v>107</v>
      </c>
      <c r="F1893" s="13">
        <v>25.34</v>
      </c>
      <c r="G1893" s="14">
        <v>45272.0</v>
      </c>
      <c r="H1893" s="15">
        <f t="shared" si="1"/>
        <v>12</v>
      </c>
      <c r="I1893" s="16">
        <f t="shared" si="2"/>
        <v>12</v>
      </c>
      <c r="J1893" s="15">
        <f t="shared" si="3"/>
        <v>2023</v>
      </c>
      <c r="K1893" s="16">
        <f>STANDARDIZE(F1893,'estatística'!$C$2,'estatística'!$H$2)</f>
        <v>0.3043808559</v>
      </c>
    </row>
    <row r="1894" ht="15.75" customHeight="1">
      <c r="A1894" s="9">
        <v>43.0</v>
      </c>
      <c r="B1894" s="10" t="s">
        <v>63</v>
      </c>
      <c r="C1894" s="11" t="s">
        <v>64</v>
      </c>
      <c r="D1894" s="10" t="s">
        <v>13</v>
      </c>
      <c r="E1894" s="11" t="s">
        <v>116</v>
      </c>
      <c r="F1894" s="13">
        <v>5.36</v>
      </c>
      <c r="G1894" s="14">
        <v>45272.0</v>
      </c>
      <c r="H1894" s="15">
        <f t="shared" si="1"/>
        <v>12</v>
      </c>
      <c r="I1894" s="16">
        <f t="shared" si="2"/>
        <v>12</v>
      </c>
      <c r="J1894" s="15">
        <f t="shared" si="3"/>
        <v>2023</v>
      </c>
      <c r="K1894" s="16">
        <f>STANDARDIZE(F1894,'estatística'!$C$2,'estatística'!$H$2)</f>
        <v>0.05140541909</v>
      </c>
    </row>
    <row r="1895" ht="15.75" customHeight="1">
      <c r="A1895" s="9">
        <v>51.0</v>
      </c>
      <c r="B1895" s="10" t="s">
        <v>205</v>
      </c>
      <c r="C1895" s="11" t="s">
        <v>206</v>
      </c>
      <c r="D1895" s="10" t="s">
        <v>13</v>
      </c>
      <c r="E1895" s="11" t="s">
        <v>39</v>
      </c>
      <c r="F1895" s="13">
        <v>52.79</v>
      </c>
      <c r="G1895" s="14">
        <v>45272.0</v>
      </c>
      <c r="H1895" s="15">
        <f t="shared" si="1"/>
        <v>12</v>
      </c>
      <c r="I1895" s="16">
        <f t="shared" si="2"/>
        <v>12</v>
      </c>
      <c r="J1895" s="15">
        <f t="shared" si="3"/>
        <v>2023</v>
      </c>
      <c r="K1895" s="16">
        <f>STANDARDIZE(F1895,'estatística'!$C$2,'estatística'!$H$2)</f>
        <v>0.6519371993</v>
      </c>
    </row>
    <row r="1896" ht="15.75" customHeight="1">
      <c r="A1896" s="9">
        <v>14.0</v>
      </c>
      <c r="B1896" s="10" t="s">
        <v>143</v>
      </c>
      <c r="C1896" s="11" t="s">
        <v>144</v>
      </c>
      <c r="D1896" s="10" t="s">
        <v>17</v>
      </c>
      <c r="E1896" s="11" t="s">
        <v>68</v>
      </c>
      <c r="F1896" s="13">
        <v>12.26</v>
      </c>
      <c r="G1896" s="14">
        <v>45273.0</v>
      </c>
      <c r="H1896" s="15">
        <f t="shared" si="1"/>
        <v>13</v>
      </c>
      <c r="I1896" s="16">
        <f t="shared" si="2"/>
        <v>12</v>
      </c>
      <c r="J1896" s="15">
        <f t="shared" si="3"/>
        <v>2023</v>
      </c>
      <c r="K1896" s="16">
        <f>STANDARDIZE(F1896,'estatística'!$C$2,'estatística'!$H$2)</f>
        <v>0.1387693087</v>
      </c>
    </row>
    <row r="1897" ht="15.75" customHeight="1">
      <c r="A1897" s="9">
        <v>14.0</v>
      </c>
      <c r="B1897" s="10" t="s">
        <v>143</v>
      </c>
      <c r="C1897" s="11" t="s">
        <v>144</v>
      </c>
      <c r="D1897" s="10" t="s">
        <v>13</v>
      </c>
      <c r="E1897" s="11" t="s">
        <v>107</v>
      </c>
      <c r="F1897" s="13">
        <v>26.01</v>
      </c>
      <c r="G1897" s="14">
        <v>45273.0</v>
      </c>
      <c r="H1897" s="15">
        <f t="shared" si="1"/>
        <v>13</v>
      </c>
      <c r="I1897" s="16">
        <f t="shared" si="2"/>
        <v>12</v>
      </c>
      <c r="J1897" s="15">
        <f t="shared" si="3"/>
        <v>2023</v>
      </c>
      <c r="K1897" s="16">
        <f>STANDARDIZE(F1897,'estatística'!$C$2,'estatística'!$H$2)</f>
        <v>0.3128640162</v>
      </c>
    </row>
    <row r="1898" ht="15.75" customHeight="1">
      <c r="A1898" s="9">
        <v>64.0</v>
      </c>
      <c r="B1898" s="10" t="s">
        <v>131</v>
      </c>
      <c r="C1898" s="11" t="s">
        <v>132</v>
      </c>
      <c r="D1898" s="10" t="s">
        <v>17</v>
      </c>
      <c r="E1898" s="11" t="s">
        <v>62</v>
      </c>
      <c r="F1898" s="13">
        <v>11.81</v>
      </c>
      <c r="G1898" s="14">
        <v>45273.0</v>
      </c>
      <c r="H1898" s="15">
        <f t="shared" si="1"/>
        <v>13</v>
      </c>
      <c r="I1898" s="16">
        <f t="shared" si="2"/>
        <v>12</v>
      </c>
      <c r="J1898" s="15">
        <f t="shared" si="3"/>
        <v>2023</v>
      </c>
      <c r="K1898" s="16">
        <f>STANDARDIZE(F1898,'estatística'!$C$2,'estatística'!$H$2)</f>
        <v>0.1330716637</v>
      </c>
    </row>
    <row r="1899" ht="15.75" customHeight="1">
      <c r="A1899" s="9">
        <v>67.0</v>
      </c>
      <c r="B1899" s="10" t="s">
        <v>176</v>
      </c>
      <c r="C1899" s="11" t="s">
        <v>177</v>
      </c>
      <c r="D1899" s="10" t="s">
        <v>17</v>
      </c>
      <c r="E1899" s="11" t="s">
        <v>32</v>
      </c>
      <c r="F1899" s="13">
        <v>33.32</v>
      </c>
      <c r="G1899" s="14">
        <v>45273.0</v>
      </c>
      <c r="H1899" s="15">
        <f t="shared" si="1"/>
        <v>13</v>
      </c>
      <c r="I1899" s="16">
        <f t="shared" si="2"/>
        <v>12</v>
      </c>
      <c r="J1899" s="15">
        <f t="shared" si="3"/>
        <v>2023</v>
      </c>
      <c r="K1899" s="16">
        <f>STANDARDIZE(F1899,'estatística'!$C$2,'estatística'!$H$2)</f>
        <v>0.4054190934</v>
      </c>
    </row>
    <row r="1900" ht="15.75" customHeight="1">
      <c r="A1900" s="9">
        <v>60.0</v>
      </c>
      <c r="B1900" s="10" t="s">
        <v>42</v>
      </c>
      <c r="C1900" s="11" t="s">
        <v>43</v>
      </c>
      <c r="D1900" s="10" t="s">
        <v>13</v>
      </c>
      <c r="E1900" s="11" t="s">
        <v>21</v>
      </c>
      <c r="F1900" s="13">
        <v>12.13</v>
      </c>
      <c r="G1900" s="14">
        <v>45273.0</v>
      </c>
      <c r="H1900" s="15">
        <f t="shared" si="1"/>
        <v>13</v>
      </c>
      <c r="I1900" s="16">
        <f t="shared" si="2"/>
        <v>12</v>
      </c>
      <c r="J1900" s="15">
        <f t="shared" si="3"/>
        <v>2023</v>
      </c>
      <c r="K1900" s="16">
        <f>STANDARDIZE(F1900,'estatística'!$C$2,'estatística'!$H$2)</f>
        <v>0.1371233224</v>
      </c>
    </row>
    <row r="1901" ht="15.75" customHeight="1">
      <c r="A1901" s="9">
        <v>100.0</v>
      </c>
      <c r="B1901" s="10" t="s">
        <v>30</v>
      </c>
      <c r="C1901" s="11" t="s">
        <v>31</v>
      </c>
      <c r="D1901" s="10" t="s">
        <v>13</v>
      </c>
      <c r="E1901" s="11" t="s">
        <v>68</v>
      </c>
      <c r="F1901" s="13">
        <v>13.22</v>
      </c>
      <c r="G1901" s="14">
        <v>45273.0</v>
      </c>
      <c r="H1901" s="15">
        <f t="shared" si="1"/>
        <v>13</v>
      </c>
      <c r="I1901" s="16">
        <f t="shared" si="2"/>
        <v>12</v>
      </c>
      <c r="J1901" s="15">
        <f t="shared" si="3"/>
        <v>2023</v>
      </c>
      <c r="K1901" s="16">
        <f>STANDARDIZE(F1901,'estatística'!$C$2,'estatística'!$H$2)</f>
        <v>0.1509242846</v>
      </c>
    </row>
    <row r="1902" ht="15.75" customHeight="1">
      <c r="A1902" s="9">
        <v>68.0</v>
      </c>
      <c r="B1902" s="10" t="s">
        <v>25</v>
      </c>
      <c r="C1902" s="11" t="s">
        <v>26</v>
      </c>
      <c r="D1902" s="10" t="s">
        <v>17</v>
      </c>
      <c r="E1902" s="11" t="s">
        <v>48</v>
      </c>
      <c r="F1902" s="13">
        <v>10.24</v>
      </c>
      <c r="G1902" s="14">
        <v>45274.0</v>
      </c>
      <c r="H1902" s="15">
        <f t="shared" si="1"/>
        <v>14</v>
      </c>
      <c r="I1902" s="16">
        <f t="shared" si="2"/>
        <v>12</v>
      </c>
      <c r="J1902" s="15">
        <f t="shared" si="3"/>
        <v>2023</v>
      </c>
      <c r="K1902" s="16">
        <f>STANDARDIZE(F1902,'estatística'!$C$2,'estatística'!$H$2)</f>
        <v>0.1131932135</v>
      </c>
    </row>
    <row r="1903" ht="15.75" customHeight="1">
      <c r="A1903" s="9">
        <v>5.0</v>
      </c>
      <c r="B1903" s="10" t="s">
        <v>139</v>
      </c>
      <c r="C1903" s="11" t="s">
        <v>140</v>
      </c>
      <c r="D1903" s="10" t="s">
        <v>13</v>
      </c>
      <c r="E1903" s="11" t="s">
        <v>14</v>
      </c>
      <c r="F1903" s="13">
        <v>10.26</v>
      </c>
      <c r="G1903" s="14">
        <v>45274.0</v>
      </c>
      <c r="H1903" s="15">
        <f t="shared" si="1"/>
        <v>14</v>
      </c>
      <c r="I1903" s="16">
        <f t="shared" si="2"/>
        <v>12</v>
      </c>
      <c r="J1903" s="15">
        <f t="shared" si="3"/>
        <v>2023</v>
      </c>
      <c r="K1903" s="16">
        <f>STANDARDIZE(F1903,'estatística'!$C$2,'estatística'!$H$2)</f>
        <v>0.1134464421</v>
      </c>
    </row>
    <row r="1904" ht="15.75" customHeight="1">
      <c r="A1904" s="9">
        <v>57.0</v>
      </c>
      <c r="B1904" s="10" t="s">
        <v>60</v>
      </c>
      <c r="C1904" s="11" t="s">
        <v>162</v>
      </c>
      <c r="D1904" s="10" t="s">
        <v>17</v>
      </c>
      <c r="E1904" s="11" t="s">
        <v>107</v>
      </c>
      <c r="F1904" s="13">
        <v>27.19</v>
      </c>
      <c r="G1904" s="14">
        <v>45274.0</v>
      </c>
      <c r="H1904" s="15">
        <f t="shared" si="1"/>
        <v>14</v>
      </c>
      <c r="I1904" s="16">
        <f t="shared" si="2"/>
        <v>12</v>
      </c>
      <c r="J1904" s="15">
        <f t="shared" si="3"/>
        <v>2023</v>
      </c>
      <c r="K1904" s="16">
        <f>STANDARDIZE(F1904,'estatística'!$C$2,'estatística'!$H$2)</f>
        <v>0.3278045075</v>
      </c>
    </row>
    <row r="1905" ht="15.75" customHeight="1">
      <c r="A1905" s="9">
        <v>67.0</v>
      </c>
      <c r="B1905" s="10" t="s">
        <v>176</v>
      </c>
      <c r="C1905" s="11" t="s">
        <v>177</v>
      </c>
      <c r="D1905" s="10" t="s">
        <v>17</v>
      </c>
      <c r="E1905" s="11" t="s">
        <v>48</v>
      </c>
      <c r="F1905" s="13">
        <v>15.24</v>
      </c>
      <c r="G1905" s="14">
        <v>45275.0</v>
      </c>
      <c r="H1905" s="15">
        <f t="shared" si="1"/>
        <v>15</v>
      </c>
      <c r="I1905" s="16">
        <f t="shared" si="2"/>
        <v>12</v>
      </c>
      <c r="J1905" s="15">
        <f t="shared" si="3"/>
        <v>2023</v>
      </c>
      <c r="K1905" s="16">
        <f>STANDARDIZE(F1905,'estatística'!$C$2,'estatística'!$H$2)</f>
        <v>0.1765003798</v>
      </c>
    </row>
    <row r="1906" ht="15.75" customHeight="1">
      <c r="A1906" s="9">
        <v>12.0</v>
      </c>
      <c r="B1906" s="10" t="s">
        <v>160</v>
      </c>
      <c r="C1906" s="11" t="s">
        <v>161</v>
      </c>
      <c r="D1906" s="10" t="s">
        <v>17</v>
      </c>
      <c r="E1906" s="11" t="s">
        <v>32</v>
      </c>
      <c r="F1906" s="13">
        <v>27.42</v>
      </c>
      <c r="G1906" s="14">
        <v>45275.0</v>
      </c>
      <c r="H1906" s="15">
        <f t="shared" si="1"/>
        <v>15</v>
      </c>
      <c r="I1906" s="16">
        <f t="shared" si="2"/>
        <v>12</v>
      </c>
      <c r="J1906" s="15">
        <f t="shared" si="3"/>
        <v>2023</v>
      </c>
      <c r="K1906" s="16">
        <f>STANDARDIZE(F1906,'estatística'!$C$2,'estatística'!$H$2)</f>
        <v>0.3307166371</v>
      </c>
    </row>
    <row r="1907" ht="15.75" customHeight="1">
      <c r="A1907" s="9">
        <v>33.0</v>
      </c>
      <c r="B1907" s="10" t="s">
        <v>163</v>
      </c>
      <c r="C1907" s="11" t="s">
        <v>164</v>
      </c>
      <c r="D1907" s="10" t="s">
        <v>13</v>
      </c>
      <c r="E1907" s="11" t="s">
        <v>107</v>
      </c>
      <c r="F1907" s="13">
        <v>29.78</v>
      </c>
      <c r="G1907" s="14">
        <v>45275.0</v>
      </c>
      <c r="H1907" s="15">
        <f t="shared" si="1"/>
        <v>15</v>
      </c>
      <c r="I1907" s="16">
        <f t="shared" si="2"/>
        <v>12</v>
      </c>
      <c r="J1907" s="15">
        <f t="shared" si="3"/>
        <v>2023</v>
      </c>
      <c r="K1907" s="16">
        <f>STANDARDIZE(F1907,'estatística'!$C$2,'estatística'!$H$2)</f>
        <v>0.3605976197</v>
      </c>
    </row>
    <row r="1908" ht="15.75" customHeight="1">
      <c r="A1908" s="9">
        <v>90.0</v>
      </c>
      <c r="B1908" s="10" t="s">
        <v>191</v>
      </c>
      <c r="C1908" s="11" t="s">
        <v>192</v>
      </c>
      <c r="D1908" s="10" t="s">
        <v>13</v>
      </c>
      <c r="E1908" s="11" t="s">
        <v>68</v>
      </c>
      <c r="F1908" s="13">
        <v>10.44</v>
      </c>
      <c r="G1908" s="14">
        <v>45275.0</v>
      </c>
      <c r="H1908" s="15">
        <f t="shared" si="1"/>
        <v>15</v>
      </c>
      <c r="I1908" s="16">
        <f t="shared" si="2"/>
        <v>12</v>
      </c>
      <c r="J1908" s="15">
        <f t="shared" si="3"/>
        <v>2023</v>
      </c>
      <c r="K1908" s="16">
        <f>STANDARDIZE(F1908,'estatística'!$C$2,'estatística'!$H$2)</f>
        <v>0.1157255001</v>
      </c>
    </row>
    <row r="1909" ht="15.75" customHeight="1">
      <c r="A1909" s="9">
        <v>97.0</v>
      </c>
      <c r="B1909" s="10" t="s">
        <v>44</v>
      </c>
      <c r="C1909" s="11" t="s">
        <v>45</v>
      </c>
      <c r="D1909" s="10" t="s">
        <v>13</v>
      </c>
      <c r="E1909" s="11" t="s">
        <v>29</v>
      </c>
      <c r="F1909" s="13">
        <v>12.13</v>
      </c>
      <c r="G1909" s="14">
        <v>45275.0</v>
      </c>
      <c r="H1909" s="15">
        <f t="shared" si="1"/>
        <v>15</v>
      </c>
      <c r="I1909" s="16">
        <f t="shared" si="2"/>
        <v>12</v>
      </c>
      <c r="J1909" s="15">
        <f t="shared" si="3"/>
        <v>2023</v>
      </c>
      <c r="K1909" s="16">
        <f>STANDARDIZE(F1909,'estatística'!$C$2,'estatística'!$H$2)</f>
        <v>0.1371233224</v>
      </c>
    </row>
    <row r="1910" ht="15.75" customHeight="1">
      <c r="A1910" s="9">
        <v>31.0</v>
      </c>
      <c r="B1910" s="10" t="s">
        <v>201</v>
      </c>
      <c r="C1910" s="11" t="s">
        <v>202</v>
      </c>
      <c r="D1910" s="10" t="s">
        <v>13</v>
      </c>
      <c r="E1910" s="11" t="s">
        <v>62</v>
      </c>
      <c r="F1910" s="13">
        <v>11.64</v>
      </c>
      <c r="G1910" s="14">
        <v>45275.0</v>
      </c>
      <c r="H1910" s="15">
        <f t="shared" si="1"/>
        <v>15</v>
      </c>
      <c r="I1910" s="16">
        <f t="shared" si="2"/>
        <v>12</v>
      </c>
      <c r="J1910" s="15">
        <f t="shared" si="3"/>
        <v>2023</v>
      </c>
      <c r="K1910" s="16">
        <f>STANDARDIZE(F1910,'estatística'!$C$2,'estatística'!$H$2)</f>
        <v>0.1309192201</v>
      </c>
    </row>
    <row r="1911" ht="15.75" customHeight="1">
      <c r="A1911" s="9">
        <v>33.0</v>
      </c>
      <c r="B1911" s="10" t="s">
        <v>163</v>
      </c>
      <c r="C1911" s="11" t="s">
        <v>164</v>
      </c>
      <c r="D1911" s="10" t="s">
        <v>17</v>
      </c>
      <c r="E1911" s="11" t="s">
        <v>62</v>
      </c>
      <c r="F1911" s="13">
        <v>11.45</v>
      </c>
      <c r="G1911" s="14">
        <v>45275.0</v>
      </c>
      <c r="H1911" s="15">
        <f t="shared" si="1"/>
        <v>15</v>
      </c>
      <c r="I1911" s="16">
        <f t="shared" si="2"/>
        <v>12</v>
      </c>
      <c r="J1911" s="15">
        <f t="shared" si="3"/>
        <v>2023</v>
      </c>
      <c r="K1911" s="16">
        <f>STANDARDIZE(F1911,'estatística'!$C$2,'estatística'!$H$2)</f>
        <v>0.1285135477</v>
      </c>
    </row>
    <row r="1912" ht="15.75" customHeight="1">
      <c r="A1912" s="9">
        <v>50.0</v>
      </c>
      <c r="B1912" s="10" t="s">
        <v>19</v>
      </c>
      <c r="C1912" s="11" t="s">
        <v>20</v>
      </c>
      <c r="D1912" s="10" t="s">
        <v>13</v>
      </c>
      <c r="E1912" s="11" t="s">
        <v>21</v>
      </c>
      <c r="F1912" s="13">
        <v>20.23</v>
      </c>
      <c r="G1912" s="14">
        <v>45276.0</v>
      </c>
      <c r="H1912" s="15">
        <f t="shared" si="1"/>
        <v>16</v>
      </c>
      <c r="I1912" s="16">
        <f t="shared" si="2"/>
        <v>12</v>
      </c>
      <c r="J1912" s="15">
        <f t="shared" si="3"/>
        <v>2023</v>
      </c>
      <c r="K1912" s="16">
        <f>STANDARDIZE(F1912,'estatística'!$C$2,'estatística'!$H$2)</f>
        <v>0.2396809319</v>
      </c>
    </row>
    <row r="1913" ht="15.75" customHeight="1">
      <c r="A1913" s="9">
        <v>76.0</v>
      </c>
      <c r="B1913" s="10" t="s">
        <v>185</v>
      </c>
      <c r="C1913" s="11" t="s">
        <v>186</v>
      </c>
      <c r="D1913" s="10" t="s">
        <v>17</v>
      </c>
      <c r="E1913" s="11" t="s">
        <v>68</v>
      </c>
      <c r="F1913" s="13">
        <v>14.12</v>
      </c>
      <c r="G1913" s="14">
        <v>45276.0</v>
      </c>
      <c r="H1913" s="15">
        <f t="shared" si="1"/>
        <v>16</v>
      </c>
      <c r="I1913" s="16">
        <f t="shared" si="2"/>
        <v>12</v>
      </c>
      <c r="J1913" s="15">
        <f t="shared" si="3"/>
        <v>2023</v>
      </c>
      <c r="K1913" s="16">
        <f>STANDARDIZE(F1913,'estatística'!$C$2,'estatística'!$H$2)</f>
        <v>0.1623195746</v>
      </c>
    </row>
    <row r="1914" ht="15.75" customHeight="1">
      <c r="A1914" s="9">
        <v>93.0</v>
      </c>
      <c r="B1914" s="10" t="s">
        <v>99</v>
      </c>
      <c r="C1914" s="11" t="s">
        <v>100</v>
      </c>
      <c r="D1914" s="10" t="s">
        <v>13</v>
      </c>
      <c r="E1914" s="11" t="s">
        <v>80</v>
      </c>
      <c r="F1914" s="13">
        <v>35.22</v>
      </c>
      <c r="G1914" s="14">
        <v>45276.0</v>
      </c>
      <c r="H1914" s="15">
        <f t="shared" si="1"/>
        <v>16</v>
      </c>
      <c r="I1914" s="16">
        <f t="shared" si="2"/>
        <v>12</v>
      </c>
      <c r="J1914" s="15">
        <f t="shared" si="3"/>
        <v>2023</v>
      </c>
      <c r="K1914" s="16">
        <f>STANDARDIZE(F1914,'estatística'!$C$2,'estatística'!$H$2)</f>
        <v>0.4294758167</v>
      </c>
    </row>
    <row r="1915" ht="15.75" customHeight="1">
      <c r="A1915" s="9">
        <v>97.0</v>
      </c>
      <c r="B1915" s="10" t="s">
        <v>44</v>
      </c>
      <c r="C1915" s="11" t="s">
        <v>45</v>
      </c>
      <c r="D1915" s="10" t="s">
        <v>13</v>
      </c>
      <c r="E1915" s="11" t="s">
        <v>18</v>
      </c>
      <c r="F1915" s="13">
        <v>49.05</v>
      </c>
      <c r="G1915" s="14">
        <v>45276.0</v>
      </c>
      <c r="H1915" s="15">
        <f t="shared" si="1"/>
        <v>16</v>
      </c>
      <c r="I1915" s="16">
        <f t="shared" si="2"/>
        <v>12</v>
      </c>
      <c r="J1915" s="15">
        <f t="shared" si="3"/>
        <v>2023</v>
      </c>
      <c r="K1915" s="16">
        <f>STANDARDIZE(F1915,'estatística'!$C$2,'estatística'!$H$2)</f>
        <v>0.6045834388</v>
      </c>
    </row>
    <row r="1916" ht="15.75" customHeight="1">
      <c r="A1916" s="9">
        <v>98.0</v>
      </c>
      <c r="B1916" s="10" t="s">
        <v>131</v>
      </c>
      <c r="C1916" s="11" t="s">
        <v>168</v>
      </c>
      <c r="D1916" s="10" t="s">
        <v>13</v>
      </c>
      <c r="E1916" s="11" t="s">
        <v>29</v>
      </c>
      <c r="F1916" s="13">
        <v>13.7</v>
      </c>
      <c r="G1916" s="14">
        <v>45276.0</v>
      </c>
      <c r="H1916" s="15">
        <f t="shared" si="1"/>
        <v>16</v>
      </c>
      <c r="I1916" s="16">
        <f t="shared" si="2"/>
        <v>12</v>
      </c>
      <c r="J1916" s="15">
        <f t="shared" si="3"/>
        <v>2023</v>
      </c>
      <c r="K1916" s="16">
        <f>STANDARDIZE(F1916,'estatística'!$C$2,'estatística'!$H$2)</f>
        <v>0.1570017726</v>
      </c>
    </row>
    <row r="1917" ht="15.75" customHeight="1">
      <c r="A1917" s="9">
        <v>94.0</v>
      </c>
      <c r="B1917" s="10" t="s">
        <v>179</v>
      </c>
      <c r="C1917" s="11" t="s">
        <v>209</v>
      </c>
      <c r="D1917" s="10" t="s">
        <v>17</v>
      </c>
      <c r="E1917" s="11" t="s">
        <v>32</v>
      </c>
      <c r="F1917" s="13">
        <v>27.16</v>
      </c>
      <c r="G1917" s="14">
        <v>45276.0</v>
      </c>
      <c r="H1917" s="15">
        <f t="shared" si="1"/>
        <v>16</v>
      </c>
      <c r="I1917" s="16">
        <f t="shared" si="2"/>
        <v>12</v>
      </c>
      <c r="J1917" s="15">
        <f t="shared" si="3"/>
        <v>2023</v>
      </c>
      <c r="K1917" s="16">
        <f>STANDARDIZE(F1917,'estatística'!$C$2,'estatística'!$H$2)</f>
        <v>0.3274246645</v>
      </c>
    </row>
    <row r="1918" ht="15.75" customHeight="1">
      <c r="A1918" s="9">
        <v>93.0</v>
      </c>
      <c r="B1918" s="10" t="s">
        <v>99</v>
      </c>
      <c r="C1918" s="11" t="s">
        <v>100</v>
      </c>
      <c r="D1918" s="10" t="s">
        <v>17</v>
      </c>
      <c r="E1918" s="11" t="s">
        <v>77</v>
      </c>
      <c r="F1918" s="13">
        <v>12.67</v>
      </c>
      <c r="G1918" s="14">
        <v>45277.0</v>
      </c>
      <c r="H1918" s="15">
        <f t="shared" si="1"/>
        <v>17</v>
      </c>
      <c r="I1918" s="16">
        <f t="shared" si="2"/>
        <v>12</v>
      </c>
      <c r="J1918" s="15">
        <f t="shared" si="3"/>
        <v>2023</v>
      </c>
      <c r="K1918" s="16">
        <f>STANDARDIZE(F1918,'estatística'!$C$2,'estatística'!$H$2)</f>
        <v>0.1439604963</v>
      </c>
    </row>
    <row r="1919" ht="15.75" customHeight="1">
      <c r="A1919" s="9">
        <v>87.0</v>
      </c>
      <c r="B1919" s="10" t="s">
        <v>215</v>
      </c>
      <c r="C1919" s="11" t="s">
        <v>216</v>
      </c>
      <c r="D1919" s="10" t="s">
        <v>17</v>
      </c>
      <c r="E1919" s="11" t="s">
        <v>48</v>
      </c>
      <c r="F1919" s="13">
        <v>9.46</v>
      </c>
      <c r="G1919" s="14">
        <v>45277.0</v>
      </c>
      <c r="H1919" s="15">
        <f t="shared" si="1"/>
        <v>17</v>
      </c>
      <c r="I1919" s="16">
        <f t="shared" si="2"/>
        <v>12</v>
      </c>
      <c r="J1919" s="15">
        <f t="shared" si="3"/>
        <v>2023</v>
      </c>
      <c r="K1919" s="16">
        <f>STANDARDIZE(F1919,'estatística'!$C$2,'estatística'!$H$2)</f>
        <v>0.1033172955</v>
      </c>
    </row>
    <row r="1920" ht="15.75" customHeight="1">
      <c r="A1920" s="9">
        <v>17.0</v>
      </c>
      <c r="B1920" s="10" t="s">
        <v>172</v>
      </c>
      <c r="C1920" s="11" t="s">
        <v>173</v>
      </c>
      <c r="D1920" s="10" t="s">
        <v>13</v>
      </c>
      <c r="E1920" s="11" t="s">
        <v>68</v>
      </c>
      <c r="F1920" s="13">
        <v>14.06</v>
      </c>
      <c r="G1920" s="14">
        <v>45277.0</v>
      </c>
      <c r="H1920" s="15">
        <f t="shared" si="1"/>
        <v>17</v>
      </c>
      <c r="I1920" s="16">
        <f t="shared" si="2"/>
        <v>12</v>
      </c>
      <c r="J1920" s="15">
        <f t="shared" si="3"/>
        <v>2023</v>
      </c>
      <c r="K1920" s="16">
        <f>STANDARDIZE(F1920,'estatística'!$C$2,'estatística'!$H$2)</f>
        <v>0.1615598886</v>
      </c>
    </row>
    <row r="1921" ht="15.75" customHeight="1">
      <c r="A1921" s="9">
        <v>98.0</v>
      </c>
      <c r="B1921" s="10" t="s">
        <v>131</v>
      </c>
      <c r="C1921" s="11" t="s">
        <v>168</v>
      </c>
      <c r="D1921" s="10" t="s">
        <v>13</v>
      </c>
      <c r="E1921" s="11" t="s">
        <v>27</v>
      </c>
      <c r="F1921" s="13">
        <v>18.28</v>
      </c>
      <c r="G1921" s="14">
        <v>45277.0</v>
      </c>
      <c r="H1921" s="15">
        <f t="shared" si="1"/>
        <v>17</v>
      </c>
      <c r="I1921" s="16">
        <f t="shared" si="2"/>
        <v>12</v>
      </c>
      <c r="J1921" s="15">
        <f t="shared" si="3"/>
        <v>2023</v>
      </c>
      <c r="K1921" s="16">
        <f>STANDARDIZE(F1921,'estatística'!$C$2,'estatística'!$H$2)</f>
        <v>0.214991137</v>
      </c>
    </row>
    <row r="1922" ht="15.75" customHeight="1">
      <c r="A1922" s="9">
        <v>68.0</v>
      </c>
      <c r="B1922" s="10" t="s">
        <v>25</v>
      </c>
      <c r="C1922" s="11" t="s">
        <v>26</v>
      </c>
      <c r="D1922" s="10" t="s">
        <v>17</v>
      </c>
      <c r="E1922" s="11" t="s">
        <v>65</v>
      </c>
      <c r="F1922" s="13">
        <v>31.67</v>
      </c>
      <c r="G1922" s="14">
        <v>45277.0</v>
      </c>
      <c r="H1922" s="15">
        <f t="shared" si="1"/>
        <v>17</v>
      </c>
      <c r="I1922" s="16">
        <f t="shared" si="2"/>
        <v>12</v>
      </c>
      <c r="J1922" s="15">
        <f t="shared" si="3"/>
        <v>2023</v>
      </c>
      <c r="K1922" s="16">
        <f>STANDARDIZE(F1922,'estatística'!$C$2,'estatística'!$H$2)</f>
        <v>0.3845277285</v>
      </c>
    </row>
    <row r="1923" ht="15.75" customHeight="1">
      <c r="A1923" s="9">
        <v>52.0</v>
      </c>
      <c r="B1923" s="10" t="s">
        <v>153</v>
      </c>
      <c r="C1923" s="11" t="s">
        <v>154</v>
      </c>
      <c r="D1923" s="10" t="s">
        <v>17</v>
      </c>
      <c r="E1923" s="11" t="s">
        <v>32</v>
      </c>
      <c r="F1923" s="13">
        <v>22.18</v>
      </c>
      <c r="G1923" s="14">
        <v>45277.0</v>
      </c>
      <c r="H1923" s="15">
        <f t="shared" si="1"/>
        <v>17</v>
      </c>
      <c r="I1923" s="16">
        <f t="shared" si="2"/>
        <v>12</v>
      </c>
      <c r="J1923" s="15">
        <f t="shared" si="3"/>
        <v>2023</v>
      </c>
      <c r="K1923" s="16">
        <f>STANDARDIZE(F1923,'estatística'!$C$2,'estatística'!$H$2)</f>
        <v>0.2643707268</v>
      </c>
    </row>
    <row r="1924" ht="15.75" customHeight="1">
      <c r="A1924" s="9">
        <v>72.0</v>
      </c>
      <c r="B1924" s="10" t="s">
        <v>103</v>
      </c>
      <c r="C1924" s="11" t="s">
        <v>104</v>
      </c>
      <c r="D1924" s="10" t="s">
        <v>17</v>
      </c>
      <c r="E1924" s="11" t="s">
        <v>57</v>
      </c>
      <c r="F1924" s="13">
        <v>24.73</v>
      </c>
      <c r="G1924" s="14">
        <v>45277.0</v>
      </c>
      <c r="H1924" s="15">
        <f t="shared" si="1"/>
        <v>17</v>
      </c>
      <c r="I1924" s="16">
        <f t="shared" si="2"/>
        <v>12</v>
      </c>
      <c r="J1924" s="15">
        <f t="shared" si="3"/>
        <v>2023</v>
      </c>
      <c r="K1924" s="16">
        <f>STANDARDIZE(F1924,'estatística'!$C$2,'estatística'!$H$2)</f>
        <v>0.2966573816</v>
      </c>
    </row>
    <row r="1925" ht="15.75" customHeight="1">
      <c r="A1925" s="9">
        <v>75.0</v>
      </c>
      <c r="B1925" s="10" t="s">
        <v>210</v>
      </c>
      <c r="C1925" s="11" t="s">
        <v>211</v>
      </c>
      <c r="D1925" s="10" t="s">
        <v>13</v>
      </c>
      <c r="E1925" s="11" t="s">
        <v>27</v>
      </c>
      <c r="F1925" s="13">
        <v>16.25</v>
      </c>
      <c r="G1925" s="14">
        <v>45277.0</v>
      </c>
      <c r="H1925" s="15">
        <f t="shared" si="1"/>
        <v>17</v>
      </c>
      <c r="I1925" s="16">
        <f t="shared" si="2"/>
        <v>12</v>
      </c>
      <c r="J1925" s="15">
        <f t="shared" si="3"/>
        <v>2023</v>
      </c>
      <c r="K1925" s="16">
        <f>STANDARDIZE(F1925,'estatística'!$C$2,'estatística'!$H$2)</f>
        <v>0.1892884274</v>
      </c>
    </row>
    <row r="1926" ht="15.75" customHeight="1">
      <c r="A1926" s="9">
        <v>24.0</v>
      </c>
      <c r="B1926" s="10" t="s">
        <v>110</v>
      </c>
      <c r="C1926" s="11" t="s">
        <v>111</v>
      </c>
      <c r="D1926" s="10" t="s">
        <v>17</v>
      </c>
      <c r="E1926" s="11" t="s">
        <v>24</v>
      </c>
      <c r="F1926" s="13">
        <v>26.5</v>
      </c>
      <c r="G1926" s="14">
        <v>45277.0</v>
      </c>
      <c r="H1926" s="15">
        <f t="shared" si="1"/>
        <v>17</v>
      </c>
      <c r="I1926" s="16">
        <f t="shared" si="2"/>
        <v>12</v>
      </c>
      <c r="J1926" s="15">
        <f t="shared" si="3"/>
        <v>2023</v>
      </c>
      <c r="K1926" s="16">
        <f>STANDARDIZE(F1926,'estatística'!$C$2,'estatística'!$H$2)</f>
        <v>0.3190681185</v>
      </c>
    </row>
    <row r="1927" ht="15.75" customHeight="1">
      <c r="A1927" s="9">
        <v>10.0</v>
      </c>
      <c r="B1927" s="10" t="s">
        <v>120</v>
      </c>
      <c r="C1927" s="11" t="s">
        <v>121</v>
      </c>
      <c r="D1927" s="10" t="s">
        <v>17</v>
      </c>
      <c r="E1927" s="11" t="s">
        <v>80</v>
      </c>
      <c r="F1927" s="13">
        <v>32.7</v>
      </c>
      <c r="G1927" s="14">
        <v>45277.0</v>
      </c>
      <c r="H1927" s="15">
        <f t="shared" si="1"/>
        <v>17</v>
      </c>
      <c r="I1927" s="16">
        <f t="shared" si="2"/>
        <v>12</v>
      </c>
      <c r="J1927" s="15">
        <f t="shared" si="3"/>
        <v>2023</v>
      </c>
      <c r="K1927" s="16">
        <f>STANDARDIZE(F1927,'estatística'!$C$2,'estatística'!$H$2)</f>
        <v>0.3975690048</v>
      </c>
    </row>
    <row r="1928" ht="15.75" customHeight="1">
      <c r="A1928" s="9">
        <v>51.0</v>
      </c>
      <c r="B1928" s="10" t="s">
        <v>205</v>
      </c>
      <c r="C1928" s="11" t="s">
        <v>206</v>
      </c>
      <c r="D1928" s="10" t="s">
        <v>13</v>
      </c>
      <c r="E1928" s="11" t="s">
        <v>62</v>
      </c>
      <c r="F1928" s="13">
        <v>11.37</v>
      </c>
      <c r="G1928" s="14">
        <v>45278.0</v>
      </c>
      <c r="H1928" s="15">
        <f t="shared" si="1"/>
        <v>18</v>
      </c>
      <c r="I1928" s="16">
        <f t="shared" si="2"/>
        <v>12</v>
      </c>
      <c r="J1928" s="15">
        <f t="shared" si="3"/>
        <v>2023</v>
      </c>
      <c r="K1928" s="16">
        <f>STANDARDIZE(F1928,'estatística'!$C$2,'estatística'!$H$2)</f>
        <v>0.1275006331</v>
      </c>
    </row>
    <row r="1929" ht="15.75" customHeight="1">
      <c r="A1929" s="9">
        <v>6.0</v>
      </c>
      <c r="B1929" s="10" t="s">
        <v>155</v>
      </c>
      <c r="C1929" s="11" t="s">
        <v>156</v>
      </c>
      <c r="D1929" s="10" t="s">
        <v>17</v>
      </c>
      <c r="E1929" s="11" t="s">
        <v>36</v>
      </c>
      <c r="F1929" s="13">
        <v>76.07</v>
      </c>
      <c r="G1929" s="14">
        <v>45278.0</v>
      </c>
      <c r="H1929" s="15">
        <f t="shared" si="1"/>
        <v>18</v>
      </c>
      <c r="I1929" s="16">
        <f t="shared" si="2"/>
        <v>12</v>
      </c>
      <c r="J1929" s="15">
        <f t="shared" si="3"/>
        <v>2023</v>
      </c>
      <c r="K1929" s="16">
        <f>STANDARDIZE(F1929,'estatística'!$C$2,'estatística'!$H$2)</f>
        <v>0.9466953659</v>
      </c>
    </row>
    <row r="1930" ht="15.75" customHeight="1">
      <c r="A1930" s="9">
        <v>75.0</v>
      </c>
      <c r="B1930" s="10" t="s">
        <v>210</v>
      </c>
      <c r="C1930" s="11" t="s">
        <v>211</v>
      </c>
      <c r="D1930" s="10" t="s">
        <v>17</v>
      </c>
      <c r="E1930" s="11" t="s">
        <v>77</v>
      </c>
      <c r="F1930" s="13">
        <v>15.72</v>
      </c>
      <c r="G1930" s="14">
        <v>45278.0</v>
      </c>
      <c r="H1930" s="15">
        <f t="shared" si="1"/>
        <v>18</v>
      </c>
      <c r="I1930" s="16">
        <f t="shared" si="2"/>
        <v>12</v>
      </c>
      <c r="J1930" s="15">
        <f t="shared" si="3"/>
        <v>2023</v>
      </c>
      <c r="K1930" s="16">
        <f>STANDARDIZE(F1930,'estatística'!$C$2,'estatística'!$H$2)</f>
        <v>0.1825778678</v>
      </c>
    </row>
    <row r="1931" ht="15.75" customHeight="1">
      <c r="A1931" s="9">
        <v>19.0</v>
      </c>
      <c r="B1931" s="10" t="s">
        <v>25</v>
      </c>
      <c r="C1931" s="11" t="s">
        <v>165</v>
      </c>
      <c r="D1931" s="10" t="s">
        <v>17</v>
      </c>
      <c r="E1931" s="11" t="s">
        <v>14</v>
      </c>
      <c r="F1931" s="13">
        <v>10.63</v>
      </c>
      <c r="G1931" s="14">
        <v>45278.0</v>
      </c>
      <c r="H1931" s="15">
        <f t="shared" si="1"/>
        <v>18</v>
      </c>
      <c r="I1931" s="16">
        <f t="shared" si="2"/>
        <v>12</v>
      </c>
      <c r="J1931" s="15">
        <f t="shared" si="3"/>
        <v>2023</v>
      </c>
      <c r="K1931" s="16">
        <f>STANDARDIZE(F1931,'estatística'!$C$2,'estatística'!$H$2)</f>
        <v>0.1181311724</v>
      </c>
    </row>
    <row r="1932" ht="15.75" customHeight="1">
      <c r="A1932" s="9">
        <v>86.0</v>
      </c>
      <c r="B1932" s="10" t="s">
        <v>40</v>
      </c>
      <c r="C1932" s="11" t="s">
        <v>41</v>
      </c>
      <c r="D1932" s="10" t="s">
        <v>13</v>
      </c>
      <c r="E1932" s="11" t="s">
        <v>39</v>
      </c>
      <c r="F1932" s="13">
        <v>45.04</v>
      </c>
      <c r="G1932" s="14">
        <v>45278.0</v>
      </c>
      <c r="H1932" s="15">
        <f t="shared" si="1"/>
        <v>18</v>
      </c>
      <c r="I1932" s="16">
        <f t="shared" si="2"/>
        <v>12</v>
      </c>
      <c r="J1932" s="15">
        <f t="shared" si="3"/>
        <v>2023</v>
      </c>
      <c r="K1932" s="16">
        <f>STANDARDIZE(F1932,'estatística'!$C$2,'estatística'!$H$2)</f>
        <v>0.5538110914</v>
      </c>
    </row>
    <row r="1933" ht="15.75" customHeight="1">
      <c r="A1933" s="9">
        <v>9.0</v>
      </c>
      <c r="B1933" s="10" t="s">
        <v>179</v>
      </c>
      <c r="C1933" s="11" t="s">
        <v>180</v>
      </c>
      <c r="D1933" s="10" t="s">
        <v>13</v>
      </c>
      <c r="E1933" s="11" t="s">
        <v>57</v>
      </c>
      <c r="F1933" s="13">
        <v>22.82</v>
      </c>
      <c r="G1933" s="14">
        <v>45278.0</v>
      </c>
      <c r="H1933" s="15">
        <f t="shared" si="1"/>
        <v>18</v>
      </c>
      <c r="I1933" s="16">
        <f t="shared" si="2"/>
        <v>12</v>
      </c>
      <c r="J1933" s="15">
        <f t="shared" si="3"/>
        <v>2023</v>
      </c>
      <c r="K1933" s="16">
        <f>STANDARDIZE(F1933,'estatística'!$C$2,'estatística'!$H$2)</f>
        <v>0.2724740441</v>
      </c>
    </row>
    <row r="1934" ht="15.75" customHeight="1">
      <c r="A1934" s="9">
        <v>97.0</v>
      </c>
      <c r="B1934" s="10" t="s">
        <v>44</v>
      </c>
      <c r="C1934" s="11" t="s">
        <v>45</v>
      </c>
      <c r="D1934" s="10" t="s">
        <v>17</v>
      </c>
      <c r="E1934" s="11" t="s">
        <v>32</v>
      </c>
      <c r="F1934" s="13">
        <v>28.01</v>
      </c>
      <c r="G1934" s="14">
        <v>45278.0</v>
      </c>
      <c r="H1934" s="15">
        <f t="shared" si="1"/>
        <v>18</v>
      </c>
      <c r="I1934" s="16">
        <f t="shared" si="2"/>
        <v>12</v>
      </c>
      <c r="J1934" s="15">
        <f t="shared" si="3"/>
        <v>2023</v>
      </c>
      <c r="K1934" s="16">
        <f>STANDARDIZE(F1934,'estatística'!$C$2,'estatística'!$H$2)</f>
        <v>0.3381868828</v>
      </c>
    </row>
    <row r="1935" ht="15.75" customHeight="1">
      <c r="A1935" s="9">
        <v>9.0</v>
      </c>
      <c r="B1935" s="10" t="s">
        <v>179</v>
      </c>
      <c r="C1935" s="11" t="s">
        <v>180</v>
      </c>
      <c r="D1935" s="10" t="s">
        <v>17</v>
      </c>
      <c r="E1935" s="11" t="s">
        <v>32</v>
      </c>
      <c r="F1935" s="13">
        <v>26.4</v>
      </c>
      <c r="G1935" s="14">
        <v>45278.0</v>
      </c>
      <c r="H1935" s="15">
        <f t="shared" si="1"/>
        <v>18</v>
      </c>
      <c r="I1935" s="16">
        <f t="shared" si="2"/>
        <v>12</v>
      </c>
      <c r="J1935" s="15">
        <f t="shared" si="3"/>
        <v>2023</v>
      </c>
      <c r="K1935" s="16">
        <f>STANDARDIZE(F1935,'estatística'!$C$2,'estatística'!$H$2)</f>
        <v>0.3178019752</v>
      </c>
    </row>
    <row r="1936" ht="15.75" customHeight="1">
      <c r="A1936" s="9">
        <v>82.0</v>
      </c>
      <c r="B1936" s="10" t="s">
        <v>203</v>
      </c>
      <c r="C1936" s="11" t="s">
        <v>204</v>
      </c>
      <c r="D1936" s="10" t="s">
        <v>13</v>
      </c>
      <c r="E1936" s="11" t="s">
        <v>14</v>
      </c>
      <c r="F1936" s="13">
        <v>10.24</v>
      </c>
      <c r="G1936" s="14">
        <v>45279.0</v>
      </c>
      <c r="H1936" s="15">
        <f t="shared" si="1"/>
        <v>19</v>
      </c>
      <c r="I1936" s="16">
        <f t="shared" si="2"/>
        <v>12</v>
      </c>
      <c r="J1936" s="15">
        <f t="shared" si="3"/>
        <v>2023</v>
      </c>
      <c r="K1936" s="16">
        <f>STANDARDIZE(F1936,'estatística'!$C$2,'estatística'!$H$2)</f>
        <v>0.1131932135</v>
      </c>
    </row>
    <row r="1937" ht="15.75" customHeight="1">
      <c r="A1937" s="9">
        <v>89.0</v>
      </c>
      <c r="B1937" s="10" t="s">
        <v>105</v>
      </c>
      <c r="C1937" s="11" t="s">
        <v>106</v>
      </c>
      <c r="D1937" s="10" t="s">
        <v>17</v>
      </c>
      <c r="E1937" s="11" t="s">
        <v>24</v>
      </c>
      <c r="F1937" s="13">
        <v>30.42</v>
      </c>
      <c r="G1937" s="14">
        <v>45279.0</v>
      </c>
      <c r="H1937" s="15">
        <f t="shared" si="1"/>
        <v>19</v>
      </c>
      <c r="I1937" s="16">
        <f t="shared" si="2"/>
        <v>12</v>
      </c>
      <c r="J1937" s="15">
        <f t="shared" si="3"/>
        <v>2023</v>
      </c>
      <c r="K1937" s="16">
        <f>STANDARDIZE(F1937,'estatística'!$C$2,'estatística'!$H$2)</f>
        <v>0.3687009369</v>
      </c>
    </row>
    <row r="1938" ht="15.75" customHeight="1">
      <c r="A1938" s="9">
        <v>3.0</v>
      </c>
      <c r="B1938" s="10" t="s">
        <v>51</v>
      </c>
      <c r="C1938" s="11" t="s">
        <v>52</v>
      </c>
      <c r="D1938" s="10" t="s">
        <v>13</v>
      </c>
      <c r="E1938" s="11" t="s">
        <v>68</v>
      </c>
      <c r="F1938" s="13">
        <v>10.53</v>
      </c>
      <c r="G1938" s="14">
        <v>45279.0</v>
      </c>
      <c r="H1938" s="15">
        <f t="shared" si="1"/>
        <v>19</v>
      </c>
      <c r="I1938" s="16">
        <f t="shared" si="2"/>
        <v>12</v>
      </c>
      <c r="J1938" s="15">
        <f t="shared" si="3"/>
        <v>2023</v>
      </c>
      <c r="K1938" s="16">
        <f>STANDARDIZE(F1938,'estatística'!$C$2,'estatística'!$H$2)</f>
        <v>0.1168650291</v>
      </c>
    </row>
    <row r="1939" ht="15.75" customHeight="1">
      <c r="A1939" s="9">
        <v>12.0</v>
      </c>
      <c r="B1939" s="10" t="s">
        <v>160</v>
      </c>
      <c r="C1939" s="11" t="s">
        <v>161</v>
      </c>
      <c r="D1939" s="10" t="s">
        <v>17</v>
      </c>
      <c r="E1939" s="11" t="s">
        <v>48</v>
      </c>
      <c r="F1939" s="13">
        <v>6.78</v>
      </c>
      <c r="G1939" s="14">
        <v>45279.0</v>
      </c>
      <c r="H1939" s="15">
        <f t="shared" si="1"/>
        <v>19</v>
      </c>
      <c r="I1939" s="16">
        <f t="shared" si="2"/>
        <v>12</v>
      </c>
      <c r="J1939" s="15">
        <f t="shared" si="3"/>
        <v>2023</v>
      </c>
      <c r="K1939" s="16">
        <f>STANDARDIZE(F1939,'estatística'!$C$2,'estatística'!$H$2)</f>
        <v>0.06938465434</v>
      </c>
    </row>
    <row r="1940" ht="15.75" customHeight="1">
      <c r="A1940" s="9">
        <v>23.0</v>
      </c>
      <c r="B1940" s="10" t="s">
        <v>207</v>
      </c>
      <c r="C1940" s="11" t="s">
        <v>208</v>
      </c>
      <c r="D1940" s="10" t="s">
        <v>13</v>
      </c>
      <c r="E1940" s="11" t="s">
        <v>32</v>
      </c>
      <c r="F1940" s="13">
        <v>23.47</v>
      </c>
      <c r="G1940" s="14">
        <v>45279.0</v>
      </c>
      <c r="H1940" s="15">
        <f t="shared" si="1"/>
        <v>19</v>
      </c>
      <c r="I1940" s="16">
        <f t="shared" si="2"/>
        <v>12</v>
      </c>
      <c r="J1940" s="15">
        <f t="shared" si="3"/>
        <v>2023</v>
      </c>
      <c r="K1940" s="16">
        <f>STANDARDIZE(F1940,'estatística'!$C$2,'estatística'!$H$2)</f>
        <v>0.2807039757</v>
      </c>
    </row>
    <row r="1941" ht="15.75" customHeight="1">
      <c r="A1941" s="9">
        <v>41.0</v>
      </c>
      <c r="B1941" s="10" t="s">
        <v>189</v>
      </c>
      <c r="C1941" s="11" t="s">
        <v>190</v>
      </c>
      <c r="D1941" s="10" t="s">
        <v>17</v>
      </c>
      <c r="E1941" s="11" t="s">
        <v>77</v>
      </c>
      <c r="F1941" s="13">
        <v>13.62</v>
      </c>
      <c r="G1941" s="14">
        <v>45279.0</v>
      </c>
      <c r="H1941" s="15">
        <f t="shared" si="1"/>
        <v>19</v>
      </c>
      <c r="I1941" s="16">
        <f t="shared" si="2"/>
        <v>12</v>
      </c>
      <c r="J1941" s="15">
        <f t="shared" si="3"/>
        <v>2023</v>
      </c>
      <c r="K1941" s="16">
        <f>STANDARDIZE(F1941,'estatística'!$C$2,'estatística'!$H$2)</f>
        <v>0.1559888579</v>
      </c>
    </row>
    <row r="1942" ht="15.75" customHeight="1">
      <c r="A1942" s="9">
        <v>19.0</v>
      </c>
      <c r="B1942" s="10" t="s">
        <v>25</v>
      </c>
      <c r="C1942" s="11" t="s">
        <v>165</v>
      </c>
      <c r="D1942" s="10" t="s">
        <v>17</v>
      </c>
      <c r="E1942" s="11" t="s">
        <v>116</v>
      </c>
      <c r="F1942" s="13">
        <v>2.93</v>
      </c>
      <c r="G1942" s="14">
        <v>45279.0</v>
      </c>
      <c r="H1942" s="15">
        <f t="shared" si="1"/>
        <v>19</v>
      </c>
      <c r="I1942" s="16">
        <f t="shared" si="2"/>
        <v>12</v>
      </c>
      <c r="J1942" s="15">
        <f t="shared" si="3"/>
        <v>2023</v>
      </c>
      <c r="K1942" s="16">
        <f>STANDARDIZE(F1942,'estatística'!$C$2,'estatística'!$H$2)</f>
        <v>0.02063813624</v>
      </c>
    </row>
    <row r="1943" ht="15.75" customHeight="1">
      <c r="A1943" s="9">
        <v>39.0</v>
      </c>
      <c r="B1943" s="10" t="s">
        <v>58</v>
      </c>
      <c r="C1943" s="11" t="s">
        <v>59</v>
      </c>
      <c r="D1943" s="10" t="s">
        <v>13</v>
      </c>
      <c r="E1943" s="11" t="s">
        <v>27</v>
      </c>
      <c r="F1943" s="13">
        <v>19.8</v>
      </c>
      <c r="G1943" s="14">
        <v>45279.0</v>
      </c>
      <c r="H1943" s="15">
        <f t="shared" si="1"/>
        <v>19</v>
      </c>
      <c r="I1943" s="16">
        <f t="shared" si="2"/>
        <v>12</v>
      </c>
      <c r="J1943" s="15">
        <f t="shared" si="3"/>
        <v>2023</v>
      </c>
      <c r="K1943" s="16">
        <f>STANDARDIZE(F1943,'estatística'!$C$2,'estatística'!$H$2)</f>
        <v>0.2342365156</v>
      </c>
    </row>
    <row r="1944" ht="15.75" customHeight="1">
      <c r="A1944" s="9">
        <v>31.0</v>
      </c>
      <c r="B1944" s="10" t="s">
        <v>201</v>
      </c>
      <c r="C1944" s="11" t="s">
        <v>202</v>
      </c>
      <c r="D1944" s="10" t="s">
        <v>17</v>
      </c>
      <c r="E1944" s="11" t="s">
        <v>91</v>
      </c>
      <c r="F1944" s="13">
        <v>4.3</v>
      </c>
      <c r="G1944" s="14">
        <v>45280.0</v>
      </c>
      <c r="H1944" s="15">
        <f t="shared" si="1"/>
        <v>20</v>
      </c>
      <c r="I1944" s="16">
        <f t="shared" si="2"/>
        <v>12</v>
      </c>
      <c r="J1944" s="15">
        <f t="shared" si="3"/>
        <v>2023</v>
      </c>
      <c r="K1944" s="16">
        <f>STANDARDIZE(F1944,'estatística'!$C$2,'estatística'!$H$2)</f>
        <v>0.03798429982</v>
      </c>
    </row>
    <row r="1945" ht="15.75" customHeight="1">
      <c r="A1945" s="9">
        <v>40.0</v>
      </c>
      <c r="B1945" s="10" t="s">
        <v>92</v>
      </c>
      <c r="C1945" s="11" t="s">
        <v>157</v>
      </c>
      <c r="D1945" s="10" t="s">
        <v>17</v>
      </c>
      <c r="E1945" s="11" t="s">
        <v>116</v>
      </c>
      <c r="F1945" s="13">
        <v>5.27</v>
      </c>
      <c r="G1945" s="14">
        <v>45280.0</v>
      </c>
      <c r="H1945" s="15">
        <f t="shared" si="1"/>
        <v>20</v>
      </c>
      <c r="I1945" s="16">
        <f t="shared" si="2"/>
        <v>12</v>
      </c>
      <c r="J1945" s="15">
        <f t="shared" si="3"/>
        <v>2023</v>
      </c>
      <c r="K1945" s="16">
        <f>STANDARDIZE(F1945,'estatística'!$C$2,'estatística'!$H$2)</f>
        <v>0.0502658901</v>
      </c>
    </row>
    <row r="1946" ht="15.75" customHeight="1">
      <c r="A1946" s="9">
        <v>41.0</v>
      </c>
      <c r="B1946" s="10" t="s">
        <v>189</v>
      </c>
      <c r="C1946" s="11" t="s">
        <v>190</v>
      </c>
      <c r="D1946" s="10" t="s">
        <v>17</v>
      </c>
      <c r="E1946" s="11" t="s">
        <v>107</v>
      </c>
      <c r="F1946" s="13">
        <v>30.9</v>
      </c>
      <c r="G1946" s="14">
        <v>45280.0</v>
      </c>
      <c r="H1946" s="15">
        <f t="shared" si="1"/>
        <v>20</v>
      </c>
      <c r="I1946" s="16">
        <f t="shared" si="2"/>
        <v>12</v>
      </c>
      <c r="J1946" s="15">
        <f t="shared" si="3"/>
        <v>2023</v>
      </c>
      <c r="K1946" s="16">
        <f>STANDARDIZE(F1946,'estatística'!$C$2,'estatística'!$H$2)</f>
        <v>0.3747784249</v>
      </c>
    </row>
    <row r="1947" ht="15.75" customHeight="1">
      <c r="A1947" s="9">
        <v>29.0</v>
      </c>
      <c r="B1947" s="10" t="s">
        <v>92</v>
      </c>
      <c r="C1947" s="11" t="s">
        <v>93</v>
      </c>
      <c r="D1947" s="10" t="s">
        <v>13</v>
      </c>
      <c r="E1947" s="11" t="s">
        <v>14</v>
      </c>
      <c r="F1947" s="13">
        <v>10.55</v>
      </c>
      <c r="G1947" s="14">
        <v>45280.0</v>
      </c>
      <c r="H1947" s="15">
        <f t="shared" si="1"/>
        <v>20</v>
      </c>
      <c r="I1947" s="16">
        <f t="shared" si="2"/>
        <v>12</v>
      </c>
      <c r="J1947" s="15">
        <f t="shared" si="3"/>
        <v>2023</v>
      </c>
      <c r="K1947" s="16">
        <f>STANDARDIZE(F1947,'estatística'!$C$2,'estatística'!$H$2)</f>
        <v>0.1171182578</v>
      </c>
    </row>
    <row r="1948" ht="15.75" customHeight="1">
      <c r="A1948" s="9">
        <v>22.0</v>
      </c>
      <c r="B1948" s="10" t="s">
        <v>101</v>
      </c>
      <c r="C1948" s="11" t="s">
        <v>102</v>
      </c>
      <c r="D1948" s="10" t="s">
        <v>13</v>
      </c>
      <c r="E1948" s="11" t="s">
        <v>21</v>
      </c>
      <c r="F1948" s="13">
        <v>12.75</v>
      </c>
      <c r="G1948" s="14">
        <v>45280.0</v>
      </c>
      <c r="H1948" s="15">
        <f t="shared" si="1"/>
        <v>20</v>
      </c>
      <c r="I1948" s="16">
        <f t="shared" si="2"/>
        <v>12</v>
      </c>
      <c r="J1948" s="15">
        <f t="shared" si="3"/>
        <v>2023</v>
      </c>
      <c r="K1948" s="16">
        <f>STANDARDIZE(F1948,'estatística'!$C$2,'estatística'!$H$2)</f>
        <v>0.144973411</v>
      </c>
    </row>
    <row r="1949" ht="15.75" customHeight="1">
      <c r="A1949" s="9">
        <v>11.0</v>
      </c>
      <c r="B1949" s="10" t="s">
        <v>199</v>
      </c>
      <c r="C1949" s="11" t="s">
        <v>200</v>
      </c>
      <c r="D1949" s="10" t="s">
        <v>13</v>
      </c>
      <c r="E1949" s="11" t="s">
        <v>39</v>
      </c>
      <c r="F1949" s="13">
        <v>43.31</v>
      </c>
      <c r="G1949" s="14">
        <v>45280.0</v>
      </c>
      <c r="H1949" s="15">
        <f t="shared" si="1"/>
        <v>20</v>
      </c>
      <c r="I1949" s="16">
        <f t="shared" si="2"/>
        <v>12</v>
      </c>
      <c r="J1949" s="15">
        <f t="shared" si="3"/>
        <v>2023</v>
      </c>
      <c r="K1949" s="16">
        <f>STANDARDIZE(F1949,'estatística'!$C$2,'estatística'!$H$2)</f>
        <v>0.5319068119</v>
      </c>
    </row>
    <row r="1950" ht="15.75" customHeight="1">
      <c r="A1950" s="9">
        <v>67.0</v>
      </c>
      <c r="B1950" s="10" t="s">
        <v>176</v>
      </c>
      <c r="C1950" s="11" t="s">
        <v>177</v>
      </c>
      <c r="D1950" s="10" t="s">
        <v>13</v>
      </c>
      <c r="E1950" s="11" t="s">
        <v>77</v>
      </c>
      <c r="F1950" s="13">
        <v>12.2</v>
      </c>
      <c r="G1950" s="14">
        <v>45280.0</v>
      </c>
      <c r="H1950" s="15">
        <f t="shared" si="1"/>
        <v>20</v>
      </c>
      <c r="I1950" s="16">
        <f t="shared" si="2"/>
        <v>12</v>
      </c>
      <c r="J1950" s="15">
        <f t="shared" si="3"/>
        <v>2023</v>
      </c>
      <c r="K1950" s="16">
        <f>STANDARDIZE(F1950,'estatística'!$C$2,'estatística'!$H$2)</f>
        <v>0.1380096227</v>
      </c>
    </row>
    <row r="1951" ht="15.75" customHeight="1">
      <c r="A1951" s="9">
        <v>9.0</v>
      </c>
      <c r="B1951" s="10" t="s">
        <v>179</v>
      </c>
      <c r="C1951" s="11" t="s">
        <v>180</v>
      </c>
      <c r="D1951" s="10" t="s">
        <v>17</v>
      </c>
      <c r="E1951" s="11" t="s">
        <v>68</v>
      </c>
      <c r="F1951" s="13">
        <v>13.07</v>
      </c>
      <c r="G1951" s="14">
        <v>45280.0</v>
      </c>
      <c r="H1951" s="15">
        <f t="shared" si="1"/>
        <v>20</v>
      </c>
      <c r="I1951" s="16">
        <f t="shared" si="2"/>
        <v>12</v>
      </c>
      <c r="J1951" s="15">
        <f t="shared" si="3"/>
        <v>2023</v>
      </c>
      <c r="K1951" s="16">
        <f>STANDARDIZE(F1951,'estatística'!$C$2,'estatística'!$H$2)</f>
        <v>0.1490250696</v>
      </c>
    </row>
    <row r="1952" ht="15.75" customHeight="1">
      <c r="A1952" s="9">
        <v>77.0</v>
      </c>
      <c r="B1952" s="10" t="s">
        <v>11</v>
      </c>
      <c r="C1952" s="11" t="s">
        <v>141</v>
      </c>
      <c r="D1952" s="10" t="s">
        <v>17</v>
      </c>
      <c r="E1952" s="11" t="s">
        <v>68</v>
      </c>
      <c r="F1952" s="13">
        <v>10.75</v>
      </c>
      <c r="G1952" s="14">
        <v>45280.0</v>
      </c>
      <c r="H1952" s="15">
        <f t="shared" si="1"/>
        <v>20</v>
      </c>
      <c r="I1952" s="16">
        <f t="shared" si="2"/>
        <v>12</v>
      </c>
      <c r="J1952" s="15">
        <f t="shared" si="3"/>
        <v>2023</v>
      </c>
      <c r="K1952" s="16">
        <f>STANDARDIZE(F1952,'estatística'!$C$2,'estatística'!$H$2)</f>
        <v>0.1196505444</v>
      </c>
    </row>
    <row r="1953" ht="15.75" customHeight="1">
      <c r="A1953" s="9">
        <v>40.0</v>
      </c>
      <c r="B1953" s="10" t="s">
        <v>92</v>
      </c>
      <c r="C1953" s="11" t="s">
        <v>157</v>
      </c>
      <c r="D1953" s="10" t="s">
        <v>17</v>
      </c>
      <c r="E1953" s="11" t="s">
        <v>77</v>
      </c>
      <c r="F1953" s="13">
        <v>13.88</v>
      </c>
      <c r="G1953" s="14">
        <v>45280.0</v>
      </c>
      <c r="H1953" s="15">
        <f t="shared" si="1"/>
        <v>20</v>
      </c>
      <c r="I1953" s="16">
        <f t="shared" si="2"/>
        <v>12</v>
      </c>
      <c r="J1953" s="15">
        <f t="shared" si="3"/>
        <v>2023</v>
      </c>
      <c r="K1953" s="16">
        <f>STANDARDIZE(F1953,'estatística'!$C$2,'estatística'!$H$2)</f>
        <v>0.1592808306</v>
      </c>
    </row>
    <row r="1954" ht="15.75" customHeight="1">
      <c r="A1954" s="9">
        <v>22.0</v>
      </c>
      <c r="B1954" s="10" t="s">
        <v>101</v>
      </c>
      <c r="C1954" s="11" t="s">
        <v>102</v>
      </c>
      <c r="D1954" s="10" t="s">
        <v>17</v>
      </c>
      <c r="E1954" s="11" t="s">
        <v>39</v>
      </c>
      <c r="F1954" s="13">
        <v>48.79</v>
      </c>
      <c r="G1954" s="14">
        <v>45281.0</v>
      </c>
      <c r="H1954" s="15">
        <f t="shared" si="1"/>
        <v>21</v>
      </c>
      <c r="I1954" s="16">
        <f t="shared" si="2"/>
        <v>12</v>
      </c>
      <c r="J1954" s="15">
        <f t="shared" si="3"/>
        <v>2023</v>
      </c>
      <c r="K1954" s="16">
        <f>STANDARDIZE(F1954,'estatística'!$C$2,'estatística'!$H$2)</f>
        <v>0.6012914662</v>
      </c>
    </row>
    <row r="1955" ht="15.75" customHeight="1">
      <c r="A1955" s="9">
        <v>43.0</v>
      </c>
      <c r="B1955" s="10" t="s">
        <v>63</v>
      </c>
      <c r="C1955" s="11" t="s">
        <v>64</v>
      </c>
      <c r="D1955" s="10" t="s">
        <v>17</v>
      </c>
      <c r="E1955" s="11" t="s">
        <v>77</v>
      </c>
      <c r="F1955" s="13">
        <v>16.61</v>
      </c>
      <c r="G1955" s="14">
        <v>45281.0</v>
      </c>
      <c r="H1955" s="15">
        <f t="shared" si="1"/>
        <v>21</v>
      </c>
      <c r="I1955" s="16">
        <f t="shared" si="2"/>
        <v>12</v>
      </c>
      <c r="J1955" s="15">
        <f t="shared" si="3"/>
        <v>2023</v>
      </c>
      <c r="K1955" s="16">
        <f>STANDARDIZE(F1955,'estatística'!$C$2,'estatística'!$H$2)</f>
        <v>0.1938465434</v>
      </c>
    </row>
    <row r="1956" ht="15.75" customHeight="1">
      <c r="A1956" s="9">
        <v>56.0</v>
      </c>
      <c r="B1956" s="10" t="s">
        <v>97</v>
      </c>
      <c r="C1956" s="11" t="s">
        <v>98</v>
      </c>
      <c r="D1956" s="10" t="s">
        <v>17</v>
      </c>
      <c r="E1956" s="11" t="s">
        <v>65</v>
      </c>
      <c r="F1956" s="13">
        <v>30.08</v>
      </c>
      <c r="G1956" s="14">
        <v>45281.0</v>
      </c>
      <c r="H1956" s="15">
        <f t="shared" si="1"/>
        <v>21</v>
      </c>
      <c r="I1956" s="16">
        <f t="shared" si="2"/>
        <v>12</v>
      </c>
      <c r="J1956" s="15">
        <f t="shared" si="3"/>
        <v>2023</v>
      </c>
      <c r="K1956" s="16">
        <f>STANDARDIZE(F1956,'estatística'!$C$2,'estatística'!$H$2)</f>
        <v>0.3643960496</v>
      </c>
    </row>
    <row r="1957" ht="15.75" customHeight="1">
      <c r="A1957" s="9">
        <v>14.0</v>
      </c>
      <c r="B1957" s="10" t="s">
        <v>143</v>
      </c>
      <c r="C1957" s="11" t="s">
        <v>144</v>
      </c>
      <c r="D1957" s="10" t="s">
        <v>17</v>
      </c>
      <c r="E1957" s="11" t="s">
        <v>29</v>
      </c>
      <c r="F1957" s="13">
        <v>14.2</v>
      </c>
      <c r="G1957" s="14">
        <v>45281.0</v>
      </c>
      <c r="H1957" s="15">
        <f t="shared" si="1"/>
        <v>21</v>
      </c>
      <c r="I1957" s="16">
        <f t="shared" si="2"/>
        <v>12</v>
      </c>
      <c r="J1957" s="15">
        <f t="shared" si="3"/>
        <v>2023</v>
      </c>
      <c r="K1957" s="16">
        <f>STANDARDIZE(F1957,'estatística'!$C$2,'estatística'!$H$2)</f>
        <v>0.1633324892</v>
      </c>
    </row>
    <row r="1958" ht="15.75" customHeight="1">
      <c r="A1958" s="9">
        <v>97.0</v>
      </c>
      <c r="B1958" s="10" t="s">
        <v>44</v>
      </c>
      <c r="C1958" s="11" t="s">
        <v>45</v>
      </c>
      <c r="D1958" s="10" t="s">
        <v>13</v>
      </c>
      <c r="E1958" s="11" t="s">
        <v>18</v>
      </c>
      <c r="F1958" s="13">
        <v>54.18</v>
      </c>
      <c r="G1958" s="14">
        <v>45281.0</v>
      </c>
      <c r="H1958" s="15">
        <f t="shared" si="1"/>
        <v>21</v>
      </c>
      <c r="I1958" s="16">
        <f t="shared" si="2"/>
        <v>12</v>
      </c>
      <c r="J1958" s="15">
        <f t="shared" si="3"/>
        <v>2023</v>
      </c>
      <c r="K1958" s="16">
        <f>STANDARDIZE(F1958,'estatística'!$C$2,'estatística'!$H$2)</f>
        <v>0.6695365915</v>
      </c>
    </row>
    <row r="1959" ht="15.75" customHeight="1">
      <c r="A1959" s="9">
        <v>57.0</v>
      </c>
      <c r="B1959" s="10" t="s">
        <v>60</v>
      </c>
      <c r="C1959" s="11" t="s">
        <v>162</v>
      </c>
      <c r="D1959" s="10" t="s">
        <v>13</v>
      </c>
      <c r="E1959" s="11" t="s">
        <v>18</v>
      </c>
      <c r="F1959" s="13">
        <v>37.35</v>
      </c>
      <c r="G1959" s="14">
        <v>45281.0</v>
      </c>
      <c r="H1959" s="15">
        <f t="shared" si="1"/>
        <v>21</v>
      </c>
      <c r="I1959" s="16">
        <f t="shared" si="2"/>
        <v>12</v>
      </c>
      <c r="J1959" s="15">
        <f t="shared" si="3"/>
        <v>2023</v>
      </c>
      <c r="K1959" s="16">
        <f>STANDARDIZE(F1959,'estatística'!$C$2,'estatística'!$H$2)</f>
        <v>0.4564446695</v>
      </c>
    </row>
    <row r="1960" ht="15.75" customHeight="1">
      <c r="A1960" s="9">
        <v>10.0</v>
      </c>
      <c r="B1960" s="10" t="s">
        <v>120</v>
      </c>
      <c r="C1960" s="11" t="s">
        <v>121</v>
      </c>
      <c r="D1960" s="10" t="s">
        <v>13</v>
      </c>
      <c r="E1960" s="11" t="s">
        <v>68</v>
      </c>
      <c r="F1960" s="13">
        <v>14.58</v>
      </c>
      <c r="G1960" s="14">
        <v>45281.0</v>
      </c>
      <c r="H1960" s="15">
        <f t="shared" si="1"/>
        <v>21</v>
      </c>
      <c r="I1960" s="16">
        <f t="shared" si="2"/>
        <v>12</v>
      </c>
      <c r="J1960" s="15">
        <f t="shared" si="3"/>
        <v>2023</v>
      </c>
      <c r="K1960" s="16">
        <f>STANDARDIZE(F1960,'estatística'!$C$2,'estatística'!$H$2)</f>
        <v>0.1681438339</v>
      </c>
    </row>
    <row r="1961" ht="15.75" customHeight="1">
      <c r="A1961" s="9">
        <v>78.0</v>
      </c>
      <c r="B1961" s="10" t="s">
        <v>15</v>
      </c>
      <c r="C1961" s="11" t="s">
        <v>16</v>
      </c>
      <c r="D1961" s="10" t="s">
        <v>13</v>
      </c>
      <c r="E1961" s="11" t="s">
        <v>29</v>
      </c>
      <c r="F1961" s="13">
        <v>12.28</v>
      </c>
      <c r="G1961" s="14">
        <v>45281.0</v>
      </c>
      <c r="H1961" s="15">
        <f t="shared" si="1"/>
        <v>21</v>
      </c>
      <c r="I1961" s="16">
        <f t="shared" si="2"/>
        <v>12</v>
      </c>
      <c r="J1961" s="15">
        <f t="shared" si="3"/>
        <v>2023</v>
      </c>
      <c r="K1961" s="16">
        <f>STANDARDIZE(F1961,'estatística'!$C$2,'estatística'!$H$2)</f>
        <v>0.1390225374</v>
      </c>
    </row>
    <row r="1962" ht="15.75" customHeight="1">
      <c r="A1962" s="9">
        <v>1.0</v>
      </c>
      <c r="B1962" s="10" t="s">
        <v>166</v>
      </c>
      <c r="C1962" s="11" t="s">
        <v>167</v>
      </c>
      <c r="D1962" s="10" t="s">
        <v>17</v>
      </c>
      <c r="E1962" s="11" t="s">
        <v>32</v>
      </c>
      <c r="F1962" s="13">
        <v>24.51</v>
      </c>
      <c r="G1962" s="14">
        <v>45281.0</v>
      </c>
      <c r="H1962" s="15">
        <f t="shared" si="1"/>
        <v>21</v>
      </c>
      <c r="I1962" s="16">
        <f t="shared" si="2"/>
        <v>12</v>
      </c>
      <c r="J1962" s="15">
        <f t="shared" si="3"/>
        <v>2023</v>
      </c>
      <c r="K1962" s="16">
        <f>STANDARDIZE(F1962,'estatística'!$C$2,'estatística'!$H$2)</f>
        <v>0.2938718663</v>
      </c>
    </row>
    <row r="1963" ht="15.75" customHeight="1">
      <c r="A1963" s="9">
        <v>22.0</v>
      </c>
      <c r="B1963" s="10" t="s">
        <v>101</v>
      </c>
      <c r="C1963" s="11" t="s">
        <v>102</v>
      </c>
      <c r="D1963" s="10" t="s">
        <v>13</v>
      </c>
      <c r="E1963" s="11" t="s">
        <v>36</v>
      </c>
      <c r="F1963" s="13">
        <v>69.69</v>
      </c>
      <c r="G1963" s="14">
        <v>45281.0</v>
      </c>
      <c r="H1963" s="15">
        <f t="shared" si="1"/>
        <v>21</v>
      </c>
      <c r="I1963" s="16">
        <f t="shared" si="2"/>
        <v>12</v>
      </c>
      <c r="J1963" s="15">
        <f t="shared" si="3"/>
        <v>2023</v>
      </c>
      <c r="K1963" s="16">
        <f>STANDARDIZE(F1963,'estatística'!$C$2,'estatística'!$H$2)</f>
        <v>0.8659154216</v>
      </c>
    </row>
    <row r="1964" ht="15.75" customHeight="1">
      <c r="A1964" s="9">
        <v>21.0</v>
      </c>
      <c r="B1964" s="10" t="s">
        <v>158</v>
      </c>
      <c r="C1964" s="11" t="s">
        <v>159</v>
      </c>
      <c r="D1964" s="10" t="s">
        <v>17</v>
      </c>
      <c r="E1964" s="11" t="s">
        <v>57</v>
      </c>
      <c r="F1964" s="13">
        <v>17.51</v>
      </c>
      <c r="G1964" s="14">
        <v>45282.0</v>
      </c>
      <c r="H1964" s="15">
        <f t="shared" si="1"/>
        <v>22</v>
      </c>
      <c r="I1964" s="16">
        <f t="shared" si="2"/>
        <v>12</v>
      </c>
      <c r="J1964" s="15">
        <f t="shared" si="3"/>
        <v>2023</v>
      </c>
      <c r="K1964" s="16">
        <f>STANDARDIZE(F1964,'estatística'!$C$2,'estatística'!$H$2)</f>
        <v>0.2052418334</v>
      </c>
    </row>
    <row r="1965" ht="15.75" customHeight="1">
      <c r="A1965" s="9">
        <v>91.0</v>
      </c>
      <c r="B1965" s="10" t="s">
        <v>81</v>
      </c>
      <c r="C1965" s="11" t="s">
        <v>82</v>
      </c>
      <c r="D1965" s="10" t="s">
        <v>13</v>
      </c>
      <c r="E1965" s="11" t="s">
        <v>27</v>
      </c>
      <c r="F1965" s="13">
        <v>13.85</v>
      </c>
      <c r="G1965" s="14">
        <v>45282.0</v>
      </c>
      <c r="H1965" s="15">
        <f t="shared" si="1"/>
        <v>22</v>
      </c>
      <c r="I1965" s="16">
        <f t="shared" si="2"/>
        <v>12</v>
      </c>
      <c r="J1965" s="15">
        <f t="shared" si="3"/>
        <v>2023</v>
      </c>
      <c r="K1965" s="16">
        <f>STANDARDIZE(F1965,'estatística'!$C$2,'estatística'!$H$2)</f>
        <v>0.1589009876</v>
      </c>
    </row>
    <row r="1966" ht="15.75" customHeight="1">
      <c r="A1966" s="9">
        <v>33.0</v>
      </c>
      <c r="B1966" s="10" t="s">
        <v>163</v>
      </c>
      <c r="C1966" s="11" t="s">
        <v>164</v>
      </c>
      <c r="D1966" s="10" t="s">
        <v>13</v>
      </c>
      <c r="E1966" s="11" t="s">
        <v>107</v>
      </c>
      <c r="F1966" s="13">
        <v>28.67</v>
      </c>
      <c r="G1966" s="14">
        <v>45282.0</v>
      </c>
      <c r="H1966" s="15">
        <f t="shared" si="1"/>
        <v>22</v>
      </c>
      <c r="I1966" s="16">
        <f t="shared" si="2"/>
        <v>12</v>
      </c>
      <c r="J1966" s="15">
        <f t="shared" si="3"/>
        <v>2023</v>
      </c>
      <c r="K1966" s="16">
        <f>STANDARDIZE(F1966,'estatística'!$C$2,'estatística'!$H$2)</f>
        <v>0.3465434287</v>
      </c>
    </row>
    <row r="1967" ht="15.75" customHeight="1">
      <c r="A1967" s="9">
        <v>11.0</v>
      </c>
      <c r="B1967" s="10" t="s">
        <v>199</v>
      </c>
      <c r="C1967" s="11" t="s">
        <v>200</v>
      </c>
      <c r="D1967" s="10" t="s">
        <v>13</v>
      </c>
      <c r="E1967" s="11" t="s">
        <v>21</v>
      </c>
      <c r="F1967" s="13">
        <v>14.74</v>
      </c>
      <c r="G1967" s="14">
        <v>45283.0</v>
      </c>
      <c r="H1967" s="15">
        <f t="shared" si="1"/>
        <v>23</v>
      </c>
      <c r="I1967" s="16">
        <f t="shared" si="2"/>
        <v>12</v>
      </c>
      <c r="J1967" s="15">
        <f t="shared" si="3"/>
        <v>2023</v>
      </c>
      <c r="K1967" s="16">
        <f>STANDARDIZE(F1967,'estatística'!$C$2,'estatística'!$H$2)</f>
        <v>0.1701696632</v>
      </c>
    </row>
    <row r="1968" ht="15.75" customHeight="1">
      <c r="A1968" s="9">
        <v>100.0</v>
      </c>
      <c r="B1968" s="10" t="s">
        <v>30</v>
      </c>
      <c r="C1968" s="11" t="s">
        <v>31</v>
      </c>
      <c r="D1968" s="10" t="s">
        <v>17</v>
      </c>
      <c r="E1968" s="11" t="s">
        <v>57</v>
      </c>
      <c r="F1968" s="13">
        <v>18.33</v>
      </c>
      <c r="G1968" s="14">
        <v>45283.0</v>
      </c>
      <c r="H1968" s="15">
        <f t="shared" si="1"/>
        <v>23</v>
      </c>
      <c r="I1968" s="16">
        <f t="shared" si="2"/>
        <v>12</v>
      </c>
      <c r="J1968" s="15">
        <f t="shared" si="3"/>
        <v>2023</v>
      </c>
      <c r="K1968" s="16">
        <f>STANDARDIZE(F1968,'estatística'!$C$2,'estatística'!$H$2)</f>
        <v>0.2156242087</v>
      </c>
    </row>
    <row r="1969" ht="15.75" customHeight="1">
      <c r="A1969" s="9">
        <v>93.0</v>
      </c>
      <c r="B1969" s="10" t="s">
        <v>99</v>
      </c>
      <c r="C1969" s="11" t="s">
        <v>100</v>
      </c>
      <c r="D1969" s="10" t="s">
        <v>17</v>
      </c>
      <c r="E1969" s="11" t="s">
        <v>33</v>
      </c>
      <c r="F1969" s="13">
        <v>56.92</v>
      </c>
      <c r="G1969" s="14">
        <v>45283.0</v>
      </c>
      <c r="H1969" s="15">
        <f t="shared" si="1"/>
        <v>23</v>
      </c>
      <c r="I1969" s="16">
        <f t="shared" si="2"/>
        <v>12</v>
      </c>
      <c r="J1969" s="15">
        <f t="shared" si="3"/>
        <v>2023</v>
      </c>
      <c r="K1969" s="16">
        <f>STANDARDIZE(F1969,'estatística'!$C$2,'estatística'!$H$2)</f>
        <v>0.7042289187</v>
      </c>
    </row>
    <row r="1970" ht="15.75" customHeight="1">
      <c r="A1970" s="9">
        <v>34.0</v>
      </c>
      <c r="B1970" s="10" t="s">
        <v>149</v>
      </c>
      <c r="C1970" s="11" t="s">
        <v>150</v>
      </c>
      <c r="D1970" s="10" t="s">
        <v>13</v>
      </c>
      <c r="E1970" s="11" t="s">
        <v>27</v>
      </c>
      <c r="F1970" s="13">
        <v>18.37</v>
      </c>
      <c r="G1970" s="14">
        <v>45283.0</v>
      </c>
      <c r="H1970" s="15">
        <f t="shared" si="1"/>
        <v>23</v>
      </c>
      <c r="I1970" s="16">
        <f t="shared" si="2"/>
        <v>12</v>
      </c>
      <c r="J1970" s="15">
        <f t="shared" si="3"/>
        <v>2023</v>
      </c>
      <c r="K1970" s="16">
        <f>STANDARDIZE(F1970,'estatística'!$C$2,'estatística'!$H$2)</f>
        <v>0.216130666</v>
      </c>
    </row>
    <row r="1971" ht="15.75" customHeight="1">
      <c r="A1971" s="9">
        <v>76.0</v>
      </c>
      <c r="B1971" s="10" t="s">
        <v>185</v>
      </c>
      <c r="C1971" s="11" t="s">
        <v>186</v>
      </c>
      <c r="D1971" s="10" t="s">
        <v>17</v>
      </c>
      <c r="E1971" s="11" t="s">
        <v>57</v>
      </c>
      <c r="F1971" s="13">
        <v>15.16</v>
      </c>
      <c r="G1971" s="14">
        <v>45283.0</v>
      </c>
      <c r="H1971" s="15">
        <f t="shared" si="1"/>
        <v>23</v>
      </c>
      <c r="I1971" s="16">
        <f t="shared" si="2"/>
        <v>12</v>
      </c>
      <c r="J1971" s="15">
        <f t="shared" si="3"/>
        <v>2023</v>
      </c>
      <c r="K1971" s="16">
        <f>STANDARDIZE(F1971,'estatística'!$C$2,'estatística'!$H$2)</f>
        <v>0.1754874652</v>
      </c>
    </row>
    <row r="1972" ht="15.75" customHeight="1">
      <c r="A1972" s="9">
        <v>69.0</v>
      </c>
      <c r="B1972" s="10" t="s">
        <v>75</v>
      </c>
      <c r="C1972" s="11" t="s">
        <v>117</v>
      </c>
      <c r="D1972" s="10" t="s">
        <v>13</v>
      </c>
      <c r="E1972" s="11" t="s">
        <v>80</v>
      </c>
      <c r="F1972" s="13">
        <v>37.22</v>
      </c>
      <c r="G1972" s="14">
        <v>45283.0</v>
      </c>
      <c r="H1972" s="15">
        <f t="shared" si="1"/>
        <v>23</v>
      </c>
      <c r="I1972" s="16">
        <f t="shared" si="2"/>
        <v>12</v>
      </c>
      <c r="J1972" s="15">
        <f t="shared" si="3"/>
        <v>2023</v>
      </c>
      <c r="K1972" s="16">
        <f>STANDARDIZE(F1972,'estatística'!$C$2,'estatística'!$H$2)</f>
        <v>0.4547986832</v>
      </c>
    </row>
    <row r="1973" ht="15.75" customHeight="1">
      <c r="A1973" s="9">
        <v>83.0</v>
      </c>
      <c r="B1973" s="10" t="s">
        <v>66</v>
      </c>
      <c r="C1973" s="11" t="s">
        <v>67</v>
      </c>
      <c r="D1973" s="10" t="s">
        <v>17</v>
      </c>
      <c r="E1973" s="11" t="s">
        <v>36</v>
      </c>
      <c r="F1973" s="13">
        <v>60.53</v>
      </c>
      <c r="G1973" s="14">
        <v>45283.0</v>
      </c>
      <c r="H1973" s="15">
        <f t="shared" si="1"/>
        <v>23</v>
      </c>
      <c r="I1973" s="16">
        <f t="shared" si="2"/>
        <v>12</v>
      </c>
      <c r="J1973" s="15">
        <f t="shared" si="3"/>
        <v>2023</v>
      </c>
      <c r="K1973" s="16">
        <f>STANDARDIZE(F1973,'estatística'!$C$2,'estatística'!$H$2)</f>
        <v>0.7499366928</v>
      </c>
    </row>
    <row r="1974" ht="15.75" customHeight="1">
      <c r="A1974" s="9">
        <v>6.0</v>
      </c>
      <c r="B1974" s="10" t="s">
        <v>155</v>
      </c>
      <c r="C1974" s="11" t="s">
        <v>156</v>
      </c>
      <c r="D1974" s="10" t="s">
        <v>17</v>
      </c>
      <c r="E1974" s="11" t="s">
        <v>24</v>
      </c>
      <c r="F1974" s="13">
        <v>39.31</v>
      </c>
      <c r="G1974" s="14">
        <v>45284.0</v>
      </c>
      <c r="H1974" s="15">
        <f t="shared" si="1"/>
        <v>24</v>
      </c>
      <c r="I1974" s="16">
        <f t="shared" si="2"/>
        <v>12</v>
      </c>
      <c r="J1974" s="15">
        <f t="shared" si="3"/>
        <v>2023</v>
      </c>
      <c r="K1974" s="16">
        <f>STANDARDIZE(F1974,'estatística'!$C$2,'estatística'!$H$2)</f>
        <v>0.4812610788</v>
      </c>
    </row>
    <row r="1975" ht="15.75" customHeight="1">
      <c r="A1975" s="9">
        <v>37.0</v>
      </c>
      <c r="B1975" s="10" t="s">
        <v>217</v>
      </c>
      <c r="C1975" s="11" t="s">
        <v>218</v>
      </c>
      <c r="D1975" s="10" t="s">
        <v>17</v>
      </c>
      <c r="E1975" s="11" t="s">
        <v>18</v>
      </c>
      <c r="F1975" s="13">
        <v>43.82</v>
      </c>
      <c r="G1975" s="14">
        <v>45284.0</v>
      </c>
      <c r="H1975" s="15">
        <f t="shared" si="1"/>
        <v>24</v>
      </c>
      <c r="I1975" s="16">
        <f t="shared" si="2"/>
        <v>12</v>
      </c>
      <c r="J1975" s="15">
        <f t="shared" si="3"/>
        <v>2023</v>
      </c>
      <c r="K1975" s="16">
        <f>STANDARDIZE(F1975,'estatística'!$C$2,'estatística'!$H$2)</f>
        <v>0.5383641428</v>
      </c>
    </row>
    <row r="1976" ht="15.75" customHeight="1">
      <c r="A1976" s="9">
        <v>38.0</v>
      </c>
      <c r="B1976" s="10" t="s">
        <v>85</v>
      </c>
      <c r="C1976" s="11" t="s">
        <v>86</v>
      </c>
      <c r="D1976" s="10" t="s">
        <v>13</v>
      </c>
      <c r="E1976" s="11" t="s">
        <v>62</v>
      </c>
      <c r="F1976" s="13">
        <v>11.37</v>
      </c>
      <c r="G1976" s="14">
        <v>45284.0</v>
      </c>
      <c r="H1976" s="15">
        <f t="shared" si="1"/>
        <v>24</v>
      </c>
      <c r="I1976" s="16">
        <f t="shared" si="2"/>
        <v>12</v>
      </c>
      <c r="J1976" s="15">
        <f t="shared" si="3"/>
        <v>2023</v>
      </c>
      <c r="K1976" s="16">
        <f>STANDARDIZE(F1976,'estatística'!$C$2,'estatística'!$H$2)</f>
        <v>0.1275006331</v>
      </c>
    </row>
    <row r="1977" ht="15.75" customHeight="1">
      <c r="A1977" s="9">
        <v>47.0</v>
      </c>
      <c r="B1977" s="10" t="s">
        <v>89</v>
      </c>
      <c r="C1977" s="11" t="s">
        <v>90</v>
      </c>
      <c r="D1977" s="10" t="s">
        <v>13</v>
      </c>
      <c r="E1977" s="11" t="s">
        <v>18</v>
      </c>
      <c r="F1977" s="13">
        <v>38.98</v>
      </c>
      <c r="G1977" s="14">
        <v>45284.0</v>
      </c>
      <c r="H1977" s="15">
        <f t="shared" si="1"/>
        <v>24</v>
      </c>
      <c r="I1977" s="16">
        <f t="shared" si="2"/>
        <v>12</v>
      </c>
      <c r="J1977" s="15">
        <f t="shared" si="3"/>
        <v>2023</v>
      </c>
      <c r="K1977" s="16">
        <f>STANDARDIZE(F1977,'estatística'!$C$2,'estatística'!$H$2)</f>
        <v>0.4770828058</v>
      </c>
    </row>
    <row r="1978" ht="15.75" customHeight="1">
      <c r="A1978" s="9">
        <v>58.0</v>
      </c>
      <c r="B1978" s="10" t="s">
        <v>137</v>
      </c>
      <c r="C1978" s="11" t="s">
        <v>138</v>
      </c>
      <c r="D1978" s="10" t="s">
        <v>13</v>
      </c>
      <c r="E1978" s="11" t="s">
        <v>65</v>
      </c>
      <c r="F1978" s="13">
        <v>29.46</v>
      </c>
      <c r="G1978" s="14">
        <v>45284.0</v>
      </c>
      <c r="H1978" s="15">
        <f t="shared" si="1"/>
        <v>24</v>
      </c>
      <c r="I1978" s="16">
        <f t="shared" si="2"/>
        <v>12</v>
      </c>
      <c r="J1978" s="15">
        <f t="shared" si="3"/>
        <v>2023</v>
      </c>
      <c r="K1978" s="16">
        <f>STANDARDIZE(F1978,'estatística'!$C$2,'estatística'!$H$2)</f>
        <v>0.356545961</v>
      </c>
    </row>
    <row r="1979" ht="15.75" customHeight="1">
      <c r="A1979" s="9">
        <v>85.0</v>
      </c>
      <c r="B1979" s="10" t="s">
        <v>170</v>
      </c>
      <c r="C1979" s="11" t="s">
        <v>171</v>
      </c>
      <c r="D1979" s="10" t="s">
        <v>17</v>
      </c>
      <c r="E1979" s="11" t="s">
        <v>62</v>
      </c>
      <c r="F1979" s="13">
        <v>11.9</v>
      </c>
      <c r="G1979" s="14">
        <v>45284.0</v>
      </c>
      <c r="H1979" s="15">
        <f t="shared" si="1"/>
        <v>24</v>
      </c>
      <c r="I1979" s="16">
        <f t="shared" si="2"/>
        <v>12</v>
      </c>
      <c r="J1979" s="15">
        <f t="shared" si="3"/>
        <v>2023</v>
      </c>
      <c r="K1979" s="16">
        <f>STANDARDIZE(F1979,'estatística'!$C$2,'estatística'!$H$2)</f>
        <v>0.1342111927</v>
      </c>
    </row>
    <row r="1980" ht="15.75" customHeight="1">
      <c r="A1980" s="9">
        <v>94.0</v>
      </c>
      <c r="B1980" s="10" t="s">
        <v>179</v>
      </c>
      <c r="C1980" s="11" t="s">
        <v>209</v>
      </c>
      <c r="D1980" s="10" t="s">
        <v>17</v>
      </c>
      <c r="E1980" s="11" t="s">
        <v>18</v>
      </c>
      <c r="F1980" s="13">
        <v>37.16</v>
      </c>
      <c r="G1980" s="14">
        <v>45285.0</v>
      </c>
      <c r="H1980" s="15">
        <f t="shared" si="1"/>
        <v>25</v>
      </c>
      <c r="I1980" s="16">
        <f t="shared" si="2"/>
        <v>12</v>
      </c>
      <c r="J1980" s="15">
        <f t="shared" si="3"/>
        <v>2023</v>
      </c>
      <c r="K1980" s="16">
        <f>STANDARDIZE(F1980,'estatística'!$C$2,'estatística'!$H$2)</f>
        <v>0.4540389972</v>
      </c>
    </row>
    <row r="1981" ht="15.75" customHeight="1">
      <c r="A1981" s="9">
        <v>44.0</v>
      </c>
      <c r="B1981" s="10" t="s">
        <v>187</v>
      </c>
      <c r="C1981" s="11" t="s">
        <v>188</v>
      </c>
      <c r="D1981" s="10" t="s">
        <v>13</v>
      </c>
      <c r="E1981" s="11" t="s">
        <v>24</v>
      </c>
      <c r="F1981" s="13">
        <v>34.92</v>
      </c>
      <c r="G1981" s="14">
        <v>45285.0</v>
      </c>
      <c r="H1981" s="15">
        <f t="shared" si="1"/>
        <v>25</v>
      </c>
      <c r="I1981" s="16">
        <f t="shared" si="2"/>
        <v>12</v>
      </c>
      <c r="J1981" s="15">
        <f t="shared" si="3"/>
        <v>2023</v>
      </c>
      <c r="K1981" s="16">
        <f>STANDARDIZE(F1981,'estatística'!$C$2,'estatística'!$H$2)</f>
        <v>0.4256773867</v>
      </c>
    </row>
    <row r="1982" ht="15.75" customHeight="1">
      <c r="A1982" s="9">
        <v>100.0</v>
      </c>
      <c r="B1982" s="10" t="s">
        <v>30</v>
      </c>
      <c r="C1982" s="11" t="s">
        <v>31</v>
      </c>
      <c r="D1982" s="10" t="s">
        <v>17</v>
      </c>
      <c r="E1982" s="11" t="s">
        <v>107</v>
      </c>
      <c r="F1982" s="13">
        <v>30.03</v>
      </c>
      <c r="G1982" s="14">
        <v>45286.0</v>
      </c>
      <c r="H1982" s="15">
        <f t="shared" si="1"/>
        <v>26</v>
      </c>
      <c r="I1982" s="16">
        <f t="shared" si="2"/>
        <v>12</v>
      </c>
      <c r="J1982" s="15">
        <f t="shared" si="3"/>
        <v>2023</v>
      </c>
      <c r="K1982" s="16">
        <f>STANDARDIZE(F1982,'estatística'!$C$2,'estatística'!$H$2)</f>
        <v>0.363762978</v>
      </c>
    </row>
    <row r="1983" ht="15.75" customHeight="1">
      <c r="A1983" s="9">
        <v>60.0</v>
      </c>
      <c r="B1983" s="10" t="s">
        <v>42</v>
      </c>
      <c r="C1983" s="11" t="s">
        <v>43</v>
      </c>
      <c r="D1983" s="10" t="s">
        <v>17</v>
      </c>
      <c r="E1983" s="11" t="s">
        <v>29</v>
      </c>
      <c r="F1983" s="13">
        <v>12.59</v>
      </c>
      <c r="G1983" s="14">
        <v>45286.0</v>
      </c>
      <c r="H1983" s="15">
        <f t="shared" si="1"/>
        <v>26</v>
      </c>
      <c r="I1983" s="16">
        <f t="shared" si="2"/>
        <v>12</v>
      </c>
      <c r="J1983" s="15">
        <f t="shared" si="3"/>
        <v>2023</v>
      </c>
      <c r="K1983" s="16">
        <f>STANDARDIZE(F1983,'estatística'!$C$2,'estatística'!$H$2)</f>
        <v>0.1429475817</v>
      </c>
    </row>
    <row r="1984" ht="15.75" customHeight="1">
      <c r="A1984" s="9">
        <v>26.0</v>
      </c>
      <c r="B1984" s="10" t="s">
        <v>183</v>
      </c>
      <c r="C1984" s="11" t="s">
        <v>184</v>
      </c>
      <c r="D1984" s="10" t="s">
        <v>17</v>
      </c>
      <c r="E1984" s="11" t="s">
        <v>36</v>
      </c>
      <c r="F1984" s="13">
        <v>63.09</v>
      </c>
      <c r="G1984" s="14">
        <v>45286.0</v>
      </c>
      <c r="H1984" s="15">
        <f t="shared" si="1"/>
        <v>26</v>
      </c>
      <c r="I1984" s="16">
        <f t="shared" si="2"/>
        <v>12</v>
      </c>
      <c r="J1984" s="15">
        <f t="shared" si="3"/>
        <v>2023</v>
      </c>
      <c r="K1984" s="16">
        <f>STANDARDIZE(F1984,'estatística'!$C$2,'estatística'!$H$2)</f>
        <v>0.782349962</v>
      </c>
    </row>
    <row r="1985" ht="15.75" customHeight="1">
      <c r="A1985" s="9">
        <v>50.0</v>
      </c>
      <c r="B1985" s="10" t="s">
        <v>19</v>
      </c>
      <c r="C1985" s="11" t="s">
        <v>20</v>
      </c>
      <c r="D1985" s="10" t="s">
        <v>17</v>
      </c>
      <c r="E1985" s="11" t="s">
        <v>36</v>
      </c>
      <c r="F1985" s="13">
        <v>64.66</v>
      </c>
      <c r="G1985" s="14">
        <v>45286.0</v>
      </c>
      <c r="H1985" s="15">
        <f t="shared" si="1"/>
        <v>26</v>
      </c>
      <c r="I1985" s="16">
        <f t="shared" si="2"/>
        <v>12</v>
      </c>
      <c r="J1985" s="15">
        <f t="shared" si="3"/>
        <v>2023</v>
      </c>
      <c r="K1985" s="16">
        <f>STANDARDIZE(F1985,'estatística'!$C$2,'estatística'!$H$2)</f>
        <v>0.8022284123</v>
      </c>
    </row>
    <row r="1986" ht="15.75" customHeight="1">
      <c r="A1986" s="9">
        <v>7.0</v>
      </c>
      <c r="B1986" s="10" t="s">
        <v>83</v>
      </c>
      <c r="C1986" s="11" t="s">
        <v>84</v>
      </c>
      <c r="D1986" s="10" t="s">
        <v>13</v>
      </c>
      <c r="E1986" s="11" t="s">
        <v>62</v>
      </c>
      <c r="F1986" s="13">
        <v>12.15</v>
      </c>
      <c r="G1986" s="14">
        <v>45286.0</v>
      </c>
      <c r="H1986" s="15">
        <f t="shared" si="1"/>
        <v>26</v>
      </c>
      <c r="I1986" s="16">
        <f t="shared" si="2"/>
        <v>12</v>
      </c>
      <c r="J1986" s="15">
        <f t="shared" si="3"/>
        <v>2023</v>
      </c>
      <c r="K1986" s="16">
        <f>STANDARDIZE(F1986,'estatística'!$C$2,'estatística'!$H$2)</f>
        <v>0.137376551</v>
      </c>
    </row>
    <row r="1987" ht="15.75" customHeight="1">
      <c r="A1987" s="9">
        <v>89.0</v>
      </c>
      <c r="B1987" s="10" t="s">
        <v>105</v>
      </c>
      <c r="C1987" s="11" t="s">
        <v>106</v>
      </c>
      <c r="D1987" s="10" t="s">
        <v>17</v>
      </c>
      <c r="E1987" s="11" t="s">
        <v>57</v>
      </c>
      <c r="F1987" s="13">
        <v>22.9</v>
      </c>
      <c r="G1987" s="14">
        <v>45286.0</v>
      </c>
      <c r="H1987" s="15">
        <f t="shared" si="1"/>
        <v>26</v>
      </c>
      <c r="I1987" s="16">
        <f t="shared" si="2"/>
        <v>12</v>
      </c>
      <c r="J1987" s="15">
        <f t="shared" si="3"/>
        <v>2023</v>
      </c>
      <c r="K1987" s="16">
        <f>STANDARDIZE(F1987,'estatística'!$C$2,'estatística'!$H$2)</f>
        <v>0.2734869587</v>
      </c>
    </row>
    <row r="1988" ht="15.75" customHeight="1">
      <c r="A1988" s="9">
        <v>43.0</v>
      </c>
      <c r="B1988" s="10" t="s">
        <v>63</v>
      </c>
      <c r="C1988" s="11" t="s">
        <v>64</v>
      </c>
      <c r="D1988" s="10" t="s">
        <v>13</v>
      </c>
      <c r="E1988" s="11" t="s">
        <v>107</v>
      </c>
      <c r="F1988" s="13">
        <v>25.54</v>
      </c>
      <c r="G1988" s="14">
        <v>45286.0</v>
      </c>
      <c r="H1988" s="15">
        <f t="shared" si="1"/>
        <v>26</v>
      </c>
      <c r="I1988" s="16">
        <f t="shared" si="2"/>
        <v>12</v>
      </c>
      <c r="J1988" s="15">
        <f t="shared" si="3"/>
        <v>2023</v>
      </c>
      <c r="K1988" s="16">
        <f>STANDARDIZE(F1988,'estatística'!$C$2,'estatística'!$H$2)</f>
        <v>0.3069131426</v>
      </c>
    </row>
    <row r="1989" ht="15.75" customHeight="1">
      <c r="A1989" s="9">
        <v>89.0</v>
      </c>
      <c r="B1989" s="10" t="s">
        <v>105</v>
      </c>
      <c r="C1989" s="11" t="s">
        <v>106</v>
      </c>
      <c r="D1989" s="10" t="s">
        <v>13</v>
      </c>
      <c r="E1989" s="11" t="s">
        <v>68</v>
      </c>
      <c r="F1989" s="13">
        <v>12.82</v>
      </c>
      <c r="G1989" s="14">
        <v>45286.0</v>
      </c>
      <c r="H1989" s="15">
        <f t="shared" si="1"/>
        <v>26</v>
      </c>
      <c r="I1989" s="16">
        <f t="shared" si="2"/>
        <v>12</v>
      </c>
      <c r="J1989" s="15">
        <f t="shared" si="3"/>
        <v>2023</v>
      </c>
      <c r="K1989" s="16">
        <f>STANDARDIZE(F1989,'estatística'!$C$2,'estatística'!$H$2)</f>
        <v>0.1458597113</v>
      </c>
    </row>
    <row r="1990" ht="15.75" customHeight="1">
      <c r="A1990" s="9">
        <v>17.0</v>
      </c>
      <c r="B1990" s="10" t="s">
        <v>172</v>
      </c>
      <c r="C1990" s="11" t="s">
        <v>173</v>
      </c>
      <c r="D1990" s="10" t="s">
        <v>17</v>
      </c>
      <c r="E1990" s="11" t="s">
        <v>80</v>
      </c>
      <c r="F1990" s="13">
        <v>36.75</v>
      </c>
      <c r="G1990" s="14">
        <v>45286.0</v>
      </c>
      <c r="H1990" s="15">
        <f t="shared" si="1"/>
        <v>26</v>
      </c>
      <c r="I1990" s="16">
        <f t="shared" si="2"/>
        <v>12</v>
      </c>
      <c r="J1990" s="15">
        <f t="shared" si="3"/>
        <v>2023</v>
      </c>
      <c r="K1990" s="16">
        <f>STANDARDIZE(F1990,'estatística'!$C$2,'estatística'!$H$2)</f>
        <v>0.4488478096</v>
      </c>
    </row>
    <row r="1991" ht="15.75" customHeight="1">
      <c r="A1991" s="9">
        <v>11.0</v>
      </c>
      <c r="B1991" s="10" t="s">
        <v>199</v>
      </c>
      <c r="C1991" s="11" t="s">
        <v>200</v>
      </c>
      <c r="D1991" s="10" t="s">
        <v>17</v>
      </c>
      <c r="E1991" s="11" t="s">
        <v>65</v>
      </c>
      <c r="F1991" s="13">
        <v>29.02</v>
      </c>
      <c r="G1991" s="14">
        <v>45286.0</v>
      </c>
      <c r="H1991" s="15">
        <f t="shared" si="1"/>
        <v>26</v>
      </c>
      <c r="I1991" s="16">
        <f t="shared" si="2"/>
        <v>12</v>
      </c>
      <c r="J1991" s="15">
        <f t="shared" si="3"/>
        <v>2023</v>
      </c>
      <c r="K1991" s="16">
        <f>STANDARDIZE(F1991,'estatística'!$C$2,'estatística'!$H$2)</f>
        <v>0.3509749304</v>
      </c>
    </row>
    <row r="1992" ht="15.75" customHeight="1">
      <c r="A1992" s="9">
        <v>48.0</v>
      </c>
      <c r="B1992" s="10" t="s">
        <v>25</v>
      </c>
      <c r="C1992" s="11" t="s">
        <v>28</v>
      </c>
      <c r="D1992" s="10" t="s">
        <v>17</v>
      </c>
      <c r="E1992" s="11" t="s">
        <v>48</v>
      </c>
      <c r="F1992" s="13">
        <v>12.3</v>
      </c>
      <c r="G1992" s="14">
        <v>45286.0</v>
      </c>
      <c r="H1992" s="15">
        <f t="shared" si="1"/>
        <v>26</v>
      </c>
      <c r="I1992" s="16">
        <f t="shared" si="2"/>
        <v>12</v>
      </c>
      <c r="J1992" s="15">
        <f t="shared" si="3"/>
        <v>2023</v>
      </c>
      <c r="K1992" s="16">
        <f>STANDARDIZE(F1992,'estatística'!$C$2,'estatística'!$H$2)</f>
        <v>0.139275766</v>
      </c>
    </row>
    <row r="1993" ht="15.75" customHeight="1">
      <c r="A1993" s="9">
        <v>56.0</v>
      </c>
      <c r="B1993" s="10" t="s">
        <v>97</v>
      </c>
      <c r="C1993" s="11" t="s">
        <v>98</v>
      </c>
      <c r="D1993" s="10" t="s">
        <v>17</v>
      </c>
      <c r="E1993" s="11" t="s">
        <v>24</v>
      </c>
      <c r="F1993" s="13">
        <v>27.73</v>
      </c>
      <c r="G1993" s="14">
        <v>45287.0</v>
      </c>
      <c r="H1993" s="15">
        <f t="shared" si="1"/>
        <v>27</v>
      </c>
      <c r="I1993" s="16">
        <f t="shared" si="2"/>
        <v>12</v>
      </c>
      <c r="J1993" s="15">
        <f t="shared" si="3"/>
        <v>2023</v>
      </c>
      <c r="K1993" s="16">
        <f>STANDARDIZE(F1993,'estatística'!$C$2,'estatística'!$H$2)</f>
        <v>0.3346416814</v>
      </c>
    </row>
    <row r="1994" ht="15.75" customHeight="1">
      <c r="A1994" s="9">
        <v>55.0</v>
      </c>
      <c r="B1994" s="10" t="s">
        <v>174</v>
      </c>
      <c r="C1994" s="11" t="s">
        <v>175</v>
      </c>
      <c r="D1994" s="10" t="s">
        <v>13</v>
      </c>
      <c r="E1994" s="11" t="s">
        <v>33</v>
      </c>
      <c r="F1994" s="13">
        <v>67.79</v>
      </c>
      <c r="G1994" s="14">
        <v>45287.0</v>
      </c>
      <c r="H1994" s="15">
        <f t="shared" si="1"/>
        <v>27</v>
      </c>
      <c r="I1994" s="16">
        <f t="shared" si="2"/>
        <v>12</v>
      </c>
      <c r="J1994" s="15">
        <f t="shared" si="3"/>
        <v>2023</v>
      </c>
      <c r="K1994" s="16">
        <f>STANDARDIZE(F1994,'estatística'!$C$2,'estatística'!$H$2)</f>
        <v>0.8418586984</v>
      </c>
    </row>
    <row r="1995" ht="15.75" customHeight="1">
      <c r="A1995" s="9">
        <v>50.0</v>
      </c>
      <c r="B1995" s="10" t="s">
        <v>19</v>
      </c>
      <c r="C1995" s="11" t="s">
        <v>20</v>
      </c>
      <c r="D1995" s="10" t="s">
        <v>17</v>
      </c>
      <c r="E1995" s="11" t="s">
        <v>14</v>
      </c>
      <c r="F1995" s="13">
        <v>10.33</v>
      </c>
      <c r="G1995" s="14">
        <v>45287.0</v>
      </c>
      <c r="H1995" s="15">
        <f t="shared" si="1"/>
        <v>27</v>
      </c>
      <c r="I1995" s="16">
        <f t="shared" si="2"/>
        <v>12</v>
      </c>
      <c r="J1995" s="15">
        <f t="shared" si="3"/>
        <v>2023</v>
      </c>
      <c r="K1995" s="16">
        <f>STANDARDIZE(F1995,'estatística'!$C$2,'estatística'!$H$2)</f>
        <v>0.1143327425</v>
      </c>
    </row>
    <row r="1996" ht="15.75" customHeight="1">
      <c r="A1996" s="9">
        <v>43.0</v>
      </c>
      <c r="B1996" s="10" t="s">
        <v>63</v>
      </c>
      <c r="C1996" s="11" t="s">
        <v>64</v>
      </c>
      <c r="D1996" s="10" t="s">
        <v>13</v>
      </c>
      <c r="E1996" s="11" t="s">
        <v>36</v>
      </c>
      <c r="F1996" s="13">
        <v>70.68</v>
      </c>
      <c r="G1996" s="14">
        <v>45287.0</v>
      </c>
      <c r="H1996" s="15">
        <f t="shared" si="1"/>
        <v>27</v>
      </c>
      <c r="I1996" s="16">
        <f t="shared" si="2"/>
        <v>12</v>
      </c>
      <c r="J1996" s="15">
        <f t="shared" si="3"/>
        <v>2023</v>
      </c>
      <c r="K1996" s="16">
        <f>STANDARDIZE(F1996,'estatística'!$C$2,'estatística'!$H$2)</f>
        <v>0.8784502406</v>
      </c>
    </row>
    <row r="1997" ht="15.75" customHeight="1">
      <c r="A1997" s="9">
        <v>67.0</v>
      </c>
      <c r="B1997" s="10" t="s">
        <v>176</v>
      </c>
      <c r="C1997" s="11" t="s">
        <v>177</v>
      </c>
      <c r="D1997" s="10" t="s">
        <v>13</v>
      </c>
      <c r="E1997" s="11" t="s">
        <v>77</v>
      </c>
      <c r="F1997" s="13">
        <v>12.95</v>
      </c>
      <c r="G1997" s="14">
        <v>45287.0</v>
      </c>
      <c r="H1997" s="15">
        <f t="shared" si="1"/>
        <v>27</v>
      </c>
      <c r="I1997" s="16">
        <f t="shared" si="2"/>
        <v>12</v>
      </c>
      <c r="J1997" s="15">
        <f t="shared" si="3"/>
        <v>2023</v>
      </c>
      <c r="K1997" s="16">
        <f>STANDARDIZE(F1997,'estatística'!$C$2,'estatística'!$H$2)</f>
        <v>0.1475056976</v>
      </c>
    </row>
    <row r="1998" ht="15.75" customHeight="1">
      <c r="A1998" s="9">
        <v>85.0</v>
      </c>
      <c r="B1998" s="10" t="s">
        <v>170</v>
      </c>
      <c r="C1998" s="11" t="s">
        <v>171</v>
      </c>
      <c r="D1998" s="10" t="s">
        <v>13</v>
      </c>
      <c r="E1998" s="11" t="s">
        <v>65</v>
      </c>
      <c r="F1998" s="13">
        <v>36.95</v>
      </c>
      <c r="G1998" s="14">
        <v>45288.0</v>
      </c>
      <c r="H1998" s="15">
        <f t="shared" si="1"/>
        <v>28</v>
      </c>
      <c r="I1998" s="16">
        <f t="shared" si="2"/>
        <v>12</v>
      </c>
      <c r="J1998" s="15">
        <f t="shared" si="3"/>
        <v>2023</v>
      </c>
      <c r="K1998" s="16">
        <f>STANDARDIZE(F1998,'estatística'!$C$2,'estatística'!$H$2)</f>
        <v>0.4513800962</v>
      </c>
    </row>
    <row r="1999" ht="15.75" customHeight="1">
      <c r="A1999" s="9">
        <v>17.0</v>
      </c>
      <c r="B1999" s="10" t="s">
        <v>172</v>
      </c>
      <c r="C1999" s="11" t="s">
        <v>173</v>
      </c>
      <c r="D1999" s="10" t="s">
        <v>17</v>
      </c>
      <c r="E1999" s="11" t="s">
        <v>27</v>
      </c>
      <c r="F1999" s="13">
        <v>18.44</v>
      </c>
      <c r="G1999" s="14">
        <v>45288.0</v>
      </c>
      <c r="H1999" s="15">
        <f t="shared" si="1"/>
        <v>28</v>
      </c>
      <c r="I1999" s="16">
        <f t="shared" si="2"/>
        <v>12</v>
      </c>
      <c r="J1999" s="15">
        <f t="shared" si="3"/>
        <v>2023</v>
      </c>
      <c r="K1999" s="16">
        <f>STANDARDIZE(F1999,'estatística'!$C$2,'estatística'!$H$2)</f>
        <v>0.2170169663</v>
      </c>
    </row>
    <row r="2000" ht="15.75" customHeight="1">
      <c r="A2000" s="9">
        <v>35.0</v>
      </c>
      <c r="B2000" s="10" t="s">
        <v>95</v>
      </c>
      <c r="C2000" s="11" t="s">
        <v>96</v>
      </c>
      <c r="D2000" s="10" t="s">
        <v>17</v>
      </c>
      <c r="E2000" s="11" t="s">
        <v>80</v>
      </c>
      <c r="F2000" s="13">
        <v>41.7</v>
      </c>
      <c r="G2000" s="14">
        <v>45288.0</v>
      </c>
      <c r="H2000" s="15">
        <f t="shared" si="1"/>
        <v>28</v>
      </c>
      <c r="I2000" s="16">
        <f t="shared" si="2"/>
        <v>12</v>
      </c>
      <c r="J2000" s="15">
        <f t="shared" si="3"/>
        <v>2023</v>
      </c>
      <c r="K2000" s="16">
        <f>STANDARDIZE(F2000,'estatística'!$C$2,'estatística'!$H$2)</f>
        <v>0.5115219043</v>
      </c>
    </row>
    <row r="2001" ht="15.75" customHeight="1">
      <c r="A2001" s="9">
        <v>33.0</v>
      </c>
      <c r="B2001" s="10" t="s">
        <v>163</v>
      </c>
      <c r="C2001" s="11" t="s">
        <v>164</v>
      </c>
      <c r="D2001" s="10" t="s">
        <v>13</v>
      </c>
      <c r="E2001" s="11" t="s">
        <v>21</v>
      </c>
      <c r="F2001" s="13">
        <v>20.52</v>
      </c>
      <c r="G2001" s="14">
        <v>45288.0</v>
      </c>
      <c r="H2001" s="15">
        <f t="shared" si="1"/>
        <v>28</v>
      </c>
      <c r="I2001" s="16">
        <f t="shared" si="2"/>
        <v>12</v>
      </c>
      <c r="J2001" s="15">
        <f t="shared" si="3"/>
        <v>2023</v>
      </c>
      <c r="K2001" s="16">
        <f>STANDARDIZE(F2001,'estatística'!$C$2,'estatística'!$H$2)</f>
        <v>0.2433527475</v>
      </c>
    </row>
    <row r="2002" ht="15.75" customHeight="1">
      <c r="A2002" s="19"/>
      <c r="F2002" s="18"/>
      <c r="G2002" s="20"/>
    </row>
    <row r="2003" ht="15.75" customHeight="1">
      <c r="A2003" s="19"/>
      <c r="F2003" s="18"/>
      <c r="G2003" s="20"/>
    </row>
  </sheetData>
  <autoFilter ref="$A$1:$K$2001"/>
  <customSheetViews>
    <customSheetView guid="{D718D4ED-1EBF-47E8-9517-701740D3DC63}" filter="1" showAutoFilter="1">
      <autoFilter ref="$A$1:$K$2001">
        <filterColumn colId="3">
          <filters>
            <filter val="Venda"/>
          </filters>
        </filterColumn>
      </autoFilter>
    </customSheetView>
    <customSheetView guid="{8CD6AE66-8E1F-4F43-8727-6FCE41D565DE}" filter="1" showAutoFilter="1">
      <autoFilter ref="$A$1:$K$2001">
        <filterColumn colId="3">
          <filters>
            <filter val="Compra"/>
          </filters>
        </filterColumn>
      </autoFilter>
    </customSheetView>
    <customSheetView guid="{5B0A98C8-E1CB-4A86-AC2A-F46B73ACB4F4}" filter="1" showAutoFilter="1">
      <autoFilter ref="$A$1:$K$2001">
        <filterColumn colId="2">
          <filters>
            <filter val="gabriela.pereira87@exemplo.com"/>
          </filters>
        </filterColumn>
        <filterColumn colId="4">
          <filters>
            <filter val="HAPV3"/>
            <filter val="PETR4"/>
            <filter val="JBSS3"/>
            <filter val="MGLU3"/>
            <filter val="ITUB4"/>
            <filter val="SANB11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88"/>
    <col customWidth="1" min="3" max="3" width="14.38"/>
    <col customWidth="1" min="4" max="4" width="14.75"/>
    <col customWidth="1" min="5" max="5" width="13.38"/>
    <col customWidth="1" min="6" max="6" width="15.25"/>
    <col customWidth="1" min="7" max="7" width="13.0"/>
    <col customWidth="1" min="8" max="8" width="15.38"/>
    <col customWidth="1" min="9" max="9" width="15.5"/>
    <col customWidth="1" min="10" max="10" width="19.25"/>
    <col customWidth="1" min="11" max="11" width="7.38"/>
    <col customWidth="1" min="12" max="12" width="18.0"/>
    <col customWidth="1" min="13" max="13" width="28.63"/>
  </cols>
  <sheetData>
    <row r="1" ht="22.5" customHeight="1">
      <c r="A1" s="21" t="s">
        <v>219</v>
      </c>
      <c r="B1" s="21" t="s">
        <v>220</v>
      </c>
      <c r="C1" s="21" t="s">
        <v>221</v>
      </c>
      <c r="D1" s="21" t="s">
        <v>222</v>
      </c>
      <c r="E1" s="21" t="s">
        <v>223</v>
      </c>
      <c r="F1" s="21" t="s">
        <v>224</v>
      </c>
      <c r="G1" s="21" t="s">
        <v>225</v>
      </c>
      <c r="H1" s="21" t="s">
        <v>226</v>
      </c>
      <c r="I1" s="21" t="s">
        <v>227</v>
      </c>
      <c r="J1" s="21" t="s">
        <v>228</v>
      </c>
      <c r="K1" s="22"/>
      <c r="L1" s="21" t="s">
        <v>229</v>
      </c>
      <c r="M1" s="21" t="s">
        <v>230</v>
      </c>
    </row>
    <row r="2" ht="22.5" customHeight="1">
      <c r="A2" s="23"/>
      <c r="B2" s="23">
        <f>SUM(mercado_acoes!F:F)</f>
        <v>50905.24</v>
      </c>
      <c r="C2" s="23">
        <f>MIN(mercado_acoes!F:F)</f>
        <v>1.3</v>
      </c>
      <c r="D2" s="23">
        <f>MAX(mercado_acoes!F:F)</f>
        <v>80.28</v>
      </c>
      <c r="E2" s="23">
        <f>AVERAGE(mercado_acoes!F:F)</f>
        <v>25.45262</v>
      </c>
      <c r="F2" s="23">
        <f>MEDIAN(mercado_acoes!F:F)</f>
        <v>19.245</v>
      </c>
      <c r="G2" s="24">
        <f>MODE(mercado_acoes!F:F)</f>
        <v>10.71</v>
      </c>
      <c r="H2" s="23">
        <f>Estatísticas[máximo]-Estatísticas[mínimo]</f>
        <v>78.98</v>
      </c>
      <c r="I2" s="24">
        <f>VAR(mercado_acoes!F:F)</f>
        <v>328.6490598</v>
      </c>
      <c r="J2" s="25">
        <f>STDEV(mercado_acoes!F:F)</f>
        <v>18.12868059</v>
      </c>
      <c r="K2" s="26"/>
      <c r="L2" s="21" t="s">
        <v>231</v>
      </c>
      <c r="M2" s="27">
        <v>78.0</v>
      </c>
    </row>
    <row r="3" ht="22.5" customHeight="1">
      <c r="A3" s="28"/>
      <c r="B3" s="28"/>
      <c r="C3" s="28"/>
      <c r="D3" s="28"/>
      <c r="E3" s="28"/>
      <c r="F3" s="28"/>
      <c r="G3" s="28"/>
      <c r="H3" s="28"/>
      <c r="I3" s="28"/>
      <c r="J3" s="22"/>
      <c r="K3" s="28"/>
      <c r="L3" s="21" t="s">
        <v>232</v>
      </c>
      <c r="M3" s="29" t="str">
        <f>VLOOKUP(M2,mercado_acoes!A:C,3,0)</f>
        <v>gabriela.mendes90@exemplo.com</v>
      </c>
    </row>
    <row r="4" ht="22.5" customHeight="1">
      <c r="A4" s="28"/>
      <c r="B4" s="28"/>
      <c r="C4" s="28"/>
      <c r="D4" s="28"/>
      <c r="E4" s="28"/>
      <c r="F4" s="28"/>
      <c r="G4" s="28"/>
      <c r="H4" s="28"/>
      <c r="I4" s="28"/>
      <c r="J4" s="22"/>
      <c r="K4" s="28"/>
      <c r="L4" s="21" t="s">
        <v>233</v>
      </c>
      <c r="M4" s="29" t="str">
        <f>VLOOKUP(M2,mercado_acoes!A:B,2,0)</f>
        <v>Gabriela Mendes</v>
      </c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>
      <c r="A7" s="28"/>
      <c r="B7" s="30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31"/>
      <c r="K8" s="28"/>
      <c r="L8" s="28"/>
      <c r="M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</row>
  </sheetData>
  <dataValidations>
    <dataValidation type="custom" allowBlank="1" showDropDown="1" sqref="B2:J2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88"/>
    <col customWidth="1" min="2" max="2" width="28.88"/>
    <col customWidth="1" min="3" max="3" width="18.38"/>
    <col customWidth="1" min="4" max="4" width="20.5"/>
    <col customWidth="1" min="5" max="5" width="31.38"/>
  </cols>
  <sheetData>
    <row r="1" ht="22.5" customHeight="1">
      <c r="A1" s="21" t="s">
        <v>229</v>
      </c>
      <c r="B1" s="27" t="s">
        <v>230</v>
      </c>
      <c r="C1" s="28"/>
      <c r="D1" s="32" t="s">
        <v>229</v>
      </c>
      <c r="E1" s="33" t="s">
        <v>230</v>
      </c>
    </row>
    <row r="2" ht="22.5" customHeight="1">
      <c r="A2" s="21" t="s">
        <v>231</v>
      </c>
      <c r="B2" s="27">
        <v>78.0</v>
      </c>
      <c r="C2" s="28"/>
      <c r="D2" s="34" t="s">
        <v>234</v>
      </c>
      <c r="E2" s="35" t="s">
        <v>12</v>
      </c>
    </row>
    <row r="3" ht="22.5" customHeight="1">
      <c r="A3" s="21" t="s">
        <v>232</v>
      </c>
      <c r="B3" s="29" t="str">
        <f>VLOOKUP(B2,mercado_acoes!A:C,3,0)</f>
        <v>gabriela.mendes90@exemplo.com</v>
      </c>
      <c r="C3" s="28"/>
      <c r="D3" s="34" t="s">
        <v>235</v>
      </c>
      <c r="E3" s="35">
        <f>COUNTIF(mercado_acoes!C:C,E2)</f>
        <v>20</v>
      </c>
    </row>
    <row r="4" ht="22.5" customHeight="1">
      <c r="A4" s="21" t="s">
        <v>233</v>
      </c>
      <c r="B4" s="29" t="str">
        <f>VLOOKUP(B2,mercado_acoes!A:B,2,0)</f>
        <v>Gabriela Mendes</v>
      </c>
      <c r="C4" s="28"/>
      <c r="D4" s="34" t="s">
        <v>236</v>
      </c>
      <c r="E4" s="35">
        <f>SUMIF(mercado_acoes!C:C,E2,mercado_acoes!F:F)</f>
        <v>431.4</v>
      </c>
    </row>
    <row r="5" ht="22.5" customHeight="1">
      <c r="A5" s="22"/>
      <c r="B5" s="28"/>
      <c r="C5" s="28"/>
      <c r="D5" s="34" t="s">
        <v>237</v>
      </c>
      <c r="E5" s="35">
        <f>AVERAGEIF(mercado_acoes!C:C,E2,mercado_acoes!F:F)</f>
        <v>21.57</v>
      </c>
    </row>
    <row r="6" ht="22.5" customHeight="1">
      <c r="A6" s="22"/>
      <c r="B6" s="28"/>
      <c r="C6" s="28"/>
      <c r="D6" s="34" t="s">
        <v>238</v>
      </c>
      <c r="E6" s="35" t="str">
        <f>IF(E3&gt;=20,"Agressivo",IF(AND(E3&gt;5,E3&lt;19),"Moderado","Conservador"))</f>
        <v>Agressivo</v>
      </c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  <row r="28">
      <c r="A28" s="28"/>
      <c r="B28" s="28"/>
      <c r="C28" s="28"/>
      <c r="D28" s="28"/>
      <c r="E28" s="28"/>
    </row>
    <row r="29">
      <c r="A29" s="28"/>
      <c r="B29" s="28"/>
      <c r="C29" s="28"/>
      <c r="D29" s="28"/>
      <c r="E29" s="28"/>
    </row>
    <row r="30">
      <c r="A30" s="28"/>
      <c r="B30" s="28"/>
      <c r="C30" s="28"/>
      <c r="D30" s="28"/>
      <c r="E30" s="28"/>
    </row>
    <row r="31">
      <c r="A31" s="28"/>
      <c r="B31" s="28"/>
      <c r="C31" s="28"/>
      <c r="D31" s="28"/>
      <c r="E31" s="28"/>
    </row>
    <row r="32">
      <c r="A32" s="28"/>
      <c r="B32" s="28"/>
      <c r="C32" s="28"/>
      <c r="D32" s="28"/>
      <c r="E32" s="28"/>
    </row>
    <row r="33">
      <c r="A33" s="28"/>
      <c r="B33" s="28"/>
      <c r="C33" s="28"/>
      <c r="D33" s="28"/>
      <c r="E33" s="28"/>
    </row>
    <row r="34">
      <c r="A34" s="28"/>
      <c r="B34" s="28"/>
      <c r="C34" s="28"/>
      <c r="D34" s="28"/>
      <c r="E34" s="28"/>
    </row>
    <row r="35">
      <c r="A35" s="28"/>
      <c r="B35" s="28"/>
      <c r="C35" s="28"/>
      <c r="D35" s="28"/>
      <c r="E35" s="28"/>
    </row>
    <row r="36">
      <c r="A36" s="28"/>
      <c r="B36" s="28"/>
      <c r="C36" s="28"/>
      <c r="D36" s="28"/>
      <c r="E36" s="28"/>
    </row>
    <row r="37">
      <c r="A37" s="28"/>
      <c r="B37" s="28"/>
      <c r="C37" s="28"/>
      <c r="D37" s="28"/>
      <c r="E37" s="28"/>
    </row>
    <row r="38">
      <c r="A38" s="28"/>
      <c r="B38" s="28"/>
      <c r="C38" s="28"/>
      <c r="D38" s="28"/>
      <c r="E38" s="28"/>
    </row>
    <row r="39">
      <c r="A39" s="28"/>
      <c r="B39" s="28"/>
      <c r="C39" s="28"/>
      <c r="D39" s="28"/>
      <c r="E39" s="28"/>
    </row>
    <row r="40">
      <c r="A40" s="28"/>
      <c r="B40" s="28"/>
      <c r="C40" s="28"/>
      <c r="D40" s="28"/>
      <c r="E40" s="28"/>
    </row>
    <row r="41">
      <c r="A41" s="28"/>
      <c r="B41" s="28"/>
      <c r="C41" s="28"/>
      <c r="D41" s="28"/>
      <c r="E41" s="28"/>
    </row>
    <row r="42">
      <c r="A42" s="28"/>
      <c r="B42" s="28"/>
      <c r="C42" s="28"/>
      <c r="D42" s="28"/>
      <c r="E42" s="28"/>
    </row>
    <row r="43">
      <c r="A43" s="28"/>
      <c r="B43" s="28"/>
      <c r="C43" s="28"/>
      <c r="D43" s="28"/>
      <c r="E43" s="28"/>
    </row>
    <row r="44">
      <c r="A44" s="28"/>
      <c r="B44" s="28"/>
      <c r="C44" s="28"/>
      <c r="D44" s="28"/>
      <c r="E44" s="28"/>
    </row>
    <row r="45">
      <c r="A45" s="28"/>
      <c r="B45" s="28"/>
      <c r="C45" s="28"/>
      <c r="D45" s="28"/>
      <c r="E45" s="28"/>
    </row>
    <row r="46">
      <c r="A46" s="28"/>
      <c r="B46" s="28"/>
      <c r="C46" s="28"/>
      <c r="D46" s="28"/>
      <c r="E46" s="28"/>
    </row>
    <row r="47">
      <c r="A47" s="28"/>
      <c r="B47" s="28"/>
      <c r="C47" s="28"/>
      <c r="D47" s="28"/>
      <c r="E47" s="28"/>
    </row>
    <row r="48">
      <c r="A48" s="28"/>
      <c r="B48" s="28"/>
      <c r="C48" s="28"/>
      <c r="D48" s="28"/>
      <c r="E48" s="28"/>
    </row>
    <row r="49">
      <c r="A49" s="28"/>
      <c r="B49" s="28"/>
      <c r="C49" s="28"/>
      <c r="D49" s="28"/>
      <c r="E49" s="28"/>
    </row>
    <row r="50">
      <c r="A50" s="28"/>
      <c r="B50" s="28"/>
      <c r="C50" s="28"/>
      <c r="D50" s="28"/>
      <c r="E50" s="28"/>
    </row>
    <row r="51">
      <c r="A51" s="28"/>
      <c r="B51" s="28"/>
      <c r="C51" s="28"/>
      <c r="D51" s="28"/>
      <c r="E51" s="28"/>
    </row>
    <row r="52">
      <c r="A52" s="28"/>
      <c r="B52" s="28"/>
      <c r="C52" s="28"/>
      <c r="D52" s="28"/>
      <c r="E52" s="28"/>
    </row>
    <row r="53">
      <c r="A53" s="28"/>
      <c r="B53" s="28"/>
      <c r="C53" s="28"/>
      <c r="D53" s="28"/>
      <c r="E53" s="28"/>
    </row>
    <row r="54">
      <c r="A54" s="28"/>
      <c r="B54" s="28"/>
      <c r="C54" s="28"/>
      <c r="D54" s="28"/>
      <c r="E54" s="28"/>
    </row>
    <row r="55">
      <c r="A55" s="28"/>
      <c r="B55" s="28"/>
      <c r="C55" s="28"/>
      <c r="D55" s="28"/>
      <c r="E55" s="28"/>
    </row>
    <row r="56">
      <c r="A56" s="28"/>
      <c r="B56" s="28"/>
      <c r="C56" s="28"/>
      <c r="D56" s="28"/>
      <c r="E56" s="28"/>
    </row>
    <row r="57">
      <c r="A57" s="28"/>
      <c r="B57" s="28"/>
      <c r="C57" s="28"/>
      <c r="D57" s="28"/>
      <c r="E57" s="28"/>
    </row>
    <row r="58">
      <c r="A58" s="28"/>
      <c r="B58" s="28"/>
      <c r="C58" s="28"/>
      <c r="D58" s="28"/>
      <c r="E58" s="28"/>
    </row>
    <row r="59">
      <c r="A59" s="28"/>
      <c r="B59" s="28"/>
      <c r="C59" s="28"/>
      <c r="D59" s="28"/>
      <c r="E59" s="28"/>
    </row>
    <row r="60">
      <c r="A60" s="28"/>
      <c r="B60" s="28"/>
      <c r="C60" s="28"/>
      <c r="D60" s="28"/>
      <c r="E60" s="28"/>
    </row>
    <row r="61">
      <c r="A61" s="28"/>
      <c r="B61" s="28"/>
      <c r="C61" s="28"/>
      <c r="D61" s="28"/>
      <c r="E61" s="28"/>
    </row>
    <row r="62">
      <c r="A62" s="28"/>
      <c r="B62" s="28"/>
      <c r="C62" s="28"/>
      <c r="D62" s="28"/>
      <c r="E62" s="28"/>
    </row>
    <row r="63">
      <c r="A63" s="28"/>
      <c r="B63" s="28"/>
      <c r="C63" s="28"/>
      <c r="D63" s="28"/>
      <c r="E63" s="28"/>
    </row>
    <row r="64">
      <c r="A64" s="28"/>
      <c r="B64" s="28"/>
      <c r="C64" s="28"/>
      <c r="D64" s="28"/>
      <c r="E64" s="28"/>
    </row>
    <row r="65">
      <c r="A65" s="28"/>
      <c r="B65" s="28"/>
      <c r="C65" s="28"/>
      <c r="D65" s="28"/>
      <c r="E65" s="28"/>
    </row>
    <row r="66">
      <c r="A66" s="28"/>
      <c r="B66" s="28"/>
      <c r="C66" s="28"/>
      <c r="D66" s="28"/>
      <c r="E66" s="28"/>
    </row>
    <row r="67">
      <c r="A67" s="28"/>
      <c r="B67" s="28"/>
      <c r="C67" s="28"/>
      <c r="D67" s="28"/>
      <c r="E67" s="28"/>
    </row>
    <row r="68">
      <c r="A68" s="28"/>
      <c r="B68" s="28"/>
      <c r="C68" s="28"/>
      <c r="D68" s="28"/>
      <c r="E68" s="28"/>
    </row>
    <row r="69">
      <c r="A69" s="28"/>
      <c r="B69" s="28"/>
      <c r="C69" s="28"/>
      <c r="D69" s="28"/>
      <c r="E69" s="28"/>
    </row>
    <row r="70">
      <c r="A70" s="28"/>
      <c r="B70" s="28"/>
      <c r="C70" s="28"/>
      <c r="D70" s="28"/>
      <c r="E70" s="28"/>
    </row>
    <row r="71">
      <c r="A71" s="28"/>
      <c r="B71" s="28"/>
      <c r="C71" s="28"/>
      <c r="D71" s="28"/>
      <c r="E71" s="28"/>
    </row>
    <row r="72">
      <c r="A72" s="28"/>
      <c r="B72" s="28"/>
      <c r="C72" s="28"/>
      <c r="D72" s="28"/>
      <c r="E72" s="28"/>
    </row>
    <row r="73">
      <c r="A73" s="28"/>
      <c r="B73" s="28"/>
      <c r="C73" s="28"/>
      <c r="D73" s="28"/>
      <c r="E73" s="28"/>
    </row>
    <row r="74">
      <c r="A74" s="28"/>
      <c r="B74" s="28"/>
      <c r="C74" s="28"/>
      <c r="D74" s="28"/>
      <c r="E74" s="28"/>
    </row>
    <row r="75">
      <c r="A75" s="28"/>
      <c r="B75" s="28"/>
      <c r="C75" s="28"/>
      <c r="D75" s="28"/>
      <c r="E75" s="28"/>
    </row>
    <row r="76">
      <c r="A76" s="28"/>
      <c r="B76" s="28"/>
      <c r="C76" s="28"/>
      <c r="D76" s="28"/>
      <c r="E76" s="28"/>
    </row>
    <row r="77">
      <c r="A77" s="28"/>
      <c r="B77" s="28"/>
      <c r="C77" s="28"/>
      <c r="D77" s="28"/>
      <c r="E77" s="28"/>
    </row>
    <row r="78">
      <c r="A78" s="28"/>
      <c r="B78" s="28"/>
      <c r="C78" s="28"/>
      <c r="D78" s="28"/>
      <c r="E78" s="28"/>
    </row>
    <row r="79">
      <c r="A79" s="28"/>
      <c r="B79" s="28"/>
      <c r="C79" s="28"/>
      <c r="D79" s="28"/>
      <c r="E79" s="28"/>
    </row>
    <row r="80">
      <c r="A80" s="28"/>
      <c r="B80" s="28"/>
      <c r="C80" s="28"/>
      <c r="D80" s="28"/>
      <c r="E80" s="28"/>
    </row>
    <row r="81">
      <c r="A81" s="28"/>
      <c r="B81" s="28"/>
      <c r="C81" s="28"/>
      <c r="D81" s="28"/>
      <c r="E81" s="28"/>
    </row>
    <row r="82">
      <c r="A82" s="28"/>
      <c r="B82" s="28"/>
      <c r="C82" s="28"/>
      <c r="D82" s="28"/>
      <c r="E82" s="28"/>
    </row>
    <row r="83">
      <c r="A83" s="28"/>
      <c r="B83" s="28"/>
      <c r="C83" s="28"/>
      <c r="D83" s="28"/>
      <c r="E83" s="28"/>
    </row>
    <row r="84">
      <c r="A84" s="28"/>
      <c r="B84" s="28"/>
      <c r="C84" s="28"/>
      <c r="D84" s="28"/>
      <c r="E84" s="28"/>
    </row>
    <row r="85">
      <c r="A85" s="28"/>
      <c r="B85" s="28"/>
      <c r="C85" s="28"/>
      <c r="D85" s="28"/>
      <c r="E85" s="28"/>
    </row>
    <row r="86">
      <c r="A86" s="28"/>
      <c r="B86" s="28"/>
      <c r="C86" s="28"/>
      <c r="D86" s="28"/>
      <c r="E86" s="28"/>
    </row>
    <row r="87">
      <c r="A87" s="28"/>
      <c r="B87" s="28"/>
      <c r="C87" s="28"/>
      <c r="D87" s="28"/>
      <c r="E87" s="28"/>
    </row>
    <row r="88">
      <c r="A88" s="28"/>
      <c r="B88" s="28"/>
      <c r="C88" s="28"/>
      <c r="D88" s="28"/>
      <c r="E88" s="28"/>
    </row>
    <row r="89">
      <c r="A89" s="28"/>
      <c r="B89" s="28"/>
      <c r="C89" s="28"/>
      <c r="D89" s="28"/>
      <c r="E89" s="28"/>
    </row>
    <row r="90">
      <c r="A90" s="28"/>
      <c r="B90" s="28"/>
      <c r="C90" s="28"/>
      <c r="D90" s="28"/>
      <c r="E90" s="28"/>
    </row>
    <row r="91">
      <c r="A91" s="28"/>
      <c r="B91" s="28"/>
      <c r="C91" s="28"/>
      <c r="D91" s="28"/>
      <c r="E91" s="28"/>
    </row>
    <row r="92">
      <c r="A92" s="28"/>
      <c r="B92" s="28"/>
      <c r="C92" s="28"/>
      <c r="D92" s="28"/>
      <c r="E92" s="28"/>
    </row>
    <row r="93">
      <c r="A93" s="28"/>
      <c r="B93" s="28"/>
      <c r="C93" s="28"/>
      <c r="D93" s="28"/>
      <c r="E93" s="28"/>
    </row>
    <row r="94">
      <c r="A94" s="28"/>
      <c r="B94" s="28"/>
      <c r="C94" s="28"/>
      <c r="D94" s="28"/>
      <c r="E94" s="28"/>
    </row>
    <row r="95">
      <c r="A95" s="28"/>
      <c r="B95" s="28"/>
      <c r="C95" s="28"/>
      <c r="D95" s="28"/>
      <c r="E95" s="28"/>
    </row>
    <row r="96">
      <c r="A96" s="28"/>
      <c r="B96" s="28"/>
      <c r="C96" s="28"/>
      <c r="D96" s="28"/>
      <c r="E96" s="28"/>
    </row>
    <row r="97">
      <c r="A97" s="28"/>
      <c r="B97" s="28"/>
      <c r="C97" s="28"/>
      <c r="D97" s="28"/>
      <c r="E97" s="28"/>
    </row>
    <row r="98">
      <c r="A98" s="28"/>
      <c r="B98" s="28"/>
      <c r="C98" s="28"/>
      <c r="D98" s="28"/>
      <c r="E98" s="28"/>
    </row>
    <row r="99">
      <c r="A99" s="28"/>
      <c r="B99" s="28"/>
      <c r="C99" s="28"/>
      <c r="D99" s="28"/>
      <c r="E99" s="28"/>
    </row>
    <row r="100">
      <c r="A100" s="28"/>
      <c r="B100" s="28"/>
      <c r="C100" s="28"/>
      <c r="D100" s="28"/>
      <c r="E100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28"/>
      <c r="B105" s="28"/>
      <c r="C105" s="28"/>
      <c r="D105" s="28"/>
      <c r="E105" s="28"/>
    </row>
    <row r="106">
      <c r="A106" s="28"/>
      <c r="B106" s="28"/>
      <c r="C106" s="28"/>
      <c r="D106" s="28"/>
      <c r="E106" s="28"/>
    </row>
    <row r="107">
      <c r="A107" s="28"/>
      <c r="B107" s="28"/>
      <c r="C107" s="28"/>
      <c r="D107" s="28"/>
      <c r="E107" s="28"/>
    </row>
    <row r="108">
      <c r="A108" s="28"/>
      <c r="B108" s="28"/>
      <c r="C108" s="28"/>
      <c r="D108" s="28"/>
      <c r="E108" s="28"/>
    </row>
    <row r="109">
      <c r="A109" s="28"/>
      <c r="B109" s="28"/>
      <c r="C109" s="28"/>
      <c r="D109" s="28"/>
      <c r="E109" s="28"/>
    </row>
    <row r="110">
      <c r="A110" s="28"/>
      <c r="B110" s="28"/>
      <c r="C110" s="28"/>
      <c r="D110" s="28"/>
      <c r="E110" s="28"/>
    </row>
    <row r="111">
      <c r="A111" s="28"/>
      <c r="B111" s="28"/>
      <c r="C111" s="28"/>
      <c r="D111" s="28"/>
      <c r="E111" s="28"/>
    </row>
    <row r="112">
      <c r="A112" s="28"/>
      <c r="B112" s="28"/>
      <c r="C112" s="28"/>
      <c r="D112" s="28"/>
      <c r="E112" s="28"/>
    </row>
    <row r="113">
      <c r="A113" s="28"/>
      <c r="B113" s="28"/>
      <c r="C113" s="28"/>
      <c r="D113" s="28"/>
      <c r="E113" s="28"/>
    </row>
    <row r="114">
      <c r="A114" s="28"/>
      <c r="B114" s="28"/>
      <c r="C114" s="28"/>
      <c r="D114" s="28"/>
      <c r="E114" s="28"/>
    </row>
    <row r="115">
      <c r="A115" s="28"/>
      <c r="B115" s="28"/>
      <c r="C115" s="28"/>
      <c r="D115" s="28"/>
      <c r="E115" s="28"/>
    </row>
    <row r="116">
      <c r="A116" s="28"/>
      <c r="B116" s="28"/>
      <c r="C116" s="28"/>
      <c r="D116" s="28"/>
      <c r="E116" s="28"/>
    </row>
    <row r="117">
      <c r="A117" s="28"/>
      <c r="B117" s="28"/>
      <c r="C117" s="28"/>
      <c r="D117" s="28"/>
      <c r="E117" s="28"/>
    </row>
    <row r="118">
      <c r="A118" s="28"/>
      <c r="B118" s="28"/>
      <c r="C118" s="28"/>
      <c r="D118" s="28"/>
      <c r="E118" s="28"/>
    </row>
    <row r="119">
      <c r="A119" s="28"/>
      <c r="B119" s="28"/>
      <c r="C119" s="28"/>
      <c r="D119" s="28"/>
      <c r="E119" s="28"/>
    </row>
    <row r="120">
      <c r="A120" s="28"/>
      <c r="B120" s="28"/>
      <c r="C120" s="28"/>
      <c r="D120" s="28"/>
      <c r="E120" s="28"/>
    </row>
    <row r="121">
      <c r="A121" s="28"/>
      <c r="B121" s="28"/>
      <c r="C121" s="28"/>
      <c r="D121" s="28"/>
      <c r="E121" s="28"/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</row>
    <row r="154">
      <c r="A154" s="28"/>
      <c r="B154" s="28"/>
      <c r="C154" s="28"/>
      <c r="D154" s="28"/>
      <c r="E154" s="28"/>
    </row>
    <row r="155">
      <c r="A155" s="28"/>
      <c r="B155" s="28"/>
      <c r="C155" s="28"/>
      <c r="D155" s="28"/>
      <c r="E155" s="28"/>
    </row>
    <row r="156">
      <c r="A156" s="28"/>
      <c r="B156" s="28"/>
      <c r="C156" s="28"/>
      <c r="D156" s="28"/>
      <c r="E156" s="28"/>
    </row>
    <row r="157">
      <c r="A157" s="28"/>
      <c r="B157" s="28"/>
      <c r="C157" s="28"/>
      <c r="D157" s="28"/>
      <c r="E157" s="28"/>
    </row>
    <row r="158">
      <c r="A158" s="28"/>
      <c r="B158" s="28"/>
      <c r="C158" s="28"/>
      <c r="D158" s="28"/>
      <c r="E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</row>
    <row r="194">
      <c r="A194" s="28"/>
      <c r="B194" s="28"/>
      <c r="C194" s="28"/>
      <c r="D194" s="28"/>
      <c r="E194" s="28"/>
    </row>
    <row r="195">
      <c r="A195" s="28"/>
      <c r="B195" s="28"/>
      <c r="C195" s="28"/>
      <c r="D195" s="28"/>
      <c r="E195" s="28"/>
    </row>
    <row r="196">
      <c r="A196" s="28"/>
      <c r="B196" s="28"/>
      <c r="C196" s="28"/>
      <c r="D196" s="28"/>
      <c r="E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</row>
    <row r="217">
      <c r="A217" s="28"/>
      <c r="B217" s="28"/>
      <c r="C217" s="28"/>
      <c r="D217" s="28"/>
      <c r="E217" s="28"/>
    </row>
    <row r="218">
      <c r="A218" s="28"/>
      <c r="B218" s="28"/>
      <c r="C218" s="28"/>
      <c r="D218" s="28"/>
      <c r="E218" s="28"/>
    </row>
    <row r="219">
      <c r="A219" s="28"/>
      <c r="B219" s="28"/>
      <c r="C219" s="28"/>
      <c r="D219" s="28"/>
      <c r="E219" s="28"/>
    </row>
    <row r="220">
      <c r="A220" s="28"/>
      <c r="B220" s="28"/>
      <c r="C220" s="28"/>
      <c r="D220" s="28"/>
      <c r="E220" s="28"/>
    </row>
    <row r="221">
      <c r="A221" s="28"/>
      <c r="B221" s="28"/>
      <c r="C221" s="28"/>
      <c r="D221" s="28"/>
      <c r="E221" s="28"/>
    </row>
    <row r="222">
      <c r="A222" s="28"/>
      <c r="B222" s="28"/>
      <c r="C222" s="28"/>
      <c r="D222" s="28"/>
      <c r="E222" s="28"/>
    </row>
    <row r="223">
      <c r="A223" s="28"/>
      <c r="B223" s="28"/>
      <c r="C223" s="28"/>
      <c r="D223" s="28"/>
      <c r="E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</row>
    <row r="227">
      <c r="A227" s="28"/>
      <c r="B227" s="28"/>
      <c r="C227" s="28"/>
      <c r="D227" s="28"/>
      <c r="E227" s="28"/>
    </row>
    <row r="228">
      <c r="A228" s="28"/>
      <c r="B228" s="28"/>
      <c r="C228" s="28"/>
      <c r="D228" s="28"/>
      <c r="E228" s="28"/>
    </row>
    <row r="229">
      <c r="A229" s="28"/>
      <c r="B229" s="28"/>
      <c r="C229" s="28"/>
      <c r="D229" s="28"/>
      <c r="E229" s="28"/>
    </row>
    <row r="230">
      <c r="A230" s="28"/>
      <c r="B230" s="28"/>
      <c r="C230" s="28"/>
      <c r="D230" s="28"/>
      <c r="E230" s="28"/>
    </row>
    <row r="231">
      <c r="A231" s="28"/>
      <c r="B231" s="28"/>
      <c r="C231" s="28"/>
      <c r="D231" s="28"/>
      <c r="E231" s="28"/>
    </row>
    <row r="232">
      <c r="A232" s="28"/>
      <c r="B232" s="28"/>
      <c r="C232" s="28"/>
      <c r="D232" s="28"/>
      <c r="E232" s="28"/>
    </row>
    <row r="233">
      <c r="A233" s="28"/>
      <c r="B233" s="28"/>
      <c r="C233" s="28"/>
      <c r="D233" s="28"/>
      <c r="E233" s="28"/>
    </row>
    <row r="234">
      <c r="A234" s="28"/>
      <c r="B234" s="28"/>
      <c r="C234" s="28"/>
      <c r="D234" s="28"/>
      <c r="E234" s="28"/>
    </row>
    <row r="235">
      <c r="A235" s="28"/>
      <c r="B235" s="28"/>
      <c r="C235" s="28"/>
      <c r="D235" s="28"/>
      <c r="E235" s="28"/>
    </row>
    <row r="236">
      <c r="A236" s="28"/>
      <c r="B236" s="28"/>
      <c r="C236" s="28"/>
      <c r="D236" s="28"/>
      <c r="E236" s="28"/>
    </row>
    <row r="237">
      <c r="A237" s="28"/>
      <c r="B237" s="28"/>
      <c r="C237" s="28"/>
      <c r="D237" s="28"/>
      <c r="E237" s="28"/>
    </row>
    <row r="238">
      <c r="A238" s="28"/>
      <c r="B238" s="28"/>
      <c r="C238" s="28"/>
      <c r="D238" s="28"/>
      <c r="E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</row>
    <row r="244">
      <c r="A244" s="28"/>
      <c r="B244" s="28"/>
      <c r="C244" s="28"/>
      <c r="D244" s="28"/>
      <c r="E244" s="28"/>
    </row>
    <row r="245">
      <c r="A245" s="28"/>
      <c r="B245" s="28"/>
      <c r="C245" s="28"/>
      <c r="D245" s="28"/>
      <c r="E245" s="28"/>
    </row>
    <row r="246">
      <c r="A246" s="28"/>
      <c r="B246" s="28"/>
      <c r="C246" s="28"/>
      <c r="D246" s="28"/>
      <c r="E246" s="28"/>
    </row>
    <row r="247">
      <c r="A247" s="28"/>
      <c r="B247" s="28"/>
      <c r="C247" s="28"/>
      <c r="D247" s="28"/>
      <c r="E247" s="28"/>
    </row>
    <row r="248">
      <c r="A248" s="28"/>
      <c r="B248" s="28"/>
      <c r="C248" s="28"/>
      <c r="D248" s="28"/>
      <c r="E248" s="28"/>
    </row>
    <row r="249">
      <c r="A249" s="28"/>
      <c r="B249" s="28"/>
      <c r="C249" s="28"/>
      <c r="D249" s="28"/>
      <c r="E249" s="28"/>
    </row>
    <row r="250">
      <c r="A250" s="28"/>
      <c r="B250" s="28"/>
      <c r="C250" s="28"/>
      <c r="D250" s="28"/>
      <c r="E250" s="28"/>
    </row>
    <row r="251">
      <c r="A251" s="28"/>
      <c r="B251" s="28"/>
      <c r="C251" s="28"/>
      <c r="D251" s="28"/>
      <c r="E251" s="28"/>
    </row>
    <row r="252">
      <c r="A252" s="28"/>
      <c r="B252" s="28"/>
      <c r="C252" s="28"/>
      <c r="D252" s="28"/>
      <c r="E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</row>
    <row r="256">
      <c r="A256" s="28"/>
      <c r="B256" s="28"/>
      <c r="C256" s="28"/>
      <c r="D256" s="28"/>
      <c r="E256" s="28"/>
    </row>
    <row r="257">
      <c r="A257" s="28"/>
      <c r="B257" s="28"/>
      <c r="C257" s="28"/>
      <c r="D257" s="28"/>
      <c r="E257" s="28"/>
    </row>
    <row r="258">
      <c r="A258" s="28"/>
      <c r="B258" s="28"/>
      <c r="C258" s="28"/>
      <c r="D258" s="28"/>
      <c r="E258" s="28"/>
    </row>
    <row r="259">
      <c r="A259" s="28"/>
      <c r="B259" s="28"/>
      <c r="C259" s="28"/>
      <c r="D259" s="28"/>
      <c r="E259" s="28"/>
    </row>
    <row r="260">
      <c r="A260" s="28"/>
      <c r="B260" s="28"/>
      <c r="C260" s="28"/>
      <c r="D260" s="28"/>
      <c r="E260" s="28"/>
    </row>
    <row r="261">
      <c r="A261" s="28"/>
      <c r="B261" s="28"/>
      <c r="C261" s="28"/>
      <c r="D261" s="28"/>
      <c r="E261" s="28"/>
    </row>
    <row r="262">
      <c r="A262" s="28"/>
      <c r="B262" s="28"/>
      <c r="C262" s="28"/>
      <c r="D262" s="28"/>
      <c r="E262" s="28"/>
    </row>
    <row r="263">
      <c r="A263" s="28"/>
      <c r="B263" s="28"/>
      <c r="C263" s="28"/>
      <c r="D263" s="28"/>
      <c r="E263" s="28"/>
    </row>
    <row r="264">
      <c r="A264" s="28"/>
      <c r="B264" s="28"/>
      <c r="C264" s="28"/>
      <c r="D264" s="28"/>
      <c r="E264" s="28"/>
    </row>
    <row r="265">
      <c r="A265" s="28"/>
      <c r="B265" s="28"/>
      <c r="C265" s="28"/>
      <c r="D265" s="28"/>
      <c r="E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</row>
    <row r="269">
      <c r="A269" s="28"/>
      <c r="B269" s="28"/>
      <c r="C269" s="28"/>
      <c r="D269" s="28"/>
      <c r="E269" s="28"/>
    </row>
    <row r="270">
      <c r="A270" s="28"/>
      <c r="B270" s="28"/>
      <c r="C270" s="28"/>
      <c r="D270" s="28"/>
      <c r="E270" s="28"/>
    </row>
    <row r="271">
      <c r="A271" s="28"/>
      <c r="B271" s="28"/>
      <c r="C271" s="28"/>
      <c r="D271" s="28"/>
      <c r="E271" s="28"/>
    </row>
    <row r="272">
      <c r="A272" s="28"/>
      <c r="B272" s="28"/>
      <c r="C272" s="28"/>
      <c r="D272" s="28"/>
      <c r="E272" s="28"/>
    </row>
    <row r="273">
      <c r="A273" s="28"/>
      <c r="B273" s="28"/>
      <c r="C273" s="28"/>
      <c r="D273" s="28"/>
      <c r="E273" s="28"/>
    </row>
    <row r="274">
      <c r="A274" s="28"/>
      <c r="B274" s="28"/>
      <c r="C274" s="28"/>
      <c r="D274" s="28"/>
      <c r="E274" s="28"/>
    </row>
    <row r="275">
      <c r="A275" s="28"/>
      <c r="B275" s="28"/>
      <c r="C275" s="28"/>
      <c r="D275" s="28"/>
      <c r="E275" s="28"/>
    </row>
    <row r="276">
      <c r="A276" s="28"/>
      <c r="B276" s="28"/>
      <c r="C276" s="28"/>
      <c r="D276" s="28"/>
      <c r="E276" s="28"/>
    </row>
    <row r="277">
      <c r="A277" s="28"/>
      <c r="B277" s="28"/>
      <c r="C277" s="28"/>
      <c r="D277" s="28"/>
      <c r="E277" s="28"/>
    </row>
    <row r="278">
      <c r="A278" s="28"/>
      <c r="B278" s="28"/>
      <c r="C278" s="28"/>
      <c r="D278" s="28"/>
      <c r="E278" s="28"/>
    </row>
    <row r="279">
      <c r="A279" s="28"/>
      <c r="B279" s="28"/>
      <c r="C279" s="28"/>
      <c r="D279" s="28"/>
      <c r="E279" s="28"/>
    </row>
    <row r="280">
      <c r="A280" s="28"/>
      <c r="B280" s="28"/>
      <c r="C280" s="28"/>
      <c r="D280" s="28"/>
      <c r="E280" s="28"/>
    </row>
    <row r="281">
      <c r="A281" s="28"/>
      <c r="B281" s="28"/>
      <c r="C281" s="28"/>
      <c r="D281" s="28"/>
      <c r="E281" s="28"/>
    </row>
    <row r="282">
      <c r="A282" s="28"/>
      <c r="B282" s="28"/>
      <c r="C282" s="28"/>
      <c r="D282" s="28"/>
      <c r="E282" s="28"/>
    </row>
    <row r="283">
      <c r="A283" s="28"/>
      <c r="B283" s="28"/>
      <c r="C283" s="28"/>
      <c r="D283" s="28"/>
      <c r="E283" s="28"/>
    </row>
    <row r="284">
      <c r="A284" s="28"/>
      <c r="B284" s="28"/>
      <c r="C284" s="28"/>
      <c r="D284" s="28"/>
      <c r="E284" s="28"/>
    </row>
    <row r="285">
      <c r="A285" s="28"/>
      <c r="B285" s="28"/>
      <c r="C285" s="28"/>
      <c r="D285" s="28"/>
      <c r="E285" s="28"/>
    </row>
    <row r="286">
      <c r="A286" s="28"/>
      <c r="B286" s="28"/>
      <c r="C286" s="28"/>
      <c r="D286" s="28"/>
      <c r="E286" s="28"/>
    </row>
    <row r="287">
      <c r="A287" s="28"/>
      <c r="B287" s="28"/>
      <c r="C287" s="28"/>
      <c r="D287" s="28"/>
      <c r="E287" s="28"/>
    </row>
    <row r="288">
      <c r="A288" s="28"/>
      <c r="B288" s="28"/>
      <c r="C288" s="28"/>
      <c r="D288" s="28"/>
      <c r="E288" s="28"/>
    </row>
    <row r="289">
      <c r="A289" s="28"/>
      <c r="B289" s="28"/>
      <c r="C289" s="28"/>
      <c r="D289" s="28"/>
      <c r="E289" s="28"/>
    </row>
    <row r="290">
      <c r="A290" s="28"/>
      <c r="B290" s="28"/>
      <c r="C290" s="28"/>
      <c r="D290" s="28"/>
      <c r="E290" s="28"/>
    </row>
    <row r="291">
      <c r="A291" s="28"/>
      <c r="B291" s="28"/>
      <c r="C291" s="28"/>
      <c r="D291" s="28"/>
      <c r="E291" s="28"/>
    </row>
    <row r="292">
      <c r="A292" s="28"/>
      <c r="B292" s="28"/>
      <c r="C292" s="28"/>
      <c r="D292" s="28"/>
      <c r="E292" s="28"/>
    </row>
    <row r="293">
      <c r="A293" s="28"/>
      <c r="B293" s="28"/>
      <c r="C293" s="28"/>
      <c r="D293" s="28"/>
      <c r="E293" s="28"/>
    </row>
    <row r="294">
      <c r="A294" s="28"/>
      <c r="B294" s="28"/>
      <c r="C294" s="28"/>
      <c r="D294" s="28"/>
      <c r="E294" s="28"/>
    </row>
    <row r="295">
      <c r="A295" s="28"/>
      <c r="B295" s="28"/>
      <c r="C295" s="28"/>
      <c r="D295" s="28"/>
      <c r="E295" s="28"/>
    </row>
    <row r="296">
      <c r="A296" s="28"/>
      <c r="B296" s="28"/>
      <c r="C296" s="28"/>
      <c r="D296" s="28"/>
      <c r="E296" s="28"/>
    </row>
    <row r="297">
      <c r="A297" s="28"/>
      <c r="B297" s="28"/>
      <c r="C297" s="28"/>
      <c r="D297" s="28"/>
      <c r="E297" s="28"/>
    </row>
    <row r="298">
      <c r="A298" s="28"/>
      <c r="B298" s="28"/>
      <c r="C298" s="28"/>
      <c r="D298" s="28"/>
      <c r="E298" s="28"/>
    </row>
    <row r="299">
      <c r="A299" s="28"/>
      <c r="B299" s="28"/>
      <c r="C299" s="28"/>
      <c r="D299" s="28"/>
      <c r="E299" s="28"/>
    </row>
    <row r="300">
      <c r="A300" s="28"/>
      <c r="B300" s="28"/>
      <c r="C300" s="28"/>
      <c r="D300" s="28"/>
      <c r="E300" s="28"/>
    </row>
    <row r="301">
      <c r="A301" s="28"/>
      <c r="B301" s="28"/>
      <c r="C301" s="28"/>
      <c r="D301" s="28"/>
      <c r="E301" s="28"/>
    </row>
    <row r="302">
      <c r="A302" s="28"/>
      <c r="B302" s="28"/>
      <c r="C302" s="28"/>
      <c r="D302" s="28"/>
      <c r="E302" s="28"/>
    </row>
    <row r="303">
      <c r="A303" s="28"/>
      <c r="B303" s="28"/>
      <c r="C303" s="28"/>
      <c r="D303" s="28"/>
      <c r="E303" s="28"/>
    </row>
    <row r="304">
      <c r="A304" s="28"/>
      <c r="B304" s="28"/>
      <c r="C304" s="28"/>
      <c r="D304" s="28"/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  <row r="969">
      <c r="A969" s="28"/>
      <c r="B969" s="28"/>
      <c r="C969" s="28"/>
      <c r="D969" s="28"/>
      <c r="E969" s="28"/>
    </row>
    <row r="970">
      <c r="A970" s="28"/>
      <c r="B970" s="28"/>
      <c r="C970" s="28"/>
      <c r="D970" s="28"/>
      <c r="E970" s="28"/>
    </row>
    <row r="971">
      <c r="A971" s="28"/>
      <c r="B971" s="28"/>
      <c r="C971" s="28"/>
      <c r="D971" s="28"/>
      <c r="E971" s="28"/>
    </row>
    <row r="972">
      <c r="A972" s="28"/>
      <c r="B972" s="28"/>
      <c r="C972" s="28"/>
      <c r="D972" s="28"/>
      <c r="E972" s="28"/>
    </row>
    <row r="973">
      <c r="A973" s="28"/>
      <c r="B973" s="28"/>
      <c r="C973" s="28"/>
      <c r="D973" s="28"/>
      <c r="E973" s="28"/>
    </row>
    <row r="974">
      <c r="A974" s="28"/>
      <c r="B974" s="28"/>
      <c r="C974" s="28"/>
      <c r="D974" s="28"/>
      <c r="E974" s="28"/>
    </row>
    <row r="975">
      <c r="A975" s="28"/>
      <c r="B975" s="28"/>
      <c r="C975" s="28"/>
      <c r="D975" s="28"/>
      <c r="E975" s="28"/>
    </row>
    <row r="976">
      <c r="A976" s="28"/>
      <c r="B976" s="28"/>
      <c r="C976" s="28"/>
      <c r="D976" s="28"/>
      <c r="E976" s="28"/>
    </row>
    <row r="977">
      <c r="A977" s="28"/>
      <c r="B977" s="28"/>
      <c r="C977" s="28"/>
      <c r="D977" s="28"/>
      <c r="E977" s="28"/>
    </row>
    <row r="978">
      <c r="A978" s="28"/>
      <c r="B978" s="28"/>
      <c r="C978" s="28"/>
      <c r="D978" s="28"/>
      <c r="E978" s="28"/>
    </row>
    <row r="979">
      <c r="A979" s="28"/>
      <c r="B979" s="28"/>
      <c r="C979" s="28"/>
      <c r="D979" s="28"/>
      <c r="E979" s="28"/>
    </row>
    <row r="980">
      <c r="A980" s="28"/>
      <c r="B980" s="28"/>
      <c r="C980" s="28"/>
      <c r="D980" s="28"/>
      <c r="E980" s="28"/>
    </row>
    <row r="981">
      <c r="A981" s="28"/>
      <c r="B981" s="28"/>
      <c r="C981" s="28"/>
      <c r="D981" s="28"/>
      <c r="E981" s="28"/>
    </row>
    <row r="982">
      <c r="A982" s="28"/>
      <c r="B982" s="28"/>
      <c r="C982" s="28"/>
      <c r="D982" s="28"/>
      <c r="E982" s="28"/>
    </row>
    <row r="983">
      <c r="A983" s="28"/>
      <c r="B983" s="28"/>
      <c r="C983" s="28"/>
      <c r="D983" s="28"/>
      <c r="E983" s="28"/>
    </row>
    <row r="984">
      <c r="A984" s="28"/>
      <c r="B984" s="28"/>
      <c r="C984" s="28"/>
      <c r="D984" s="28"/>
      <c r="E984" s="28"/>
    </row>
    <row r="985">
      <c r="A985" s="28"/>
      <c r="B985" s="28"/>
      <c r="C985" s="28"/>
      <c r="D985" s="28"/>
      <c r="E985" s="28"/>
    </row>
    <row r="986">
      <c r="A986" s="28"/>
      <c r="B986" s="28"/>
      <c r="C986" s="28"/>
      <c r="D986" s="28"/>
      <c r="E986" s="28"/>
    </row>
    <row r="987">
      <c r="A987" s="28"/>
      <c r="B987" s="28"/>
      <c r="C987" s="28"/>
      <c r="D987" s="28"/>
      <c r="E987" s="28"/>
    </row>
    <row r="988">
      <c r="A988" s="28"/>
      <c r="B988" s="28"/>
      <c r="C988" s="28"/>
      <c r="D988" s="28"/>
      <c r="E988" s="28"/>
    </row>
    <row r="989">
      <c r="A989" s="28"/>
      <c r="B989" s="28"/>
      <c r="C989" s="28"/>
      <c r="D989" s="28"/>
      <c r="E989" s="28"/>
    </row>
    <row r="990">
      <c r="A990" s="28"/>
      <c r="B990" s="28"/>
      <c r="C990" s="28"/>
      <c r="D990" s="28"/>
      <c r="E990" s="28"/>
    </row>
    <row r="991">
      <c r="A991" s="28"/>
      <c r="B991" s="28"/>
      <c r="C991" s="28"/>
      <c r="D991" s="28"/>
      <c r="E991" s="28"/>
    </row>
    <row r="992">
      <c r="A992" s="28"/>
      <c r="B992" s="28"/>
      <c r="C992" s="28"/>
      <c r="D992" s="28"/>
      <c r="E992" s="28"/>
    </row>
    <row r="993">
      <c r="A993" s="28"/>
      <c r="B993" s="28"/>
      <c r="C993" s="28"/>
      <c r="D993" s="28"/>
      <c r="E993" s="28"/>
    </row>
    <row r="994">
      <c r="A994" s="28"/>
      <c r="B994" s="28"/>
      <c r="C994" s="28"/>
      <c r="D994" s="28"/>
      <c r="E994" s="28"/>
    </row>
    <row r="995">
      <c r="A995" s="28"/>
      <c r="B995" s="28"/>
      <c r="C995" s="28"/>
      <c r="D995" s="28"/>
      <c r="E995" s="28"/>
    </row>
    <row r="996">
      <c r="A996" s="28"/>
      <c r="B996" s="28"/>
      <c r="C996" s="28"/>
      <c r="D996" s="28"/>
      <c r="E996" s="28"/>
    </row>
    <row r="997">
      <c r="A997" s="28"/>
      <c r="B997" s="28"/>
      <c r="C997" s="28"/>
      <c r="D997" s="28"/>
      <c r="E997" s="28"/>
    </row>
    <row r="998">
      <c r="A998" s="28"/>
      <c r="B998" s="28"/>
      <c r="C998" s="28"/>
      <c r="D998" s="28"/>
      <c r="E998" s="28"/>
    </row>
    <row r="999">
      <c r="A999" s="28"/>
      <c r="B999" s="28"/>
      <c r="C999" s="28"/>
      <c r="D999" s="28"/>
      <c r="E999" s="28"/>
    </row>
    <row r="1000">
      <c r="A1000" s="28"/>
      <c r="B1000" s="28"/>
      <c r="C1000" s="28"/>
      <c r="D1000" s="28"/>
      <c r="E1000" s="28"/>
    </row>
    <row r="1001">
      <c r="A1001" s="28"/>
      <c r="B1001" s="28"/>
      <c r="C1001" s="28"/>
      <c r="D1001" s="28"/>
      <c r="E1001" s="28"/>
    </row>
    <row r="1002">
      <c r="A1002" s="28"/>
      <c r="B1002" s="28"/>
      <c r="C1002" s="28"/>
      <c r="D1002" s="28"/>
      <c r="E1002" s="28"/>
    </row>
    <row r="1003">
      <c r="A1003" s="28"/>
      <c r="B1003" s="28"/>
      <c r="C1003" s="28"/>
      <c r="D1003" s="28"/>
      <c r="E1003" s="28"/>
    </row>
    <row r="1004">
      <c r="A1004" s="28"/>
      <c r="B1004" s="28"/>
      <c r="C1004" s="28"/>
      <c r="D1004" s="28"/>
      <c r="E1004" s="28"/>
    </row>
    <row r="1005">
      <c r="A1005" s="28"/>
      <c r="B1005" s="28"/>
      <c r="C1005" s="28"/>
      <c r="D1005" s="28"/>
      <c r="E1005" s="28"/>
    </row>
    <row r="1006">
      <c r="A1006" s="28"/>
      <c r="B1006" s="28"/>
      <c r="C1006" s="28"/>
      <c r="D1006" s="28"/>
      <c r="E1006" s="28"/>
    </row>
    <row r="1007">
      <c r="A1007" s="28"/>
      <c r="B1007" s="28"/>
      <c r="C1007" s="28"/>
      <c r="D1007" s="28"/>
      <c r="E1007" s="28"/>
    </row>
    <row r="1008">
      <c r="A1008" s="28"/>
      <c r="B1008" s="28"/>
      <c r="C1008" s="28"/>
      <c r="D1008" s="28"/>
      <c r="E1008" s="28"/>
    </row>
    <row r="1009">
      <c r="A1009" s="28"/>
      <c r="B1009" s="28"/>
      <c r="C1009" s="28"/>
      <c r="D1009" s="28"/>
      <c r="E1009" s="28"/>
    </row>
    <row r="1010">
      <c r="A1010" s="28"/>
      <c r="B1010" s="28"/>
      <c r="C1010" s="28"/>
      <c r="D1010" s="28"/>
      <c r="E1010" s="28"/>
    </row>
    <row r="1011">
      <c r="A1011" s="28"/>
      <c r="B1011" s="28"/>
      <c r="C1011" s="28"/>
      <c r="D1011" s="28"/>
      <c r="E1011" s="28"/>
    </row>
    <row r="1012">
      <c r="A1012" s="28"/>
      <c r="B1012" s="28"/>
      <c r="C1012" s="28"/>
      <c r="D1012" s="28"/>
      <c r="E1012" s="28"/>
    </row>
    <row r="1013">
      <c r="A1013" s="28"/>
      <c r="B1013" s="28"/>
      <c r="C1013" s="28"/>
      <c r="D1013" s="28"/>
      <c r="E1013" s="28"/>
    </row>
    <row r="1014">
      <c r="A1014" s="28"/>
      <c r="B1014" s="28"/>
      <c r="C1014" s="28"/>
      <c r="D1014" s="28"/>
      <c r="E1014" s="28"/>
    </row>
    <row r="1015">
      <c r="A1015" s="28"/>
      <c r="B1015" s="28"/>
      <c r="C1015" s="28"/>
      <c r="D1015" s="28"/>
      <c r="E1015" s="28"/>
    </row>
    <row r="1016">
      <c r="A1016" s="28"/>
      <c r="B1016" s="28"/>
      <c r="C1016" s="28"/>
      <c r="D1016" s="28"/>
      <c r="E1016" s="28"/>
    </row>
    <row r="1017">
      <c r="A1017" s="28"/>
      <c r="B1017" s="28"/>
      <c r="C1017" s="28"/>
      <c r="D1017" s="28"/>
      <c r="E1017" s="28"/>
    </row>
    <row r="1018">
      <c r="A1018" s="28"/>
      <c r="B1018" s="28"/>
      <c r="C1018" s="28"/>
      <c r="D1018" s="28"/>
      <c r="E1018" s="28"/>
    </row>
    <row r="1019">
      <c r="A1019" s="28"/>
      <c r="B1019" s="28"/>
      <c r="C1019" s="28"/>
      <c r="D1019" s="28"/>
      <c r="E1019" s="28"/>
    </row>
    <row r="1020">
      <c r="A1020" s="28"/>
      <c r="B1020" s="28"/>
      <c r="C1020" s="28"/>
      <c r="D1020" s="28"/>
      <c r="E1020" s="28"/>
    </row>
    <row r="1021">
      <c r="A1021" s="28"/>
      <c r="B1021" s="28"/>
      <c r="C1021" s="28"/>
      <c r="D1021" s="28"/>
      <c r="E1021" s="28"/>
    </row>
    <row r="1022">
      <c r="A1022" s="28"/>
      <c r="B1022" s="28"/>
      <c r="C1022" s="28"/>
      <c r="D1022" s="28"/>
      <c r="E1022" s="28"/>
    </row>
    <row r="1023">
      <c r="A1023" s="28"/>
      <c r="B1023" s="28"/>
      <c r="C1023" s="28"/>
      <c r="D1023" s="28"/>
      <c r="E1023" s="28"/>
    </row>
    <row r="1024">
      <c r="A1024" s="28"/>
      <c r="B1024" s="28"/>
      <c r="C1024" s="28"/>
      <c r="D1024" s="28"/>
      <c r="E1024" s="28"/>
    </row>
    <row r="1025">
      <c r="A1025" s="28"/>
      <c r="B1025" s="28"/>
      <c r="C1025" s="28"/>
      <c r="D1025" s="28"/>
      <c r="E1025" s="28"/>
    </row>
    <row r="1026">
      <c r="A1026" s="28"/>
      <c r="B1026" s="28"/>
      <c r="C1026" s="28"/>
      <c r="D1026" s="28"/>
      <c r="E1026" s="28"/>
    </row>
    <row r="1027">
      <c r="A1027" s="28"/>
      <c r="B1027" s="28"/>
      <c r="C1027" s="28"/>
      <c r="D1027" s="28"/>
      <c r="E1027" s="28"/>
    </row>
    <row r="1028">
      <c r="A1028" s="28"/>
      <c r="B1028" s="28"/>
      <c r="C1028" s="28"/>
      <c r="D1028" s="28"/>
      <c r="E1028" s="28"/>
    </row>
    <row r="1029">
      <c r="A1029" s="28"/>
      <c r="B1029" s="28"/>
      <c r="C1029" s="28"/>
      <c r="D1029" s="28"/>
      <c r="E1029" s="28"/>
    </row>
    <row r="1030">
      <c r="A1030" s="28"/>
      <c r="B1030" s="28"/>
      <c r="C1030" s="28"/>
      <c r="D1030" s="28"/>
      <c r="E1030" s="28"/>
    </row>
    <row r="1031">
      <c r="A1031" s="28"/>
      <c r="B1031" s="28"/>
      <c r="C1031" s="28"/>
      <c r="D1031" s="28"/>
      <c r="E1031" s="28"/>
    </row>
    <row r="1032">
      <c r="A1032" s="28"/>
      <c r="B1032" s="28"/>
      <c r="C1032" s="28"/>
      <c r="D1032" s="28"/>
      <c r="E1032" s="28"/>
    </row>
    <row r="1033">
      <c r="A1033" s="28"/>
      <c r="B1033" s="28"/>
      <c r="C1033" s="28"/>
      <c r="D1033" s="28"/>
      <c r="E1033" s="28"/>
    </row>
    <row r="1034">
      <c r="A1034" s="28"/>
      <c r="B1034" s="28"/>
      <c r="C1034" s="28"/>
      <c r="D1034" s="28"/>
      <c r="E1034" s="28"/>
    </row>
    <row r="1035">
      <c r="A1035" s="28"/>
      <c r="B1035" s="28"/>
      <c r="C1035" s="28"/>
      <c r="D1035" s="28"/>
      <c r="E1035" s="28"/>
    </row>
    <row r="1036">
      <c r="A1036" s="28"/>
      <c r="B1036" s="28"/>
      <c r="C1036" s="28"/>
      <c r="D1036" s="28"/>
      <c r="E1036" s="28"/>
    </row>
    <row r="1037">
      <c r="A1037" s="28"/>
      <c r="B1037" s="28"/>
      <c r="C1037" s="28"/>
      <c r="D1037" s="28"/>
      <c r="E1037" s="28"/>
    </row>
    <row r="1038">
      <c r="A1038" s="28"/>
      <c r="B1038" s="28"/>
      <c r="C1038" s="28"/>
      <c r="D1038" s="28"/>
      <c r="E1038" s="28"/>
    </row>
    <row r="1039">
      <c r="A1039" s="28"/>
      <c r="B1039" s="28"/>
      <c r="C1039" s="28"/>
      <c r="D1039" s="28"/>
      <c r="E1039" s="28"/>
    </row>
    <row r="1040">
      <c r="A1040" s="28"/>
      <c r="B1040" s="28"/>
      <c r="C1040" s="28"/>
      <c r="D1040" s="28"/>
      <c r="E1040" s="28"/>
    </row>
    <row r="1041">
      <c r="A1041" s="28"/>
      <c r="B1041" s="28"/>
      <c r="C1041" s="28"/>
      <c r="D1041" s="28"/>
      <c r="E1041" s="28"/>
    </row>
    <row r="1042">
      <c r="A1042" s="28"/>
      <c r="B1042" s="28"/>
      <c r="C1042" s="28"/>
      <c r="D1042" s="28"/>
      <c r="E1042" s="28"/>
    </row>
    <row r="1043">
      <c r="A1043" s="28"/>
      <c r="B1043" s="28"/>
      <c r="C1043" s="28"/>
      <c r="D1043" s="28"/>
      <c r="E1043" s="28"/>
    </row>
    <row r="1044">
      <c r="A1044" s="28"/>
      <c r="B1044" s="28"/>
      <c r="C1044" s="28"/>
      <c r="D1044" s="28"/>
      <c r="E1044" s="28"/>
    </row>
    <row r="1045">
      <c r="A1045" s="28"/>
      <c r="B1045" s="28"/>
      <c r="C1045" s="28"/>
      <c r="D1045" s="28"/>
      <c r="E1045" s="28"/>
    </row>
    <row r="1046">
      <c r="A1046" s="28"/>
      <c r="B1046" s="28"/>
      <c r="C1046" s="28"/>
      <c r="D1046" s="28"/>
      <c r="E1046" s="28"/>
    </row>
    <row r="1047">
      <c r="A1047" s="28"/>
      <c r="B1047" s="28"/>
      <c r="C1047" s="28"/>
      <c r="D1047" s="28"/>
      <c r="E1047" s="28"/>
    </row>
    <row r="1048">
      <c r="A1048" s="28"/>
      <c r="B1048" s="28"/>
      <c r="C1048" s="28"/>
      <c r="D1048" s="28"/>
      <c r="E1048" s="28"/>
    </row>
    <row r="1049">
      <c r="A1049" s="28"/>
      <c r="B1049" s="28"/>
      <c r="C1049" s="28"/>
      <c r="D1049" s="28"/>
      <c r="E1049" s="28"/>
    </row>
    <row r="1050">
      <c r="A1050" s="28"/>
      <c r="B1050" s="28"/>
      <c r="C1050" s="28"/>
      <c r="D1050" s="28"/>
      <c r="E1050" s="28"/>
    </row>
    <row r="1051">
      <c r="A1051" s="28"/>
      <c r="B1051" s="28"/>
      <c r="C1051" s="28"/>
      <c r="D1051" s="28"/>
      <c r="E1051" s="28"/>
    </row>
    <row r="1052">
      <c r="A1052" s="28"/>
      <c r="B1052" s="28"/>
      <c r="C1052" s="28"/>
      <c r="D1052" s="28"/>
      <c r="E1052" s="28"/>
    </row>
    <row r="1053">
      <c r="A1053" s="28"/>
      <c r="B1053" s="28"/>
      <c r="C1053" s="28"/>
      <c r="D1053" s="28"/>
      <c r="E1053" s="28"/>
    </row>
    <row r="1054">
      <c r="A1054" s="28"/>
      <c r="B1054" s="28"/>
      <c r="C1054" s="28"/>
      <c r="D1054" s="28"/>
      <c r="E1054" s="28"/>
    </row>
    <row r="1055">
      <c r="A1055" s="28"/>
      <c r="B1055" s="28"/>
      <c r="C1055" s="28"/>
      <c r="D1055" s="28"/>
      <c r="E1055" s="28"/>
    </row>
    <row r="1056">
      <c r="A1056" s="28"/>
      <c r="B1056" s="28"/>
      <c r="C1056" s="28"/>
      <c r="D1056" s="28"/>
      <c r="E1056" s="28"/>
    </row>
    <row r="1057">
      <c r="A1057" s="28"/>
      <c r="B1057" s="28"/>
      <c r="C1057" s="28"/>
      <c r="D1057" s="28"/>
      <c r="E1057" s="28"/>
    </row>
    <row r="1058">
      <c r="A1058" s="28"/>
      <c r="B1058" s="28"/>
      <c r="C1058" s="28"/>
      <c r="D1058" s="28"/>
      <c r="E1058" s="28"/>
    </row>
    <row r="1059">
      <c r="A1059" s="28"/>
      <c r="B1059" s="28"/>
      <c r="C1059" s="28"/>
      <c r="D1059" s="28"/>
      <c r="E1059" s="28"/>
    </row>
    <row r="1060">
      <c r="A1060" s="28"/>
      <c r="B1060" s="28"/>
      <c r="C1060" s="28"/>
      <c r="D1060" s="28"/>
      <c r="E1060" s="28"/>
    </row>
    <row r="1061">
      <c r="A1061" s="28"/>
      <c r="B1061" s="28"/>
      <c r="C1061" s="28"/>
      <c r="D1061" s="28"/>
      <c r="E1061" s="28"/>
    </row>
    <row r="1062">
      <c r="A1062" s="28"/>
      <c r="B1062" s="28"/>
      <c r="C1062" s="28"/>
      <c r="D1062" s="28"/>
      <c r="E1062" s="28"/>
    </row>
    <row r="1063">
      <c r="A1063" s="28"/>
      <c r="B1063" s="28"/>
      <c r="C1063" s="28"/>
      <c r="D1063" s="28"/>
      <c r="E1063" s="28"/>
    </row>
    <row r="1064">
      <c r="A1064" s="28"/>
      <c r="B1064" s="28"/>
      <c r="C1064" s="28"/>
      <c r="D1064" s="28"/>
      <c r="E1064" s="28"/>
    </row>
    <row r="1065">
      <c r="A1065" s="28"/>
      <c r="B1065" s="28"/>
      <c r="C1065" s="28"/>
      <c r="D1065" s="28"/>
      <c r="E1065" s="28"/>
    </row>
    <row r="1066">
      <c r="A1066" s="28"/>
      <c r="B1066" s="28"/>
      <c r="C1066" s="28"/>
      <c r="D1066" s="28"/>
      <c r="E1066" s="28"/>
    </row>
    <row r="1067">
      <c r="A1067" s="28"/>
      <c r="B1067" s="28"/>
      <c r="C1067" s="28"/>
      <c r="D1067" s="28"/>
      <c r="E1067" s="28"/>
    </row>
    <row r="1068">
      <c r="A1068" s="28"/>
      <c r="B1068" s="28"/>
      <c r="C1068" s="28"/>
      <c r="D1068" s="28"/>
      <c r="E1068" s="28"/>
    </row>
    <row r="1069">
      <c r="A1069" s="28"/>
      <c r="B1069" s="28"/>
      <c r="C1069" s="28"/>
      <c r="D1069" s="28"/>
      <c r="E1069" s="28"/>
    </row>
    <row r="1070">
      <c r="A1070" s="28"/>
      <c r="B1070" s="28"/>
      <c r="C1070" s="28"/>
      <c r="D1070" s="28"/>
      <c r="E1070" s="28"/>
    </row>
    <row r="1071">
      <c r="A1071" s="28"/>
      <c r="B1071" s="28"/>
      <c r="C1071" s="28"/>
      <c r="D1071" s="28"/>
      <c r="E1071" s="28"/>
    </row>
    <row r="1072">
      <c r="A1072" s="28"/>
      <c r="B1072" s="28"/>
      <c r="C1072" s="28"/>
      <c r="D1072" s="28"/>
      <c r="E1072" s="28"/>
    </row>
    <row r="1073">
      <c r="A1073" s="28"/>
      <c r="B1073" s="28"/>
      <c r="C1073" s="28"/>
      <c r="D1073" s="28"/>
      <c r="E1073" s="28"/>
    </row>
    <row r="1074">
      <c r="A1074" s="28"/>
      <c r="B1074" s="28"/>
      <c r="C1074" s="28"/>
      <c r="D1074" s="28"/>
      <c r="E1074" s="28"/>
    </row>
    <row r="1075">
      <c r="A1075" s="28"/>
      <c r="B1075" s="28"/>
      <c r="C1075" s="28"/>
      <c r="D1075" s="28"/>
      <c r="E1075" s="28"/>
    </row>
    <row r="1076">
      <c r="A1076" s="28"/>
      <c r="B1076" s="28"/>
      <c r="C1076" s="28"/>
      <c r="D1076" s="28"/>
      <c r="E1076" s="28"/>
    </row>
    <row r="1077">
      <c r="A1077" s="28"/>
      <c r="B1077" s="28"/>
      <c r="C1077" s="28"/>
      <c r="D1077" s="28"/>
      <c r="E1077" s="28"/>
    </row>
    <row r="1078">
      <c r="A1078" s="28"/>
      <c r="B1078" s="28"/>
      <c r="C1078" s="28"/>
      <c r="D1078" s="28"/>
      <c r="E1078" s="28"/>
    </row>
    <row r="1079">
      <c r="A1079" s="28"/>
      <c r="B1079" s="28"/>
      <c r="C1079" s="28"/>
      <c r="D1079" s="28"/>
      <c r="E1079" s="28"/>
    </row>
    <row r="1080">
      <c r="A1080" s="28"/>
      <c r="B1080" s="28"/>
      <c r="C1080" s="28"/>
      <c r="D1080" s="28"/>
      <c r="E1080" s="28"/>
    </row>
    <row r="1081">
      <c r="A1081" s="28"/>
      <c r="B1081" s="28"/>
      <c r="C1081" s="28"/>
      <c r="D1081" s="28"/>
      <c r="E1081" s="28"/>
    </row>
    <row r="1082">
      <c r="A1082" s="28"/>
      <c r="B1082" s="28"/>
      <c r="C1082" s="28"/>
      <c r="D1082" s="28"/>
      <c r="E1082" s="28"/>
    </row>
    <row r="1083">
      <c r="A1083" s="28"/>
      <c r="B1083" s="28"/>
      <c r="C1083" s="28"/>
      <c r="D1083" s="28"/>
      <c r="E1083" s="28"/>
    </row>
    <row r="1084">
      <c r="A1084" s="28"/>
      <c r="B1084" s="28"/>
      <c r="C1084" s="28"/>
      <c r="D1084" s="28"/>
      <c r="E1084" s="28"/>
    </row>
    <row r="1085">
      <c r="A1085" s="28"/>
      <c r="B1085" s="28"/>
      <c r="C1085" s="28"/>
      <c r="D1085" s="28"/>
      <c r="E1085" s="28"/>
    </row>
    <row r="1086">
      <c r="A1086" s="28"/>
      <c r="B1086" s="28"/>
      <c r="C1086" s="28"/>
      <c r="D1086" s="28"/>
      <c r="E1086" s="28"/>
    </row>
    <row r="1087">
      <c r="A1087" s="28"/>
      <c r="B1087" s="28"/>
      <c r="C1087" s="28"/>
      <c r="D1087" s="28"/>
      <c r="E1087" s="28"/>
    </row>
    <row r="1088">
      <c r="A1088" s="28"/>
      <c r="B1088" s="28"/>
      <c r="C1088" s="28"/>
      <c r="D1088" s="28"/>
      <c r="E1088" s="28"/>
    </row>
    <row r="1089">
      <c r="A1089" s="28"/>
      <c r="B1089" s="28"/>
      <c r="C1089" s="28"/>
      <c r="D1089" s="28"/>
      <c r="E1089" s="28"/>
    </row>
    <row r="1090">
      <c r="A1090" s="28"/>
      <c r="B1090" s="28"/>
      <c r="C1090" s="28"/>
      <c r="D1090" s="28"/>
      <c r="E1090" s="28"/>
    </row>
    <row r="1091">
      <c r="A1091" s="28"/>
      <c r="B1091" s="28"/>
      <c r="C1091" s="28"/>
      <c r="D1091" s="28"/>
      <c r="E1091" s="28"/>
    </row>
    <row r="1092">
      <c r="A1092" s="28"/>
      <c r="B1092" s="28"/>
      <c r="C1092" s="28"/>
      <c r="D1092" s="28"/>
      <c r="E1092" s="28"/>
    </row>
    <row r="1093">
      <c r="A1093" s="28"/>
      <c r="B1093" s="28"/>
      <c r="C1093" s="28"/>
      <c r="D1093" s="28"/>
      <c r="E1093" s="28"/>
    </row>
    <row r="1094">
      <c r="A1094" s="28"/>
      <c r="B1094" s="28"/>
      <c r="C1094" s="28"/>
      <c r="D1094" s="28"/>
      <c r="E1094" s="28"/>
    </row>
    <row r="1095">
      <c r="A1095" s="28"/>
      <c r="B1095" s="28"/>
      <c r="C1095" s="28"/>
      <c r="D1095" s="28"/>
      <c r="E1095" s="28"/>
    </row>
    <row r="1096">
      <c r="A1096" s="28"/>
      <c r="B1096" s="28"/>
      <c r="C1096" s="28"/>
      <c r="D1096" s="28"/>
      <c r="E1096" s="28"/>
    </row>
    <row r="1097">
      <c r="A1097" s="28"/>
      <c r="B1097" s="28"/>
      <c r="C1097" s="28"/>
      <c r="D1097" s="28"/>
      <c r="E1097" s="28"/>
    </row>
    <row r="1098">
      <c r="A1098" s="28"/>
      <c r="B1098" s="28"/>
      <c r="C1098" s="28"/>
      <c r="D1098" s="28"/>
      <c r="E1098" s="28"/>
    </row>
    <row r="1099">
      <c r="A1099" s="28"/>
      <c r="B1099" s="28"/>
      <c r="C1099" s="28"/>
      <c r="D1099" s="28"/>
      <c r="E1099" s="28"/>
    </row>
    <row r="1100">
      <c r="A1100" s="28"/>
      <c r="B1100" s="28"/>
      <c r="C1100" s="28"/>
      <c r="D1100" s="28"/>
      <c r="E1100" s="28"/>
    </row>
    <row r="1101">
      <c r="A1101" s="28"/>
      <c r="B1101" s="28"/>
      <c r="C1101" s="28"/>
      <c r="D1101" s="28"/>
      <c r="E1101" s="28"/>
    </row>
    <row r="1102">
      <c r="A1102" s="28"/>
      <c r="B1102" s="28"/>
      <c r="C1102" s="28"/>
      <c r="D1102" s="28"/>
      <c r="E1102" s="28"/>
    </row>
    <row r="1103">
      <c r="A1103" s="28"/>
      <c r="B1103" s="28"/>
      <c r="C1103" s="28"/>
      <c r="D1103" s="28"/>
      <c r="E1103" s="28"/>
    </row>
    <row r="1104">
      <c r="A1104" s="28"/>
      <c r="B1104" s="28"/>
      <c r="C1104" s="28"/>
      <c r="D1104" s="28"/>
      <c r="E1104" s="28"/>
    </row>
    <row r="1105">
      <c r="A1105" s="28"/>
      <c r="B1105" s="28"/>
      <c r="C1105" s="28"/>
      <c r="D1105" s="28"/>
      <c r="E1105" s="28"/>
    </row>
    <row r="1106">
      <c r="A1106" s="28"/>
      <c r="B1106" s="28"/>
      <c r="C1106" s="28"/>
      <c r="D1106" s="28"/>
      <c r="E1106" s="28"/>
    </row>
    <row r="1107">
      <c r="A1107" s="28"/>
      <c r="B1107" s="28"/>
      <c r="C1107" s="28"/>
      <c r="D1107" s="28"/>
      <c r="E1107" s="28"/>
    </row>
    <row r="1108">
      <c r="A1108" s="28"/>
      <c r="B1108" s="28"/>
      <c r="C1108" s="28"/>
      <c r="D1108" s="28"/>
      <c r="E1108" s="28"/>
    </row>
    <row r="1109">
      <c r="A1109" s="28"/>
      <c r="B1109" s="28"/>
      <c r="C1109" s="28"/>
      <c r="D1109" s="28"/>
      <c r="E1109" s="28"/>
    </row>
    <row r="1110">
      <c r="A1110" s="28"/>
      <c r="B1110" s="28"/>
      <c r="C1110" s="28"/>
      <c r="D1110" s="28"/>
      <c r="E1110" s="28"/>
    </row>
    <row r="1111">
      <c r="A1111" s="28"/>
      <c r="B1111" s="28"/>
      <c r="C1111" s="28"/>
      <c r="D1111" s="28"/>
      <c r="E1111" s="28"/>
    </row>
    <row r="1112">
      <c r="A1112" s="28"/>
      <c r="B1112" s="28"/>
      <c r="C1112" s="28"/>
      <c r="D1112" s="28"/>
      <c r="E1112" s="28"/>
    </row>
    <row r="1113">
      <c r="A1113" s="28"/>
      <c r="B1113" s="28"/>
      <c r="C1113" s="28"/>
      <c r="D1113" s="28"/>
      <c r="E1113" s="28"/>
    </row>
    <row r="1114">
      <c r="A1114" s="28"/>
      <c r="B1114" s="28"/>
      <c r="C1114" s="28"/>
      <c r="D1114" s="28"/>
      <c r="E1114" s="28"/>
    </row>
    <row r="1115">
      <c r="A1115" s="28"/>
      <c r="B1115" s="28"/>
      <c r="C1115" s="28"/>
      <c r="D1115" s="28"/>
      <c r="E1115" s="28"/>
    </row>
    <row r="1116">
      <c r="A1116" s="28"/>
      <c r="B1116" s="28"/>
      <c r="C1116" s="28"/>
      <c r="D1116" s="28"/>
      <c r="E1116" s="28"/>
    </row>
    <row r="1117">
      <c r="A1117" s="28"/>
      <c r="B1117" s="28"/>
      <c r="C1117" s="28"/>
      <c r="D1117" s="28"/>
      <c r="E1117" s="28"/>
    </row>
    <row r="1118">
      <c r="A1118" s="28"/>
      <c r="B1118" s="28"/>
      <c r="C1118" s="28"/>
      <c r="D1118" s="28"/>
      <c r="E1118" s="28"/>
    </row>
    <row r="1119">
      <c r="A1119" s="28"/>
      <c r="B1119" s="28"/>
      <c r="C1119" s="28"/>
      <c r="D1119" s="28"/>
      <c r="E1119" s="28"/>
    </row>
    <row r="1120">
      <c r="A1120" s="28"/>
      <c r="B1120" s="28"/>
      <c r="C1120" s="28"/>
      <c r="D1120" s="28"/>
      <c r="E1120" s="28"/>
    </row>
    <row r="1121">
      <c r="A1121" s="28"/>
      <c r="B1121" s="28"/>
      <c r="C1121" s="28"/>
      <c r="D1121" s="28"/>
      <c r="E1121" s="28"/>
    </row>
    <row r="1122">
      <c r="A1122" s="28"/>
      <c r="B1122" s="28"/>
      <c r="C1122" s="28"/>
      <c r="D1122" s="28"/>
      <c r="E1122" s="28"/>
    </row>
    <row r="1123">
      <c r="A1123" s="28"/>
      <c r="B1123" s="28"/>
      <c r="C1123" s="28"/>
      <c r="D1123" s="28"/>
      <c r="E1123" s="28"/>
    </row>
    <row r="1124">
      <c r="A1124" s="28"/>
      <c r="B1124" s="28"/>
      <c r="C1124" s="28"/>
      <c r="D1124" s="28"/>
      <c r="E1124" s="28"/>
    </row>
    <row r="1125">
      <c r="A1125" s="28"/>
      <c r="B1125" s="28"/>
      <c r="C1125" s="28"/>
      <c r="D1125" s="28"/>
      <c r="E1125" s="28"/>
    </row>
    <row r="1126">
      <c r="A1126" s="28"/>
      <c r="B1126" s="28"/>
      <c r="C1126" s="28"/>
      <c r="D1126" s="28"/>
      <c r="E1126" s="28"/>
    </row>
    <row r="1127">
      <c r="A1127" s="28"/>
      <c r="B1127" s="28"/>
      <c r="C1127" s="28"/>
      <c r="D1127" s="28"/>
      <c r="E1127" s="28"/>
    </row>
    <row r="1128">
      <c r="A1128" s="28"/>
      <c r="B1128" s="28"/>
      <c r="C1128" s="28"/>
      <c r="D1128" s="28"/>
      <c r="E1128" s="28"/>
    </row>
    <row r="1129">
      <c r="A1129" s="28"/>
      <c r="B1129" s="28"/>
      <c r="C1129" s="28"/>
      <c r="D1129" s="28"/>
      <c r="E1129" s="28"/>
    </row>
    <row r="1130">
      <c r="A1130" s="28"/>
      <c r="B1130" s="28"/>
      <c r="C1130" s="28"/>
      <c r="D1130" s="28"/>
      <c r="E1130" s="28"/>
    </row>
    <row r="1131">
      <c r="A1131" s="28"/>
      <c r="B1131" s="28"/>
      <c r="C1131" s="28"/>
      <c r="D1131" s="28"/>
      <c r="E1131" s="28"/>
    </row>
    <row r="1132">
      <c r="A1132" s="28"/>
      <c r="B1132" s="28"/>
      <c r="C1132" s="28"/>
      <c r="D1132" s="28"/>
      <c r="E1132" s="28"/>
    </row>
    <row r="1133">
      <c r="A1133" s="28"/>
      <c r="B1133" s="28"/>
      <c r="C1133" s="28"/>
      <c r="D1133" s="28"/>
      <c r="E1133" s="28"/>
    </row>
    <row r="1134">
      <c r="A1134" s="28"/>
      <c r="B1134" s="28"/>
      <c r="C1134" s="28"/>
      <c r="D1134" s="28"/>
      <c r="E1134" s="28"/>
    </row>
    <row r="1135">
      <c r="A1135" s="28"/>
      <c r="B1135" s="28"/>
      <c r="C1135" s="28"/>
      <c r="D1135" s="28"/>
      <c r="E1135" s="28"/>
    </row>
    <row r="1136">
      <c r="A1136" s="28"/>
      <c r="B1136" s="28"/>
      <c r="C1136" s="28"/>
      <c r="D1136" s="28"/>
      <c r="E1136" s="28"/>
    </row>
    <row r="1137">
      <c r="A1137" s="28"/>
      <c r="B1137" s="28"/>
      <c r="C1137" s="28"/>
      <c r="D1137" s="28"/>
      <c r="E1137" s="28"/>
    </row>
    <row r="1138">
      <c r="A1138" s="28"/>
      <c r="B1138" s="28"/>
      <c r="C1138" s="28"/>
      <c r="D1138" s="28"/>
      <c r="E1138" s="28"/>
    </row>
    <row r="1139">
      <c r="A1139" s="28"/>
      <c r="B1139" s="28"/>
      <c r="C1139" s="28"/>
      <c r="D1139" s="28"/>
      <c r="E1139" s="28"/>
    </row>
    <row r="1140">
      <c r="A1140" s="28"/>
      <c r="B1140" s="28"/>
      <c r="C1140" s="28"/>
      <c r="D1140" s="28"/>
      <c r="E1140" s="28"/>
    </row>
    <row r="1141">
      <c r="A1141" s="28"/>
      <c r="B1141" s="28"/>
      <c r="C1141" s="28"/>
      <c r="D1141" s="28"/>
      <c r="E1141" s="28"/>
    </row>
    <row r="1142">
      <c r="A1142" s="28"/>
      <c r="B1142" s="28"/>
      <c r="C1142" s="28"/>
      <c r="D1142" s="28"/>
      <c r="E1142" s="28"/>
    </row>
    <row r="1143">
      <c r="A1143" s="28"/>
      <c r="B1143" s="28"/>
      <c r="C1143" s="28"/>
      <c r="D1143" s="28"/>
      <c r="E1143" s="28"/>
    </row>
    <row r="1144">
      <c r="A1144" s="28"/>
      <c r="B1144" s="28"/>
      <c r="C1144" s="28"/>
      <c r="D1144" s="28"/>
      <c r="E1144" s="28"/>
    </row>
    <row r="1145">
      <c r="A1145" s="28"/>
      <c r="B1145" s="28"/>
      <c r="C1145" s="28"/>
      <c r="D1145" s="28"/>
      <c r="E1145" s="28"/>
    </row>
    <row r="1146">
      <c r="A1146" s="28"/>
      <c r="B1146" s="28"/>
      <c r="C1146" s="28"/>
      <c r="D1146" s="28"/>
      <c r="E1146" s="28"/>
    </row>
    <row r="1147">
      <c r="A1147" s="28"/>
      <c r="B1147" s="28"/>
      <c r="C1147" s="28"/>
      <c r="D1147" s="28"/>
      <c r="E1147" s="28"/>
    </row>
    <row r="1148">
      <c r="A1148" s="28"/>
      <c r="B1148" s="28"/>
      <c r="C1148" s="28"/>
      <c r="D1148" s="28"/>
      <c r="E1148" s="28"/>
    </row>
    <row r="1149">
      <c r="A1149" s="28"/>
      <c r="B1149" s="28"/>
      <c r="C1149" s="28"/>
      <c r="D1149" s="28"/>
      <c r="E1149" s="28"/>
    </row>
    <row r="1150">
      <c r="A1150" s="28"/>
      <c r="B1150" s="28"/>
      <c r="C1150" s="28"/>
      <c r="D1150" s="28"/>
      <c r="E1150" s="28"/>
    </row>
    <row r="1151">
      <c r="A1151" s="28"/>
      <c r="B1151" s="28"/>
      <c r="C1151" s="28"/>
      <c r="D1151" s="28"/>
      <c r="E1151" s="28"/>
    </row>
    <row r="1152">
      <c r="A1152" s="28"/>
      <c r="B1152" s="28"/>
      <c r="C1152" s="28"/>
      <c r="D1152" s="28"/>
      <c r="E1152" s="28"/>
    </row>
    <row r="1153">
      <c r="A1153" s="28"/>
      <c r="B1153" s="28"/>
      <c r="C1153" s="28"/>
      <c r="D1153" s="28"/>
      <c r="E1153" s="28"/>
    </row>
    <row r="1154">
      <c r="A1154" s="28"/>
      <c r="B1154" s="28"/>
      <c r="C1154" s="28"/>
      <c r="D1154" s="28"/>
      <c r="E1154" s="28"/>
    </row>
    <row r="1155">
      <c r="A1155" s="28"/>
      <c r="B1155" s="28"/>
      <c r="C1155" s="28"/>
      <c r="D1155" s="28"/>
      <c r="E1155" s="28"/>
    </row>
    <row r="1156">
      <c r="A1156" s="28"/>
      <c r="B1156" s="28"/>
      <c r="C1156" s="28"/>
      <c r="D1156" s="28"/>
      <c r="E1156" s="28"/>
    </row>
    <row r="1157">
      <c r="A1157" s="28"/>
      <c r="B1157" s="28"/>
      <c r="C1157" s="28"/>
      <c r="D1157" s="28"/>
      <c r="E1157" s="28"/>
    </row>
    <row r="1158">
      <c r="A1158" s="28"/>
      <c r="B1158" s="28"/>
      <c r="C1158" s="28"/>
      <c r="D1158" s="28"/>
      <c r="E1158" s="28"/>
    </row>
    <row r="1159">
      <c r="A1159" s="28"/>
      <c r="B1159" s="28"/>
      <c r="C1159" s="28"/>
      <c r="D1159" s="28"/>
      <c r="E1159" s="28"/>
    </row>
    <row r="1160">
      <c r="A1160" s="28"/>
      <c r="B1160" s="28"/>
      <c r="C1160" s="28"/>
      <c r="D1160" s="28"/>
      <c r="E1160" s="28"/>
    </row>
    <row r="1161">
      <c r="A1161" s="28"/>
      <c r="B1161" s="28"/>
      <c r="C1161" s="28"/>
      <c r="D1161" s="28"/>
      <c r="E1161" s="28"/>
    </row>
    <row r="1162">
      <c r="A1162" s="28"/>
      <c r="B1162" s="28"/>
      <c r="C1162" s="28"/>
      <c r="D1162" s="28"/>
      <c r="E1162" s="28"/>
    </row>
    <row r="1163">
      <c r="A1163" s="28"/>
      <c r="B1163" s="28"/>
      <c r="C1163" s="28"/>
      <c r="D1163" s="28"/>
      <c r="E1163" s="28"/>
    </row>
    <row r="1164">
      <c r="A1164" s="28"/>
      <c r="B1164" s="28"/>
      <c r="C1164" s="28"/>
      <c r="D1164" s="28"/>
      <c r="E1164" s="28"/>
    </row>
    <row r="1165">
      <c r="A1165" s="28"/>
      <c r="B1165" s="28"/>
      <c r="C1165" s="28"/>
      <c r="D1165" s="28"/>
      <c r="E1165" s="28"/>
    </row>
    <row r="1166">
      <c r="A1166" s="28"/>
      <c r="B1166" s="28"/>
      <c r="C1166" s="28"/>
      <c r="D1166" s="28"/>
      <c r="E1166" s="28"/>
    </row>
    <row r="1167">
      <c r="A1167" s="28"/>
      <c r="B1167" s="28"/>
      <c r="C1167" s="28"/>
      <c r="D1167" s="28"/>
      <c r="E1167" s="28"/>
    </row>
    <row r="1168">
      <c r="A1168" s="28"/>
      <c r="B1168" s="28"/>
      <c r="C1168" s="28"/>
      <c r="D1168" s="28"/>
      <c r="E1168" s="28"/>
    </row>
    <row r="1169">
      <c r="A1169" s="28"/>
      <c r="B1169" s="28"/>
      <c r="C1169" s="28"/>
      <c r="D1169" s="28"/>
      <c r="E1169" s="28"/>
    </row>
    <row r="1170">
      <c r="A1170" s="28"/>
      <c r="B1170" s="28"/>
      <c r="C1170" s="28"/>
      <c r="D1170" s="28"/>
      <c r="E1170" s="28"/>
    </row>
    <row r="1171">
      <c r="A1171" s="28"/>
      <c r="B1171" s="28"/>
      <c r="C1171" s="28"/>
      <c r="D1171" s="28"/>
      <c r="E1171" s="28"/>
    </row>
    <row r="1172">
      <c r="A1172" s="28"/>
      <c r="B1172" s="28"/>
      <c r="C1172" s="28"/>
      <c r="D1172" s="28"/>
      <c r="E1172" s="28"/>
    </row>
    <row r="1173">
      <c r="A1173" s="28"/>
      <c r="B1173" s="28"/>
      <c r="C1173" s="28"/>
      <c r="D1173" s="28"/>
      <c r="E1173" s="28"/>
    </row>
    <row r="1174">
      <c r="A1174" s="28"/>
      <c r="B1174" s="28"/>
      <c r="C1174" s="28"/>
      <c r="D1174" s="28"/>
      <c r="E1174" s="28"/>
    </row>
    <row r="1175">
      <c r="A1175" s="28"/>
      <c r="B1175" s="28"/>
      <c r="C1175" s="28"/>
      <c r="D1175" s="28"/>
      <c r="E1175" s="28"/>
    </row>
    <row r="1176">
      <c r="A1176" s="28"/>
      <c r="B1176" s="28"/>
      <c r="C1176" s="28"/>
      <c r="D1176" s="28"/>
      <c r="E1176" s="28"/>
    </row>
    <row r="1177">
      <c r="A1177" s="28"/>
      <c r="B1177" s="28"/>
      <c r="C1177" s="28"/>
      <c r="D1177" s="28"/>
      <c r="E1177" s="28"/>
    </row>
    <row r="1178">
      <c r="A1178" s="28"/>
      <c r="B1178" s="28"/>
      <c r="C1178" s="28"/>
      <c r="D1178" s="28"/>
      <c r="E1178" s="28"/>
    </row>
    <row r="1179">
      <c r="A1179" s="28"/>
      <c r="B1179" s="28"/>
      <c r="C1179" s="28"/>
      <c r="D1179" s="28"/>
      <c r="E1179" s="28"/>
    </row>
    <row r="1180">
      <c r="A1180" s="28"/>
      <c r="B1180" s="28"/>
      <c r="C1180" s="28"/>
      <c r="D1180" s="28"/>
      <c r="E1180" s="28"/>
    </row>
    <row r="1181">
      <c r="A1181" s="28"/>
      <c r="B1181" s="28"/>
      <c r="C1181" s="28"/>
      <c r="D1181" s="28"/>
      <c r="E1181" s="28"/>
    </row>
    <row r="1182">
      <c r="A1182" s="28"/>
      <c r="B1182" s="28"/>
      <c r="C1182" s="28"/>
      <c r="D1182" s="28"/>
      <c r="E1182" s="28"/>
    </row>
    <row r="1183">
      <c r="A1183" s="28"/>
      <c r="B1183" s="28"/>
      <c r="C1183" s="28"/>
      <c r="D1183" s="28"/>
      <c r="E1183" s="28"/>
    </row>
    <row r="1184">
      <c r="A1184" s="28"/>
      <c r="B1184" s="28"/>
      <c r="C1184" s="28"/>
      <c r="D1184" s="28"/>
      <c r="E1184" s="28"/>
    </row>
    <row r="1185">
      <c r="A1185" s="28"/>
      <c r="B1185" s="28"/>
      <c r="C1185" s="28"/>
      <c r="D1185" s="28"/>
      <c r="E1185" s="28"/>
    </row>
    <row r="1186">
      <c r="A1186" s="28"/>
      <c r="B1186" s="28"/>
      <c r="C1186" s="28"/>
      <c r="D1186" s="28"/>
      <c r="E1186" s="28"/>
    </row>
    <row r="1187">
      <c r="A1187" s="28"/>
      <c r="B1187" s="28"/>
      <c r="C1187" s="28"/>
      <c r="D1187" s="28"/>
      <c r="E1187" s="28"/>
    </row>
    <row r="1188">
      <c r="A1188" s="28"/>
      <c r="B1188" s="28"/>
      <c r="C1188" s="28"/>
      <c r="D1188" s="28"/>
      <c r="E1188" s="28"/>
    </row>
    <row r="1189">
      <c r="A1189" s="28"/>
      <c r="B1189" s="28"/>
      <c r="C1189" s="28"/>
      <c r="D1189" s="28"/>
      <c r="E1189" s="28"/>
    </row>
    <row r="1190">
      <c r="A1190" s="28"/>
      <c r="B1190" s="28"/>
      <c r="C1190" s="28"/>
      <c r="D1190" s="28"/>
      <c r="E1190" s="28"/>
    </row>
    <row r="1191">
      <c r="A1191" s="28"/>
      <c r="B1191" s="28"/>
      <c r="C1191" s="28"/>
      <c r="D1191" s="28"/>
      <c r="E1191" s="28"/>
    </row>
    <row r="1192">
      <c r="A1192" s="28"/>
      <c r="B1192" s="28"/>
      <c r="C1192" s="28"/>
      <c r="D1192" s="28"/>
      <c r="E1192" s="28"/>
    </row>
    <row r="1193">
      <c r="A1193" s="28"/>
      <c r="B1193" s="28"/>
      <c r="C1193" s="28"/>
      <c r="D1193" s="28"/>
      <c r="E1193" s="28"/>
    </row>
    <row r="1194">
      <c r="A1194" s="28"/>
      <c r="B1194" s="28"/>
      <c r="C1194" s="28"/>
      <c r="D1194" s="28"/>
      <c r="E1194" s="28"/>
    </row>
    <row r="1195">
      <c r="A1195" s="28"/>
      <c r="B1195" s="28"/>
      <c r="C1195" s="28"/>
      <c r="D1195" s="28"/>
      <c r="E1195" s="28"/>
    </row>
    <row r="1196">
      <c r="A1196" s="28"/>
      <c r="B1196" s="28"/>
      <c r="C1196" s="28"/>
      <c r="D1196" s="28"/>
      <c r="E1196" s="28"/>
    </row>
    <row r="1197">
      <c r="A1197" s="28"/>
      <c r="B1197" s="28"/>
      <c r="C1197" s="28"/>
      <c r="D1197" s="28"/>
      <c r="E1197" s="28"/>
    </row>
    <row r="1198">
      <c r="A1198" s="28"/>
      <c r="B1198" s="28"/>
      <c r="C1198" s="28"/>
      <c r="D1198" s="28"/>
      <c r="E1198" s="28"/>
    </row>
    <row r="1199">
      <c r="A1199" s="28"/>
      <c r="B1199" s="28"/>
      <c r="C1199" s="28"/>
      <c r="D1199" s="28"/>
      <c r="E1199" s="28"/>
    </row>
    <row r="1200">
      <c r="A1200" s="28"/>
      <c r="B1200" s="28"/>
      <c r="C1200" s="28"/>
      <c r="D1200" s="28"/>
      <c r="E1200" s="28"/>
    </row>
    <row r="1201">
      <c r="A1201" s="28"/>
      <c r="B1201" s="28"/>
      <c r="C1201" s="28"/>
      <c r="D1201" s="28"/>
      <c r="E1201" s="28"/>
    </row>
    <row r="1202">
      <c r="A1202" s="28"/>
      <c r="B1202" s="28"/>
      <c r="C1202" s="28"/>
      <c r="D1202" s="28"/>
      <c r="E1202" s="28"/>
    </row>
    <row r="1203">
      <c r="A1203" s="28"/>
      <c r="B1203" s="28"/>
      <c r="C1203" s="28"/>
      <c r="D1203" s="28"/>
      <c r="E1203" s="28"/>
    </row>
    <row r="1204">
      <c r="A1204" s="28"/>
      <c r="B1204" s="28"/>
      <c r="C1204" s="28"/>
      <c r="D1204" s="28"/>
      <c r="E1204" s="28"/>
    </row>
    <row r="1205">
      <c r="A1205" s="28"/>
      <c r="B1205" s="28"/>
      <c r="C1205" s="28"/>
      <c r="D1205" s="28"/>
      <c r="E1205" s="28"/>
    </row>
    <row r="1206">
      <c r="A1206" s="28"/>
      <c r="B1206" s="28"/>
      <c r="C1206" s="28"/>
      <c r="D1206" s="28"/>
      <c r="E1206" s="28"/>
    </row>
    <row r="1207">
      <c r="A1207" s="28"/>
      <c r="B1207" s="28"/>
      <c r="C1207" s="28"/>
      <c r="D1207" s="28"/>
      <c r="E1207" s="28"/>
    </row>
    <row r="1208">
      <c r="A1208" s="28"/>
      <c r="B1208" s="28"/>
      <c r="C1208" s="28"/>
      <c r="D1208" s="28"/>
      <c r="E1208" s="28"/>
    </row>
    <row r="1209">
      <c r="A1209" s="28"/>
      <c r="B1209" s="28"/>
      <c r="C1209" s="28"/>
      <c r="D1209" s="28"/>
      <c r="E1209" s="28"/>
    </row>
    <row r="1210">
      <c r="A1210" s="28"/>
      <c r="B1210" s="28"/>
      <c r="C1210" s="28"/>
      <c r="D1210" s="28"/>
      <c r="E1210" s="28"/>
    </row>
    <row r="1211">
      <c r="A1211" s="28"/>
      <c r="B1211" s="28"/>
      <c r="C1211" s="28"/>
      <c r="D1211" s="28"/>
      <c r="E1211" s="28"/>
    </row>
    <row r="1212">
      <c r="A1212" s="28"/>
      <c r="B1212" s="28"/>
      <c r="C1212" s="28"/>
      <c r="D1212" s="28"/>
      <c r="E1212" s="28"/>
    </row>
    <row r="1213">
      <c r="A1213" s="28"/>
      <c r="B1213" s="28"/>
      <c r="C1213" s="28"/>
      <c r="D1213" s="28"/>
      <c r="E1213" s="28"/>
    </row>
    <row r="1214">
      <c r="A1214" s="28"/>
      <c r="B1214" s="28"/>
      <c r="C1214" s="28"/>
      <c r="D1214" s="28"/>
      <c r="E1214" s="28"/>
    </row>
    <row r="1215">
      <c r="A1215" s="28"/>
      <c r="B1215" s="28"/>
      <c r="C1215" s="28"/>
      <c r="D1215" s="28"/>
      <c r="E1215" s="28"/>
    </row>
    <row r="1216">
      <c r="A1216" s="28"/>
      <c r="B1216" s="28"/>
      <c r="C1216" s="28"/>
      <c r="D1216" s="28"/>
      <c r="E1216" s="28"/>
    </row>
    <row r="1217">
      <c r="A1217" s="28"/>
      <c r="B1217" s="28"/>
      <c r="C1217" s="28"/>
      <c r="D1217" s="28"/>
      <c r="E1217" s="28"/>
    </row>
    <row r="1218">
      <c r="A1218" s="28"/>
      <c r="B1218" s="28"/>
      <c r="C1218" s="28"/>
      <c r="D1218" s="28"/>
      <c r="E1218" s="28"/>
    </row>
    <row r="1219">
      <c r="A1219" s="28"/>
      <c r="B1219" s="28"/>
      <c r="C1219" s="28"/>
      <c r="D1219" s="28"/>
      <c r="E1219" s="28"/>
    </row>
    <row r="1220">
      <c r="A1220" s="28"/>
      <c r="B1220" s="28"/>
      <c r="C1220" s="28"/>
      <c r="D1220" s="28"/>
      <c r="E1220" s="28"/>
    </row>
    <row r="1221">
      <c r="A1221" s="28"/>
      <c r="B1221" s="28"/>
      <c r="C1221" s="28"/>
      <c r="D1221" s="28"/>
      <c r="E1221" s="28"/>
    </row>
    <row r="1222">
      <c r="A1222" s="28"/>
      <c r="B1222" s="28"/>
      <c r="C1222" s="28"/>
      <c r="D1222" s="28"/>
      <c r="E1222" s="28"/>
    </row>
    <row r="1223">
      <c r="A1223" s="28"/>
      <c r="B1223" s="28"/>
      <c r="C1223" s="28"/>
      <c r="D1223" s="28"/>
      <c r="E1223" s="28"/>
    </row>
    <row r="1224">
      <c r="A1224" s="28"/>
      <c r="B1224" s="28"/>
      <c r="C1224" s="28"/>
      <c r="D1224" s="28"/>
      <c r="E1224" s="28"/>
    </row>
    <row r="1225">
      <c r="A1225" s="28"/>
      <c r="B1225" s="28"/>
      <c r="C1225" s="28"/>
      <c r="D1225" s="28"/>
      <c r="E1225" s="28"/>
    </row>
    <row r="1226">
      <c r="A1226" s="28"/>
      <c r="B1226" s="28"/>
      <c r="C1226" s="28"/>
      <c r="D1226" s="28"/>
      <c r="E1226" s="28"/>
    </row>
    <row r="1227">
      <c r="A1227" s="28"/>
      <c r="B1227" s="28"/>
      <c r="C1227" s="28"/>
      <c r="D1227" s="28"/>
      <c r="E1227" s="28"/>
    </row>
    <row r="1228">
      <c r="A1228" s="28"/>
      <c r="B1228" s="28"/>
      <c r="C1228" s="28"/>
      <c r="D1228" s="28"/>
      <c r="E1228" s="28"/>
    </row>
    <row r="1229">
      <c r="A1229" s="28"/>
      <c r="B1229" s="28"/>
      <c r="C1229" s="28"/>
      <c r="D1229" s="28"/>
      <c r="E1229" s="28"/>
    </row>
    <row r="1230">
      <c r="A1230" s="28"/>
      <c r="B1230" s="28"/>
      <c r="C1230" s="28"/>
      <c r="D1230" s="28"/>
      <c r="E1230" s="28"/>
    </row>
    <row r="1231">
      <c r="A1231" s="28"/>
      <c r="B1231" s="28"/>
      <c r="C1231" s="28"/>
      <c r="D1231" s="28"/>
      <c r="E1231" s="28"/>
    </row>
    <row r="1232">
      <c r="A1232" s="28"/>
      <c r="B1232" s="28"/>
      <c r="C1232" s="28"/>
      <c r="D1232" s="28"/>
      <c r="E1232" s="28"/>
    </row>
    <row r="1233">
      <c r="A1233" s="28"/>
      <c r="B1233" s="28"/>
      <c r="C1233" s="28"/>
      <c r="D1233" s="28"/>
      <c r="E1233" s="28"/>
    </row>
    <row r="1234">
      <c r="A1234" s="28"/>
      <c r="B1234" s="28"/>
      <c r="C1234" s="28"/>
      <c r="D1234" s="28"/>
      <c r="E1234" s="28"/>
    </row>
    <row r="1235">
      <c r="A1235" s="28"/>
      <c r="B1235" s="28"/>
      <c r="C1235" s="28"/>
      <c r="D1235" s="28"/>
      <c r="E1235" s="28"/>
    </row>
    <row r="1236">
      <c r="A1236" s="28"/>
      <c r="B1236" s="28"/>
      <c r="C1236" s="28"/>
      <c r="D1236" s="28"/>
      <c r="E1236" s="28"/>
    </row>
    <row r="1237">
      <c r="A1237" s="28"/>
      <c r="B1237" s="28"/>
      <c r="C1237" s="28"/>
      <c r="D1237" s="28"/>
      <c r="E1237" s="28"/>
    </row>
    <row r="1238">
      <c r="A1238" s="28"/>
      <c r="B1238" s="28"/>
      <c r="C1238" s="28"/>
      <c r="D1238" s="28"/>
      <c r="E1238" s="28"/>
    </row>
    <row r="1239">
      <c r="A1239" s="28"/>
      <c r="B1239" s="28"/>
      <c r="C1239" s="28"/>
      <c r="D1239" s="28"/>
      <c r="E1239" s="28"/>
    </row>
    <row r="1240">
      <c r="A1240" s="28"/>
      <c r="B1240" s="28"/>
      <c r="C1240" s="28"/>
      <c r="D1240" s="28"/>
      <c r="E1240" s="28"/>
    </row>
    <row r="1241">
      <c r="A1241" s="28"/>
      <c r="B1241" s="28"/>
      <c r="C1241" s="28"/>
      <c r="D1241" s="28"/>
      <c r="E1241" s="28"/>
    </row>
    <row r="1242">
      <c r="A1242" s="28"/>
      <c r="B1242" s="28"/>
      <c r="C1242" s="28"/>
      <c r="D1242" s="28"/>
      <c r="E1242" s="28"/>
    </row>
    <row r="1243">
      <c r="A1243" s="28"/>
      <c r="B1243" s="28"/>
      <c r="C1243" s="28"/>
      <c r="D1243" s="28"/>
      <c r="E1243" s="28"/>
    </row>
    <row r="1244">
      <c r="A1244" s="28"/>
      <c r="B1244" s="28"/>
      <c r="C1244" s="28"/>
      <c r="D1244" s="28"/>
      <c r="E1244" s="28"/>
    </row>
    <row r="1245">
      <c r="A1245" s="28"/>
      <c r="B1245" s="28"/>
      <c r="C1245" s="28"/>
      <c r="D1245" s="28"/>
      <c r="E1245" s="28"/>
    </row>
    <row r="1246">
      <c r="A1246" s="28"/>
      <c r="B1246" s="28"/>
      <c r="C1246" s="28"/>
      <c r="D1246" s="28"/>
      <c r="E1246" s="28"/>
    </row>
    <row r="1247">
      <c r="A1247" s="28"/>
      <c r="B1247" s="28"/>
      <c r="C1247" s="28"/>
      <c r="D1247" s="28"/>
      <c r="E1247" s="28"/>
    </row>
    <row r="1248">
      <c r="A1248" s="28"/>
      <c r="B1248" s="28"/>
      <c r="C1248" s="28"/>
      <c r="D1248" s="28"/>
      <c r="E1248" s="28"/>
    </row>
    <row r="1249">
      <c r="A1249" s="28"/>
      <c r="B1249" s="28"/>
      <c r="C1249" s="28"/>
      <c r="D1249" s="28"/>
      <c r="E1249" s="28"/>
    </row>
    <row r="1250">
      <c r="A1250" s="28"/>
      <c r="B1250" s="28"/>
      <c r="C1250" s="28"/>
      <c r="D1250" s="28"/>
      <c r="E1250" s="28"/>
    </row>
    <row r="1251">
      <c r="A1251" s="28"/>
      <c r="B1251" s="28"/>
      <c r="C1251" s="28"/>
      <c r="D1251" s="28"/>
      <c r="E1251" s="28"/>
    </row>
    <row r="1252">
      <c r="A1252" s="28"/>
      <c r="B1252" s="28"/>
      <c r="C1252" s="28"/>
      <c r="D1252" s="28"/>
      <c r="E1252" s="28"/>
    </row>
    <row r="1253">
      <c r="A1253" s="28"/>
      <c r="B1253" s="28"/>
      <c r="C1253" s="28"/>
      <c r="D1253" s="28"/>
      <c r="E1253" s="28"/>
    </row>
    <row r="1254">
      <c r="A1254" s="28"/>
      <c r="B1254" s="28"/>
      <c r="C1254" s="28"/>
      <c r="D1254" s="28"/>
      <c r="E1254" s="28"/>
    </row>
    <row r="1255">
      <c r="A1255" s="28"/>
      <c r="B1255" s="28"/>
      <c r="C1255" s="28"/>
      <c r="D1255" s="28"/>
      <c r="E1255" s="28"/>
    </row>
    <row r="1256">
      <c r="A1256" s="28"/>
      <c r="B1256" s="28"/>
      <c r="C1256" s="28"/>
      <c r="D1256" s="28"/>
      <c r="E1256" s="28"/>
    </row>
    <row r="1257">
      <c r="A1257" s="28"/>
      <c r="B1257" s="28"/>
      <c r="C1257" s="28"/>
      <c r="D1257" s="28"/>
      <c r="E1257" s="28"/>
    </row>
    <row r="1258">
      <c r="A1258" s="28"/>
      <c r="B1258" s="28"/>
      <c r="C1258" s="28"/>
      <c r="D1258" s="28"/>
      <c r="E1258" s="28"/>
    </row>
    <row r="1259">
      <c r="A1259" s="28"/>
      <c r="B1259" s="28"/>
      <c r="C1259" s="28"/>
      <c r="D1259" s="28"/>
      <c r="E1259" s="28"/>
    </row>
    <row r="1260">
      <c r="A1260" s="28"/>
      <c r="B1260" s="28"/>
      <c r="C1260" s="28"/>
      <c r="D1260" s="28"/>
      <c r="E1260" s="28"/>
    </row>
    <row r="1261">
      <c r="A1261" s="28"/>
      <c r="B1261" s="28"/>
      <c r="C1261" s="28"/>
      <c r="D1261" s="28"/>
      <c r="E1261" s="28"/>
    </row>
    <row r="1262">
      <c r="A1262" s="28"/>
      <c r="B1262" s="28"/>
      <c r="C1262" s="28"/>
      <c r="D1262" s="28"/>
      <c r="E1262" s="28"/>
    </row>
    <row r="1263">
      <c r="A1263" s="28"/>
      <c r="B1263" s="28"/>
      <c r="C1263" s="28"/>
      <c r="D1263" s="28"/>
      <c r="E1263" s="28"/>
    </row>
    <row r="1264">
      <c r="A1264" s="28"/>
      <c r="B1264" s="28"/>
      <c r="C1264" s="28"/>
      <c r="D1264" s="28"/>
      <c r="E1264" s="28"/>
    </row>
    <row r="1265">
      <c r="A1265" s="28"/>
      <c r="B1265" s="28"/>
      <c r="C1265" s="28"/>
      <c r="D1265" s="28"/>
      <c r="E1265" s="28"/>
    </row>
    <row r="1266">
      <c r="A1266" s="28"/>
      <c r="B1266" s="28"/>
      <c r="C1266" s="28"/>
      <c r="D1266" s="28"/>
      <c r="E1266" s="28"/>
    </row>
    <row r="1267">
      <c r="A1267" s="28"/>
      <c r="B1267" s="28"/>
      <c r="C1267" s="28"/>
      <c r="D1267" s="28"/>
      <c r="E1267" s="28"/>
    </row>
    <row r="1268">
      <c r="A1268" s="28"/>
      <c r="B1268" s="28"/>
      <c r="C1268" s="28"/>
      <c r="D1268" s="28"/>
      <c r="E1268" s="28"/>
    </row>
    <row r="1269">
      <c r="A1269" s="28"/>
      <c r="B1269" s="28"/>
      <c r="C1269" s="28"/>
      <c r="D1269" s="28"/>
      <c r="E1269" s="28"/>
    </row>
    <row r="1270">
      <c r="A1270" s="28"/>
      <c r="B1270" s="28"/>
      <c r="C1270" s="28"/>
      <c r="D1270" s="28"/>
      <c r="E1270" s="28"/>
    </row>
    <row r="1271">
      <c r="A1271" s="28"/>
      <c r="B1271" s="28"/>
      <c r="C1271" s="28"/>
      <c r="D1271" s="28"/>
      <c r="E1271" s="28"/>
    </row>
    <row r="1272">
      <c r="A1272" s="28"/>
      <c r="B1272" s="28"/>
      <c r="C1272" s="28"/>
      <c r="D1272" s="28"/>
      <c r="E1272" s="28"/>
    </row>
    <row r="1273">
      <c r="A1273" s="28"/>
      <c r="B1273" s="28"/>
      <c r="C1273" s="28"/>
      <c r="D1273" s="28"/>
      <c r="E1273" s="28"/>
    </row>
    <row r="1274">
      <c r="A1274" s="28"/>
      <c r="B1274" s="28"/>
      <c r="C1274" s="28"/>
      <c r="D1274" s="28"/>
      <c r="E1274" s="28"/>
    </row>
    <row r="1275">
      <c r="A1275" s="28"/>
      <c r="B1275" s="28"/>
      <c r="C1275" s="28"/>
      <c r="D1275" s="28"/>
      <c r="E1275" s="28"/>
    </row>
    <row r="1276">
      <c r="A1276" s="28"/>
      <c r="B1276" s="28"/>
      <c r="C1276" s="28"/>
      <c r="D1276" s="28"/>
      <c r="E1276" s="28"/>
    </row>
    <row r="1277">
      <c r="A1277" s="28"/>
      <c r="B1277" s="28"/>
      <c r="C1277" s="28"/>
      <c r="D1277" s="28"/>
      <c r="E1277" s="28"/>
    </row>
    <row r="1278">
      <c r="A1278" s="28"/>
      <c r="B1278" s="28"/>
      <c r="C1278" s="28"/>
      <c r="D1278" s="28"/>
      <c r="E1278" s="28"/>
    </row>
    <row r="1279">
      <c r="A1279" s="28"/>
      <c r="B1279" s="28"/>
      <c r="C1279" s="28"/>
      <c r="D1279" s="28"/>
      <c r="E1279" s="28"/>
    </row>
    <row r="1280">
      <c r="A1280" s="28"/>
      <c r="B1280" s="28"/>
      <c r="C1280" s="28"/>
      <c r="D1280" s="28"/>
      <c r="E1280" s="28"/>
    </row>
    <row r="1281">
      <c r="A1281" s="28"/>
      <c r="B1281" s="28"/>
      <c r="C1281" s="28"/>
      <c r="D1281" s="28"/>
      <c r="E1281" s="28"/>
    </row>
    <row r="1282">
      <c r="A1282" s="28"/>
      <c r="B1282" s="28"/>
      <c r="C1282" s="28"/>
      <c r="D1282" s="28"/>
      <c r="E1282" s="28"/>
    </row>
    <row r="1283">
      <c r="A1283" s="28"/>
      <c r="B1283" s="28"/>
      <c r="C1283" s="28"/>
      <c r="D1283" s="28"/>
      <c r="E1283" s="28"/>
    </row>
    <row r="1284">
      <c r="A1284" s="28"/>
      <c r="B1284" s="28"/>
      <c r="C1284" s="28"/>
      <c r="D1284" s="28"/>
      <c r="E1284" s="28"/>
    </row>
    <row r="1285">
      <c r="A1285" s="28"/>
      <c r="B1285" s="28"/>
      <c r="C1285" s="28"/>
      <c r="D1285" s="28"/>
      <c r="E1285" s="28"/>
    </row>
    <row r="1286">
      <c r="A1286" s="28"/>
      <c r="B1286" s="28"/>
      <c r="C1286" s="28"/>
      <c r="D1286" s="28"/>
      <c r="E1286" s="28"/>
    </row>
    <row r="1287">
      <c r="A1287" s="28"/>
      <c r="B1287" s="28"/>
      <c r="C1287" s="28"/>
      <c r="D1287" s="28"/>
      <c r="E1287" s="28"/>
    </row>
    <row r="1288">
      <c r="A1288" s="28"/>
      <c r="B1288" s="28"/>
      <c r="C1288" s="28"/>
      <c r="D1288" s="28"/>
      <c r="E1288" s="28"/>
    </row>
    <row r="1289">
      <c r="A1289" s="28"/>
      <c r="B1289" s="28"/>
      <c r="C1289" s="28"/>
      <c r="D1289" s="28"/>
      <c r="E1289" s="28"/>
    </row>
    <row r="1290">
      <c r="A1290" s="28"/>
      <c r="B1290" s="28"/>
      <c r="C1290" s="28"/>
      <c r="D1290" s="28"/>
      <c r="E1290" s="28"/>
    </row>
    <row r="1291">
      <c r="A1291" s="28"/>
      <c r="B1291" s="28"/>
      <c r="C1291" s="28"/>
      <c r="D1291" s="28"/>
      <c r="E1291" s="28"/>
    </row>
    <row r="1292">
      <c r="A1292" s="28"/>
      <c r="B1292" s="28"/>
      <c r="C1292" s="28"/>
      <c r="D1292" s="28"/>
      <c r="E1292" s="28"/>
    </row>
    <row r="1293">
      <c r="A1293" s="28"/>
      <c r="B1293" s="28"/>
      <c r="C1293" s="28"/>
      <c r="D1293" s="28"/>
      <c r="E1293" s="28"/>
    </row>
    <row r="1294">
      <c r="A1294" s="28"/>
      <c r="B1294" s="28"/>
      <c r="C1294" s="28"/>
      <c r="D1294" s="28"/>
      <c r="E1294" s="28"/>
    </row>
    <row r="1295">
      <c r="A1295" s="28"/>
      <c r="B1295" s="28"/>
      <c r="C1295" s="28"/>
      <c r="D1295" s="28"/>
      <c r="E1295" s="28"/>
    </row>
    <row r="1296">
      <c r="A1296" s="28"/>
      <c r="B1296" s="28"/>
      <c r="C1296" s="28"/>
      <c r="D1296" s="28"/>
      <c r="E1296" s="28"/>
    </row>
    <row r="1297">
      <c r="A1297" s="28"/>
      <c r="B1297" s="28"/>
      <c r="C1297" s="28"/>
      <c r="D1297" s="28"/>
      <c r="E1297" s="28"/>
    </row>
    <row r="1298">
      <c r="A1298" s="28"/>
      <c r="B1298" s="28"/>
      <c r="C1298" s="28"/>
      <c r="D1298" s="28"/>
      <c r="E1298" s="28"/>
    </row>
    <row r="1299">
      <c r="A1299" s="28"/>
      <c r="B1299" s="28"/>
      <c r="C1299" s="28"/>
      <c r="D1299" s="28"/>
      <c r="E1299" s="28"/>
    </row>
    <row r="1300">
      <c r="A1300" s="28"/>
      <c r="B1300" s="28"/>
      <c r="C1300" s="28"/>
      <c r="D1300" s="28"/>
      <c r="E1300" s="28"/>
    </row>
    <row r="1301">
      <c r="A1301" s="28"/>
      <c r="B1301" s="28"/>
      <c r="C1301" s="28"/>
      <c r="D1301" s="28"/>
      <c r="E1301" s="28"/>
    </row>
    <row r="1302">
      <c r="A1302" s="28"/>
      <c r="B1302" s="28"/>
      <c r="C1302" s="28"/>
      <c r="D1302" s="28"/>
      <c r="E1302" s="28"/>
    </row>
    <row r="1303">
      <c r="A1303" s="28"/>
      <c r="B1303" s="28"/>
      <c r="C1303" s="28"/>
      <c r="D1303" s="28"/>
      <c r="E1303" s="28"/>
    </row>
    <row r="1304">
      <c r="A1304" s="28"/>
      <c r="B1304" s="28"/>
      <c r="C1304" s="28"/>
      <c r="D1304" s="28"/>
      <c r="E1304" s="28"/>
    </row>
    <row r="1305">
      <c r="A1305" s="28"/>
      <c r="B1305" s="28"/>
      <c r="C1305" s="28"/>
      <c r="D1305" s="28"/>
      <c r="E1305" s="28"/>
    </row>
    <row r="1306">
      <c r="A1306" s="28"/>
      <c r="B1306" s="28"/>
      <c r="C1306" s="28"/>
      <c r="D1306" s="28"/>
      <c r="E1306" s="28"/>
    </row>
    <row r="1307">
      <c r="A1307" s="28"/>
      <c r="B1307" s="28"/>
      <c r="C1307" s="28"/>
      <c r="D1307" s="28"/>
      <c r="E1307" s="28"/>
    </row>
    <row r="1308">
      <c r="A1308" s="28"/>
      <c r="B1308" s="28"/>
      <c r="C1308" s="28"/>
      <c r="D1308" s="28"/>
      <c r="E1308" s="28"/>
    </row>
    <row r="1309">
      <c r="A1309" s="28"/>
      <c r="B1309" s="28"/>
      <c r="C1309" s="28"/>
      <c r="D1309" s="28"/>
      <c r="E1309" s="28"/>
    </row>
    <row r="1310">
      <c r="A1310" s="28"/>
      <c r="B1310" s="28"/>
      <c r="C1310" s="28"/>
      <c r="D1310" s="28"/>
      <c r="E1310" s="28"/>
    </row>
    <row r="1311">
      <c r="A1311" s="28"/>
      <c r="B1311" s="28"/>
      <c r="C1311" s="28"/>
      <c r="D1311" s="28"/>
      <c r="E1311" s="28"/>
    </row>
    <row r="1312">
      <c r="A1312" s="28"/>
      <c r="B1312" s="28"/>
      <c r="C1312" s="28"/>
      <c r="D1312" s="28"/>
      <c r="E1312" s="28"/>
    </row>
    <row r="1313">
      <c r="A1313" s="28"/>
      <c r="B1313" s="28"/>
      <c r="C1313" s="28"/>
      <c r="D1313" s="28"/>
      <c r="E1313" s="28"/>
    </row>
    <row r="1314">
      <c r="A1314" s="28"/>
      <c r="B1314" s="28"/>
      <c r="C1314" s="28"/>
      <c r="D1314" s="28"/>
      <c r="E1314" s="28"/>
    </row>
    <row r="1315">
      <c r="A1315" s="28"/>
      <c r="B1315" s="28"/>
      <c r="C1315" s="28"/>
      <c r="D1315" s="28"/>
      <c r="E1315" s="28"/>
    </row>
    <row r="1316">
      <c r="A1316" s="28"/>
      <c r="B1316" s="28"/>
      <c r="C1316" s="28"/>
      <c r="D1316" s="28"/>
      <c r="E1316" s="28"/>
    </row>
    <row r="1317">
      <c r="A1317" s="28"/>
      <c r="B1317" s="28"/>
      <c r="C1317" s="28"/>
      <c r="D1317" s="28"/>
      <c r="E1317" s="28"/>
    </row>
    <row r="1318">
      <c r="A1318" s="28"/>
      <c r="B1318" s="28"/>
      <c r="C1318" s="28"/>
      <c r="D1318" s="28"/>
      <c r="E1318" s="28"/>
    </row>
    <row r="1319">
      <c r="A1319" s="28"/>
      <c r="B1319" s="28"/>
      <c r="C1319" s="28"/>
      <c r="D1319" s="28"/>
      <c r="E1319" s="28"/>
    </row>
    <row r="1320">
      <c r="A1320" s="28"/>
      <c r="B1320" s="28"/>
      <c r="C1320" s="28"/>
      <c r="D1320" s="28"/>
      <c r="E1320" s="28"/>
    </row>
    <row r="1321">
      <c r="A1321" s="28"/>
      <c r="B1321" s="28"/>
      <c r="C1321" s="28"/>
      <c r="D1321" s="28"/>
      <c r="E1321" s="28"/>
    </row>
    <row r="1322">
      <c r="A1322" s="28"/>
      <c r="B1322" s="28"/>
      <c r="C1322" s="28"/>
      <c r="D1322" s="28"/>
      <c r="E1322" s="28"/>
    </row>
    <row r="1323">
      <c r="A1323" s="28"/>
      <c r="B1323" s="28"/>
      <c r="C1323" s="28"/>
      <c r="D1323" s="28"/>
      <c r="E1323" s="28"/>
    </row>
    <row r="1324">
      <c r="A1324" s="28"/>
      <c r="B1324" s="28"/>
      <c r="C1324" s="28"/>
      <c r="D1324" s="28"/>
      <c r="E1324" s="28"/>
    </row>
    <row r="1325">
      <c r="A1325" s="28"/>
      <c r="B1325" s="28"/>
      <c r="C1325" s="28"/>
      <c r="D1325" s="28"/>
      <c r="E1325" s="28"/>
    </row>
    <row r="1326">
      <c r="A1326" s="28"/>
      <c r="B1326" s="28"/>
      <c r="C1326" s="28"/>
      <c r="D1326" s="28"/>
      <c r="E1326" s="28"/>
    </row>
    <row r="1327">
      <c r="A1327" s="28"/>
      <c r="B1327" s="28"/>
      <c r="C1327" s="28"/>
      <c r="D1327" s="28"/>
      <c r="E1327" s="28"/>
    </row>
    <row r="1328">
      <c r="A1328" s="28"/>
      <c r="B1328" s="28"/>
      <c r="C1328" s="28"/>
      <c r="D1328" s="28"/>
      <c r="E1328" s="28"/>
    </row>
    <row r="1329">
      <c r="A1329" s="28"/>
      <c r="B1329" s="28"/>
      <c r="C1329" s="28"/>
      <c r="D1329" s="28"/>
      <c r="E1329" s="28"/>
    </row>
    <row r="1330">
      <c r="A1330" s="28"/>
      <c r="B1330" s="28"/>
      <c r="C1330" s="28"/>
      <c r="D1330" s="28"/>
      <c r="E1330" s="28"/>
    </row>
    <row r="1331">
      <c r="A1331" s="28"/>
      <c r="B1331" s="28"/>
      <c r="C1331" s="28"/>
      <c r="D1331" s="28"/>
      <c r="E1331" s="28"/>
    </row>
    <row r="1332">
      <c r="A1332" s="28"/>
      <c r="B1332" s="28"/>
      <c r="C1332" s="28"/>
      <c r="D1332" s="28"/>
      <c r="E1332" s="28"/>
    </row>
    <row r="1333">
      <c r="A1333" s="28"/>
      <c r="B1333" s="28"/>
      <c r="C1333" s="28"/>
      <c r="D1333" s="28"/>
      <c r="E1333" s="28"/>
    </row>
    <row r="1334">
      <c r="A1334" s="28"/>
      <c r="B1334" s="28"/>
      <c r="C1334" s="28"/>
      <c r="D1334" s="28"/>
      <c r="E1334" s="28"/>
    </row>
    <row r="1335">
      <c r="A1335" s="28"/>
      <c r="B1335" s="28"/>
      <c r="C1335" s="28"/>
      <c r="D1335" s="28"/>
      <c r="E1335" s="28"/>
    </row>
    <row r="1336">
      <c r="A1336" s="28"/>
      <c r="B1336" s="28"/>
      <c r="C1336" s="28"/>
      <c r="D1336" s="28"/>
      <c r="E1336" s="28"/>
    </row>
    <row r="1337">
      <c r="A1337" s="28"/>
      <c r="B1337" s="28"/>
      <c r="C1337" s="28"/>
      <c r="D1337" s="28"/>
      <c r="E1337" s="28"/>
    </row>
    <row r="1338">
      <c r="A1338" s="28"/>
      <c r="B1338" s="28"/>
      <c r="C1338" s="28"/>
      <c r="D1338" s="28"/>
      <c r="E1338" s="28"/>
    </row>
    <row r="1339">
      <c r="A1339" s="28"/>
      <c r="B1339" s="28"/>
      <c r="C1339" s="28"/>
      <c r="D1339" s="28"/>
      <c r="E1339" s="28"/>
    </row>
    <row r="1340">
      <c r="A1340" s="28"/>
      <c r="B1340" s="28"/>
      <c r="C1340" s="28"/>
      <c r="D1340" s="28"/>
      <c r="E1340" s="28"/>
    </row>
    <row r="1341">
      <c r="A1341" s="28"/>
      <c r="B1341" s="28"/>
      <c r="C1341" s="28"/>
      <c r="D1341" s="28"/>
      <c r="E1341" s="28"/>
    </row>
    <row r="1342">
      <c r="A1342" s="28"/>
      <c r="B1342" s="28"/>
      <c r="C1342" s="28"/>
      <c r="D1342" s="28"/>
      <c r="E1342" s="28"/>
    </row>
    <row r="1343">
      <c r="A1343" s="28"/>
      <c r="B1343" s="28"/>
      <c r="C1343" s="28"/>
      <c r="D1343" s="28"/>
      <c r="E1343" s="28"/>
    </row>
    <row r="1344">
      <c r="A1344" s="28"/>
      <c r="B1344" s="28"/>
      <c r="C1344" s="28"/>
      <c r="D1344" s="28"/>
      <c r="E1344" s="28"/>
    </row>
    <row r="1345">
      <c r="A1345" s="28"/>
      <c r="B1345" s="28"/>
      <c r="C1345" s="28"/>
      <c r="D1345" s="28"/>
      <c r="E1345" s="28"/>
    </row>
    <row r="1346">
      <c r="A1346" s="28"/>
      <c r="B1346" s="28"/>
      <c r="C1346" s="28"/>
      <c r="D1346" s="28"/>
      <c r="E1346" s="28"/>
    </row>
    <row r="1347">
      <c r="A1347" s="28"/>
      <c r="B1347" s="28"/>
      <c r="C1347" s="28"/>
      <c r="D1347" s="28"/>
      <c r="E1347" s="28"/>
    </row>
    <row r="1348">
      <c r="A1348" s="28"/>
      <c r="B1348" s="28"/>
      <c r="C1348" s="28"/>
      <c r="D1348" s="28"/>
      <c r="E1348" s="28"/>
    </row>
    <row r="1349">
      <c r="A1349" s="28"/>
      <c r="B1349" s="28"/>
      <c r="C1349" s="28"/>
      <c r="D1349" s="28"/>
      <c r="E1349" s="28"/>
    </row>
    <row r="1350">
      <c r="A1350" s="28"/>
      <c r="B1350" s="28"/>
      <c r="C1350" s="28"/>
      <c r="D1350" s="28"/>
      <c r="E1350" s="28"/>
    </row>
    <row r="1351">
      <c r="A1351" s="28"/>
      <c r="B1351" s="28"/>
      <c r="C1351" s="28"/>
      <c r="D1351" s="28"/>
      <c r="E1351" s="28"/>
    </row>
    <row r="1352">
      <c r="A1352" s="28"/>
      <c r="B1352" s="28"/>
      <c r="C1352" s="28"/>
      <c r="D1352" s="28"/>
      <c r="E1352" s="28"/>
    </row>
    <row r="1353">
      <c r="A1353" s="28"/>
      <c r="B1353" s="28"/>
      <c r="C1353" s="28"/>
      <c r="D1353" s="28"/>
      <c r="E1353" s="28"/>
    </row>
    <row r="1354">
      <c r="A1354" s="28"/>
      <c r="B1354" s="28"/>
      <c r="C1354" s="28"/>
      <c r="D1354" s="28"/>
      <c r="E1354" s="28"/>
    </row>
    <row r="1355">
      <c r="A1355" s="28"/>
      <c r="B1355" s="28"/>
      <c r="C1355" s="28"/>
      <c r="D1355" s="28"/>
      <c r="E1355" s="28"/>
    </row>
    <row r="1356">
      <c r="A1356" s="28"/>
      <c r="B1356" s="28"/>
      <c r="C1356" s="28"/>
      <c r="D1356" s="28"/>
      <c r="E1356" s="28"/>
    </row>
    <row r="1357">
      <c r="A1357" s="28"/>
      <c r="B1357" s="28"/>
      <c r="C1357" s="28"/>
      <c r="D1357" s="28"/>
      <c r="E1357" s="28"/>
    </row>
    <row r="1358">
      <c r="A1358" s="28"/>
      <c r="B1358" s="28"/>
      <c r="C1358" s="28"/>
      <c r="D1358" s="28"/>
      <c r="E1358" s="28"/>
    </row>
    <row r="1359">
      <c r="A1359" s="28"/>
      <c r="B1359" s="28"/>
      <c r="C1359" s="28"/>
      <c r="D1359" s="28"/>
      <c r="E1359" s="28"/>
    </row>
    <row r="1360">
      <c r="A1360" s="28"/>
      <c r="B1360" s="28"/>
      <c r="C1360" s="28"/>
      <c r="D1360" s="28"/>
      <c r="E1360" s="28"/>
    </row>
    <row r="1361">
      <c r="A1361" s="28"/>
      <c r="B1361" s="28"/>
      <c r="C1361" s="28"/>
      <c r="D1361" s="28"/>
      <c r="E1361" s="28"/>
    </row>
    <row r="1362">
      <c r="A1362" s="28"/>
      <c r="B1362" s="28"/>
      <c r="C1362" s="28"/>
      <c r="D1362" s="28"/>
      <c r="E1362" s="28"/>
    </row>
    <row r="1363">
      <c r="A1363" s="28"/>
      <c r="B1363" s="28"/>
      <c r="C1363" s="28"/>
      <c r="D1363" s="28"/>
      <c r="E1363" s="28"/>
    </row>
    <row r="1364">
      <c r="A1364" s="28"/>
      <c r="B1364" s="28"/>
      <c r="C1364" s="28"/>
      <c r="D1364" s="28"/>
      <c r="E1364" s="28"/>
    </row>
    <row r="1365">
      <c r="A1365" s="28"/>
      <c r="B1365" s="28"/>
      <c r="C1365" s="28"/>
      <c r="D1365" s="28"/>
      <c r="E1365" s="28"/>
    </row>
    <row r="1366">
      <c r="A1366" s="28"/>
      <c r="B1366" s="28"/>
      <c r="C1366" s="28"/>
      <c r="D1366" s="28"/>
      <c r="E1366" s="28"/>
    </row>
    <row r="1367">
      <c r="A1367" s="28"/>
      <c r="B1367" s="28"/>
      <c r="C1367" s="28"/>
      <c r="D1367" s="28"/>
      <c r="E1367" s="28"/>
    </row>
    <row r="1368">
      <c r="A1368" s="28"/>
      <c r="B1368" s="28"/>
      <c r="C1368" s="28"/>
      <c r="D1368" s="28"/>
      <c r="E1368" s="28"/>
    </row>
    <row r="1369">
      <c r="A1369" s="28"/>
      <c r="B1369" s="28"/>
      <c r="C1369" s="28"/>
      <c r="D1369" s="28"/>
      <c r="E1369" s="28"/>
    </row>
    <row r="1370">
      <c r="A1370" s="28"/>
      <c r="B1370" s="28"/>
      <c r="C1370" s="28"/>
      <c r="D1370" s="28"/>
      <c r="E1370" s="28"/>
    </row>
    <row r="1371">
      <c r="A1371" s="28"/>
      <c r="B1371" s="28"/>
      <c r="C1371" s="28"/>
      <c r="D1371" s="28"/>
      <c r="E1371" s="28"/>
    </row>
    <row r="1372">
      <c r="A1372" s="28"/>
      <c r="B1372" s="28"/>
      <c r="C1372" s="28"/>
      <c r="D1372" s="28"/>
      <c r="E1372" s="28"/>
    </row>
    <row r="1373">
      <c r="A1373" s="28"/>
      <c r="B1373" s="28"/>
      <c r="C1373" s="28"/>
      <c r="D1373" s="28"/>
      <c r="E1373" s="28"/>
    </row>
    <row r="1374">
      <c r="A1374" s="28"/>
      <c r="B1374" s="28"/>
      <c r="C1374" s="28"/>
      <c r="D1374" s="28"/>
      <c r="E1374" s="28"/>
    </row>
    <row r="1375">
      <c r="A1375" s="28"/>
      <c r="B1375" s="28"/>
      <c r="C1375" s="28"/>
      <c r="D1375" s="28"/>
      <c r="E1375" s="28"/>
    </row>
    <row r="1376">
      <c r="A1376" s="28"/>
      <c r="B1376" s="28"/>
      <c r="C1376" s="28"/>
      <c r="D1376" s="28"/>
      <c r="E1376" s="28"/>
    </row>
    <row r="1377">
      <c r="A1377" s="28"/>
      <c r="B1377" s="28"/>
      <c r="C1377" s="28"/>
      <c r="D1377" s="28"/>
      <c r="E1377" s="28"/>
    </row>
    <row r="1378">
      <c r="A1378" s="28"/>
      <c r="B1378" s="28"/>
      <c r="C1378" s="28"/>
      <c r="D1378" s="28"/>
      <c r="E1378" s="28"/>
    </row>
    <row r="1379">
      <c r="A1379" s="28"/>
      <c r="B1379" s="28"/>
      <c r="C1379" s="28"/>
      <c r="D1379" s="28"/>
      <c r="E1379" s="28"/>
    </row>
    <row r="1380">
      <c r="A1380" s="28"/>
      <c r="B1380" s="28"/>
      <c r="C1380" s="28"/>
      <c r="D1380" s="28"/>
      <c r="E1380" s="28"/>
    </row>
    <row r="1381">
      <c r="A1381" s="28"/>
      <c r="B1381" s="28"/>
      <c r="C1381" s="28"/>
      <c r="D1381" s="28"/>
      <c r="E1381" s="28"/>
    </row>
    <row r="1382">
      <c r="A1382" s="28"/>
      <c r="B1382" s="28"/>
      <c r="C1382" s="28"/>
      <c r="D1382" s="28"/>
      <c r="E1382" s="28"/>
    </row>
    <row r="1383">
      <c r="A1383" s="28"/>
      <c r="B1383" s="28"/>
      <c r="C1383" s="28"/>
      <c r="D1383" s="28"/>
      <c r="E1383" s="28"/>
    </row>
    <row r="1384">
      <c r="A1384" s="28"/>
      <c r="B1384" s="28"/>
      <c r="C1384" s="28"/>
      <c r="D1384" s="28"/>
      <c r="E1384" s="28"/>
    </row>
    <row r="1385">
      <c r="A1385" s="28"/>
      <c r="B1385" s="28"/>
      <c r="C1385" s="28"/>
      <c r="D1385" s="28"/>
      <c r="E1385" s="28"/>
    </row>
    <row r="1386">
      <c r="A1386" s="28"/>
      <c r="B1386" s="28"/>
      <c r="C1386" s="28"/>
      <c r="D1386" s="28"/>
      <c r="E1386" s="28"/>
    </row>
    <row r="1387">
      <c r="A1387" s="28"/>
      <c r="B1387" s="28"/>
      <c r="C1387" s="28"/>
      <c r="D1387" s="28"/>
      <c r="E1387" s="28"/>
    </row>
    <row r="1388">
      <c r="A1388" s="28"/>
      <c r="B1388" s="28"/>
      <c r="C1388" s="28"/>
      <c r="D1388" s="28"/>
      <c r="E1388" s="28"/>
    </row>
    <row r="1389">
      <c r="A1389" s="28"/>
      <c r="B1389" s="28"/>
      <c r="C1389" s="28"/>
      <c r="D1389" s="28"/>
      <c r="E1389" s="28"/>
    </row>
    <row r="1390">
      <c r="A1390" s="28"/>
      <c r="B1390" s="28"/>
      <c r="C1390" s="28"/>
      <c r="D1390" s="28"/>
      <c r="E1390" s="28"/>
    </row>
    <row r="1391">
      <c r="A1391" s="28"/>
      <c r="B1391" s="28"/>
      <c r="C1391" s="28"/>
      <c r="D1391" s="28"/>
      <c r="E1391" s="28"/>
    </row>
    <row r="1392">
      <c r="A1392" s="28"/>
      <c r="B1392" s="28"/>
      <c r="C1392" s="28"/>
      <c r="D1392" s="28"/>
      <c r="E1392" s="28"/>
    </row>
    <row r="1393">
      <c r="A1393" s="28"/>
      <c r="B1393" s="28"/>
      <c r="C1393" s="28"/>
      <c r="D1393" s="28"/>
      <c r="E1393" s="28"/>
    </row>
    <row r="1394">
      <c r="A1394" s="28"/>
      <c r="B1394" s="28"/>
      <c r="C1394" s="28"/>
      <c r="D1394" s="28"/>
      <c r="E1394" s="28"/>
    </row>
    <row r="1395">
      <c r="A1395" s="28"/>
      <c r="B1395" s="28"/>
      <c r="C1395" s="28"/>
      <c r="D1395" s="28"/>
      <c r="E1395" s="28"/>
    </row>
    <row r="1396">
      <c r="A1396" s="28"/>
      <c r="B1396" s="28"/>
      <c r="C1396" s="28"/>
      <c r="D1396" s="28"/>
      <c r="E1396" s="28"/>
    </row>
    <row r="1397">
      <c r="A1397" s="28"/>
      <c r="B1397" s="28"/>
      <c r="C1397" s="28"/>
      <c r="D1397" s="28"/>
      <c r="E1397" s="28"/>
    </row>
    <row r="1398">
      <c r="A1398" s="28"/>
      <c r="B1398" s="28"/>
      <c r="C1398" s="28"/>
      <c r="D1398" s="28"/>
      <c r="E1398" s="28"/>
    </row>
    <row r="1399">
      <c r="A1399" s="28"/>
      <c r="B1399" s="28"/>
      <c r="C1399" s="28"/>
      <c r="D1399" s="28"/>
      <c r="E1399" s="28"/>
    </row>
    <row r="1400">
      <c r="A1400" s="28"/>
      <c r="B1400" s="28"/>
      <c r="C1400" s="28"/>
      <c r="D1400" s="28"/>
      <c r="E1400" s="28"/>
    </row>
    <row r="1401">
      <c r="A1401" s="28"/>
      <c r="B1401" s="28"/>
      <c r="C1401" s="28"/>
      <c r="D1401" s="28"/>
      <c r="E1401" s="28"/>
    </row>
    <row r="1402">
      <c r="A1402" s="28"/>
      <c r="B1402" s="28"/>
      <c r="C1402" s="28"/>
      <c r="D1402" s="28"/>
      <c r="E1402" s="28"/>
    </row>
    <row r="1403">
      <c r="A1403" s="28"/>
      <c r="B1403" s="28"/>
      <c r="C1403" s="28"/>
      <c r="D1403" s="28"/>
      <c r="E1403" s="28"/>
    </row>
    <row r="1404">
      <c r="A1404" s="28"/>
      <c r="B1404" s="28"/>
      <c r="C1404" s="28"/>
      <c r="D1404" s="28"/>
      <c r="E1404" s="28"/>
    </row>
    <row r="1405">
      <c r="A1405" s="28"/>
      <c r="B1405" s="28"/>
      <c r="C1405" s="28"/>
      <c r="D1405" s="28"/>
      <c r="E1405" s="28"/>
    </row>
    <row r="1406">
      <c r="A1406" s="28"/>
      <c r="B1406" s="28"/>
      <c r="C1406" s="28"/>
      <c r="D1406" s="28"/>
      <c r="E1406" s="28"/>
    </row>
    <row r="1407">
      <c r="A1407" s="28"/>
      <c r="B1407" s="28"/>
      <c r="C1407" s="28"/>
      <c r="D1407" s="28"/>
      <c r="E1407" s="28"/>
    </row>
    <row r="1408">
      <c r="A1408" s="28"/>
      <c r="B1408" s="28"/>
      <c r="C1408" s="28"/>
      <c r="D1408" s="28"/>
      <c r="E1408" s="28"/>
    </row>
    <row r="1409">
      <c r="A1409" s="28"/>
      <c r="B1409" s="28"/>
      <c r="C1409" s="28"/>
      <c r="D1409" s="28"/>
      <c r="E1409" s="28"/>
    </row>
    <row r="1410">
      <c r="A1410" s="28"/>
      <c r="B1410" s="28"/>
      <c r="C1410" s="28"/>
      <c r="D1410" s="28"/>
      <c r="E1410" s="28"/>
    </row>
    <row r="1411">
      <c r="A1411" s="28"/>
      <c r="B1411" s="28"/>
      <c r="C1411" s="28"/>
      <c r="D1411" s="28"/>
      <c r="E1411" s="28"/>
    </row>
    <row r="1412">
      <c r="A1412" s="28"/>
      <c r="B1412" s="28"/>
      <c r="C1412" s="28"/>
      <c r="D1412" s="28"/>
      <c r="E1412" s="28"/>
    </row>
    <row r="1413">
      <c r="A1413" s="28"/>
      <c r="B1413" s="28"/>
      <c r="C1413" s="28"/>
      <c r="D1413" s="28"/>
      <c r="E1413" s="28"/>
    </row>
    <row r="1414">
      <c r="A1414" s="28"/>
      <c r="B1414" s="28"/>
      <c r="C1414" s="28"/>
      <c r="D1414" s="28"/>
      <c r="E1414" s="28"/>
    </row>
    <row r="1415">
      <c r="A1415" s="28"/>
      <c r="B1415" s="28"/>
      <c r="C1415" s="28"/>
      <c r="D1415" s="28"/>
      <c r="E1415" s="28"/>
    </row>
    <row r="1416">
      <c r="A1416" s="28"/>
      <c r="B1416" s="28"/>
      <c r="C1416" s="28"/>
      <c r="D1416" s="28"/>
      <c r="E1416" s="28"/>
    </row>
    <row r="1417">
      <c r="A1417" s="28"/>
      <c r="B1417" s="28"/>
      <c r="C1417" s="28"/>
      <c r="D1417" s="28"/>
      <c r="E1417" s="28"/>
    </row>
    <row r="1418">
      <c r="A1418" s="28"/>
      <c r="B1418" s="28"/>
      <c r="C1418" s="28"/>
      <c r="D1418" s="28"/>
      <c r="E1418" s="28"/>
    </row>
    <row r="1419">
      <c r="A1419" s="28"/>
      <c r="B1419" s="28"/>
      <c r="C1419" s="28"/>
      <c r="D1419" s="28"/>
      <c r="E1419" s="28"/>
    </row>
    <row r="1420">
      <c r="A1420" s="28"/>
      <c r="B1420" s="28"/>
      <c r="C1420" s="28"/>
      <c r="D1420" s="28"/>
      <c r="E1420" s="28"/>
    </row>
    <row r="1421">
      <c r="A1421" s="28"/>
      <c r="B1421" s="28"/>
      <c r="C1421" s="28"/>
      <c r="D1421" s="28"/>
      <c r="E1421" s="28"/>
    </row>
    <row r="1422">
      <c r="A1422" s="28"/>
      <c r="B1422" s="28"/>
      <c r="C1422" s="28"/>
      <c r="D1422" s="28"/>
      <c r="E1422" s="28"/>
    </row>
    <row r="1423">
      <c r="A1423" s="28"/>
      <c r="B1423" s="28"/>
      <c r="C1423" s="28"/>
      <c r="D1423" s="28"/>
      <c r="E1423" s="28"/>
    </row>
    <row r="1424">
      <c r="A1424" s="28"/>
      <c r="B1424" s="28"/>
      <c r="C1424" s="28"/>
      <c r="D1424" s="28"/>
      <c r="E1424" s="28"/>
    </row>
    <row r="1425">
      <c r="A1425" s="28"/>
      <c r="B1425" s="28"/>
      <c r="C1425" s="28"/>
      <c r="D1425" s="28"/>
      <c r="E1425" s="28"/>
    </row>
    <row r="1426">
      <c r="A1426" s="28"/>
      <c r="B1426" s="28"/>
      <c r="C1426" s="28"/>
      <c r="D1426" s="28"/>
      <c r="E1426" s="28"/>
    </row>
    <row r="1427">
      <c r="A1427" s="28"/>
      <c r="B1427" s="28"/>
      <c r="C1427" s="28"/>
      <c r="D1427" s="28"/>
      <c r="E1427" s="28"/>
    </row>
    <row r="1428">
      <c r="A1428" s="28"/>
      <c r="B1428" s="28"/>
      <c r="C1428" s="28"/>
      <c r="D1428" s="28"/>
      <c r="E1428" s="28"/>
    </row>
    <row r="1429">
      <c r="A1429" s="28"/>
      <c r="B1429" s="28"/>
      <c r="C1429" s="28"/>
      <c r="D1429" s="28"/>
      <c r="E1429" s="28"/>
    </row>
    <row r="1430">
      <c r="A1430" s="28"/>
      <c r="B1430" s="28"/>
      <c r="C1430" s="28"/>
      <c r="D1430" s="28"/>
      <c r="E1430" s="28"/>
    </row>
    <row r="1431">
      <c r="A1431" s="28"/>
      <c r="B1431" s="28"/>
      <c r="C1431" s="28"/>
      <c r="D1431" s="28"/>
      <c r="E1431" s="28"/>
    </row>
    <row r="1432">
      <c r="A1432" s="28"/>
      <c r="B1432" s="28"/>
      <c r="C1432" s="28"/>
      <c r="D1432" s="28"/>
      <c r="E1432" s="28"/>
    </row>
    <row r="1433">
      <c r="A1433" s="28"/>
      <c r="B1433" s="28"/>
      <c r="C1433" s="28"/>
      <c r="D1433" s="28"/>
      <c r="E1433" s="28"/>
    </row>
    <row r="1434">
      <c r="A1434" s="28"/>
      <c r="B1434" s="28"/>
      <c r="C1434" s="28"/>
      <c r="D1434" s="28"/>
      <c r="E1434" s="28"/>
    </row>
    <row r="1435">
      <c r="A1435" s="28"/>
      <c r="B1435" s="28"/>
      <c r="C1435" s="28"/>
      <c r="D1435" s="28"/>
      <c r="E1435" s="28"/>
    </row>
    <row r="1436">
      <c r="A1436" s="28"/>
      <c r="B1436" s="28"/>
      <c r="C1436" s="28"/>
      <c r="D1436" s="28"/>
      <c r="E1436" s="28"/>
    </row>
    <row r="1437">
      <c r="A1437" s="28"/>
      <c r="B1437" s="28"/>
      <c r="C1437" s="28"/>
      <c r="D1437" s="28"/>
      <c r="E1437" s="28"/>
    </row>
    <row r="1438">
      <c r="A1438" s="28"/>
      <c r="B1438" s="28"/>
      <c r="C1438" s="28"/>
      <c r="D1438" s="28"/>
      <c r="E1438" s="28"/>
    </row>
    <row r="1439">
      <c r="A1439" s="28"/>
      <c r="B1439" s="28"/>
      <c r="C1439" s="28"/>
      <c r="D1439" s="28"/>
      <c r="E1439" s="28"/>
    </row>
    <row r="1440">
      <c r="A1440" s="28"/>
      <c r="B1440" s="28"/>
      <c r="C1440" s="28"/>
      <c r="D1440" s="28"/>
      <c r="E1440" s="28"/>
    </row>
    <row r="1441">
      <c r="A1441" s="28"/>
      <c r="B1441" s="28"/>
      <c r="C1441" s="28"/>
      <c r="D1441" s="28"/>
      <c r="E1441" s="28"/>
    </row>
    <row r="1442">
      <c r="A1442" s="28"/>
      <c r="B1442" s="28"/>
      <c r="C1442" s="28"/>
      <c r="D1442" s="28"/>
      <c r="E1442" s="28"/>
    </row>
    <row r="1443">
      <c r="A1443" s="28"/>
      <c r="B1443" s="28"/>
      <c r="C1443" s="28"/>
      <c r="D1443" s="28"/>
      <c r="E1443" s="28"/>
    </row>
    <row r="1444">
      <c r="A1444" s="28"/>
      <c r="B1444" s="28"/>
      <c r="C1444" s="28"/>
      <c r="D1444" s="28"/>
      <c r="E1444" s="28"/>
    </row>
    <row r="1445">
      <c r="A1445" s="28"/>
      <c r="B1445" s="28"/>
      <c r="C1445" s="28"/>
      <c r="D1445" s="28"/>
      <c r="E1445" s="28"/>
    </row>
    <row r="1446">
      <c r="A1446" s="28"/>
      <c r="B1446" s="28"/>
      <c r="C1446" s="28"/>
      <c r="D1446" s="28"/>
      <c r="E1446" s="28"/>
    </row>
    <row r="1447">
      <c r="A1447" s="28"/>
      <c r="B1447" s="28"/>
      <c r="C1447" s="28"/>
      <c r="D1447" s="28"/>
      <c r="E1447" s="28"/>
    </row>
    <row r="1448">
      <c r="A1448" s="28"/>
      <c r="B1448" s="28"/>
      <c r="C1448" s="28"/>
      <c r="D1448" s="28"/>
      <c r="E1448" s="28"/>
    </row>
    <row r="1449">
      <c r="A1449" s="28"/>
      <c r="B1449" s="28"/>
      <c r="C1449" s="28"/>
      <c r="D1449" s="28"/>
      <c r="E1449" s="28"/>
    </row>
    <row r="1450">
      <c r="A1450" s="28"/>
      <c r="B1450" s="28"/>
      <c r="C1450" s="28"/>
      <c r="D1450" s="28"/>
      <c r="E1450" s="28"/>
    </row>
    <row r="1451">
      <c r="A1451" s="28"/>
      <c r="B1451" s="28"/>
      <c r="C1451" s="28"/>
      <c r="D1451" s="28"/>
      <c r="E1451" s="28"/>
    </row>
    <row r="1452">
      <c r="A1452" s="28"/>
      <c r="B1452" s="28"/>
      <c r="C1452" s="28"/>
      <c r="D1452" s="28"/>
      <c r="E1452" s="28"/>
    </row>
    <row r="1453">
      <c r="A1453" s="28"/>
      <c r="B1453" s="28"/>
      <c r="C1453" s="28"/>
      <c r="D1453" s="28"/>
      <c r="E1453" s="28"/>
    </row>
    <row r="1454">
      <c r="A1454" s="28"/>
      <c r="B1454" s="28"/>
      <c r="C1454" s="28"/>
      <c r="D1454" s="28"/>
      <c r="E1454" s="28"/>
    </row>
    <row r="1455">
      <c r="A1455" s="28"/>
      <c r="B1455" s="28"/>
      <c r="C1455" s="28"/>
      <c r="D1455" s="28"/>
      <c r="E1455" s="28"/>
    </row>
    <row r="1456">
      <c r="A1456" s="28"/>
      <c r="B1456" s="28"/>
      <c r="C1456" s="28"/>
      <c r="D1456" s="28"/>
      <c r="E1456" s="28"/>
    </row>
    <row r="1457">
      <c r="A1457" s="28"/>
      <c r="B1457" s="28"/>
      <c r="C1457" s="28"/>
      <c r="D1457" s="28"/>
      <c r="E1457" s="28"/>
    </row>
    <row r="1458">
      <c r="A1458" s="28"/>
      <c r="B1458" s="28"/>
      <c r="C1458" s="28"/>
      <c r="D1458" s="28"/>
      <c r="E1458" s="28"/>
    </row>
    <row r="1459">
      <c r="A1459" s="28"/>
      <c r="B1459" s="28"/>
      <c r="C1459" s="28"/>
      <c r="D1459" s="28"/>
      <c r="E1459" s="28"/>
    </row>
    <row r="1460">
      <c r="A1460" s="28"/>
      <c r="B1460" s="28"/>
      <c r="C1460" s="28"/>
      <c r="D1460" s="28"/>
      <c r="E1460" s="28"/>
    </row>
    <row r="1461">
      <c r="A1461" s="28"/>
      <c r="B1461" s="28"/>
      <c r="C1461" s="28"/>
      <c r="D1461" s="28"/>
      <c r="E1461" s="28"/>
    </row>
    <row r="1462">
      <c r="A1462" s="28"/>
      <c r="B1462" s="28"/>
      <c r="C1462" s="28"/>
      <c r="D1462" s="28"/>
      <c r="E1462" s="28"/>
    </row>
    <row r="1463">
      <c r="A1463" s="28"/>
      <c r="B1463" s="28"/>
      <c r="C1463" s="28"/>
      <c r="D1463" s="28"/>
      <c r="E1463" s="28"/>
    </row>
    <row r="1464">
      <c r="A1464" s="28"/>
      <c r="B1464" s="28"/>
      <c r="C1464" s="28"/>
      <c r="D1464" s="28"/>
      <c r="E1464" s="28"/>
    </row>
    <row r="1465">
      <c r="A1465" s="28"/>
      <c r="B1465" s="28"/>
      <c r="C1465" s="28"/>
      <c r="D1465" s="28"/>
      <c r="E1465" s="28"/>
    </row>
    <row r="1466">
      <c r="A1466" s="28"/>
      <c r="B1466" s="28"/>
      <c r="C1466" s="28"/>
      <c r="D1466" s="28"/>
      <c r="E1466" s="28"/>
    </row>
    <row r="1467">
      <c r="A1467" s="28"/>
      <c r="B1467" s="28"/>
      <c r="C1467" s="28"/>
      <c r="D1467" s="28"/>
      <c r="E1467" s="28"/>
    </row>
    <row r="1468">
      <c r="A1468" s="28"/>
      <c r="B1468" s="28"/>
      <c r="C1468" s="28"/>
      <c r="D1468" s="28"/>
      <c r="E1468" s="28"/>
    </row>
    <row r="1469">
      <c r="A1469" s="28"/>
      <c r="B1469" s="28"/>
      <c r="C1469" s="28"/>
      <c r="D1469" s="28"/>
      <c r="E1469" s="28"/>
    </row>
    <row r="1470">
      <c r="A1470" s="28"/>
      <c r="B1470" s="28"/>
      <c r="C1470" s="28"/>
      <c r="D1470" s="28"/>
      <c r="E1470" s="28"/>
    </row>
    <row r="1471">
      <c r="A1471" s="28"/>
      <c r="B1471" s="28"/>
      <c r="C1471" s="28"/>
      <c r="D1471" s="28"/>
      <c r="E1471" s="28"/>
    </row>
    <row r="1472">
      <c r="A1472" s="28"/>
      <c r="B1472" s="28"/>
      <c r="C1472" s="28"/>
      <c r="D1472" s="28"/>
      <c r="E1472" s="28"/>
    </row>
    <row r="1473">
      <c r="A1473" s="28"/>
      <c r="B1473" s="28"/>
      <c r="C1473" s="28"/>
      <c r="D1473" s="28"/>
      <c r="E1473" s="28"/>
    </row>
    <row r="1474">
      <c r="A1474" s="28"/>
      <c r="B1474" s="28"/>
      <c r="C1474" s="28"/>
      <c r="D1474" s="28"/>
      <c r="E1474" s="28"/>
    </row>
    <row r="1475">
      <c r="A1475" s="28"/>
      <c r="B1475" s="28"/>
      <c r="C1475" s="28"/>
      <c r="D1475" s="28"/>
      <c r="E1475" s="28"/>
    </row>
    <row r="1476">
      <c r="A1476" s="28"/>
      <c r="B1476" s="28"/>
      <c r="C1476" s="28"/>
      <c r="D1476" s="28"/>
      <c r="E1476" s="28"/>
    </row>
    <row r="1477">
      <c r="A1477" s="28"/>
      <c r="B1477" s="28"/>
      <c r="C1477" s="28"/>
      <c r="D1477" s="28"/>
      <c r="E1477" s="28"/>
    </row>
    <row r="1478">
      <c r="A1478" s="28"/>
      <c r="B1478" s="28"/>
      <c r="C1478" s="28"/>
      <c r="D1478" s="28"/>
      <c r="E1478" s="28"/>
    </row>
    <row r="1479">
      <c r="A1479" s="28"/>
      <c r="B1479" s="28"/>
      <c r="C1479" s="28"/>
      <c r="D1479" s="28"/>
      <c r="E1479" s="28"/>
    </row>
    <row r="1480">
      <c r="A1480" s="28"/>
      <c r="B1480" s="28"/>
      <c r="C1480" s="28"/>
      <c r="D1480" s="28"/>
      <c r="E1480" s="28"/>
    </row>
    <row r="1481">
      <c r="A1481" s="28"/>
      <c r="B1481" s="28"/>
      <c r="C1481" s="28"/>
      <c r="D1481" s="28"/>
      <c r="E1481" s="28"/>
    </row>
    <row r="1482">
      <c r="A1482" s="28"/>
      <c r="B1482" s="28"/>
      <c r="C1482" s="28"/>
      <c r="D1482" s="28"/>
      <c r="E1482" s="28"/>
    </row>
    <row r="1483">
      <c r="A1483" s="28"/>
      <c r="B1483" s="28"/>
      <c r="C1483" s="28"/>
      <c r="D1483" s="28"/>
      <c r="E1483" s="28"/>
    </row>
    <row r="1484">
      <c r="A1484" s="28"/>
      <c r="B1484" s="28"/>
      <c r="C1484" s="28"/>
      <c r="D1484" s="28"/>
      <c r="E1484" s="28"/>
    </row>
    <row r="1485">
      <c r="A1485" s="28"/>
      <c r="B1485" s="28"/>
      <c r="C1485" s="28"/>
      <c r="D1485" s="28"/>
      <c r="E1485" s="28"/>
    </row>
    <row r="1486">
      <c r="A1486" s="28"/>
      <c r="B1486" s="28"/>
      <c r="C1486" s="28"/>
      <c r="D1486" s="28"/>
      <c r="E1486" s="28"/>
    </row>
    <row r="1487">
      <c r="A1487" s="28"/>
      <c r="B1487" s="28"/>
      <c r="C1487" s="28"/>
      <c r="D1487" s="28"/>
      <c r="E1487" s="28"/>
    </row>
    <row r="1488">
      <c r="A1488" s="28"/>
      <c r="B1488" s="28"/>
      <c r="C1488" s="28"/>
      <c r="D1488" s="28"/>
      <c r="E1488" s="28"/>
    </row>
    <row r="1489">
      <c r="A1489" s="28"/>
      <c r="B1489" s="28"/>
      <c r="C1489" s="28"/>
      <c r="D1489" s="28"/>
      <c r="E1489" s="28"/>
    </row>
    <row r="1490">
      <c r="A1490" s="28"/>
      <c r="B1490" s="28"/>
      <c r="C1490" s="28"/>
      <c r="D1490" s="28"/>
      <c r="E1490" s="28"/>
    </row>
    <row r="1491">
      <c r="A1491" s="28"/>
      <c r="B1491" s="28"/>
      <c r="C1491" s="28"/>
      <c r="D1491" s="28"/>
      <c r="E1491" s="28"/>
    </row>
    <row r="1492">
      <c r="A1492" s="28"/>
      <c r="B1492" s="28"/>
      <c r="C1492" s="28"/>
      <c r="D1492" s="28"/>
      <c r="E1492" s="28"/>
    </row>
    <row r="1493">
      <c r="A1493" s="28"/>
      <c r="B1493" s="28"/>
      <c r="C1493" s="28"/>
      <c r="D1493" s="28"/>
      <c r="E1493" s="28"/>
    </row>
    <row r="1494">
      <c r="A1494" s="28"/>
      <c r="B1494" s="28"/>
      <c r="C1494" s="28"/>
      <c r="D1494" s="28"/>
      <c r="E1494" s="28"/>
    </row>
    <row r="1495">
      <c r="A1495" s="28"/>
      <c r="B1495" s="28"/>
      <c r="C1495" s="28"/>
      <c r="D1495" s="28"/>
      <c r="E1495" s="28"/>
    </row>
    <row r="1496">
      <c r="A1496" s="28"/>
      <c r="B1496" s="28"/>
      <c r="C1496" s="28"/>
      <c r="D1496" s="28"/>
      <c r="E1496" s="28"/>
    </row>
    <row r="1497">
      <c r="A1497" s="28"/>
      <c r="B1497" s="28"/>
      <c r="C1497" s="28"/>
      <c r="D1497" s="28"/>
      <c r="E1497" s="28"/>
    </row>
    <row r="1498">
      <c r="A1498" s="28"/>
      <c r="B1498" s="28"/>
      <c r="C1498" s="28"/>
      <c r="D1498" s="28"/>
      <c r="E1498" s="28"/>
    </row>
    <row r="1499">
      <c r="A1499" s="28"/>
      <c r="B1499" s="28"/>
      <c r="C1499" s="28"/>
      <c r="D1499" s="28"/>
      <c r="E1499" s="28"/>
    </row>
    <row r="1500">
      <c r="A1500" s="28"/>
      <c r="B1500" s="28"/>
      <c r="C1500" s="28"/>
      <c r="D1500" s="28"/>
      <c r="E1500" s="28"/>
    </row>
    <row r="1501">
      <c r="A1501" s="28"/>
      <c r="B1501" s="28"/>
      <c r="C1501" s="28"/>
      <c r="D1501" s="28"/>
      <c r="E1501" s="28"/>
    </row>
    <row r="1502">
      <c r="A1502" s="28"/>
      <c r="B1502" s="28"/>
      <c r="C1502" s="28"/>
      <c r="D1502" s="28"/>
      <c r="E1502" s="28"/>
    </row>
    <row r="1503">
      <c r="A1503" s="28"/>
      <c r="B1503" s="28"/>
      <c r="C1503" s="28"/>
      <c r="D1503" s="28"/>
      <c r="E1503" s="28"/>
    </row>
    <row r="1504">
      <c r="A1504" s="28"/>
      <c r="B1504" s="28"/>
      <c r="C1504" s="28"/>
      <c r="D1504" s="28"/>
      <c r="E1504" s="28"/>
    </row>
    <row r="1505">
      <c r="A1505" s="28"/>
      <c r="B1505" s="28"/>
      <c r="C1505" s="28"/>
      <c r="D1505" s="28"/>
      <c r="E1505" s="28"/>
    </row>
    <row r="1506">
      <c r="A1506" s="28"/>
      <c r="B1506" s="28"/>
      <c r="C1506" s="28"/>
      <c r="D1506" s="28"/>
      <c r="E1506" s="28"/>
    </row>
    <row r="1507">
      <c r="A1507" s="28"/>
      <c r="B1507" s="28"/>
      <c r="C1507" s="28"/>
      <c r="D1507" s="28"/>
      <c r="E1507" s="28"/>
    </row>
    <row r="1508">
      <c r="A1508" s="28"/>
      <c r="B1508" s="28"/>
      <c r="C1508" s="28"/>
      <c r="D1508" s="28"/>
      <c r="E1508" s="28"/>
    </row>
    <row r="1509">
      <c r="A1509" s="28"/>
      <c r="B1509" s="28"/>
      <c r="C1509" s="28"/>
      <c r="D1509" s="28"/>
      <c r="E1509" s="28"/>
    </row>
    <row r="1510">
      <c r="A1510" s="28"/>
      <c r="B1510" s="28"/>
      <c r="C1510" s="28"/>
      <c r="D1510" s="28"/>
      <c r="E1510" s="28"/>
    </row>
    <row r="1511">
      <c r="A1511" s="28"/>
      <c r="B1511" s="28"/>
      <c r="C1511" s="28"/>
      <c r="D1511" s="28"/>
      <c r="E1511" s="28"/>
    </row>
    <row r="1512">
      <c r="A1512" s="28"/>
      <c r="B1512" s="28"/>
      <c r="C1512" s="28"/>
      <c r="D1512" s="28"/>
      <c r="E1512" s="28"/>
    </row>
    <row r="1513">
      <c r="A1513" s="28"/>
      <c r="B1513" s="28"/>
      <c r="C1513" s="28"/>
      <c r="D1513" s="28"/>
      <c r="E1513" s="28"/>
    </row>
    <row r="1514">
      <c r="A1514" s="28"/>
      <c r="B1514" s="28"/>
      <c r="C1514" s="28"/>
      <c r="D1514" s="28"/>
      <c r="E1514" s="28"/>
    </row>
    <row r="1515">
      <c r="A1515" s="28"/>
      <c r="B1515" s="28"/>
      <c r="C1515" s="28"/>
      <c r="D1515" s="28"/>
      <c r="E1515" s="28"/>
    </row>
    <row r="1516">
      <c r="A1516" s="28"/>
      <c r="B1516" s="28"/>
      <c r="C1516" s="28"/>
      <c r="D1516" s="28"/>
      <c r="E1516" s="28"/>
    </row>
    <row r="1517">
      <c r="A1517" s="28"/>
      <c r="B1517" s="28"/>
      <c r="C1517" s="28"/>
      <c r="D1517" s="28"/>
      <c r="E1517" s="28"/>
    </row>
    <row r="1518">
      <c r="A1518" s="28"/>
      <c r="B1518" s="28"/>
      <c r="C1518" s="28"/>
      <c r="D1518" s="28"/>
      <c r="E1518" s="28"/>
    </row>
    <row r="1519">
      <c r="A1519" s="28"/>
      <c r="B1519" s="28"/>
      <c r="C1519" s="28"/>
      <c r="D1519" s="28"/>
      <c r="E1519" s="28"/>
    </row>
    <row r="1520">
      <c r="A1520" s="28"/>
      <c r="B1520" s="28"/>
      <c r="C1520" s="28"/>
      <c r="D1520" s="28"/>
      <c r="E1520" s="28"/>
    </row>
    <row r="1521">
      <c r="A1521" s="28"/>
      <c r="B1521" s="28"/>
      <c r="C1521" s="28"/>
      <c r="D1521" s="28"/>
      <c r="E1521" s="28"/>
    </row>
    <row r="1522">
      <c r="A1522" s="28"/>
      <c r="B1522" s="28"/>
      <c r="C1522" s="28"/>
      <c r="D1522" s="28"/>
      <c r="E1522" s="28"/>
    </row>
    <row r="1523">
      <c r="A1523" s="28"/>
      <c r="B1523" s="28"/>
      <c r="C1523" s="28"/>
      <c r="D1523" s="28"/>
      <c r="E1523" s="28"/>
    </row>
    <row r="1524">
      <c r="A1524" s="28"/>
      <c r="B1524" s="28"/>
      <c r="C1524" s="28"/>
      <c r="D1524" s="28"/>
      <c r="E1524" s="28"/>
    </row>
    <row r="1525">
      <c r="A1525" s="28"/>
      <c r="B1525" s="28"/>
      <c r="C1525" s="28"/>
      <c r="D1525" s="28"/>
      <c r="E1525" s="28"/>
    </row>
    <row r="1526">
      <c r="A1526" s="28"/>
      <c r="B1526" s="28"/>
      <c r="C1526" s="28"/>
      <c r="D1526" s="28"/>
      <c r="E1526" s="28"/>
    </row>
    <row r="1527">
      <c r="A1527" s="28"/>
      <c r="B1527" s="28"/>
      <c r="C1527" s="28"/>
      <c r="D1527" s="28"/>
      <c r="E1527" s="28"/>
    </row>
    <row r="1528">
      <c r="A1528" s="28"/>
      <c r="B1528" s="28"/>
      <c r="C1528" s="28"/>
      <c r="D1528" s="28"/>
      <c r="E1528" s="28"/>
    </row>
    <row r="1529">
      <c r="A1529" s="28"/>
      <c r="B1529" s="28"/>
      <c r="C1529" s="28"/>
      <c r="D1529" s="28"/>
      <c r="E1529" s="28"/>
    </row>
    <row r="1530">
      <c r="A1530" s="28"/>
      <c r="B1530" s="28"/>
      <c r="C1530" s="28"/>
      <c r="D1530" s="28"/>
      <c r="E1530" s="28"/>
    </row>
    <row r="1531">
      <c r="A1531" s="28"/>
      <c r="B1531" s="28"/>
      <c r="C1531" s="28"/>
      <c r="D1531" s="28"/>
      <c r="E1531" s="28"/>
    </row>
    <row r="1532">
      <c r="A1532" s="28"/>
      <c r="B1532" s="28"/>
      <c r="C1532" s="28"/>
      <c r="D1532" s="28"/>
      <c r="E1532" s="28"/>
    </row>
    <row r="1533">
      <c r="A1533" s="28"/>
      <c r="B1533" s="28"/>
      <c r="C1533" s="28"/>
      <c r="D1533" s="28"/>
      <c r="E1533" s="28"/>
    </row>
    <row r="1534">
      <c r="A1534" s="28"/>
      <c r="B1534" s="28"/>
      <c r="C1534" s="28"/>
      <c r="D1534" s="28"/>
      <c r="E1534" s="28"/>
    </row>
    <row r="1535">
      <c r="A1535" s="28"/>
      <c r="B1535" s="28"/>
      <c r="C1535" s="28"/>
      <c r="D1535" s="28"/>
      <c r="E1535" s="28"/>
    </row>
    <row r="1536">
      <c r="A1536" s="28"/>
      <c r="B1536" s="28"/>
      <c r="C1536" s="28"/>
      <c r="D1536" s="28"/>
      <c r="E1536" s="28"/>
    </row>
    <row r="1537">
      <c r="A1537" s="28"/>
      <c r="B1537" s="28"/>
      <c r="C1537" s="28"/>
      <c r="D1537" s="28"/>
      <c r="E1537" s="28"/>
    </row>
    <row r="1538">
      <c r="A1538" s="28"/>
      <c r="B1538" s="28"/>
      <c r="C1538" s="28"/>
      <c r="D1538" s="28"/>
      <c r="E1538" s="28"/>
    </row>
    <row r="1539">
      <c r="A1539" s="28"/>
      <c r="B1539" s="28"/>
      <c r="C1539" s="28"/>
      <c r="D1539" s="28"/>
      <c r="E1539" s="28"/>
    </row>
    <row r="1540">
      <c r="A1540" s="28"/>
      <c r="B1540" s="28"/>
      <c r="C1540" s="28"/>
      <c r="D1540" s="28"/>
      <c r="E1540" s="28"/>
    </row>
    <row r="1541">
      <c r="A1541" s="28"/>
      <c r="B1541" s="28"/>
      <c r="C1541" s="28"/>
      <c r="D1541" s="28"/>
      <c r="E1541" s="28"/>
    </row>
    <row r="1542">
      <c r="A1542" s="28"/>
      <c r="B1542" s="28"/>
      <c r="C1542" s="28"/>
      <c r="D1542" s="28"/>
      <c r="E1542" s="28"/>
    </row>
    <row r="1543">
      <c r="A1543" s="28"/>
      <c r="B1543" s="28"/>
      <c r="C1543" s="28"/>
      <c r="D1543" s="28"/>
      <c r="E1543" s="28"/>
    </row>
    <row r="1544">
      <c r="A1544" s="28"/>
      <c r="B1544" s="28"/>
      <c r="C1544" s="28"/>
      <c r="D1544" s="28"/>
      <c r="E1544" s="28"/>
    </row>
    <row r="1545">
      <c r="A1545" s="28"/>
      <c r="B1545" s="28"/>
      <c r="C1545" s="28"/>
      <c r="D1545" s="28"/>
      <c r="E1545" s="28"/>
    </row>
    <row r="1546">
      <c r="A1546" s="28"/>
      <c r="B1546" s="28"/>
      <c r="C1546" s="28"/>
      <c r="D1546" s="28"/>
      <c r="E1546" s="28"/>
    </row>
    <row r="1547">
      <c r="A1547" s="28"/>
      <c r="B1547" s="28"/>
      <c r="C1547" s="28"/>
      <c r="D1547" s="28"/>
      <c r="E1547" s="28"/>
    </row>
    <row r="1548">
      <c r="A1548" s="28"/>
      <c r="B1548" s="28"/>
      <c r="C1548" s="28"/>
      <c r="D1548" s="28"/>
      <c r="E1548" s="28"/>
    </row>
    <row r="1549">
      <c r="A1549" s="28"/>
      <c r="B1549" s="28"/>
      <c r="C1549" s="28"/>
      <c r="D1549" s="28"/>
      <c r="E1549" s="28"/>
    </row>
    <row r="1550">
      <c r="A1550" s="28"/>
      <c r="B1550" s="28"/>
      <c r="C1550" s="28"/>
      <c r="D1550" s="28"/>
      <c r="E1550" s="28"/>
    </row>
    <row r="1551">
      <c r="A1551" s="28"/>
      <c r="B1551" s="28"/>
      <c r="C1551" s="28"/>
      <c r="D1551" s="28"/>
      <c r="E1551" s="28"/>
    </row>
    <row r="1552">
      <c r="A1552" s="28"/>
      <c r="B1552" s="28"/>
      <c r="C1552" s="28"/>
      <c r="D1552" s="28"/>
      <c r="E1552" s="28"/>
    </row>
    <row r="1553">
      <c r="A1553" s="28"/>
      <c r="B1553" s="28"/>
      <c r="C1553" s="28"/>
      <c r="D1553" s="28"/>
      <c r="E1553" s="28"/>
    </row>
    <row r="1554">
      <c r="A1554" s="28"/>
      <c r="B1554" s="28"/>
      <c r="C1554" s="28"/>
      <c r="D1554" s="28"/>
      <c r="E1554" s="28"/>
    </row>
    <row r="1555">
      <c r="A1555" s="28"/>
      <c r="B1555" s="28"/>
      <c r="C1555" s="28"/>
      <c r="D1555" s="28"/>
      <c r="E1555" s="28"/>
    </row>
    <row r="1556">
      <c r="A1556" s="28"/>
      <c r="B1556" s="28"/>
      <c r="C1556" s="28"/>
      <c r="D1556" s="28"/>
      <c r="E1556" s="28"/>
    </row>
    <row r="1557">
      <c r="A1557" s="28"/>
      <c r="B1557" s="28"/>
      <c r="C1557" s="28"/>
      <c r="D1557" s="28"/>
      <c r="E1557" s="28"/>
    </row>
    <row r="1558">
      <c r="A1558" s="28"/>
      <c r="B1558" s="28"/>
      <c r="C1558" s="28"/>
      <c r="D1558" s="28"/>
      <c r="E1558" s="28"/>
    </row>
    <row r="1559">
      <c r="A1559" s="28"/>
      <c r="B1559" s="28"/>
      <c r="C1559" s="28"/>
      <c r="D1559" s="28"/>
      <c r="E1559" s="28"/>
    </row>
    <row r="1560">
      <c r="A1560" s="28"/>
      <c r="B1560" s="28"/>
      <c r="C1560" s="28"/>
      <c r="D1560" s="28"/>
      <c r="E1560" s="28"/>
    </row>
    <row r="1561">
      <c r="A1561" s="28"/>
      <c r="B1561" s="28"/>
      <c r="C1561" s="28"/>
      <c r="D1561" s="28"/>
      <c r="E1561" s="28"/>
    </row>
    <row r="1562">
      <c r="A1562" s="28"/>
      <c r="B1562" s="28"/>
      <c r="C1562" s="28"/>
      <c r="D1562" s="28"/>
      <c r="E1562" s="28"/>
    </row>
    <row r="1563">
      <c r="A1563" s="28"/>
      <c r="B1563" s="28"/>
      <c r="C1563" s="28"/>
      <c r="D1563" s="28"/>
      <c r="E1563" s="28"/>
    </row>
    <row r="1564">
      <c r="A1564" s="28"/>
      <c r="B1564" s="28"/>
      <c r="C1564" s="28"/>
      <c r="D1564" s="28"/>
      <c r="E1564" s="28"/>
    </row>
    <row r="1565">
      <c r="A1565" s="28"/>
      <c r="B1565" s="28"/>
      <c r="C1565" s="28"/>
      <c r="D1565" s="28"/>
      <c r="E1565" s="28"/>
    </row>
    <row r="1566">
      <c r="A1566" s="28"/>
      <c r="B1566" s="28"/>
      <c r="C1566" s="28"/>
      <c r="D1566" s="28"/>
      <c r="E1566" s="28"/>
    </row>
    <row r="1567">
      <c r="A1567" s="28"/>
      <c r="B1567" s="28"/>
      <c r="C1567" s="28"/>
      <c r="D1567" s="28"/>
      <c r="E1567" s="28"/>
    </row>
    <row r="1568">
      <c r="A1568" s="28"/>
      <c r="B1568" s="28"/>
      <c r="C1568" s="28"/>
      <c r="D1568" s="28"/>
      <c r="E1568" s="28"/>
    </row>
    <row r="1569">
      <c r="A1569" s="28"/>
      <c r="B1569" s="28"/>
      <c r="C1569" s="28"/>
      <c r="D1569" s="28"/>
      <c r="E1569" s="28"/>
    </row>
    <row r="1570">
      <c r="A1570" s="28"/>
      <c r="B1570" s="28"/>
      <c r="C1570" s="28"/>
      <c r="D1570" s="28"/>
      <c r="E1570" s="28"/>
    </row>
    <row r="1571">
      <c r="A1571" s="28"/>
      <c r="B1571" s="28"/>
      <c r="C1571" s="28"/>
      <c r="D1571" s="28"/>
      <c r="E1571" s="28"/>
    </row>
    <row r="1572">
      <c r="A1572" s="28"/>
      <c r="B1572" s="28"/>
      <c r="C1572" s="28"/>
      <c r="D1572" s="28"/>
      <c r="E1572" s="28"/>
    </row>
    <row r="1573">
      <c r="A1573" s="28"/>
      <c r="B1573" s="28"/>
      <c r="C1573" s="28"/>
      <c r="D1573" s="28"/>
      <c r="E1573" s="28"/>
    </row>
    <row r="1574">
      <c r="A1574" s="28"/>
      <c r="B1574" s="28"/>
      <c r="C1574" s="28"/>
      <c r="D1574" s="28"/>
      <c r="E1574" s="28"/>
    </row>
    <row r="1575">
      <c r="A1575" s="28"/>
      <c r="B1575" s="28"/>
      <c r="C1575" s="28"/>
      <c r="D1575" s="28"/>
      <c r="E1575" s="28"/>
    </row>
    <row r="1576">
      <c r="A1576" s="28"/>
      <c r="B1576" s="28"/>
      <c r="C1576" s="28"/>
      <c r="D1576" s="28"/>
      <c r="E1576" s="28"/>
    </row>
    <row r="1577">
      <c r="A1577" s="28"/>
      <c r="B1577" s="28"/>
      <c r="C1577" s="28"/>
      <c r="D1577" s="28"/>
      <c r="E1577" s="28"/>
    </row>
    <row r="1578">
      <c r="A1578" s="28"/>
      <c r="B1578" s="28"/>
      <c r="C1578" s="28"/>
      <c r="D1578" s="28"/>
      <c r="E1578" s="28"/>
    </row>
    <row r="1579">
      <c r="A1579" s="28"/>
      <c r="B1579" s="28"/>
      <c r="C1579" s="28"/>
      <c r="D1579" s="28"/>
      <c r="E1579" s="28"/>
    </row>
    <row r="1580">
      <c r="A1580" s="28"/>
      <c r="B1580" s="28"/>
      <c r="C1580" s="28"/>
      <c r="D1580" s="28"/>
      <c r="E1580" s="28"/>
    </row>
    <row r="1581">
      <c r="A1581" s="28"/>
      <c r="B1581" s="28"/>
      <c r="C1581" s="28"/>
      <c r="D1581" s="28"/>
      <c r="E1581" s="28"/>
    </row>
    <row r="1582">
      <c r="A1582" s="28"/>
      <c r="B1582" s="28"/>
      <c r="C1582" s="28"/>
      <c r="D1582" s="28"/>
      <c r="E1582" s="28"/>
    </row>
    <row r="1583">
      <c r="A1583" s="28"/>
      <c r="B1583" s="28"/>
      <c r="C1583" s="28"/>
      <c r="D1583" s="28"/>
      <c r="E1583" s="28"/>
    </row>
    <row r="1584">
      <c r="A1584" s="28"/>
      <c r="B1584" s="28"/>
      <c r="C1584" s="28"/>
      <c r="D1584" s="28"/>
      <c r="E1584" s="28"/>
    </row>
    <row r="1585">
      <c r="A1585" s="28"/>
      <c r="B1585" s="28"/>
      <c r="C1585" s="28"/>
      <c r="D1585" s="28"/>
      <c r="E1585" s="28"/>
    </row>
    <row r="1586">
      <c r="A1586" s="28"/>
      <c r="B1586" s="28"/>
      <c r="C1586" s="28"/>
      <c r="D1586" s="28"/>
      <c r="E1586" s="28"/>
    </row>
    <row r="1587">
      <c r="A1587" s="28"/>
      <c r="B1587" s="28"/>
      <c r="C1587" s="28"/>
      <c r="D1587" s="28"/>
      <c r="E1587" s="28"/>
    </row>
    <row r="1588">
      <c r="A1588" s="28"/>
      <c r="B1588" s="28"/>
      <c r="C1588" s="28"/>
      <c r="D1588" s="28"/>
      <c r="E1588" s="28"/>
    </row>
    <row r="1589">
      <c r="A1589" s="28"/>
      <c r="B1589" s="28"/>
      <c r="C1589" s="28"/>
      <c r="D1589" s="28"/>
      <c r="E1589" s="28"/>
    </row>
    <row r="1590">
      <c r="A1590" s="28"/>
      <c r="B1590" s="28"/>
      <c r="C1590" s="28"/>
      <c r="D1590" s="28"/>
      <c r="E1590" s="28"/>
    </row>
    <row r="1591">
      <c r="A1591" s="28"/>
      <c r="B1591" s="28"/>
      <c r="C1591" s="28"/>
      <c r="D1591" s="28"/>
      <c r="E1591" s="28"/>
    </row>
    <row r="1592">
      <c r="A1592" s="28"/>
      <c r="B1592" s="28"/>
      <c r="C1592" s="28"/>
      <c r="D1592" s="28"/>
      <c r="E1592" s="28"/>
    </row>
    <row r="1593">
      <c r="A1593" s="28"/>
      <c r="B1593" s="28"/>
      <c r="C1593" s="28"/>
      <c r="D1593" s="28"/>
      <c r="E1593" s="28"/>
    </row>
    <row r="1594">
      <c r="A1594" s="28"/>
      <c r="B1594" s="28"/>
      <c r="C1594" s="28"/>
      <c r="D1594" s="28"/>
      <c r="E1594" s="28"/>
    </row>
    <row r="1595">
      <c r="A1595" s="28"/>
      <c r="B1595" s="28"/>
      <c r="C1595" s="28"/>
      <c r="D1595" s="28"/>
      <c r="E1595" s="28"/>
    </row>
    <row r="1596">
      <c r="A1596" s="28"/>
      <c r="B1596" s="28"/>
      <c r="C1596" s="28"/>
      <c r="D1596" s="28"/>
      <c r="E1596" s="28"/>
    </row>
    <row r="1597">
      <c r="A1597" s="28"/>
      <c r="B1597" s="28"/>
      <c r="C1597" s="28"/>
      <c r="D1597" s="28"/>
      <c r="E1597" s="28"/>
    </row>
    <row r="1598">
      <c r="A1598" s="28"/>
      <c r="B1598" s="28"/>
      <c r="C1598" s="28"/>
      <c r="D1598" s="28"/>
      <c r="E1598" s="28"/>
    </row>
    <row r="1599">
      <c r="A1599" s="28"/>
      <c r="B1599" s="28"/>
      <c r="C1599" s="28"/>
      <c r="D1599" s="28"/>
      <c r="E1599" s="28"/>
    </row>
    <row r="1600">
      <c r="A1600" s="28"/>
      <c r="B1600" s="28"/>
      <c r="C1600" s="28"/>
      <c r="D1600" s="28"/>
      <c r="E1600" s="28"/>
    </row>
    <row r="1601">
      <c r="A1601" s="28"/>
      <c r="B1601" s="28"/>
      <c r="C1601" s="28"/>
      <c r="D1601" s="28"/>
      <c r="E1601" s="28"/>
    </row>
    <row r="1602">
      <c r="A1602" s="28"/>
      <c r="B1602" s="28"/>
      <c r="C1602" s="28"/>
      <c r="D1602" s="28"/>
      <c r="E1602" s="28"/>
    </row>
    <row r="1603">
      <c r="A1603" s="28"/>
      <c r="B1603" s="28"/>
      <c r="C1603" s="28"/>
      <c r="D1603" s="28"/>
      <c r="E1603" s="28"/>
    </row>
    <row r="1604">
      <c r="A1604" s="28"/>
      <c r="B1604" s="28"/>
      <c r="C1604" s="28"/>
      <c r="D1604" s="28"/>
      <c r="E1604" s="28"/>
    </row>
    <row r="1605">
      <c r="A1605" s="28"/>
      <c r="B1605" s="28"/>
      <c r="C1605" s="28"/>
      <c r="D1605" s="28"/>
      <c r="E1605" s="28"/>
    </row>
    <row r="1606">
      <c r="A1606" s="28"/>
      <c r="B1606" s="28"/>
      <c r="C1606" s="28"/>
      <c r="D1606" s="28"/>
      <c r="E1606" s="28"/>
    </row>
    <row r="1607">
      <c r="A1607" s="28"/>
      <c r="B1607" s="28"/>
      <c r="C1607" s="28"/>
      <c r="D1607" s="28"/>
      <c r="E1607" s="28"/>
    </row>
    <row r="1608">
      <c r="A1608" s="28"/>
      <c r="B1608" s="28"/>
      <c r="C1608" s="28"/>
      <c r="D1608" s="28"/>
      <c r="E1608" s="28"/>
    </row>
    <row r="1609">
      <c r="A1609" s="28"/>
      <c r="B1609" s="28"/>
      <c r="C1609" s="28"/>
      <c r="D1609" s="28"/>
      <c r="E1609" s="28"/>
    </row>
    <row r="1610">
      <c r="A1610" s="28"/>
      <c r="B1610" s="28"/>
      <c r="C1610" s="28"/>
      <c r="D1610" s="28"/>
      <c r="E1610" s="28"/>
    </row>
    <row r="1611">
      <c r="A1611" s="28"/>
      <c r="B1611" s="28"/>
      <c r="C1611" s="28"/>
      <c r="D1611" s="28"/>
      <c r="E1611" s="28"/>
    </row>
    <row r="1612">
      <c r="A1612" s="28"/>
      <c r="B1612" s="28"/>
      <c r="C1612" s="28"/>
      <c r="D1612" s="28"/>
      <c r="E1612" s="28"/>
    </row>
    <row r="1613">
      <c r="A1613" s="28"/>
      <c r="B1613" s="28"/>
      <c r="C1613" s="28"/>
      <c r="D1613" s="28"/>
      <c r="E1613" s="28"/>
    </row>
    <row r="1614">
      <c r="A1614" s="28"/>
      <c r="B1614" s="28"/>
      <c r="C1614" s="28"/>
      <c r="D1614" s="28"/>
      <c r="E1614" s="28"/>
    </row>
    <row r="1615">
      <c r="A1615" s="28"/>
      <c r="B1615" s="28"/>
      <c r="C1615" s="28"/>
      <c r="D1615" s="28"/>
      <c r="E1615" s="28"/>
    </row>
    <row r="1616">
      <c r="A1616" s="28"/>
      <c r="B1616" s="28"/>
      <c r="C1616" s="28"/>
      <c r="D1616" s="28"/>
      <c r="E1616" s="28"/>
    </row>
    <row r="1617">
      <c r="A1617" s="28"/>
      <c r="B1617" s="28"/>
      <c r="C1617" s="28"/>
      <c r="D1617" s="28"/>
      <c r="E1617" s="28"/>
    </row>
    <row r="1618">
      <c r="A1618" s="28"/>
      <c r="B1618" s="28"/>
      <c r="C1618" s="28"/>
      <c r="D1618" s="28"/>
      <c r="E1618" s="28"/>
    </row>
    <row r="1619">
      <c r="A1619" s="28"/>
      <c r="B1619" s="28"/>
      <c r="C1619" s="28"/>
      <c r="D1619" s="28"/>
      <c r="E1619" s="28"/>
    </row>
    <row r="1620">
      <c r="A1620" s="28"/>
      <c r="B1620" s="28"/>
      <c r="C1620" s="28"/>
      <c r="D1620" s="28"/>
      <c r="E1620" s="28"/>
    </row>
    <row r="1621">
      <c r="A1621" s="28"/>
      <c r="B1621" s="28"/>
      <c r="C1621" s="28"/>
      <c r="D1621" s="28"/>
      <c r="E1621" s="28"/>
    </row>
    <row r="1622">
      <c r="A1622" s="28"/>
      <c r="B1622" s="28"/>
      <c r="C1622" s="28"/>
      <c r="D1622" s="28"/>
      <c r="E1622" s="28"/>
    </row>
    <row r="1623">
      <c r="A1623" s="28"/>
      <c r="B1623" s="28"/>
      <c r="C1623" s="28"/>
      <c r="D1623" s="28"/>
      <c r="E1623" s="28"/>
    </row>
    <row r="1624">
      <c r="A1624" s="28"/>
      <c r="B1624" s="28"/>
      <c r="C1624" s="28"/>
      <c r="D1624" s="28"/>
      <c r="E1624" s="28"/>
    </row>
    <row r="1625">
      <c r="A1625" s="28"/>
      <c r="B1625" s="28"/>
      <c r="C1625" s="28"/>
      <c r="D1625" s="28"/>
      <c r="E1625" s="28"/>
    </row>
    <row r="1626">
      <c r="A1626" s="28"/>
      <c r="B1626" s="28"/>
      <c r="C1626" s="28"/>
      <c r="D1626" s="28"/>
      <c r="E1626" s="28"/>
    </row>
    <row r="1627">
      <c r="A1627" s="28"/>
      <c r="B1627" s="28"/>
      <c r="C1627" s="28"/>
      <c r="D1627" s="28"/>
      <c r="E1627" s="28"/>
    </row>
    <row r="1628">
      <c r="A1628" s="28"/>
      <c r="B1628" s="28"/>
      <c r="C1628" s="28"/>
      <c r="D1628" s="28"/>
      <c r="E1628" s="28"/>
    </row>
    <row r="1629">
      <c r="A1629" s="28"/>
      <c r="B1629" s="28"/>
      <c r="C1629" s="28"/>
      <c r="D1629" s="28"/>
      <c r="E1629" s="28"/>
    </row>
    <row r="1630">
      <c r="A1630" s="28"/>
      <c r="B1630" s="28"/>
      <c r="C1630" s="28"/>
      <c r="D1630" s="28"/>
      <c r="E1630" s="28"/>
    </row>
    <row r="1631">
      <c r="A1631" s="28"/>
      <c r="B1631" s="28"/>
      <c r="C1631" s="28"/>
      <c r="D1631" s="28"/>
      <c r="E1631" s="28"/>
    </row>
    <row r="1632">
      <c r="A1632" s="28"/>
      <c r="B1632" s="28"/>
      <c r="C1632" s="28"/>
      <c r="D1632" s="28"/>
      <c r="E1632" s="28"/>
    </row>
    <row r="1633">
      <c r="A1633" s="28"/>
      <c r="B1633" s="28"/>
      <c r="C1633" s="28"/>
      <c r="D1633" s="28"/>
      <c r="E1633" s="28"/>
    </row>
    <row r="1634">
      <c r="A1634" s="28"/>
      <c r="B1634" s="28"/>
      <c r="C1634" s="28"/>
      <c r="D1634" s="28"/>
      <c r="E1634" s="28"/>
    </row>
    <row r="1635">
      <c r="A1635" s="28"/>
      <c r="B1635" s="28"/>
      <c r="C1635" s="28"/>
      <c r="D1635" s="28"/>
      <c r="E1635" s="28"/>
    </row>
    <row r="1636">
      <c r="A1636" s="28"/>
      <c r="B1636" s="28"/>
      <c r="C1636" s="28"/>
      <c r="D1636" s="28"/>
      <c r="E1636" s="28"/>
    </row>
    <row r="1637">
      <c r="A1637" s="28"/>
      <c r="B1637" s="28"/>
      <c r="C1637" s="28"/>
      <c r="D1637" s="28"/>
      <c r="E1637" s="28"/>
    </row>
    <row r="1638">
      <c r="A1638" s="28"/>
      <c r="B1638" s="28"/>
      <c r="C1638" s="28"/>
      <c r="D1638" s="28"/>
      <c r="E1638" s="28"/>
    </row>
    <row r="1639">
      <c r="A1639" s="28"/>
      <c r="B1639" s="28"/>
      <c r="C1639" s="28"/>
      <c r="D1639" s="28"/>
      <c r="E1639" s="28"/>
    </row>
    <row r="1640">
      <c r="A1640" s="28"/>
      <c r="B1640" s="28"/>
      <c r="C1640" s="28"/>
      <c r="D1640" s="28"/>
      <c r="E1640" s="28"/>
    </row>
    <row r="1641">
      <c r="A1641" s="28"/>
      <c r="B1641" s="28"/>
      <c r="C1641" s="28"/>
      <c r="D1641" s="28"/>
      <c r="E1641" s="28"/>
    </row>
    <row r="1642">
      <c r="A1642" s="28"/>
      <c r="B1642" s="28"/>
      <c r="C1642" s="28"/>
      <c r="D1642" s="28"/>
      <c r="E1642" s="28"/>
    </row>
    <row r="1643">
      <c r="A1643" s="28"/>
      <c r="B1643" s="28"/>
      <c r="C1643" s="28"/>
      <c r="D1643" s="28"/>
      <c r="E1643" s="28"/>
    </row>
    <row r="1644">
      <c r="A1644" s="28"/>
      <c r="B1644" s="28"/>
      <c r="C1644" s="28"/>
      <c r="D1644" s="28"/>
      <c r="E1644" s="28"/>
    </row>
    <row r="1645">
      <c r="A1645" s="28"/>
      <c r="B1645" s="28"/>
      <c r="C1645" s="28"/>
      <c r="D1645" s="28"/>
      <c r="E1645" s="28"/>
    </row>
    <row r="1646">
      <c r="A1646" s="28"/>
      <c r="B1646" s="28"/>
      <c r="C1646" s="28"/>
      <c r="D1646" s="28"/>
      <c r="E1646" s="28"/>
    </row>
    <row r="1647">
      <c r="A1647" s="28"/>
      <c r="B1647" s="28"/>
      <c r="C1647" s="28"/>
      <c r="D1647" s="28"/>
      <c r="E1647" s="28"/>
    </row>
    <row r="1648">
      <c r="A1648" s="28"/>
      <c r="B1648" s="28"/>
      <c r="C1648" s="28"/>
      <c r="D1648" s="28"/>
      <c r="E1648" s="28"/>
    </row>
    <row r="1649">
      <c r="A1649" s="28"/>
      <c r="B1649" s="28"/>
      <c r="C1649" s="28"/>
      <c r="D1649" s="28"/>
      <c r="E1649" s="28"/>
    </row>
    <row r="1650">
      <c r="A1650" s="28"/>
      <c r="B1650" s="28"/>
      <c r="C1650" s="28"/>
      <c r="D1650" s="28"/>
      <c r="E1650" s="28"/>
    </row>
    <row r="1651">
      <c r="A1651" s="28"/>
      <c r="B1651" s="28"/>
      <c r="C1651" s="28"/>
      <c r="D1651" s="28"/>
      <c r="E1651" s="28"/>
    </row>
    <row r="1652">
      <c r="A1652" s="28"/>
      <c r="B1652" s="28"/>
      <c r="C1652" s="28"/>
      <c r="D1652" s="28"/>
      <c r="E1652" s="28"/>
    </row>
    <row r="1653">
      <c r="A1653" s="28"/>
      <c r="B1653" s="28"/>
      <c r="C1653" s="28"/>
      <c r="D1653" s="28"/>
      <c r="E1653" s="28"/>
    </row>
    <row r="1654">
      <c r="A1654" s="28"/>
      <c r="B1654" s="28"/>
      <c r="C1654" s="28"/>
      <c r="D1654" s="28"/>
      <c r="E1654" s="28"/>
    </row>
    <row r="1655">
      <c r="A1655" s="28"/>
      <c r="B1655" s="28"/>
      <c r="C1655" s="28"/>
      <c r="D1655" s="28"/>
      <c r="E1655" s="28"/>
    </row>
    <row r="1656">
      <c r="A1656" s="28"/>
      <c r="B1656" s="28"/>
      <c r="C1656" s="28"/>
      <c r="D1656" s="28"/>
      <c r="E1656" s="28"/>
    </row>
    <row r="1657">
      <c r="A1657" s="28"/>
      <c r="B1657" s="28"/>
      <c r="C1657" s="28"/>
      <c r="D1657" s="28"/>
      <c r="E1657" s="28"/>
    </row>
    <row r="1658">
      <c r="A1658" s="28"/>
      <c r="B1658" s="28"/>
      <c r="C1658" s="28"/>
      <c r="D1658" s="28"/>
      <c r="E1658" s="28"/>
    </row>
    <row r="1659">
      <c r="A1659" s="28"/>
      <c r="B1659" s="28"/>
      <c r="C1659" s="28"/>
      <c r="D1659" s="28"/>
      <c r="E1659" s="28"/>
    </row>
    <row r="1660">
      <c r="A1660" s="28"/>
      <c r="B1660" s="28"/>
      <c r="C1660" s="28"/>
      <c r="D1660" s="28"/>
      <c r="E1660" s="28"/>
    </row>
    <row r="1661">
      <c r="A1661" s="28"/>
      <c r="B1661" s="28"/>
      <c r="C1661" s="28"/>
      <c r="D1661" s="28"/>
      <c r="E1661" s="28"/>
    </row>
    <row r="1662">
      <c r="A1662" s="28"/>
      <c r="B1662" s="28"/>
      <c r="C1662" s="28"/>
      <c r="D1662" s="28"/>
      <c r="E1662" s="28"/>
    </row>
    <row r="1663">
      <c r="A1663" s="28"/>
      <c r="B1663" s="28"/>
      <c r="C1663" s="28"/>
      <c r="D1663" s="28"/>
      <c r="E1663" s="28"/>
    </row>
    <row r="1664">
      <c r="A1664" s="28"/>
      <c r="B1664" s="28"/>
      <c r="C1664" s="28"/>
      <c r="D1664" s="28"/>
      <c r="E1664" s="28"/>
    </row>
    <row r="1665">
      <c r="A1665" s="28"/>
      <c r="B1665" s="28"/>
      <c r="C1665" s="28"/>
      <c r="D1665" s="28"/>
      <c r="E1665" s="28"/>
    </row>
    <row r="1666">
      <c r="A1666" s="28"/>
      <c r="B1666" s="28"/>
      <c r="C1666" s="28"/>
      <c r="D1666" s="28"/>
      <c r="E1666" s="28"/>
    </row>
    <row r="1667">
      <c r="A1667" s="28"/>
      <c r="B1667" s="28"/>
      <c r="C1667" s="28"/>
      <c r="D1667" s="28"/>
      <c r="E1667" s="28"/>
    </row>
    <row r="1668">
      <c r="A1668" s="28"/>
      <c r="B1668" s="28"/>
      <c r="C1668" s="28"/>
      <c r="D1668" s="28"/>
      <c r="E1668" s="28"/>
    </row>
    <row r="1669">
      <c r="A1669" s="28"/>
      <c r="B1669" s="28"/>
      <c r="C1669" s="28"/>
      <c r="D1669" s="28"/>
      <c r="E1669" s="28"/>
    </row>
    <row r="1670">
      <c r="A1670" s="28"/>
      <c r="B1670" s="28"/>
      <c r="C1670" s="28"/>
      <c r="D1670" s="28"/>
      <c r="E1670" s="28"/>
    </row>
    <row r="1671">
      <c r="A1671" s="28"/>
      <c r="B1671" s="28"/>
      <c r="C1671" s="28"/>
      <c r="D1671" s="28"/>
      <c r="E1671" s="28"/>
    </row>
    <row r="1672">
      <c r="A1672" s="28"/>
      <c r="B1672" s="28"/>
      <c r="C1672" s="28"/>
      <c r="D1672" s="28"/>
      <c r="E1672" s="28"/>
    </row>
    <row r="1673">
      <c r="A1673" s="28"/>
      <c r="B1673" s="28"/>
      <c r="C1673" s="28"/>
      <c r="D1673" s="28"/>
      <c r="E1673" s="28"/>
    </row>
    <row r="1674">
      <c r="A1674" s="28"/>
      <c r="B1674" s="28"/>
      <c r="C1674" s="28"/>
      <c r="D1674" s="28"/>
      <c r="E1674" s="28"/>
    </row>
    <row r="1675">
      <c r="A1675" s="28"/>
      <c r="B1675" s="28"/>
      <c r="C1675" s="28"/>
      <c r="D1675" s="28"/>
      <c r="E1675" s="28"/>
    </row>
    <row r="1676">
      <c r="A1676" s="28"/>
      <c r="B1676" s="28"/>
      <c r="C1676" s="28"/>
      <c r="D1676" s="28"/>
      <c r="E1676" s="28"/>
    </row>
    <row r="1677">
      <c r="A1677" s="28"/>
      <c r="B1677" s="28"/>
      <c r="C1677" s="28"/>
      <c r="D1677" s="28"/>
      <c r="E1677" s="28"/>
    </row>
    <row r="1678">
      <c r="A1678" s="28"/>
      <c r="B1678" s="28"/>
      <c r="C1678" s="28"/>
      <c r="D1678" s="28"/>
      <c r="E1678" s="28"/>
    </row>
    <row r="1679">
      <c r="A1679" s="28"/>
      <c r="B1679" s="28"/>
      <c r="C1679" s="28"/>
      <c r="D1679" s="28"/>
      <c r="E1679" s="28"/>
    </row>
    <row r="1680">
      <c r="A1680" s="28"/>
      <c r="B1680" s="28"/>
      <c r="C1680" s="28"/>
      <c r="D1680" s="28"/>
      <c r="E1680" s="28"/>
    </row>
    <row r="1681">
      <c r="A1681" s="28"/>
      <c r="B1681" s="28"/>
      <c r="C1681" s="28"/>
      <c r="D1681" s="28"/>
      <c r="E1681" s="28"/>
    </row>
    <row r="1682">
      <c r="A1682" s="28"/>
      <c r="B1682" s="28"/>
      <c r="C1682" s="28"/>
      <c r="D1682" s="28"/>
      <c r="E1682" s="28"/>
    </row>
    <row r="1683">
      <c r="A1683" s="28"/>
      <c r="B1683" s="28"/>
      <c r="C1683" s="28"/>
      <c r="D1683" s="28"/>
      <c r="E1683" s="28"/>
    </row>
    <row r="1684">
      <c r="A1684" s="28"/>
      <c r="B1684" s="28"/>
      <c r="C1684" s="28"/>
      <c r="D1684" s="28"/>
      <c r="E1684" s="28"/>
    </row>
    <row r="1685">
      <c r="A1685" s="28"/>
      <c r="B1685" s="28"/>
      <c r="C1685" s="28"/>
      <c r="D1685" s="28"/>
      <c r="E1685" s="28"/>
    </row>
    <row r="1686">
      <c r="A1686" s="28"/>
      <c r="B1686" s="28"/>
      <c r="C1686" s="28"/>
      <c r="D1686" s="28"/>
      <c r="E1686" s="28"/>
    </row>
    <row r="1687">
      <c r="A1687" s="28"/>
      <c r="B1687" s="28"/>
      <c r="C1687" s="28"/>
      <c r="D1687" s="28"/>
      <c r="E1687" s="28"/>
    </row>
    <row r="1688">
      <c r="A1688" s="28"/>
      <c r="B1688" s="28"/>
      <c r="C1688" s="28"/>
      <c r="D1688" s="28"/>
      <c r="E1688" s="28"/>
    </row>
    <row r="1689">
      <c r="A1689" s="28"/>
      <c r="B1689" s="28"/>
      <c r="C1689" s="28"/>
      <c r="D1689" s="28"/>
      <c r="E1689" s="28"/>
    </row>
    <row r="1690">
      <c r="A1690" s="28"/>
      <c r="B1690" s="28"/>
      <c r="C1690" s="28"/>
      <c r="D1690" s="28"/>
      <c r="E1690" s="28"/>
    </row>
    <row r="1691">
      <c r="A1691" s="28"/>
      <c r="B1691" s="28"/>
      <c r="C1691" s="28"/>
      <c r="D1691" s="28"/>
      <c r="E1691" s="28"/>
    </row>
    <row r="1692">
      <c r="A1692" s="28"/>
      <c r="B1692" s="28"/>
      <c r="C1692" s="28"/>
      <c r="D1692" s="28"/>
      <c r="E1692" s="28"/>
    </row>
    <row r="1693">
      <c r="A1693" s="28"/>
      <c r="B1693" s="28"/>
      <c r="C1693" s="28"/>
      <c r="D1693" s="28"/>
      <c r="E1693" s="28"/>
    </row>
    <row r="1694">
      <c r="A1694" s="28"/>
      <c r="B1694" s="28"/>
      <c r="C1694" s="28"/>
      <c r="D1694" s="28"/>
      <c r="E1694" s="28"/>
    </row>
    <row r="1695">
      <c r="A1695" s="28"/>
      <c r="B1695" s="28"/>
      <c r="C1695" s="28"/>
      <c r="D1695" s="28"/>
      <c r="E1695" s="28"/>
    </row>
    <row r="1696">
      <c r="A1696" s="28"/>
      <c r="B1696" s="28"/>
      <c r="C1696" s="28"/>
      <c r="D1696" s="28"/>
      <c r="E1696" s="28"/>
    </row>
    <row r="1697">
      <c r="A1697" s="28"/>
      <c r="B1697" s="28"/>
      <c r="C1697" s="28"/>
      <c r="D1697" s="28"/>
      <c r="E1697" s="28"/>
    </row>
    <row r="1698">
      <c r="A1698" s="28"/>
      <c r="B1698" s="28"/>
      <c r="C1698" s="28"/>
      <c r="D1698" s="28"/>
      <c r="E1698" s="28"/>
    </row>
    <row r="1699">
      <c r="A1699" s="28"/>
      <c r="B1699" s="28"/>
      <c r="C1699" s="28"/>
      <c r="D1699" s="28"/>
      <c r="E1699" s="28"/>
    </row>
    <row r="1700">
      <c r="A1700" s="28"/>
      <c r="B1700" s="28"/>
      <c r="C1700" s="28"/>
      <c r="D1700" s="28"/>
      <c r="E1700" s="28"/>
    </row>
    <row r="1701">
      <c r="A1701" s="28"/>
      <c r="B1701" s="28"/>
      <c r="C1701" s="28"/>
      <c r="D1701" s="28"/>
      <c r="E1701" s="28"/>
    </row>
    <row r="1702">
      <c r="A1702" s="28"/>
      <c r="B1702" s="28"/>
      <c r="C1702" s="28"/>
      <c r="D1702" s="28"/>
      <c r="E1702" s="28"/>
    </row>
    <row r="1703">
      <c r="A1703" s="28"/>
      <c r="B1703" s="28"/>
      <c r="C1703" s="28"/>
      <c r="D1703" s="28"/>
      <c r="E1703" s="28"/>
    </row>
    <row r="1704">
      <c r="A1704" s="28"/>
      <c r="B1704" s="28"/>
      <c r="C1704" s="28"/>
      <c r="D1704" s="28"/>
      <c r="E1704" s="28"/>
    </row>
    <row r="1705">
      <c r="A1705" s="28"/>
      <c r="B1705" s="28"/>
      <c r="C1705" s="28"/>
      <c r="D1705" s="28"/>
      <c r="E1705" s="28"/>
    </row>
    <row r="1706">
      <c r="A1706" s="28"/>
      <c r="B1706" s="28"/>
      <c r="C1706" s="28"/>
      <c r="D1706" s="28"/>
      <c r="E1706" s="28"/>
    </row>
    <row r="1707">
      <c r="A1707" s="28"/>
      <c r="B1707" s="28"/>
      <c r="C1707" s="28"/>
      <c r="D1707" s="28"/>
      <c r="E1707" s="28"/>
    </row>
    <row r="1708">
      <c r="A1708" s="28"/>
      <c r="B1708" s="28"/>
      <c r="C1708" s="28"/>
      <c r="D1708" s="28"/>
      <c r="E1708" s="28"/>
    </row>
    <row r="1709">
      <c r="A1709" s="28"/>
      <c r="B1709" s="28"/>
      <c r="C1709" s="28"/>
      <c r="D1709" s="28"/>
      <c r="E1709" s="28"/>
    </row>
    <row r="1710">
      <c r="A1710" s="28"/>
      <c r="B1710" s="28"/>
      <c r="C1710" s="28"/>
      <c r="D1710" s="28"/>
      <c r="E1710" s="28"/>
    </row>
    <row r="1711">
      <c r="A1711" s="28"/>
      <c r="B1711" s="28"/>
      <c r="C1711" s="28"/>
      <c r="D1711" s="28"/>
      <c r="E1711" s="28"/>
    </row>
    <row r="1712">
      <c r="A1712" s="28"/>
      <c r="B1712" s="28"/>
      <c r="C1712" s="28"/>
      <c r="D1712" s="28"/>
      <c r="E1712" s="28"/>
    </row>
    <row r="1713">
      <c r="A1713" s="28"/>
      <c r="B1713" s="28"/>
      <c r="C1713" s="28"/>
      <c r="D1713" s="28"/>
      <c r="E1713" s="28"/>
    </row>
    <row r="1714">
      <c r="A1714" s="28"/>
      <c r="B1714" s="28"/>
      <c r="C1714" s="28"/>
      <c r="D1714" s="28"/>
      <c r="E1714" s="28"/>
    </row>
    <row r="1715">
      <c r="A1715" s="28"/>
      <c r="B1715" s="28"/>
      <c r="C1715" s="28"/>
      <c r="D1715" s="28"/>
      <c r="E1715" s="28"/>
    </row>
    <row r="1716">
      <c r="A1716" s="28"/>
      <c r="B1716" s="28"/>
      <c r="C1716" s="28"/>
      <c r="D1716" s="28"/>
      <c r="E1716" s="28"/>
    </row>
    <row r="1717">
      <c r="A1717" s="28"/>
      <c r="B1717" s="28"/>
      <c r="C1717" s="28"/>
      <c r="D1717" s="28"/>
      <c r="E1717" s="28"/>
    </row>
    <row r="1718">
      <c r="A1718" s="28"/>
      <c r="B1718" s="28"/>
      <c r="C1718" s="28"/>
      <c r="D1718" s="28"/>
      <c r="E1718" s="28"/>
    </row>
    <row r="1719">
      <c r="A1719" s="28"/>
      <c r="B1719" s="28"/>
      <c r="C1719" s="28"/>
      <c r="D1719" s="28"/>
      <c r="E1719" s="28"/>
    </row>
    <row r="1720">
      <c r="A1720" s="28"/>
      <c r="B1720" s="28"/>
      <c r="C1720" s="28"/>
      <c r="D1720" s="28"/>
      <c r="E1720" s="28"/>
    </row>
    <row r="1721">
      <c r="A1721" s="28"/>
      <c r="B1721" s="28"/>
      <c r="C1721" s="28"/>
      <c r="D1721" s="28"/>
      <c r="E1721" s="28"/>
    </row>
    <row r="1722">
      <c r="A1722" s="28"/>
      <c r="B1722" s="28"/>
      <c r="C1722" s="28"/>
      <c r="D1722" s="28"/>
      <c r="E1722" s="28"/>
    </row>
    <row r="1723">
      <c r="A1723" s="28"/>
      <c r="B1723" s="28"/>
      <c r="C1723" s="28"/>
      <c r="D1723" s="28"/>
      <c r="E1723" s="28"/>
    </row>
    <row r="1724">
      <c r="A1724" s="28"/>
      <c r="B1724" s="28"/>
      <c r="C1724" s="28"/>
      <c r="D1724" s="28"/>
      <c r="E1724" s="28"/>
    </row>
    <row r="1725">
      <c r="A1725" s="28"/>
      <c r="B1725" s="28"/>
      <c r="C1725" s="28"/>
      <c r="D1725" s="28"/>
      <c r="E1725" s="28"/>
    </row>
    <row r="1726">
      <c r="A1726" s="28"/>
      <c r="B1726" s="28"/>
      <c r="C1726" s="28"/>
      <c r="D1726" s="28"/>
      <c r="E1726" s="28"/>
    </row>
    <row r="1727">
      <c r="A1727" s="28"/>
      <c r="B1727" s="28"/>
      <c r="C1727" s="28"/>
      <c r="D1727" s="28"/>
      <c r="E1727" s="28"/>
    </row>
    <row r="1728">
      <c r="A1728" s="28"/>
      <c r="B1728" s="28"/>
      <c r="C1728" s="28"/>
      <c r="D1728" s="28"/>
      <c r="E1728" s="28"/>
    </row>
    <row r="1729">
      <c r="A1729" s="28"/>
      <c r="B1729" s="28"/>
      <c r="C1729" s="28"/>
      <c r="D1729" s="28"/>
      <c r="E1729" s="28"/>
    </row>
    <row r="1730">
      <c r="A1730" s="28"/>
      <c r="B1730" s="28"/>
      <c r="C1730" s="28"/>
      <c r="D1730" s="28"/>
      <c r="E1730" s="28"/>
    </row>
    <row r="1731">
      <c r="A1731" s="28"/>
      <c r="B1731" s="28"/>
      <c r="C1731" s="28"/>
      <c r="D1731" s="28"/>
      <c r="E1731" s="28"/>
    </row>
    <row r="1732">
      <c r="A1732" s="28"/>
      <c r="B1732" s="28"/>
      <c r="C1732" s="28"/>
      <c r="D1732" s="28"/>
      <c r="E1732" s="28"/>
    </row>
    <row r="1733">
      <c r="A1733" s="28"/>
      <c r="B1733" s="28"/>
      <c r="C1733" s="28"/>
      <c r="D1733" s="28"/>
      <c r="E1733" s="28"/>
    </row>
    <row r="1734">
      <c r="A1734" s="28"/>
      <c r="B1734" s="28"/>
      <c r="C1734" s="28"/>
      <c r="D1734" s="28"/>
      <c r="E1734" s="28"/>
    </row>
    <row r="1735">
      <c r="A1735" s="28"/>
      <c r="B1735" s="28"/>
      <c r="C1735" s="28"/>
      <c r="D1735" s="28"/>
      <c r="E1735" s="28"/>
    </row>
    <row r="1736">
      <c r="A1736" s="28"/>
      <c r="B1736" s="28"/>
      <c r="C1736" s="28"/>
      <c r="D1736" s="28"/>
      <c r="E1736" s="28"/>
    </row>
    <row r="1737">
      <c r="A1737" s="28"/>
      <c r="B1737" s="28"/>
      <c r="C1737" s="28"/>
      <c r="D1737" s="28"/>
      <c r="E1737" s="28"/>
    </row>
    <row r="1738">
      <c r="A1738" s="28"/>
      <c r="B1738" s="28"/>
      <c r="C1738" s="28"/>
      <c r="D1738" s="28"/>
      <c r="E1738" s="28"/>
    </row>
    <row r="1739">
      <c r="A1739" s="28"/>
      <c r="B1739" s="28"/>
      <c r="C1739" s="28"/>
      <c r="D1739" s="28"/>
      <c r="E1739" s="28"/>
    </row>
    <row r="1740">
      <c r="A1740" s="28"/>
      <c r="B1740" s="28"/>
      <c r="C1740" s="28"/>
      <c r="D1740" s="28"/>
      <c r="E1740" s="28"/>
    </row>
    <row r="1741">
      <c r="A1741" s="28"/>
      <c r="B1741" s="28"/>
      <c r="C1741" s="28"/>
      <c r="D1741" s="28"/>
      <c r="E1741" s="28"/>
    </row>
    <row r="1742">
      <c r="A1742" s="28"/>
      <c r="B1742" s="28"/>
      <c r="C1742" s="28"/>
      <c r="D1742" s="28"/>
      <c r="E1742" s="28"/>
    </row>
    <row r="1743">
      <c r="A1743" s="28"/>
      <c r="B1743" s="28"/>
      <c r="C1743" s="28"/>
      <c r="D1743" s="28"/>
      <c r="E1743" s="28"/>
    </row>
    <row r="1744">
      <c r="A1744" s="28"/>
      <c r="B1744" s="28"/>
      <c r="C1744" s="28"/>
      <c r="D1744" s="28"/>
      <c r="E1744" s="28"/>
    </row>
    <row r="1745">
      <c r="A1745" s="28"/>
      <c r="B1745" s="28"/>
      <c r="C1745" s="28"/>
      <c r="D1745" s="28"/>
      <c r="E1745" s="28"/>
    </row>
    <row r="1746">
      <c r="A1746" s="28"/>
      <c r="B1746" s="28"/>
      <c r="C1746" s="28"/>
      <c r="D1746" s="28"/>
      <c r="E1746" s="28"/>
    </row>
    <row r="1747">
      <c r="A1747" s="28"/>
      <c r="B1747" s="28"/>
      <c r="C1747" s="28"/>
      <c r="D1747" s="28"/>
      <c r="E1747" s="28"/>
    </row>
    <row r="1748">
      <c r="A1748" s="28"/>
      <c r="B1748" s="28"/>
      <c r="C1748" s="28"/>
      <c r="D1748" s="28"/>
      <c r="E1748" s="28"/>
    </row>
    <row r="1749">
      <c r="A1749" s="28"/>
      <c r="B1749" s="28"/>
      <c r="C1749" s="28"/>
      <c r="D1749" s="28"/>
      <c r="E1749" s="28"/>
    </row>
    <row r="1750">
      <c r="A1750" s="28"/>
      <c r="B1750" s="28"/>
      <c r="C1750" s="28"/>
      <c r="D1750" s="28"/>
      <c r="E1750" s="28"/>
    </row>
    <row r="1751">
      <c r="A1751" s="28"/>
      <c r="B1751" s="28"/>
      <c r="C1751" s="28"/>
      <c r="D1751" s="28"/>
      <c r="E1751" s="28"/>
    </row>
    <row r="1752">
      <c r="A1752" s="28"/>
      <c r="B1752" s="28"/>
      <c r="C1752" s="28"/>
      <c r="D1752" s="28"/>
      <c r="E1752" s="28"/>
    </row>
    <row r="1753">
      <c r="A1753" s="28"/>
      <c r="B1753" s="28"/>
      <c r="C1753" s="28"/>
      <c r="D1753" s="28"/>
      <c r="E1753" s="28"/>
    </row>
    <row r="1754">
      <c r="A1754" s="28"/>
      <c r="B1754" s="28"/>
      <c r="C1754" s="28"/>
      <c r="D1754" s="28"/>
      <c r="E1754" s="28"/>
    </row>
    <row r="1755">
      <c r="A1755" s="28"/>
      <c r="B1755" s="28"/>
      <c r="C1755" s="28"/>
      <c r="D1755" s="28"/>
      <c r="E1755" s="28"/>
    </row>
    <row r="1756">
      <c r="A1756" s="28"/>
      <c r="B1756" s="28"/>
      <c r="C1756" s="28"/>
      <c r="D1756" s="28"/>
      <c r="E1756" s="28"/>
    </row>
    <row r="1757">
      <c r="A1757" s="28"/>
      <c r="B1757" s="28"/>
      <c r="C1757" s="28"/>
      <c r="D1757" s="28"/>
      <c r="E1757" s="28"/>
    </row>
    <row r="1758">
      <c r="A1758" s="28"/>
      <c r="B1758" s="28"/>
      <c r="C1758" s="28"/>
      <c r="D1758" s="28"/>
      <c r="E1758" s="28"/>
    </row>
    <row r="1759">
      <c r="A1759" s="28"/>
      <c r="B1759" s="28"/>
      <c r="C1759" s="28"/>
      <c r="D1759" s="28"/>
      <c r="E1759" s="28"/>
    </row>
    <row r="1760">
      <c r="A1760" s="28"/>
      <c r="B1760" s="28"/>
      <c r="C1760" s="28"/>
      <c r="D1760" s="28"/>
      <c r="E1760" s="28"/>
    </row>
    <row r="1761">
      <c r="A1761" s="28"/>
      <c r="B1761" s="28"/>
      <c r="C1761" s="28"/>
      <c r="D1761" s="28"/>
      <c r="E1761" s="28"/>
    </row>
    <row r="1762">
      <c r="A1762" s="28"/>
      <c r="B1762" s="28"/>
      <c r="C1762" s="28"/>
      <c r="D1762" s="28"/>
      <c r="E1762" s="28"/>
    </row>
    <row r="1763">
      <c r="A1763" s="28"/>
      <c r="B1763" s="28"/>
      <c r="C1763" s="28"/>
      <c r="D1763" s="28"/>
      <c r="E1763" s="28"/>
    </row>
    <row r="1764">
      <c r="A1764" s="28"/>
      <c r="B1764" s="28"/>
      <c r="C1764" s="28"/>
      <c r="D1764" s="28"/>
      <c r="E1764" s="28"/>
    </row>
    <row r="1765">
      <c r="A1765" s="28"/>
      <c r="B1765" s="28"/>
      <c r="C1765" s="28"/>
      <c r="D1765" s="28"/>
      <c r="E1765" s="28"/>
    </row>
    <row r="1766">
      <c r="A1766" s="28"/>
      <c r="B1766" s="28"/>
      <c r="C1766" s="28"/>
      <c r="D1766" s="28"/>
      <c r="E1766" s="28"/>
    </row>
    <row r="1767">
      <c r="A1767" s="28"/>
      <c r="B1767" s="28"/>
      <c r="C1767" s="28"/>
      <c r="D1767" s="28"/>
      <c r="E1767" s="28"/>
    </row>
    <row r="1768">
      <c r="A1768" s="28"/>
      <c r="B1768" s="28"/>
      <c r="C1768" s="28"/>
      <c r="D1768" s="28"/>
      <c r="E1768" s="28"/>
    </row>
    <row r="1769">
      <c r="A1769" s="28"/>
      <c r="B1769" s="28"/>
      <c r="C1769" s="28"/>
      <c r="D1769" s="28"/>
      <c r="E1769" s="28"/>
    </row>
    <row r="1770">
      <c r="A1770" s="28"/>
      <c r="B1770" s="28"/>
      <c r="C1770" s="28"/>
      <c r="D1770" s="28"/>
      <c r="E1770" s="28"/>
    </row>
    <row r="1771">
      <c r="A1771" s="28"/>
      <c r="B1771" s="28"/>
      <c r="C1771" s="28"/>
      <c r="D1771" s="28"/>
      <c r="E1771" s="28"/>
    </row>
    <row r="1772">
      <c r="A1772" s="28"/>
      <c r="B1772" s="28"/>
      <c r="C1772" s="28"/>
      <c r="D1772" s="28"/>
      <c r="E1772" s="28"/>
    </row>
    <row r="1773">
      <c r="A1773" s="28"/>
      <c r="B1773" s="28"/>
      <c r="C1773" s="28"/>
      <c r="D1773" s="28"/>
      <c r="E1773" s="28"/>
    </row>
    <row r="1774">
      <c r="A1774" s="28"/>
      <c r="B1774" s="28"/>
      <c r="C1774" s="28"/>
      <c r="D1774" s="28"/>
      <c r="E1774" s="28"/>
    </row>
    <row r="1775">
      <c r="A1775" s="28"/>
      <c r="B1775" s="28"/>
      <c r="C1775" s="28"/>
      <c r="D1775" s="28"/>
      <c r="E1775" s="28"/>
    </row>
    <row r="1776">
      <c r="A1776" s="28"/>
      <c r="B1776" s="28"/>
      <c r="C1776" s="28"/>
      <c r="D1776" s="28"/>
      <c r="E1776" s="28"/>
    </row>
    <row r="1777">
      <c r="A1777" s="28"/>
      <c r="B1777" s="28"/>
      <c r="C1777" s="28"/>
      <c r="D1777" s="28"/>
      <c r="E1777" s="28"/>
    </row>
    <row r="1778">
      <c r="A1778" s="28"/>
      <c r="B1778" s="28"/>
      <c r="C1778" s="28"/>
      <c r="D1778" s="28"/>
      <c r="E1778" s="28"/>
    </row>
    <row r="1779">
      <c r="A1779" s="28"/>
      <c r="B1779" s="28"/>
      <c r="C1779" s="28"/>
      <c r="D1779" s="28"/>
      <c r="E1779" s="28"/>
    </row>
    <row r="1780">
      <c r="A1780" s="28"/>
      <c r="B1780" s="28"/>
      <c r="C1780" s="28"/>
      <c r="D1780" s="28"/>
      <c r="E1780" s="28"/>
    </row>
    <row r="1781">
      <c r="A1781" s="28"/>
      <c r="B1781" s="28"/>
      <c r="C1781" s="28"/>
      <c r="D1781" s="28"/>
      <c r="E1781" s="28"/>
    </row>
    <row r="1782">
      <c r="A1782" s="28"/>
      <c r="B1782" s="28"/>
      <c r="C1782" s="28"/>
      <c r="D1782" s="28"/>
      <c r="E1782" s="28"/>
    </row>
    <row r="1783">
      <c r="A1783" s="28"/>
      <c r="B1783" s="28"/>
      <c r="C1783" s="28"/>
      <c r="D1783" s="28"/>
      <c r="E1783" s="28"/>
    </row>
    <row r="1784">
      <c r="A1784" s="28"/>
      <c r="B1784" s="28"/>
      <c r="C1784" s="28"/>
      <c r="D1784" s="28"/>
      <c r="E1784" s="28"/>
    </row>
    <row r="1785">
      <c r="A1785" s="28"/>
      <c r="B1785" s="28"/>
      <c r="C1785" s="28"/>
      <c r="D1785" s="28"/>
      <c r="E1785" s="28"/>
    </row>
    <row r="1786">
      <c r="A1786" s="28"/>
      <c r="B1786" s="28"/>
      <c r="C1786" s="28"/>
      <c r="D1786" s="28"/>
      <c r="E1786" s="28"/>
    </row>
    <row r="1787">
      <c r="A1787" s="28"/>
      <c r="B1787" s="28"/>
      <c r="C1787" s="28"/>
      <c r="D1787" s="28"/>
      <c r="E1787" s="28"/>
    </row>
    <row r="1788">
      <c r="A1788" s="28"/>
      <c r="B1788" s="28"/>
      <c r="C1788" s="28"/>
      <c r="D1788" s="28"/>
      <c r="E1788" s="28"/>
    </row>
    <row r="1789">
      <c r="A1789" s="28"/>
      <c r="B1789" s="28"/>
      <c r="C1789" s="28"/>
      <c r="D1789" s="28"/>
      <c r="E1789" s="28"/>
    </row>
    <row r="1790">
      <c r="A1790" s="28"/>
      <c r="B1790" s="28"/>
      <c r="C1790" s="28"/>
      <c r="D1790" s="28"/>
      <c r="E1790" s="28"/>
    </row>
    <row r="1791">
      <c r="A1791" s="28"/>
      <c r="B1791" s="28"/>
      <c r="C1791" s="28"/>
      <c r="D1791" s="28"/>
      <c r="E1791" s="28"/>
    </row>
    <row r="1792">
      <c r="A1792" s="28"/>
      <c r="B1792" s="28"/>
      <c r="C1792" s="28"/>
      <c r="D1792" s="28"/>
      <c r="E1792" s="28"/>
    </row>
    <row r="1793">
      <c r="A1793" s="28"/>
      <c r="B1793" s="28"/>
      <c r="C1793" s="28"/>
      <c r="D1793" s="28"/>
      <c r="E1793" s="28"/>
    </row>
    <row r="1794">
      <c r="A1794" s="28"/>
      <c r="B1794" s="28"/>
      <c r="C1794" s="28"/>
      <c r="D1794" s="28"/>
      <c r="E1794" s="28"/>
    </row>
    <row r="1795">
      <c r="A1795" s="28"/>
      <c r="B1795" s="28"/>
      <c r="C1795" s="28"/>
      <c r="D1795" s="28"/>
      <c r="E1795" s="28"/>
    </row>
    <row r="1796">
      <c r="A1796" s="28"/>
      <c r="B1796" s="28"/>
      <c r="C1796" s="28"/>
      <c r="D1796" s="28"/>
      <c r="E1796" s="28"/>
    </row>
    <row r="1797">
      <c r="A1797" s="28"/>
      <c r="B1797" s="28"/>
      <c r="C1797" s="28"/>
      <c r="D1797" s="28"/>
      <c r="E1797" s="28"/>
    </row>
    <row r="1798">
      <c r="A1798" s="28"/>
      <c r="B1798" s="28"/>
      <c r="C1798" s="28"/>
      <c r="D1798" s="28"/>
      <c r="E1798" s="28"/>
    </row>
    <row r="1799">
      <c r="A1799" s="28"/>
      <c r="B1799" s="28"/>
      <c r="C1799" s="28"/>
      <c r="D1799" s="28"/>
      <c r="E1799" s="28"/>
    </row>
    <row r="1800">
      <c r="A1800" s="28"/>
      <c r="B1800" s="28"/>
      <c r="C1800" s="28"/>
      <c r="D1800" s="28"/>
      <c r="E1800" s="28"/>
    </row>
    <row r="1801">
      <c r="A1801" s="28"/>
      <c r="B1801" s="28"/>
      <c r="C1801" s="28"/>
      <c r="D1801" s="28"/>
      <c r="E1801" s="28"/>
    </row>
    <row r="1802">
      <c r="A1802" s="28"/>
      <c r="B1802" s="28"/>
      <c r="C1802" s="28"/>
      <c r="D1802" s="28"/>
      <c r="E1802" s="28"/>
    </row>
    <row r="1803">
      <c r="A1803" s="28"/>
      <c r="B1803" s="28"/>
      <c r="C1803" s="28"/>
      <c r="D1803" s="28"/>
      <c r="E1803" s="28"/>
    </row>
    <row r="1804">
      <c r="A1804" s="28"/>
      <c r="B1804" s="28"/>
      <c r="C1804" s="28"/>
      <c r="D1804" s="28"/>
      <c r="E1804" s="28"/>
    </row>
    <row r="1805">
      <c r="A1805" s="28"/>
      <c r="B1805" s="28"/>
      <c r="C1805" s="28"/>
      <c r="D1805" s="28"/>
      <c r="E1805" s="28"/>
    </row>
    <row r="1806">
      <c r="A1806" s="28"/>
      <c r="B1806" s="28"/>
      <c r="C1806" s="28"/>
      <c r="D1806" s="28"/>
      <c r="E1806" s="28"/>
    </row>
    <row r="1807">
      <c r="A1807" s="28"/>
      <c r="B1807" s="28"/>
      <c r="C1807" s="28"/>
      <c r="D1807" s="28"/>
      <c r="E1807" s="28"/>
    </row>
    <row r="1808">
      <c r="A1808" s="28"/>
      <c r="B1808" s="28"/>
      <c r="C1808" s="28"/>
      <c r="D1808" s="28"/>
      <c r="E1808" s="28"/>
    </row>
    <row r="1809">
      <c r="A1809" s="28"/>
      <c r="B1809" s="28"/>
      <c r="C1809" s="28"/>
      <c r="D1809" s="28"/>
      <c r="E1809" s="28"/>
    </row>
    <row r="1810">
      <c r="A1810" s="28"/>
      <c r="B1810" s="28"/>
      <c r="C1810" s="28"/>
      <c r="D1810" s="28"/>
      <c r="E1810" s="28"/>
    </row>
    <row r="1811">
      <c r="A1811" s="28"/>
      <c r="B1811" s="28"/>
      <c r="C1811" s="28"/>
      <c r="D1811" s="28"/>
      <c r="E1811" s="28"/>
    </row>
    <row r="1812">
      <c r="A1812" s="28"/>
      <c r="B1812" s="28"/>
      <c r="C1812" s="28"/>
      <c r="D1812" s="28"/>
      <c r="E1812" s="28"/>
    </row>
    <row r="1813">
      <c r="A1813" s="28"/>
      <c r="B1813" s="28"/>
      <c r="C1813" s="28"/>
      <c r="D1813" s="28"/>
      <c r="E1813" s="28"/>
    </row>
    <row r="1814">
      <c r="A1814" s="28"/>
      <c r="B1814" s="28"/>
      <c r="C1814" s="28"/>
      <c r="D1814" s="28"/>
      <c r="E1814" s="28"/>
    </row>
    <row r="1815">
      <c r="A1815" s="28"/>
      <c r="B1815" s="28"/>
      <c r="C1815" s="28"/>
      <c r="D1815" s="28"/>
      <c r="E1815" s="28"/>
    </row>
    <row r="1816">
      <c r="A1816" s="28"/>
      <c r="B1816" s="28"/>
      <c r="C1816" s="28"/>
      <c r="D1816" s="28"/>
      <c r="E1816" s="28"/>
    </row>
    <row r="1817">
      <c r="A1817" s="28"/>
      <c r="B1817" s="28"/>
      <c r="C1817" s="28"/>
      <c r="D1817" s="28"/>
      <c r="E1817" s="28"/>
    </row>
    <row r="1818">
      <c r="A1818" s="28"/>
      <c r="B1818" s="28"/>
      <c r="C1818" s="28"/>
      <c r="D1818" s="28"/>
      <c r="E1818" s="28"/>
    </row>
    <row r="1819">
      <c r="A1819" s="28"/>
      <c r="B1819" s="28"/>
      <c r="C1819" s="28"/>
      <c r="D1819" s="28"/>
      <c r="E1819" s="28"/>
    </row>
    <row r="1820">
      <c r="A1820" s="28"/>
      <c r="B1820" s="28"/>
      <c r="C1820" s="28"/>
      <c r="D1820" s="28"/>
      <c r="E1820" s="28"/>
    </row>
    <row r="1821">
      <c r="A1821" s="28"/>
      <c r="B1821" s="28"/>
      <c r="C1821" s="28"/>
      <c r="D1821" s="28"/>
      <c r="E1821" s="28"/>
    </row>
    <row r="1822">
      <c r="A1822" s="28"/>
      <c r="B1822" s="28"/>
      <c r="C1822" s="28"/>
      <c r="D1822" s="28"/>
      <c r="E1822" s="28"/>
    </row>
    <row r="1823">
      <c r="A1823" s="28"/>
      <c r="B1823" s="28"/>
      <c r="C1823" s="28"/>
      <c r="D1823" s="28"/>
      <c r="E1823" s="28"/>
    </row>
    <row r="1824">
      <c r="A1824" s="28"/>
      <c r="B1824" s="28"/>
      <c r="C1824" s="28"/>
      <c r="D1824" s="28"/>
      <c r="E1824" s="28"/>
    </row>
    <row r="1825">
      <c r="A1825" s="28"/>
      <c r="B1825" s="28"/>
      <c r="C1825" s="28"/>
      <c r="D1825" s="28"/>
      <c r="E1825" s="28"/>
    </row>
    <row r="1826">
      <c r="A1826" s="28"/>
      <c r="B1826" s="28"/>
      <c r="C1826" s="28"/>
      <c r="D1826" s="28"/>
      <c r="E1826" s="28"/>
    </row>
    <row r="1827">
      <c r="A1827" s="28"/>
      <c r="B1827" s="28"/>
      <c r="C1827" s="28"/>
      <c r="D1827" s="28"/>
      <c r="E1827" s="28"/>
    </row>
    <row r="1828">
      <c r="A1828" s="28"/>
      <c r="B1828" s="28"/>
      <c r="C1828" s="28"/>
      <c r="D1828" s="28"/>
      <c r="E1828" s="28"/>
    </row>
    <row r="1829">
      <c r="A1829" s="28"/>
      <c r="B1829" s="28"/>
      <c r="C1829" s="28"/>
      <c r="D1829" s="28"/>
      <c r="E1829" s="28"/>
    </row>
    <row r="1830">
      <c r="A1830" s="28"/>
      <c r="B1830" s="28"/>
      <c r="C1830" s="28"/>
      <c r="D1830" s="28"/>
      <c r="E1830" s="28"/>
    </row>
    <row r="1831">
      <c r="A1831" s="28"/>
      <c r="B1831" s="28"/>
      <c r="C1831" s="28"/>
      <c r="D1831" s="28"/>
      <c r="E1831" s="28"/>
    </row>
    <row r="1832">
      <c r="A1832" s="28"/>
      <c r="B1832" s="28"/>
      <c r="C1832" s="28"/>
      <c r="D1832" s="28"/>
      <c r="E1832" s="28"/>
    </row>
    <row r="1833">
      <c r="A1833" s="28"/>
      <c r="B1833" s="28"/>
      <c r="C1833" s="28"/>
      <c r="D1833" s="28"/>
      <c r="E1833" s="28"/>
    </row>
    <row r="1834">
      <c r="A1834" s="28"/>
      <c r="B1834" s="28"/>
      <c r="C1834" s="28"/>
      <c r="D1834" s="28"/>
      <c r="E1834" s="28"/>
    </row>
    <row r="1835">
      <c r="A1835" s="28"/>
      <c r="B1835" s="28"/>
      <c r="C1835" s="28"/>
      <c r="D1835" s="28"/>
      <c r="E1835" s="28"/>
    </row>
    <row r="1836">
      <c r="A1836" s="28"/>
      <c r="B1836" s="28"/>
      <c r="C1836" s="28"/>
      <c r="D1836" s="28"/>
      <c r="E1836" s="28"/>
    </row>
    <row r="1837">
      <c r="A1837" s="28"/>
      <c r="B1837" s="28"/>
      <c r="C1837" s="28"/>
      <c r="D1837" s="28"/>
      <c r="E1837" s="28"/>
    </row>
    <row r="1838">
      <c r="A1838" s="28"/>
      <c r="B1838" s="28"/>
      <c r="C1838" s="28"/>
      <c r="D1838" s="28"/>
      <c r="E1838" s="28"/>
    </row>
    <row r="1839">
      <c r="A1839" s="28"/>
      <c r="B1839" s="28"/>
      <c r="C1839" s="28"/>
      <c r="D1839" s="28"/>
      <c r="E1839" s="28"/>
    </row>
    <row r="1840">
      <c r="A1840" s="28"/>
      <c r="B1840" s="28"/>
      <c r="C1840" s="28"/>
      <c r="D1840" s="28"/>
      <c r="E1840" s="28"/>
    </row>
    <row r="1841">
      <c r="A1841" s="28"/>
      <c r="B1841" s="28"/>
      <c r="C1841" s="28"/>
      <c r="D1841" s="28"/>
      <c r="E1841" s="28"/>
    </row>
    <row r="1842">
      <c r="A1842" s="28"/>
      <c r="B1842" s="28"/>
      <c r="C1842" s="28"/>
      <c r="D1842" s="28"/>
      <c r="E1842" s="28"/>
    </row>
    <row r="1843">
      <c r="A1843" s="28"/>
      <c r="B1843" s="28"/>
      <c r="C1843" s="28"/>
      <c r="D1843" s="28"/>
      <c r="E1843" s="28"/>
    </row>
    <row r="1844">
      <c r="A1844" s="28"/>
      <c r="B1844" s="28"/>
      <c r="C1844" s="28"/>
      <c r="D1844" s="28"/>
      <c r="E1844" s="28"/>
    </row>
    <row r="1845">
      <c r="A1845" s="28"/>
      <c r="B1845" s="28"/>
      <c r="C1845" s="28"/>
      <c r="D1845" s="28"/>
      <c r="E1845" s="28"/>
    </row>
    <row r="1846">
      <c r="A1846" s="28"/>
      <c r="B1846" s="28"/>
      <c r="C1846" s="28"/>
      <c r="D1846" s="28"/>
      <c r="E1846" s="28"/>
    </row>
    <row r="1847">
      <c r="A1847" s="28"/>
      <c r="B1847" s="28"/>
      <c r="C1847" s="28"/>
      <c r="D1847" s="28"/>
      <c r="E1847" s="28"/>
    </row>
    <row r="1848">
      <c r="A1848" s="28"/>
      <c r="B1848" s="28"/>
      <c r="C1848" s="28"/>
      <c r="D1848" s="28"/>
      <c r="E1848" s="28"/>
    </row>
    <row r="1849">
      <c r="A1849" s="28"/>
      <c r="B1849" s="28"/>
      <c r="C1849" s="28"/>
      <c r="D1849" s="28"/>
      <c r="E1849" s="28"/>
    </row>
    <row r="1850">
      <c r="A1850" s="28"/>
      <c r="B1850" s="28"/>
      <c r="C1850" s="28"/>
      <c r="D1850" s="28"/>
      <c r="E1850" s="28"/>
    </row>
    <row r="1851">
      <c r="A1851" s="28"/>
      <c r="B1851" s="28"/>
      <c r="C1851" s="28"/>
      <c r="D1851" s="28"/>
      <c r="E1851" s="28"/>
    </row>
    <row r="1852">
      <c r="A1852" s="28"/>
      <c r="B1852" s="28"/>
      <c r="C1852" s="28"/>
      <c r="D1852" s="28"/>
      <c r="E1852" s="28"/>
    </row>
    <row r="1853">
      <c r="A1853" s="28"/>
      <c r="B1853" s="28"/>
      <c r="C1853" s="28"/>
      <c r="D1853" s="28"/>
      <c r="E1853" s="28"/>
    </row>
    <row r="1854">
      <c r="A1854" s="28"/>
      <c r="B1854" s="28"/>
      <c r="C1854" s="28"/>
      <c r="D1854" s="28"/>
      <c r="E1854" s="28"/>
    </row>
    <row r="1855">
      <c r="A1855" s="28"/>
      <c r="B1855" s="28"/>
      <c r="C1855" s="28"/>
      <c r="D1855" s="28"/>
      <c r="E1855" s="28"/>
    </row>
    <row r="1856">
      <c r="A1856" s="28"/>
      <c r="B1856" s="28"/>
      <c r="C1856" s="28"/>
      <c r="D1856" s="28"/>
      <c r="E1856" s="28"/>
    </row>
    <row r="1857">
      <c r="A1857" s="28"/>
      <c r="B1857" s="28"/>
      <c r="C1857" s="28"/>
      <c r="D1857" s="28"/>
      <c r="E1857" s="28"/>
    </row>
    <row r="1858">
      <c r="A1858" s="28"/>
      <c r="B1858" s="28"/>
      <c r="C1858" s="28"/>
      <c r="D1858" s="28"/>
      <c r="E1858" s="28"/>
    </row>
    <row r="1859">
      <c r="A1859" s="28"/>
      <c r="B1859" s="28"/>
      <c r="C1859" s="28"/>
      <c r="D1859" s="28"/>
      <c r="E1859" s="28"/>
    </row>
    <row r="1860">
      <c r="A1860" s="28"/>
      <c r="B1860" s="28"/>
      <c r="C1860" s="28"/>
      <c r="D1860" s="28"/>
      <c r="E1860" s="28"/>
    </row>
    <row r="1861">
      <c r="A1861" s="28"/>
      <c r="B1861" s="28"/>
      <c r="C1861" s="28"/>
      <c r="D1861" s="28"/>
      <c r="E1861" s="28"/>
    </row>
    <row r="1862">
      <c r="A1862" s="28"/>
      <c r="B1862" s="28"/>
      <c r="C1862" s="28"/>
      <c r="D1862" s="28"/>
      <c r="E1862" s="28"/>
    </row>
    <row r="1863">
      <c r="A1863" s="28"/>
      <c r="B1863" s="28"/>
      <c r="C1863" s="28"/>
      <c r="D1863" s="28"/>
      <c r="E1863" s="28"/>
    </row>
    <row r="1864">
      <c r="A1864" s="28"/>
      <c r="B1864" s="28"/>
      <c r="C1864" s="28"/>
      <c r="D1864" s="28"/>
      <c r="E1864" s="28"/>
    </row>
    <row r="1865">
      <c r="A1865" s="28"/>
      <c r="B1865" s="28"/>
      <c r="C1865" s="28"/>
      <c r="D1865" s="28"/>
      <c r="E1865" s="28"/>
    </row>
    <row r="1866">
      <c r="A1866" s="28"/>
      <c r="B1866" s="28"/>
      <c r="C1866" s="28"/>
      <c r="D1866" s="28"/>
      <c r="E1866" s="28"/>
    </row>
    <row r="1867">
      <c r="A1867" s="28"/>
      <c r="B1867" s="28"/>
      <c r="C1867" s="28"/>
      <c r="D1867" s="28"/>
      <c r="E1867" s="28"/>
    </row>
    <row r="1868">
      <c r="A1868" s="28"/>
      <c r="B1868" s="28"/>
      <c r="C1868" s="28"/>
      <c r="D1868" s="28"/>
      <c r="E1868" s="28"/>
    </row>
    <row r="1869">
      <c r="A1869" s="28"/>
      <c r="B1869" s="28"/>
      <c r="C1869" s="28"/>
      <c r="D1869" s="28"/>
      <c r="E1869" s="28"/>
    </row>
    <row r="1870">
      <c r="A1870" s="28"/>
      <c r="B1870" s="28"/>
      <c r="C1870" s="28"/>
      <c r="D1870" s="28"/>
      <c r="E1870" s="28"/>
    </row>
    <row r="1871">
      <c r="A1871" s="28"/>
      <c r="B1871" s="28"/>
      <c r="C1871" s="28"/>
      <c r="D1871" s="28"/>
      <c r="E1871" s="28"/>
    </row>
    <row r="1872">
      <c r="A1872" s="28"/>
      <c r="B1872" s="28"/>
      <c r="C1872" s="28"/>
      <c r="D1872" s="28"/>
      <c r="E1872" s="28"/>
    </row>
    <row r="1873">
      <c r="A1873" s="28"/>
      <c r="B1873" s="28"/>
      <c r="C1873" s="28"/>
      <c r="D1873" s="28"/>
      <c r="E1873" s="28"/>
    </row>
    <row r="1874">
      <c r="A1874" s="28"/>
      <c r="B1874" s="28"/>
      <c r="C1874" s="28"/>
      <c r="D1874" s="28"/>
      <c r="E1874" s="28"/>
    </row>
    <row r="1875">
      <c r="A1875" s="28"/>
      <c r="B1875" s="28"/>
      <c r="C1875" s="28"/>
      <c r="D1875" s="28"/>
      <c r="E1875" s="28"/>
    </row>
    <row r="1876">
      <c r="A1876" s="28"/>
      <c r="B1876" s="28"/>
      <c r="C1876" s="28"/>
      <c r="D1876" s="28"/>
      <c r="E1876" s="28"/>
    </row>
    <row r="1877">
      <c r="A1877" s="28"/>
      <c r="B1877" s="28"/>
      <c r="C1877" s="28"/>
      <c r="D1877" s="28"/>
      <c r="E1877" s="28"/>
    </row>
    <row r="1878">
      <c r="A1878" s="28"/>
      <c r="B1878" s="28"/>
      <c r="C1878" s="28"/>
      <c r="D1878" s="28"/>
      <c r="E1878" s="28"/>
    </row>
    <row r="1879">
      <c r="A1879" s="28"/>
      <c r="B1879" s="28"/>
      <c r="C1879" s="28"/>
      <c r="D1879" s="28"/>
      <c r="E1879" s="28"/>
    </row>
    <row r="1880">
      <c r="A1880" s="28"/>
      <c r="B1880" s="28"/>
      <c r="C1880" s="28"/>
      <c r="D1880" s="28"/>
      <c r="E1880" s="28"/>
    </row>
    <row r="1881">
      <c r="A1881" s="28"/>
      <c r="B1881" s="28"/>
      <c r="C1881" s="28"/>
      <c r="D1881" s="28"/>
      <c r="E1881" s="28"/>
    </row>
    <row r="1882">
      <c r="A1882" s="28"/>
      <c r="B1882" s="28"/>
      <c r="C1882" s="28"/>
      <c r="D1882" s="28"/>
      <c r="E1882" s="28"/>
    </row>
    <row r="1883">
      <c r="A1883" s="28"/>
      <c r="B1883" s="28"/>
      <c r="C1883" s="28"/>
      <c r="D1883" s="28"/>
      <c r="E1883" s="28"/>
    </row>
    <row r="1884">
      <c r="A1884" s="28"/>
      <c r="B1884" s="28"/>
      <c r="C1884" s="28"/>
      <c r="D1884" s="28"/>
      <c r="E1884" s="28"/>
    </row>
    <row r="1885">
      <c r="A1885" s="28"/>
      <c r="B1885" s="28"/>
      <c r="C1885" s="28"/>
      <c r="D1885" s="28"/>
      <c r="E1885" s="28"/>
    </row>
    <row r="1886">
      <c r="A1886" s="28"/>
      <c r="B1886" s="28"/>
      <c r="C1886" s="28"/>
      <c r="D1886" s="28"/>
      <c r="E1886" s="28"/>
    </row>
    <row r="1887">
      <c r="A1887" s="28"/>
      <c r="B1887" s="28"/>
      <c r="C1887" s="28"/>
      <c r="D1887" s="28"/>
      <c r="E1887" s="28"/>
    </row>
    <row r="1888">
      <c r="A1888" s="28"/>
      <c r="B1888" s="28"/>
      <c r="C1888" s="28"/>
      <c r="D1888" s="28"/>
      <c r="E1888" s="28"/>
    </row>
    <row r="1889">
      <c r="A1889" s="28"/>
      <c r="B1889" s="28"/>
      <c r="C1889" s="28"/>
      <c r="D1889" s="28"/>
      <c r="E1889" s="28"/>
    </row>
    <row r="1890">
      <c r="A1890" s="28"/>
      <c r="B1890" s="28"/>
      <c r="C1890" s="28"/>
      <c r="D1890" s="28"/>
      <c r="E1890" s="28"/>
    </row>
    <row r="1891">
      <c r="A1891" s="28"/>
      <c r="B1891" s="28"/>
      <c r="C1891" s="28"/>
      <c r="D1891" s="28"/>
      <c r="E1891" s="28"/>
    </row>
    <row r="1892">
      <c r="A1892" s="28"/>
      <c r="B1892" s="28"/>
      <c r="C1892" s="28"/>
      <c r="D1892" s="28"/>
      <c r="E1892" s="28"/>
    </row>
    <row r="1893">
      <c r="A1893" s="28"/>
      <c r="B1893" s="28"/>
      <c r="C1893" s="28"/>
      <c r="D1893" s="28"/>
      <c r="E1893" s="28"/>
    </row>
    <row r="1894">
      <c r="A1894" s="28"/>
      <c r="B1894" s="28"/>
      <c r="C1894" s="28"/>
      <c r="D1894" s="28"/>
      <c r="E1894" s="28"/>
    </row>
    <row r="1895">
      <c r="A1895" s="28"/>
      <c r="B1895" s="28"/>
      <c r="C1895" s="28"/>
      <c r="D1895" s="28"/>
      <c r="E1895" s="28"/>
    </row>
    <row r="1896">
      <c r="A1896" s="28"/>
      <c r="B1896" s="28"/>
      <c r="C1896" s="28"/>
      <c r="D1896" s="28"/>
      <c r="E1896" s="28"/>
    </row>
    <row r="1897">
      <c r="A1897" s="28"/>
      <c r="B1897" s="28"/>
      <c r="C1897" s="28"/>
      <c r="D1897" s="28"/>
      <c r="E1897" s="28"/>
    </row>
    <row r="1898">
      <c r="A1898" s="28"/>
      <c r="B1898" s="28"/>
      <c r="C1898" s="28"/>
      <c r="D1898" s="28"/>
      <c r="E1898" s="28"/>
    </row>
    <row r="1899">
      <c r="A1899" s="28"/>
      <c r="B1899" s="28"/>
      <c r="C1899" s="28"/>
      <c r="D1899" s="28"/>
      <c r="E1899" s="28"/>
    </row>
    <row r="1900">
      <c r="A1900" s="28"/>
      <c r="B1900" s="28"/>
      <c r="C1900" s="28"/>
      <c r="D1900" s="28"/>
      <c r="E1900" s="28"/>
    </row>
    <row r="1901">
      <c r="A1901" s="28"/>
      <c r="B1901" s="28"/>
      <c r="C1901" s="28"/>
      <c r="D1901" s="28"/>
      <c r="E1901" s="28"/>
    </row>
    <row r="1902">
      <c r="A1902" s="28"/>
      <c r="B1902" s="28"/>
      <c r="C1902" s="28"/>
      <c r="D1902" s="28"/>
      <c r="E1902" s="28"/>
    </row>
    <row r="1903">
      <c r="A1903" s="28"/>
      <c r="B1903" s="28"/>
      <c r="C1903" s="28"/>
      <c r="D1903" s="28"/>
      <c r="E1903" s="28"/>
    </row>
    <row r="1904">
      <c r="A1904" s="28"/>
      <c r="B1904" s="28"/>
      <c r="C1904" s="28"/>
      <c r="D1904" s="28"/>
      <c r="E1904" s="28"/>
    </row>
    <row r="1905">
      <c r="A1905" s="28"/>
      <c r="B1905" s="28"/>
      <c r="C1905" s="28"/>
      <c r="D1905" s="28"/>
      <c r="E1905" s="28"/>
    </row>
    <row r="1906">
      <c r="A1906" s="28"/>
      <c r="B1906" s="28"/>
      <c r="C1906" s="28"/>
      <c r="D1906" s="28"/>
      <c r="E1906" s="28"/>
    </row>
    <row r="1907">
      <c r="A1907" s="28"/>
      <c r="B1907" s="28"/>
      <c r="C1907" s="28"/>
      <c r="D1907" s="28"/>
      <c r="E1907" s="28"/>
    </row>
    <row r="1908">
      <c r="A1908" s="28"/>
      <c r="B1908" s="28"/>
      <c r="C1908" s="28"/>
      <c r="D1908" s="28"/>
      <c r="E1908" s="28"/>
    </row>
    <row r="1909">
      <c r="A1909" s="28"/>
      <c r="B1909" s="28"/>
      <c r="C1909" s="28"/>
      <c r="D1909" s="28"/>
      <c r="E1909" s="28"/>
    </row>
    <row r="1910">
      <c r="A1910" s="28"/>
      <c r="B1910" s="28"/>
      <c r="C1910" s="28"/>
      <c r="D1910" s="28"/>
      <c r="E1910" s="28"/>
    </row>
    <row r="1911">
      <c r="A1911" s="28"/>
      <c r="B1911" s="28"/>
      <c r="C1911" s="28"/>
      <c r="D1911" s="28"/>
      <c r="E1911" s="28"/>
    </row>
    <row r="1912">
      <c r="A1912" s="28"/>
      <c r="B1912" s="28"/>
      <c r="C1912" s="28"/>
      <c r="D1912" s="28"/>
      <c r="E1912" s="28"/>
    </row>
    <row r="1913">
      <c r="A1913" s="28"/>
      <c r="B1913" s="28"/>
      <c r="C1913" s="28"/>
      <c r="D1913" s="28"/>
      <c r="E1913" s="28"/>
    </row>
    <row r="1914">
      <c r="A1914" s="28"/>
      <c r="B1914" s="28"/>
      <c r="C1914" s="28"/>
      <c r="D1914" s="28"/>
      <c r="E1914" s="28"/>
    </row>
    <row r="1915">
      <c r="A1915" s="28"/>
      <c r="B1915" s="28"/>
      <c r="C1915" s="28"/>
      <c r="D1915" s="28"/>
      <c r="E1915" s="28"/>
    </row>
    <row r="1916">
      <c r="A1916" s="28"/>
      <c r="B1916" s="28"/>
      <c r="C1916" s="28"/>
      <c r="D1916" s="28"/>
      <c r="E1916" s="28"/>
    </row>
    <row r="1917">
      <c r="A1917" s="28"/>
      <c r="B1917" s="28"/>
      <c r="C1917" s="28"/>
      <c r="D1917" s="28"/>
      <c r="E1917" s="28"/>
    </row>
    <row r="1918">
      <c r="A1918" s="28"/>
      <c r="B1918" s="28"/>
      <c r="C1918" s="28"/>
      <c r="D1918" s="28"/>
      <c r="E1918" s="28"/>
    </row>
    <row r="1919">
      <c r="A1919" s="28"/>
      <c r="B1919" s="28"/>
      <c r="C1919" s="28"/>
      <c r="D1919" s="28"/>
      <c r="E1919" s="28"/>
    </row>
    <row r="1920">
      <c r="A1920" s="28"/>
      <c r="B1920" s="28"/>
      <c r="C1920" s="28"/>
      <c r="D1920" s="28"/>
      <c r="E1920" s="28"/>
    </row>
    <row r="1921">
      <c r="A1921" s="28"/>
      <c r="B1921" s="28"/>
      <c r="C1921" s="28"/>
      <c r="D1921" s="28"/>
      <c r="E1921" s="28"/>
    </row>
    <row r="1922">
      <c r="A1922" s="28"/>
      <c r="B1922" s="28"/>
      <c r="C1922" s="28"/>
      <c r="D1922" s="28"/>
      <c r="E1922" s="28"/>
    </row>
    <row r="1923">
      <c r="A1923" s="28"/>
      <c r="B1923" s="28"/>
      <c r="C1923" s="28"/>
      <c r="D1923" s="28"/>
      <c r="E1923" s="28"/>
    </row>
    <row r="1924">
      <c r="A1924" s="28"/>
      <c r="B1924" s="28"/>
      <c r="C1924" s="28"/>
      <c r="D1924" s="28"/>
      <c r="E1924" s="28"/>
    </row>
    <row r="1925">
      <c r="A1925" s="28"/>
      <c r="B1925" s="28"/>
      <c r="C1925" s="28"/>
      <c r="D1925" s="28"/>
      <c r="E1925" s="28"/>
    </row>
    <row r="1926">
      <c r="A1926" s="28"/>
      <c r="B1926" s="28"/>
      <c r="C1926" s="28"/>
      <c r="D1926" s="28"/>
      <c r="E1926" s="28"/>
    </row>
    <row r="1927">
      <c r="A1927" s="28"/>
      <c r="B1927" s="28"/>
      <c r="C1927" s="28"/>
      <c r="D1927" s="28"/>
      <c r="E1927" s="28"/>
    </row>
    <row r="1928">
      <c r="A1928" s="28"/>
      <c r="B1928" s="28"/>
      <c r="C1928" s="28"/>
      <c r="D1928" s="28"/>
      <c r="E1928" s="28"/>
    </row>
    <row r="1929">
      <c r="A1929" s="28"/>
      <c r="B1929" s="28"/>
      <c r="C1929" s="28"/>
      <c r="D1929" s="28"/>
      <c r="E1929" s="28"/>
    </row>
    <row r="1930">
      <c r="A1930" s="28"/>
      <c r="B1930" s="28"/>
      <c r="C1930" s="28"/>
      <c r="D1930" s="28"/>
      <c r="E1930" s="28"/>
    </row>
    <row r="1931">
      <c r="A1931" s="28"/>
      <c r="B1931" s="28"/>
      <c r="C1931" s="28"/>
      <c r="D1931" s="28"/>
      <c r="E1931" s="28"/>
    </row>
    <row r="1932">
      <c r="A1932" s="28"/>
      <c r="B1932" s="28"/>
      <c r="C1932" s="28"/>
      <c r="D1932" s="28"/>
      <c r="E1932" s="28"/>
    </row>
    <row r="1933">
      <c r="A1933" s="28"/>
      <c r="B1933" s="28"/>
      <c r="C1933" s="28"/>
      <c r="D1933" s="28"/>
      <c r="E1933" s="28"/>
    </row>
    <row r="1934">
      <c r="A1934" s="28"/>
      <c r="B1934" s="28"/>
      <c r="C1934" s="28"/>
      <c r="D1934" s="28"/>
      <c r="E1934" s="28"/>
    </row>
    <row r="1935">
      <c r="A1935" s="28"/>
      <c r="B1935" s="28"/>
      <c r="C1935" s="28"/>
      <c r="D1935" s="28"/>
      <c r="E1935" s="28"/>
    </row>
    <row r="1936">
      <c r="A1936" s="28"/>
      <c r="B1936" s="28"/>
      <c r="C1936" s="28"/>
      <c r="D1936" s="28"/>
      <c r="E1936" s="28"/>
    </row>
    <row r="1937">
      <c r="A1937" s="28"/>
      <c r="B1937" s="28"/>
      <c r="C1937" s="28"/>
      <c r="D1937" s="28"/>
      <c r="E1937" s="28"/>
    </row>
    <row r="1938">
      <c r="A1938" s="28"/>
      <c r="B1938" s="28"/>
      <c r="C1938" s="28"/>
      <c r="D1938" s="28"/>
      <c r="E1938" s="28"/>
    </row>
    <row r="1939">
      <c r="A1939" s="28"/>
      <c r="B1939" s="28"/>
      <c r="C1939" s="28"/>
      <c r="D1939" s="28"/>
      <c r="E1939" s="28"/>
    </row>
    <row r="1940">
      <c r="A1940" s="28"/>
      <c r="B1940" s="28"/>
      <c r="C1940" s="28"/>
      <c r="D1940" s="28"/>
      <c r="E1940" s="28"/>
    </row>
    <row r="1941">
      <c r="A1941" s="28"/>
      <c r="B1941" s="28"/>
      <c r="C1941" s="28"/>
      <c r="D1941" s="28"/>
      <c r="E1941" s="28"/>
    </row>
    <row r="1942">
      <c r="A1942" s="28"/>
      <c r="B1942" s="28"/>
      <c r="C1942" s="28"/>
      <c r="D1942" s="28"/>
      <c r="E1942" s="28"/>
    </row>
    <row r="1943">
      <c r="A1943" s="28"/>
      <c r="B1943" s="28"/>
      <c r="C1943" s="28"/>
      <c r="D1943" s="28"/>
      <c r="E1943" s="28"/>
    </row>
    <row r="1944">
      <c r="A1944" s="28"/>
      <c r="B1944" s="28"/>
      <c r="C1944" s="28"/>
      <c r="D1944" s="28"/>
      <c r="E1944" s="28"/>
    </row>
    <row r="1945">
      <c r="A1945" s="28"/>
      <c r="B1945" s="28"/>
      <c r="C1945" s="28"/>
      <c r="D1945" s="28"/>
      <c r="E1945" s="28"/>
    </row>
    <row r="1946">
      <c r="A1946" s="28"/>
      <c r="B1946" s="28"/>
      <c r="C1946" s="28"/>
      <c r="D1946" s="28"/>
      <c r="E1946" s="28"/>
    </row>
    <row r="1947">
      <c r="A1947" s="28"/>
      <c r="B1947" s="28"/>
      <c r="C1947" s="28"/>
      <c r="D1947" s="28"/>
      <c r="E1947" s="28"/>
    </row>
    <row r="1948">
      <c r="A1948" s="28"/>
      <c r="B1948" s="28"/>
      <c r="C1948" s="28"/>
      <c r="D1948" s="28"/>
      <c r="E1948" s="28"/>
    </row>
    <row r="1949">
      <c r="A1949" s="28"/>
      <c r="B1949" s="28"/>
      <c r="C1949" s="28"/>
      <c r="D1949" s="28"/>
      <c r="E1949" s="28"/>
    </row>
    <row r="1950">
      <c r="A1950" s="28"/>
      <c r="B1950" s="28"/>
      <c r="C1950" s="28"/>
      <c r="D1950" s="28"/>
      <c r="E1950" s="28"/>
    </row>
    <row r="1951">
      <c r="A1951" s="28"/>
      <c r="B1951" s="28"/>
      <c r="C1951" s="28"/>
      <c r="D1951" s="28"/>
      <c r="E1951" s="28"/>
    </row>
    <row r="1952">
      <c r="A1952" s="28"/>
      <c r="B1952" s="28"/>
      <c r="C1952" s="28"/>
      <c r="D1952" s="28"/>
      <c r="E1952" s="28"/>
    </row>
    <row r="1953">
      <c r="A1953" s="28"/>
      <c r="B1953" s="28"/>
      <c r="C1953" s="28"/>
      <c r="D1953" s="28"/>
      <c r="E1953" s="28"/>
    </row>
    <row r="1954">
      <c r="A1954" s="28"/>
      <c r="B1954" s="28"/>
      <c r="C1954" s="28"/>
      <c r="D1954" s="28"/>
      <c r="E1954" s="28"/>
    </row>
    <row r="1955">
      <c r="A1955" s="28"/>
      <c r="B1955" s="28"/>
      <c r="C1955" s="28"/>
      <c r="D1955" s="28"/>
      <c r="E1955" s="28"/>
    </row>
    <row r="1956">
      <c r="A1956" s="28"/>
      <c r="B1956" s="28"/>
      <c r="C1956" s="28"/>
      <c r="D1956" s="28"/>
      <c r="E1956" s="28"/>
    </row>
    <row r="1957">
      <c r="A1957" s="28"/>
      <c r="B1957" s="28"/>
      <c r="C1957" s="28"/>
      <c r="D1957" s="28"/>
      <c r="E1957" s="28"/>
    </row>
    <row r="1958">
      <c r="A1958" s="28"/>
      <c r="B1958" s="28"/>
      <c r="C1958" s="28"/>
      <c r="D1958" s="28"/>
      <c r="E1958" s="28"/>
    </row>
    <row r="1959">
      <c r="A1959" s="28"/>
      <c r="B1959" s="28"/>
      <c r="C1959" s="28"/>
      <c r="D1959" s="28"/>
      <c r="E1959" s="28"/>
    </row>
    <row r="1960">
      <c r="A1960" s="28"/>
      <c r="B1960" s="28"/>
      <c r="C1960" s="28"/>
      <c r="D1960" s="28"/>
      <c r="E1960" s="28"/>
    </row>
    <row r="1961">
      <c r="A1961" s="28"/>
      <c r="B1961" s="28"/>
      <c r="C1961" s="28"/>
      <c r="D1961" s="28"/>
      <c r="E1961" s="28"/>
    </row>
    <row r="1962">
      <c r="A1962" s="28"/>
      <c r="B1962" s="28"/>
      <c r="C1962" s="28"/>
      <c r="D1962" s="28"/>
      <c r="E1962" s="28"/>
    </row>
    <row r="1963">
      <c r="A1963" s="28"/>
      <c r="B1963" s="28"/>
      <c r="C1963" s="28"/>
      <c r="D1963" s="28"/>
      <c r="E1963" s="28"/>
    </row>
    <row r="1964">
      <c r="A1964" s="28"/>
      <c r="B1964" s="28"/>
      <c r="C1964" s="28"/>
      <c r="D1964" s="28"/>
      <c r="E1964" s="28"/>
    </row>
    <row r="1965">
      <c r="A1965" s="28"/>
      <c r="B1965" s="28"/>
      <c r="C1965" s="28"/>
      <c r="D1965" s="28"/>
      <c r="E1965" s="28"/>
    </row>
    <row r="1966">
      <c r="A1966" s="28"/>
      <c r="B1966" s="28"/>
      <c r="C1966" s="28"/>
      <c r="D1966" s="28"/>
      <c r="E1966" s="28"/>
    </row>
    <row r="1967">
      <c r="A1967" s="28"/>
      <c r="B1967" s="28"/>
      <c r="C1967" s="28"/>
      <c r="D1967" s="28"/>
      <c r="E1967" s="28"/>
    </row>
    <row r="1968">
      <c r="A1968" s="28"/>
      <c r="B1968" s="28"/>
      <c r="C1968" s="28"/>
      <c r="D1968" s="28"/>
      <c r="E1968" s="28"/>
    </row>
    <row r="1969">
      <c r="A1969" s="28"/>
      <c r="B1969" s="28"/>
      <c r="C1969" s="28"/>
      <c r="D1969" s="28"/>
      <c r="E1969" s="28"/>
    </row>
    <row r="1970">
      <c r="A1970" s="28"/>
      <c r="B1970" s="28"/>
      <c r="C1970" s="28"/>
      <c r="D1970" s="28"/>
      <c r="E1970" s="28"/>
    </row>
    <row r="1971">
      <c r="A1971" s="28"/>
      <c r="B1971" s="28"/>
      <c r="C1971" s="28"/>
      <c r="D1971" s="28"/>
      <c r="E1971" s="28"/>
    </row>
    <row r="1972">
      <c r="A1972" s="28"/>
      <c r="B1972" s="28"/>
      <c r="C1972" s="28"/>
      <c r="D1972" s="28"/>
      <c r="E1972" s="28"/>
    </row>
    <row r="1973">
      <c r="A1973" s="28"/>
      <c r="B1973" s="28"/>
      <c r="C1973" s="28"/>
      <c r="D1973" s="28"/>
      <c r="E1973" s="28"/>
    </row>
    <row r="1974">
      <c r="A1974" s="28"/>
      <c r="B1974" s="28"/>
      <c r="C1974" s="28"/>
      <c r="D1974" s="28"/>
      <c r="E1974" s="28"/>
    </row>
    <row r="1975">
      <c r="A1975" s="28"/>
      <c r="B1975" s="28"/>
      <c r="C1975" s="28"/>
      <c r="D1975" s="28"/>
      <c r="E1975" s="28"/>
    </row>
    <row r="1976">
      <c r="A1976" s="28"/>
      <c r="B1976" s="28"/>
      <c r="C1976" s="28"/>
      <c r="D1976" s="28"/>
      <c r="E1976" s="28"/>
    </row>
    <row r="1977">
      <c r="A1977" s="28"/>
      <c r="B1977" s="28"/>
      <c r="C1977" s="28"/>
      <c r="D1977" s="28"/>
      <c r="E1977" s="28"/>
    </row>
    <row r="1978">
      <c r="A1978" s="28"/>
      <c r="B1978" s="28"/>
      <c r="C1978" s="28"/>
      <c r="D1978" s="28"/>
      <c r="E1978" s="28"/>
    </row>
    <row r="1979">
      <c r="A1979" s="28"/>
      <c r="B1979" s="28"/>
      <c r="C1979" s="28"/>
      <c r="D1979" s="28"/>
      <c r="E1979" s="28"/>
    </row>
    <row r="1980">
      <c r="A1980" s="28"/>
      <c r="B1980" s="28"/>
      <c r="C1980" s="28"/>
      <c r="D1980" s="28"/>
      <c r="E1980" s="28"/>
    </row>
    <row r="1981">
      <c r="A1981" s="28"/>
      <c r="B1981" s="28"/>
      <c r="C1981" s="28"/>
      <c r="D1981" s="28"/>
      <c r="E1981" s="28"/>
    </row>
    <row r="1982">
      <c r="A1982" s="28"/>
      <c r="B1982" s="28"/>
      <c r="C1982" s="28"/>
      <c r="D1982" s="28"/>
      <c r="E1982" s="28"/>
    </row>
    <row r="1983">
      <c r="A1983" s="28"/>
      <c r="B1983" s="28"/>
      <c r="C1983" s="28"/>
      <c r="D1983" s="28"/>
      <c r="E1983" s="28"/>
    </row>
    <row r="1984">
      <c r="A1984" s="28"/>
      <c r="B1984" s="28"/>
      <c r="C1984" s="28"/>
      <c r="D1984" s="28"/>
      <c r="E1984" s="28"/>
    </row>
    <row r="1985">
      <c r="A1985" s="28"/>
      <c r="B1985" s="28"/>
      <c r="C1985" s="28"/>
      <c r="D1985" s="28"/>
      <c r="E1985" s="28"/>
    </row>
    <row r="1986">
      <c r="A1986" s="28"/>
      <c r="B1986" s="28"/>
      <c r="C1986" s="28"/>
      <c r="D1986" s="28"/>
      <c r="E1986" s="28"/>
    </row>
    <row r="1987">
      <c r="A1987" s="28"/>
      <c r="B1987" s="28"/>
      <c r="C1987" s="28"/>
      <c r="D1987" s="28"/>
      <c r="E1987" s="28"/>
    </row>
    <row r="1988">
      <c r="A1988" s="28"/>
      <c r="B1988" s="28"/>
      <c r="C1988" s="28"/>
      <c r="D1988" s="28"/>
      <c r="E1988" s="28"/>
    </row>
    <row r="1989">
      <c r="A1989" s="28"/>
      <c r="B1989" s="28"/>
      <c r="C1989" s="28"/>
      <c r="D1989" s="28"/>
      <c r="E1989" s="28"/>
    </row>
    <row r="1990">
      <c r="A1990" s="28"/>
      <c r="B1990" s="28"/>
      <c r="C1990" s="28"/>
      <c r="D1990" s="28"/>
      <c r="E1990" s="28"/>
    </row>
    <row r="1991">
      <c r="A1991" s="28"/>
      <c r="B1991" s="28"/>
      <c r="C1991" s="28"/>
      <c r="D1991" s="28"/>
      <c r="E1991" s="28"/>
    </row>
    <row r="1992">
      <c r="A1992" s="28"/>
      <c r="B1992" s="28"/>
      <c r="C1992" s="28"/>
      <c r="D1992" s="28"/>
      <c r="E1992" s="28"/>
    </row>
    <row r="1993">
      <c r="A1993" s="28"/>
      <c r="B1993" s="28"/>
      <c r="C1993" s="28"/>
      <c r="D1993" s="28"/>
      <c r="E1993" s="28"/>
    </row>
    <row r="1994">
      <c r="A1994" s="28"/>
      <c r="B1994" s="28"/>
      <c r="C1994" s="28"/>
      <c r="D1994" s="28"/>
      <c r="E1994" s="28"/>
    </row>
    <row r="1995">
      <c r="A1995" s="28"/>
      <c r="B1995" s="28"/>
      <c r="C1995" s="28"/>
      <c r="D1995" s="28"/>
      <c r="E1995" s="28"/>
    </row>
    <row r="1996">
      <c r="A1996" s="28"/>
      <c r="B1996" s="28"/>
      <c r="C1996" s="28"/>
      <c r="D1996" s="28"/>
      <c r="E1996" s="28"/>
    </row>
    <row r="1997">
      <c r="A1997" s="28"/>
      <c r="B1997" s="28"/>
      <c r="C1997" s="28"/>
      <c r="D1997" s="28"/>
      <c r="E1997" s="28"/>
    </row>
    <row r="1998">
      <c r="A1998" s="28"/>
      <c r="B1998" s="28"/>
      <c r="C1998" s="28"/>
      <c r="D1998" s="28"/>
      <c r="E1998" s="28"/>
    </row>
    <row r="1999">
      <c r="A1999" s="28"/>
      <c r="B1999" s="28"/>
      <c r="C1999" s="28"/>
      <c r="D1999" s="28"/>
      <c r="E1999" s="28"/>
    </row>
    <row r="2000">
      <c r="A2000" s="28"/>
      <c r="B2000" s="28"/>
      <c r="C2000" s="28"/>
      <c r="D2000" s="28"/>
      <c r="E2000" s="28"/>
    </row>
    <row r="2001">
      <c r="A2001" s="28"/>
      <c r="B2001" s="28"/>
      <c r="C2001" s="28"/>
      <c r="D2001" s="28"/>
      <c r="E2001" s="28"/>
    </row>
    <row r="2002">
      <c r="A2002" s="28"/>
      <c r="B2002" s="28"/>
      <c r="C2002" s="28"/>
      <c r="D2002" s="28"/>
      <c r="E2002" s="28"/>
    </row>
    <row r="2003">
      <c r="A2003" s="28"/>
      <c r="B2003" s="28"/>
      <c r="C2003" s="28"/>
      <c r="D2003" s="28"/>
      <c r="E2003" s="28"/>
    </row>
    <row r="2004">
      <c r="A2004" s="28"/>
      <c r="B2004" s="28"/>
      <c r="C2004" s="28"/>
      <c r="D2004" s="28"/>
      <c r="E2004" s="28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63"/>
    <col customWidth="1" min="3" max="3" width="27.63"/>
    <col customWidth="1" min="4" max="4" width="34.0"/>
    <col customWidth="1" min="5" max="5" width="32.25"/>
  </cols>
  <sheetData>
    <row r="1" ht="22.5" customHeight="1">
      <c r="A1" s="27" t="s">
        <v>9</v>
      </c>
      <c r="B1" s="27" t="s">
        <v>8</v>
      </c>
      <c r="C1" s="27" t="s">
        <v>239</v>
      </c>
      <c r="D1" s="36" t="s">
        <v>240</v>
      </c>
      <c r="E1" s="27" t="s">
        <v>241</v>
      </c>
    </row>
    <row r="2" ht="22.5" customHeight="1">
      <c r="A2" s="37">
        <v>2023.0</v>
      </c>
      <c r="B2" s="37">
        <f t="array" ref="B2:B13">UNIQUE(mercado_acoes!I2:I2001)</f>
        <v>1</v>
      </c>
      <c r="C2" s="38">
        <f>COUNTIF(mercado_acoes!I2:I2001,B2)</f>
        <v>152</v>
      </c>
      <c r="E2" s="39"/>
    </row>
    <row r="3" ht="22.5" customHeight="1">
      <c r="A3" s="37">
        <v>2023.0</v>
      </c>
      <c r="B3" s="37">
        <v>2.0</v>
      </c>
      <c r="C3" s="38">
        <f>COUNTIF(mercado_acoes!I3:I2002,B3)</f>
        <v>172</v>
      </c>
      <c r="D3" s="29"/>
      <c r="E3" s="39"/>
    </row>
    <row r="4" ht="22.5" customHeight="1">
      <c r="A4" s="37">
        <v>2023.0</v>
      </c>
      <c r="B4" s="37">
        <v>3.0</v>
      </c>
      <c r="C4" s="38">
        <f>COUNTIF(mercado_acoes!I4:I2003,B4)</f>
        <v>148</v>
      </c>
      <c r="D4" s="29"/>
      <c r="E4" s="39"/>
    </row>
    <row r="5" ht="22.5" customHeight="1">
      <c r="A5" s="37">
        <v>2023.0</v>
      </c>
      <c r="B5" s="37">
        <v>4.0</v>
      </c>
      <c r="C5" s="38">
        <f>COUNTIF(mercado_acoes!I5:I2004,B5)</f>
        <v>169</v>
      </c>
      <c r="D5" s="29"/>
      <c r="E5" s="39"/>
    </row>
    <row r="6" ht="22.5" customHeight="1">
      <c r="A6" s="37">
        <v>2023.0</v>
      </c>
      <c r="B6" s="37">
        <v>5.0</v>
      </c>
      <c r="C6" s="38">
        <f>COUNTIF(mercado_acoes!I6:I2005,B6)</f>
        <v>167</v>
      </c>
      <c r="D6" s="29"/>
      <c r="E6" s="39"/>
    </row>
    <row r="7" ht="22.5" customHeight="1">
      <c r="A7" s="37">
        <v>2023.0</v>
      </c>
      <c r="B7" s="37">
        <v>6.0</v>
      </c>
      <c r="C7" s="38">
        <f>COUNTIF(mercado_acoes!I7:I2006,B7)</f>
        <v>172</v>
      </c>
      <c r="D7" s="29"/>
      <c r="E7" s="39"/>
    </row>
    <row r="8" ht="22.5" customHeight="1">
      <c r="A8" s="37">
        <v>2023.0</v>
      </c>
      <c r="B8" s="37">
        <v>7.0</v>
      </c>
      <c r="C8" s="38">
        <f>COUNTIF(mercado_acoes!I8:I2007,B8)</f>
        <v>158</v>
      </c>
      <c r="D8" s="29"/>
      <c r="E8" s="39"/>
    </row>
    <row r="9" ht="22.5" customHeight="1">
      <c r="A9" s="37">
        <v>2023.0</v>
      </c>
      <c r="B9" s="37">
        <v>8.0</v>
      </c>
      <c r="C9" s="38">
        <f>COUNTIF(mercado_acoes!I9:I2008,B9)</f>
        <v>180</v>
      </c>
      <c r="D9" s="29"/>
      <c r="E9" s="39"/>
    </row>
    <row r="10" ht="22.5" customHeight="1">
      <c r="A10" s="37">
        <v>2023.0</v>
      </c>
      <c r="B10" s="37">
        <v>9.0</v>
      </c>
      <c r="C10" s="38">
        <f>COUNTIF(mercado_acoes!I10:I2009,B10)</f>
        <v>154</v>
      </c>
      <c r="D10" s="29"/>
      <c r="E10" s="39"/>
    </row>
    <row r="11" ht="22.5" customHeight="1">
      <c r="A11" s="37">
        <v>2023.0</v>
      </c>
      <c r="B11" s="37">
        <v>10.0</v>
      </c>
      <c r="C11" s="38">
        <f>COUNTIF(mercado_acoes!I11:I2010,B11)</f>
        <v>156</v>
      </c>
      <c r="D11" s="29"/>
      <c r="E11" s="39"/>
    </row>
    <row r="12" ht="22.5" customHeight="1">
      <c r="A12" s="37">
        <v>2023.0</v>
      </c>
      <c r="B12" s="37">
        <v>11.0</v>
      </c>
      <c r="C12" s="38">
        <f>COUNTIF(mercado_acoes!I12:I2011,B12)</f>
        <v>185</v>
      </c>
      <c r="D12" s="29"/>
      <c r="E12" s="39"/>
    </row>
    <row r="13" ht="22.5" customHeight="1">
      <c r="A13" s="37">
        <v>2023.0</v>
      </c>
      <c r="B13" s="37">
        <v>12.0</v>
      </c>
      <c r="C13" s="38">
        <f>COUNTIF(mercado_acoes!I13:I2012,B13)</f>
        <v>187</v>
      </c>
      <c r="D13" s="40">
        <f>FORECAST(B13,C2:C12,B2:B12)</f>
        <v>172.0181818</v>
      </c>
      <c r="E13" s="41">
        <f>C13-D13</f>
        <v>14.98181818</v>
      </c>
    </row>
    <row r="14">
      <c r="A14" s="28"/>
      <c r="B14" s="28"/>
    </row>
    <row r="15">
      <c r="A15" s="28"/>
      <c r="B15" s="28"/>
    </row>
    <row r="16">
      <c r="A16" s="28"/>
      <c r="B16" s="28"/>
    </row>
    <row r="17">
      <c r="A17" s="28"/>
      <c r="B17" s="28"/>
    </row>
    <row r="18">
      <c r="A18" s="28"/>
      <c r="B18" s="28"/>
    </row>
    <row r="19">
      <c r="A19" s="28"/>
      <c r="B19" s="28"/>
    </row>
    <row r="20">
      <c r="A20" s="28"/>
      <c r="B20" s="28"/>
    </row>
    <row r="21">
      <c r="A21" s="28"/>
      <c r="B21" s="28"/>
    </row>
    <row r="22">
      <c r="A22" s="28"/>
      <c r="B22" s="28"/>
    </row>
    <row r="23">
      <c r="A23" s="28"/>
      <c r="B23" s="28"/>
    </row>
    <row r="24">
      <c r="A24" s="28"/>
      <c r="B24" s="28"/>
    </row>
    <row r="25">
      <c r="A25" s="28"/>
      <c r="B25" s="28"/>
    </row>
    <row r="26">
      <c r="A26" s="28"/>
      <c r="B26" s="28"/>
    </row>
    <row r="27">
      <c r="A27" s="28"/>
      <c r="B27" s="28"/>
    </row>
    <row r="28">
      <c r="A28" s="28"/>
      <c r="B28" s="28"/>
    </row>
    <row r="29">
      <c r="A29" s="28"/>
      <c r="B29" s="28"/>
    </row>
    <row r="30">
      <c r="A30" s="28"/>
      <c r="B30" s="28"/>
    </row>
    <row r="31">
      <c r="A31" s="28"/>
      <c r="B31" s="28"/>
    </row>
    <row r="32">
      <c r="A32" s="28"/>
      <c r="B32" s="28"/>
    </row>
    <row r="33">
      <c r="A33" s="28"/>
      <c r="B33" s="28"/>
    </row>
    <row r="34">
      <c r="A34" s="28"/>
      <c r="B34" s="28"/>
    </row>
    <row r="35">
      <c r="A35" s="28"/>
      <c r="B35" s="28"/>
    </row>
    <row r="36">
      <c r="A36" s="28"/>
      <c r="B36" s="28"/>
    </row>
    <row r="37">
      <c r="A37" s="28"/>
      <c r="B37" s="28"/>
    </row>
    <row r="38">
      <c r="A38" s="28"/>
      <c r="B38" s="28"/>
    </row>
    <row r="39">
      <c r="A39" s="28"/>
      <c r="B39" s="28"/>
    </row>
    <row r="40">
      <c r="A40" s="28"/>
      <c r="B40" s="28"/>
    </row>
    <row r="41">
      <c r="A41" s="28"/>
      <c r="B41" s="28"/>
    </row>
    <row r="42">
      <c r="A42" s="28"/>
      <c r="B42" s="28"/>
    </row>
    <row r="43">
      <c r="A43" s="28"/>
      <c r="B43" s="28"/>
    </row>
    <row r="44">
      <c r="A44" s="28"/>
      <c r="B44" s="28"/>
    </row>
    <row r="45">
      <c r="A45" s="28"/>
      <c r="B45" s="28"/>
    </row>
    <row r="46">
      <c r="A46" s="28"/>
      <c r="B46" s="28"/>
    </row>
    <row r="47">
      <c r="A47" s="28"/>
      <c r="B47" s="28"/>
    </row>
    <row r="48">
      <c r="A48" s="28"/>
      <c r="B48" s="28"/>
    </row>
    <row r="49">
      <c r="A49" s="28"/>
      <c r="B49" s="28"/>
    </row>
    <row r="50">
      <c r="A50" s="28"/>
      <c r="B50" s="28"/>
    </row>
    <row r="51">
      <c r="A51" s="28"/>
      <c r="B51" s="28"/>
    </row>
    <row r="52">
      <c r="A52" s="28"/>
      <c r="B52" s="28"/>
    </row>
    <row r="53">
      <c r="A53" s="28"/>
      <c r="B53" s="28"/>
    </row>
    <row r="54">
      <c r="A54" s="28"/>
      <c r="B54" s="28"/>
    </row>
    <row r="55">
      <c r="A55" s="28"/>
      <c r="B55" s="28"/>
    </row>
    <row r="56">
      <c r="A56" s="28"/>
      <c r="B56" s="28"/>
    </row>
    <row r="57">
      <c r="A57" s="28"/>
      <c r="B57" s="28"/>
    </row>
    <row r="58">
      <c r="A58" s="28"/>
      <c r="B58" s="28"/>
    </row>
    <row r="59">
      <c r="A59" s="28"/>
      <c r="B59" s="28"/>
    </row>
    <row r="60">
      <c r="A60" s="28"/>
      <c r="B60" s="28"/>
    </row>
    <row r="61">
      <c r="A61" s="28"/>
      <c r="B61" s="28"/>
    </row>
    <row r="62">
      <c r="A62" s="28"/>
      <c r="B62" s="28"/>
    </row>
    <row r="63">
      <c r="A63" s="28"/>
      <c r="B63" s="28"/>
    </row>
    <row r="64">
      <c r="A64" s="28"/>
      <c r="B64" s="28"/>
    </row>
    <row r="65">
      <c r="A65" s="28"/>
      <c r="B65" s="28"/>
    </row>
    <row r="66">
      <c r="A66" s="28"/>
      <c r="B66" s="28"/>
    </row>
    <row r="67">
      <c r="A67" s="28"/>
      <c r="B67" s="28"/>
    </row>
    <row r="68">
      <c r="A68" s="28"/>
      <c r="B68" s="28"/>
    </row>
    <row r="69">
      <c r="A69" s="28"/>
      <c r="B69" s="28"/>
    </row>
    <row r="70">
      <c r="A70" s="28"/>
      <c r="B70" s="28"/>
    </row>
    <row r="71">
      <c r="A71" s="28"/>
      <c r="B71" s="28"/>
    </row>
    <row r="72">
      <c r="A72" s="28"/>
      <c r="B72" s="28"/>
    </row>
    <row r="73">
      <c r="A73" s="28"/>
      <c r="B73" s="28"/>
    </row>
    <row r="74">
      <c r="A74" s="28"/>
      <c r="B74" s="28"/>
    </row>
    <row r="75">
      <c r="A75" s="28"/>
      <c r="B75" s="28"/>
    </row>
    <row r="76">
      <c r="A76" s="28"/>
      <c r="B76" s="28"/>
    </row>
    <row r="77">
      <c r="A77" s="28"/>
      <c r="B77" s="28"/>
    </row>
    <row r="78">
      <c r="A78" s="28"/>
      <c r="B78" s="28"/>
    </row>
    <row r="79">
      <c r="A79" s="28"/>
      <c r="B79" s="28"/>
    </row>
    <row r="80">
      <c r="A80" s="28"/>
      <c r="B80" s="28"/>
    </row>
    <row r="81">
      <c r="A81" s="28"/>
      <c r="B81" s="28"/>
    </row>
    <row r="82">
      <c r="A82" s="28"/>
      <c r="B82" s="28"/>
    </row>
    <row r="83">
      <c r="A83" s="28"/>
      <c r="B83" s="28"/>
    </row>
    <row r="84">
      <c r="A84" s="28"/>
      <c r="B84" s="28"/>
    </row>
    <row r="85">
      <c r="A85" s="28"/>
      <c r="B85" s="28"/>
    </row>
    <row r="86">
      <c r="A86" s="28"/>
      <c r="B86" s="28"/>
    </row>
    <row r="87">
      <c r="A87" s="28"/>
      <c r="B87" s="28"/>
    </row>
    <row r="88">
      <c r="A88" s="28"/>
      <c r="B88" s="28"/>
    </row>
    <row r="89">
      <c r="A89" s="28"/>
      <c r="B89" s="28"/>
    </row>
    <row r="90">
      <c r="A90" s="28"/>
      <c r="B90" s="28"/>
    </row>
    <row r="91">
      <c r="A91" s="28"/>
      <c r="B91" s="28"/>
    </row>
    <row r="92">
      <c r="A92" s="28"/>
      <c r="B92" s="28"/>
    </row>
    <row r="93">
      <c r="A93" s="28"/>
      <c r="B93" s="28"/>
    </row>
    <row r="94">
      <c r="A94" s="28"/>
      <c r="B94" s="28"/>
    </row>
    <row r="95">
      <c r="A95" s="28"/>
      <c r="B95" s="28"/>
    </row>
    <row r="96">
      <c r="A96" s="28"/>
      <c r="B96" s="28"/>
    </row>
    <row r="97">
      <c r="A97" s="28"/>
      <c r="B97" s="28"/>
    </row>
    <row r="98">
      <c r="A98" s="28"/>
      <c r="B98" s="28"/>
    </row>
    <row r="99">
      <c r="A99" s="28"/>
      <c r="B99" s="28"/>
    </row>
    <row r="100">
      <c r="A100" s="28"/>
      <c r="B100" s="28"/>
    </row>
    <row r="101">
      <c r="A101" s="28"/>
      <c r="B101" s="28"/>
    </row>
    <row r="102">
      <c r="A102" s="28"/>
      <c r="B102" s="28"/>
    </row>
    <row r="103">
      <c r="A103" s="28"/>
      <c r="B103" s="28"/>
    </row>
    <row r="104">
      <c r="A104" s="28"/>
      <c r="B104" s="28"/>
    </row>
    <row r="105">
      <c r="A105" s="28"/>
      <c r="B105" s="28"/>
    </row>
    <row r="106">
      <c r="A106" s="28"/>
      <c r="B106" s="28"/>
    </row>
    <row r="107">
      <c r="A107" s="28"/>
      <c r="B107" s="28"/>
    </row>
    <row r="108">
      <c r="A108" s="28"/>
      <c r="B108" s="28"/>
    </row>
    <row r="109">
      <c r="A109" s="28"/>
      <c r="B109" s="28"/>
    </row>
    <row r="110">
      <c r="A110" s="28"/>
      <c r="B110" s="28"/>
    </row>
    <row r="111">
      <c r="A111" s="28"/>
      <c r="B111" s="28"/>
    </row>
    <row r="112">
      <c r="A112" s="28"/>
      <c r="B112" s="28"/>
    </row>
    <row r="113">
      <c r="A113" s="28"/>
      <c r="B113" s="28"/>
    </row>
    <row r="114">
      <c r="A114" s="28"/>
      <c r="B114" s="28"/>
    </row>
    <row r="115">
      <c r="A115" s="28"/>
      <c r="B115" s="28"/>
    </row>
    <row r="116">
      <c r="A116" s="28"/>
      <c r="B116" s="28"/>
    </row>
    <row r="117">
      <c r="A117" s="28"/>
      <c r="B117" s="28"/>
    </row>
    <row r="118">
      <c r="A118" s="28"/>
      <c r="B118" s="28"/>
    </row>
    <row r="119">
      <c r="A119" s="28"/>
      <c r="B119" s="28"/>
    </row>
    <row r="120">
      <c r="A120" s="28"/>
      <c r="B120" s="28"/>
    </row>
    <row r="121">
      <c r="A121" s="28"/>
      <c r="B121" s="28"/>
    </row>
    <row r="122">
      <c r="A122" s="28"/>
      <c r="B122" s="28"/>
    </row>
    <row r="123">
      <c r="A123" s="28"/>
      <c r="B123" s="28"/>
    </row>
    <row r="124">
      <c r="A124" s="28"/>
      <c r="B124" s="28"/>
    </row>
    <row r="125">
      <c r="A125" s="28"/>
      <c r="B125" s="28"/>
    </row>
    <row r="126">
      <c r="A126" s="28"/>
      <c r="B126" s="28"/>
    </row>
    <row r="127">
      <c r="A127" s="28"/>
      <c r="B127" s="28"/>
    </row>
    <row r="128">
      <c r="A128" s="28"/>
      <c r="B128" s="28"/>
    </row>
    <row r="129">
      <c r="A129" s="28"/>
      <c r="B129" s="28"/>
    </row>
    <row r="130">
      <c r="A130" s="28"/>
      <c r="B130" s="28"/>
    </row>
    <row r="131">
      <c r="A131" s="28"/>
      <c r="B131" s="28"/>
    </row>
    <row r="132">
      <c r="A132" s="28"/>
      <c r="B132" s="28"/>
    </row>
    <row r="133">
      <c r="A133" s="28"/>
      <c r="B133" s="28"/>
    </row>
    <row r="134">
      <c r="A134" s="28"/>
      <c r="B134" s="28"/>
    </row>
    <row r="135">
      <c r="A135" s="28"/>
      <c r="B135" s="28"/>
    </row>
    <row r="136">
      <c r="A136" s="28"/>
      <c r="B136" s="28"/>
    </row>
    <row r="137">
      <c r="A137" s="28"/>
      <c r="B137" s="28"/>
    </row>
    <row r="138">
      <c r="A138" s="28"/>
      <c r="B138" s="28"/>
    </row>
    <row r="139">
      <c r="A139" s="28"/>
      <c r="B139" s="28"/>
    </row>
    <row r="140">
      <c r="A140" s="28"/>
      <c r="B140" s="28"/>
    </row>
    <row r="141">
      <c r="A141" s="28"/>
      <c r="B141" s="28"/>
    </row>
    <row r="142">
      <c r="A142" s="28"/>
      <c r="B142" s="28"/>
    </row>
    <row r="143">
      <c r="A143" s="28"/>
      <c r="B143" s="28"/>
    </row>
    <row r="144">
      <c r="A144" s="28"/>
      <c r="B144" s="28"/>
    </row>
    <row r="145">
      <c r="A145" s="28"/>
      <c r="B145" s="28"/>
    </row>
    <row r="146">
      <c r="A146" s="28"/>
      <c r="B146" s="28"/>
    </row>
    <row r="147">
      <c r="A147" s="28"/>
      <c r="B147" s="28"/>
    </row>
    <row r="148">
      <c r="A148" s="28"/>
      <c r="B148" s="28"/>
    </row>
    <row r="149">
      <c r="A149" s="28"/>
      <c r="B149" s="28"/>
    </row>
    <row r="150">
      <c r="A150" s="28"/>
      <c r="B150" s="28"/>
    </row>
    <row r="151">
      <c r="A151" s="28"/>
      <c r="B151" s="28"/>
    </row>
    <row r="152">
      <c r="A152" s="28"/>
      <c r="B152" s="28"/>
    </row>
    <row r="153">
      <c r="A153" s="28"/>
      <c r="B153" s="28"/>
    </row>
    <row r="154">
      <c r="A154" s="28"/>
      <c r="B154" s="28"/>
    </row>
    <row r="155">
      <c r="A155" s="28"/>
      <c r="B155" s="28"/>
    </row>
    <row r="156">
      <c r="A156" s="28"/>
      <c r="B156" s="28"/>
    </row>
    <row r="157">
      <c r="A157" s="28"/>
      <c r="B157" s="28"/>
    </row>
    <row r="158">
      <c r="A158" s="28"/>
      <c r="B158" s="28"/>
    </row>
    <row r="159">
      <c r="A159" s="28"/>
      <c r="B159" s="28"/>
    </row>
    <row r="160">
      <c r="A160" s="28"/>
      <c r="B160" s="28"/>
    </row>
    <row r="161">
      <c r="A161" s="28"/>
      <c r="B161" s="28"/>
    </row>
    <row r="162">
      <c r="A162" s="28"/>
      <c r="B162" s="28"/>
    </row>
    <row r="163">
      <c r="A163" s="28"/>
      <c r="B163" s="28"/>
    </row>
    <row r="164">
      <c r="A164" s="28"/>
      <c r="B164" s="28"/>
    </row>
    <row r="165">
      <c r="A165" s="28"/>
      <c r="B165" s="28"/>
    </row>
    <row r="166">
      <c r="A166" s="28"/>
      <c r="B166" s="28"/>
    </row>
    <row r="167">
      <c r="A167" s="28"/>
      <c r="B167" s="28"/>
    </row>
    <row r="168">
      <c r="A168" s="28"/>
      <c r="B168" s="28"/>
    </row>
    <row r="169">
      <c r="A169" s="28"/>
      <c r="B169" s="28"/>
    </row>
    <row r="170">
      <c r="A170" s="28"/>
      <c r="B170" s="28"/>
    </row>
    <row r="171">
      <c r="A171" s="28"/>
      <c r="B171" s="28"/>
    </row>
    <row r="172">
      <c r="A172" s="28"/>
      <c r="B172" s="28"/>
    </row>
    <row r="173">
      <c r="A173" s="28"/>
      <c r="B173" s="28"/>
    </row>
    <row r="174">
      <c r="A174" s="28"/>
      <c r="B174" s="28"/>
    </row>
    <row r="175">
      <c r="A175" s="28"/>
      <c r="B175" s="28"/>
    </row>
    <row r="176">
      <c r="A176" s="28"/>
      <c r="B176" s="28"/>
    </row>
    <row r="177">
      <c r="A177" s="28"/>
      <c r="B177" s="28"/>
    </row>
    <row r="178">
      <c r="A178" s="28"/>
      <c r="B178" s="28"/>
    </row>
    <row r="179">
      <c r="A179" s="28"/>
      <c r="B179" s="28"/>
    </row>
    <row r="180">
      <c r="A180" s="28"/>
      <c r="B180" s="28"/>
    </row>
    <row r="181">
      <c r="A181" s="28"/>
      <c r="B181" s="28"/>
    </row>
    <row r="182">
      <c r="A182" s="28"/>
      <c r="B182" s="28"/>
    </row>
    <row r="183">
      <c r="A183" s="28"/>
      <c r="B183" s="28"/>
    </row>
    <row r="184">
      <c r="A184" s="28"/>
      <c r="B184" s="28"/>
    </row>
    <row r="185">
      <c r="A185" s="28"/>
      <c r="B185" s="28"/>
    </row>
    <row r="186">
      <c r="A186" s="28"/>
      <c r="B186" s="28"/>
    </row>
    <row r="187">
      <c r="A187" s="28"/>
      <c r="B187" s="28"/>
    </row>
    <row r="188">
      <c r="A188" s="28"/>
      <c r="B188" s="28"/>
    </row>
    <row r="189">
      <c r="A189" s="28"/>
      <c r="B189" s="28"/>
    </row>
    <row r="190">
      <c r="A190" s="28"/>
      <c r="B190" s="28"/>
    </row>
    <row r="191">
      <c r="A191" s="28"/>
      <c r="B191" s="28"/>
    </row>
    <row r="192">
      <c r="A192" s="28"/>
      <c r="B192" s="28"/>
    </row>
    <row r="193">
      <c r="A193" s="28"/>
      <c r="B193" s="28"/>
    </row>
    <row r="194">
      <c r="A194" s="28"/>
      <c r="B194" s="28"/>
    </row>
    <row r="195">
      <c r="A195" s="28"/>
      <c r="B195" s="28"/>
    </row>
    <row r="196">
      <c r="A196" s="28"/>
      <c r="B196" s="28"/>
    </row>
    <row r="197">
      <c r="A197" s="28"/>
      <c r="B197" s="28"/>
    </row>
    <row r="198">
      <c r="A198" s="28"/>
      <c r="B198" s="28"/>
    </row>
    <row r="199">
      <c r="A199" s="28"/>
      <c r="B199" s="28"/>
    </row>
    <row r="200">
      <c r="A200" s="28"/>
      <c r="B200" s="28"/>
    </row>
    <row r="201">
      <c r="A201" s="28"/>
      <c r="B201" s="28"/>
    </row>
    <row r="202">
      <c r="A202" s="28"/>
      <c r="B202" s="28"/>
    </row>
    <row r="203">
      <c r="A203" s="28"/>
      <c r="B203" s="28"/>
    </row>
    <row r="204">
      <c r="A204" s="28"/>
      <c r="B204" s="28"/>
    </row>
    <row r="205">
      <c r="A205" s="28"/>
      <c r="B205" s="28"/>
    </row>
    <row r="206">
      <c r="A206" s="28"/>
      <c r="B206" s="28"/>
    </row>
    <row r="207">
      <c r="A207" s="28"/>
      <c r="B207" s="28"/>
    </row>
    <row r="208">
      <c r="A208" s="28"/>
      <c r="B208" s="28"/>
    </row>
    <row r="209">
      <c r="A209" s="28"/>
      <c r="B209" s="28"/>
    </row>
    <row r="210">
      <c r="A210" s="28"/>
      <c r="B210" s="28"/>
    </row>
    <row r="211">
      <c r="A211" s="28"/>
      <c r="B211" s="28"/>
    </row>
    <row r="212">
      <c r="A212" s="28"/>
      <c r="B212" s="28"/>
    </row>
    <row r="213">
      <c r="A213" s="28"/>
      <c r="B213" s="28"/>
    </row>
    <row r="214">
      <c r="A214" s="28"/>
      <c r="B214" s="28"/>
    </row>
    <row r="215">
      <c r="A215" s="28"/>
      <c r="B215" s="28"/>
    </row>
    <row r="216">
      <c r="A216" s="28"/>
      <c r="B216" s="28"/>
    </row>
    <row r="217">
      <c r="A217" s="28"/>
      <c r="B217" s="28"/>
    </row>
    <row r="218">
      <c r="A218" s="28"/>
      <c r="B218" s="28"/>
    </row>
    <row r="219">
      <c r="A219" s="28"/>
      <c r="B219" s="28"/>
    </row>
    <row r="220">
      <c r="A220" s="28"/>
      <c r="B220" s="28"/>
    </row>
    <row r="221">
      <c r="A221" s="28"/>
      <c r="B221" s="28"/>
    </row>
    <row r="222">
      <c r="A222" s="28"/>
      <c r="B222" s="28"/>
    </row>
    <row r="223">
      <c r="A223" s="28"/>
      <c r="B223" s="28"/>
    </row>
    <row r="224">
      <c r="A224" s="28"/>
      <c r="B224" s="28"/>
    </row>
    <row r="225">
      <c r="A225" s="28"/>
      <c r="B225" s="28"/>
    </row>
    <row r="226">
      <c r="A226" s="28"/>
      <c r="B226" s="28"/>
    </row>
    <row r="227">
      <c r="A227" s="28"/>
      <c r="B227" s="28"/>
    </row>
    <row r="228">
      <c r="A228" s="28"/>
      <c r="B228" s="28"/>
    </row>
    <row r="229">
      <c r="A229" s="28"/>
      <c r="B229" s="28"/>
    </row>
    <row r="230">
      <c r="A230" s="28"/>
      <c r="B230" s="28"/>
    </row>
    <row r="231">
      <c r="A231" s="28"/>
      <c r="B231" s="28"/>
    </row>
    <row r="232">
      <c r="A232" s="28"/>
      <c r="B232" s="28"/>
    </row>
    <row r="233">
      <c r="A233" s="28"/>
      <c r="B233" s="28"/>
    </row>
    <row r="234">
      <c r="A234" s="28"/>
      <c r="B234" s="28"/>
    </row>
    <row r="235">
      <c r="A235" s="28"/>
      <c r="B235" s="28"/>
    </row>
    <row r="236">
      <c r="A236" s="28"/>
      <c r="B236" s="28"/>
    </row>
    <row r="237">
      <c r="A237" s="28"/>
      <c r="B237" s="28"/>
    </row>
    <row r="238">
      <c r="A238" s="28"/>
      <c r="B238" s="28"/>
    </row>
    <row r="239">
      <c r="A239" s="28"/>
      <c r="B239" s="28"/>
    </row>
    <row r="240">
      <c r="A240" s="28"/>
      <c r="B240" s="28"/>
    </row>
    <row r="241">
      <c r="A241" s="28"/>
      <c r="B241" s="28"/>
    </row>
    <row r="242">
      <c r="A242" s="28"/>
      <c r="B242" s="28"/>
    </row>
    <row r="243">
      <c r="A243" s="28"/>
      <c r="B243" s="28"/>
    </row>
    <row r="244">
      <c r="A244" s="28"/>
      <c r="B244" s="28"/>
    </row>
    <row r="245">
      <c r="A245" s="28"/>
      <c r="B245" s="28"/>
    </row>
    <row r="246">
      <c r="A246" s="28"/>
      <c r="B246" s="28"/>
    </row>
    <row r="247">
      <c r="A247" s="28"/>
      <c r="B247" s="28"/>
    </row>
    <row r="248">
      <c r="A248" s="28"/>
      <c r="B248" s="28"/>
    </row>
    <row r="249">
      <c r="A249" s="28"/>
      <c r="B249" s="28"/>
    </row>
    <row r="250">
      <c r="A250" s="28"/>
      <c r="B250" s="28"/>
    </row>
    <row r="251">
      <c r="A251" s="28"/>
      <c r="B251" s="28"/>
    </row>
    <row r="252">
      <c r="A252" s="28"/>
      <c r="B252" s="28"/>
    </row>
    <row r="253">
      <c r="A253" s="28"/>
      <c r="B253" s="28"/>
    </row>
    <row r="254">
      <c r="A254" s="28"/>
      <c r="B254" s="28"/>
    </row>
    <row r="255">
      <c r="A255" s="28"/>
      <c r="B255" s="28"/>
    </row>
    <row r="256">
      <c r="A256" s="28"/>
      <c r="B256" s="28"/>
    </row>
    <row r="257">
      <c r="A257" s="28"/>
      <c r="B257" s="28"/>
    </row>
    <row r="258">
      <c r="A258" s="28"/>
      <c r="B258" s="28"/>
    </row>
    <row r="259">
      <c r="A259" s="28"/>
      <c r="B259" s="28"/>
    </row>
    <row r="260">
      <c r="A260" s="28"/>
      <c r="B260" s="28"/>
    </row>
    <row r="261">
      <c r="A261" s="28"/>
      <c r="B261" s="28"/>
    </row>
    <row r="262">
      <c r="A262" s="28"/>
      <c r="B262" s="28"/>
    </row>
    <row r="263">
      <c r="A263" s="28"/>
      <c r="B263" s="28"/>
    </row>
    <row r="264">
      <c r="A264" s="28"/>
      <c r="B264" s="28"/>
    </row>
    <row r="265">
      <c r="A265" s="28"/>
      <c r="B265" s="28"/>
    </row>
    <row r="266">
      <c r="A266" s="28"/>
      <c r="B266" s="28"/>
    </row>
    <row r="267">
      <c r="A267" s="28"/>
      <c r="B267" s="28"/>
    </row>
    <row r="268">
      <c r="A268" s="28"/>
      <c r="B268" s="28"/>
    </row>
    <row r="269">
      <c r="A269" s="28"/>
      <c r="B269" s="28"/>
    </row>
    <row r="270">
      <c r="A270" s="28"/>
      <c r="B270" s="28"/>
    </row>
    <row r="271">
      <c r="A271" s="28"/>
      <c r="B271" s="28"/>
    </row>
    <row r="272">
      <c r="A272" s="28"/>
      <c r="B272" s="28"/>
    </row>
    <row r="273">
      <c r="A273" s="28"/>
      <c r="B273" s="28"/>
    </row>
    <row r="274">
      <c r="A274" s="28"/>
      <c r="B274" s="28"/>
    </row>
    <row r="275">
      <c r="A275" s="28"/>
      <c r="B275" s="28"/>
    </row>
    <row r="276">
      <c r="A276" s="28"/>
      <c r="B276" s="28"/>
    </row>
    <row r="277">
      <c r="A277" s="28"/>
      <c r="B277" s="28"/>
    </row>
    <row r="278">
      <c r="A278" s="28"/>
      <c r="B278" s="28"/>
    </row>
    <row r="279">
      <c r="A279" s="28"/>
      <c r="B279" s="28"/>
    </row>
    <row r="280">
      <c r="A280" s="28"/>
      <c r="B280" s="28"/>
    </row>
    <row r="281">
      <c r="A281" s="28"/>
      <c r="B281" s="28"/>
    </row>
    <row r="282">
      <c r="A282" s="28"/>
      <c r="B282" s="28"/>
    </row>
    <row r="283">
      <c r="A283" s="28"/>
      <c r="B283" s="28"/>
    </row>
    <row r="284">
      <c r="A284" s="28"/>
      <c r="B284" s="28"/>
    </row>
    <row r="285">
      <c r="A285" s="28"/>
      <c r="B285" s="28"/>
    </row>
    <row r="286">
      <c r="A286" s="28"/>
      <c r="B286" s="28"/>
    </row>
    <row r="287">
      <c r="A287" s="28"/>
      <c r="B287" s="28"/>
    </row>
    <row r="288">
      <c r="A288" s="28"/>
      <c r="B288" s="28"/>
    </row>
    <row r="289">
      <c r="A289" s="28"/>
      <c r="B289" s="28"/>
    </row>
    <row r="290">
      <c r="A290" s="28"/>
      <c r="B290" s="28"/>
    </row>
    <row r="291">
      <c r="A291" s="28"/>
      <c r="B291" s="28"/>
    </row>
    <row r="292">
      <c r="A292" s="28"/>
      <c r="B292" s="28"/>
    </row>
    <row r="293">
      <c r="A293" s="28"/>
      <c r="B293" s="28"/>
    </row>
    <row r="294">
      <c r="A294" s="28"/>
      <c r="B294" s="28"/>
    </row>
    <row r="295">
      <c r="A295" s="28"/>
      <c r="B295" s="28"/>
    </row>
    <row r="296">
      <c r="A296" s="28"/>
      <c r="B296" s="28"/>
    </row>
    <row r="297">
      <c r="A297" s="28"/>
      <c r="B297" s="28"/>
    </row>
    <row r="298">
      <c r="A298" s="28"/>
      <c r="B298" s="28"/>
    </row>
    <row r="299">
      <c r="A299" s="28"/>
      <c r="B299" s="28"/>
    </row>
    <row r="300">
      <c r="A300" s="28"/>
      <c r="B300" s="28"/>
    </row>
    <row r="301">
      <c r="A301" s="28"/>
      <c r="B301" s="28"/>
    </row>
    <row r="302">
      <c r="A302" s="28"/>
      <c r="B302" s="28"/>
    </row>
    <row r="303">
      <c r="A303" s="28"/>
      <c r="B303" s="28"/>
    </row>
    <row r="304">
      <c r="A304" s="28"/>
      <c r="B304" s="28"/>
    </row>
    <row r="305">
      <c r="A305" s="28"/>
      <c r="B305" s="28"/>
    </row>
    <row r="306">
      <c r="A306" s="28"/>
      <c r="B306" s="28"/>
    </row>
    <row r="307">
      <c r="A307" s="28"/>
      <c r="B307" s="28"/>
    </row>
    <row r="308">
      <c r="A308" s="28"/>
      <c r="B308" s="28"/>
    </row>
    <row r="309">
      <c r="A309" s="28"/>
      <c r="B309" s="28"/>
    </row>
    <row r="310">
      <c r="A310" s="28"/>
      <c r="B310" s="28"/>
    </row>
    <row r="311">
      <c r="A311" s="28"/>
      <c r="B311" s="28"/>
    </row>
    <row r="312">
      <c r="A312" s="28"/>
      <c r="B312" s="28"/>
    </row>
    <row r="313">
      <c r="A313" s="28"/>
      <c r="B313" s="28"/>
    </row>
    <row r="314">
      <c r="A314" s="28"/>
      <c r="B314" s="28"/>
    </row>
    <row r="315">
      <c r="A315" s="28"/>
      <c r="B315" s="28"/>
    </row>
    <row r="316">
      <c r="A316" s="28"/>
      <c r="B316" s="28"/>
    </row>
    <row r="317">
      <c r="A317" s="28"/>
      <c r="B317" s="28"/>
    </row>
    <row r="318">
      <c r="A318" s="28"/>
      <c r="B318" s="28"/>
    </row>
    <row r="319">
      <c r="A319" s="28"/>
      <c r="B319" s="28"/>
    </row>
    <row r="320">
      <c r="A320" s="28"/>
      <c r="B320" s="28"/>
    </row>
    <row r="321">
      <c r="A321" s="28"/>
      <c r="B321" s="28"/>
    </row>
    <row r="322">
      <c r="A322" s="28"/>
      <c r="B322" s="28"/>
    </row>
    <row r="323">
      <c r="A323" s="28"/>
      <c r="B323" s="28"/>
    </row>
    <row r="324">
      <c r="A324" s="28"/>
      <c r="B324" s="28"/>
    </row>
    <row r="325">
      <c r="A325" s="28"/>
      <c r="B325" s="28"/>
    </row>
    <row r="326">
      <c r="A326" s="28"/>
      <c r="B326" s="28"/>
    </row>
    <row r="327">
      <c r="A327" s="28"/>
      <c r="B327" s="28"/>
    </row>
    <row r="328">
      <c r="A328" s="28"/>
      <c r="B328" s="28"/>
    </row>
    <row r="329">
      <c r="A329" s="28"/>
      <c r="B329" s="28"/>
    </row>
    <row r="330">
      <c r="A330" s="28"/>
      <c r="B330" s="28"/>
    </row>
    <row r="331">
      <c r="A331" s="28"/>
      <c r="B331" s="28"/>
    </row>
    <row r="332">
      <c r="A332" s="28"/>
      <c r="B332" s="28"/>
    </row>
    <row r="333">
      <c r="A333" s="28"/>
      <c r="B333" s="28"/>
    </row>
    <row r="334">
      <c r="A334" s="28"/>
      <c r="B334" s="28"/>
    </row>
    <row r="335">
      <c r="A335" s="28"/>
      <c r="B335" s="28"/>
    </row>
    <row r="336">
      <c r="A336" s="28"/>
      <c r="B336" s="28"/>
    </row>
    <row r="337">
      <c r="A337" s="28"/>
      <c r="B337" s="28"/>
    </row>
    <row r="338">
      <c r="A338" s="28"/>
      <c r="B338" s="28"/>
    </row>
    <row r="339">
      <c r="A339" s="28"/>
      <c r="B339" s="28"/>
    </row>
    <row r="340">
      <c r="A340" s="28"/>
      <c r="B340" s="28"/>
    </row>
    <row r="341">
      <c r="A341" s="28"/>
      <c r="B341" s="28"/>
    </row>
    <row r="342">
      <c r="A342" s="28"/>
      <c r="B342" s="28"/>
    </row>
    <row r="343">
      <c r="A343" s="28"/>
      <c r="B343" s="28"/>
    </row>
    <row r="344">
      <c r="A344" s="28"/>
      <c r="B344" s="28"/>
    </row>
    <row r="345">
      <c r="A345" s="28"/>
      <c r="B345" s="28"/>
    </row>
    <row r="346">
      <c r="A346" s="28"/>
      <c r="B346" s="28"/>
    </row>
    <row r="347">
      <c r="A347" s="28"/>
      <c r="B347" s="28"/>
    </row>
    <row r="348">
      <c r="A348" s="28"/>
      <c r="B348" s="28"/>
    </row>
    <row r="349">
      <c r="A349" s="28"/>
      <c r="B349" s="28"/>
    </row>
    <row r="350">
      <c r="A350" s="28"/>
      <c r="B350" s="28"/>
    </row>
    <row r="351">
      <c r="A351" s="28"/>
      <c r="B351" s="28"/>
    </row>
    <row r="352">
      <c r="A352" s="28"/>
      <c r="B352" s="28"/>
    </row>
    <row r="353">
      <c r="A353" s="28"/>
      <c r="B353" s="28"/>
    </row>
    <row r="354">
      <c r="A354" s="28"/>
      <c r="B354" s="28"/>
    </row>
    <row r="355">
      <c r="A355" s="28"/>
      <c r="B355" s="28"/>
    </row>
    <row r="356">
      <c r="A356" s="28"/>
      <c r="B356" s="28"/>
    </row>
    <row r="357">
      <c r="A357" s="28"/>
      <c r="B357" s="28"/>
    </row>
    <row r="358">
      <c r="A358" s="28"/>
      <c r="B358" s="28"/>
    </row>
    <row r="359">
      <c r="A359" s="28"/>
      <c r="B359" s="28"/>
    </row>
    <row r="360">
      <c r="A360" s="28"/>
      <c r="B360" s="28"/>
    </row>
    <row r="361">
      <c r="A361" s="28"/>
      <c r="B361" s="28"/>
    </row>
    <row r="362">
      <c r="A362" s="28"/>
      <c r="B362" s="28"/>
    </row>
    <row r="363">
      <c r="A363" s="28"/>
      <c r="B363" s="28"/>
    </row>
    <row r="364">
      <c r="A364" s="28"/>
      <c r="B364" s="28"/>
    </row>
    <row r="365">
      <c r="A365" s="28"/>
      <c r="B365" s="28"/>
    </row>
    <row r="366">
      <c r="A366" s="28"/>
      <c r="B366" s="28"/>
    </row>
    <row r="367">
      <c r="A367" s="28"/>
      <c r="B367" s="28"/>
    </row>
    <row r="368">
      <c r="A368" s="28"/>
      <c r="B368" s="28"/>
    </row>
    <row r="369">
      <c r="A369" s="28"/>
      <c r="B369" s="28"/>
    </row>
    <row r="370">
      <c r="A370" s="28"/>
      <c r="B370" s="28"/>
    </row>
    <row r="371">
      <c r="A371" s="28"/>
      <c r="B371" s="28"/>
    </row>
    <row r="372">
      <c r="A372" s="28"/>
      <c r="B372" s="28"/>
    </row>
    <row r="373">
      <c r="A373" s="28"/>
      <c r="B373" s="28"/>
    </row>
    <row r="374">
      <c r="A374" s="28"/>
      <c r="B374" s="28"/>
    </row>
    <row r="375">
      <c r="A375" s="28"/>
      <c r="B375" s="28"/>
    </row>
    <row r="376">
      <c r="A376" s="28"/>
      <c r="B376" s="28"/>
    </row>
    <row r="377">
      <c r="A377" s="28"/>
      <c r="B377" s="28"/>
    </row>
    <row r="378">
      <c r="A378" s="28"/>
      <c r="B378" s="28"/>
    </row>
    <row r="379">
      <c r="A379" s="28"/>
      <c r="B379" s="28"/>
    </row>
    <row r="380">
      <c r="A380" s="28"/>
      <c r="B380" s="28"/>
    </row>
    <row r="381">
      <c r="A381" s="28"/>
      <c r="B381" s="28"/>
    </row>
    <row r="382">
      <c r="A382" s="28"/>
      <c r="B382" s="28"/>
    </row>
    <row r="383">
      <c r="A383" s="28"/>
      <c r="B383" s="28"/>
    </row>
    <row r="384">
      <c r="A384" s="28"/>
      <c r="B384" s="28"/>
    </row>
    <row r="385">
      <c r="A385" s="28"/>
      <c r="B385" s="28"/>
    </row>
    <row r="386">
      <c r="A386" s="28"/>
      <c r="B386" s="28"/>
    </row>
    <row r="387">
      <c r="A387" s="28"/>
      <c r="B387" s="28"/>
    </row>
    <row r="388">
      <c r="A388" s="28"/>
      <c r="B388" s="28"/>
    </row>
    <row r="389">
      <c r="A389" s="28"/>
      <c r="B389" s="28"/>
    </row>
    <row r="390">
      <c r="A390" s="28"/>
      <c r="B390" s="28"/>
    </row>
    <row r="391">
      <c r="A391" s="28"/>
      <c r="B391" s="28"/>
    </row>
    <row r="392">
      <c r="A392" s="28"/>
      <c r="B392" s="28"/>
    </row>
    <row r="393">
      <c r="A393" s="28"/>
      <c r="B393" s="28"/>
    </row>
    <row r="394">
      <c r="A394" s="28"/>
      <c r="B394" s="28"/>
    </row>
    <row r="395">
      <c r="A395" s="28"/>
      <c r="B395" s="28"/>
    </row>
    <row r="396">
      <c r="A396" s="28"/>
      <c r="B396" s="28"/>
    </row>
    <row r="397">
      <c r="A397" s="28"/>
      <c r="B397" s="28"/>
    </row>
    <row r="398">
      <c r="A398" s="28"/>
      <c r="B398" s="28"/>
    </row>
    <row r="399">
      <c r="A399" s="28"/>
      <c r="B399" s="28"/>
    </row>
    <row r="400">
      <c r="A400" s="28"/>
      <c r="B400" s="28"/>
    </row>
    <row r="401">
      <c r="A401" s="28"/>
      <c r="B401" s="28"/>
    </row>
    <row r="402">
      <c r="A402" s="28"/>
      <c r="B402" s="28"/>
    </row>
    <row r="403">
      <c r="A403" s="28"/>
      <c r="B403" s="28"/>
    </row>
    <row r="404">
      <c r="A404" s="28"/>
      <c r="B404" s="28"/>
    </row>
    <row r="405">
      <c r="A405" s="28"/>
      <c r="B405" s="28"/>
    </row>
    <row r="406">
      <c r="A406" s="28"/>
      <c r="B406" s="28"/>
    </row>
    <row r="407">
      <c r="A407" s="28"/>
      <c r="B407" s="28"/>
    </row>
    <row r="408">
      <c r="A408" s="28"/>
      <c r="B408" s="28"/>
    </row>
    <row r="409">
      <c r="A409" s="28"/>
      <c r="B409" s="28"/>
    </row>
    <row r="410">
      <c r="A410" s="28"/>
      <c r="B410" s="28"/>
    </row>
    <row r="411">
      <c r="A411" s="28"/>
      <c r="B411" s="28"/>
    </row>
    <row r="412">
      <c r="A412" s="28"/>
      <c r="B412" s="28"/>
    </row>
    <row r="413">
      <c r="A413" s="28"/>
      <c r="B413" s="28"/>
    </row>
    <row r="414">
      <c r="A414" s="28"/>
      <c r="B414" s="28"/>
    </row>
    <row r="415">
      <c r="A415" s="28"/>
      <c r="B415" s="28"/>
    </row>
    <row r="416">
      <c r="A416" s="28"/>
      <c r="B416" s="28"/>
    </row>
    <row r="417">
      <c r="A417" s="28"/>
      <c r="B417" s="28"/>
    </row>
    <row r="418">
      <c r="A418" s="28"/>
      <c r="B418" s="28"/>
    </row>
    <row r="419">
      <c r="A419" s="28"/>
      <c r="B419" s="28"/>
    </row>
    <row r="420">
      <c r="A420" s="28"/>
      <c r="B420" s="28"/>
    </row>
    <row r="421">
      <c r="A421" s="28"/>
      <c r="B421" s="28"/>
    </row>
    <row r="422">
      <c r="A422" s="28"/>
      <c r="B422" s="28"/>
    </row>
    <row r="423">
      <c r="A423" s="28"/>
      <c r="B423" s="28"/>
    </row>
    <row r="424">
      <c r="A424" s="28"/>
      <c r="B424" s="28"/>
    </row>
    <row r="425">
      <c r="A425" s="28"/>
      <c r="B425" s="28"/>
    </row>
    <row r="426">
      <c r="A426" s="28"/>
      <c r="B426" s="28"/>
    </row>
    <row r="427">
      <c r="A427" s="28"/>
      <c r="B427" s="28"/>
    </row>
    <row r="428">
      <c r="A428" s="28"/>
      <c r="B428" s="28"/>
    </row>
    <row r="429">
      <c r="A429" s="28"/>
      <c r="B429" s="28"/>
    </row>
    <row r="430">
      <c r="A430" s="28"/>
      <c r="B430" s="28"/>
    </row>
    <row r="431">
      <c r="A431" s="28"/>
      <c r="B431" s="28"/>
    </row>
    <row r="432">
      <c r="A432" s="28"/>
      <c r="B432" s="28"/>
    </row>
    <row r="433">
      <c r="A433" s="28"/>
      <c r="B433" s="28"/>
    </row>
    <row r="434">
      <c r="A434" s="28"/>
      <c r="B434" s="28"/>
    </row>
    <row r="435">
      <c r="A435" s="28"/>
      <c r="B435" s="28"/>
    </row>
    <row r="436">
      <c r="A436" s="28"/>
      <c r="B436" s="28"/>
    </row>
    <row r="437">
      <c r="A437" s="28"/>
      <c r="B437" s="28"/>
    </row>
    <row r="438">
      <c r="A438" s="28"/>
      <c r="B438" s="28"/>
    </row>
    <row r="439">
      <c r="A439" s="28"/>
      <c r="B439" s="28"/>
    </row>
    <row r="440">
      <c r="A440" s="28"/>
      <c r="B440" s="28"/>
    </row>
    <row r="441">
      <c r="A441" s="28"/>
      <c r="B441" s="28"/>
    </row>
    <row r="442">
      <c r="A442" s="28"/>
      <c r="B442" s="28"/>
    </row>
    <row r="443">
      <c r="A443" s="28"/>
      <c r="B443" s="28"/>
    </row>
    <row r="444">
      <c r="A444" s="28"/>
      <c r="B444" s="28"/>
    </row>
    <row r="445">
      <c r="A445" s="28"/>
      <c r="B445" s="28"/>
    </row>
    <row r="446">
      <c r="A446" s="28"/>
      <c r="B446" s="28"/>
    </row>
    <row r="447">
      <c r="A447" s="28"/>
      <c r="B447" s="28"/>
    </row>
    <row r="448">
      <c r="A448" s="28"/>
      <c r="B448" s="28"/>
    </row>
    <row r="449">
      <c r="A449" s="28"/>
      <c r="B449" s="28"/>
    </row>
    <row r="450">
      <c r="A450" s="28"/>
      <c r="B450" s="28"/>
    </row>
    <row r="451">
      <c r="A451" s="28"/>
      <c r="B451" s="28"/>
    </row>
    <row r="452">
      <c r="A452" s="28"/>
      <c r="B452" s="28"/>
    </row>
    <row r="453">
      <c r="A453" s="28"/>
      <c r="B453" s="28"/>
    </row>
    <row r="454">
      <c r="A454" s="28"/>
      <c r="B454" s="28"/>
    </row>
    <row r="455">
      <c r="A455" s="28"/>
      <c r="B455" s="28"/>
    </row>
    <row r="456">
      <c r="A456" s="28"/>
      <c r="B456" s="28"/>
    </row>
    <row r="457">
      <c r="A457" s="28"/>
      <c r="B457" s="28"/>
    </row>
    <row r="458">
      <c r="A458" s="28"/>
      <c r="B458" s="28"/>
    </row>
    <row r="459">
      <c r="A459" s="28"/>
      <c r="B459" s="28"/>
    </row>
    <row r="460">
      <c r="A460" s="28"/>
      <c r="B460" s="28"/>
    </row>
    <row r="461">
      <c r="A461" s="28"/>
      <c r="B461" s="28"/>
    </row>
    <row r="462">
      <c r="A462" s="28"/>
      <c r="B462" s="28"/>
    </row>
    <row r="463">
      <c r="A463" s="28"/>
      <c r="B463" s="28"/>
    </row>
    <row r="464">
      <c r="A464" s="28"/>
      <c r="B464" s="28"/>
    </row>
    <row r="465">
      <c r="A465" s="28"/>
      <c r="B465" s="28"/>
    </row>
    <row r="466">
      <c r="A466" s="28"/>
      <c r="B466" s="28"/>
    </row>
    <row r="467">
      <c r="A467" s="28"/>
      <c r="B467" s="28"/>
    </row>
    <row r="468">
      <c r="A468" s="28"/>
      <c r="B468" s="28"/>
    </row>
    <row r="469">
      <c r="A469" s="28"/>
      <c r="B469" s="28"/>
    </row>
    <row r="470">
      <c r="A470" s="28"/>
      <c r="B470" s="28"/>
    </row>
    <row r="471">
      <c r="A471" s="28"/>
      <c r="B471" s="28"/>
    </row>
    <row r="472">
      <c r="A472" s="28"/>
      <c r="B472" s="28"/>
    </row>
    <row r="473">
      <c r="A473" s="28"/>
      <c r="B473" s="28"/>
    </row>
    <row r="474">
      <c r="A474" s="28"/>
      <c r="B474" s="28"/>
    </row>
    <row r="475">
      <c r="A475" s="28"/>
      <c r="B475" s="28"/>
    </row>
    <row r="476">
      <c r="A476" s="28"/>
      <c r="B476" s="28"/>
    </row>
    <row r="477">
      <c r="A477" s="28"/>
      <c r="B477" s="28"/>
    </row>
    <row r="478">
      <c r="A478" s="28"/>
      <c r="B478" s="28"/>
    </row>
    <row r="479">
      <c r="A479" s="28"/>
      <c r="B479" s="28"/>
    </row>
    <row r="480">
      <c r="A480" s="28"/>
      <c r="B480" s="28"/>
    </row>
    <row r="481">
      <c r="A481" s="28"/>
      <c r="B481" s="28"/>
    </row>
    <row r="482">
      <c r="A482" s="28"/>
      <c r="B482" s="28"/>
    </row>
    <row r="483">
      <c r="A483" s="28"/>
      <c r="B483" s="28"/>
    </row>
    <row r="484">
      <c r="A484" s="28"/>
      <c r="B484" s="28"/>
    </row>
    <row r="485">
      <c r="A485" s="28"/>
      <c r="B485" s="28"/>
    </row>
    <row r="486">
      <c r="A486" s="28"/>
      <c r="B486" s="28"/>
    </row>
    <row r="487">
      <c r="A487" s="28"/>
      <c r="B487" s="28"/>
    </row>
    <row r="488">
      <c r="A488" s="28"/>
      <c r="B488" s="28"/>
    </row>
    <row r="489">
      <c r="A489" s="28"/>
      <c r="B489" s="28"/>
    </row>
    <row r="490">
      <c r="A490" s="28"/>
      <c r="B490" s="28"/>
    </row>
    <row r="491">
      <c r="A491" s="28"/>
      <c r="B491" s="28"/>
    </row>
    <row r="492">
      <c r="A492" s="28"/>
      <c r="B492" s="28"/>
    </row>
    <row r="493">
      <c r="A493" s="28"/>
      <c r="B493" s="28"/>
    </row>
    <row r="494">
      <c r="A494" s="28"/>
      <c r="B494" s="28"/>
    </row>
    <row r="495">
      <c r="A495" s="28"/>
      <c r="B495" s="28"/>
    </row>
    <row r="496">
      <c r="A496" s="28"/>
      <c r="B496" s="28"/>
    </row>
    <row r="497">
      <c r="A497" s="28"/>
      <c r="B497" s="28"/>
    </row>
    <row r="498">
      <c r="A498" s="28"/>
      <c r="B498" s="28"/>
    </row>
    <row r="499">
      <c r="A499" s="28"/>
      <c r="B499" s="28"/>
    </row>
    <row r="500">
      <c r="A500" s="28"/>
      <c r="B500" s="28"/>
    </row>
    <row r="501">
      <c r="A501" s="28"/>
      <c r="B501" s="28"/>
    </row>
    <row r="502">
      <c r="A502" s="28"/>
      <c r="B502" s="28"/>
    </row>
    <row r="503">
      <c r="A503" s="28"/>
      <c r="B503" s="28"/>
    </row>
    <row r="504">
      <c r="A504" s="28"/>
      <c r="B504" s="28"/>
    </row>
    <row r="505">
      <c r="A505" s="28"/>
      <c r="B505" s="28"/>
    </row>
    <row r="506">
      <c r="A506" s="28"/>
      <c r="B506" s="28"/>
    </row>
    <row r="507">
      <c r="A507" s="28"/>
      <c r="B507" s="28"/>
    </row>
    <row r="508">
      <c r="A508" s="28"/>
      <c r="B508" s="28"/>
    </row>
    <row r="509">
      <c r="A509" s="28"/>
      <c r="B509" s="28"/>
    </row>
    <row r="510">
      <c r="A510" s="28"/>
      <c r="B510" s="28"/>
    </row>
    <row r="511">
      <c r="A511" s="28"/>
      <c r="B511" s="28"/>
    </row>
    <row r="512">
      <c r="A512" s="28"/>
      <c r="B512" s="28"/>
    </row>
    <row r="513">
      <c r="A513" s="28"/>
      <c r="B513" s="28"/>
    </row>
    <row r="514">
      <c r="A514" s="28"/>
      <c r="B514" s="28"/>
    </row>
    <row r="515">
      <c r="A515" s="28"/>
      <c r="B515" s="28"/>
    </row>
    <row r="516">
      <c r="A516" s="28"/>
      <c r="B516" s="28"/>
    </row>
    <row r="517">
      <c r="A517" s="28"/>
      <c r="B517" s="28"/>
    </row>
    <row r="518">
      <c r="A518" s="28"/>
      <c r="B518" s="28"/>
    </row>
    <row r="519">
      <c r="A519" s="28"/>
      <c r="B519" s="28"/>
    </row>
    <row r="520">
      <c r="A520" s="28"/>
      <c r="B520" s="28"/>
    </row>
    <row r="521">
      <c r="A521" s="28"/>
      <c r="B521" s="28"/>
    </row>
    <row r="522">
      <c r="A522" s="28"/>
      <c r="B522" s="28"/>
    </row>
    <row r="523">
      <c r="A523" s="28"/>
      <c r="B523" s="28"/>
    </row>
    <row r="524">
      <c r="A524" s="28"/>
      <c r="B524" s="28"/>
    </row>
    <row r="525">
      <c r="A525" s="28"/>
      <c r="B525" s="28"/>
    </row>
    <row r="526">
      <c r="A526" s="28"/>
      <c r="B526" s="28"/>
    </row>
    <row r="527">
      <c r="A527" s="28"/>
      <c r="B527" s="28"/>
    </row>
    <row r="528">
      <c r="A528" s="28"/>
      <c r="B528" s="28"/>
    </row>
    <row r="529">
      <c r="A529" s="28"/>
      <c r="B529" s="28"/>
    </row>
    <row r="530">
      <c r="A530" s="28"/>
      <c r="B530" s="28"/>
    </row>
    <row r="531">
      <c r="A531" s="28"/>
      <c r="B531" s="28"/>
    </row>
    <row r="532">
      <c r="A532" s="28"/>
      <c r="B532" s="28"/>
    </row>
    <row r="533">
      <c r="A533" s="28"/>
      <c r="B533" s="28"/>
    </row>
    <row r="534">
      <c r="A534" s="28"/>
      <c r="B534" s="28"/>
    </row>
    <row r="535">
      <c r="A535" s="28"/>
      <c r="B535" s="28"/>
    </row>
    <row r="536">
      <c r="A536" s="28"/>
      <c r="B536" s="28"/>
    </row>
    <row r="537">
      <c r="A537" s="28"/>
      <c r="B537" s="28"/>
    </row>
    <row r="538">
      <c r="A538" s="28"/>
      <c r="B538" s="28"/>
    </row>
    <row r="539">
      <c r="A539" s="28"/>
      <c r="B539" s="28"/>
    </row>
    <row r="540">
      <c r="A540" s="28"/>
      <c r="B540" s="28"/>
    </row>
    <row r="541">
      <c r="A541" s="28"/>
      <c r="B541" s="28"/>
    </row>
    <row r="542">
      <c r="A542" s="28"/>
      <c r="B542" s="28"/>
    </row>
    <row r="543">
      <c r="A543" s="28"/>
      <c r="B543" s="28"/>
    </row>
    <row r="544">
      <c r="A544" s="28"/>
      <c r="B544" s="28"/>
    </row>
    <row r="545">
      <c r="A545" s="28"/>
      <c r="B545" s="28"/>
    </row>
    <row r="546">
      <c r="A546" s="28"/>
      <c r="B546" s="28"/>
    </row>
    <row r="547">
      <c r="A547" s="28"/>
      <c r="B547" s="28"/>
    </row>
    <row r="548">
      <c r="A548" s="28"/>
      <c r="B548" s="28"/>
    </row>
    <row r="549">
      <c r="A549" s="28"/>
      <c r="B549" s="28"/>
    </row>
    <row r="550">
      <c r="A550" s="28"/>
      <c r="B550" s="28"/>
    </row>
    <row r="551">
      <c r="A551" s="28"/>
      <c r="B551" s="28"/>
    </row>
    <row r="552">
      <c r="A552" s="28"/>
      <c r="B552" s="28"/>
    </row>
    <row r="553">
      <c r="A553" s="28"/>
      <c r="B553" s="28"/>
    </row>
    <row r="554">
      <c r="A554" s="28"/>
      <c r="B554" s="28"/>
    </row>
    <row r="555">
      <c r="A555" s="28"/>
      <c r="B555" s="28"/>
    </row>
    <row r="556">
      <c r="A556" s="28"/>
      <c r="B556" s="28"/>
    </row>
    <row r="557">
      <c r="A557" s="28"/>
      <c r="B557" s="28"/>
    </row>
    <row r="558">
      <c r="A558" s="28"/>
      <c r="B558" s="28"/>
    </row>
    <row r="559">
      <c r="A559" s="28"/>
      <c r="B559" s="28"/>
    </row>
    <row r="560">
      <c r="A560" s="28"/>
      <c r="B560" s="28"/>
    </row>
    <row r="561">
      <c r="A561" s="28"/>
      <c r="B561" s="28"/>
    </row>
    <row r="562">
      <c r="A562" s="28"/>
      <c r="B562" s="28"/>
    </row>
    <row r="563">
      <c r="A563" s="28"/>
      <c r="B563" s="28"/>
    </row>
    <row r="564">
      <c r="A564" s="28"/>
      <c r="B564" s="28"/>
    </row>
    <row r="565">
      <c r="A565" s="28"/>
      <c r="B565" s="28"/>
    </row>
    <row r="566">
      <c r="A566" s="28"/>
      <c r="B566" s="28"/>
    </row>
    <row r="567">
      <c r="A567" s="28"/>
      <c r="B567" s="28"/>
    </row>
    <row r="568">
      <c r="A568" s="28"/>
      <c r="B568" s="28"/>
    </row>
    <row r="569">
      <c r="A569" s="28"/>
      <c r="B569" s="28"/>
    </row>
    <row r="570">
      <c r="A570" s="28"/>
      <c r="B570" s="28"/>
    </row>
    <row r="571">
      <c r="A571" s="28"/>
      <c r="B571" s="28"/>
    </row>
    <row r="572">
      <c r="A572" s="28"/>
      <c r="B572" s="28"/>
    </row>
    <row r="573">
      <c r="A573" s="28"/>
      <c r="B573" s="28"/>
    </row>
    <row r="574">
      <c r="A574" s="28"/>
      <c r="B574" s="28"/>
    </row>
    <row r="575">
      <c r="A575" s="28"/>
      <c r="B575" s="28"/>
    </row>
    <row r="576">
      <c r="A576" s="28"/>
      <c r="B576" s="28"/>
    </row>
    <row r="577">
      <c r="A577" s="28"/>
      <c r="B577" s="28"/>
    </row>
    <row r="578">
      <c r="A578" s="28"/>
      <c r="B578" s="28"/>
    </row>
    <row r="579">
      <c r="A579" s="28"/>
      <c r="B579" s="28"/>
    </row>
    <row r="580">
      <c r="A580" s="28"/>
      <c r="B580" s="28"/>
    </row>
    <row r="581">
      <c r="A581" s="28"/>
      <c r="B581" s="28"/>
    </row>
    <row r="582">
      <c r="A582" s="28"/>
      <c r="B582" s="28"/>
    </row>
    <row r="583">
      <c r="A583" s="28"/>
      <c r="B583" s="28"/>
    </row>
    <row r="584">
      <c r="A584" s="28"/>
      <c r="B584" s="28"/>
    </row>
    <row r="585">
      <c r="A585" s="28"/>
      <c r="B585" s="28"/>
    </row>
    <row r="586">
      <c r="A586" s="28"/>
      <c r="B586" s="28"/>
    </row>
    <row r="587">
      <c r="A587" s="28"/>
      <c r="B587" s="28"/>
    </row>
    <row r="588">
      <c r="A588" s="28"/>
      <c r="B588" s="28"/>
    </row>
    <row r="589">
      <c r="A589" s="28"/>
      <c r="B589" s="28"/>
    </row>
    <row r="590">
      <c r="A590" s="28"/>
      <c r="B590" s="28"/>
    </row>
    <row r="591">
      <c r="A591" s="28"/>
      <c r="B591" s="28"/>
    </row>
    <row r="592">
      <c r="A592" s="28"/>
      <c r="B592" s="28"/>
    </row>
    <row r="593">
      <c r="A593" s="28"/>
      <c r="B593" s="28"/>
    </row>
    <row r="594">
      <c r="A594" s="28"/>
      <c r="B594" s="28"/>
    </row>
    <row r="595">
      <c r="A595" s="28"/>
      <c r="B595" s="28"/>
    </row>
    <row r="596">
      <c r="A596" s="28"/>
      <c r="B596" s="28"/>
    </row>
    <row r="597">
      <c r="A597" s="28"/>
      <c r="B597" s="28"/>
    </row>
    <row r="598">
      <c r="A598" s="28"/>
      <c r="B598" s="28"/>
    </row>
    <row r="599">
      <c r="A599" s="28"/>
      <c r="B599" s="28"/>
    </row>
    <row r="600">
      <c r="A600" s="28"/>
      <c r="B600" s="28"/>
    </row>
    <row r="601">
      <c r="A601" s="28"/>
      <c r="B601" s="28"/>
    </row>
    <row r="602">
      <c r="A602" s="28"/>
      <c r="B602" s="28"/>
    </row>
    <row r="603">
      <c r="A603" s="28"/>
      <c r="B603" s="28"/>
    </row>
    <row r="604">
      <c r="A604" s="28"/>
      <c r="B604" s="28"/>
    </row>
    <row r="605">
      <c r="A605" s="28"/>
      <c r="B605" s="28"/>
    </row>
    <row r="606">
      <c r="A606" s="28"/>
      <c r="B606" s="28"/>
    </row>
    <row r="607">
      <c r="A607" s="28"/>
      <c r="B607" s="28"/>
    </row>
    <row r="608">
      <c r="A608" s="28"/>
      <c r="B608" s="28"/>
    </row>
    <row r="609">
      <c r="A609" s="28"/>
      <c r="B609" s="28"/>
    </row>
    <row r="610">
      <c r="A610" s="28"/>
      <c r="B610" s="28"/>
    </row>
    <row r="611">
      <c r="A611" s="28"/>
      <c r="B611" s="28"/>
    </row>
    <row r="612">
      <c r="A612" s="28"/>
      <c r="B612" s="28"/>
    </row>
    <row r="613">
      <c r="A613" s="28"/>
      <c r="B613" s="28"/>
    </row>
    <row r="614">
      <c r="A614" s="28"/>
      <c r="B614" s="28"/>
    </row>
    <row r="615">
      <c r="A615" s="28"/>
      <c r="B615" s="28"/>
    </row>
    <row r="616">
      <c r="A616" s="28"/>
      <c r="B616" s="28"/>
    </row>
    <row r="617">
      <c r="A617" s="28"/>
      <c r="B617" s="28"/>
    </row>
    <row r="618">
      <c r="A618" s="28"/>
      <c r="B618" s="28"/>
    </row>
    <row r="619">
      <c r="A619" s="28"/>
      <c r="B619" s="28"/>
    </row>
    <row r="620">
      <c r="A620" s="28"/>
      <c r="B620" s="28"/>
    </row>
    <row r="621">
      <c r="A621" s="28"/>
      <c r="B621" s="28"/>
    </row>
    <row r="622">
      <c r="A622" s="28"/>
      <c r="B622" s="28"/>
    </row>
    <row r="623">
      <c r="A623" s="28"/>
      <c r="B623" s="28"/>
    </row>
    <row r="624">
      <c r="A624" s="28"/>
      <c r="B624" s="28"/>
    </row>
    <row r="625">
      <c r="A625" s="28"/>
      <c r="B625" s="28"/>
    </row>
    <row r="626">
      <c r="A626" s="28"/>
      <c r="B626" s="28"/>
    </row>
    <row r="627">
      <c r="A627" s="28"/>
      <c r="B627" s="28"/>
    </row>
    <row r="628">
      <c r="A628" s="28"/>
      <c r="B628" s="28"/>
    </row>
    <row r="629">
      <c r="A629" s="28"/>
      <c r="B629" s="28"/>
    </row>
    <row r="630">
      <c r="A630" s="28"/>
      <c r="B630" s="28"/>
    </row>
    <row r="631">
      <c r="A631" s="28"/>
      <c r="B631" s="28"/>
    </row>
    <row r="632">
      <c r="A632" s="28"/>
      <c r="B632" s="28"/>
    </row>
    <row r="633">
      <c r="A633" s="28"/>
      <c r="B633" s="28"/>
    </row>
    <row r="634">
      <c r="A634" s="28"/>
      <c r="B634" s="28"/>
    </row>
    <row r="635">
      <c r="A635" s="28"/>
      <c r="B635" s="28"/>
    </row>
    <row r="636">
      <c r="A636" s="28"/>
      <c r="B636" s="28"/>
    </row>
    <row r="637">
      <c r="A637" s="28"/>
      <c r="B637" s="28"/>
    </row>
    <row r="638">
      <c r="A638" s="28"/>
      <c r="B638" s="28"/>
    </row>
    <row r="639">
      <c r="A639" s="28"/>
      <c r="B639" s="28"/>
    </row>
    <row r="640">
      <c r="A640" s="28"/>
      <c r="B640" s="28"/>
    </row>
    <row r="641">
      <c r="A641" s="28"/>
      <c r="B641" s="28"/>
    </row>
    <row r="642">
      <c r="A642" s="28"/>
      <c r="B642" s="28"/>
    </row>
    <row r="643">
      <c r="A643" s="28"/>
      <c r="B643" s="28"/>
    </row>
    <row r="644">
      <c r="A644" s="28"/>
      <c r="B644" s="28"/>
    </row>
    <row r="645">
      <c r="A645" s="28"/>
      <c r="B645" s="28"/>
    </row>
    <row r="646">
      <c r="A646" s="28"/>
      <c r="B646" s="28"/>
    </row>
    <row r="647">
      <c r="A647" s="28"/>
      <c r="B647" s="28"/>
    </row>
    <row r="648">
      <c r="A648" s="28"/>
      <c r="B648" s="28"/>
    </row>
    <row r="649">
      <c r="A649" s="28"/>
      <c r="B649" s="28"/>
    </row>
    <row r="650">
      <c r="A650" s="28"/>
      <c r="B650" s="28"/>
    </row>
    <row r="651">
      <c r="A651" s="28"/>
      <c r="B651" s="28"/>
    </row>
    <row r="652">
      <c r="A652" s="28"/>
      <c r="B652" s="28"/>
    </row>
    <row r="653">
      <c r="A653" s="28"/>
      <c r="B653" s="28"/>
    </row>
    <row r="654">
      <c r="A654" s="28"/>
      <c r="B654" s="28"/>
    </row>
    <row r="655">
      <c r="A655" s="28"/>
      <c r="B655" s="28"/>
    </row>
    <row r="656">
      <c r="A656" s="28"/>
      <c r="B656" s="28"/>
    </row>
    <row r="657">
      <c r="A657" s="28"/>
      <c r="B657" s="28"/>
    </row>
    <row r="658">
      <c r="A658" s="28"/>
      <c r="B658" s="28"/>
    </row>
    <row r="659">
      <c r="A659" s="28"/>
      <c r="B659" s="28"/>
    </row>
    <row r="660">
      <c r="A660" s="28"/>
      <c r="B660" s="28"/>
    </row>
    <row r="661">
      <c r="A661" s="28"/>
      <c r="B661" s="28"/>
    </row>
    <row r="662">
      <c r="A662" s="28"/>
      <c r="B662" s="28"/>
    </row>
    <row r="663">
      <c r="A663" s="28"/>
      <c r="B663" s="28"/>
    </row>
    <row r="664">
      <c r="A664" s="28"/>
      <c r="B664" s="28"/>
    </row>
    <row r="665">
      <c r="A665" s="28"/>
      <c r="B665" s="28"/>
    </row>
    <row r="666">
      <c r="A666" s="28"/>
      <c r="B666" s="28"/>
    </row>
    <row r="667">
      <c r="A667" s="28"/>
      <c r="B667" s="28"/>
    </row>
    <row r="668">
      <c r="A668" s="28"/>
      <c r="B668" s="28"/>
    </row>
    <row r="669">
      <c r="A669" s="28"/>
      <c r="B669" s="28"/>
    </row>
    <row r="670">
      <c r="A670" s="28"/>
      <c r="B670" s="28"/>
    </row>
    <row r="671">
      <c r="A671" s="28"/>
      <c r="B671" s="28"/>
    </row>
    <row r="672">
      <c r="A672" s="28"/>
      <c r="B672" s="28"/>
    </row>
    <row r="673">
      <c r="A673" s="28"/>
      <c r="B673" s="28"/>
    </row>
    <row r="674">
      <c r="A674" s="28"/>
      <c r="B674" s="28"/>
    </row>
    <row r="675">
      <c r="A675" s="28"/>
      <c r="B675" s="28"/>
    </row>
    <row r="676">
      <c r="A676" s="28"/>
      <c r="B676" s="28"/>
    </row>
    <row r="677">
      <c r="A677" s="28"/>
      <c r="B677" s="28"/>
    </row>
    <row r="678">
      <c r="A678" s="28"/>
      <c r="B678" s="28"/>
    </row>
    <row r="679">
      <c r="A679" s="28"/>
      <c r="B679" s="28"/>
    </row>
    <row r="680">
      <c r="A680" s="28"/>
      <c r="B680" s="28"/>
    </row>
    <row r="681">
      <c r="A681" s="28"/>
      <c r="B681" s="28"/>
    </row>
    <row r="682">
      <c r="A682" s="28"/>
      <c r="B682" s="28"/>
    </row>
    <row r="683">
      <c r="A683" s="28"/>
      <c r="B683" s="28"/>
    </row>
    <row r="684">
      <c r="A684" s="28"/>
      <c r="B684" s="28"/>
    </row>
    <row r="685">
      <c r="A685" s="28"/>
      <c r="B685" s="28"/>
    </row>
    <row r="686">
      <c r="A686" s="28"/>
      <c r="B686" s="28"/>
    </row>
    <row r="687">
      <c r="A687" s="28"/>
      <c r="B687" s="28"/>
    </row>
    <row r="688">
      <c r="A688" s="28"/>
      <c r="B688" s="28"/>
    </row>
    <row r="689">
      <c r="A689" s="28"/>
      <c r="B689" s="28"/>
    </row>
    <row r="690">
      <c r="A690" s="28"/>
      <c r="B690" s="28"/>
    </row>
    <row r="691">
      <c r="A691" s="28"/>
      <c r="B691" s="28"/>
    </row>
    <row r="692">
      <c r="A692" s="28"/>
      <c r="B692" s="28"/>
    </row>
    <row r="693">
      <c r="A693" s="28"/>
      <c r="B693" s="28"/>
    </row>
    <row r="694">
      <c r="A694" s="28"/>
      <c r="B694" s="28"/>
    </row>
    <row r="695">
      <c r="A695" s="28"/>
      <c r="B695" s="28"/>
    </row>
    <row r="696">
      <c r="A696" s="28"/>
      <c r="B696" s="28"/>
    </row>
    <row r="697">
      <c r="A697" s="28"/>
      <c r="B697" s="28"/>
    </row>
    <row r="698">
      <c r="A698" s="28"/>
      <c r="B698" s="28"/>
    </row>
    <row r="699">
      <c r="A699" s="28"/>
      <c r="B699" s="28"/>
    </row>
    <row r="700">
      <c r="A700" s="28"/>
      <c r="B700" s="28"/>
    </row>
    <row r="701">
      <c r="A701" s="28"/>
      <c r="B701" s="28"/>
    </row>
    <row r="702">
      <c r="A702" s="28"/>
      <c r="B702" s="28"/>
    </row>
    <row r="703">
      <c r="A703" s="28"/>
      <c r="B703" s="28"/>
    </row>
    <row r="704">
      <c r="A704" s="28"/>
      <c r="B704" s="28"/>
    </row>
    <row r="705">
      <c r="A705" s="28"/>
      <c r="B705" s="28"/>
    </row>
    <row r="706">
      <c r="A706" s="28"/>
      <c r="B706" s="28"/>
    </row>
    <row r="707">
      <c r="A707" s="28"/>
      <c r="B707" s="28"/>
    </row>
    <row r="708">
      <c r="A708" s="28"/>
      <c r="B708" s="28"/>
    </row>
    <row r="709">
      <c r="A709" s="28"/>
      <c r="B709" s="28"/>
    </row>
    <row r="710">
      <c r="A710" s="28"/>
      <c r="B710" s="28"/>
    </row>
    <row r="711">
      <c r="A711" s="28"/>
      <c r="B711" s="28"/>
    </row>
    <row r="712">
      <c r="A712" s="28"/>
      <c r="B712" s="28"/>
    </row>
    <row r="713">
      <c r="A713" s="28"/>
      <c r="B713" s="28"/>
    </row>
    <row r="714">
      <c r="A714" s="28"/>
      <c r="B714" s="28"/>
    </row>
    <row r="715">
      <c r="A715" s="28"/>
      <c r="B715" s="28"/>
    </row>
    <row r="716">
      <c r="A716" s="28"/>
      <c r="B716" s="28"/>
    </row>
    <row r="717">
      <c r="A717" s="28"/>
      <c r="B717" s="28"/>
    </row>
    <row r="718">
      <c r="A718" s="28"/>
      <c r="B718" s="28"/>
    </row>
    <row r="719">
      <c r="A719" s="28"/>
      <c r="B719" s="28"/>
    </row>
    <row r="720">
      <c r="A720" s="28"/>
      <c r="B720" s="28"/>
    </row>
    <row r="721">
      <c r="A721" s="28"/>
      <c r="B721" s="28"/>
    </row>
    <row r="722">
      <c r="A722" s="28"/>
      <c r="B722" s="28"/>
    </row>
    <row r="723">
      <c r="A723" s="28"/>
      <c r="B723" s="28"/>
    </row>
    <row r="724">
      <c r="A724" s="28"/>
      <c r="B724" s="28"/>
    </row>
    <row r="725">
      <c r="A725" s="28"/>
      <c r="B725" s="28"/>
    </row>
    <row r="726">
      <c r="A726" s="28"/>
      <c r="B726" s="28"/>
    </row>
    <row r="727">
      <c r="A727" s="28"/>
      <c r="B727" s="28"/>
    </row>
    <row r="728">
      <c r="A728" s="28"/>
      <c r="B728" s="28"/>
    </row>
    <row r="729">
      <c r="A729" s="28"/>
      <c r="B729" s="28"/>
    </row>
    <row r="730">
      <c r="A730" s="28"/>
      <c r="B730" s="28"/>
    </row>
    <row r="731">
      <c r="A731" s="28"/>
      <c r="B731" s="28"/>
    </row>
    <row r="732">
      <c r="A732" s="28"/>
      <c r="B732" s="28"/>
    </row>
    <row r="733">
      <c r="A733" s="28"/>
      <c r="B733" s="28"/>
    </row>
    <row r="734">
      <c r="A734" s="28"/>
      <c r="B734" s="28"/>
    </row>
    <row r="735">
      <c r="A735" s="28"/>
      <c r="B735" s="28"/>
    </row>
    <row r="736">
      <c r="A736" s="28"/>
      <c r="B736" s="28"/>
    </row>
    <row r="737">
      <c r="A737" s="28"/>
      <c r="B737" s="28"/>
    </row>
    <row r="738">
      <c r="A738" s="28"/>
      <c r="B738" s="28"/>
    </row>
    <row r="739">
      <c r="A739" s="28"/>
      <c r="B739" s="28"/>
    </row>
    <row r="740">
      <c r="A740" s="28"/>
      <c r="B740" s="28"/>
    </row>
    <row r="741">
      <c r="A741" s="28"/>
      <c r="B741" s="28"/>
    </row>
    <row r="742">
      <c r="A742" s="28"/>
      <c r="B742" s="28"/>
    </row>
    <row r="743">
      <c r="A743" s="28"/>
      <c r="B743" s="28"/>
    </row>
    <row r="744">
      <c r="A744" s="28"/>
      <c r="B744" s="28"/>
    </row>
    <row r="745">
      <c r="A745" s="28"/>
      <c r="B745" s="28"/>
    </row>
    <row r="746">
      <c r="A746" s="28"/>
      <c r="B746" s="28"/>
    </row>
    <row r="747">
      <c r="A747" s="28"/>
      <c r="B747" s="28"/>
    </row>
    <row r="748">
      <c r="A748" s="28"/>
      <c r="B748" s="28"/>
    </row>
    <row r="749">
      <c r="A749" s="28"/>
      <c r="B749" s="28"/>
    </row>
    <row r="750">
      <c r="A750" s="28"/>
      <c r="B750" s="28"/>
    </row>
    <row r="751">
      <c r="A751" s="28"/>
      <c r="B751" s="28"/>
    </row>
    <row r="752">
      <c r="A752" s="28"/>
      <c r="B752" s="28"/>
    </row>
    <row r="753">
      <c r="A753" s="28"/>
      <c r="B753" s="28"/>
    </row>
    <row r="754">
      <c r="A754" s="28"/>
      <c r="B754" s="28"/>
    </row>
    <row r="755">
      <c r="A755" s="28"/>
      <c r="B755" s="28"/>
    </row>
    <row r="756">
      <c r="A756" s="28"/>
      <c r="B756" s="28"/>
    </row>
    <row r="757">
      <c r="A757" s="28"/>
      <c r="B757" s="28"/>
    </row>
    <row r="758">
      <c r="A758" s="28"/>
      <c r="B758" s="28"/>
    </row>
    <row r="759">
      <c r="A759" s="28"/>
      <c r="B759" s="28"/>
    </row>
    <row r="760">
      <c r="A760" s="28"/>
      <c r="B760" s="28"/>
    </row>
    <row r="761">
      <c r="A761" s="28"/>
      <c r="B761" s="28"/>
    </row>
    <row r="762">
      <c r="A762" s="28"/>
      <c r="B762" s="28"/>
    </row>
    <row r="763">
      <c r="A763" s="28"/>
      <c r="B763" s="28"/>
    </row>
    <row r="764">
      <c r="A764" s="28"/>
      <c r="B764" s="28"/>
    </row>
    <row r="765">
      <c r="A765" s="28"/>
      <c r="B765" s="28"/>
    </row>
    <row r="766">
      <c r="A766" s="28"/>
      <c r="B766" s="28"/>
    </row>
    <row r="767">
      <c r="A767" s="28"/>
      <c r="B767" s="28"/>
    </row>
    <row r="768">
      <c r="A768" s="28"/>
      <c r="B768" s="28"/>
    </row>
    <row r="769">
      <c r="A769" s="28"/>
      <c r="B769" s="28"/>
    </row>
    <row r="770">
      <c r="A770" s="28"/>
      <c r="B770" s="28"/>
    </row>
    <row r="771">
      <c r="A771" s="28"/>
      <c r="B771" s="28"/>
    </row>
    <row r="772">
      <c r="A772" s="28"/>
      <c r="B772" s="28"/>
    </row>
    <row r="773">
      <c r="A773" s="28"/>
      <c r="B773" s="28"/>
    </row>
    <row r="774">
      <c r="A774" s="28"/>
      <c r="B774" s="28"/>
    </row>
    <row r="775">
      <c r="A775" s="28"/>
      <c r="B775" s="28"/>
    </row>
    <row r="776">
      <c r="A776" s="28"/>
      <c r="B776" s="28"/>
    </row>
    <row r="777">
      <c r="A777" s="28"/>
      <c r="B777" s="28"/>
    </row>
    <row r="778">
      <c r="A778" s="28"/>
      <c r="B778" s="28"/>
    </row>
    <row r="779">
      <c r="A779" s="28"/>
      <c r="B779" s="28"/>
    </row>
    <row r="780">
      <c r="A780" s="28"/>
      <c r="B780" s="28"/>
    </row>
    <row r="781">
      <c r="A781" s="28"/>
      <c r="B781" s="28"/>
    </row>
    <row r="782">
      <c r="A782" s="28"/>
      <c r="B782" s="28"/>
    </row>
    <row r="783">
      <c r="A783" s="28"/>
      <c r="B783" s="28"/>
    </row>
    <row r="784">
      <c r="A784" s="28"/>
      <c r="B784" s="28"/>
    </row>
    <row r="785">
      <c r="A785" s="28"/>
      <c r="B785" s="28"/>
    </row>
    <row r="786">
      <c r="A786" s="28"/>
      <c r="B786" s="28"/>
    </row>
    <row r="787">
      <c r="A787" s="28"/>
      <c r="B787" s="28"/>
    </row>
    <row r="788">
      <c r="A788" s="28"/>
      <c r="B788" s="28"/>
    </row>
    <row r="789">
      <c r="A789" s="28"/>
      <c r="B789" s="28"/>
    </row>
    <row r="790">
      <c r="A790" s="28"/>
      <c r="B790" s="28"/>
    </row>
    <row r="791">
      <c r="A791" s="28"/>
      <c r="B791" s="28"/>
    </row>
    <row r="792">
      <c r="A792" s="28"/>
      <c r="B792" s="28"/>
    </row>
    <row r="793">
      <c r="A793" s="28"/>
      <c r="B793" s="28"/>
    </row>
    <row r="794">
      <c r="A794" s="28"/>
      <c r="B794" s="28"/>
    </row>
    <row r="795">
      <c r="A795" s="28"/>
      <c r="B795" s="28"/>
    </row>
    <row r="796">
      <c r="A796" s="28"/>
      <c r="B796" s="28"/>
    </row>
    <row r="797">
      <c r="A797" s="28"/>
      <c r="B797" s="28"/>
    </row>
    <row r="798">
      <c r="A798" s="28"/>
      <c r="B798" s="28"/>
    </row>
    <row r="799">
      <c r="A799" s="28"/>
      <c r="B799" s="28"/>
    </row>
    <row r="800">
      <c r="A800" s="28"/>
      <c r="B800" s="28"/>
    </row>
    <row r="801">
      <c r="A801" s="28"/>
      <c r="B801" s="28"/>
    </row>
    <row r="802">
      <c r="A802" s="28"/>
      <c r="B802" s="28"/>
    </row>
    <row r="803">
      <c r="A803" s="28"/>
      <c r="B803" s="28"/>
    </row>
    <row r="804">
      <c r="A804" s="28"/>
      <c r="B804" s="28"/>
    </row>
    <row r="805">
      <c r="A805" s="28"/>
      <c r="B805" s="28"/>
    </row>
    <row r="806">
      <c r="A806" s="28"/>
      <c r="B806" s="28"/>
    </row>
    <row r="807">
      <c r="A807" s="28"/>
      <c r="B807" s="28"/>
    </row>
    <row r="808">
      <c r="A808" s="28"/>
      <c r="B808" s="28"/>
    </row>
    <row r="809">
      <c r="A809" s="28"/>
      <c r="B809" s="28"/>
    </row>
    <row r="810">
      <c r="A810" s="28"/>
      <c r="B810" s="28"/>
    </row>
    <row r="811">
      <c r="A811" s="28"/>
      <c r="B811" s="28"/>
    </row>
    <row r="812">
      <c r="A812" s="28"/>
      <c r="B812" s="28"/>
    </row>
    <row r="813">
      <c r="A813" s="28"/>
      <c r="B813" s="28"/>
    </row>
    <row r="814">
      <c r="A814" s="28"/>
      <c r="B814" s="28"/>
    </row>
    <row r="815">
      <c r="A815" s="28"/>
      <c r="B815" s="28"/>
    </row>
    <row r="816">
      <c r="A816" s="28"/>
      <c r="B816" s="28"/>
    </row>
    <row r="817">
      <c r="A817" s="28"/>
      <c r="B817" s="28"/>
    </row>
    <row r="818">
      <c r="A818" s="28"/>
      <c r="B818" s="28"/>
    </row>
    <row r="819">
      <c r="A819" s="28"/>
      <c r="B819" s="28"/>
    </row>
    <row r="820">
      <c r="A820" s="28"/>
      <c r="B820" s="28"/>
    </row>
    <row r="821">
      <c r="A821" s="28"/>
      <c r="B821" s="28"/>
    </row>
    <row r="822">
      <c r="A822" s="28"/>
      <c r="B822" s="28"/>
    </row>
    <row r="823">
      <c r="A823" s="28"/>
      <c r="B823" s="28"/>
    </row>
    <row r="824">
      <c r="A824" s="28"/>
      <c r="B824" s="28"/>
    </row>
    <row r="825">
      <c r="A825" s="28"/>
      <c r="B825" s="28"/>
    </row>
    <row r="826">
      <c r="A826" s="28"/>
      <c r="B826" s="28"/>
    </row>
    <row r="827">
      <c r="A827" s="28"/>
      <c r="B827" s="28"/>
    </row>
    <row r="828">
      <c r="A828" s="28"/>
      <c r="B828" s="28"/>
    </row>
    <row r="829">
      <c r="A829" s="28"/>
      <c r="B829" s="28"/>
    </row>
    <row r="830">
      <c r="A830" s="28"/>
      <c r="B830" s="28"/>
    </row>
    <row r="831">
      <c r="A831" s="28"/>
      <c r="B831" s="28"/>
    </row>
    <row r="832">
      <c r="A832" s="28"/>
      <c r="B832" s="28"/>
    </row>
    <row r="833">
      <c r="A833" s="28"/>
      <c r="B833" s="28"/>
    </row>
    <row r="834">
      <c r="A834" s="28"/>
      <c r="B834" s="28"/>
    </row>
    <row r="835">
      <c r="A835" s="28"/>
      <c r="B835" s="28"/>
    </row>
    <row r="836">
      <c r="A836" s="28"/>
      <c r="B836" s="28"/>
    </row>
    <row r="837">
      <c r="A837" s="28"/>
      <c r="B837" s="28"/>
    </row>
    <row r="838">
      <c r="A838" s="28"/>
      <c r="B838" s="28"/>
    </row>
    <row r="839">
      <c r="A839" s="28"/>
      <c r="B839" s="28"/>
    </row>
    <row r="840">
      <c r="A840" s="28"/>
      <c r="B840" s="28"/>
    </row>
    <row r="841">
      <c r="A841" s="28"/>
      <c r="B841" s="28"/>
    </row>
    <row r="842">
      <c r="A842" s="28"/>
      <c r="B842" s="28"/>
    </row>
    <row r="843">
      <c r="A843" s="28"/>
      <c r="B843" s="28"/>
    </row>
    <row r="844">
      <c r="A844" s="28"/>
      <c r="B844" s="28"/>
    </row>
    <row r="845">
      <c r="A845" s="28"/>
      <c r="B845" s="28"/>
    </row>
    <row r="846">
      <c r="A846" s="28"/>
      <c r="B846" s="28"/>
    </row>
    <row r="847">
      <c r="A847" s="28"/>
      <c r="B847" s="28"/>
    </row>
    <row r="848">
      <c r="A848" s="28"/>
      <c r="B848" s="28"/>
    </row>
    <row r="849">
      <c r="A849" s="28"/>
      <c r="B849" s="28"/>
    </row>
    <row r="850">
      <c r="A850" s="28"/>
      <c r="B850" s="28"/>
    </row>
    <row r="851">
      <c r="A851" s="28"/>
      <c r="B851" s="28"/>
    </row>
    <row r="852">
      <c r="A852" s="28"/>
      <c r="B852" s="28"/>
    </row>
    <row r="853">
      <c r="A853" s="28"/>
      <c r="B853" s="28"/>
    </row>
    <row r="854">
      <c r="A854" s="28"/>
      <c r="B854" s="28"/>
    </row>
    <row r="855">
      <c r="A855" s="28"/>
      <c r="B855" s="28"/>
    </row>
    <row r="856">
      <c r="A856" s="28"/>
      <c r="B856" s="28"/>
    </row>
    <row r="857">
      <c r="A857" s="28"/>
      <c r="B857" s="28"/>
    </row>
    <row r="858">
      <c r="A858" s="28"/>
      <c r="B858" s="28"/>
    </row>
    <row r="859">
      <c r="A859" s="28"/>
      <c r="B859" s="28"/>
    </row>
    <row r="860">
      <c r="A860" s="28"/>
      <c r="B860" s="28"/>
    </row>
    <row r="861">
      <c r="A861" s="28"/>
      <c r="B861" s="28"/>
    </row>
    <row r="862">
      <c r="A862" s="28"/>
      <c r="B862" s="28"/>
    </row>
    <row r="863">
      <c r="A863" s="28"/>
      <c r="B863" s="28"/>
    </row>
    <row r="864">
      <c r="A864" s="28"/>
      <c r="B864" s="28"/>
    </row>
    <row r="865">
      <c r="A865" s="28"/>
      <c r="B865" s="28"/>
    </row>
    <row r="866">
      <c r="A866" s="28"/>
      <c r="B866" s="28"/>
    </row>
    <row r="867">
      <c r="A867" s="28"/>
      <c r="B867" s="28"/>
    </row>
    <row r="868">
      <c r="A868" s="28"/>
      <c r="B868" s="28"/>
    </row>
    <row r="869">
      <c r="A869" s="28"/>
      <c r="B869" s="28"/>
    </row>
    <row r="870">
      <c r="A870" s="28"/>
      <c r="B870" s="28"/>
    </row>
    <row r="871">
      <c r="A871" s="28"/>
      <c r="B871" s="28"/>
    </row>
    <row r="872">
      <c r="A872" s="28"/>
      <c r="B872" s="28"/>
    </row>
    <row r="873">
      <c r="A873" s="28"/>
      <c r="B873" s="28"/>
    </row>
    <row r="874">
      <c r="A874" s="28"/>
      <c r="B874" s="28"/>
    </row>
    <row r="875">
      <c r="A875" s="28"/>
      <c r="B875" s="28"/>
    </row>
    <row r="876">
      <c r="A876" s="28"/>
      <c r="B876" s="28"/>
    </row>
    <row r="877">
      <c r="A877" s="28"/>
      <c r="B877" s="28"/>
    </row>
    <row r="878">
      <c r="A878" s="28"/>
      <c r="B878" s="28"/>
    </row>
    <row r="879">
      <c r="A879" s="28"/>
      <c r="B879" s="28"/>
    </row>
    <row r="880">
      <c r="A880" s="28"/>
      <c r="B880" s="28"/>
    </row>
    <row r="881">
      <c r="A881" s="28"/>
      <c r="B881" s="28"/>
    </row>
    <row r="882">
      <c r="A882" s="28"/>
      <c r="B882" s="28"/>
    </row>
    <row r="883">
      <c r="A883" s="28"/>
      <c r="B883" s="28"/>
    </row>
    <row r="884">
      <c r="A884" s="28"/>
      <c r="B884" s="28"/>
    </row>
    <row r="885">
      <c r="A885" s="28"/>
      <c r="B885" s="28"/>
    </row>
    <row r="886">
      <c r="A886" s="28"/>
      <c r="B886" s="28"/>
    </row>
    <row r="887">
      <c r="A887" s="28"/>
      <c r="B887" s="28"/>
    </row>
    <row r="888">
      <c r="A888" s="28"/>
      <c r="B888" s="28"/>
    </row>
    <row r="889">
      <c r="A889" s="28"/>
      <c r="B889" s="28"/>
    </row>
    <row r="890">
      <c r="A890" s="28"/>
      <c r="B890" s="28"/>
    </row>
    <row r="891">
      <c r="A891" s="28"/>
      <c r="B891" s="28"/>
    </row>
    <row r="892">
      <c r="A892" s="28"/>
      <c r="B892" s="28"/>
    </row>
    <row r="893">
      <c r="A893" s="28"/>
      <c r="B893" s="28"/>
    </row>
    <row r="894">
      <c r="A894" s="28"/>
      <c r="B894" s="28"/>
    </row>
    <row r="895">
      <c r="A895" s="28"/>
      <c r="B895" s="28"/>
    </row>
    <row r="896">
      <c r="A896" s="28"/>
      <c r="B896" s="28"/>
    </row>
    <row r="897">
      <c r="A897" s="28"/>
      <c r="B897" s="28"/>
    </row>
    <row r="898">
      <c r="A898" s="28"/>
      <c r="B898" s="28"/>
    </row>
    <row r="899">
      <c r="A899" s="28"/>
      <c r="B899" s="28"/>
    </row>
    <row r="900">
      <c r="A900" s="28"/>
      <c r="B900" s="28"/>
    </row>
    <row r="901">
      <c r="A901" s="28"/>
      <c r="B901" s="28"/>
    </row>
    <row r="902">
      <c r="A902" s="28"/>
      <c r="B902" s="28"/>
    </row>
    <row r="903">
      <c r="A903" s="28"/>
      <c r="B903" s="28"/>
    </row>
    <row r="904">
      <c r="A904" s="28"/>
      <c r="B904" s="28"/>
    </row>
    <row r="905">
      <c r="A905" s="28"/>
      <c r="B905" s="28"/>
    </row>
    <row r="906">
      <c r="A906" s="28"/>
      <c r="B906" s="28"/>
    </row>
    <row r="907">
      <c r="A907" s="28"/>
      <c r="B907" s="28"/>
    </row>
    <row r="908">
      <c r="A908" s="28"/>
      <c r="B908" s="28"/>
    </row>
    <row r="909">
      <c r="A909" s="28"/>
      <c r="B909" s="28"/>
    </row>
    <row r="910">
      <c r="A910" s="28"/>
      <c r="B910" s="28"/>
    </row>
    <row r="911">
      <c r="A911" s="28"/>
      <c r="B911" s="28"/>
    </row>
    <row r="912">
      <c r="A912" s="28"/>
      <c r="B912" s="28"/>
    </row>
    <row r="913">
      <c r="A913" s="28"/>
      <c r="B913" s="28"/>
    </row>
    <row r="914">
      <c r="A914" s="28"/>
      <c r="B914" s="28"/>
    </row>
    <row r="915">
      <c r="A915" s="28"/>
      <c r="B915" s="28"/>
    </row>
    <row r="916">
      <c r="A916" s="28"/>
      <c r="B916" s="28"/>
    </row>
    <row r="917">
      <c r="A917" s="28"/>
      <c r="B917" s="28"/>
    </row>
    <row r="918">
      <c r="A918" s="28"/>
      <c r="B918" s="28"/>
    </row>
    <row r="919">
      <c r="A919" s="28"/>
      <c r="B919" s="28"/>
    </row>
    <row r="920">
      <c r="A920" s="28"/>
      <c r="B920" s="28"/>
    </row>
    <row r="921">
      <c r="A921" s="28"/>
      <c r="B921" s="28"/>
    </row>
    <row r="922">
      <c r="A922" s="28"/>
      <c r="B922" s="28"/>
    </row>
    <row r="923">
      <c r="A923" s="28"/>
      <c r="B923" s="28"/>
    </row>
    <row r="924">
      <c r="A924" s="28"/>
      <c r="B924" s="28"/>
    </row>
    <row r="925">
      <c r="A925" s="28"/>
      <c r="B925" s="28"/>
    </row>
    <row r="926">
      <c r="A926" s="28"/>
      <c r="B926" s="28"/>
    </row>
    <row r="927">
      <c r="A927" s="28"/>
      <c r="B927" s="28"/>
    </row>
    <row r="928">
      <c r="A928" s="28"/>
      <c r="B928" s="28"/>
    </row>
    <row r="929">
      <c r="A929" s="28"/>
      <c r="B929" s="28"/>
    </row>
    <row r="930">
      <c r="A930" s="28"/>
      <c r="B930" s="28"/>
    </row>
    <row r="931">
      <c r="A931" s="28"/>
      <c r="B931" s="28"/>
    </row>
    <row r="932">
      <c r="A932" s="28"/>
      <c r="B932" s="28"/>
    </row>
    <row r="933">
      <c r="A933" s="28"/>
      <c r="B933" s="28"/>
    </row>
    <row r="934">
      <c r="A934" s="28"/>
      <c r="B934" s="28"/>
    </row>
    <row r="935">
      <c r="A935" s="28"/>
      <c r="B935" s="28"/>
    </row>
    <row r="936">
      <c r="A936" s="28"/>
      <c r="B936" s="28"/>
    </row>
    <row r="937">
      <c r="A937" s="28"/>
      <c r="B937" s="28"/>
    </row>
    <row r="938">
      <c r="A938" s="28"/>
      <c r="B938" s="28"/>
    </row>
    <row r="939">
      <c r="A939" s="28"/>
      <c r="B939" s="28"/>
    </row>
    <row r="940">
      <c r="A940" s="28"/>
      <c r="B940" s="28"/>
    </row>
    <row r="941">
      <c r="A941" s="28"/>
      <c r="B941" s="28"/>
    </row>
    <row r="942">
      <c r="A942" s="28"/>
      <c r="B942" s="28"/>
    </row>
    <row r="943">
      <c r="A943" s="28"/>
      <c r="B943" s="28"/>
    </row>
    <row r="944">
      <c r="A944" s="28"/>
      <c r="B944" s="28"/>
    </row>
    <row r="945">
      <c r="A945" s="28"/>
      <c r="B945" s="28"/>
    </row>
    <row r="946">
      <c r="A946" s="28"/>
      <c r="B946" s="28"/>
    </row>
    <row r="947">
      <c r="A947" s="28"/>
      <c r="B947" s="28"/>
    </row>
    <row r="948">
      <c r="A948" s="28"/>
      <c r="B948" s="28"/>
    </row>
    <row r="949">
      <c r="A949" s="28"/>
      <c r="B949" s="28"/>
    </row>
    <row r="950">
      <c r="A950" s="28"/>
      <c r="B950" s="28"/>
    </row>
    <row r="951">
      <c r="A951" s="28"/>
      <c r="B951" s="28"/>
    </row>
    <row r="952">
      <c r="A952" s="28"/>
      <c r="B952" s="28"/>
    </row>
    <row r="953">
      <c r="A953" s="28"/>
      <c r="B953" s="28"/>
    </row>
    <row r="954">
      <c r="A954" s="28"/>
      <c r="B954" s="28"/>
    </row>
    <row r="955">
      <c r="A955" s="28"/>
      <c r="B955" s="28"/>
    </row>
    <row r="956">
      <c r="A956" s="28"/>
      <c r="B956" s="28"/>
    </row>
    <row r="957">
      <c r="A957" s="28"/>
      <c r="B957" s="28"/>
    </row>
    <row r="958">
      <c r="A958" s="28"/>
      <c r="B958" s="28"/>
    </row>
    <row r="959">
      <c r="A959" s="28"/>
      <c r="B959" s="28"/>
    </row>
    <row r="960">
      <c r="A960" s="28"/>
      <c r="B960" s="28"/>
    </row>
    <row r="961">
      <c r="A961" s="28"/>
      <c r="B961" s="28"/>
    </row>
    <row r="962">
      <c r="A962" s="28"/>
      <c r="B962" s="28"/>
    </row>
    <row r="963">
      <c r="A963" s="28"/>
      <c r="B963" s="28"/>
    </row>
    <row r="964">
      <c r="A964" s="28"/>
      <c r="B964" s="28"/>
    </row>
    <row r="965">
      <c r="A965" s="28"/>
      <c r="B965" s="28"/>
    </row>
    <row r="966">
      <c r="A966" s="28"/>
      <c r="B966" s="28"/>
    </row>
    <row r="967">
      <c r="A967" s="28"/>
      <c r="B967" s="28"/>
    </row>
    <row r="968">
      <c r="A968" s="28"/>
      <c r="B968" s="28"/>
    </row>
    <row r="969">
      <c r="A969" s="28"/>
      <c r="B969" s="28"/>
    </row>
    <row r="970">
      <c r="A970" s="28"/>
      <c r="B970" s="28"/>
    </row>
    <row r="971">
      <c r="A971" s="28"/>
      <c r="B971" s="28"/>
    </row>
    <row r="972">
      <c r="A972" s="28"/>
      <c r="B972" s="28"/>
    </row>
    <row r="973">
      <c r="A973" s="28"/>
      <c r="B973" s="28"/>
    </row>
    <row r="974">
      <c r="A974" s="28"/>
      <c r="B974" s="28"/>
    </row>
    <row r="975">
      <c r="A975" s="28"/>
      <c r="B975" s="28"/>
    </row>
    <row r="976">
      <c r="A976" s="28"/>
      <c r="B976" s="28"/>
    </row>
    <row r="977">
      <c r="A977" s="28"/>
      <c r="B977" s="28"/>
    </row>
    <row r="978">
      <c r="A978" s="28"/>
      <c r="B978" s="28"/>
    </row>
    <row r="979">
      <c r="A979" s="28"/>
      <c r="B979" s="28"/>
    </row>
    <row r="980">
      <c r="A980" s="28"/>
      <c r="B980" s="28"/>
    </row>
    <row r="981">
      <c r="A981" s="28"/>
      <c r="B981" s="28"/>
    </row>
    <row r="982">
      <c r="A982" s="28"/>
      <c r="B982" s="28"/>
    </row>
    <row r="983">
      <c r="A983" s="28"/>
      <c r="B983" s="28"/>
    </row>
    <row r="984">
      <c r="A984" s="28"/>
      <c r="B984" s="28"/>
    </row>
    <row r="985">
      <c r="A985" s="28"/>
      <c r="B985" s="28"/>
    </row>
    <row r="986">
      <c r="A986" s="28"/>
      <c r="B986" s="28"/>
    </row>
    <row r="987">
      <c r="A987" s="28"/>
      <c r="B987" s="28"/>
    </row>
    <row r="988">
      <c r="A988" s="28"/>
      <c r="B988" s="28"/>
    </row>
    <row r="989">
      <c r="A989" s="28"/>
      <c r="B989" s="28"/>
    </row>
    <row r="990">
      <c r="A990" s="28"/>
      <c r="B990" s="28"/>
    </row>
    <row r="991">
      <c r="A991" s="28"/>
      <c r="B991" s="28"/>
    </row>
    <row r="992">
      <c r="A992" s="28"/>
      <c r="B992" s="28"/>
    </row>
    <row r="993">
      <c r="A993" s="28"/>
      <c r="B993" s="28"/>
    </row>
    <row r="994">
      <c r="A994" s="28"/>
      <c r="B994" s="28"/>
    </row>
    <row r="995">
      <c r="A995" s="28"/>
      <c r="B995" s="28"/>
    </row>
    <row r="996">
      <c r="A996" s="28"/>
      <c r="B996" s="28"/>
    </row>
    <row r="997">
      <c r="A997" s="28"/>
      <c r="B997" s="28"/>
    </row>
    <row r="998">
      <c r="A998" s="28"/>
      <c r="B998" s="28"/>
    </row>
    <row r="999">
      <c r="A999" s="28"/>
      <c r="B999" s="28"/>
    </row>
    <row r="1000">
      <c r="A1000" s="28"/>
      <c r="B1000" s="28"/>
    </row>
    <row r="1001">
      <c r="A1001" s="28"/>
      <c r="B1001" s="28"/>
    </row>
    <row r="1002">
      <c r="A1002" s="28"/>
      <c r="B1002" s="28"/>
    </row>
    <row r="1003">
      <c r="A1003" s="28"/>
      <c r="B1003" s="28"/>
    </row>
    <row r="1004">
      <c r="A1004" s="28"/>
      <c r="B1004" s="28"/>
    </row>
    <row r="1005">
      <c r="A1005" s="28"/>
      <c r="B1005" s="28"/>
    </row>
    <row r="1006">
      <c r="A1006" s="28"/>
      <c r="B1006" s="28"/>
    </row>
    <row r="1007">
      <c r="A1007" s="28"/>
      <c r="B1007" s="28"/>
    </row>
    <row r="1008">
      <c r="A1008" s="28"/>
      <c r="B1008" s="28"/>
    </row>
    <row r="1009">
      <c r="A1009" s="28"/>
      <c r="B1009" s="28"/>
    </row>
    <row r="1010">
      <c r="A1010" s="28"/>
      <c r="B1010" s="28"/>
    </row>
    <row r="1011">
      <c r="A1011" s="28"/>
      <c r="B1011" s="28"/>
    </row>
    <row r="1012">
      <c r="A1012" s="28"/>
      <c r="B1012" s="28"/>
    </row>
    <row r="1013">
      <c r="A1013" s="28"/>
      <c r="B1013" s="28"/>
    </row>
    <row r="1014">
      <c r="A1014" s="28"/>
      <c r="B1014" s="28"/>
    </row>
    <row r="1015">
      <c r="A1015" s="28"/>
      <c r="B1015" s="28"/>
    </row>
    <row r="1016">
      <c r="A1016" s="28"/>
      <c r="B1016" s="28"/>
    </row>
    <row r="1017">
      <c r="A1017" s="28"/>
      <c r="B1017" s="28"/>
    </row>
    <row r="1018">
      <c r="A1018" s="28"/>
      <c r="B1018" s="28"/>
    </row>
    <row r="1019">
      <c r="A1019" s="28"/>
      <c r="B1019" s="28"/>
    </row>
    <row r="1020">
      <c r="A1020" s="28"/>
      <c r="B1020" s="28"/>
    </row>
    <row r="1021">
      <c r="A1021" s="28"/>
      <c r="B1021" s="28"/>
    </row>
    <row r="1022">
      <c r="A1022" s="28"/>
      <c r="B1022" s="28"/>
    </row>
    <row r="1023">
      <c r="A1023" s="28"/>
      <c r="B1023" s="28"/>
    </row>
    <row r="1024">
      <c r="A1024" s="28"/>
      <c r="B1024" s="28"/>
    </row>
    <row r="1025">
      <c r="A1025" s="28"/>
      <c r="B1025" s="28"/>
    </row>
    <row r="1026">
      <c r="A1026" s="28"/>
      <c r="B1026" s="28"/>
    </row>
    <row r="1027">
      <c r="A1027" s="28"/>
      <c r="B1027" s="28"/>
    </row>
    <row r="1028">
      <c r="A1028" s="28"/>
      <c r="B1028" s="28"/>
    </row>
    <row r="1029">
      <c r="A1029" s="28"/>
      <c r="B1029" s="28"/>
    </row>
    <row r="1030">
      <c r="A1030" s="28"/>
      <c r="B1030" s="28"/>
    </row>
    <row r="1031">
      <c r="A1031" s="28"/>
      <c r="B1031" s="28"/>
    </row>
    <row r="1032">
      <c r="A1032" s="28"/>
      <c r="B1032" s="28"/>
    </row>
    <row r="1033">
      <c r="A1033" s="28"/>
      <c r="B1033" s="28"/>
    </row>
    <row r="1034">
      <c r="A1034" s="28"/>
      <c r="B1034" s="28"/>
    </row>
    <row r="1035">
      <c r="A1035" s="28"/>
      <c r="B1035" s="28"/>
    </row>
    <row r="1036">
      <c r="A1036" s="28"/>
      <c r="B1036" s="28"/>
    </row>
    <row r="1037">
      <c r="A1037" s="28"/>
      <c r="B1037" s="28"/>
    </row>
    <row r="1038">
      <c r="A1038" s="28"/>
      <c r="B1038" s="28"/>
    </row>
    <row r="1039">
      <c r="A1039" s="28"/>
      <c r="B1039" s="28"/>
    </row>
    <row r="1040">
      <c r="A1040" s="28"/>
      <c r="B1040" s="28"/>
    </row>
    <row r="1041">
      <c r="A1041" s="28"/>
      <c r="B1041" s="28"/>
    </row>
    <row r="1042">
      <c r="A1042" s="28"/>
      <c r="B1042" s="28"/>
    </row>
    <row r="1043">
      <c r="A1043" s="28"/>
      <c r="B1043" s="28"/>
    </row>
    <row r="1044">
      <c r="A1044" s="28"/>
      <c r="B1044" s="28"/>
    </row>
    <row r="1045">
      <c r="A1045" s="28"/>
      <c r="B1045" s="28"/>
    </row>
    <row r="1046">
      <c r="A1046" s="28"/>
      <c r="B1046" s="28"/>
    </row>
    <row r="1047">
      <c r="A1047" s="28"/>
      <c r="B1047" s="28"/>
    </row>
    <row r="1048">
      <c r="A1048" s="28"/>
      <c r="B1048" s="28"/>
    </row>
    <row r="1049">
      <c r="A1049" s="28"/>
      <c r="B1049" s="28"/>
    </row>
    <row r="1050">
      <c r="A1050" s="28"/>
      <c r="B1050" s="28"/>
    </row>
    <row r="1051">
      <c r="A1051" s="28"/>
      <c r="B1051" s="28"/>
    </row>
    <row r="1052">
      <c r="A1052" s="28"/>
      <c r="B1052" s="28"/>
    </row>
    <row r="1053">
      <c r="A1053" s="28"/>
      <c r="B1053" s="28"/>
    </row>
    <row r="1054">
      <c r="A1054" s="28"/>
      <c r="B1054" s="28"/>
    </row>
    <row r="1055">
      <c r="A1055" s="28"/>
      <c r="B1055" s="28"/>
    </row>
    <row r="1056">
      <c r="A1056" s="28"/>
      <c r="B1056" s="28"/>
    </row>
    <row r="1057">
      <c r="A1057" s="28"/>
      <c r="B1057" s="28"/>
    </row>
    <row r="1058">
      <c r="A1058" s="28"/>
      <c r="B1058" s="28"/>
    </row>
    <row r="1059">
      <c r="A1059" s="28"/>
      <c r="B1059" s="28"/>
    </row>
    <row r="1060">
      <c r="A1060" s="28"/>
      <c r="B1060" s="28"/>
    </row>
    <row r="1061">
      <c r="A1061" s="28"/>
      <c r="B1061" s="28"/>
    </row>
    <row r="1062">
      <c r="A1062" s="28"/>
      <c r="B1062" s="28"/>
    </row>
    <row r="1063">
      <c r="A1063" s="28"/>
      <c r="B1063" s="28"/>
    </row>
    <row r="1064">
      <c r="A1064" s="28"/>
      <c r="B1064" s="28"/>
    </row>
    <row r="1065">
      <c r="A1065" s="28"/>
      <c r="B1065" s="28"/>
    </row>
    <row r="1066">
      <c r="A1066" s="28"/>
      <c r="B1066" s="28"/>
    </row>
    <row r="1067">
      <c r="A1067" s="28"/>
      <c r="B1067" s="28"/>
    </row>
    <row r="1068">
      <c r="A1068" s="28"/>
      <c r="B1068" s="28"/>
    </row>
    <row r="1069">
      <c r="A1069" s="28"/>
      <c r="B1069" s="28"/>
    </row>
    <row r="1070">
      <c r="A1070" s="28"/>
      <c r="B1070" s="28"/>
    </row>
    <row r="1071">
      <c r="A1071" s="28"/>
      <c r="B1071" s="28"/>
    </row>
    <row r="1072">
      <c r="A1072" s="28"/>
      <c r="B1072" s="28"/>
    </row>
    <row r="1073">
      <c r="A1073" s="28"/>
      <c r="B1073" s="28"/>
    </row>
    <row r="1074">
      <c r="A1074" s="28"/>
      <c r="B1074" s="28"/>
    </row>
    <row r="1075">
      <c r="A1075" s="28"/>
      <c r="B1075" s="28"/>
    </row>
    <row r="1076">
      <c r="A1076" s="28"/>
      <c r="B1076" s="28"/>
    </row>
    <row r="1077">
      <c r="A1077" s="28"/>
      <c r="B1077" s="28"/>
    </row>
    <row r="1078">
      <c r="A1078" s="28"/>
      <c r="B1078" s="28"/>
    </row>
    <row r="1079">
      <c r="A1079" s="28"/>
      <c r="B1079" s="28"/>
    </row>
    <row r="1080">
      <c r="A1080" s="28"/>
      <c r="B1080" s="28"/>
    </row>
    <row r="1081">
      <c r="A1081" s="28"/>
      <c r="B1081" s="28"/>
    </row>
    <row r="1082">
      <c r="A1082" s="28"/>
      <c r="B1082" s="28"/>
    </row>
    <row r="1083">
      <c r="A1083" s="28"/>
      <c r="B1083" s="28"/>
    </row>
    <row r="1084">
      <c r="A1084" s="28"/>
      <c r="B1084" s="28"/>
    </row>
    <row r="1085">
      <c r="A1085" s="28"/>
      <c r="B1085" s="28"/>
    </row>
    <row r="1086">
      <c r="A1086" s="28"/>
      <c r="B1086" s="28"/>
    </row>
    <row r="1087">
      <c r="A1087" s="28"/>
      <c r="B1087" s="28"/>
    </row>
    <row r="1088">
      <c r="A1088" s="28"/>
      <c r="B1088" s="28"/>
    </row>
    <row r="1089">
      <c r="A1089" s="28"/>
      <c r="B1089" s="28"/>
    </row>
    <row r="1090">
      <c r="A1090" s="28"/>
      <c r="B1090" s="28"/>
    </row>
    <row r="1091">
      <c r="A1091" s="28"/>
      <c r="B1091" s="28"/>
    </row>
    <row r="1092">
      <c r="A1092" s="28"/>
      <c r="B1092" s="28"/>
    </row>
    <row r="1093">
      <c r="A1093" s="28"/>
      <c r="B1093" s="28"/>
    </row>
    <row r="1094">
      <c r="A1094" s="28"/>
      <c r="B1094" s="28"/>
    </row>
    <row r="1095">
      <c r="A1095" s="28"/>
      <c r="B1095" s="28"/>
    </row>
    <row r="1096">
      <c r="A1096" s="28"/>
      <c r="B1096" s="28"/>
    </row>
    <row r="1097">
      <c r="A1097" s="28"/>
      <c r="B1097" s="28"/>
    </row>
    <row r="1098">
      <c r="A1098" s="28"/>
      <c r="B1098" s="28"/>
    </row>
    <row r="1099">
      <c r="A1099" s="28"/>
      <c r="B1099" s="28"/>
    </row>
    <row r="1100">
      <c r="A1100" s="28"/>
      <c r="B1100" s="28"/>
    </row>
    <row r="1101">
      <c r="A1101" s="28"/>
      <c r="B1101" s="28"/>
    </row>
    <row r="1102">
      <c r="A1102" s="28"/>
      <c r="B1102" s="28"/>
    </row>
    <row r="1103">
      <c r="A1103" s="28"/>
      <c r="B1103" s="28"/>
    </row>
    <row r="1104">
      <c r="A1104" s="28"/>
      <c r="B1104" s="28"/>
    </row>
    <row r="1105">
      <c r="A1105" s="28"/>
      <c r="B1105" s="28"/>
    </row>
    <row r="1106">
      <c r="A1106" s="28"/>
      <c r="B1106" s="28"/>
    </row>
    <row r="1107">
      <c r="A1107" s="28"/>
      <c r="B1107" s="28"/>
    </row>
    <row r="1108">
      <c r="A1108" s="28"/>
      <c r="B1108" s="28"/>
    </row>
    <row r="1109">
      <c r="A1109" s="28"/>
      <c r="B1109" s="28"/>
    </row>
    <row r="1110">
      <c r="A1110" s="28"/>
      <c r="B1110" s="28"/>
    </row>
    <row r="1111">
      <c r="A1111" s="28"/>
      <c r="B1111" s="28"/>
    </row>
    <row r="1112">
      <c r="A1112" s="28"/>
      <c r="B1112" s="28"/>
    </row>
    <row r="1113">
      <c r="A1113" s="28"/>
      <c r="B1113" s="28"/>
    </row>
    <row r="1114">
      <c r="A1114" s="28"/>
      <c r="B1114" s="28"/>
    </row>
    <row r="1115">
      <c r="A1115" s="28"/>
      <c r="B1115" s="28"/>
    </row>
    <row r="1116">
      <c r="A1116" s="28"/>
      <c r="B1116" s="28"/>
    </row>
    <row r="1117">
      <c r="A1117" s="28"/>
      <c r="B1117" s="28"/>
    </row>
    <row r="1118">
      <c r="A1118" s="28"/>
      <c r="B1118" s="28"/>
    </row>
    <row r="1119">
      <c r="A1119" s="28"/>
      <c r="B1119" s="28"/>
    </row>
    <row r="1120">
      <c r="A1120" s="28"/>
      <c r="B1120" s="28"/>
    </row>
    <row r="1121">
      <c r="A1121" s="28"/>
      <c r="B1121" s="28"/>
    </row>
    <row r="1122">
      <c r="A1122" s="28"/>
      <c r="B1122" s="28"/>
    </row>
    <row r="1123">
      <c r="A1123" s="28"/>
      <c r="B1123" s="28"/>
    </row>
    <row r="1124">
      <c r="A1124" s="28"/>
      <c r="B1124" s="28"/>
    </row>
    <row r="1125">
      <c r="A1125" s="28"/>
      <c r="B1125" s="28"/>
    </row>
    <row r="1126">
      <c r="A1126" s="28"/>
      <c r="B1126" s="28"/>
    </row>
    <row r="1127">
      <c r="A1127" s="28"/>
      <c r="B1127" s="28"/>
    </row>
    <row r="1128">
      <c r="A1128" s="28"/>
      <c r="B1128" s="28"/>
    </row>
    <row r="1129">
      <c r="A1129" s="28"/>
      <c r="B1129" s="28"/>
    </row>
    <row r="1130">
      <c r="A1130" s="28"/>
      <c r="B1130" s="28"/>
    </row>
    <row r="1131">
      <c r="A1131" s="28"/>
      <c r="B1131" s="28"/>
    </row>
    <row r="1132">
      <c r="A1132" s="28"/>
      <c r="B1132" s="28"/>
    </row>
    <row r="1133">
      <c r="A1133" s="28"/>
      <c r="B1133" s="28"/>
    </row>
    <row r="1134">
      <c r="A1134" s="28"/>
      <c r="B1134" s="28"/>
    </row>
    <row r="1135">
      <c r="A1135" s="28"/>
      <c r="B1135" s="28"/>
    </row>
    <row r="1136">
      <c r="A1136" s="28"/>
      <c r="B1136" s="28"/>
    </row>
    <row r="1137">
      <c r="A1137" s="28"/>
      <c r="B1137" s="28"/>
    </row>
    <row r="1138">
      <c r="A1138" s="28"/>
      <c r="B1138" s="28"/>
    </row>
    <row r="1139">
      <c r="A1139" s="28"/>
      <c r="B1139" s="28"/>
    </row>
    <row r="1140">
      <c r="A1140" s="28"/>
      <c r="B1140" s="28"/>
    </row>
    <row r="1141">
      <c r="A1141" s="28"/>
      <c r="B1141" s="28"/>
    </row>
    <row r="1142">
      <c r="A1142" s="28"/>
      <c r="B1142" s="28"/>
    </row>
    <row r="1143">
      <c r="A1143" s="28"/>
      <c r="B1143" s="28"/>
    </row>
    <row r="1144">
      <c r="A1144" s="28"/>
      <c r="B1144" s="28"/>
    </row>
    <row r="1145">
      <c r="A1145" s="28"/>
      <c r="B1145" s="28"/>
    </row>
    <row r="1146">
      <c r="A1146" s="28"/>
      <c r="B1146" s="28"/>
    </row>
    <row r="1147">
      <c r="A1147" s="28"/>
      <c r="B1147" s="28"/>
    </row>
    <row r="1148">
      <c r="A1148" s="28"/>
      <c r="B1148" s="28"/>
    </row>
    <row r="1149">
      <c r="A1149" s="28"/>
      <c r="B1149" s="28"/>
    </row>
    <row r="1150">
      <c r="A1150" s="28"/>
      <c r="B1150" s="28"/>
    </row>
    <row r="1151">
      <c r="A1151" s="28"/>
      <c r="B1151" s="28"/>
    </row>
    <row r="1152">
      <c r="A1152" s="28"/>
      <c r="B1152" s="28"/>
    </row>
    <row r="1153">
      <c r="A1153" s="28"/>
      <c r="B1153" s="28"/>
    </row>
    <row r="1154">
      <c r="A1154" s="28"/>
      <c r="B1154" s="28"/>
    </row>
    <row r="1155">
      <c r="A1155" s="28"/>
      <c r="B1155" s="28"/>
    </row>
    <row r="1156">
      <c r="A1156" s="28"/>
      <c r="B1156" s="28"/>
    </row>
    <row r="1157">
      <c r="A1157" s="28"/>
      <c r="B1157" s="28"/>
    </row>
    <row r="1158">
      <c r="A1158" s="28"/>
      <c r="B1158" s="28"/>
    </row>
    <row r="1159">
      <c r="A1159" s="28"/>
      <c r="B1159" s="28"/>
    </row>
    <row r="1160">
      <c r="A1160" s="28"/>
      <c r="B1160" s="28"/>
    </row>
    <row r="1161">
      <c r="A1161" s="28"/>
      <c r="B1161" s="28"/>
    </row>
    <row r="1162">
      <c r="A1162" s="28"/>
      <c r="B1162" s="28"/>
    </row>
    <row r="1163">
      <c r="A1163" s="28"/>
      <c r="B1163" s="28"/>
    </row>
    <row r="1164">
      <c r="A1164" s="28"/>
      <c r="B1164" s="28"/>
    </row>
    <row r="1165">
      <c r="A1165" s="28"/>
      <c r="B1165" s="28"/>
    </row>
    <row r="1166">
      <c r="A1166" s="28"/>
      <c r="B1166" s="28"/>
    </row>
    <row r="1167">
      <c r="A1167" s="28"/>
      <c r="B1167" s="28"/>
    </row>
    <row r="1168">
      <c r="A1168" s="28"/>
      <c r="B1168" s="28"/>
    </row>
    <row r="1169">
      <c r="A1169" s="28"/>
      <c r="B1169" s="28"/>
    </row>
    <row r="1170">
      <c r="A1170" s="28"/>
      <c r="B1170" s="28"/>
    </row>
    <row r="1171">
      <c r="A1171" s="28"/>
      <c r="B1171" s="28"/>
    </row>
    <row r="1172">
      <c r="A1172" s="28"/>
      <c r="B1172" s="28"/>
    </row>
    <row r="1173">
      <c r="A1173" s="28"/>
      <c r="B1173" s="28"/>
    </row>
    <row r="1174">
      <c r="A1174" s="28"/>
      <c r="B1174" s="28"/>
    </row>
    <row r="1175">
      <c r="A1175" s="28"/>
      <c r="B1175" s="28"/>
    </row>
    <row r="1176">
      <c r="A1176" s="28"/>
      <c r="B1176" s="28"/>
    </row>
    <row r="1177">
      <c r="A1177" s="28"/>
      <c r="B1177" s="28"/>
    </row>
    <row r="1178">
      <c r="A1178" s="28"/>
      <c r="B1178" s="28"/>
    </row>
    <row r="1179">
      <c r="A1179" s="28"/>
      <c r="B1179" s="28"/>
    </row>
    <row r="1180">
      <c r="A1180" s="28"/>
      <c r="B1180" s="28"/>
    </row>
    <row r="1181">
      <c r="A1181" s="28"/>
      <c r="B1181" s="28"/>
    </row>
    <row r="1182">
      <c r="A1182" s="28"/>
      <c r="B1182" s="28"/>
    </row>
    <row r="1183">
      <c r="A1183" s="28"/>
      <c r="B1183" s="28"/>
    </row>
    <row r="1184">
      <c r="A1184" s="28"/>
      <c r="B1184" s="28"/>
    </row>
    <row r="1185">
      <c r="A1185" s="28"/>
      <c r="B1185" s="28"/>
    </row>
    <row r="1186">
      <c r="A1186" s="28"/>
      <c r="B1186" s="28"/>
    </row>
    <row r="1187">
      <c r="A1187" s="28"/>
      <c r="B1187" s="28"/>
    </row>
    <row r="1188">
      <c r="A1188" s="28"/>
      <c r="B1188" s="28"/>
    </row>
    <row r="1189">
      <c r="A1189" s="28"/>
      <c r="B1189" s="28"/>
    </row>
    <row r="1190">
      <c r="A1190" s="28"/>
      <c r="B1190" s="28"/>
    </row>
    <row r="1191">
      <c r="A1191" s="28"/>
      <c r="B1191" s="28"/>
    </row>
    <row r="1192">
      <c r="A1192" s="28"/>
      <c r="B1192" s="28"/>
    </row>
    <row r="1193">
      <c r="A1193" s="28"/>
      <c r="B1193" s="28"/>
    </row>
    <row r="1194">
      <c r="A1194" s="28"/>
      <c r="B1194" s="28"/>
    </row>
    <row r="1195">
      <c r="A1195" s="28"/>
      <c r="B1195" s="28"/>
    </row>
    <row r="1196">
      <c r="A1196" s="28"/>
      <c r="B1196" s="28"/>
    </row>
    <row r="1197">
      <c r="A1197" s="28"/>
      <c r="B1197" s="28"/>
    </row>
    <row r="1198">
      <c r="A1198" s="28"/>
      <c r="B1198" s="28"/>
    </row>
    <row r="1199">
      <c r="A1199" s="28"/>
      <c r="B1199" s="28"/>
    </row>
    <row r="1200">
      <c r="A1200" s="28"/>
      <c r="B1200" s="28"/>
    </row>
    <row r="1201">
      <c r="A1201" s="28"/>
      <c r="B1201" s="28"/>
    </row>
    <row r="1202">
      <c r="A1202" s="28"/>
      <c r="B1202" s="28"/>
    </row>
    <row r="1203">
      <c r="A1203" s="28"/>
      <c r="B1203" s="28"/>
    </row>
    <row r="1204">
      <c r="A1204" s="28"/>
      <c r="B1204" s="28"/>
    </row>
    <row r="1205">
      <c r="A1205" s="28"/>
      <c r="B1205" s="28"/>
    </row>
    <row r="1206">
      <c r="A1206" s="28"/>
      <c r="B1206" s="28"/>
    </row>
    <row r="1207">
      <c r="A1207" s="28"/>
      <c r="B1207" s="28"/>
    </row>
    <row r="1208">
      <c r="A1208" s="28"/>
      <c r="B1208" s="28"/>
    </row>
    <row r="1209">
      <c r="A1209" s="28"/>
      <c r="B1209" s="28"/>
    </row>
    <row r="1210">
      <c r="A1210" s="28"/>
      <c r="B1210" s="28"/>
    </row>
    <row r="1211">
      <c r="A1211" s="28"/>
      <c r="B1211" s="28"/>
    </row>
    <row r="1212">
      <c r="A1212" s="28"/>
      <c r="B1212" s="28"/>
    </row>
    <row r="1213">
      <c r="A1213" s="28"/>
      <c r="B1213" s="28"/>
    </row>
    <row r="1214">
      <c r="A1214" s="28"/>
      <c r="B1214" s="28"/>
    </row>
    <row r="1215">
      <c r="A1215" s="28"/>
      <c r="B1215" s="28"/>
    </row>
    <row r="1216">
      <c r="A1216" s="28"/>
      <c r="B1216" s="28"/>
    </row>
    <row r="1217">
      <c r="A1217" s="28"/>
      <c r="B1217" s="28"/>
    </row>
    <row r="1218">
      <c r="A1218" s="28"/>
      <c r="B1218" s="28"/>
    </row>
    <row r="1219">
      <c r="A1219" s="28"/>
      <c r="B1219" s="28"/>
    </row>
    <row r="1220">
      <c r="A1220" s="28"/>
      <c r="B1220" s="28"/>
    </row>
    <row r="1221">
      <c r="A1221" s="28"/>
      <c r="B1221" s="28"/>
    </row>
    <row r="1222">
      <c r="A1222" s="28"/>
      <c r="B1222" s="28"/>
    </row>
    <row r="1223">
      <c r="A1223" s="28"/>
      <c r="B1223" s="28"/>
    </row>
    <row r="1224">
      <c r="A1224" s="28"/>
      <c r="B1224" s="28"/>
    </row>
    <row r="1225">
      <c r="A1225" s="28"/>
      <c r="B1225" s="28"/>
    </row>
    <row r="1226">
      <c r="A1226" s="28"/>
      <c r="B1226" s="28"/>
    </row>
    <row r="1227">
      <c r="A1227" s="28"/>
      <c r="B1227" s="28"/>
    </row>
    <row r="1228">
      <c r="A1228" s="28"/>
      <c r="B1228" s="28"/>
    </row>
    <row r="1229">
      <c r="A1229" s="28"/>
      <c r="B1229" s="28"/>
    </row>
    <row r="1230">
      <c r="A1230" s="28"/>
      <c r="B1230" s="28"/>
    </row>
    <row r="1231">
      <c r="A1231" s="28"/>
      <c r="B1231" s="28"/>
    </row>
    <row r="1232">
      <c r="A1232" s="28"/>
      <c r="B1232" s="28"/>
    </row>
    <row r="1233">
      <c r="A1233" s="28"/>
      <c r="B1233" s="28"/>
    </row>
    <row r="1234">
      <c r="A1234" s="28"/>
      <c r="B1234" s="28"/>
    </row>
    <row r="1235">
      <c r="A1235" s="28"/>
      <c r="B1235" s="28"/>
    </row>
    <row r="1236">
      <c r="A1236" s="28"/>
      <c r="B1236" s="28"/>
    </row>
    <row r="1237">
      <c r="A1237" s="28"/>
      <c r="B1237" s="28"/>
    </row>
    <row r="1238">
      <c r="A1238" s="28"/>
      <c r="B1238" s="28"/>
    </row>
    <row r="1239">
      <c r="A1239" s="28"/>
      <c r="B1239" s="28"/>
    </row>
    <row r="1240">
      <c r="A1240" s="28"/>
      <c r="B1240" s="28"/>
    </row>
    <row r="1241">
      <c r="A1241" s="28"/>
      <c r="B1241" s="28"/>
    </row>
    <row r="1242">
      <c r="A1242" s="28"/>
      <c r="B1242" s="28"/>
    </row>
    <row r="1243">
      <c r="A1243" s="28"/>
      <c r="B1243" s="28"/>
    </row>
    <row r="1244">
      <c r="A1244" s="28"/>
      <c r="B1244" s="28"/>
    </row>
    <row r="1245">
      <c r="A1245" s="28"/>
      <c r="B1245" s="28"/>
    </row>
    <row r="1246">
      <c r="A1246" s="28"/>
      <c r="B1246" s="28"/>
    </row>
    <row r="1247">
      <c r="A1247" s="28"/>
      <c r="B1247" s="28"/>
    </row>
    <row r="1248">
      <c r="A1248" s="28"/>
      <c r="B1248" s="28"/>
    </row>
    <row r="1249">
      <c r="A1249" s="28"/>
      <c r="B1249" s="28"/>
    </row>
    <row r="1250">
      <c r="A1250" s="28"/>
      <c r="B1250" s="28"/>
    </row>
    <row r="1251">
      <c r="A1251" s="28"/>
      <c r="B1251" s="28"/>
    </row>
    <row r="1252">
      <c r="A1252" s="28"/>
      <c r="B1252" s="28"/>
    </row>
    <row r="1253">
      <c r="A1253" s="28"/>
      <c r="B1253" s="28"/>
    </row>
    <row r="1254">
      <c r="A1254" s="28"/>
      <c r="B1254" s="28"/>
    </row>
    <row r="1255">
      <c r="A1255" s="28"/>
      <c r="B1255" s="28"/>
    </row>
    <row r="1256">
      <c r="A1256" s="28"/>
      <c r="B1256" s="28"/>
    </row>
    <row r="1257">
      <c r="A1257" s="28"/>
      <c r="B1257" s="28"/>
    </row>
    <row r="1258">
      <c r="A1258" s="28"/>
      <c r="B1258" s="28"/>
    </row>
    <row r="1259">
      <c r="A1259" s="28"/>
      <c r="B1259" s="28"/>
    </row>
    <row r="1260">
      <c r="A1260" s="28"/>
      <c r="B1260" s="28"/>
    </row>
    <row r="1261">
      <c r="A1261" s="28"/>
      <c r="B1261" s="28"/>
    </row>
    <row r="1262">
      <c r="A1262" s="28"/>
      <c r="B1262" s="28"/>
    </row>
    <row r="1263">
      <c r="A1263" s="28"/>
      <c r="B1263" s="28"/>
    </row>
    <row r="1264">
      <c r="A1264" s="28"/>
      <c r="B1264" s="28"/>
    </row>
    <row r="1265">
      <c r="A1265" s="28"/>
      <c r="B1265" s="28"/>
    </row>
    <row r="1266">
      <c r="A1266" s="28"/>
      <c r="B1266" s="28"/>
    </row>
    <row r="1267">
      <c r="A1267" s="28"/>
      <c r="B1267" s="28"/>
    </row>
    <row r="1268">
      <c r="A1268" s="28"/>
      <c r="B1268" s="28"/>
    </row>
    <row r="1269">
      <c r="A1269" s="28"/>
      <c r="B1269" s="28"/>
    </row>
    <row r="1270">
      <c r="A1270" s="28"/>
      <c r="B1270" s="28"/>
    </row>
    <row r="1271">
      <c r="A1271" s="28"/>
      <c r="B1271" s="28"/>
    </row>
    <row r="1272">
      <c r="A1272" s="28"/>
      <c r="B1272" s="28"/>
    </row>
    <row r="1273">
      <c r="A1273" s="28"/>
      <c r="B1273" s="28"/>
    </row>
    <row r="1274">
      <c r="A1274" s="28"/>
      <c r="B1274" s="28"/>
    </row>
    <row r="1275">
      <c r="A1275" s="28"/>
      <c r="B1275" s="28"/>
    </row>
    <row r="1276">
      <c r="A1276" s="28"/>
      <c r="B1276" s="28"/>
    </row>
    <row r="1277">
      <c r="A1277" s="28"/>
      <c r="B1277" s="28"/>
    </row>
    <row r="1278">
      <c r="A1278" s="28"/>
      <c r="B1278" s="28"/>
    </row>
    <row r="1279">
      <c r="A1279" s="28"/>
      <c r="B1279" s="28"/>
    </row>
    <row r="1280">
      <c r="A1280" s="28"/>
      <c r="B1280" s="28"/>
    </row>
    <row r="1281">
      <c r="A1281" s="28"/>
      <c r="B1281" s="28"/>
    </row>
    <row r="1282">
      <c r="A1282" s="28"/>
      <c r="B1282" s="28"/>
    </row>
    <row r="1283">
      <c r="A1283" s="28"/>
      <c r="B1283" s="28"/>
    </row>
    <row r="1284">
      <c r="A1284" s="28"/>
      <c r="B1284" s="28"/>
    </row>
    <row r="1285">
      <c r="A1285" s="28"/>
      <c r="B1285" s="28"/>
    </row>
    <row r="1286">
      <c r="A1286" s="28"/>
      <c r="B1286" s="28"/>
    </row>
    <row r="1287">
      <c r="A1287" s="28"/>
      <c r="B1287" s="28"/>
    </row>
    <row r="1288">
      <c r="A1288" s="28"/>
      <c r="B1288" s="28"/>
    </row>
    <row r="1289">
      <c r="A1289" s="28"/>
      <c r="B1289" s="28"/>
    </row>
    <row r="1290">
      <c r="A1290" s="28"/>
      <c r="B1290" s="28"/>
    </row>
    <row r="1291">
      <c r="A1291" s="28"/>
      <c r="B1291" s="28"/>
    </row>
    <row r="1292">
      <c r="A1292" s="28"/>
      <c r="B1292" s="28"/>
    </row>
    <row r="1293">
      <c r="A1293" s="28"/>
      <c r="B1293" s="28"/>
    </row>
    <row r="1294">
      <c r="A1294" s="28"/>
      <c r="B1294" s="28"/>
    </row>
    <row r="1295">
      <c r="A1295" s="28"/>
      <c r="B1295" s="28"/>
    </row>
    <row r="1296">
      <c r="A1296" s="28"/>
      <c r="B1296" s="28"/>
    </row>
    <row r="1297">
      <c r="A1297" s="28"/>
      <c r="B1297" s="28"/>
    </row>
    <row r="1298">
      <c r="A1298" s="28"/>
      <c r="B1298" s="28"/>
    </row>
    <row r="1299">
      <c r="A1299" s="28"/>
      <c r="B1299" s="28"/>
    </row>
    <row r="1300">
      <c r="A1300" s="28"/>
      <c r="B1300" s="28"/>
    </row>
    <row r="1301">
      <c r="A1301" s="28"/>
      <c r="B1301" s="28"/>
    </row>
    <row r="1302">
      <c r="A1302" s="28"/>
      <c r="B1302" s="28"/>
    </row>
    <row r="1303">
      <c r="A1303" s="28"/>
      <c r="B1303" s="28"/>
    </row>
    <row r="1304">
      <c r="A1304" s="28"/>
      <c r="B1304" s="28"/>
    </row>
    <row r="1305">
      <c r="A1305" s="28"/>
      <c r="B1305" s="28"/>
    </row>
    <row r="1306">
      <c r="A1306" s="28"/>
      <c r="B1306" s="28"/>
    </row>
    <row r="1307">
      <c r="A1307" s="28"/>
      <c r="B1307" s="28"/>
    </row>
    <row r="1308">
      <c r="A1308" s="28"/>
      <c r="B1308" s="28"/>
    </row>
    <row r="1309">
      <c r="A1309" s="28"/>
      <c r="B1309" s="28"/>
    </row>
    <row r="1310">
      <c r="A1310" s="28"/>
      <c r="B1310" s="28"/>
    </row>
    <row r="1311">
      <c r="A1311" s="28"/>
      <c r="B1311" s="28"/>
    </row>
    <row r="1312">
      <c r="A1312" s="28"/>
      <c r="B1312" s="28"/>
    </row>
    <row r="1313">
      <c r="A1313" s="28"/>
      <c r="B1313" s="28"/>
    </row>
    <row r="1314">
      <c r="A1314" s="28"/>
      <c r="B1314" s="28"/>
    </row>
    <row r="1315">
      <c r="A1315" s="28"/>
      <c r="B1315" s="28"/>
    </row>
    <row r="1316">
      <c r="A1316" s="28"/>
      <c r="B1316" s="28"/>
    </row>
    <row r="1317">
      <c r="A1317" s="28"/>
      <c r="B1317" s="28"/>
    </row>
    <row r="1318">
      <c r="A1318" s="28"/>
      <c r="B1318" s="28"/>
    </row>
    <row r="1319">
      <c r="A1319" s="28"/>
      <c r="B1319" s="28"/>
    </row>
    <row r="1320">
      <c r="A1320" s="28"/>
      <c r="B1320" s="28"/>
    </row>
    <row r="1321">
      <c r="A1321" s="28"/>
      <c r="B1321" s="28"/>
    </row>
    <row r="1322">
      <c r="A1322" s="28"/>
      <c r="B1322" s="28"/>
    </row>
    <row r="1323">
      <c r="A1323" s="28"/>
      <c r="B1323" s="28"/>
    </row>
    <row r="1324">
      <c r="A1324" s="28"/>
      <c r="B1324" s="28"/>
    </row>
    <row r="1325">
      <c r="A1325" s="28"/>
      <c r="B1325" s="28"/>
    </row>
    <row r="1326">
      <c r="A1326" s="28"/>
      <c r="B1326" s="28"/>
    </row>
    <row r="1327">
      <c r="A1327" s="28"/>
      <c r="B1327" s="28"/>
    </row>
    <row r="1328">
      <c r="A1328" s="28"/>
      <c r="B1328" s="28"/>
    </row>
    <row r="1329">
      <c r="A1329" s="28"/>
      <c r="B1329" s="28"/>
    </row>
    <row r="1330">
      <c r="A1330" s="28"/>
      <c r="B1330" s="28"/>
    </row>
    <row r="1331">
      <c r="A1331" s="28"/>
      <c r="B1331" s="28"/>
    </row>
    <row r="1332">
      <c r="A1332" s="28"/>
      <c r="B1332" s="28"/>
    </row>
    <row r="1333">
      <c r="A1333" s="28"/>
      <c r="B1333" s="28"/>
    </row>
    <row r="1334">
      <c r="A1334" s="28"/>
      <c r="B1334" s="28"/>
    </row>
    <row r="1335">
      <c r="A1335" s="28"/>
      <c r="B1335" s="28"/>
    </row>
    <row r="1336">
      <c r="A1336" s="28"/>
      <c r="B1336" s="28"/>
    </row>
    <row r="1337">
      <c r="A1337" s="28"/>
      <c r="B1337" s="28"/>
    </row>
    <row r="1338">
      <c r="A1338" s="28"/>
      <c r="B1338" s="28"/>
    </row>
    <row r="1339">
      <c r="A1339" s="28"/>
      <c r="B1339" s="28"/>
    </row>
    <row r="1340">
      <c r="A1340" s="28"/>
      <c r="B1340" s="28"/>
    </row>
    <row r="1341">
      <c r="A1341" s="28"/>
      <c r="B1341" s="28"/>
    </row>
    <row r="1342">
      <c r="A1342" s="28"/>
      <c r="B1342" s="28"/>
    </row>
    <row r="1343">
      <c r="A1343" s="28"/>
      <c r="B1343" s="28"/>
    </row>
    <row r="1344">
      <c r="A1344" s="28"/>
      <c r="B1344" s="28"/>
    </row>
    <row r="1345">
      <c r="A1345" s="28"/>
      <c r="B1345" s="28"/>
    </row>
    <row r="1346">
      <c r="A1346" s="28"/>
      <c r="B1346" s="28"/>
    </row>
    <row r="1347">
      <c r="A1347" s="28"/>
      <c r="B1347" s="28"/>
    </row>
    <row r="1348">
      <c r="A1348" s="28"/>
      <c r="B1348" s="28"/>
    </row>
    <row r="1349">
      <c r="A1349" s="28"/>
      <c r="B1349" s="28"/>
    </row>
    <row r="1350">
      <c r="A1350" s="28"/>
      <c r="B1350" s="28"/>
    </row>
    <row r="1351">
      <c r="A1351" s="28"/>
      <c r="B1351" s="28"/>
    </row>
    <row r="1352">
      <c r="A1352" s="28"/>
      <c r="B1352" s="28"/>
    </row>
    <row r="1353">
      <c r="A1353" s="28"/>
      <c r="B1353" s="28"/>
    </row>
    <row r="1354">
      <c r="A1354" s="28"/>
      <c r="B1354" s="28"/>
    </row>
    <row r="1355">
      <c r="A1355" s="28"/>
      <c r="B1355" s="28"/>
    </row>
    <row r="1356">
      <c r="A1356" s="28"/>
      <c r="B1356" s="28"/>
    </row>
    <row r="1357">
      <c r="A1357" s="28"/>
      <c r="B1357" s="28"/>
    </row>
    <row r="1358">
      <c r="A1358" s="28"/>
      <c r="B1358" s="28"/>
    </row>
    <row r="1359">
      <c r="A1359" s="28"/>
      <c r="B1359" s="28"/>
    </row>
    <row r="1360">
      <c r="A1360" s="28"/>
      <c r="B1360" s="28"/>
    </row>
    <row r="1361">
      <c r="A1361" s="28"/>
      <c r="B1361" s="28"/>
    </row>
    <row r="1362">
      <c r="A1362" s="28"/>
      <c r="B1362" s="28"/>
    </row>
    <row r="1363">
      <c r="A1363" s="28"/>
      <c r="B1363" s="28"/>
    </row>
    <row r="1364">
      <c r="A1364" s="28"/>
      <c r="B1364" s="28"/>
    </row>
    <row r="1365">
      <c r="A1365" s="28"/>
      <c r="B1365" s="28"/>
    </row>
    <row r="1366">
      <c r="A1366" s="28"/>
      <c r="B1366" s="28"/>
    </row>
    <row r="1367">
      <c r="A1367" s="28"/>
      <c r="B1367" s="28"/>
    </row>
    <row r="1368">
      <c r="A1368" s="28"/>
      <c r="B1368" s="28"/>
    </row>
    <row r="1369">
      <c r="A1369" s="28"/>
      <c r="B1369" s="28"/>
    </row>
    <row r="1370">
      <c r="A1370" s="28"/>
      <c r="B1370" s="28"/>
    </row>
    <row r="1371">
      <c r="A1371" s="28"/>
      <c r="B1371" s="28"/>
    </row>
    <row r="1372">
      <c r="A1372" s="28"/>
      <c r="B1372" s="28"/>
    </row>
    <row r="1373">
      <c r="A1373" s="28"/>
      <c r="B1373" s="28"/>
    </row>
    <row r="1374">
      <c r="A1374" s="28"/>
      <c r="B1374" s="28"/>
    </row>
    <row r="1375">
      <c r="A1375" s="28"/>
      <c r="B1375" s="28"/>
    </row>
    <row r="1376">
      <c r="A1376" s="28"/>
      <c r="B1376" s="28"/>
    </row>
    <row r="1377">
      <c r="A1377" s="28"/>
      <c r="B1377" s="28"/>
    </row>
    <row r="1378">
      <c r="A1378" s="28"/>
      <c r="B1378" s="28"/>
    </row>
    <row r="1379">
      <c r="A1379" s="28"/>
      <c r="B1379" s="28"/>
    </row>
    <row r="1380">
      <c r="A1380" s="28"/>
      <c r="B1380" s="28"/>
    </row>
    <row r="1381">
      <c r="A1381" s="28"/>
      <c r="B1381" s="28"/>
    </row>
    <row r="1382">
      <c r="A1382" s="28"/>
      <c r="B1382" s="28"/>
    </row>
    <row r="1383">
      <c r="A1383" s="28"/>
      <c r="B1383" s="28"/>
    </row>
    <row r="1384">
      <c r="A1384" s="28"/>
      <c r="B1384" s="28"/>
    </row>
    <row r="1385">
      <c r="A1385" s="28"/>
      <c r="B1385" s="28"/>
    </row>
    <row r="1386">
      <c r="A1386" s="28"/>
      <c r="B1386" s="28"/>
    </row>
    <row r="1387">
      <c r="A1387" s="28"/>
      <c r="B1387" s="28"/>
    </row>
    <row r="1388">
      <c r="A1388" s="28"/>
      <c r="B1388" s="28"/>
    </row>
    <row r="1389">
      <c r="A1389" s="28"/>
      <c r="B1389" s="28"/>
    </row>
    <row r="1390">
      <c r="A1390" s="28"/>
      <c r="B1390" s="28"/>
    </row>
    <row r="1391">
      <c r="A1391" s="28"/>
      <c r="B1391" s="28"/>
    </row>
    <row r="1392">
      <c r="A1392" s="28"/>
      <c r="B1392" s="28"/>
    </row>
    <row r="1393">
      <c r="A1393" s="28"/>
      <c r="B1393" s="28"/>
    </row>
    <row r="1394">
      <c r="A1394" s="28"/>
      <c r="B1394" s="28"/>
    </row>
    <row r="1395">
      <c r="A1395" s="28"/>
      <c r="B1395" s="28"/>
    </row>
    <row r="1396">
      <c r="A1396" s="28"/>
      <c r="B1396" s="28"/>
    </row>
    <row r="1397">
      <c r="A1397" s="28"/>
      <c r="B1397" s="28"/>
    </row>
    <row r="1398">
      <c r="A1398" s="28"/>
      <c r="B1398" s="28"/>
    </row>
    <row r="1399">
      <c r="A1399" s="28"/>
      <c r="B1399" s="28"/>
    </row>
    <row r="1400">
      <c r="A1400" s="28"/>
      <c r="B1400" s="28"/>
    </row>
    <row r="1401">
      <c r="A1401" s="28"/>
      <c r="B1401" s="28"/>
    </row>
    <row r="1402">
      <c r="A1402" s="28"/>
      <c r="B1402" s="28"/>
    </row>
    <row r="1403">
      <c r="A1403" s="28"/>
      <c r="B1403" s="28"/>
    </row>
    <row r="1404">
      <c r="A1404" s="28"/>
      <c r="B1404" s="28"/>
    </row>
    <row r="1405">
      <c r="A1405" s="28"/>
      <c r="B1405" s="28"/>
    </row>
    <row r="1406">
      <c r="A1406" s="28"/>
      <c r="B1406" s="28"/>
    </row>
    <row r="1407">
      <c r="A1407" s="28"/>
      <c r="B1407" s="28"/>
    </row>
    <row r="1408">
      <c r="A1408" s="28"/>
      <c r="B1408" s="28"/>
    </row>
    <row r="1409">
      <c r="A1409" s="28"/>
      <c r="B1409" s="28"/>
    </row>
    <row r="1410">
      <c r="A1410" s="28"/>
      <c r="B1410" s="28"/>
    </row>
    <row r="1411">
      <c r="A1411" s="28"/>
      <c r="B1411" s="28"/>
    </row>
    <row r="1412">
      <c r="A1412" s="28"/>
      <c r="B1412" s="28"/>
    </row>
    <row r="1413">
      <c r="A1413" s="28"/>
      <c r="B1413" s="28"/>
    </row>
    <row r="1414">
      <c r="A1414" s="28"/>
      <c r="B1414" s="28"/>
    </row>
    <row r="1415">
      <c r="A1415" s="28"/>
      <c r="B1415" s="28"/>
    </row>
    <row r="1416">
      <c r="A1416" s="28"/>
      <c r="B1416" s="28"/>
    </row>
    <row r="1417">
      <c r="A1417" s="28"/>
      <c r="B1417" s="28"/>
    </row>
    <row r="1418">
      <c r="A1418" s="28"/>
      <c r="B1418" s="28"/>
    </row>
    <row r="1419">
      <c r="A1419" s="28"/>
      <c r="B1419" s="28"/>
    </row>
    <row r="1420">
      <c r="A1420" s="28"/>
      <c r="B1420" s="28"/>
    </row>
    <row r="1421">
      <c r="A1421" s="28"/>
      <c r="B1421" s="28"/>
    </row>
    <row r="1422">
      <c r="A1422" s="28"/>
      <c r="B1422" s="28"/>
    </row>
    <row r="1423">
      <c r="A1423" s="28"/>
      <c r="B1423" s="28"/>
    </row>
    <row r="1424">
      <c r="A1424" s="28"/>
      <c r="B1424" s="28"/>
    </row>
    <row r="1425">
      <c r="A1425" s="28"/>
      <c r="B1425" s="28"/>
    </row>
    <row r="1426">
      <c r="A1426" s="28"/>
      <c r="B1426" s="28"/>
    </row>
    <row r="1427">
      <c r="A1427" s="28"/>
      <c r="B1427" s="28"/>
    </row>
    <row r="1428">
      <c r="A1428" s="28"/>
      <c r="B1428" s="28"/>
    </row>
    <row r="1429">
      <c r="A1429" s="28"/>
      <c r="B1429" s="28"/>
    </row>
    <row r="1430">
      <c r="A1430" s="28"/>
      <c r="B1430" s="28"/>
    </row>
    <row r="1431">
      <c r="A1431" s="28"/>
      <c r="B1431" s="28"/>
    </row>
    <row r="1432">
      <c r="A1432" s="28"/>
      <c r="B1432" s="28"/>
    </row>
    <row r="1433">
      <c r="A1433" s="28"/>
      <c r="B1433" s="28"/>
    </row>
    <row r="1434">
      <c r="A1434" s="28"/>
      <c r="B1434" s="28"/>
    </row>
    <row r="1435">
      <c r="A1435" s="28"/>
      <c r="B1435" s="28"/>
    </row>
    <row r="1436">
      <c r="A1436" s="28"/>
      <c r="B1436" s="28"/>
    </row>
    <row r="1437">
      <c r="A1437" s="28"/>
      <c r="B1437" s="28"/>
    </row>
    <row r="1438">
      <c r="A1438" s="28"/>
      <c r="B1438" s="28"/>
    </row>
    <row r="1439">
      <c r="A1439" s="28"/>
      <c r="B1439" s="28"/>
    </row>
    <row r="1440">
      <c r="A1440" s="28"/>
      <c r="B1440" s="28"/>
    </row>
    <row r="1441">
      <c r="A1441" s="28"/>
      <c r="B1441" s="28"/>
    </row>
    <row r="1442">
      <c r="A1442" s="28"/>
      <c r="B1442" s="28"/>
    </row>
    <row r="1443">
      <c r="A1443" s="28"/>
      <c r="B1443" s="28"/>
    </row>
    <row r="1444">
      <c r="A1444" s="28"/>
      <c r="B1444" s="28"/>
    </row>
    <row r="1445">
      <c r="A1445" s="28"/>
      <c r="B1445" s="28"/>
    </row>
    <row r="1446">
      <c r="A1446" s="28"/>
      <c r="B1446" s="28"/>
    </row>
    <row r="1447">
      <c r="A1447" s="28"/>
      <c r="B1447" s="28"/>
    </row>
    <row r="1448">
      <c r="A1448" s="28"/>
      <c r="B1448" s="28"/>
    </row>
    <row r="1449">
      <c r="A1449" s="28"/>
      <c r="B1449" s="28"/>
    </row>
    <row r="1450">
      <c r="A1450" s="28"/>
      <c r="B1450" s="28"/>
    </row>
    <row r="1451">
      <c r="A1451" s="28"/>
      <c r="B1451" s="28"/>
    </row>
    <row r="1452">
      <c r="A1452" s="28"/>
      <c r="B1452" s="28"/>
    </row>
    <row r="1453">
      <c r="A1453" s="28"/>
      <c r="B1453" s="28"/>
    </row>
    <row r="1454">
      <c r="A1454" s="28"/>
      <c r="B1454" s="28"/>
    </row>
    <row r="1455">
      <c r="A1455" s="28"/>
      <c r="B1455" s="28"/>
    </row>
    <row r="1456">
      <c r="A1456" s="28"/>
      <c r="B1456" s="28"/>
    </row>
    <row r="1457">
      <c r="A1457" s="28"/>
      <c r="B1457" s="28"/>
    </row>
    <row r="1458">
      <c r="A1458" s="28"/>
      <c r="B1458" s="28"/>
    </row>
    <row r="1459">
      <c r="A1459" s="28"/>
      <c r="B1459" s="28"/>
    </row>
    <row r="1460">
      <c r="A1460" s="28"/>
      <c r="B1460" s="28"/>
    </row>
    <row r="1461">
      <c r="A1461" s="28"/>
      <c r="B1461" s="28"/>
    </row>
    <row r="1462">
      <c r="A1462" s="28"/>
      <c r="B1462" s="28"/>
    </row>
    <row r="1463">
      <c r="A1463" s="28"/>
      <c r="B1463" s="28"/>
    </row>
    <row r="1464">
      <c r="A1464" s="28"/>
      <c r="B1464" s="28"/>
    </row>
    <row r="1465">
      <c r="A1465" s="28"/>
      <c r="B1465" s="28"/>
    </row>
    <row r="1466">
      <c r="A1466" s="28"/>
      <c r="B1466" s="28"/>
    </row>
    <row r="1467">
      <c r="A1467" s="28"/>
      <c r="B1467" s="28"/>
    </row>
    <row r="1468">
      <c r="A1468" s="28"/>
      <c r="B1468" s="28"/>
    </row>
    <row r="1469">
      <c r="A1469" s="28"/>
      <c r="B1469" s="28"/>
    </row>
    <row r="1470">
      <c r="A1470" s="28"/>
      <c r="B1470" s="28"/>
    </row>
    <row r="1471">
      <c r="A1471" s="28"/>
      <c r="B1471" s="28"/>
    </row>
    <row r="1472">
      <c r="A1472" s="28"/>
      <c r="B1472" s="28"/>
    </row>
    <row r="1473">
      <c r="A1473" s="28"/>
      <c r="B1473" s="28"/>
    </row>
    <row r="1474">
      <c r="A1474" s="28"/>
      <c r="B1474" s="28"/>
    </row>
    <row r="1475">
      <c r="A1475" s="28"/>
      <c r="B1475" s="28"/>
    </row>
    <row r="1476">
      <c r="A1476" s="28"/>
      <c r="B1476" s="28"/>
    </row>
    <row r="1477">
      <c r="A1477" s="28"/>
      <c r="B1477" s="28"/>
    </row>
    <row r="1478">
      <c r="A1478" s="28"/>
      <c r="B1478" s="28"/>
    </row>
    <row r="1479">
      <c r="A1479" s="28"/>
      <c r="B1479" s="28"/>
    </row>
    <row r="1480">
      <c r="A1480" s="28"/>
      <c r="B1480" s="28"/>
    </row>
    <row r="1481">
      <c r="A1481" s="28"/>
      <c r="B1481" s="28"/>
    </row>
    <row r="1482">
      <c r="A1482" s="28"/>
      <c r="B1482" s="28"/>
    </row>
    <row r="1483">
      <c r="A1483" s="28"/>
      <c r="B1483" s="28"/>
    </row>
    <row r="1484">
      <c r="A1484" s="28"/>
      <c r="B1484" s="28"/>
    </row>
    <row r="1485">
      <c r="A1485" s="28"/>
      <c r="B1485" s="28"/>
    </row>
    <row r="1486">
      <c r="A1486" s="28"/>
      <c r="B1486" s="28"/>
    </row>
    <row r="1487">
      <c r="A1487" s="28"/>
      <c r="B1487" s="28"/>
    </row>
    <row r="1488">
      <c r="A1488" s="28"/>
      <c r="B1488" s="28"/>
    </row>
    <row r="1489">
      <c r="A1489" s="28"/>
      <c r="B1489" s="28"/>
    </row>
    <row r="1490">
      <c r="A1490" s="28"/>
      <c r="B1490" s="28"/>
    </row>
    <row r="1491">
      <c r="A1491" s="28"/>
      <c r="B1491" s="28"/>
    </row>
    <row r="1492">
      <c r="A1492" s="28"/>
      <c r="B1492" s="28"/>
    </row>
    <row r="1493">
      <c r="A1493" s="28"/>
      <c r="B1493" s="28"/>
    </row>
    <row r="1494">
      <c r="A1494" s="28"/>
      <c r="B1494" s="28"/>
    </row>
    <row r="1495">
      <c r="A1495" s="28"/>
      <c r="B1495" s="28"/>
    </row>
    <row r="1496">
      <c r="A1496" s="28"/>
      <c r="B1496" s="28"/>
    </row>
    <row r="1497">
      <c r="A1497" s="28"/>
      <c r="B1497" s="28"/>
    </row>
    <row r="1498">
      <c r="A1498" s="28"/>
      <c r="B1498" s="28"/>
    </row>
    <row r="1499">
      <c r="A1499" s="28"/>
      <c r="B1499" s="28"/>
    </row>
    <row r="1500">
      <c r="A1500" s="28"/>
      <c r="B1500" s="28"/>
    </row>
    <row r="1501">
      <c r="A1501" s="28"/>
      <c r="B1501" s="28"/>
    </row>
    <row r="1502">
      <c r="A1502" s="28"/>
      <c r="B1502" s="28"/>
    </row>
    <row r="1503">
      <c r="A1503" s="28"/>
      <c r="B1503" s="28"/>
    </row>
    <row r="1504">
      <c r="A1504" s="28"/>
      <c r="B1504" s="28"/>
    </row>
    <row r="1505">
      <c r="A1505" s="28"/>
      <c r="B1505" s="28"/>
    </row>
    <row r="1506">
      <c r="A1506" s="28"/>
      <c r="B1506" s="28"/>
    </row>
    <row r="1507">
      <c r="A1507" s="28"/>
      <c r="B1507" s="28"/>
    </row>
    <row r="1508">
      <c r="A1508" s="28"/>
      <c r="B1508" s="28"/>
    </row>
    <row r="1509">
      <c r="A1509" s="28"/>
      <c r="B1509" s="28"/>
    </row>
    <row r="1510">
      <c r="A1510" s="28"/>
      <c r="B1510" s="28"/>
    </row>
    <row r="1511">
      <c r="A1511" s="28"/>
      <c r="B1511" s="28"/>
    </row>
    <row r="1512">
      <c r="A1512" s="28"/>
      <c r="B1512" s="28"/>
    </row>
    <row r="1513">
      <c r="A1513" s="28"/>
      <c r="B1513" s="28"/>
    </row>
    <row r="1514">
      <c r="A1514" s="28"/>
      <c r="B1514" s="28"/>
    </row>
    <row r="1515">
      <c r="A1515" s="28"/>
      <c r="B1515" s="28"/>
    </row>
    <row r="1516">
      <c r="A1516" s="28"/>
      <c r="B1516" s="28"/>
    </row>
    <row r="1517">
      <c r="A1517" s="28"/>
      <c r="B1517" s="28"/>
    </row>
    <row r="1518">
      <c r="A1518" s="28"/>
      <c r="B1518" s="28"/>
    </row>
    <row r="1519">
      <c r="A1519" s="28"/>
      <c r="B1519" s="28"/>
    </row>
    <row r="1520">
      <c r="A1520" s="28"/>
      <c r="B1520" s="28"/>
    </row>
    <row r="1521">
      <c r="A1521" s="28"/>
      <c r="B1521" s="28"/>
    </row>
    <row r="1522">
      <c r="A1522" s="28"/>
      <c r="B1522" s="28"/>
    </row>
    <row r="1523">
      <c r="A1523" s="28"/>
      <c r="B1523" s="28"/>
    </row>
    <row r="1524">
      <c r="A1524" s="28"/>
      <c r="B1524" s="28"/>
    </row>
    <row r="1525">
      <c r="A1525" s="28"/>
      <c r="B1525" s="28"/>
    </row>
    <row r="1526">
      <c r="A1526" s="28"/>
      <c r="B1526" s="28"/>
    </row>
    <row r="1527">
      <c r="A1527" s="28"/>
      <c r="B1527" s="28"/>
    </row>
    <row r="1528">
      <c r="A1528" s="28"/>
      <c r="B1528" s="28"/>
    </row>
    <row r="1529">
      <c r="A1529" s="28"/>
      <c r="B1529" s="28"/>
    </row>
    <row r="1530">
      <c r="A1530" s="28"/>
      <c r="B1530" s="28"/>
    </row>
    <row r="1531">
      <c r="A1531" s="28"/>
      <c r="B1531" s="28"/>
    </row>
    <row r="1532">
      <c r="A1532" s="28"/>
      <c r="B1532" s="28"/>
    </row>
    <row r="1533">
      <c r="A1533" s="28"/>
      <c r="B1533" s="28"/>
    </row>
    <row r="1534">
      <c r="A1534" s="28"/>
      <c r="B1534" s="28"/>
    </row>
    <row r="1535">
      <c r="A1535" s="28"/>
      <c r="B1535" s="28"/>
    </row>
    <row r="1536">
      <c r="A1536" s="28"/>
      <c r="B1536" s="28"/>
    </row>
    <row r="1537">
      <c r="A1537" s="28"/>
      <c r="B1537" s="28"/>
    </row>
    <row r="1538">
      <c r="A1538" s="28"/>
      <c r="B1538" s="28"/>
    </row>
    <row r="1539">
      <c r="A1539" s="28"/>
      <c r="B1539" s="28"/>
    </row>
    <row r="1540">
      <c r="A1540" s="28"/>
      <c r="B1540" s="28"/>
    </row>
    <row r="1541">
      <c r="A1541" s="28"/>
      <c r="B1541" s="28"/>
    </row>
    <row r="1542">
      <c r="A1542" s="28"/>
      <c r="B1542" s="28"/>
    </row>
    <row r="1543">
      <c r="A1543" s="28"/>
      <c r="B1543" s="28"/>
    </row>
    <row r="1544">
      <c r="A1544" s="28"/>
      <c r="B1544" s="28"/>
    </row>
    <row r="1545">
      <c r="A1545" s="28"/>
      <c r="B1545" s="28"/>
    </row>
    <row r="1546">
      <c r="A1546" s="28"/>
      <c r="B1546" s="28"/>
    </row>
    <row r="1547">
      <c r="A1547" s="28"/>
      <c r="B1547" s="28"/>
    </row>
    <row r="1548">
      <c r="A1548" s="28"/>
      <c r="B1548" s="28"/>
    </row>
    <row r="1549">
      <c r="A1549" s="28"/>
      <c r="B1549" s="28"/>
    </row>
    <row r="1550">
      <c r="A1550" s="28"/>
      <c r="B1550" s="28"/>
    </row>
    <row r="1551">
      <c r="A1551" s="28"/>
      <c r="B1551" s="28"/>
    </row>
    <row r="1552">
      <c r="A1552" s="28"/>
      <c r="B1552" s="28"/>
    </row>
    <row r="1553">
      <c r="A1553" s="28"/>
      <c r="B1553" s="28"/>
    </row>
    <row r="1554">
      <c r="A1554" s="28"/>
      <c r="B1554" s="28"/>
    </row>
    <row r="1555">
      <c r="A1555" s="28"/>
      <c r="B1555" s="28"/>
    </row>
    <row r="1556">
      <c r="A1556" s="28"/>
      <c r="B1556" s="28"/>
    </row>
    <row r="1557">
      <c r="A1557" s="28"/>
      <c r="B1557" s="28"/>
    </row>
    <row r="1558">
      <c r="A1558" s="28"/>
      <c r="B1558" s="28"/>
    </row>
    <row r="1559">
      <c r="A1559" s="28"/>
      <c r="B1559" s="28"/>
    </row>
    <row r="1560">
      <c r="A1560" s="28"/>
      <c r="B1560" s="28"/>
    </row>
    <row r="1561">
      <c r="A1561" s="28"/>
      <c r="B1561" s="28"/>
    </row>
    <row r="1562">
      <c r="A1562" s="28"/>
      <c r="B1562" s="28"/>
    </row>
    <row r="1563">
      <c r="A1563" s="28"/>
      <c r="B1563" s="28"/>
    </row>
    <row r="1564">
      <c r="A1564" s="28"/>
      <c r="B1564" s="28"/>
    </row>
    <row r="1565">
      <c r="A1565" s="28"/>
      <c r="B1565" s="28"/>
    </row>
    <row r="1566">
      <c r="A1566" s="28"/>
      <c r="B1566" s="28"/>
    </row>
    <row r="1567">
      <c r="A1567" s="28"/>
      <c r="B1567" s="28"/>
    </row>
    <row r="1568">
      <c r="A1568" s="28"/>
      <c r="B1568" s="28"/>
    </row>
    <row r="1569">
      <c r="A1569" s="28"/>
      <c r="B1569" s="28"/>
    </row>
    <row r="1570">
      <c r="A1570" s="28"/>
      <c r="B1570" s="28"/>
    </row>
    <row r="1571">
      <c r="A1571" s="28"/>
      <c r="B1571" s="28"/>
    </row>
    <row r="1572">
      <c r="A1572" s="28"/>
      <c r="B1572" s="28"/>
    </row>
    <row r="1573">
      <c r="A1573" s="28"/>
      <c r="B1573" s="28"/>
    </row>
    <row r="1574">
      <c r="A1574" s="28"/>
      <c r="B1574" s="28"/>
    </row>
    <row r="1575">
      <c r="A1575" s="28"/>
      <c r="B1575" s="28"/>
    </row>
    <row r="1576">
      <c r="A1576" s="28"/>
      <c r="B1576" s="28"/>
    </row>
    <row r="1577">
      <c r="A1577" s="28"/>
      <c r="B1577" s="28"/>
    </row>
    <row r="1578">
      <c r="A1578" s="28"/>
      <c r="B1578" s="28"/>
    </row>
    <row r="1579">
      <c r="A1579" s="28"/>
      <c r="B1579" s="28"/>
    </row>
    <row r="1580">
      <c r="A1580" s="28"/>
      <c r="B1580" s="28"/>
    </row>
    <row r="1581">
      <c r="A1581" s="28"/>
      <c r="B1581" s="28"/>
    </row>
    <row r="1582">
      <c r="A1582" s="28"/>
      <c r="B1582" s="28"/>
    </row>
    <row r="1583">
      <c r="A1583" s="28"/>
      <c r="B1583" s="28"/>
    </row>
    <row r="1584">
      <c r="A1584" s="28"/>
      <c r="B1584" s="28"/>
    </row>
    <row r="1585">
      <c r="A1585" s="28"/>
      <c r="B1585" s="28"/>
    </row>
    <row r="1586">
      <c r="A1586" s="28"/>
      <c r="B1586" s="28"/>
    </row>
    <row r="1587">
      <c r="A1587" s="28"/>
      <c r="B1587" s="28"/>
    </row>
    <row r="1588">
      <c r="A1588" s="28"/>
      <c r="B1588" s="28"/>
    </row>
    <row r="1589">
      <c r="A1589" s="28"/>
      <c r="B1589" s="28"/>
    </row>
    <row r="1590">
      <c r="A1590" s="28"/>
      <c r="B1590" s="28"/>
    </row>
    <row r="1591">
      <c r="A1591" s="28"/>
      <c r="B1591" s="28"/>
    </row>
    <row r="1592">
      <c r="A1592" s="28"/>
      <c r="B1592" s="28"/>
    </row>
    <row r="1593">
      <c r="A1593" s="28"/>
      <c r="B1593" s="28"/>
    </row>
    <row r="1594">
      <c r="A1594" s="28"/>
      <c r="B1594" s="28"/>
    </row>
    <row r="1595">
      <c r="A1595" s="28"/>
      <c r="B1595" s="28"/>
    </row>
    <row r="1596">
      <c r="A1596" s="28"/>
      <c r="B1596" s="28"/>
    </row>
    <row r="1597">
      <c r="A1597" s="28"/>
      <c r="B1597" s="28"/>
    </row>
    <row r="1598">
      <c r="A1598" s="28"/>
      <c r="B1598" s="28"/>
    </row>
    <row r="1599">
      <c r="A1599" s="28"/>
      <c r="B1599" s="28"/>
    </row>
    <row r="1600">
      <c r="A1600" s="28"/>
      <c r="B1600" s="28"/>
    </row>
    <row r="1601">
      <c r="A1601" s="28"/>
      <c r="B1601" s="28"/>
    </row>
    <row r="1602">
      <c r="A1602" s="28"/>
      <c r="B1602" s="28"/>
    </row>
    <row r="1603">
      <c r="A1603" s="28"/>
      <c r="B1603" s="28"/>
    </row>
    <row r="1604">
      <c r="A1604" s="28"/>
      <c r="B1604" s="28"/>
    </row>
    <row r="1605">
      <c r="A1605" s="28"/>
      <c r="B1605" s="28"/>
    </row>
    <row r="1606">
      <c r="A1606" s="28"/>
      <c r="B1606" s="28"/>
    </row>
    <row r="1607">
      <c r="A1607" s="28"/>
      <c r="B1607" s="28"/>
    </row>
    <row r="1608">
      <c r="A1608" s="28"/>
      <c r="B1608" s="28"/>
    </row>
    <row r="1609">
      <c r="A1609" s="28"/>
      <c r="B1609" s="28"/>
    </row>
    <row r="1610">
      <c r="A1610" s="28"/>
      <c r="B1610" s="28"/>
    </row>
    <row r="1611">
      <c r="A1611" s="28"/>
      <c r="B1611" s="28"/>
    </row>
    <row r="1612">
      <c r="A1612" s="28"/>
      <c r="B1612" s="28"/>
    </row>
    <row r="1613">
      <c r="A1613" s="28"/>
      <c r="B1613" s="28"/>
    </row>
    <row r="1614">
      <c r="A1614" s="28"/>
      <c r="B1614" s="28"/>
    </row>
    <row r="1615">
      <c r="A1615" s="28"/>
      <c r="B1615" s="28"/>
    </row>
    <row r="1616">
      <c r="A1616" s="28"/>
      <c r="B1616" s="28"/>
    </row>
    <row r="1617">
      <c r="A1617" s="28"/>
      <c r="B1617" s="28"/>
    </row>
    <row r="1618">
      <c r="A1618" s="28"/>
      <c r="B1618" s="28"/>
    </row>
    <row r="1619">
      <c r="A1619" s="28"/>
      <c r="B1619" s="28"/>
    </row>
    <row r="1620">
      <c r="A1620" s="28"/>
      <c r="B1620" s="28"/>
    </row>
    <row r="1621">
      <c r="A1621" s="28"/>
      <c r="B1621" s="28"/>
    </row>
    <row r="1622">
      <c r="A1622" s="28"/>
      <c r="B1622" s="28"/>
    </row>
    <row r="1623">
      <c r="A1623" s="28"/>
      <c r="B1623" s="28"/>
    </row>
    <row r="1624">
      <c r="A1624" s="28"/>
      <c r="B1624" s="28"/>
    </row>
    <row r="1625">
      <c r="A1625" s="28"/>
      <c r="B1625" s="28"/>
    </row>
    <row r="1626">
      <c r="A1626" s="28"/>
      <c r="B1626" s="28"/>
    </row>
    <row r="1627">
      <c r="A1627" s="28"/>
      <c r="B1627" s="28"/>
    </row>
    <row r="1628">
      <c r="A1628" s="28"/>
      <c r="B1628" s="28"/>
    </row>
    <row r="1629">
      <c r="A1629" s="28"/>
      <c r="B1629" s="28"/>
    </row>
    <row r="1630">
      <c r="A1630" s="28"/>
      <c r="B1630" s="28"/>
    </row>
    <row r="1631">
      <c r="A1631" s="28"/>
      <c r="B1631" s="28"/>
    </row>
    <row r="1632">
      <c r="A1632" s="28"/>
      <c r="B1632" s="28"/>
    </row>
    <row r="1633">
      <c r="A1633" s="28"/>
      <c r="B1633" s="28"/>
    </row>
    <row r="1634">
      <c r="A1634" s="28"/>
      <c r="B1634" s="28"/>
    </row>
    <row r="1635">
      <c r="A1635" s="28"/>
      <c r="B1635" s="28"/>
    </row>
    <row r="1636">
      <c r="A1636" s="28"/>
      <c r="B1636" s="28"/>
    </row>
    <row r="1637">
      <c r="A1637" s="28"/>
      <c r="B1637" s="28"/>
    </row>
    <row r="1638">
      <c r="A1638" s="28"/>
      <c r="B1638" s="28"/>
    </row>
    <row r="1639">
      <c r="A1639" s="28"/>
      <c r="B1639" s="28"/>
    </row>
    <row r="1640">
      <c r="A1640" s="28"/>
      <c r="B1640" s="28"/>
    </row>
    <row r="1641">
      <c r="A1641" s="28"/>
      <c r="B1641" s="28"/>
    </row>
    <row r="1642">
      <c r="A1642" s="28"/>
      <c r="B1642" s="28"/>
    </row>
    <row r="1643">
      <c r="A1643" s="28"/>
      <c r="B1643" s="28"/>
    </row>
    <row r="1644">
      <c r="A1644" s="28"/>
      <c r="B1644" s="28"/>
    </row>
    <row r="1645">
      <c r="A1645" s="28"/>
      <c r="B1645" s="28"/>
    </row>
    <row r="1646">
      <c r="A1646" s="28"/>
      <c r="B1646" s="28"/>
    </row>
    <row r="1647">
      <c r="A1647" s="28"/>
      <c r="B1647" s="28"/>
    </row>
    <row r="1648">
      <c r="A1648" s="28"/>
      <c r="B1648" s="28"/>
    </row>
    <row r="1649">
      <c r="A1649" s="28"/>
      <c r="B1649" s="28"/>
    </row>
    <row r="1650">
      <c r="A1650" s="28"/>
      <c r="B1650" s="28"/>
    </row>
    <row r="1651">
      <c r="A1651" s="28"/>
      <c r="B1651" s="28"/>
    </row>
    <row r="1652">
      <c r="A1652" s="28"/>
      <c r="B1652" s="28"/>
    </row>
    <row r="1653">
      <c r="A1653" s="28"/>
      <c r="B1653" s="28"/>
    </row>
    <row r="1654">
      <c r="A1654" s="28"/>
      <c r="B1654" s="28"/>
    </row>
    <row r="1655">
      <c r="A1655" s="28"/>
      <c r="B1655" s="28"/>
    </row>
    <row r="1656">
      <c r="A1656" s="28"/>
      <c r="B1656" s="28"/>
    </row>
    <row r="1657">
      <c r="A1657" s="28"/>
      <c r="B1657" s="28"/>
    </row>
    <row r="1658">
      <c r="A1658" s="28"/>
      <c r="B1658" s="28"/>
    </row>
    <row r="1659">
      <c r="A1659" s="28"/>
      <c r="B1659" s="28"/>
    </row>
    <row r="1660">
      <c r="A1660" s="28"/>
      <c r="B1660" s="28"/>
    </row>
    <row r="1661">
      <c r="A1661" s="28"/>
      <c r="B1661" s="28"/>
    </row>
    <row r="1662">
      <c r="A1662" s="28"/>
      <c r="B1662" s="28"/>
    </row>
    <row r="1663">
      <c r="A1663" s="28"/>
      <c r="B1663" s="28"/>
    </row>
    <row r="1664">
      <c r="A1664" s="28"/>
      <c r="B1664" s="28"/>
    </row>
    <row r="1665">
      <c r="A1665" s="28"/>
      <c r="B1665" s="28"/>
    </row>
    <row r="1666">
      <c r="A1666" s="28"/>
      <c r="B1666" s="28"/>
    </row>
    <row r="1667">
      <c r="A1667" s="28"/>
      <c r="B1667" s="28"/>
    </row>
    <row r="1668">
      <c r="A1668" s="28"/>
      <c r="B1668" s="28"/>
    </row>
    <row r="1669">
      <c r="A1669" s="28"/>
      <c r="B1669" s="28"/>
    </row>
    <row r="1670">
      <c r="A1670" s="28"/>
      <c r="B1670" s="28"/>
    </row>
    <row r="1671">
      <c r="A1671" s="28"/>
      <c r="B1671" s="28"/>
    </row>
    <row r="1672">
      <c r="A1672" s="28"/>
      <c r="B1672" s="28"/>
    </row>
    <row r="1673">
      <c r="A1673" s="28"/>
      <c r="B1673" s="28"/>
    </row>
    <row r="1674">
      <c r="A1674" s="28"/>
      <c r="B1674" s="28"/>
    </row>
    <row r="1675">
      <c r="A1675" s="28"/>
      <c r="B1675" s="28"/>
    </row>
    <row r="1676">
      <c r="A1676" s="28"/>
      <c r="B1676" s="28"/>
    </row>
    <row r="1677">
      <c r="A1677" s="28"/>
      <c r="B1677" s="28"/>
    </row>
    <row r="1678">
      <c r="A1678" s="28"/>
      <c r="B1678" s="28"/>
    </row>
    <row r="1679">
      <c r="A1679" s="28"/>
      <c r="B1679" s="28"/>
    </row>
    <row r="1680">
      <c r="A1680" s="28"/>
      <c r="B1680" s="28"/>
    </row>
    <row r="1681">
      <c r="A1681" s="28"/>
      <c r="B1681" s="28"/>
    </row>
    <row r="1682">
      <c r="A1682" s="28"/>
      <c r="B1682" s="28"/>
    </row>
    <row r="1683">
      <c r="A1683" s="28"/>
      <c r="B1683" s="28"/>
    </row>
    <row r="1684">
      <c r="A1684" s="28"/>
      <c r="B1684" s="28"/>
    </row>
    <row r="1685">
      <c r="A1685" s="28"/>
      <c r="B1685" s="28"/>
    </row>
    <row r="1686">
      <c r="A1686" s="28"/>
      <c r="B1686" s="28"/>
    </row>
    <row r="1687">
      <c r="A1687" s="28"/>
      <c r="B1687" s="28"/>
    </row>
    <row r="1688">
      <c r="A1688" s="28"/>
      <c r="B1688" s="28"/>
    </row>
    <row r="1689">
      <c r="A1689" s="28"/>
      <c r="B1689" s="28"/>
    </row>
    <row r="1690">
      <c r="A1690" s="28"/>
      <c r="B1690" s="28"/>
    </row>
    <row r="1691">
      <c r="A1691" s="28"/>
      <c r="B1691" s="28"/>
    </row>
    <row r="1692">
      <c r="A1692" s="28"/>
      <c r="B1692" s="28"/>
    </row>
    <row r="1693">
      <c r="A1693" s="28"/>
      <c r="B1693" s="28"/>
    </row>
    <row r="1694">
      <c r="A1694" s="28"/>
      <c r="B1694" s="28"/>
    </row>
    <row r="1695">
      <c r="A1695" s="28"/>
      <c r="B1695" s="28"/>
    </row>
    <row r="1696">
      <c r="A1696" s="28"/>
      <c r="B1696" s="28"/>
    </row>
    <row r="1697">
      <c r="A1697" s="28"/>
      <c r="B1697" s="28"/>
    </row>
    <row r="1698">
      <c r="A1698" s="28"/>
      <c r="B1698" s="28"/>
    </row>
    <row r="1699">
      <c r="A1699" s="28"/>
      <c r="B1699" s="28"/>
    </row>
    <row r="1700">
      <c r="A1700" s="28"/>
      <c r="B1700" s="28"/>
    </row>
    <row r="1701">
      <c r="A1701" s="28"/>
      <c r="B1701" s="28"/>
    </row>
    <row r="1702">
      <c r="A1702" s="28"/>
      <c r="B1702" s="28"/>
    </row>
    <row r="1703">
      <c r="A1703" s="28"/>
      <c r="B1703" s="28"/>
    </row>
    <row r="1704">
      <c r="A1704" s="28"/>
      <c r="B1704" s="28"/>
    </row>
    <row r="1705">
      <c r="A1705" s="28"/>
      <c r="B1705" s="28"/>
    </row>
    <row r="1706">
      <c r="A1706" s="28"/>
      <c r="B1706" s="28"/>
    </row>
    <row r="1707">
      <c r="A1707" s="28"/>
      <c r="B1707" s="28"/>
    </row>
    <row r="1708">
      <c r="A1708" s="28"/>
      <c r="B1708" s="28"/>
    </row>
    <row r="1709">
      <c r="A1709" s="28"/>
      <c r="B1709" s="28"/>
    </row>
    <row r="1710">
      <c r="A1710" s="28"/>
      <c r="B1710" s="28"/>
    </row>
    <row r="1711">
      <c r="A1711" s="28"/>
      <c r="B1711" s="28"/>
    </row>
    <row r="1712">
      <c r="A1712" s="28"/>
      <c r="B1712" s="28"/>
    </row>
    <row r="1713">
      <c r="A1713" s="28"/>
      <c r="B1713" s="28"/>
    </row>
    <row r="1714">
      <c r="A1714" s="28"/>
      <c r="B1714" s="28"/>
    </row>
    <row r="1715">
      <c r="A1715" s="28"/>
      <c r="B1715" s="28"/>
    </row>
    <row r="1716">
      <c r="A1716" s="28"/>
      <c r="B1716" s="28"/>
    </row>
    <row r="1717">
      <c r="A1717" s="28"/>
      <c r="B1717" s="28"/>
    </row>
    <row r="1718">
      <c r="A1718" s="28"/>
      <c r="B1718" s="28"/>
    </row>
    <row r="1719">
      <c r="A1719" s="28"/>
      <c r="B1719" s="28"/>
    </row>
    <row r="1720">
      <c r="A1720" s="28"/>
      <c r="B1720" s="28"/>
    </row>
    <row r="1721">
      <c r="A1721" s="28"/>
      <c r="B1721" s="28"/>
    </row>
    <row r="1722">
      <c r="A1722" s="28"/>
      <c r="B1722" s="28"/>
    </row>
    <row r="1723">
      <c r="A1723" s="28"/>
      <c r="B1723" s="28"/>
    </row>
    <row r="1724">
      <c r="A1724" s="28"/>
      <c r="B1724" s="28"/>
    </row>
    <row r="1725">
      <c r="A1725" s="28"/>
      <c r="B1725" s="28"/>
    </row>
    <row r="1726">
      <c r="A1726" s="28"/>
      <c r="B1726" s="28"/>
    </row>
    <row r="1727">
      <c r="A1727" s="28"/>
      <c r="B1727" s="28"/>
    </row>
    <row r="1728">
      <c r="A1728" s="28"/>
      <c r="B1728" s="28"/>
    </row>
    <row r="1729">
      <c r="A1729" s="28"/>
      <c r="B1729" s="28"/>
    </row>
    <row r="1730">
      <c r="A1730" s="28"/>
      <c r="B1730" s="28"/>
    </row>
    <row r="1731">
      <c r="A1731" s="28"/>
      <c r="B1731" s="28"/>
    </row>
    <row r="1732">
      <c r="A1732" s="28"/>
      <c r="B1732" s="28"/>
    </row>
    <row r="1733">
      <c r="A1733" s="28"/>
      <c r="B1733" s="28"/>
    </row>
    <row r="1734">
      <c r="A1734" s="28"/>
      <c r="B1734" s="28"/>
    </row>
    <row r="1735">
      <c r="A1735" s="28"/>
      <c r="B1735" s="28"/>
    </row>
    <row r="1736">
      <c r="A1736" s="28"/>
      <c r="B1736" s="28"/>
    </row>
    <row r="1737">
      <c r="A1737" s="28"/>
      <c r="B1737" s="28"/>
    </row>
    <row r="1738">
      <c r="A1738" s="28"/>
      <c r="B1738" s="28"/>
    </row>
    <row r="1739">
      <c r="A1739" s="28"/>
      <c r="B1739" s="28"/>
    </row>
    <row r="1740">
      <c r="A1740" s="28"/>
      <c r="B1740" s="28"/>
    </row>
    <row r="1741">
      <c r="A1741" s="28"/>
      <c r="B1741" s="28"/>
    </row>
    <row r="1742">
      <c r="A1742" s="28"/>
      <c r="B1742" s="28"/>
    </row>
    <row r="1743">
      <c r="A1743" s="28"/>
      <c r="B1743" s="28"/>
    </row>
    <row r="1744">
      <c r="A1744" s="28"/>
      <c r="B1744" s="28"/>
    </row>
    <row r="1745">
      <c r="A1745" s="28"/>
      <c r="B1745" s="28"/>
    </row>
    <row r="1746">
      <c r="A1746" s="28"/>
      <c r="B1746" s="28"/>
    </row>
    <row r="1747">
      <c r="A1747" s="28"/>
      <c r="B1747" s="28"/>
    </row>
    <row r="1748">
      <c r="A1748" s="28"/>
      <c r="B1748" s="28"/>
    </row>
    <row r="1749">
      <c r="A1749" s="28"/>
      <c r="B1749" s="28"/>
    </row>
    <row r="1750">
      <c r="A1750" s="28"/>
      <c r="B1750" s="28"/>
    </row>
    <row r="1751">
      <c r="A1751" s="28"/>
      <c r="B1751" s="28"/>
    </row>
    <row r="1752">
      <c r="A1752" s="28"/>
      <c r="B1752" s="28"/>
    </row>
    <row r="1753">
      <c r="A1753" s="28"/>
      <c r="B1753" s="28"/>
    </row>
    <row r="1754">
      <c r="A1754" s="28"/>
      <c r="B1754" s="28"/>
    </row>
    <row r="1755">
      <c r="A1755" s="28"/>
      <c r="B1755" s="28"/>
    </row>
    <row r="1756">
      <c r="A1756" s="28"/>
      <c r="B1756" s="28"/>
    </row>
    <row r="1757">
      <c r="A1757" s="28"/>
      <c r="B1757" s="28"/>
    </row>
    <row r="1758">
      <c r="A1758" s="28"/>
      <c r="B1758" s="28"/>
    </row>
    <row r="1759">
      <c r="A1759" s="28"/>
      <c r="B1759" s="28"/>
    </row>
    <row r="1760">
      <c r="A1760" s="28"/>
      <c r="B1760" s="28"/>
    </row>
    <row r="1761">
      <c r="A1761" s="28"/>
      <c r="B1761" s="28"/>
    </row>
    <row r="1762">
      <c r="A1762" s="28"/>
      <c r="B1762" s="28"/>
    </row>
    <row r="1763">
      <c r="A1763" s="28"/>
      <c r="B1763" s="28"/>
    </row>
    <row r="1764">
      <c r="A1764" s="28"/>
      <c r="B1764" s="28"/>
    </row>
    <row r="1765">
      <c r="A1765" s="28"/>
      <c r="B1765" s="28"/>
    </row>
    <row r="1766">
      <c r="A1766" s="28"/>
      <c r="B1766" s="28"/>
    </row>
    <row r="1767">
      <c r="A1767" s="28"/>
      <c r="B1767" s="28"/>
    </row>
    <row r="1768">
      <c r="A1768" s="28"/>
      <c r="B1768" s="28"/>
    </row>
    <row r="1769">
      <c r="A1769" s="28"/>
      <c r="B1769" s="28"/>
    </row>
    <row r="1770">
      <c r="A1770" s="28"/>
      <c r="B1770" s="28"/>
    </row>
    <row r="1771">
      <c r="A1771" s="28"/>
      <c r="B1771" s="28"/>
    </row>
    <row r="1772">
      <c r="A1772" s="28"/>
      <c r="B1772" s="28"/>
    </row>
    <row r="1773">
      <c r="A1773" s="28"/>
      <c r="B1773" s="28"/>
    </row>
    <row r="1774">
      <c r="A1774" s="28"/>
      <c r="B1774" s="28"/>
    </row>
    <row r="1775">
      <c r="A1775" s="28"/>
      <c r="B1775" s="28"/>
    </row>
    <row r="1776">
      <c r="A1776" s="28"/>
      <c r="B1776" s="28"/>
    </row>
    <row r="1777">
      <c r="A1777" s="28"/>
      <c r="B1777" s="28"/>
    </row>
    <row r="1778">
      <c r="A1778" s="28"/>
      <c r="B1778" s="28"/>
    </row>
    <row r="1779">
      <c r="A1779" s="28"/>
      <c r="B1779" s="28"/>
    </row>
    <row r="1780">
      <c r="A1780" s="28"/>
      <c r="B1780" s="28"/>
    </row>
    <row r="1781">
      <c r="A1781" s="28"/>
      <c r="B1781" s="28"/>
    </row>
    <row r="1782">
      <c r="A1782" s="28"/>
      <c r="B1782" s="28"/>
    </row>
    <row r="1783">
      <c r="A1783" s="28"/>
      <c r="B1783" s="28"/>
    </row>
    <row r="1784">
      <c r="A1784" s="28"/>
      <c r="B1784" s="28"/>
    </row>
    <row r="1785">
      <c r="A1785" s="28"/>
      <c r="B1785" s="28"/>
    </row>
    <row r="1786">
      <c r="A1786" s="28"/>
      <c r="B1786" s="28"/>
    </row>
    <row r="1787">
      <c r="A1787" s="28"/>
      <c r="B1787" s="28"/>
    </row>
    <row r="1788">
      <c r="A1788" s="28"/>
      <c r="B1788" s="28"/>
    </row>
    <row r="1789">
      <c r="A1789" s="28"/>
      <c r="B1789" s="28"/>
    </row>
    <row r="1790">
      <c r="A1790" s="28"/>
      <c r="B1790" s="28"/>
    </row>
    <row r="1791">
      <c r="A1791" s="28"/>
      <c r="B1791" s="28"/>
    </row>
    <row r="1792">
      <c r="A1792" s="28"/>
      <c r="B1792" s="28"/>
    </row>
    <row r="1793">
      <c r="A1793" s="28"/>
      <c r="B1793" s="28"/>
    </row>
    <row r="1794">
      <c r="A1794" s="28"/>
      <c r="B1794" s="28"/>
    </row>
    <row r="1795">
      <c r="A1795" s="28"/>
      <c r="B1795" s="28"/>
    </row>
    <row r="1796">
      <c r="A1796" s="28"/>
      <c r="B1796" s="28"/>
    </row>
    <row r="1797">
      <c r="A1797" s="28"/>
      <c r="B1797" s="28"/>
    </row>
    <row r="1798">
      <c r="A1798" s="28"/>
      <c r="B1798" s="28"/>
    </row>
    <row r="1799">
      <c r="A1799" s="28"/>
      <c r="B1799" s="28"/>
    </row>
    <row r="1800">
      <c r="A1800" s="28"/>
      <c r="B1800" s="28"/>
    </row>
    <row r="1801">
      <c r="A1801" s="28"/>
      <c r="B1801" s="28"/>
    </row>
    <row r="1802">
      <c r="A1802" s="28"/>
      <c r="B1802" s="28"/>
    </row>
    <row r="1803">
      <c r="A1803" s="28"/>
      <c r="B1803" s="28"/>
    </row>
    <row r="1804">
      <c r="A1804" s="28"/>
      <c r="B1804" s="28"/>
    </row>
    <row r="1805">
      <c r="A1805" s="28"/>
      <c r="B1805" s="28"/>
    </row>
    <row r="1806">
      <c r="A1806" s="28"/>
      <c r="B1806" s="28"/>
    </row>
    <row r="1807">
      <c r="A1807" s="28"/>
      <c r="B1807" s="28"/>
    </row>
    <row r="1808">
      <c r="A1808" s="28"/>
      <c r="B1808" s="28"/>
    </row>
    <row r="1809">
      <c r="A1809" s="28"/>
      <c r="B1809" s="28"/>
    </row>
    <row r="1810">
      <c r="A1810" s="28"/>
      <c r="B1810" s="28"/>
    </row>
    <row r="1811">
      <c r="A1811" s="28"/>
      <c r="B1811" s="28"/>
    </row>
    <row r="1812">
      <c r="A1812" s="28"/>
      <c r="B1812" s="28"/>
    </row>
    <row r="1813">
      <c r="A1813" s="28"/>
      <c r="B1813" s="28"/>
    </row>
    <row r="1814">
      <c r="A1814" s="28"/>
      <c r="B1814" s="28"/>
    </row>
    <row r="1815">
      <c r="A1815" s="28"/>
      <c r="B1815" s="28"/>
    </row>
    <row r="1816">
      <c r="A1816" s="28"/>
      <c r="B1816" s="28"/>
    </row>
    <row r="1817">
      <c r="A1817" s="28"/>
      <c r="B1817" s="28"/>
    </row>
    <row r="1818">
      <c r="A1818" s="28"/>
      <c r="B1818" s="28"/>
    </row>
    <row r="1819">
      <c r="A1819" s="28"/>
      <c r="B1819" s="28"/>
    </row>
    <row r="1820">
      <c r="A1820" s="28"/>
      <c r="B1820" s="28"/>
    </row>
    <row r="1821">
      <c r="A1821" s="28"/>
      <c r="B1821" s="28"/>
    </row>
    <row r="1822">
      <c r="A1822" s="28"/>
      <c r="B1822" s="28"/>
    </row>
    <row r="1823">
      <c r="A1823" s="28"/>
      <c r="B1823" s="28"/>
    </row>
    <row r="1824">
      <c r="A1824" s="28"/>
      <c r="B1824" s="28"/>
    </row>
    <row r="1825">
      <c r="A1825" s="28"/>
      <c r="B1825" s="28"/>
    </row>
    <row r="1826">
      <c r="A1826" s="28"/>
      <c r="B1826" s="28"/>
    </row>
    <row r="1827">
      <c r="A1827" s="28"/>
      <c r="B1827" s="28"/>
    </row>
    <row r="1828">
      <c r="A1828" s="28"/>
      <c r="B1828" s="28"/>
    </row>
    <row r="1829">
      <c r="A1829" s="28"/>
      <c r="B1829" s="28"/>
    </row>
    <row r="1830">
      <c r="A1830" s="28"/>
      <c r="B1830" s="28"/>
    </row>
    <row r="1831">
      <c r="A1831" s="28"/>
      <c r="B1831" s="28"/>
    </row>
    <row r="1832">
      <c r="A1832" s="28"/>
      <c r="B1832" s="28"/>
    </row>
    <row r="1833">
      <c r="A1833" s="28"/>
      <c r="B1833" s="28"/>
    </row>
    <row r="1834">
      <c r="A1834" s="28"/>
      <c r="B1834" s="28"/>
    </row>
    <row r="1835">
      <c r="A1835" s="28"/>
      <c r="B1835" s="28"/>
    </row>
    <row r="1836">
      <c r="A1836" s="28"/>
      <c r="B1836" s="28"/>
    </row>
    <row r="1837">
      <c r="A1837" s="28"/>
      <c r="B1837" s="28"/>
    </row>
    <row r="1838">
      <c r="A1838" s="28"/>
      <c r="B1838" s="28"/>
    </row>
    <row r="1839">
      <c r="A1839" s="28"/>
      <c r="B1839" s="28"/>
    </row>
    <row r="1840">
      <c r="A1840" s="28"/>
      <c r="B1840" s="28"/>
    </row>
    <row r="1841">
      <c r="A1841" s="28"/>
      <c r="B1841" s="28"/>
    </row>
    <row r="1842">
      <c r="A1842" s="28"/>
      <c r="B1842" s="28"/>
    </row>
    <row r="1843">
      <c r="A1843" s="28"/>
      <c r="B1843" s="28"/>
    </row>
    <row r="1844">
      <c r="A1844" s="28"/>
      <c r="B1844" s="28"/>
    </row>
    <row r="1845">
      <c r="A1845" s="28"/>
      <c r="B1845" s="28"/>
    </row>
    <row r="1846">
      <c r="A1846" s="28"/>
      <c r="B1846" s="28"/>
    </row>
    <row r="1847">
      <c r="A1847" s="28"/>
      <c r="B1847" s="28"/>
    </row>
    <row r="1848">
      <c r="A1848" s="28"/>
      <c r="B1848" s="28"/>
    </row>
    <row r="1849">
      <c r="A1849" s="28"/>
      <c r="B1849" s="28"/>
    </row>
    <row r="1850">
      <c r="A1850" s="28"/>
      <c r="B1850" s="28"/>
    </row>
    <row r="1851">
      <c r="A1851" s="28"/>
      <c r="B1851" s="28"/>
    </row>
    <row r="1852">
      <c r="A1852" s="28"/>
      <c r="B1852" s="28"/>
    </row>
    <row r="1853">
      <c r="A1853" s="28"/>
      <c r="B1853" s="28"/>
    </row>
    <row r="1854">
      <c r="A1854" s="28"/>
      <c r="B1854" s="28"/>
    </row>
    <row r="1855">
      <c r="A1855" s="28"/>
      <c r="B1855" s="28"/>
    </row>
    <row r="1856">
      <c r="A1856" s="28"/>
      <c r="B1856" s="28"/>
    </row>
    <row r="1857">
      <c r="A1857" s="28"/>
      <c r="B1857" s="28"/>
    </row>
    <row r="1858">
      <c r="A1858" s="28"/>
      <c r="B1858" s="28"/>
    </row>
    <row r="1859">
      <c r="A1859" s="28"/>
      <c r="B1859" s="28"/>
    </row>
    <row r="1860">
      <c r="A1860" s="28"/>
      <c r="B1860" s="28"/>
    </row>
    <row r="1861">
      <c r="A1861" s="28"/>
      <c r="B1861" s="28"/>
    </row>
    <row r="1862">
      <c r="A1862" s="28"/>
      <c r="B1862" s="28"/>
    </row>
    <row r="1863">
      <c r="A1863" s="28"/>
      <c r="B1863" s="28"/>
    </row>
    <row r="1864">
      <c r="A1864" s="28"/>
      <c r="B1864" s="28"/>
    </row>
    <row r="1865">
      <c r="A1865" s="28"/>
      <c r="B1865" s="28"/>
    </row>
    <row r="1866">
      <c r="A1866" s="28"/>
      <c r="B1866" s="28"/>
    </row>
    <row r="1867">
      <c r="A1867" s="28"/>
      <c r="B1867" s="28"/>
    </row>
    <row r="1868">
      <c r="A1868" s="28"/>
      <c r="B1868" s="28"/>
    </row>
    <row r="1869">
      <c r="A1869" s="28"/>
      <c r="B1869" s="28"/>
    </row>
    <row r="1870">
      <c r="A1870" s="28"/>
      <c r="B1870" s="28"/>
    </row>
    <row r="1871">
      <c r="A1871" s="28"/>
      <c r="B1871" s="28"/>
    </row>
    <row r="1872">
      <c r="A1872" s="28"/>
      <c r="B1872" s="28"/>
    </row>
    <row r="1873">
      <c r="A1873" s="28"/>
      <c r="B1873" s="28"/>
    </row>
    <row r="1874">
      <c r="A1874" s="28"/>
      <c r="B1874" s="28"/>
    </row>
    <row r="1875">
      <c r="A1875" s="28"/>
      <c r="B1875" s="28"/>
    </row>
    <row r="1876">
      <c r="A1876" s="28"/>
      <c r="B1876" s="28"/>
    </row>
    <row r="1877">
      <c r="A1877" s="28"/>
      <c r="B1877" s="28"/>
    </row>
    <row r="1878">
      <c r="A1878" s="28"/>
      <c r="B1878" s="28"/>
    </row>
    <row r="1879">
      <c r="A1879" s="28"/>
      <c r="B1879" s="28"/>
    </row>
    <row r="1880">
      <c r="A1880" s="28"/>
      <c r="B1880" s="28"/>
    </row>
    <row r="1881">
      <c r="A1881" s="28"/>
      <c r="B1881" s="28"/>
    </row>
    <row r="1882">
      <c r="A1882" s="28"/>
      <c r="B1882" s="28"/>
    </row>
    <row r="1883">
      <c r="A1883" s="28"/>
      <c r="B1883" s="28"/>
    </row>
    <row r="1884">
      <c r="A1884" s="28"/>
      <c r="B1884" s="28"/>
    </row>
    <row r="1885">
      <c r="A1885" s="28"/>
      <c r="B1885" s="28"/>
    </row>
    <row r="1886">
      <c r="A1886" s="28"/>
      <c r="B1886" s="28"/>
    </row>
    <row r="1887">
      <c r="A1887" s="28"/>
      <c r="B1887" s="28"/>
    </row>
    <row r="1888">
      <c r="A1888" s="28"/>
      <c r="B1888" s="28"/>
    </row>
    <row r="1889">
      <c r="A1889" s="28"/>
      <c r="B1889" s="28"/>
    </row>
    <row r="1890">
      <c r="A1890" s="28"/>
      <c r="B1890" s="28"/>
    </row>
    <row r="1891">
      <c r="A1891" s="28"/>
      <c r="B1891" s="28"/>
    </row>
    <row r="1892">
      <c r="A1892" s="28"/>
      <c r="B1892" s="28"/>
    </row>
    <row r="1893">
      <c r="A1893" s="28"/>
      <c r="B1893" s="28"/>
    </row>
    <row r="1894">
      <c r="A1894" s="28"/>
      <c r="B1894" s="28"/>
    </row>
    <row r="1895">
      <c r="A1895" s="28"/>
      <c r="B1895" s="28"/>
    </row>
    <row r="1896">
      <c r="A1896" s="28"/>
      <c r="B1896" s="28"/>
    </row>
    <row r="1897">
      <c r="A1897" s="28"/>
      <c r="B1897" s="28"/>
    </row>
    <row r="1898">
      <c r="A1898" s="28"/>
      <c r="B1898" s="28"/>
    </row>
    <row r="1899">
      <c r="A1899" s="28"/>
      <c r="B1899" s="28"/>
    </row>
    <row r="1900">
      <c r="A1900" s="28"/>
      <c r="B1900" s="28"/>
    </row>
    <row r="1901">
      <c r="A1901" s="28"/>
      <c r="B1901" s="28"/>
    </row>
    <row r="1902">
      <c r="A1902" s="28"/>
      <c r="B1902" s="28"/>
    </row>
    <row r="1903">
      <c r="A1903" s="28"/>
      <c r="B1903" s="28"/>
    </row>
    <row r="1904">
      <c r="A1904" s="28"/>
      <c r="B1904" s="28"/>
    </row>
    <row r="1905">
      <c r="A1905" s="28"/>
      <c r="B1905" s="28"/>
    </row>
    <row r="1906">
      <c r="A1906" s="28"/>
      <c r="B1906" s="28"/>
    </row>
    <row r="1907">
      <c r="A1907" s="28"/>
      <c r="B1907" s="28"/>
    </row>
    <row r="1908">
      <c r="A1908" s="28"/>
      <c r="B1908" s="28"/>
    </row>
    <row r="1909">
      <c r="A1909" s="28"/>
      <c r="B1909" s="28"/>
    </row>
    <row r="1910">
      <c r="A1910" s="28"/>
      <c r="B1910" s="28"/>
    </row>
    <row r="1911">
      <c r="A1911" s="28"/>
      <c r="B1911" s="28"/>
    </row>
    <row r="1912">
      <c r="A1912" s="28"/>
      <c r="B1912" s="28"/>
    </row>
    <row r="1913">
      <c r="A1913" s="28"/>
      <c r="B1913" s="28"/>
    </row>
    <row r="1914">
      <c r="A1914" s="28"/>
      <c r="B1914" s="28"/>
    </row>
    <row r="1915">
      <c r="A1915" s="28"/>
      <c r="B1915" s="28"/>
    </row>
    <row r="1916">
      <c r="A1916" s="28"/>
      <c r="B1916" s="28"/>
    </row>
    <row r="1917">
      <c r="A1917" s="28"/>
      <c r="B1917" s="28"/>
    </row>
    <row r="1918">
      <c r="A1918" s="28"/>
      <c r="B1918" s="28"/>
    </row>
    <row r="1919">
      <c r="A1919" s="28"/>
      <c r="B1919" s="28"/>
    </row>
    <row r="1920">
      <c r="A1920" s="28"/>
      <c r="B1920" s="28"/>
    </row>
    <row r="1921">
      <c r="A1921" s="28"/>
      <c r="B1921" s="28"/>
    </row>
    <row r="1922">
      <c r="A1922" s="28"/>
      <c r="B1922" s="28"/>
    </row>
    <row r="1923">
      <c r="A1923" s="28"/>
      <c r="B1923" s="28"/>
    </row>
    <row r="1924">
      <c r="A1924" s="28"/>
      <c r="B1924" s="28"/>
    </row>
    <row r="1925">
      <c r="A1925" s="28"/>
      <c r="B1925" s="28"/>
    </row>
    <row r="1926">
      <c r="A1926" s="28"/>
      <c r="B1926" s="28"/>
    </row>
    <row r="1927">
      <c r="A1927" s="28"/>
      <c r="B1927" s="28"/>
    </row>
    <row r="1928">
      <c r="A1928" s="28"/>
      <c r="B1928" s="28"/>
    </row>
    <row r="1929">
      <c r="A1929" s="28"/>
      <c r="B1929" s="28"/>
    </row>
    <row r="1930">
      <c r="A1930" s="28"/>
      <c r="B1930" s="28"/>
    </row>
    <row r="1931">
      <c r="A1931" s="28"/>
      <c r="B1931" s="28"/>
    </row>
    <row r="1932">
      <c r="A1932" s="28"/>
      <c r="B1932" s="28"/>
    </row>
    <row r="1933">
      <c r="A1933" s="28"/>
      <c r="B1933" s="28"/>
    </row>
    <row r="1934">
      <c r="A1934" s="28"/>
      <c r="B1934" s="28"/>
    </row>
    <row r="1935">
      <c r="A1935" s="28"/>
      <c r="B1935" s="28"/>
    </row>
    <row r="1936">
      <c r="A1936" s="28"/>
      <c r="B1936" s="28"/>
    </row>
    <row r="1937">
      <c r="A1937" s="28"/>
      <c r="B1937" s="28"/>
    </row>
    <row r="1938">
      <c r="A1938" s="28"/>
      <c r="B1938" s="28"/>
    </row>
    <row r="1939">
      <c r="A1939" s="28"/>
      <c r="B1939" s="28"/>
    </row>
    <row r="1940">
      <c r="A1940" s="28"/>
      <c r="B1940" s="28"/>
    </row>
    <row r="1941">
      <c r="A1941" s="28"/>
      <c r="B1941" s="28"/>
    </row>
    <row r="1942">
      <c r="A1942" s="28"/>
      <c r="B1942" s="28"/>
    </row>
    <row r="1943">
      <c r="A1943" s="28"/>
      <c r="B1943" s="28"/>
    </row>
    <row r="1944">
      <c r="A1944" s="28"/>
      <c r="B1944" s="28"/>
    </row>
    <row r="1945">
      <c r="A1945" s="28"/>
      <c r="B1945" s="28"/>
    </row>
    <row r="1946">
      <c r="A1946" s="28"/>
      <c r="B1946" s="28"/>
    </row>
    <row r="1947">
      <c r="A1947" s="28"/>
      <c r="B1947" s="28"/>
    </row>
    <row r="1948">
      <c r="A1948" s="28"/>
      <c r="B1948" s="28"/>
    </row>
    <row r="1949">
      <c r="A1949" s="28"/>
      <c r="B1949" s="28"/>
    </row>
    <row r="1950">
      <c r="A1950" s="28"/>
      <c r="B1950" s="28"/>
    </row>
    <row r="1951">
      <c r="A1951" s="28"/>
      <c r="B1951" s="28"/>
    </row>
    <row r="1952">
      <c r="A1952" s="28"/>
      <c r="B1952" s="28"/>
    </row>
    <row r="1953">
      <c r="A1953" s="28"/>
      <c r="B1953" s="28"/>
    </row>
    <row r="1954">
      <c r="A1954" s="28"/>
      <c r="B1954" s="28"/>
    </row>
    <row r="1955">
      <c r="A1955" s="28"/>
      <c r="B1955" s="28"/>
    </row>
    <row r="1956">
      <c r="A1956" s="28"/>
      <c r="B1956" s="28"/>
    </row>
    <row r="1957">
      <c r="A1957" s="28"/>
      <c r="B1957" s="28"/>
    </row>
    <row r="1958">
      <c r="A1958" s="28"/>
      <c r="B1958" s="28"/>
    </row>
    <row r="1959">
      <c r="A1959" s="28"/>
      <c r="B1959" s="28"/>
    </row>
    <row r="1960">
      <c r="A1960" s="28"/>
      <c r="B1960" s="28"/>
    </row>
    <row r="1961">
      <c r="A1961" s="28"/>
      <c r="B1961" s="28"/>
    </row>
    <row r="1962">
      <c r="A1962" s="28"/>
      <c r="B1962" s="28"/>
    </row>
    <row r="1963">
      <c r="A1963" s="28"/>
      <c r="B1963" s="28"/>
    </row>
    <row r="1964">
      <c r="A1964" s="28"/>
      <c r="B1964" s="28"/>
    </row>
    <row r="1965">
      <c r="A1965" s="28"/>
      <c r="B1965" s="28"/>
    </row>
    <row r="1966">
      <c r="A1966" s="28"/>
      <c r="B1966" s="28"/>
    </row>
    <row r="1967">
      <c r="A1967" s="28"/>
      <c r="B1967" s="28"/>
    </row>
    <row r="1968">
      <c r="A1968" s="28"/>
      <c r="B1968" s="28"/>
    </row>
    <row r="1969">
      <c r="A1969" s="28"/>
      <c r="B1969" s="28"/>
    </row>
    <row r="1970">
      <c r="A1970" s="28"/>
      <c r="B1970" s="28"/>
    </row>
    <row r="1971">
      <c r="A1971" s="28"/>
      <c r="B1971" s="28"/>
    </row>
    <row r="1972">
      <c r="A1972" s="28"/>
      <c r="B1972" s="28"/>
    </row>
    <row r="1973">
      <c r="A1973" s="28"/>
      <c r="B1973" s="28"/>
    </row>
    <row r="1974">
      <c r="A1974" s="28"/>
      <c r="B1974" s="28"/>
    </row>
    <row r="1975">
      <c r="A1975" s="28"/>
      <c r="B1975" s="28"/>
    </row>
    <row r="1976">
      <c r="A1976" s="28"/>
      <c r="B1976" s="28"/>
    </row>
    <row r="1977">
      <c r="A1977" s="28"/>
      <c r="B1977" s="28"/>
    </row>
    <row r="1978">
      <c r="A1978" s="28"/>
      <c r="B1978" s="28"/>
    </row>
    <row r="1979">
      <c r="A1979" s="28"/>
      <c r="B1979" s="28"/>
    </row>
    <row r="1980">
      <c r="A1980" s="28"/>
      <c r="B1980" s="28"/>
    </row>
    <row r="1981">
      <c r="A1981" s="28"/>
      <c r="B1981" s="28"/>
    </row>
    <row r="1982">
      <c r="A1982" s="28"/>
      <c r="B1982" s="28"/>
    </row>
    <row r="1983">
      <c r="A1983" s="28"/>
      <c r="B1983" s="28"/>
    </row>
    <row r="1984">
      <c r="A1984" s="28"/>
      <c r="B1984" s="28"/>
    </row>
    <row r="1985">
      <c r="A1985" s="28"/>
      <c r="B1985" s="28"/>
    </row>
    <row r="1986">
      <c r="A1986" s="28"/>
      <c r="B1986" s="28"/>
    </row>
    <row r="1987">
      <c r="A1987" s="28"/>
      <c r="B1987" s="28"/>
    </row>
    <row r="1988">
      <c r="A1988" s="28"/>
      <c r="B1988" s="28"/>
    </row>
    <row r="1989">
      <c r="A1989" s="28"/>
      <c r="B1989" s="28"/>
    </row>
    <row r="1990">
      <c r="A1990" s="28"/>
      <c r="B1990" s="28"/>
    </row>
    <row r="1991">
      <c r="A1991" s="28"/>
      <c r="B1991" s="28"/>
    </row>
    <row r="1992">
      <c r="A1992" s="28"/>
      <c r="B1992" s="28"/>
    </row>
    <row r="1993">
      <c r="A1993" s="28"/>
      <c r="B1993" s="28"/>
    </row>
    <row r="1994">
      <c r="A1994" s="28"/>
      <c r="B1994" s="28"/>
    </row>
    <row r="1995">
      <c r="A1995" s="28"/>
      <c r="B1995" s="28"/>
    </row>
    <row r="1996">
      <c r="A1996" s="28"/>
      <c r="B1996" s="28"/>
    </row>
    <row r="1997">
      <c r="A1997" s="28"/>
      <c r="B1997" s="28"/>
    </row>
    <row r="1998">
      <c r="A1998" s="28"/>
      <c r="B1998" s="28"/>
    </row>
    <row r="1999">
      <c r="A1999" s="28"/>
      <c r="B1999" s="28"/>
    </row>
    <row r="2000">
      <c r="A2000" s="28"/>
      <c r="B2000" s="28"/>
    </row>
    <row r="2001">
      <c r="A2001" s="28"/>
      <c r="B2001" s="28"/>
    </row>
  </sheetData>
  <dataValidations>
    <dataValidation type="custom" allowBlank="1" showDropDown="1" sqref="A2:C13 E2:E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4.38"/>
    <col customWidth="1" min="3" max="3" width="26.63"/>
    <col customWidth="1" min="4" max="4" width="19.13"/>
    <col customWidth="1" min="5" max="5" width="25.75"/>
  </cols>
  <sheetData>
    <row r="1"/>
    <row r="2"/>
    <row r="3"/>
    <row r="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4.38"/>
    <col customWidth="1" min="3" max="3" width="21.63"/>
    <col customWidth="1" min="4" max="4" width="22.0"/>
    <col customWidth="1" min="5" max="5" width="23.63"/>
    <col customWidth="1" min="6" max="6" width="21.88"/>
    <col customWidth="1" min="7" max="7" width="22.88"/>
  </cols>
  <sheetData>
    <row r="1" hidden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4.75"/>
    <col customWidth="1" min="3" max="3" width="21.63"/>
    <col customWidth="1" min="4" max="4" width="22.0"/>
    <col customWidth="1" min="5" max="5" width="23.63"/>
    <col customWidth="1" min="6" max="6" width="21.88"/>
    <col customWidth="1" min="7" max="7" width="22.88"/>
    <col customWidth="1" min="8" max="8" width="17.5"/>
  </cols>
  <sheetData>
    <row r="1" hidden="1"/>
    <row r="2">
      <c r="H2" s="58" t="s">
        <v>247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</row>
    <row r="3">
      <c r="H3" s="60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</row>
    <row r="4">
      <c r="H4" s="62">
        <f t="shared" ref="H4:H10" si="1">SUM(E4-C4)</f>
        <v>1.66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</row>
    <row r="5">
      <c r="H5" s="62">
        <f t="shared" si="1"/>
        <v>-4.37</v>
      </c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</row>
    <row r="6">
      <c r="H6" s="62">
        <f t="shared" si="1"/>
        <v>-3.87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</row>
    <row r="7">
      <c r="H7" s="62">
        <f t="shared" si="1"/>
        <v>0.34</v>
      </c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</row>
    <row r="8">
      <c r="H8" s="62">
        <f t="shared" si="1"/>
        <v>16.52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</row>
    <row r="9">
      <c r="H9" s="63">
        <f t="shared" si="1"/>
        <v>-2.63</v>
      </c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</row>
    <row r="10">
      <c r="H10" s="64">
        <f t="shared" si="1"/>
        <v>7.65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</row>
    <row r="12">
      <c r="A12" s="65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/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59"/>
      <c r="FU104" s="59"/>
      <c r="FV104" s="59"/>
      <c r="FW104" s="59"/>
      <c r="FX104" s="59"/>
      <c r="FY104" s="59"/>
      <c r="FZ104" s="59"/>
      <c r="GA104" s="59"/>
      <c r="GB104" s="59"/>
      <c r="GC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59"/>
      <c r="FU108" s="59"/>
      <c r="FV108" s="59"/>
      <c r="FW108" s="59"/>
      <c r="FX108" s="59"/>
      <c r="FY108" s="59"/>
      <c r="FZ108" s="59"/>
      <c r="GA108" s="59"/>
      <c r="GB108" s="59"/>
      <c r="GC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59"/>
      <c r="FU111" s="59"/>
      <c r="FV111" s="59"/>
      <c r="FW111" s="59"/>
      <c r="FX111" s="59"/>
      <c r="FY111" s="59"/>
      <c r="FZ111" s="59"/>
      <c r="GA111" s="59"/>
      <c r="GB111" s="59"/>
      <c r="GC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G113" s="59"/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C115" s="59"/>
      <c r="DD115" s="59"/>
      <c r="DE115" s="59"/>
      <c r="DF115" s="59"/>
      <c r="DG115" s="59"/>
      <c r="DH115" s="59"/>
      <c r="DI115" s="59"/>
      <c r="DJ115" s="59"/>
      <c r="DK115" s="59"/>
      <c r="DL115" s="59"/>
      <c r="DM115" s="59"/>
      <c r="DN115" s="59"/>
      <c r="DO115" s="59"/>
      <c r="DP115" s="59"/>
      <c r="DQ115" s="59"/>
      <c r="DR115" s="59"/>
      <c r="DS115" s="59"/>
      <c r="DT115" s="59"/>
      <c r="DU115" s="59"/>
      <c r="DV115" s="59"/>
      <c r="DW115" s="59"/>
      <c r="DX115" s="59"/>
      <c r="DY115" s="59"/>
      <c r="DZ115" s="59"/>
      <c r="EA115" s="59"/>
      <c r="EB115" s="59"/>
      <c r="EC115" s="59"/>
      <c r="ED115" s="59"/>
      <c r="EE115" s="59"/>
      <c r="EF115" s="59"/>
      <c r="EG115" s="59"/>
      <c r="EH115" s="59"/>
      <c r="EI115" s="59"/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59"/>
      <c r="FU115" s="59"/>
      <c r="FV115" s="59"/>
      <c r="FW115" s="59"/>
      <c r="FX115" s="59"/>
      <c r="FY115" s="59"/>
      <c r="FZ115" s="59"/>
      <c r="GA115" s="59"/>
      <c r="GB115" s="59"/>
      <c r="GC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/>
      <c r="FW118" s="59"/>
      <c r="FX118" s="59"/>
      <c r="FY118" s="59"/>
      <c r="FZ118" s="59"/>
      <c r="GA118" s="59"/>
      <c r="GB118" s="59"/>
      <c r="GC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59"/>
      <c r="FU119" s="59"/>
      <c r="FV119" s="59"/>
      <c r="FW119" s="59"/>
      <c r="FX119" s="59"/>
      <c r="FY119" s="59"/>
      <c r="FZ119" s="59"/>
      <c r="GA119" s="59"/>
      <c r="GB119" s="59"/>
      <c r="GC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59"/>
      <c r="GB121" s="59"/>
      <c r="GC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59"/>
      <c r="FU122" s="59"/>
      <c r="FV122" s="59"/>
      <c r="FW122" s="59"/>
      <c r="FX122" s="59"/>
      <c r="FY122" s="59"/>
      <c r="FZ122" s="59"/>
      <c r="GA122" s="59"/>
      <c r="GB122" s="59"/>
      <c r="GC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  <c r="DT123" s="59"/>
      <c r="DU123" s="59"/>
      <c r="DV123" s="59"/>
      <c r="DW123" s="59"/>
      <c r="DX123" s="59"/>
      <c r="DY123" s="59"/>
      <c r="DZ123" s="59"/>
      <c r="EA123" s="59"/>
      <c r="EB123" s="59"/>
      <c r="EC123" s="59"/>
      <c r="ED123" s="59"/>
      <c r="EE123" s="59"/>
      <c r="EF123" s="59"/>
      <c r="EG123" s="59"/>
      <c r="EH123" s="59"/>
      <c r="EI123" s="59"/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59"/>
      <c r="FU123" s="59"/>
      <c r="FV123" s="59"/>
      <c r="FW123" s="59"/>
      <c r="FX123" s="59"/>
      <c r="FY123" s="59"/>
      <c r="FZ123" s="59"/>
      <c r="GA123" s="59"/>
      <c r="GB123" s="59"/>
      <c r="GC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59"/>
      <c r="FU124" s="59"/>
      <c r="FV124" s="59"/>
      <c r="FW124" s="59"/>
      <c r="FX124" s="59"/>
      <c r="FY124" s="59"/>
      <c r="FZ124" s="59"/>
      <c r="GA124" s="59"/>
      <c r="GB124" s="59"/>
      <c r="GC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59"/>
      <c r="FU125" s="59"/>
      <c r="FV125" s="59"/>
      <c r="FW125" s="59"/>
      <c r="FX125" s="59"/>
      <c r="FY125" s="59"/>
      <c r="FZ125" s="59"/>
      <c r="GA125" s="59"/>
      <c r="GB125" s="59"/>
      <c r="GC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  <c r="DB127" s="59"/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/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/>
      <c r="FX129" s="59"/>
      <c r="FY129" s="59"/>
      <c r="FZ129" s="59"/>
      <c r="GA129" s="59"/>
      <c r="GB129" s="59"/>
      <c r="GC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/>
      <c r="DV130" s="59"/>
      <c r="DW130" s="59"/>
      <c r="DX130" s="59"/>
      <c r="DY130" s="59"/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/>
      <c r="FW130" s="59"/>
      <c r="FX130" s="59"/>
      <c r="FY130" s="59"/>
      <c r="FZ130" s="59"/>
      <c r="GA130" s="59"/>
      <c r="GB130" s="59"/>
      <c r="GC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/>
      <c r="DN131" s="59"/>
      <c r="DO131" s="59"/>
      <c r="DP131" s="59"/>
      <c r="DQ131" s="59"/>
      <c r="DR131" s="59"/>
      <c r="DS131" s="59"/>
      <c r="DT131" s="59"/>
      <c r="DU131" s="59"/>
      <c r="DV131" s="59"/>
      <c r="DW131" s="59"/>
      <c r="DX131" s="59"/>
      <c r="DY131" s="59"/>
      <c r="DZ131" s="59"/>
      <c r="EA131" s="59"/>
      <c r="EB131" s="59"/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/>
      <c r="DV133" s="59"/>
      <c r="DW133" s="59"/>
      <c r="DX133" s="59"/>
      <c r="DY133" s="59"/>
      <c r="DZ133" s="59"/>
      <c r="EA133" s="59"/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/>
      <c r="FU133" s="59"/>
      <c r="FV133" s="59"/>
      <c r="FW133" s="59"/>
      <c r="FX133" s="59"/>
      <c r="FY133" s="59"/>
      <c r="FZ133" s="59"/>
      <c r="GA133" s="59"/>
      <c r="GB133" s="59"/>
      <c r="GC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/>
      <c r="DV134" s="59"/>
      <c r="DW134" s="59"/>
      <c r="DX134" s="59"/>
      <c r="DY134" s="59"/>
      <c r="DZ134" s="59"/>
      <c r="EA134" s="59"/>
      <c r="EB134" s="59"/>
      <c r="EC134" s="59"/>
      <c r="ED134" s="59"/>
      <c r="EE134" s="59"/>
      <c r="EF134" s="59"/>
      <c r="EG134" s="59"/>
      <c r="EH134" s="59"/>
      <c r="EI134" s="5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/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/>
      <c r="DO135" s="59"/>
      <c r="DP135" s="59"/>
      <c r="DQ135" s="59"/>
      <c r="DR135" s="59"/>
      <c r="DS135" s="59"/>
      <c r="DT135" s="59"/>
      <c r="DU135" s="59"/>
      <c r="DV135" s="59"/>
      <c r="DW135" s="59"/>
      <c r="DX135" s="59"/>
      <c r="DY135" s="59"/>
      <c r="DZ135" s="59"/>
      <c r="EA135" s="59"/>
      <c r="EB135" s="59"/>
      <c r="EC135" s="59"/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/>
      <c r="FW135" s="59"/>
      <c r="FX135" s="59"/>
      <c r="FY135" s="59"/>
      <c r="FZ135" s="59"/>
      <c r="GA135" s="59"/>
      <c r="GB135" s="59"/>
      <c r="GC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/>
      <c r="DL136" s="59"/>
      <c r="DM136" s="59"/>
      <c r="DN136" s="59"/>
      <c r="DO136" s="59"/>
      <c r="DP136" s="59"/>
      <c r="DQ136" s="59"/>
      <c r="DR136" s="59"/>
      <c r="DS136" s="59"/>
      <c r="DT136" s="59"/>
      <c r="DU136" s="59"/>
      <c r="DV136" s="59"/>
      <c r="DW136" s="59"/>
      <c r="DX136" s="59"/>
      <c r="DY136" s="59"/>
      <c r="DZ136" s="59"/>
      <c r="EA136" s="59"/>
      <c r="EB136" s="59"/>
      <c r="EC136" s="59"/>
      <c r="ED136" s="59"/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/>
      <c r="FV137" s="59"/>
      <c r="FW137" s="59"/>
      <c r="FX137" s="59"/>
      <c r="FY137" s="59"/>
      <c r="FZ137" s="59"/>
      <c r="GA137" s="59"/>
      <c r="GB137" s="59"/>
      <c r="GC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59"/>
      <c r="FU138" s="59"/>
      <c r="FV138" s="59"/>
      <c r="FW138" s="59"/>
      <c r="FX138" s="59"/>
      <c r="FY138" s="59"/>
      <c r="FZ138" s="59"/>
      <c r="GA138" s="59"/>
      <c r="GB138" s="59"/>
      <c r="GC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59"/>
      <c r="FU144" s="59"/>
      <c r="FV144" s="59"/>
      <c r="FW144" s="59"/>
      <c r="FX144" s="59"/>
      <c r="FY144" s="59"/>
      <c r="FZ144" s="59"/>
      <c r="GA144" s="59"/>
      <c r="GB144" s="59"/>
      <c r="GC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59"/>
      <c r="FU147" s="59"/>
      <c r="FV147" s="59"/>
      <c r="FW147" s="59"/>
      <c r="FX147" s="59"/>
      <c r="FY147" s="59"/>
      <c r="FZ147" s="59"/>
      <c r="GA147" s="59"/>
      <c r="GB147" s="59"/>
      <c r="GC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/>
      <c r="FW148" s="59"/>
      <c r="FX148" s="59"/>
      <c r="FY148" s="59"/>
      <c r="FZ148" s="59"/>
      <c r="GA148" s="59"/>
      <c r="GB148" s="59"/>
      <c r="GC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/>
      <c r="FU160" s="59"/>
      <c r="FV160" s="59"/>
      <c r="FW160" s="59"/>
      <c r="FX160" s="59"/>
      <c r="FY160" s="59"/>
      <c r="FZ160" s="59"/>
      <c r="GA160" s="59"/>
      <c r="GB160" s="59"/>
      <c r="GC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  <c r="DR161" s="59"/>
      <c r="DS161" s="59"/>
      <c r="DT161" s="59"/>
      <c r="DU161" s="59"/>
      <c r="DV161" s="59"/>
      <c r="DW161" s="59"/>
      <c r="DX161" s="59"/>
      <c r="DY161" s="59"/>
      <c r="DZ161" s="59"/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59"/>
      <c r="FU161" s="59"/>
      <c r="FV161" s="59"/>
      <c r="FW161" s="59"/>
      <c r="FX161" s="59"/>
      <c r="FY161" s="59"/>
      <c r="FZ161" s="59"/>
      <c r="GA161" s="59"/>
      <c r="GB161" s="59"/>
      <c r="GC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  <c r="DR162" s="59"/>
      <c r="DS162" s="59"/>
      <c r="DT162" s="59"/>
      <c r="DU162" s="59"/>
      <c r="DV162" s="59"/>
      <c r="DW162" s="59"/>
      <c r="DX162" s="59"/>
      <c r="DY162" s="59"/>
      <c r="DZ162" s="59"/>
      <c r="EA162" s="59"/>
      <c r="EB162" s="59"/>
      <c r="EC162" s="59"/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59"/>
      <c r="FU162" s="59"/>
      <c r="FV162" s="59"/>
      <c r="FW162" s="59"/>
      <c r="FX162" s="59"/>
      <c r="FY162" s="59"/>
      <c r="FZ162" s="59"/>
      <c r="GA162" s="59"/>
      <c r="GB162" s="59"/>
      <c r="GC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59"/>
      <c r="FU163" s="59"/>
      <c r="FV163" s="59"/>
      <c r="FW163" s="59"/>
      <c r="FX163" s="59"/>
      <c r="FY163" s="59"/>
      <c r="FZ163" s="59"/>
      <c r="GA163" s="59"/>
      <c r="GB163" s="59"/>
      <c r="GC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/>
      <c r="GC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59"/>
      <c r="FU166" s="59"/>
      <c r="FV166" s="59"/>
      <c r="FW166" s="59"/>
      <c r="FX166" s="59"/>
      <c r="FY166" s="59"/>
      <c r="FZ166" s="59"/>
      <c r="GA166" s="59"/>
      <c r="GB166" s="59"/>
      <c r="GC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59"/>
      <c r="FU167" s="59"/>
      <c r="FV167" s="59"/>
      <c r="FW167" s="59"/>
      <c r="FX167" s="59"/>
      <c r="FY167" s="59"/>
      <c r="FZ167" s="59"/>
      <c r="GA167" s="59"/>
      <c r="GB167" s="59"/>
      <c r="GC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/>
      <c r="FU178" s="59"/>
      <c r="FV178" s="59"/>
      <c r="FW178" s="59"/>
      <c r="FX178" s="59"/>
      <c r="FY178" s="59"/>
      <c r="FZ178" s="59"/>
      <c r="GA178" s="59"/>
      <c r="GB178" s="59"/>
      <c r="GC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/>
      <c r="FV179" s="59"/>
      <c r="FW179" s="59"/>
      <c r="FX179" s="59"/>
      <c r="FY179" s="59"/>
      <c r="FZ179" s="59"/>
      <c r="GA179" s="59"/>
      <c r="GB179" s="59"/>
      <c r="GC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/>
      <c r="FW180" s="59"/>
      <c r="FX180" s="59"/>
      <c r="FY180" s="59"/>
      <c r="FZ180" s="59"/>
      <c r="GA180" s="59"/>
      <c r="GB180" s="59"/>
      <c r="GC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/>
      <c r="FX181" s="59"/>
      <c r="FY181" s="59"/>
      <c r="FZ181" s="59"/>
      <c r="GA181" s="59"/>
      <c r="GB181" s="59"/>
      <c r="GC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/>
      <c r="FY182" s="59"/>
      <c r="FZ182" s="59"/>
      <c r="GA182" s="59"/>
      <c r="GB182" s="59"/>
      <c r="GC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/>
      <c r="FZ183" s="59"/>
      <c r="GA183" s="59"/>
      <c r="GB183" s="59"/>
      <c r="GC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/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/>
      <c r="FV184" s="59"/>
      <c r="FW184" s="59"/>
      <c r="FX184" s="59"/>
      <c r="FY184" s="59"/>
      <c r="FZ184" s="59"/>
      <c r="GA184" s="59"/>
      <c r="GB184" s="59"/>
      <c r="GC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/>
      <c r="FV185" s="59"/>
      <c r="FW185" s="59"/>
      <c r="FX185" s="59"/>
      <c r="FY185" s="59"/>
      <c r="FZ185" s="59"/>
      <c r="GA185" s="59"/>
      <c r="GB185" s="59"/>
      <c r="GC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/>
      <c r="FQ186" s="59"/>
      <c r="FR186" s="59"/>
      <c r="FS186" s="59"/>
      <c r="FT186" s="59"/>
      <c r="FU186" s="59"/>
      <c r="FV186" s="59"/>
      <c r="FW186" s="59"/>
      <c r="FX186" s="59"/>
      <c r="FY186" s="59"/>
      <c r="FZ186" s="59"/>
      <c r="GA186" s="59"/>
      <c r="GB186" s="59"/>
      <c r="GC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  <c r="ER188" s="59"/>
      <c r="ES188" s="59"/>
      <c r="ET188" s="59"/>
      <c r="EU188" s="59"/>
      <c r="EV188" s="59"/>
      <c r="EW188" s="59"/>
      <c r="EX188" s="59"/>
      <c r="EY188" s="59"/>
      <c r="EZ188" s="59"/>
      <c r="FA188" s="59"/>
      <c r="FB188" s="59"/>
      <c r="FC188" s="59"/>
      <c r="FD188" s="59"/>
      <c r="FE188" s="59"/>
      <c r="FF188" s="59"/>
      <c r="FG188" s="59"/>
      <c r="FH188" s="59"/>
      <c r="FI188" s="59"/>
      <c r="FJ188" s="59"/>
      <c r="FK188" s="59"/>
      <c r="FL188" s="59"/>
      <c r="FM188" s="59"/>
      <c r="FN188" s="59"/>
      <c r="FO188" s="59"/>
      <c r="FP188" s="59"/>
      <c r="FQ188" s="59"/>
      <c r="FR188" s="59"/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/>
      <c r="EY190" s="59"/>
      <c r="EZ190" s="59"/>
      <c r="FA190" s="59"/>
      <c r="FB190" s="59"/>
      <c r="FC190" s="59"/>
      <c r="FD190" s="59"/>
      <c r="FE190" s="59"/>
      <c r="FF190" s="59"/>
      <c r="FG190" s="59"/>
      <c r="FH190" s="59"/>
      <c r="FI190" s="59"/>
      <c r="FJ190" s="59"/>
      <c r="FK190" s="59"/>
      <c r="FL190" s="59"/>
      <c r="FM190" s="59"/>
      <c r="FN190" s="59"/>
      <c r="FO190" s="59"/>
      <c r="FP190" s="59"/>
      <c r="FQ190" s="59"/>
      <c r="FR190" s="59"/>
      <c r="FS190" s="59"/>
      <c r="FT190" s="59"/>
      <c r="FU190" s="59"/>
      <c r="FV190" s="59"/>
      <c r="FW190" s="59"/>
      <c r="FX190" s="59"/>
      <c r="FY190" s="59"/>
      <c r="FZ190" s="59"/>
      <c r="GA190" s="59"/>
      <c r="GB190" s="59"/>
      <c r="GC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/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/>
      <c r="FI195" s="59"/>
      <c r="FJ195" s="59"/>
      <c r="FK195" s="59"/>
      <c r="FL195" s="59"/>
      <c r="FM195" s="59"/>
      <c r="FN195" s="59"/>
      <c r="FO195" s="59"/>
      <c r="FP195" s="59"/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  <c r="DB197" s="59"/>
      <c r="DC197" s="59"/>
      <c r="DD197" s="59"/>
      <c r="DE197" s="59"/>
      <c r="DF197" s="59"/>
      <c r="DG197" s="59"/>
      <c r="DH197" s="59"/>
      <c r="DI197" s="59"/>
      <c r="DJ197" s="59"/>
      <c r="DK197" s="59"/>
      <c r="DL197" s="59"/>
      <c r="DM197" s="59"/>
      <c r="DN197" s="59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  <c r="ER197" s="59"/>
      <c r="ES197" s="59"/>
      <c r="ET197" s="59"/>
      <c r="EU197" s="59"/>
      <c r="EV197" s="59"/>
      <c r="EW197" s="59"/>
      <c r="EX197" s="59"/>
      <c r="EY197" s="59"/>
      <c r="EZ197" s="59"/>
      <c r="FA197" s="59"/>
      <c r="FB197" s="59"/>
      <c r="FC197" s="59"/>
      <c r="FD197" s="59"/>
      <c r="FE197" s="59"/>
      <c r="FF197" s="59"/>
      <c r="FG197" s="59"/>
      <c r="FH197" s="59"/>
      <c r="FI197" s="59"/>
      <c r="FJ197" s="59"/>
      <c r="FK197" s="59"/>
      <c r="FL197" s="59"/>
      <c r="FM197" s="59"/>
      <c r="FN197" s="59"/>
      <c r="FO197" s="59"/>
      <c r="FP197" s="59"/>
      <c r="FQ197" s="59"/>
      <c r="FR197" s="59"/>
      <c r="FS197" s="59"/>
      <c r="FT197" s="59"/>
      <c r="FU197" s="59"/>
      <c r="FV197" s="59"/>
      <c r="FW197" s="59"/>
      <c r="FX197" s="59"/>
      <c r="FY197" s="59"/>
      <c r="FZ197" s="59"/>
      <c r="GA197" s="59"/>
      <c r="GB197" s="59"/>
      <c r="GC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/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/>
      <c r="GC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59"/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/>
      <c r="FW228" s="59"/>
      <c r="FX228" s="59"/>
      <c r="FY228" s="59"/>
      <c r="FZ228" s="59"/>
      <c r="GA228" s="59"/>
      <c r="GB228" s="59"/>
      <c r="GC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/>
      <c r="FG229" s="59"/>
      <c r="FH229" s="59"/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/>
      <c r="FW229" s="59"/>
      <c r="FX229" s="59"/>
      <c r="FY229" s="59"/>
      <c r="FZ229" s="59"/>
      <c r="GA229" s="59"/>
      <c r="GB229" s="59"/>
      <c r="GC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/>
      <c r="EW230" s="59"/>
      <c r="EX230" s="59"/>
      <c r="EY230" s="59"/>
      <c r="EZ230" s="59"/>
      <c r="FA230" s="59"/>
      <c r="FB230" s="59"/>
      <c r="FC230" s="59"/>
      <c r="FD230" s="59"/>
      <c r="FE230" s="59"/>
      <c r="FF230" s="59"/>
      <c r="FG230" s="59"/>
      <c r="FH230" s="59"/>
      <c r="FI230" s="59"/>
      <c r="FJ230" s="59"/>
      <c r="FK230" s="59"/>
      <c r="FL230" s="59"/>
      <c r="FM230" s="59"/>
      <c r="FN230" s="59"/>
      <c r="FO230" s="59"/>
      <c r="FP230" s="59"/>
      <c r="FQ230" s="59"/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/>
      <c r="FB231" s="59"/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  <c r="ER232" s="59"/>
      <c r="ES232" s="59"/>
      <c r="ET232" s="59"/>
      <c r="EU232" s="59"/>
      <c r="EV232" s="59"/>
      <c r="EW232" s="59"/>
      <c r="EX232" s="59"/>
      <c r="EY232" s="59"/>
      <c r="EZ232" s="59"/>
      <c r="FA232" s="59"/>
      <c r="FB232" s="59"/>
      <c r="FC232" s="59"/>
      <c r="FD232" s="59"/>
      <c r="FE232" s="59"/>
      <c r="FF232" s="59"/>
      <c r="FG232" s="59"/>
      <c r="FH232" s="59"/>
      <c r="FI232" s="59"/>
      <c r="FJ232" s="59"/>
      <c r="FK232" s="59"/>
      <c r="FL232" s="59"/>
      <c r="FM232" s="59"/>
      <c r="FN232" s="59"/>
      <c r="FO232" s="59"/>
      <c r="FP232" s="59"/>
      <c r="FQ232" s="59"/>
      <c r="FR232" s="59"/>
      <c r="FS232" s="59"/>
      <c r="FT232" s="59"/>
      <c r="FU232" s="59"/>
      <c r="FV232" s="59"/>
      <c r="FW232" s="59"/>
      <c r="FX232" s="59"/>
      <c r="FY232" s="59"/>
      <c r="FZ232" s="59"/>
      <c r="GA232" s="59"/>
      <c r="GB232" s="59"/>
      <c r="GC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/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/>
      <c r="EW234" s="59"/>
      <c r="EX234" s="59"/>
      <c r="EY234" s="59"/>
      <c r="EZ234" s="59"/>
      <c r="FA234" s="59"/>
      <c r="FB234" s="59"/>
      <c r="FC234" s="59"/>
      <c r="FD234" s="59"/>
      <c r="FE234" s="59"/>
      <c r="FF234" s="59"/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  <c r="ER236" s="59"/>
      <c r="ES236" s="59"/>
      <c r="ET236" s="59"/>
      <c r="EU236" s="59"/>
      <c r="EV236" s="59"/>
      <c r="EW236" s="59"/>
      <c r="EX236" s="59"/>
      <c r="EY236" s="59"/>
      <c r="EZ236" s="59"/>
      <c r="FA236" s="59"/>
      <c r="FB236" s="59"/>
      <c r="FC236" s="59"/>
      <c r="FD236" s="59"/>
      <c r="FE236" s="59"/>
      <c r="FF236" s="59"/>
      <c r="FG236" s="59"/>
      <c r="FH236" s="59"/>
      <c r="FI236" s="59"/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/>
      <c r="FV236" s="59"/>
      <c r="FW236" s="59"/>
      <c r="FX236" s="59"/>
      <c r="FY236" s="59"/>
      <c r="FZ236" s="59"/>
      <c r="GA236" s="59"/>
      <c r="GB236" s="59"/>
      <c r="GC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  <c r="ER237" s="59"/>
      <c r="ES237" s="59"/>
      <c r="ET237" s="59"/>
      <c r="EU237" s="59"/>
      <c r="EV237" s="59"/>
      <c r="EW237" s="59"/>
      <c r="EX237" s="59"/>
      <c r="EY237" s="59"/>
      <c r="EZ237" s="59"/>
      <c r="FA237" s="59"/>
      <c r="FB237" s="59"/>
      <c r="FC237" s="59"/>
      <c r="FD237" s="59"/>
      <c r="FE237" s="59"/>
      <c r="FF237" s="59"/>
      <c r="FG237" s="59"/>
      <c r="FH237" s="59"/>
      <c r="FI237" s="59"/>
      <c r="FJ237" s="59"/>
      <c r="FK237" s="59"/>
      <c r="FL237" s="59"/>
      <c r="FM237" s="59"/>
      <c r="FN237" s="59"/>
      <c r="FO237" s="59"/>
      <c r="FP237" s="59"/>
      <c r="FQ237" s="59"/>
      <c r="FR237" s="59"/>
      <c r="FS237" s="59"/>
      <c r="FT237" s="59"/>
      <c r="FU237" s="59"/>
      <c r="FV237" s="59"/>
      <c r="FW237" s="59"/>
      <c r="FX237" s="59"/>
      <c r="FY237" s="59"/>
      <c r="FZ237" s="59"/>
      <c r="GA237" s="59"/>
      <c r="GB237" s="59"/>
      <c r="GC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  <c r="ER238" s="59"/>
      <c r="ES238" s="59"/>
      <c r="ET238" s="59"/>
      <c r="EU238" s="59"/>
      <c r="EV238" s="59"/>
      <c r="EW238" s="59"/>
      <c r="EX238" s="59"/>
      <c r="EY238" s="59"/>
      <c r="EZ238" s="59"/>
      <c r="FA238" s="59"/>
      <c r="FB238" s="59"/>
      <c r="FC238" s="59"/>
      <c r="FD238" s="59"/>
      <c r="FE238" s="59"/>
      <c r="FF238" s="59"/>
      <c r="FG238" s="59"/>
      <c r="FH238" s="59"/>
      <c r="FI238" s="59"/>
      <c r="FJ238" s="59"/>
      <c r="FK238" s="59"/>
      <c r="FL238" s="59"/>
      <c r="FM238" s="59"/>
      <c r="FN238" s="59"/>
      <c r="FO238" s="59"/>
      <c r="FP238" s="59"/>
      <c r="FQ238" s="59"/>
      <c r="FR238" s="59"/>
      <c r="FS238" s="59"/>
      <c r="FT238" s="59"/>
      <c r="FU238" s="59"/>
      <c r="FV238" s="59"/>
      <c r="FW238" s="59"/>
      <c r="FX238" s="59"/>
      <c r="FY238" s="59"/>
      <c r="FZ238" s="59"/>
      <c r="GA238" s="59"/>
      <c r="GB238" s="59"/>
      <c r="GC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  <c r="ER239" s="59"/>
      <c r="ES239" s="59"/>
      <c r="ET239" s="59"/>
      <c r="EU239" s="59"/>
      <c r="EV239" s="59"/>
      <c r="EW239" s="59"/>
      <c r="EX239" s="59"/>
      <c r="EY239" s="59"/>
      <c r="EZ239" s="59"/>
      <c r="FA239" s="59"/>
      <c r="FB239" s="59"/>
      <c r="FC239" s="59"/>
      <c r="FD239" s="59"/>
      <c r="FE239" s="59"/>
      <c r="FF239" s="59"/>
      <c r="FG239" s="59"/>
      <c r="FH239" s="59"/>
      <c r="FI239" s="59"/>
      <c r="FJ239" s="59"/>
      <c r="FK239" s="59"/>
      <c r="FL239" s="59"/>
      <c r="FM239" s="59"/>
      <c r="FN239" s="59"/>
      <c r="FO239" s="59"/>
      <c r="FP239" s="59"/>
      <c r="FQ239" s="59"/>
      <c r="FR239" s="59"/>
      <c r="FS239" s="59"/>
      <c r="FT239" s="59"/>
      <c r="FU239" s="59"/>
      <c r="FV239" s="59"/>
      <c r="FW239" s="59"/>
      <c r="FX239" s="59"/>
      <c r="FY239" s="59"/>
      <c r="FZ239" s="59"/>
      <c r="GA239" s="59"/>
      <c r="GB239" s="59"/>
      <c r="GC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/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  <c r="ER243" s="59"/>
      <c r="ES243" s="59"/>
      <c r="ET243" s="59"/>
      <c r="EU243" s="59"/>
      <c r="EV243" s="59"/>
      <c r="EW243" s="59"/>
      <c r="EX243" s="59"/>
      <c r="EY243" s="59"/>
      <c r="EZ243" s="59"/>
      <c r="FA243" s="59"/>
      <c r="FB243" s="59"/>
      <c r="FC243" s="59"/>
      <c r="FD243" s="59"/>
      <c r="FE243" s="59"/>
      <c r="FF243" s="59"/>
      <c r="FG243" s="59"/>
      <c r="FH243" s="59"/>
      <c r="FI243" s="59"/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  <c r="ES245" s="59"/>
      <c r="ET245" s="59"/>
      <c r="EU245" s="59"/>
      <c r="EV245" s="59"/>
      <c r="EW245" s="59"/>
      <c r="EX245" s="59"/>
      <c r="EY245" s="59"/>
      <c r="EZ245" s="59"/>
      <c r="FA245" s="59"/>
      <c r="FB245" s="59"/>
      <c r="FC245" s="59"/>
      <c r="FD245" s="59"/>
      <c r="FE245" s="59"/>
      <c r="FF245" s="59"/>
      <c r="FG245" s="59"/>
      <c r="FH245" s="59"/>
      <c r="FI245" s="59"/>
      <c r="FJ245" s="59"/>
      <c r="FK245" s="59"/>
      <c r="FL245" s="59"/>
      <c r="FM245" s="59"/>
      <c r="FN245" s="59"/>
      <c r="FO245" s="59"/>
      <c r="FP245" s="59"/>
      <c r="FQ245" s="59"/>
      <c r="FR245" s="59"/>
      <c r="FS245" s="59"/>
      <c r="FT245" s="59"/>
      <c r="FU245" s="59"/>
      <c r="FV245" s="59"/>
      <c r="FW245" s="59"/>
      <c r="FX245" s="59"/>
      <c r="FY245" s="59"/>
      <c r="FZ245" s="59"/>
      <c r="GA245" s="59"/>
      <c r="GB245" s="59"/>
      <c r="GC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/>
      <c r="FG246" s="59"/>
      <c r="FH246" s="59"/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  <c r="ER248" s="59"/>
      <c r="ES248" s="59"/>
      <c r="ET248" s="59"/>
      <c r="EU248" s="59"/>
      <c r="EV248" s="59"/>
      <c r="EW248" s="59"/>
      <c r="EX248" s="59"/>
      <c r="EY248" s="59"/>
      <c r="EZ248" s="59"/>
      <c r="FA248" s="59"/>
      <c r="FB248" s="59"/>
      <c r="FC248" s="59"/>
      <c r="FD248" s="59"/>
      <c r="FE248" s="59"/>
      <c r="FF248" s="59"/>
      <c r="FG248" s="59"/>
      <c r="FH248" s="59"/>
      <c r="FI248" s="59"/>
      <c r="FJ248" s="59"/>
      <c r="FK248" s="59"/>
      <c r="FL248" s="59"/>
      <c r="FM248" s="59"/>
      <c r="FN248" s="59"/>
      <c r="FO248" s="59"/>
      <c r="FP248" s="59"/>
      <c r="FQ248" s="59"/>
      <c r="FR248" s="59"/>
      <c r="FS248" s="59"/>
      <c r="FT248" s="59"/>
      <c r="FU248" s="59"/>
      <c r="FV248" s="59"/>
      <c r="FW248" s="59"/>
      <c r="FX248" s="59"/>
      <c r="FY248" s="59"/>
      <c r="FZ248" s="59"/>
      <c r="GA248" s="59"/>
      <c r="GB248" s="59"/>
      <c r="GC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  <c r="ES249" s="59"/>
      <c r="ET249" s="59"/>
      <c r="EU249" s="59"/>
      <c r="EV249" s="59"/>
      <c r="EW249" s="59"/>
      <c r="EX249" s="59"/>
      <c r="EY249" s="59"/>
      <c r="EZ249" s="59"/>
      <c r="FA249" s="59"/>
      <c r="FB249" s="59"/>
      <c r="FC249" s="59"/>
      <c r="FD249" s="59"/>
      <c r="FE249" s="59"/>
      <c r="FF249" s="59"/>
      <c r="FG249" s="59"/>
      <c r="FH249" s="59"/>
      <c r="FI249" s="59"/>
      <c r="FJ249" s="59"/>
      <c r="FK249" s="59"/>
      <c r="FL249" s="59"/>
      <c r="FM249" s="59"/>
      <c r="FN249" s="59"/>
      <c r="FO249" s="59"/>
      <c r="FP249" s="59"/>
      <c r="FQ249" s="59"/>
      <c r="FR249" s="59"/>
      <c r="FS249" s="59"/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  <c r="ES250" s="59"/>
      <c r="ET250" s="59"/>
      <c r="EU250" s="59"/>
      <c r="EV250" s="59"/>
      <c r="EW250" s="59"/>
      <c r="EX250" s="59"/>
      <c r="EY250" s="59"/>
      <c r="EZ250" s="59"/>
      <c r="FA250" s="59"/>
      <c r="FB250" s="59"/>
      <c r="FC250" s="59"/>
      <c r="FD250" s="59"/>
      <c r="FE250" s="59"/>
      <c r="FF250" s="59"/>
      <c r="FG250" s="59"/>
      <c r="FH250" s="59"/>
      <c r="FI250" s="59"/>
      <c r="FJ250" s="59"/>
      <c r="FK250" s="59"/>
      <c r="FL250" s="59"/>
      <c r="FM250" s="59"/>
      <c r="FN250" s="59"/>
      <c r="FO250" s="59"/>
      <c r="FP250" s="59"/>
      <c r="FQ250" s="59"/>
      <c r="FR250" s="59"/>
      <c r="FS250" s="59"/>
      <c r="FT250" s="59"/>
      <c r="FU250" s="59"/>
      <c r="FV250" s="59"/>
      <c r="FW250" s="59"/>
      <c r="FX250" s="59"/>
      <c r="FY250" s="59"/>
      <c r="FZ250" s="59"/>
      <c r="GA250" s="59"/>
      <c r="GB250" s="59"/>
      <c r="GC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  <c r="ES251" s="59"/>
      <c r="ET251" s="59"/>
      <c r="EU251" s="59"/>
      <c r="EV251" s="59"/>
      <c r="EW251" s="59"/>
      <c r="EX251" s="59"/>
      <c r="EY251" s="59"/>
      <c r="EZ251" s="59"/>
      <c r="FA251" s="59"/>
      <c r="FB251" s="59"/>
      <c r="FC251" s="59"/>
      <c r="FD251" s="59"/>
      <c r="FE251" s="59"/>
      <c r="FF251" s="59"/>
      <c r="FG251" s="59"/>
      <c r="FH251" s="59"/>
      <c r="FI251" s="59"/>
      <c r="FJ251" s="59"/>
      <c r="FK251" s="59"/>
      <c r="FL251" s="59"/>
      <c r="FM251" s="59"/>
      <c r="FN251" s="59"/>
      <c r="FO251" s="59"/>
      <c r="FP251" s="59"/>
      <c r="FQ251" s="59"/>
      <c r="FR251" s="59"/>
      <c r="FS251" s="59"/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  <c r="ES252" s="59"/>
      <c r="ET252" s="59"/>
      <c r="EU252" s="59"/>
      <c r="EV252" s="59"/>
      <c r="EW252" s="59"/>
      <c r="EX252" s="59"/>
      <c r="EY252" s="59"/>
      <c r="EZ252" s="59"/>
      <c r="FA252" s="59"/>
      <c r="FB252" s="59"/>
      <c r="FC252" s="59"/>
      <c r="FD252" s="59"/>
      <c r="FE252" s="59"/>
      <c r="FF252" s="59"/>
      <c r="FG252" s="59"/>
      <c r="FH252" s="59"/>
      <c r="FI252" s="59"/>
      <c r="FJ252" s="59"/>
      <c r="FK252" s="59"/>
      <c r="FL252" s="59"/>
      <c r="FM252" s="59"/>
      <c r="FN252" s="59"/>
      <c r="FO252" s="59"/>
      <c r="FP252" s="59"/>
      <c r="FQ252" s="59"/>
      <c r="FR252" s="59"/>
      <c r="FS252" s="59"/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  <c r="ES253" s="59"/>
      <c r="ET253" s="59"/>
      <c r="EU253" s="59"/>
      <c r="EV253" s="59"/>
      <c r="EW253" s="59"/>
      <c r="EX253" s="59"/>
      <c r="EY253" s="59"/>
      <c r="EZ253" s="59"/>
      <c r="FA253" s="59"/>
      <c r="FB253" s="59"/>
      <c r="FC253" s="59"/>
      <c r="FD253" s="59"/>
      <c r="FE253" s="59"/>
      <c r="FF253" s="59"/>
      <c r="FG253" s="59"/>
      <c r="FH253" s="59"/>
      <c r="FI253" s="59"/>
      <c r="FJ253" s="59"/>
      <c r="FK253" s="59"/>
      <c r="FL253" s="59"/>
      <c r="FM253" s="59"/>
      <c r="FN253" s="59"/>
      <c r="FO253" s="59"/>
      <c r="FP253" s="59"/>
      <c r="FQ253" s="59"/>
      <c r="FR253" s="59"/>
      <c r="FS253" s="59"/>
      <c r="FT253" s="59"/>
      <c r="FU253" s="59"/>
      <c r="FV253" s="59"/>
      <c r="FW253" s="59"/>
      <c r="FX253" s="59"/>
      <c r="FY253" s="59"/>
      <c r="FZ253" s="59"/>
      <c r="GA253" s="59"/>
      <c r="GB253" s="59"/>
      <c r="GC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  <c r="ES254" s="59"/>
      <c r="ET254" s="59"/>
      <c r="EU254" s="59"/>
      <c r="EV254" s="59"/>
      <c r="EW254" s="59"/>
      <c r="EX254" s="59"/>
      <c r="EY254" s="59"/>
      <c r="EZ254" s="59"/>
      <c r="FA254" s="59"/>
      <c r="FB254" s="59"/>
      <c r="FC254" s="59"/>
      <c r="FD254" s="59"/>
      <c r="FE254" s="59"/>
      <c r="FF254" s="59"/>
      <c r="FG254" s="59"/>
      <c r="FH254" s="59"/>
      <c r="FI254" s="59"/>
      <c r="FJ254" s="59"/>
      <c r="FK254" s="59"/>
      <c r="FL254" s="59"/>
      <c r="FM254" s="59"/>
      <c r="FN254" s="59"/>
      <c r="FO254" s="59"/>
      <c r="FP254" s="59"/>
      <c r="FQ254" s="59"/>
      <c r="FR254" s="59"/>
      <c r="FS254" s="59"/>
      <c r="FT254" s="59"/>
      <c r="FU254" s="59"/>
      <c r="FV254" s="59"/>
      <c r="FW254" s="59"/>
      <c r="FX254" s="59"/>
      <c r="FY254" s="59"/>
      <c r="FZ254" s="59"/>
      <c r="GA254" s="59"/>
      <c r="GB254" s="59"/>
      <c r="GC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/>
      <c r="FD255" s="59"/>
      <c r="FE255" s="59"/>
      <c r="FF255" s="59"/>
      <c r="FG255" s="59"/>
      <c r="FH255" s="59"/>
      <c r="FI255" s="59"/>
      <c r="FJ255" s="59"/>
      <c r="FK255" s="59"/>
      <c r="FL255" s="59"/>
      <c r="FM255" s="59"/>
      <c r="FN255" s="59"/>
      <c r="FO255" s="59"/>
      <c r="FP255" s="59"/>
      <c r="FQ255" s="59"/>
      <c r="FR255" s="59"/>
      <c r="FS255" s="59"/>
      <c r="FT255" s="59"/>
      <c r="FU255" s="59"/>
      <c r="FV255" s="59"/>
      <c r="FW255" s="59"/>
      <c r="FX255" s="59"/>
      <c r="FY255" s="59"/>
      <c r="FZ255" s="59"/>
      <c r="GA255" s="59"/>
      <c r="GB255" s="59"/>
      <c r="GC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/>
      <c r="FD260" s="59"/>
      <c r="FE260" s="59"/>
      <c r="FF260" s="59"/>
      <c r="FG260" s="59"/>
      <c r="FH260" s="59"/>
      <c r="FI260" s="59"/>
      <c r="FJ260" s="59"/>
      <c r="FK260" s="59"/>
      <c r="FL260" s="59"/>
      <c r="FM260" s="59"/>
      <c r="FN260" s="59"/>
      <c r="FO260" s="59"/>
      <c r="FP260" s="59"/>
      <c r="FQ260" s="59"/>
      <c r="FR260" s="59"/>
      <c r="FS260" s="59"/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  <c r="ES262" s="59"/>
      <c r="ET262" s="59"/>
      <c r="EU262" s="59"/>
      <c r="EV262" s="59"/>
      <c r="EW262" s="59"/>
      <c r="EX262" s="59"/>
      <c r="EY262" s="59"/>
      <c r="EZ262" s="59"/>
      <c r="FA262" s="59"/>
      <c r="FB262" s="59"/>
      <c r="FC262" s="59"/>
      <c r="FD262" s="59"/>
      <c r="FE262" s="59"/>
      <c r="FF262" s="59"/>
      <c r="FG262" s="59"/>
      <c r="FH262" s="59"/>
      <c r="FI262" s="59"/>
      <c r="FJ262" s="59"/>
      <c r="FK262" s="59"/>
      <c r="FL262" s="59"/>
      <c r="FM262" s="59"/>
      <c r="FN262" s="59"/>
      <c r="FO262" s="59"/>
      <c r="FP262" s="59"/>
      <c r="FQ262" s="59"/>
      <c r="FR262" s="59"/>
      <c r="FS262" s="59"/>
      <c r="FT262" s="59"/>
      <c r="FU262" s="59"/>
      <c r="FV262" s="59"/>
      <c r="FW262" s="59"/>
      <c r="FX262" s="59"/>
      <c r="FY262" s="59"/>
      <c r="FZ262" s="59"/>
      <c r="GA262" s="59"/>
      <c r="GB262" s="59"/>
      <c r="GC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  <c r="ES263" s="59"/>
      <c r="ET263" s="59"/>
      <c r="EU263" s="59"/>
      <c r="EV263" s="59"/>
      <c r="EW263" s="59"/>
      <c r="EX263" s="59"/>
      <c r="EY263" s="59"/>
      <c r="EZ263" s="59"/>
      <c r="FA263" s="59"/>
      <c r="FB263" s="59"/>
      <c r="FC263" s="59"/>
      <c r="FD263" s="59"/>
      <c r="FE263" s="59"/>
      <c r="FF263" s="59"/>
      <c r="FG263" s="59"/>
      <c r="FH263" s="59"/>
      <c r="FI263" s="59"/>
      <c r="FJ263" s="59"/>
      <c r="FK263" s="59"/>
      <c r="FL263" s="59"/>
      <c r="FM263" s="59"/>
      <c r="FN263" s="59"/>
      <c r="FO263" s="59"/>
      <c r="FP263" s="59"/>
      <c r="FQ263" s="59"/>
      <c r="FR263" s="59"/>
      <c r="FS263" s="59"/>
      <c r="FT263" s="59"/>
      <c r="FU263" s="59"/>
      <c r="FV263" s="59"/>
      <c r="FW263" s="59"/>
      <c r="FX263" s="59"/>
      <c r="FY263" s="59"/>
      <c r="FZ263" s="59"/>
      <c r="GA263" s="59"/>
      <c r="GB263" s="59"/>
      <c r="GC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/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/>
      <c r="FV264" s="59"/>
      <c r="FW264" s="59"/>
      <c r="FX264" s="59"/>
      <c r="FY264" s="59"/>
      <c r="FZ264" s="59"/>
      <c r="GA264" s="59"/>
      <c r="GB264" s="59"/>
      <c r="GC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  <c r="ES267" s="59"/>
      <c r="ET267" s="59"/>
      <c r="EU267" s="59"/>
      <c r="EV267" s="59"/>
      <c r="EW267" s="59"/>
      <c r="EX267" s="59"/>
      <c r="EY267" s="59"/>
      <c r="EZ267" s="59"/>
      <c r="FA267" s="59"/>
      <c r="FB267" s="59"/>
      <c r="FC267" s="59"/>
      <c r="FD267" s="59"/>
      <c r="FE267" s="59"/>
      <c r="FF267" s="59"/>
      <c r="FG267" s="59"/>
      <c r="FH267" s="59"/>
      <c r="FI267" s="59"/>
      <c r="FJ267" s="59"/>
      <c r="FK267" s="59"/>
      <c r="FL267" s="59"/>
      <c r="FM267" s="59"/>
      <c r="FN267" s="59"/>
      <c r="FO267" s="59"/>
      <c r="FP267" s="59"/>
      <c r="FQ267" s="59"/>
      <c r="FR267" s="59"/>
      <c r="FS267" s="59"/>
      <c r="FT267" s="59"/>
      <c r="FU267" s="59"/>
      <c r="FV267" s="59"/>
      <c r="FW267" s="59"/>
      <c r="FX267" s="59"/>
      <c r="FY267" s="59"/>
      <c r="FZ267" s="59"/>
      <c r="GA267" s="59"/>
      <c r="GB267" s="59"/>
      <c r="GC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  <c r="ES268" s="59"/>
      <c r="ET268" s="59"/>
      <c r="EU268" s="59"/>
      <c r="EV268" s="59"/>
      <c r="EW268" s="59"/>
      <c r="EX268" s="59"/>
      <c r="EY268" s="59"/>
      <c r="EZ268" s="59"/>
      <c r="FA268" s="59"/>
      <c r="FB268" s="59"/>
      <c r="FC268" s="59"/>
      <c r="FD268" s="59"/>
      <c r="FE268" s="59"/>
      <c r="FF268" s="59"/>
      <c r="FG268" s="59"/>
      <c r="FH268" s="59"/>
      <c r="FI268" s="59"/>
      <c r="FJ268" s="59"/>
      <c r="FK268" s="59"/>
      <c r="FL268" s="59"/>
      <c r="FM268" s="59"/>
      <c r="FN268" s="59"/>
      <c r="FO268" s="59"/>
      <c r="FP268" s="59"/>
      <c r="FQ268" s="59"/>
      <c r="FR268" s="59"/>
      <c r="FS268" s="59"/>
      <c r="FT268" s="59"/>
      <c r="FU268" s="59"/>
      <c r="FV268" s="59"/>
      <c r="FW268" s="59"/>
      <c r="FX268" s="59"/>
      <c r="FY268" s="59"/>
      <c r="FZ268" s="59"/>
      <c r="GA268" s="59"/>
      <c r="GB268" s="59"/>
      <c r="GC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  <c r="ES269" s="59"/>
      <c r="ET269" s="59"/>
      <c r="EU269" s="59"/>
      <c r="EV269" s="59"/>
      <c r="EW269" s="59"/>
      <c r="EX269" s="59"/>
      <c r="EY269" s="59"/>
      <c r="EZ269" s="59"/>
      <c r="FA269" s="59"/>
      <c r="FB269" s="59"/>
      <c r="FC269" s="59"/>
      <c r="FD269" s="59"/>
      <c r="FE269" s="59"/>
      <c r="FF269" s="59"/>
      <c r="FG269" s="59"/>
      <c r="FH269" s="59"/>
      <c r="FI269" s="59"/>
      <c r="FJ269" s="59"/>
      <c r="FK269" s="59"/>
      <c r="FL269" s="59"/>
      <c r="FM269" s="59"/>
      <c r="FN269" s="59"/>
      <c r="FO269" s="59"/>
      <c r="FP269" s="59"/>
      <c r="FQ269" s="59"/>
      <c r="FR269" s="59"/>
      <c r="FS269" s="59"/>
      <c r="FT269" s="59"/>
      <c r="FU269" s="59"/>
      <c r="FV269" s="59"/>
      <c r="FW269" s="59"/>
      <c r="FX269" s="59"/>
      <c r="FY269" s="59"/>
      <c r="FZ269" s="59"/>
      <c r="GA269" s="59"/>
      <c r="GB269" s="59"/>
      <c r="GC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  <c r="ES270" s="59"/>
      <c r="ET270" s="59"/>
      <c r="EU270" s="59"/>
      <c r="EV270" s="59"/>
      <c r="EW270" s="59"/>
      <c r="EX270" s="59"/>
      <c r="EY270" s="59"/>
      <c r="EZ270" s="59"/>
      <c r="FA270" s="59"/>
      <c r="FB270" s="59"/>
      <c r="FC270" s="59"/>
      <c r="FD270" s="59"/>
      <c r="FE270" s="59"/>
      <c r="FF270" s="59"/>
      <c r="FG270" s="59"/>
      <c r="FH270" s="59"/>
      <c r="FI270" s="59"/>
      <c r="FJ270" s="59"/>
      <c r="FK270" s="59"/>
      <c r="FL270" s="59"/>
      <c r="FM270" s="59"/>
      <c r="FN270" s="59"/>
      <c r="FO270" s="59"/>
      <c r="FP270" s="59"/>
      <c r="FQ270" s="59"/>
      <c r="FR270" s="59"/>
      <c r="FS270" s="59"/>
      <c r="FT270" s="59"/>
      <c r="FU270" s="59"/>
      <c r="FV270" s="59"/>
      <c r="FW270" s="59"/>
      <c r="FX270" s="59"/>
      <c r="FY270" s="59"/>
      <c r="FZ270" s="59"/>
      <c r="GA270" s="59"/>
      <c r="GB270" s="59"/>
      <c r="GC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/>
      <c r="EW271" s="59"/>
      <c r="EX271" s="59"/>
      <c r="EY271" s="59"/>
      <c r="EZ271" s="59"/>
      <c r="FA271" s="59"/>
      <c r="FB271" s="59"/>
      <c r="FC271" s="59"/>
      <c r="FD271" s="59"/>
      <c r="FE271" s="59"/>
      <c r="FF271" s="59"/>
      <c r="FG271" s="59"/>
      <c r="FH271" s="59"/>
      <c r="FI271" s="59"/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/>
      <c r="FW271" s="59"/>
      <c r="FX271" s="59"/>
      <c r="FY271" s="59"/>
      <c r="FZ271" s="59"/>
      <c r="GA271" s="59"/>
      <c r="GB271" s="59"/>
      <c r="GC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/>
      <c r="EW272" s="59"/>
      <c r="EX272" s="59"/>
      <c r="EY272" s="59"/>
      <c r="EZ272" s="59"/>
      <c r="FA272" s="59"/>
      <c r="FB272" s="59"/>
      <c r="FC272" s="59"/>
      <c r="FD272" s="59"/>
      <c r="FE272" s="59"/>
      <c r="FF272" s="59"/>
      <c r="FG272" s="59"/>
      <c r="FH272" s="59"/>
      <c r="FI272" s="59"/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/>
      <c r="FW272" s="59"/>
      <c r="FX272" s="59"/>
      <c r="FY272" s="59"/>
      <c r="FZ272" s="59"/>
      <c r="GA272" s="59"/>
      <c r="GB272" s="59"/>
      <c r="GC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  <c r="ES274" s="59"/>
      <c r="ET274" s="59"/>
      <c r="EU274" s="59"/>
      <c r="EV274" s="59"/>
      <c r="EW274" s="59"/>
      <c r="EX274" s="59"/>
      <c r="EY274" s="59"/>
      <c r="EZ274" s="59"/>
      <c r="FA274" s="59"/>
      <c r="FB274" s="59"/>
      <c r="FC274" s="59"/>
      <c r="FD274" s="59"/>
      <c r="FE274" s="59"/>
      <c r="FF274" s="59"/>
      <c r="FG274" s="59"/>
      <c r="FH274" s="59"/>
      <c r="FI274" s="59"/>
      <c r="FJ274" s="59"/>
      <c r="FK274" s="59"/>
      <c r="FL274" s="59"/>
      <c r="FM274" s="59"/>
      <c r="FN274" s="59"/>
      <c r="FO274" s="59"/>
      <c r="FP274" s="59"/>
      <c r="FQ274" s="59"/>
      <c r="FR274" s="59"/>
      <c r="FS274" s="59"/>
      <c r="FT274" s="59"/>
      <c r="FU274" s="59"/>
      <c r="FV274" s="59"/>
      <c r="FW274" s="59"/>
      <c r="FX274" s="59"/>
      <c r="FY274" s="59"/>
      <c r="FZ274" s="59"/>
      <c r="GA274" s="59"/>
      <c r="GB274" s="59"/>
      <c r="GC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/>
      <c r="EW275" s="59"/>
      <c r="EX275" s="59"/>
      <c r="EY275" s="59"/>
      <c r="EZ275" s="59"/>
      <c r="FA275" s="59"/>
      <c r="FB275" s="59"/>
      <c r="FC275" s="59"/>
      <c r="FD275" s="59"/>
      <c r="FE275" s="59"/>
      <c r="FF275" s="59"/>
      <c r="FG275" s="59"/>
      <c r="FH275" s="59"/>
      <c r="FI275" s="59"/>
      <c r="FJ275" s="59"/>
      <c r="FK275" s="59"/>
      <c r="FL275" s="59"/>
      <c r="FM275" s="59"/>
      <c r="FN275" s="59"/>
      <c r="FO275" s="59"/>
      <c r="FP275" s="59"/>
      <c r="FQ275" s="59"/>
      <c r="FR275" s="59"/>
      <c r="FS275" s="59"/>
      <c r="FT275" s="59"/>
      <c r="FU275" s="59"/>
      <c r="FV275" s="59"/>
      <c r="FW275" s="59"/>
      <c r="FX275" s="59"/>
      <c r="FY275" s="59"/>
      <c r="FZ275" s="59"/>
      <c r="GA275" s="59"/>
      <c r="GB275" s="59"/>
      <c r="GC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/>
      <c r="EW276" s="59"/>
      <c r="EX276" s="59"/>
      <c r="EY276" s="59"/>
      <c r="EZ276" s="59"/>
      <c r="FA276" s="59"/>
      <c r="FB276" s="59"/>
      <c r="FC276" s="59"/>
      <c r="FD276" s="59"/>
      <c r="FE276" s="59"/>
      <c r="FF276" s="59"/>
      <c r="FG276" s="59"/>
      <c r="FH276" s="59"/>
      <c r="FI276" s="59"/>
      <c r="FJ276" s="59"/>
      <c r="FK276" s="59"/>
      <c r="FL276" s="59"/>
      <c r="FM276" s="59"/>
      <c r="FN276" s="59"/>
      <c r="FO276" s="59"/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/>
      <c r="EW277" s="59"/>
      <c r="EX277" s="59"/>
      <c r="EY277" s="59"/>
      <c r="EZ277" s="59"/>
      <c r="FA277" s="59"/>
      <c r="FB277" s="59"/>
      <c r="FC277" s="59"/>
      <c r="FD277" s="59"/>
      <c r="FE277" s="59"/>
      <c r="FF277" s="59"/>
      <c r="FG277" s="59"/>
      <c r="FH277" s="59"/>
      <c r="FI277" s="59"/>
      <c r="FJ277" s="59"/>
      <c r="FK277" s="59"/>
      <c r="FL277" s="59"/>
      <c r="FM277" s="59"/>
      <c r="FN277" s="59"/>
      <c r="FO277" s="59"/>
      <c r="FP277" s="59"/>
      <c r="FQ277" s="59"/>
      <c r="FR277" s="59"/>
      <c r="FS277" s="59"/>
      <c r="FT277" s="59"/>
      <c r="FU277" s="59"/>
      <c r="FV277" s="59"/>
      <c r="FW277" s="59"/>
      <c r="FX277" s="59"/>
      <c r="FY277" s="59"/>
      <c r="FZ277" s="59"/>
      <c r="GA277" s="59"/>
      <c r="GB277" s="59"/>
      <c r="GC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  <c r="ER278" s="59"/>
      <c r="ES278" s="59"/>
      <c r="ET278" s="59"/>
      <c r="EU278" s="59"/>
      <c r="EV278" s="59"/>
      <c r="EW278" s="59"/>
      <c r="EX278" s="59"/>
      <c r="EY278" s="59"/>
      <c r="EZ278" s="59"/>
      <c r="FA278" s="59"/>
      <c r="FB278" s="59"/>
      <c r="FC278" s="59"/>
      <c r="FD278" s="59"/>
      <c r="FE278" s="59"/>
      <c r="FF278" s="59"/>
      <c r="FG278" s="59"/>
      <c r="FH278" s="59"/>
      <c r="FI278" s="59"/>
      <c r="FJ278" s="59"/>
      <c r="FK278" s="59"/>
      <c r="FL278" s="59"/>
      <c r="FM278" s="59"/>
      <c r="FN278" s="59"/>
      <c r="FO278" s="59"/>
      <c r="FP278" s="59"/>
      <c r="FQ278" s="59"/>
      <c r="FR278" s="59"/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  <c r="ER279" s="59"/>
      <c r="ES279" s="59"/>
      <c r="ET279" s="59"/>
      <c r="EU279" s="59"/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/>
      <c r="FY279" s="59"/>
      <c r="FZ279" s="59"/>
      <c r="GA279" s="59"/>
      <c r="GB279" s="59"/>
      <c r="GC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  <c r="ER280" s="59"/>
      <c r="ES280" s="59"/>
      <c r="ET280" s="59"/>
      <c r="EU280" s="59"/>
      <c r="EV280" s="59"/>
      <c r="EW280" s="59"/>
      <c r="EX280" s="59"/>
      <c r="EY280" s="59"/>
      <c r="EZ280" s="59"/>
      <c r="FA280" s="59"/>
      <c r="FB280" s="59"/>
      <c r="FC280" s="59"/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/>
      <c r="GC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  <c r="ER281" s="59"/>
      <c r="ES281" s="59"/>
      <c r="ET281" s="59"/>
      <c r="EU281" s="59"/>
      <c r="EV281" s="59"/>
      <c r="EW281" s="59"/>
      <c r="EX281" s="59"/>
      <c r="EY281" s="59"/>
      <c r="EZ281" s="59"/>
      <c r="FA281" s="59"/>
      <c r="FB281" s="59"/>
      <c r="FC281" s="59"/>
      <c r="FD281" s="59"/>
      <c r="FE281" s="59"/>
      <c r="FF281" s="59"/>
      <c r="FG281" s="59"/>
      <c r="FH281" s="59"/>
      <c r="FI281" s="59"/>
      <c r="FJ281" s="59"/>
      <c r="FK281" s="59"/>
      <c r="FL281" s="59"/>
      <c r="FM281" s="59"/>
      <c r="FN281" s="59"/>
      <c r="FO281" s="59"/>
      <c r="FP281" s="59"/>
      <c r="FQ281" s="59"/>
      <c r="FR281" s="59"/>
      <c r="FS281" s="59"/>
      <c r="FT281" s="59"/>
      <c r="FU281" s="59"/>
      <c r="FV281" s="59"/>
      <c r="FW281" s="59"/>
      <c r="FX281" s="59"/>
      <c r="FY281" s="59"/>
      <c r="FZ281" s="59"/>
      <c r="GA281" s="59"/>
      <c r="GB281" s="59"/>
      <c r="GC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  <c r="ER282" s="59"/>
      <c r="ES282" s="59"/>
      <c r="ET282" s="59"/>
      <c r="EU282" s="59"/>
      <c r="EV282" s="59"/>
      <c r="EW282" s="59"/>
      <c r="EX282" s="59"/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/>
      <c r="FR282" s="59"/>
      <c r="FS282" s="59"/>
      <c r="FT282" s="59"/>
      <c r="FU282" s="59"/>
      <c r="FV282" s="59"/>
      <c r="FW282" s="59"/>
      <c r="FX282" s="59"/>
      <c r="FY282" s="59"/>
      <c r="FZ282" s="59"/>
      <c r="GA282" s="59"/>
      <c r="GB282" s="59"/>
      <c r="GC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/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/>
      <c r="FR284" s="59"/>
      <c r="FS284" s="59"/>
      <c r="FT284" s="59"/>
      <c r="FU284" s="59"/>
      <c r="FV284" s="59"/>
      <c r="FW284" s="59"/>
      <c r="FX284" s="59"/>
      <c r="FY284" s="59"/>
      <c r="FZ284" s="59"/>
      <c r="GA284" s="59"/>
      <c r="GB284" s="59"/>
      <c r="GC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9"/>
      <c r="DI286" s="59"/>
      <c r="DJ286" s="59"/>
      <c r="DK286" s="59"/>
      <c r="DL286" s="59"/>
      <c r="DM286" s="59"/>
      <c r="DN286" s="59"/>
      <c r="DO286" s="59"/>
      <c r="DP286" s="59"/>
      <c r="DQ286" s="59"/>
      <c r="DR286" s="59"/>
      <c r="DS286" s="59"/>
      <c r="DT286" s="59"/>
      <c r="DU286" s="59"/>
      <c r="DV286" s="59"/>
      <c r="DW286" s="59"/>
      <c r="DX286" s="59"/>
      <c r="DY286" s="59"/>
      <c r="DZ286" s="59"/>
      <c r="EA286" s="59"/>
      <c r="EB286" s="59"/>
      <c r="EC286" s="59"/>
      <c r="ED286" s="59"/>
      <c r="EE286" s="59"/>
      <c r="EF286" s="59"/>
      <c r="EG286" s="59"/>
      <c r="EH286" s="59"/>
      <c r="EI286" s="59"/>
      <c r="EJ286" s="59"/>
      <c r="EK286" s="59"/>
      <c r="EL286" s="59"/>
      <c r="EM286" s="59"/>
      <c r="EN286" s="59"/>
      <c r="EO286" s="59"/>
      <c r="EP286" s="59"/>
      <c r="EQ286" s="59"/>
      <c r="ER286" s="59"/>
      <c r="ES286" s="59"/>
      <c r="ET286" s="59"/>
      <c r="EU286" s="59"/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/>
      <c r="FV286" s="59"/>
      <c r="FW286" s="59"/>
      <c r="FX286" s="59"/>
      <c r="FY286" s="59"/>
      <c r="FZ286" s="59"/>
      <c r="GA286" s="59"/>
      <c r="GB286" s="59"/>
      <c r="GC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  <c r="DC287" s="59"/>
      <c r="DD287" s="59"/>
      <c r="DE287" s="59"/>
      <c r="DF287" s="59"/>
      <c r="DG287" s="59"/>
      <c r="DH287" s="59"/>
      <c r="DI287" s="59"/>
      <c r="DJ287" s="59"/>
      <c r="DK287" s="59"/>
      <c r="DL287" s="59"/>
      <c r="DM287" s="59"/>
      <c r="DN287" s="59"/>
      <c r="DO287" s="59"/>
      <c r="DP287" s="59"/>
      <c r="DQ287" s="59"/>
      <c r="DR287" s="59"/>
      <c r="DS287" s="59"/>
      <c r="DT287" s="59"/>
      <c r="DU287" s="59"/>
      <c r="DV287" s="59"/>
      <c r="DW287" s="59"/>
      <c r="DX287" s="59"/>
      <c r="DY287" s="59"/>
      <c r="DZ287" s="59"/>
      <c r="EA287" s="59"/>
      <c r="EB287" s="59"/>
      <c r="EC287" s="59"/>
      <c r="ED287" s="59"/>
      <c r="EE287" s="59"/>
      <c r="EF287" s="59"/>
      <c r="EG287" s="59"/>
      <c r="EH287" s="59"/>
      <c r="EI287" s="59"/>
      <c r="EJ287" s="59"/>
      <c r="EK287" s="59"/>
      <c r="EL287" s="59"/>
      <c r="EM287" s="59"/>
      <c r="EN287" s="59"/>
      <c r="EO287" s="59"/>
      <c r="EP287" s="59"/>
      <c r="EQ287" s="59"/>
      <c r="ER287" s="59"/>
      <c r="ES287" s="59"/>
      <c r="ET287" s="59"/>
      <c r="EU287" s="59"/>
      <c r="EV287" s="59"/>
      <c r="EW287" s="59"/>
      <c r="EX287" s="59"/>
      <c r="EY287" s="59"/>
      <c r="EZ287" s="59"/>
      <c r="FA287" s="59"/>
      <c r="FB287" s="59"/>
      <c r="FC287" s="59"/>
      <c r="FD287" s="59"/>
      <c r="FE287" s="59"/>
      <c r="FF287" s="59"/>
      <c r="FG287" s="59"/>
      <c r="FH287" s="59"/>
      <c r="FI287" s="59"/>
      <c r="FJ287" s="59"/>
      <c r="FK287" s="59"/>
      <c r="FL287" s="59"/>
      <c r="FM287" s="59"/>
      <c r="FN287" s="59"/>
      <c r="FO287" s="59"/>
      <c r="FP287" s="59"/>
      <c r="FQ287" s="59"/>
      <c r="FR287" s="59"/>
      <c r="FS287" s="59"/>
      <c r="FT287" s="59"/>
      <c r="FU287" s="59"/>
      <c r="FV287" s="59"/>
      <c r="FW287" s="59"/>
      <c r="FX287" s="59"/>
      <c r="FY287" s="59"/>
      <c r="FZ287" s="59"/>
      <c r="GA287" s="59"/>
      <c r="GB287" s="59"/>
      <c r="GC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  <c r="DC298" s="59"/>
      <c r="DD298" s="59"/>
      <c r="DE298" s="59"/>
      <c r="DF298" s="59"/>
      <c r="DG298" s="59"/>
      <c r="DH298" s="59"/>
      <c r="DI298" s="59"/>
      <c r="DJ298" s="59"/>
      <c r="DK298" s="59"/>
      <c r="DL298" s="59"/>
      <c r="DM298" s="59"/>
      <c r="DN298" s="59"/>
      <c r="DO298" s="59"/>
      <c r="DP298" s="59"/>
      <c r="DQ298" s="59"/>
      <c r="DR298" s="59"/>
      <c r="DS298" s="59"/>
      <c r="DT298" s="59"/>
      <c r="DU298" s="59"/>
      <c r="DV298" s="59"/>
      <c r="DW298" s="59"/>
      <c r="DX298" s="59"/>
      <c r="DY298" s="59"/>
      <c r="DZ298" s="59"/>
      <c r="EA298" s="59"/>
      <c r="EB298" s="59"/>
      <c r="EC298" s="59"/>
      <c r="ED298" s="59"/>
      <c r="EE298" s="59"/>
      <c r="EF298" s="59"/>
      <c r="EG298" s="59"/>
      <c r="EH298" s="59"/>
      <c r="EI298" s="59"/>
      <c r="EJ298" s="59"/>
      <c r="EK298" s="59"/>
      <c r="EL298" s="59"/>
      <c r="EM298" s="59"/>
      <c r="EN298" s="59"/>
      <c r="EO298" s="59"/>
      <c r="EP298" s="59"/>
      <c r="EQ298" s="59"/>
      <c r="ER298" s="59"/>
      <c r="ES298" s="59"/>
      <c r="ET298" s="59"/>
      <c r="EU298" s="59"/>
      <c r="EV298" s="59"/>
      <c r="EW298" s="59"/>
      <c r="EX298" s="59"/>
      <c r="EY298" s="59"/>
      <c r="EZ298" s="59"/>
      <c r="FA298" s="59"/>
      <c r="FB298" s="59"/>
      <c r="FC298" s="59"/>
      <c r="FD298" s="59"/>
      <c r="FE298" s="59"/>
      <c r="FF298" s="59"/>
      <c r="FG298" s="59"/>
      <c r="FH298" s="59"/>
      <c r="FI298" s="59"/>
      <c r="FJ298" s="59"/>
      <c r="FK298" s="59"/>
      <c r="FL298" s="59"/>
      <c r="FM298" s="59"/>
      <c r="FN298" s="59"/>
      <c r="FO298" s="59"/>
      <c r="FP298" s="59"/>
      <c r="FQ298" s="59"/>
      <c r="FR298" s="59"/>
      <c r="FS298" s="59"/>
      <c r="FT298" s="59"/>
      <c r="FU298" s="59"/>
      <c r="FV298" s="59"/>
      <c r="FW298" s="59"/>
      <c r="FX298" s="59"/>
      <c r="FY298" s="59"/>
      <c r="FZ298" s="59"/>
      <c r="GA298" s="59"/>
      <c r="GB298" s="59"/>
      <c r="GC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  <c r="DB301" s="59"/>
      <c r="DC301" s="59"/>
      <c r="DD301" s="59"/>
      <c r="DE301" s="59"/>
      <c r="DF301" s="59"/>
      <c r="DG301" s="59"/>
      <c r="DH301" s="59"/>
      <c r="DI301" s="59"/>
      <c r="DJ301" s="59"/>
      <c r="DK301" s="59"/>
      <c r="DL301" s="59"/>
      <c r="DM301" s="59"/>
      <c r="DN301" s="59"/>
      <c r="DO301" s="59"/>
      <c r="DP301" s="59"/>
      <c r="DQ301" s="59"/>
      <c r="DR301" s="59"/>
      <c r="DS301" s="59"/>
      <c r="DT301" s="59"/>
      <c r="DU301" s="59"/>
      <c r="DV301" s="59"/>
      <c r="DW301" s="59"/>
      <c r="DX301" s="59"/>
      <c r="DY301" s="59"/>
      <c r="DZ301" s="59"/>
      <c r="EA301" s="59"/>
      <c r="EB301" s="59"/>
      <c r="EC301" s="59"/>
      <c r="ED301" s="59"/>
      <c r="EE301" s="59"/>
      <c r="EF301" s="59"/>
      <c r="EG301" s="59"/>
      <c r="EH301" s="59"/>
      <c r="EI301" s="59"/>
      <c r="EJ301" s="59"/>
      <c r="EK301" s="59"/>
      <c r="EL301" s="59"/>
      <c r="EM301" s="59"/>
      <c r="EN301" s="59"/>
      <c r="EO301" s="59"/>
      <c r="EP301" s="59"/>
      <c r="EQ301" s="59"/>
      <c r="ER301" s="59"/>
      <c r="ES301" s="59"/>
      <c r="ET301" s="59"/>
      <c r="EU301" s="59"/>
      <c r="EV301" s="59"/>
      <c r="EW301" s="59"/>
      <c r="EX301" s="59"/>
      <c r="EY301" s="59"/>
      <c r="EZ301" s="59"/>
      <c r="FA301" s="59"/>
      <c r="FB301" s="59"/>
      <c r="FC301" s="59"/>
      <c r="FD301" s="59"/>
      <c r="FE301" s="59"/>
      <c r="FF301" s="59"/>
      <c r="FG301" s="59"/>
      <c r="FH301" s="59"/>
      <c r="FI301" s="59"/>
      <c r="FJ301" s="59"/>
      <c r="FK301" s="59"/>
      <c r="FL301" s="59"/>
      <c r="FM301" s="59"/>
      <c r="FN301" s="59"/>
      <c r="FO301" s="59"/>
      <c r="FP301" s="59"/>
      <c r="FQ301" s="59"/>
      <c r="FR301" s="59"/>
      <c r="FS301" s="59"/>
      <c r="FT301" s="59"/>
      <c r="FU301" s="59"/>
      <c r="FV301" s="59"/>
      <c r="FW301" s="59"/>
      <c r="FX301" s="59"/>
      <c r="FY301" s="59"/>
      <c r="FZ301" s="59"/>
      <c r="GA301" s="59"/>
      <c r="GB301" s="59"/>
      <c r="GC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  <c r="DB302" s="59"/>
      <c r="DC302" s="59"/>
      <c r="DD302" s="59"/>
      <c r="DE302" s="59"/>
      <c r="DF302" s="59"/>
      <c r="DG302" s="59"/>
      <c r="DH302" s="59"/>
      <c r="DI302" s="59"/>
      <c r="DJ302" s="59"/>
      <c r="DK302" s="59"/>
      <c r="DL302" s="59"/>
      <c r="DM302" s="59"/>
      <c r="DN302" s="59"/>
      <c r="DO302" s="59"/>
      <c r="DP302" s="59"/>
      <c r="DQ302" s="59"/>
      <c r="DR302" s="59"/>
      <c r="DS302" s="59"/>
      <c r="DT302" s="59"/>
      <c r="DU302" s="59"/>
      <c r="DV302" s="59"/>
      <c r="DW302" s="59"/>
      <c r="DX302" s="59"/>
      <c r="DY302" s="59"/>
      <c r="DZ302" s="59"/>
      <c r="EA302" s="59"/>
      <c r="EB302" s="59"/>
      <c r="EC302" s="59"/>
      <c r="ED302" s="59"/>
      <c r="EE302" s="59"/>
      <c r="EF302" s="59"/>
      <c r="EG302" s="59"/>
      <c r="EH302" s="59"/>
      <c r="EI302" s="59"/>
      <c r="EJ302" s="59"/>
      <c r="EK302" s="59"/>
      <c r="EL302" s="59"/>
      <c r="EM302" s="59"/>
      <c r="EN302" s="59"/>
      <c r="EO302" s="59"/>
      <c r="EP302" s="59"/>
      <c r="EQ302" s="59"/>
      <c r="ER302" s="59"/>
      <c r="ES302" s="59"/>
      <c r="ET302" s="59"/>
      <c r="EU302" s="59"/>
      <c r="EV302" s="59"/>
      <c r="EW302" s="59"/>
      <c r="EX302" s="59"/>
      <c r="EY302" s="59"/>
      <c r="EZ302" s="59"/>
      <c r="FA302" s="59"/>
      <c r="FB302" s="59"/>
      <c r="FC302" s="59"/>
      <c r="FD302" s="59"/>
      <c r="FE302" s="59"/>
      <c r="FF302" s="59"/>
      <c r="FG302" s="59"/>
      <c r="FH302" s="59"/>
      <c r="FI302" s="59"/>
      <c r="FJ302" s="59"/>
      <c r="FK302" s="59"/>
      <c r="FL302" s="59"/>
      <c r="FM302" s="59"/>
      <c r="FN302" s="59"/>
      <c r="FO302" s="59"/>
      <c r="FP302" s="59"/>
      <c r="FQ302" s="59"/>
      <c r="FR302" s="59"/>
      <c r="FS302" s="59"/>
      <c r="FT302" s="59"/>
      <c r="FU302" s="59"/>
      <c r="FV302" s="59"/>
      <c r="FW302" s="59"/>
      <c r="FX302" s="59"/>
      <c r="FY302" s="59"/>
      <c r="FZ302" s="59"/>
      <c r="GA302" s="59"/>
      <c r="GB302" s="59"/>
      <c r="GC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/>
      <c r="DR304" s="59"/>
      <c r="DS304" s="59"/>
      <c r="DT304" s="59"/>
      <c r="DU304" s="59"/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/>
      <c r="ES304" s="59"/>
      <c r="ET304" s="59"/>
      <c r="EU304" s="59"/>
      <c r="EV304" s="59"/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/>
      <c r="FH304" s="59"/>
      <c r="FI304" s="59"/>
      <c r="FJ304" s="59"/>
      <c r="FK304" s="59"/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/>
      <c r="GC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  <c r="DB306" s="59"/>
      <c r="DC306" s="59"/>
      <c r="DD306" s="59"/>
      <c r="DE306" s="59"/>
      <c r="DF306" s="59"/>
      <c r="DG306" s="59"/>
      <c r="DH306" s="59"/>
      <c r="DI306" s="59"/>
      <c r="DJ306" s="59"/>
      <c r="DK306" s="59"/>
      <c r="DL306" s="59"/>
      <c r="DM306" s="59"/>
      <c r="DN306" s="59"/>
      <c r="DO306" s="59"/>
      <c r="DP306" s="59"/>
      <c r="DQ306" s="59"/>
      <c r="DR306" s="59"/>
      <c r="DS306" s="59"/>
      <c r="DT306" s="59"/>
      <c r="DU306" s="59"/>
      <c r="DV306" s="59"/>
      <c r="DW306" s="59"/>
      <c r="DX306" s="59"/>
      <c r="DY306" s="59"/>
      <c r="DZ306" s="59"/>
      <c r="EA306" s="59"/>
      <c r="EB306" s="59"/>
      <c r="EC306" s="59"/>
      <c r="ED306" s="59"/>
      <c r="EE306" s="59"/>
      <c r="EF306" s="59"/>
      <c r="EG306" s="59"/>
      <c r="EH306" s="59"/>
      <c r="EI306" s="59"/>
      <c r="EJ306" s="59"/>
      <c r="EK306" s="59"/>
      <c r="EL306" s="59"/>
      <c r="EM306" s="59"/>
      <c r="EN306" s="59"/>
      <c r="EO306" s="59"/>
      <c r="EP306" s="59"/>
      <c r="EQ306" s="59"/>
      <c r="ER306" s="59"/>
      <c r="ES306" s="59"/>
      <c r="ET306" s="59"/>
      <c r="EU306" s="59"/>
      <c r="EV306" s="59"/>
      <c r="EW306" s="59"/>
      <c r="EX306" s="59"/>
      <c r="EY306" s="59"/>
      <c r="EZ306" s="59"/>
      <c r="FA306" s="59"/>
      <c r="FB306" s="59"/>
      <c r="FC306" s="59"/>
      <c r="FD306" s="59"/>
      <c r="FE306" s="59"/>
      <c r="FF306" s="59"/>
      <c r="FG306" s="59"/>
      <c r="FH306" s="59"/>
      <c r="FI306" s="59"/>
      <c r="FJ306" s="59"/>
      <c r="FK306" s="59"/>
      <c r="FL306" s="59"/>
      <c r="FM306" s="59"/>
      <c r="FN306" s="59"/>
      <c r="FO306" s="59"/>
      <c r="FP306" s="59"/>
      <c r="FQ306" s="59"/>
      <c r="FR306" s="59"/>
      <c r="FS306" s="59"/>
      <c r="FT306" s="59"/>
      <c r="FU306" s="59"/>
      <c r="FV306" s="59"/>
      <c r="FW306" s="59"/>
      <c r="FX306" s="59"/>
      <c r="FY306" s="59"/>
      <c r="FZ306" s="59"/>
      <c r="GA306" s="59"/>
      <c r="GB306" s="59"/>
      <c r="GC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  <c r="DB308" s="59"/>
      <c r="DC308" s="59"/>
      <c r="DD308" s="59"/>
      <c r="DE308" s="59"/>
      <c r="DF308" s="59"/>
      <c r="DG308" s="59"/>
      <c r="DH308" s="59"/>
      <c r="DI308" s="59"/>
      <c r="DJ308" s="59"/>
      <c r="DK308" s="59"/>
      <c r="DL308" s="59"/>
      <c r="DM308" s="59"/>
      <c r="DN308" s="59"/>
      <c r="DO308" s="59"/>
      <c r="DP308" s="59"/>
      <c r="DQ308" s="59"/>
      <c r="DR308" s="59"/>
      <c r="DS308" s="59"/>
      <c r="DT308" s="59"/>
      <c r="DU308" s="59"/>
      <c r="DV308" s="59"/>
      <c r="DW308" s="59"/>
      <c r="DX308" s="59"/>
      <c r="DY308" s="59"/>
      <c r="DZ308" s="59"/>
      <c r="EA308" s="59"/>
      <c r="EB308" s="59"/>
      <c r="EC308" s="59"/>
      <c r="ED308" s="59"/>
      <c r="EE308" s="59"/>
      <c r="EF308" s="59"/>
      <c r="EG308" s="59"/>
      <c r="EH308" s="59"/>
      <c r="EI308" s="59"/>
      <c r="EJ308" s="59"/>
      <c r="EK308" s="59"/>
      <c r="EL308" s="59"/>
      <c r="EM308" s="59"/>
      <c r="EN308" s="59"/>
      <c r="EO308" s="59"/>
      <c r="EP308" s="59"/>
      <c r="EQ308" s="59"/>
      <c r="ER308" s="59"/>
      <c r="ES308" s="59"/>
      <c r="ET308" s="59"/>
      <c r="EU308" s="59"/>
      <c r="EV308" s="59"/>
      <c r="EW308" s="59"/>
      <c r="EX308" s="59"/>
      <c r="EY308" s="59"/>
      <c r="EZ308" s="59"/>
      <c r="FA308" s="59"/>
      <c r="FB308" s="59"/>
      <c r="FC308" s="59"/>
      <c r="FD308" s="59"/>
      <c r="FE308" s="59"/>
      <c r="FF308" s="59"/>
      <c r="FG308" s="59"/>
      <c r="FH308" s="59"/>
      <c r="FI308" s="59"/>
      <c r="FJ308" s="59"/>
      <c r="FK308" s="59"/>
      <c r="FL308" s="59"/>
      <c r="FM308" s="59"/>
      <c r="FN308" s="59"/>
      <c r="FO308" s="59"/>
      <c r="FP308" s="59"/>
      <c r="FQ308" s="59"/>
      <c r="FR308" s="59"/>
      <c r="FS308" s="59"/>
      <c r="FT308" s="59"/>
      <c r="FU308" s="59"/>
      <c r="FV308" s="59"/>
      <c r="FW308" s="59"/>
      <c r="FX308" s="59"/>
      <c r="FY308" s="59"/>
      <c r="FZ308" s="59"/>
      <c r="GA308" s="59"/>
      <c r="GB308" s="59"/>
      <c r="GC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/>
      <c r="EW309" s="59"/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  <c r="DB311" s="59"/>
      <c r="DC311" s="59"/>
      <c r="DD311" s="59"/>
      <c r="DE311" s="59"/>
      <c r="DF311" s="59"/>
      <c r="DG311" s="59"/>
      <c r="DH311" s="59"/>
      <c r="DI311" s="59"/>
      <c r="DJ311" s="59"/>
      <c r="DK311" s="59"/>
      <c r="DL311" s="59"/>
      <c r="DM311" s="59"/>
      <c r="DN311" s="59"/>
      <c r="DO311" s="59"/>
      <c r="DP311" s="59"/>
      <c r="DQ311" s="59"/>
      <c r="DR311" s="59"/>
      <c r="DS311" s="59"/>
      <c r="DT311" s="59"/>
      <c r="DU311" s="59"/>
      <c r="DV311" s="59"/>
      <c r="DW311" s="59"/>
      <c r="DX311" s="59"/>
      <c r="DY311" s="59"/>
      <c r="DZ311" s="59"/>
      <c r="EA311" s="59"/>
      <c r="EB311" s="59"/>
      <c r="EC311" s="59"/>
      <c r="ED311" s="59"/>
      <c r="EE311" s="59"/>
      <c r="EF311" s="59"/>
      <c r="EG311" s="59"/>
      <c r="EH311" s="59"/>
      <c r="EI311" s="59"/>
      <c r="EJ311" s="59"/>
      <c r="EK311" s="59"/>
      <c r="EL311" s="59"/>
      <c r="EM311" s="59"/>
      <c r="EN311" s="59"/>
      <c r="EO311" s="59"/>
      <c r="EP311" s="59"/>
      <c r="EQ311" s="59"/>
      <c r="ER311" s="59"/>
      <c r="ES311" s="59"/>
      <c r="ET311" s="59"/>
      <c r="EU311" s="59"/>
      <c r="EV311" s="59"/>
      <c r="EW311" s="59"/>
      <c r="EX311" s="59"/>
      <c r="EY311" s="59"/>
      <c r="EZ311" s="59"/>
      <c r="FA311" s="59"/>
      <c r="FB311" s="59"/>
      <c r="FC311" s="59"/>
      <c r="FD311" s="59"/>
      <c r="FE311" s="59"/>
      <c r="FF311" s="59"/>
      <c r="FG311" s="59"/>
      <c r="FH311" s="59"/>
      <c r="FI311" s="59"/>
      <c r="FJ311" s="59"/>
      <c r="FK311" s="59"/>
      <c r="FL311" s="59"/>
      <c r="FM311" s="59"/>
      <c r="FN311" s="59"/>
      <c r="FO311" s="59"/>
      <c r="FP311" s="59"/>
      <c r="FQ311" s="59"/>
      <c r="FR311" s="59"/>
      <c r="FS311" s="59"/>
      <c r="FT311" s="59"/>
      <c r="FU311" s="59"/>
      <c r="FV311" s="59"/>
      <c r="FW311" s="59"/>
      <c r="FX311" s="59"/>
      <c r="FY311" s="59"/>
      <c r="FZ311" s="59"/>
      <c r="GA311" s="59"/>
      <c r="GB311" s="59"/>
      <c r="GC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  <c r="DB316" s="59"/>
      <c r="DC316" s="59"/>
      <c r="DD316" s="59"/>
      <c r="DE316" s="59"/>
      <c r="DF316" s="59"/>
      <c r="DG316" s="59"/>
      <c r="DH316" s="59"/>
      <c r="DI316" s="59"/>
      <c r="DJ316" s="59"/>
      <c r="DK316" s="59"/>
      <c r="DL316" s="59"/>
      <c r="DM316" s="59"/>
      <c r="DN316" s="59"/>
      <c r="DO316" s="59"/>
      <c r="DP316" s="59"/>
      <c r="DQ316" s="59"/>
      <c r="DR316" s="59"/>
      <c r="DS316" s="59"/>
      <c r="DT316" s="59"/>
      <c r="DU316" s="59"/>
      <c r="DV316" s="59"/>
      <c r="DW316" s="59"/>
      <c r="DX316" s="59"/>
      <c r="DY316" s="59"/>
      <c r="DZ316" s="59"/>
      <c r="EA316" s="59"/>
      <c r="EB316" s="59"/>
      <c r="EC316" s="59"/>
      <c r="ED316" s="59"/>
      <c r="EE316" s="59"/>
      <c r="EF316" s="59"/>
      <c r="EG316" s="59"/>
      <c r="EH316" s="59"/>
      <c r="EI316" s="59"/>
      <c r="EJ316" s="59"/>
      <c r="EK316" s="59"/>
      <c r="EL316" s="59"/>
      <c r="EM316" s="59"/>
      <c r="EN316" s="59"/>
      <c r="EO316" s="59"/>
      <c r="EP316" s="59"/>
      <c r="EQ316" s="59"/>
      <c r="ER316" s="59"/>
      <c r="ES316" s="59"/>
      <c r="ET316" s="59"/>
      <c r="EU316" s="59"/>
      <c r="EV316" s="59"/>
      <c r="EW316" s="59"/>
      <c r="EX316" s="59"/>
      <c r="EY316" s="59"/>
      <c r="EZ316" s="59"/>
      <c r="FA316" s="59"/>
      <c r="FB316" s="59"/>
      <c r="FC316" s="59"/>
      <c r="FD316" s="59"/>
      <c r="FE316" s="59"/>
      <c r="FF316" s="59"/>
      <c r="FG316" s="59"/>
      <c r="FH316" s="59"/>
      <c r="FI316" s="59"/>
      <c r="FJ316" s="59"/>
      <c r="FK316" s="59"/>
      <c r="FL316" s="59"/>
      <c r="FM316" s="59"/>
      <c r="FN316" s="59"/>
      <c r="FO316" s="59"/>
      <c r="FP316" s="59"/>
      <c r="FQ316" s="59"/>
      <c r="FR316" s="59"/>
      <c r="FS316" s="59"/>
      <c r="FT316" s="59"/>
      <c r="FU316" s="59"/>
      <c r="FV316" s="59"/>
      <c r="FW316" s="59"/>
      <c r="FX316" s="59"/>
      <c r="FY316" s="59"/>
      <c r="FZ316" s="59"/>
      <c r="GA316" s="59"/>
      <c r="GB316" s="59"/>
      <c r="GC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  <c r="DB317" s="59"/>
      <c r="DC317" s="59"/>
      <c r="DD317" s="59"/>
      <c r="DE317" s="59"/>
      <c r="DF317" s="59"/>
      <c r="DG317" s="59"/>
      <c r="DH317" s="59"/>
      <c r="DI317" s="59"/>
      <c r="DJ317" s="59"/>
      <c r="DK317" s="59"/>
      <c r="DL317" s="59"/>
      <c r="DM317" s="59"/>
      <c r="DN317" s="59"/>
      <c r="DO317" s="59"/>
      <c r="DP317" s="59"/>
      <c r="DQ317" s="59"/>
      <c r="DR317" s="59"/>
      <c r="DS317" s="59"/>
      <c r="DT317" s="59"/>
      <c r="DU317" s="59"/>
      <c r="DV317" s="59"/>
      <c r="DW317" s="59"/>
      <c r="DX317" s="59"/>
      <c r="DY317" s="59"/>
      <c r="DZ317" s="59"/>
      <c r="EA317" s="59"/>
      <c r="EB317" s="59"/>
      <c r="EC317" s="59"/>
      <c r="ED317" s="59"/>
      <c r="EE317" s="59"/>
      <c r="EF317" s="59"/>
      <c r="EG317" s="59"/>
      <c r="EH317" s="59"/>
      <c r="EI317" s="59"/>
      <c r="EJ317" s="59"/>
      <c r="EK317" s="59"/>
      <c r="EL317" s="59"/>
      <c r="EM317" s="59"/>
      <c r="EN317" s="59"/>
      <c r="EO317" s="59"/>
      <c r="EP317" s="59"/>
      <c r="EQ317" s="59"/>
      <c r="ER317" s="59"/>
      <c r="ES317" s="59"/>
      <c r="ET317" s="59"/>
      <c r="EU317" s="59"/>
      <c r="EV317" s="59"/>
      <c r="EW317" s="59"/>
      <c r="EX317" s="59"/>
      <c r="EY317" s="59"/>
      <c r="EZ317" s="59"/>
      <c r="FA317" s="59"/>
      <c r="FB317" s="59"/>
      <c r="FC317" s="59"/>
      <c r="FD317" s="59"/>
      <c r="FE317" s="59"/>
      <c r="FF317" s="59"/>
      <c r="FG317" s="59"/>
      <c r="FH317" s="59"/>
      <c r="FI317" s="59"/>
      <c r="FJ317" s="59"/>
      <c r="FK317" s="59"/>
      <c r="FL317" s="59"/>
      <c r="FM317" s="59"/>
      <c r="FN317" s="59"/>
      <c r="FO317" s="59"/>
      <c r="FP317" s="59"/>
      <c r="FQ317" s="59"/>
      <c r="FR317" s="59"/>
      <c r="FS317" s="59"/>
      <c r="FT317" s="59"/>
      <c r="FU317" s="59"/>
      <c r="FV317" s="59"/>
      <c r="FW317" s="59"/>
      <c r="FX317" s="59"/>
      <c r="FY317" s="59"/>
      <c r="FZ317" s="59"/>
      <c r="GA317" s="59"/>
      <c r="GB317" s="59"/>
      <c r="GC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  <c r="DB318" s="59"/>
      <c r="DC318" s="59"/>
      <c r="DD318" s="59"/>
      <c r="DE318" s="59"/>
      <c r="DF318" s="59"/>
      <c r="DG318" s="59"/>
      <c r="DH318" s="59"/>
      <c r="DI318" s="59"/>
      <c r="DJ318" s="59"/>
      <c r="DK318" s="59"/>
      <c r="DL318" s="59"/>
      <c r="DM318" s="59"/>
      <c r="DN318" s="59"/>
      <c r="DO318" s="59"/>
      <c r="DP318" s="59"/>
      <c r="DQ318" s="59"/>
      <c r="DR318" s="59"/>
      <c r="DS318" s="59"/>
      <c r="DT318" s="59"/>
      <c r="DU318" s="59"/>
      <c r="DV318" s="59"/>
      <c r="DW318" s="59"/>
      <c r="DX318" s="59"/>
      <c r="DY318" s="59"/>
      <c r="DZ318" s="59"/>
      <c r="EA318" s="59"/>
      <c r="EB318" s="59"/>
      <c r="EC318" s="59"/>
      <c r="ED318" s="59"/>
      <c r="EE318" s="59"/>
      <c r="EF318" s="59"/>
      <c r="EG318" s="59"/>
      <c r="EH318" s="59"/>
      <c r="EI318" s="59"/>
      <c r="EJ318" s="59"/>
      <c r="EK318" s="59"/>
      <c r="EL318" s="59"/>
      <c r="EM318" s="59"/>
      <c r="EN318" s="59"/>
      <c r="EO318" s="59"/>
      <c r="EP318" s="59"/>
      <c r="EQ318" s="59"/>
      <c r="ER318" s="59"/>
      <c r="ES318" s="59"/>
      <c r="ET318" s="59"/>
      <c r="EU318" s="59"/>
      <c r="EV318" s="59"/>
      <c r="EW318" s="59"/>
      <c r="EX318" s="59"/>
      <c r="EY318" s="59"/>
      <c r="EZ318" s="59"/>
      <c r="FA318" s="59"/>
      <c r="FB318" s="59"/>
      <c r="FC318" s="59"/>
      <c r="FD318" s="59"/>
      <c r="FE318" s="59"/>
      <c r="FF318" s="59"/>
      <c r="FG318" s="59"/>
      <c r="FH318" s="59"/>
      <c r="FI318" s="59"/>
      <c r="FJ318" s="59"/>
      <c r="FK318" s="59"/>
      <c r="FL318" s="59"/>
      <c r="FM318" s="59"/>
      <c r="FN318" s="59"/>
      <c r="FO318" s="59"/>
      <c r="FP318" s="59"/>
      <c r="FQ318" s="59"/>
      <c r="FR318" s="59"/>
      <c r="FS318" s="59"/>
      <c r="FT318" s="59"/>
      <c r="FU318" s="59"/>
      <c r="FV318" s="59"/>
      <c r="FW318" s="59"/>
      <c r="FX318" s="59"/>
      <c r="FY318" s="59"/>
      <c r="FZ318" s="59"/>
      <c r="GA318" s="59"/>
      <c r="GB318" s="59"/>
      <c r="GC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  <c r="DB319" s="59"/>
      <c r="DC319" s="59"/>
      <c r="DD319" s="59"/>
      <c r="DE319" s="59"/>
      <c r="DF319" s="59"/>
      <c r="DG319" s="59"/>
      <c r="DH319" s="59"/>
      <c r="DI319" s="59"/>
      <c r="DJ319" s="59"/>
      <c r="DK319" s="59"/>
      <c r="DL319" s="59"/>
      <c r="DM319" s="59"/>
      <c r="DN319" s="59"/>
      <c r="DO319" s="59"/>
      <c r="DP319" s="59"/>
      <c r="DQ319" s="59"/>
      <c r="DR319" s="59"/>
      <c r="DS319" s="59"/>
      <c r="DT319" s="59"/>
      <c r="DU319" s="59"/>
      <c r="DV319" s="59"/>
      <c r="DW319" s="59"/>
      <c r="DX319" s="59"/>
      <c r="DY319" s="59"/>
      <c r="DZ319" s="59"/>
      <c r="EA319" s="59"/>
      <c r="EB319" s="59"/>
      <c r="EC319" s="59"/>
      <c r="ED319" s="59"/>
      <c r="EE319" s="59"/>
      <c r="EF319" s="59"/>
      <c r="EG319" s="59"/>
      <c r="EH319" s="59"/>
      <c r="EI319" s="59"/>
      <c r="EJ319" s="59"/>
      <c r="EK319" s="59"/>
      <c r="EL319" s="59"/>
      <c r="EM319" s="59"/>
      <c r="EN319" s="59"/>
      <c r="EO319" s="59"/>
      <c r="EP319" s="59"/>
      <c r="EQ319" s="59"/>
      <c r="ER319" s="59"/>
      <c r="ES319" s="59"/>
      <c r="ET319" s="59"/>
      <c r="EU319" s="59"/>
      <c r="EV319" s="59"/>
      <c r="EW319" s="59"/>
      <c r="EX319" s="59"/>
      <c r="EY319" s="59"/>
      <c r="EZ319" s="59"/>
      <c r="FA319" s="59"/>
      <c r="FB319" s="59"/>
      <c r="FC319" s="59"/>
      <c r="FD319" s="59"/>
      <c r="FE319" s="59"/>
      <c r="FF319" s="59"/>
      <c r="FG319" s="59"/>
      <c r="FH319" s="59"/>
      <c r="FI319" s="59"/>
      <c r="FJ319" s="59"/>
      <c r="FK319" s="59"/>
      <c r="FL319" s="59"/>
      <c r="FM319" s="59"/>
      <c r="FN319" s="59"/>
      <c r="FO319" s="59"/>
      <c r="FP319" s="59"/>
      <c r="FQ319" s="59"/>
      <c r="FR319" s="59"/>
      <c r="FS319" s="59"/>
      <c r="FT319" s="59"/>
      <c r="FU319" s="59"/>
      <c r="FV319" s="59"/>
      <c r="FW319" s="59"/>
      <c r="FX319" s="59"/>
      <c r="FY319" s="59"/>
      <c r="FZ319" s="59"/>
      <c r="GA319" s="59"/>
      <c r="GB319" s="59"/>
      <c r="GC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/>
      <c r="DO321" s="59"/>
      <c r="DP321" s="59"/>
      <c r="DQ321" s="59"/>
      <c r="DR321" s="59"/>
      <c r="DS321" s="59"/>
      <c r="DT321" s="59"/>
      <c r="DU321" s="59"/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/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  <c r="DB322" s="59"/>
      <c r="DC322" s="59"/>
      <c r="DD322" s="59"/>
      <c r="DE322" s="59"/>
      <c r="DF322" s="59"/>
      <c r="DG322" s="59"/>
      <c r="DH322" s="59"/>
      <c r="DI322" s="59"/>
      <c r="DJ322" s="59"/>
      <c r="DK322" s="59"/>
      <c r="DL322" s="59"/>
      <c r="DM322" s="59"/>
      <c r="DN322" s="59"/>
      <c r="DO322" s="59"/>
      <c r="DP322" s="59"/>
      <c r="DQ322" s="59"/>
      <c r="DR322" s="59"/>
      <c r="DS322" s="59"/>
      <c r="DT322" s="59"/>
      <c r="DU322" s="59"/>
      <c r="DV322" s="59"/>
      <c r="DW322" s="59"/>
      <c r="DX322" s="59"/>
      <c r="DY322" s="59"/>
      <c r="DZ322" s="59"/>
      <c r="EA322" s="59"/>
      <c r="EB322" s="59"/>
      <c r="EC322" s="59"/>
      <c r="ED322" s="59"/>
      <c r="EE322" s="59"/>
      <c r="EF322" s="59"/>
      <c r="EG322" s="59"/>
      <c r="EH322" s="59"/>
      <c r="EI322" s="59"/>
      <c r="EJ322" s="59"/>
      <c r="EK322" s="59"/>
      <c r="EL322" s="59"/>
      <c r="EM322" s="59"/>
      <c r="EN322" s="59"/>
      <c r="EO322" s="59"/>
      <c r="EP322" s="59"/>
      <c r="EQ322" s="59"/>
      <c r="ER322" s="59"/>
      <c r="ES322" s="59"/>
      <c r="ET322" s="59"/>
      <c r="EU322" s="59"/>
      <c r="EV322" s="59"/>
      <c r="EW322" s="59"/>
      <c r="EX322" s="59"/>
      <c r="EY322" s="59"/>
      <c r="EZ322" s="59"/>
      <c r="FA322" s="59"/>
      <c r="FB322" s="59"/>
      <c r="FC322" s="59"/>
      <c r="FD322" s="59"/>
      <c r="FE322" s="59"/>
      <c r="FF322" s="59"/>
      <c r="FG322" s="59"/>
      <c r="FH322" s="59"/>
      <c r="FI322" s="59"/>
      <c r="FJ322" s="59"/>
      <c r="FK322" s="59"/>
      <c r="FL322" s="59"/>
      <c r="FM322" s="59"/>
      <c r="FN322" s="59"/>
      <c r="FO322" s="59"/>
      <c r="FP322" s="59"/>
      <c r="FQ322" s="59"/>
      <c r="FR322" s="59"/>
      <c r="FS322" s="59"/>
      <c r="FT322" s="59"/>
      <c r="FU322" s="59"/>
      <c r="FV322" s="59"/>
      <c r="FW322" s="59"/>
      <c r="FX322" s="59"/>
      <c r="FY322" s="59"/>
      <c r="FZ322" s="59"/>
      <c r="GA322" s="59"/>
      <c r="GB322" s="59"/>
      <c r="GC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  <c r="DB323" s="59"/>
      <c r="DC323" s="59"/>
      <c r="DD323" s="59"/>
      <c r="DE323" s="59"/>
      <c r="DF323" s="59"/>
      <c r="DG323" s="59"/>
      <c r="DH323" s="59"/>
      <c r="DI323" s="59"/>
      <c r="DJ323" s="59"/>
      <c r="DK323" s="59"/>
      <c r="DL323" s="59"/>
      <c r="DM323" s="59"/>
      <c r="DN323" s="59"/>
      <c r="DO323" s="59"/>
      <c r="DP323" s="59"/>
      <c r="DQ323" s="59"/>
      <c r="DR323" s="59"/>
      <c r="DS323" s="59"/>
      <c r="DT323" s="59"/>
      <c r="DU323" s="59"/>
      <c r="DV323" s="59"/>
      <c r="DW323" s="59"/>
      <c r="DX323" s="59"/>
      <c r="DY323" s="59"/>
      <c r="DZ323" s="59"/>
      <c r="EA323" s="59"/>
      <c r="EB323" s="59"/>
      <c r="EC323" s="59"/>
      <c r="ED323" s="59"/>
      <c r="EE323" s="59"/>
      <c r="EF323" s="59"/>
      <c r="EG323" s="59"/>
      <c r="EH323" s="59"/>
      <c r="EI323" s="59"/>
      <c r="EJ323" s="59"/>
      <c r="EK323" s="59"/>
      <c r="EL323" s="59"/>
      <c r="EM323" s="59"/>
      <c r="EN323" s="59"/>
      <c r="EO323" s="59"/>
      <c r="EP323" s="59"/>
      <c r="EQ323" s="59"/>
      <c r="ER323" s="59"/>
      <c r="ES323" s="59"/>
      <c r="ET323" s="59"/>
      <c r="EU323" s="59"/>
      <c r="EV323" s="59"/>
      <c r="EW323" s="59"/>
      <c r="EX323" s="59"/>
      <c r="EY323" s="59"/>
      <c r="EZ323" s="59"/>
      <c r="FA323" s="59"/>
      <c r="FB323" s="59"/>
      <c r="FC323" s="59"/>
      <c r="FD323" s="59"/>
      <c r="FE323" s="59"/>
      <c r="FF323" s="59"/>
      <c r="FG323" s="59"/>
      <c r="FH323" s="59"/>
      <c r="FI323" s="59"/>
      <c r="FJ323" s="59"/>
      <c r="FK323" s="59"/>
      <c r="FL323" s="59"/>
      <c r="FM323" s="59"/>
      <c r="FN323" s="59"/>
      <c r="FO323" s="59"/>
      <c r="FP323" s="59"/>
      <c r="FQ323" s="59"/>
      <c r="FR323" s="59"/>
      <c r="FS323" s="59"/>
      <c r="FT323" s="59"/>
      <c r="FU323" s="59"/>
      <c r="FV323" s="59"/>
      <c r="FW323" s="59"/>
      <c r="FX323" s="59"/>
      <c r="FY323" s="59"/>
      <c r="FZ323" s="59"/>
      <c r="GA323" s="59"/>
      <c r="GB323" s="59"/>
      <c r="GC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  <c r="DB324" s="59"/>
      <c r="DC324" s="59"/>
      <c r="DD324" s="59"/>
      <c r="DE324" s="59"/>
      <c r="DF324" s="59"/>
      <c r="DG324" s="59"/>
      <c r="DH324" s="59"/>
      <c r="DI324" s="59"/>
      <c r="DJ324" s="59"/>
      <c r="DK324" s="59"/>
      <c r="DL324" s="59"/>
      <c r="DM324" s="59"/>
      <c r="DN324" s="59"/>
      <c r="DO324" s="59"/>
      <c r="DP324" s="59"/>
      <c r="DQ324" s="59"/>
      <c r="DR324" s="59"/>
      <c r="DS324" s="59"/>
      <c r="DT324" s="59"/>
      <c r="DU324" s="59"/>
      <c r="DV324" s="59"/>
      <c r="DW324" s="59"/>
      <c r="DX324" s="59"/>
      <c r="DY324" s="59"/>
      <c r="DZ324" s="59"/>
      <c r="EA324" s="59"/>
      <c r="EB324" s="59"/>
      <c r="EC324" s="59"/>
      <c r="ED324" s="59"/>
      <c r="EE324" s="59"/>
      <c r="EF324" s="59"/>
      <c r="EG324" s="59"/>
      <c r="EH324" s="59"/>
      <c r="EI324" s="59"/>
      <c r="EJ324" s="59"/>
      <c r="EK324" s="59"/>
      <c r="EL324" s="59"/>
      <c r="EM324" s="59"/>
      <c r="EN324" s="59"/>
      <c r="EO324" s="59"/>
      <c r="EP324" s="59"/>
      <c r="EQ324" s="59"/>
      <c r="ER324" s="59"/>
      <c r="ES324" s="59"/>
      <c r="ET324" s="59"/>
      <c r="EU324" s="59"/>
      <c r="EV324" s="59"/>
      <c r="EW324" s="59"/>
      <c r="EX324" s="59"/>
      <c r="EY324" s="59"/>
      <c r="EZ324" s="59"/>
      <c r="FA324" s="59"/>
      <c r="FB324" s="59"/>
      <c r="FC324" s="59"/>
      <c r="FD324" s="59"/>
      <c r="FE324" s="59"/>
      <c r="FF324" s="59"/>
      <c r="FG324" s="59"/>
      <c r="FH324" s="59"/>
      <c r="FI324" s="59"/>
      <c r="FJ324" s="59"/>
      <c r="FK324" s="59"/>
      <c r="FL324" s="59"/>
      <c r="FM324" s="59"/>
      <c r="FN324" s="59"/>
      <c r="FO324" s="59"/>
      <c r="FP324" s="59"/>
      <c r="FQ324" s="59"/>
      <c r="FR324" s="59"/>
      <c r="FS324" s="59"/>
      <c r="FT324" s="59"/>
      <c r="FU324" s="59"/>
      <c r="FV324" s="59"/>
      <c r="FW324" s="59"/>
      <c r="FX324" s="59"/>
      <c r="FY324" s="59"/>
      <c r="FZ324" s="59"/>
      <c r="GA324" s="59"/>
      <c r="GB324" s="59"/>
      <c r="GC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  <c r="DB325" s="59"/>
      <c r="DC325" s="59"/>
      <c r="DD325" s="59"/>
      <c r="DE325" s="59"/>
      <c r="DF325" s="59"/>
      <c r="DG325" s="59"/>
      <c r="DH325" s="59"/>
      <c r="DI325" s="59"/>
      <c r="DJ325" s="59"/>
      <c r="DK325" s="59"/>
      <c r="DL325" s="59"/>
      <c r="DM325" s="59"/>
      <c r="DN325" s="59"/>
      <c r="DO325" s="59"/>
      <c r="DP325" s="59"/>
      <c r="DQ325" s="59"/>
      <c r="DR325" s="59"/>
      <c r="DS325" s="59"/>
      <c r="DT325" s="59"/>
      <c r="DU325" s="59"/>
      <c r="DV325" s="59"/>
      <c r="DW325" s="59"/>
      <c r="DX325" s="59"/>
      <c r="DY325" s="59"/>
      <c r="DZ325" s="59"/>
      <c r="EA325" s="59"/>
      <c r="EB325" s="59"/>
      <c r="EC325" s="59"/>
      <c r="ED325" s="59"/>
      <c r="EE325" s="59"/>
      <c r="EF325" s="59"/>
      <c r="EG325" s="59"/>
      <c r="EH325" s="59"/>
      <c r="EI325" s="59"/>
      <c r="EJ325" s="59"/>
      <c r="EK325" s="59"/>
      <c r="EL325" s="59"/>
      <c r="EM325" s="59"/>
      <c r="EN325" s="59"/>
      <c r="EO325" s="59"/>
      <c r="EP325" s="59"/>
      <c r="EQ325" s="59"/>
      <c r="ER325" s="59"/>
      <c r="ES325" s="59"/>
      <c r="ET325" s="59"/>
      <c r="EU325" s="59"/>
      <c r="EV325" s="59"/>
      <c r="EW325" s="59"/>
      <c r="EX325" s="59"/>
      <c r="EY325" s="59"/>
      <c r="EZ325" s="59"/>
      <c r="FA325" s="59"/>
      <c r="FB325" s="59"/>
      <c r="FC325" s="59"/>
      <c r="FD325" s="59"/>
      <c r="FE325" s="59"/>
      <c r="FF325" s="59"/>
      <c r="FG325" s="59"/>
      <c r="FH325" s="59"/>
      <c r="FI325" s="59"/>
      <c r="FJ325" s="59"/>
      <c r="FK325" s="59"/>
      <c r="FL325" s="59"/>
      <c r="FM325" s="59"/>
      <c r="FN325" s="59"/>
      <c r="FO325" s="59"/>
      <c r="FP325" s="59"/>
      <c r="FQ325" s="59"/>
      <c r="FR325" s="59"/>
      <c r="FS325" s="59"/>
      <c r="FT325" s="59"/>
      <c r="FU325" s="59"/>
      <c r="FV325" s="59"/>
      <c r="FW325" s="59"/>
      <c r="FX325" s="59"/>
      <c r="FY325" s="59"/>
      <c r="FZ325" s="59"/>
      <c r="GA325" s="59"/>
      <c r="GB325" s="59"/>
      <c r="GC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  <c r="DB326" s="59"/>
      <c r="DC326" s="59"/>
      <c r="DD326" s="59"/>
      <c r="DE326" s="59"/>
      <c r="DF326" s="59"/>
      <c r="DG326" s="59"/>
      <c r="DH326" s="59"/>
      <c r="DI326" s="59"/>
      <c r="DJ326" s="59"/>
      <c r="DK326" s="59"/>
      <c r="DL326" s="59"/>
      <c r="DM326" s="59"/>
      <c r="DN326" s="59"/>
      <c r="DO326" s="59"/>
      <c r="DP326" s="59"/>
      <c r="DQ326" s="59"/>
      <c r="DR326" s="59"/>
      <c r="DS326" s="59"/>
      <c r="DT326" s="59"/>
      <c r="DU326" s="59"/>
      <c r="DV326" s="59"/>
      <c r="DW326" s="59"/>
      <c r="DX326" s="59"/>
      <c r="DY326" s="59"/>
      <c r="DZ326" s="59"/>
      <c r="EA326" s="59"/>
      <c r="EB326" s="59"/>
      <c r="EC326" s="59"/>
      <c r="ED326" s="59"/>
      <c r="EE326" s="59"/>
      <c r="EF326" s="59"/>
      <c r="EG326" s="59"/>
      <c r="EH326" s="59"/>
      <c r="EI326" s="59"/>
      <c r="EJ326" s="59"/>
      <c r="EK326" s="59"/>
      <c r="EL326" s="59"/>
      <c r="EM326" s="59"/>
      <c r="EN326" s="59"/>
      <c r="EO326" s="59"/>
      <c r="EP326" s="59"/>
      <c r="EQ326" s="59"/>
      <c r="ER326" s="59"/>
      <c r="ES326" s="59"/>
      <c r="ET326" s="59"/>
      <c r="EU326" s="59"/>
      <c r="EV326" s="59"/>
      <c r="EW326" s="59"/>
      <c r="EX326" s="59"/>
      <c r="EY326" s="59"/>
      <c r="EZ326" s="59"/>
      <c r="FA326" s="59"/>
      <c r="FB326" s="59"/>
      <c r="FC326" s="59"/>
      <c r="FD326" s="59"/>
      <c r="FE326" s="59"/>
      <c r="FF326" s="59"/>
      <c r="FG326" s="59"/>
      <c r="FH326" s="59"/>
      <c r="FI326" s="59"/>
      <c r="FJ326" s="59"/>
      <c r="FK326" s="59"/>
      <c r="FL326" s="59"/>
      <c r="FM326" s="59"/>
      <c r="FN326" s="59"/>
      <c r="FO326" s="59"/>
      <c r="FP326" s="59"/>
      <c r="FQ326" s="59"/>
      <c r="FR326" s="59"/>
      <c r="FS326" s="59"/>
      <c r="FT326" s="59"/>
      <c r="FU326" s="59"/>
      <c r="FV326" s="59"/>
      <c r="FW326" s="59"/>
      <c r="FX326" s="59"/>
      <c r="FY326" s="59"/>
      <c r="FZ326" s="59"/>
      <c r="GA326" s="59"/>
      <c r="GB326" s="59"/>
      <c r="GC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  <c r="DB327" s="59"/>
      <c r="DC327" s="59"/>
      <c r="DD327" s="59"/>
      <c r="DE327" s="59"/>
      <c r="DF327" s="59"/>
      <c r="DG327" s="59"/>
      <c r="DH327" s="59"/>
      <c r="DI327" s="59"/>
      <c r="DJ327" s="59"/>
      <c r="DK327" s="59"/>
      <c r="DL327" s="59"/>
      <c r="DM327" s="59"/>
      <c r="DN327" s="59"/>
      <c r="DO327" s="59"/>
      <c r="DP327" s="59"/>
      <c r="DQ327" s="59"/>
      <c r="DR327" s="59"/>
      <c r="DS327" s="59"/>
      <c r="DT327" s="59"/>
      <c r="DU327" s="59"/>
      <c r="DV327" s="59"/>
      <c r="DW327" s="59"/>
      <c r="DX327" s="59"/>
      <c r="DY327" s="59"/>
      <c r="DZ327" s="59"/>
      <c r="EA327" s="59"/>
      <c r="EB327" s="59"/>
      <c r="EC327" s="59"/>
      <c r="ED327" s="59"/>
      <c r="EE327" s="59"/>
      <c r="EF327" s="59"/>
      <c r="EG327" s="59"/>
      <c r="EH327" s="59"/>
      <c r="EI327" s="59"/>
      <c r="EJ327" s="59"/>
      <c r="EK327" s="59"/>
      <c r="EL327" s="59"/>
      <c r="EM327" s="59"/>
      <c r="EN327" s="59"/>
      <c r="EO327" s="59"/>
      <c r="EP327" s="59"/>
      <c r="EQ327" s="59"/>
      <c r="ER327" s="59"/>
      <c r="ES327" s="59"/>
      <c r="ET327" s="59"/>
      <c r="EU327" s="59"/>
      <c r="EV327" s="59"/>
      <c r="EW327" s="59"/>
      <c r="EX327" s="59"/>
      <c r="EY327" s="59"/>
      <c r="EZ327" s="59"/>
      <c r="FA327" s="59"/>
      <c r="FB327" s="59"/>
      <c r="FC327" s="59"/>
      <c r="FD327" s="59"/>
      <c r="FE327" s="59"/>
      <c r="FF327" s="59"/>
      <c r="FG327" s="59"/>
      <c r="FH327" s="59"/>
      <c r="FI327" s="59"/>
      <c r="FJ327" s="59"/>
      <c r="FK327" s="59"/>
      <c r="FL327" s="59"/>
      <c r="FM327" s="59"/>
      <c r="FN327" s="59"/>
      <c r="FO327" s="59"/>
      <c r="FP327" s="59"/>
      <c r="FQ327" s="59"/>
      <c r="FR327" s="59"/>
      <c r="FS327" s="59"/>
      <c r="FT327" s="59"/>
      <c r="FU327" s="59"/>
      <c r="FV327" s="59"/>
      <c r="FW327" s="59"/>
      <c r="FX327" s="59"/>
      <c r="FY327" s="59"/>
      <c r="FZ327" s="59"/>
      <c r="GA327" s="59"/>
      <c r="GB327" s="59"/>
      <c r="GC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  <c r="DB328" s="59"/>
      <c r="DC328" s="59"/>
      <c r="DD328" s="59"/>
      <c r="DE328" s="59"/>
      <c r="DF328" s="59"/>
      <c r="DG328" s="59"/>
      <c r="DH328" s="59"/>
      <c r="DI328" s="59"/>
      <c r="DJ328" s="59"/>
      <c r="DK328" s="59"/>
      <c r="DL328" s="59"/>
      <c r="DM328" s="59"/>
      <c r="DN328" s="59"/>
      <c r="DO328" s="59"/>
      <c r="DP328" s="59"/>
      <c r="DQ328" s="59"/>
      <c r="DR328" s="59"/>
      <c r="DS328" s="59"/>
      <c r="DT328" s="59"/>
      <c r="DU328" s="59"/>
      <c r="DV328" s="59"/>
      <c r="DW328" s="59"/>
      <c r="DX328" s="59"/>
      <c r="DY328" s="59"/>
      <c r="DZ328" s="59"/>
      <c r="EA328" s="59"/>
      <c r="EB328" s="59"/>
      <c r="EC328" s="59"/>
      <c r="ED328" s="59"/>
      <c r="EE328" s="59"/>
      <c r="EF328" s="59"/>
      <c r="EG328" s="59"/>
      <c r="EH328" s="59"/>
      <c r="EI328" s="59"/>
      <c r="EJ328" s="59"/>
      <c r="EK328" s="59"/>
      <c r="EL328" s="59"/>
      <c r="EM328" s="59"/>
      <c r="EN328" s="59"/>
      <c r="EO328" s="59"/>
      <c r="EP328" s="59"/>
      <c r="EQ328" s="59"/>
      <c r="ER328" s="59"/>
      <c r="ES328" s="59"/>
      <c r="ET328" s="59"/>
      <c r="EU328" s="59"/>
      <c r="EV328" s="59"/>
      <c r="EW328" s="59"/>
      <c r="EX328" s="59"/>
      <c r="EY328" s="59"/>
      <c r="EZ328" s="59"/>
      <c r="FA328" s="59"/>
      <c r="FB328" s="59"/>
      <c r="FC328" s="59"/>
      <c r="FD328" s="59"/>
      <c r="FE328" s="59"/>
      <c r="FF328" s="59"/>
      <c r="FG328" s="59"/>
      <c r="FH328" s="59"/>
      <c r="FI328" s="59"/>
      <c r="FJ328" s="59"/>
      <c r="FK328" s="59"/>
      <c r="FL328" s="59"/>
      <c r="FM328" s="59"/>
      <c r="FN328" s="59"/>
      <c r="FO328" s="59"/>
      <c r="FP328" s="59"/>
      <c r="FQ328" s="59"/>
      <c r="FR328" s="59"/>
      <c r="FS328" s="59"/>
      <c r="FT328" s="59"/>
      <c r="FU328" s="59"/>
      <c r="FV328" s="59"/>
      <c r="FW328" s="59"/>
      <c r="FX328" s="59"/>
      <c r="FY328" s="59"/>
      <c r="FZ328" s="59"/>
      <c r="GA328" s="59"/>
      <c r="GB328" s="59"/>
      <c r="GC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  <c r="CL332" s="59"/>
      <c r="CM332" s="59"/>
      <c r="CN332" s="59"/>
      <c r="CO332" s="59"/>
      <c r="CP332" s="59"/>
      <c r="CQ332" s="59"/>
      <c r="CR332" s="59"/>
      <c r="CS332" s="59"/>
      <c r="CT332" s="59"/>
      <c r="CU332" s="59"/>
      <c r="CV332" s="59"/>
      <c r="CW332" s="59"/>
      <c r="CX332" s="59"/>
      <c r="CY332" s="59"/>
      <c r="CZ332" s="59"/>
      <c r="DA332" s="59"/>
      <c r="DB332" s="59"/>
      <c r="DC332" s="59"/>
      <c r="DD332" s="59"/>
      <c r="DE332" s="59"/>
      <c r="DF332" s="59"/>
      <c r="DG332" s="59"/>
      <c r="DH332" s="59"/>
      <c r="DI332" s="59"/>
      <c r="DJ332" s="59"/>
      <c r="DK332" s="59"/>
      <c r="DL332" s="59"/>
      <c r="DM332" s="59"/>
      <c r="DN332" s="59"/>
      <c r="DO332" s="59"/>
      <c r="DP332" s="59"/>
      <c r="DQ332" s="59"/>
      <c r="DR332" s="59"/>
      <c r="DS332" s="59"/>
      <c r="DT332" s="59"/>
      <c r="DU332" s="59"/>
      <c r="DV332" s="59"/>
      <c r="DW332" s="59"/>
      <c r="DX332" s="59"/>
      <c r="DY332" s="59"/>
      <c r="DZ332" s="59"/>
      <c r="EA332" s="59"/>
      <c r="EB332" s="59"/>
      <c r="EC332" s="59"/>
      <c r="ED332" s="59"/>
      <c r="EE332" s="59"/>
      <c r="EF332" s="59"/>
      <c r="EG332" s="59"/>
      <c r="EH332" s="59"/>
      <c r="EI332" s="59"/>
      <c r="EJ332" s="59"/>
      <c r="EK332" s="59"/>
      <c r="EL332" s="59"/>
      <c r="EM332" s="59"/>
      <c r="EN332" s="59"/>
      <c r="EO332" s="59"/>
      <c r="EP332" s="59"/>
      <c r="EQ332" s="59"/>
      <c r="ER332" s="59"/>
      <c r="ES332" s="59"/>
      <c r="ET332" s="59"/>
      <c r="EU332" s="59"/>
      <c r="EV332" s="59"/>
      <c r="EW332" s="59"/>
      <c r="EX332" s="59"/>
      <c r="EY332" s="59"/>
      <c r="EZ332" s="59"/>
      <c r="FA332" s="59"/>
      <c r="FB332" s="59"/>
      <c r="FC332" s="59"/>
      <c r="FD332" s="59"/>
      <c r="FE332" s="59"/>
      <c r="FF332" s="59"/>
      <c r="FG332" s="59"/>
      <c r="FH332" s="59"/>
      <c r="FI332" s="59"/>
      <c r="FJ332" s="59"/>
      <c r="FK332" s="59"/>
      <c r="FL332" s="59"/>
      <c r="FM332" s="59"/>
      <c r="FN332" s="59"/>
      <c r="FO332" s="59"/>
      <c r="FP332" s="59"/>
      <c r="FQ332" s="59"/>
      <c r="FR332" s="59"/>
      <c r="FS332" s="59"/>
      <c r="FT332" s="59"/>
      <c r="FU332" s="59"/>
      <c r="FV332" s="59"/>
      <c r="FW332" s="59"/>
      <c r="FX332" s="59"/>
      <c r="FY332" s="59"/>
      <c r="FZ332" s="59"/>
      <c r="GA332" s="59"/>
      <c r="GB332" s="59"/>
      <c r="GC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  <c r="CL333" s="59"/>
      <c r="CM333" s="59"/>
      <c r="CN333" s="59"/>
      <c r="CO333" s="59"/>
      <c r="CP333" s="59"/>
      <c r="CQ333" s="59"/>
      <c r="CR333" s="59"/>
      <c r="CS333" s="59"/>
      <c r="CT333" s="59"/>
      <c r="CU333" s="59"/>
      <c r="CV333" s="59"/>
      <c r="CW333" s="59"/>
      <c r="CX333" s="59"/>
      <c r="CY333" s="59"/>
      <c r="CZ333" s="59"/>
      <c r="DA333" s="59"/>
      <c r="DB333" s="59"/>
      <c r="DC333" s="59"/>
      <c r="DD333" s="59"/>
      <c r="DE333" s="59"/>
      <c r="DF333" s="59"/>
      <c r="DG333" s="59"/>
      <c r="DH333" s="59"/>
      <c r="DI333" s="59"/>
      <c r="DJ333" s="59"/>
      <c r="DK333" s="59"/>
      <c r="DL333" s="59"/>
      <c r="DM333" s="59"/>
      <c r="DN333" s="59"/>
      <c r="DO333" s="59"/>
      <c r="DP333" s="59"/>
      <c r="DQ333" s="59"/>
      <c r="DR333" s="59"/>
      <c r="DS333" s="59"/>
      <c r="DT333" s="59"/>
      <c r="DU333" s="59"/>
      <c r="DV333" s="59"/>
      <c r="DW333" s="59"/>
      <c r="DX333" s="59"/>
      <c r="DY333" s="59"/>
      <c r="DZ333" s="59"/>
      <c r="EA333" s="59"/>
      <c r="EB333" s="59"/>
      <c r="EC333" s="59"/>
      <c r="ED333" s="59"/>
      <c r="EE333" s="59"/>
      <c r="EF333" s="59"/>
      <c r="EG333" s="59"/>
      <c r="EH333" s="59"/>
      <c r="EI333" s="59"/>
      <c r="EJ333" s="59"/>
      <c r="EK333" s="59"/>
      <c r="EL333" s="59"/>
      <c r="EM333" s="59"/>
      <c r="EN333" s="59"/>
      <c r="EO333" s="59"/>
      <c r="EP333" s="59"/>
      <c r="EQ333" s="59"/>
      <c r="ER333" s="59"/>
      <c r="ES333" s="59"/>
      <c r="ET333" s="59"/>
      <c r="EU333" s="59"/>
      <c r="EV333" s="59"/>
      <c r="EW333" s="59"/>
      <c r="EX333" s="59"/>
      <c r="EY333" s="59"/>
      <c r="EZ333" s="59"/>
      <c r="FA333" s="59"/>
      <c r="FB333" s="59"/>
      <c r="FC333" s="59"/>
      <c r="FD333" s="59"/>
      <c r="FE333" s="59"/>
      <c r="FF333" s="59"/>
      <c r="FG333" s="59"/>
      <c r="FH333" s="59"/>
      <c r="FI333" s="59"/>
      <c r="FJ333" s="59"/>
      <c r="FK333" s="59"/>
      <c r="FL333" s="59"/>
      <c r="FM333" s="59"/>
      <c r="FN333" s="59"/>
      <c r="FO333" s="59"/>
      <c r="FP333" s="59"/>
      <c r="FQ333" s="59"/>
      <c r="FR333" s="59"/>
      <c r="FS333" s="59"/>
      <c r="FT333" s="59"/>
      <c r="FU333" s="59"/>
      <c r="FV333" s="59"/>
      <c r="FW333" s="59"/>
      <c r="FX333" s="59"/>
      <c r="FY333" s="59"/>
      <c r="FZ333" s="59"/>
      <c r="GA333" s="59"/>
      <c r="GB333" s="59"/>
      <c r="GC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  <c r="CL334" s="59"/>
      <c r="CM334" s="59"/>
      <c r="CN334" s="59"/>
      <c r="CO334" s="59"/>
      <c r="CP334" s="59"/>
      <c r="CQ334" s="59"/>
      <c r="CR334" s="59"/>
      <c r="CS334" s="59"/>
      <c r="CT334" s="59"/>
      <c r="CU334" s="59"/>
      <c r="CV334" s="59"/>
      <c r="CW334" s="59"/>
      <c r="CX334" s="59"/>
      <c r="CY334" s="59"/>
      <c r="CZ334" s="59"/>
      <c r="DA334" s="59"/>
      <c r="DB334" s="59"/>
      <c r="DC334" s="59"/>
      <c r="DD334" s="59"/>
      <c r="DE334" s="59"/>
      <c r="DF334" s="59"/>
      <c r="DG334" s="59"/>
      <c r="DH334" s="59"/>
      <c r="DI334" s="59"/>
      <c r="DJ334" s="59"/>
      <c r="DK334" s="59"/>
      <c r="DL334" s="59"/>
      <c r="DM334" s="59"/>
      <c r="DN334" s="59"/>
      <c r="DO334" s="59"/>
      <c r="DP334" s="59"/>
      <c r="DQ334" s="59"/>
      <c r="DR334" s="59"/>
      <c r="DS334" s="59"/>
      <c r="DT334" s="59"/>
      <c r="DU334" s="59"/>
      <c r="DV334" s="59"/>
      <c r="DW334" s="59"/>
      <c r="DX334" s="59"/>
      <c r="DY334" s="59"/>
      <c r="DZ334" s="59"/>
      <c r="EA334" s="59"/>
      <c r="EB334" s="59"/>
      <c r="EC334" s="59"/>
      <c r="ED334" s="59"/>
      <c r="EE334" s="59"/>
      <c r="EF334" s="59"/>
      <c r="EG334" s="59"/>
      <c r="EH334" s="59"/>
      <c r="EI334" s="59"/>
      <c r="EJ334" s="59"/>
      <c r="EK334" s="59"/>
      <c r="EL334" s="59"/>
      <c r="EM334" s="59"/>
      <c r="EN334" s="59"/>
      <c r="EO334" s="59"/>
      <c r="EP334" s="59"/>
      <c r="EQ334" s="59"/>
      <c r="ER334" s="59"/>
      <c r="ES334" s="59"/>
      <c r="ET334" s="59"/>
      <c r="EU334" s="59"/>
      <c r="EV334" s="59"/>
      <c r="EW334" s="59"/>
      <c r="EX334" s="59"/>
      <c r="EY334" s="59"/>
      <c r="EZ334" s="59"/>
      <c r="FA334" s="59"/>
      <c r="FB334" s="59"/>
      <c r="FC334" s="59"/>
      <c r="FD334" s="59"/>
      <c r="FE334" s="59"/>
      <c r="FF334" s="59"/>
      <c r="FG334" s="59"/>
      <c r="FH334" s="59"/>
      <c r="FI334" s="59"/>
      <c r="FJ334" s="59"/>
      <c r="FK334" s="59"/>
      <c r="FL334" s="59"/>
      <c r="FM334" s="59"/>
      <c r="FN334" s="59"/>
      <c r="FO334" s="59"/>
      <c r="FP334" s="59"/>
      <c r="FQ334" s="59"/>
      <c r="FR334" s="59"/>
      <c r="FS334" s="59"/>
      <c r="FT334" s="59"/>
      <c r="FU334" s="59"/>
      <c r="FV334" s="59"/>
      <c r="FW334" s="59"/>
      <c r="FX334" s="59"/>
      <c r="FY334" s="59"/>
      <c r="FZ334" s="59"/>
      <c r="GA334" s="59"/>
      <c r="GB334" s="59"/>
      <c r="GC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  <c r="CL335" s="59"/>
      <c r="CM335" s="59"/>
      <c r="CN335" s="59"/>
      <c r="CO335" s="59"/>
      <c r="CP335" s="59"/>
      <c r="CQ335" s="59"/>
      <c r="CR335" s="59"/>
      <c r="CS335" s="59"/>
      <c r="CT335" s="59"/>
      <c r="CU335" s="59"/>
      <c r="CV335" s="59"/>
      <c r="CW335" s="59"/>
      <c r="CX335" s="59"/>
      <c r="CY335" s="59"/>
      <c r="CZ335" s="59"/>
      <c r="DA335" s="59"/>
      <c r="DB335" s="59"/>
      <c r="DC335" s="59"/>
      <c r="DD335" s="59"/>
      <c r="DE335" s="59"/>
      <c r="DF335" s="59"/>
      <c r="DG335" s="59"/>
      <c r="DH335" s="59"/>
      <c r="DI335" s="59"/>
      <c r="DJ335" s="59"/>
      <c r="DK335" s="59"/>
      <c r="DL335" s="59"/>
      <c r="DM335" s="59"/>
      <c r="DN335" s="59"/>
      <c r="DO335" s="59"/>
      <c r="DP335" s="59"/>
      <c r="DQ335" s="59"/>
      <c r="DR335" s="59"/>
      <c r="DS335" s="59"/>
      <c r="DT335" s="59"/>
      <c r="DU335" s="59"/>
      <c r="DV335" s="59"/>
      <c r="DW335" s="59"/>
      <c r="DX335" s="59"/>
      <c r="DY335" s="59"/>
      <c r="DZ335" s="59"/>
      <c r="EA335" s="59"/>
      <c r="EB335" s="59"/>
      <c r="EC335" s="59"/>
      <c r="ED335" s="59"/>
      <c r="EE335" s="59"/>
      <c r="EF335" s="59"/>
      <c r="EG335" s="59"/>
      <c r="EH335" s="59"/>
      <c r="EI335" s="59"/>
      <c r="EJ335" s="59"/>
      <c r="EK335" s="59"/>
      <c r="EL335" s="59"/>
      <c r="EM335" s="59"/>
      <c r="EN335" s="59"/>
      <c r="EO335" s="59"/>
      <c r="EP335" s="59"/>
      <c r="EQ335" s="59"/>
      <c r="ER335" s="59"/>
      <c r="ES335" s="59"/>
      <c r="ET335" s="59"/>
      <c r="EU335" s="59"/>
      <c r="EV335" s="59"/>
      <c r="EW335" s="59"/>
      <c r="EX335" s="59"/>
      <c r="EY335" s="59"/>
      <c r="EZ335" s="59"/>
      <c r="FA335" s="59"/>
      <c r="FB335" s="59"/>
      <c r="FC335" s="59"/>
      <c r="FD335" s="59"/>
      <c r="FE335" s="59"/>
      <c r="FF335" s="59"/>
      <c r="FG335" s="59"/>
      <c r="FH335" s="59"/>
      <c r="FI335" s="59"/>
      <c r="FJ335" s="59"/>
      <c r="FK335" s="59"/>
      <c r="FL335" s="59"/>
      <c r="FM335" s="59"/>
      <c r="FN335" s="59"/>
      <c r="FO335" s="59"/>
      <c r="FP335" s="59"/>
      <c r="FQ335" s="59"/>
      <c r="FR335" s="59"/>
      <c r="FS335" s="59"/>
      <c r="FT335" s="59"/>
      <c r="FU335" s="59"/>
      <c r="FV335" s="59"/>
      <c r="FW335" s="59"/>
      <c r="FX335" s="59"/>
      <c r="FY335" s="59"/>
      <c r="FZ335" s="59"/>
      <c r="GA335" s="59"/>
      <c r="GB335" s="59"/>
      <c r="GC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  <c r="CL336" s="59"/>
      <c r="CM336" s="59"/>
      <c r="CN336" s="59"/>
      <c r="CO336" s="59"/>
      <c r="CP336" s="59"/>
      <c r="CQ336" s="59"/>
      <c r="CR336" s="59"/>
      <c r="CS336" s="59"/>
      <c r="CT336" s="59"/>
      <c r="CU336" s="59"/>
      <c r="CV336" s="59"/>
      <c r="CW336" s="59"/>
      <c r="CX336" s="59"/>
      <c r="CY336" s="59"/>
      <c r="CZ336" s="59"/>
      <c r="DA336" s="59"/>
      <c r="DB336" s="59"/>
      <c r="DC336" s="59"/>
      <c r="DD336" s="59"/>
      <c r="DE336" s="59"/>
      <c r="DF336" s="59"/>
      <c r="DG336" s="59"/>
      <c r="DH336" s="59"/>
      <c r="DI336" s="59"/>
      <c r="DJ336" s="59"/>
      <c r="DK336" s="59"/>
      <c r="DL336" s="59"/>
      <c r="DM336" s="59"/>
      <c r="DN336" s="59"/>
      <c r="DO336" s="59"/>
      <c r="DP336" s="59"/>
      <c r="DQ336" s="59"/>
      <c r="DR336" s="59"/>
      <c r="DS336" s="59"/>
      <c r="DT336" s="59"/>
      <c r="DU336" s="59"/>
      <c r="DV336" s="59"/>
      <c r="DW336" s="59"/>
      <c r="DX336" s="59"/>
      <c r="DY336" s="59"/>
      <c r="DZ336" s="59"/>
      <c r="EA336" s="59"/>
      <c r="EB336" s="59"/>
      <c r="EC336" s="59"/>
      <c r="ED336" s="59"/>
      <c r="EE336" s="59"/>
      <c r="EF336" s="59"/>
      <c r="EG336" s="59"/>
      <c r="EH336" s="59"/>
      <c r="EI336" s="59"/>
      <c r="EJ336" s="59"/>
      <c r="EK336" s="59"/>
      <c r="EL336" s="59"/>
      <c r="EM336" s="59"/>
      <c r="EN336" s="59"/>
      <c r="EO336" s="59"/>
      <c r="EP336" s="59"/>
      <c r="EQ336" s="59"/>
      <c r="ER336" s="59"/>
      <c r="ES336" s="59"/>
      <c r="ET336" s="59"/>
      <c r="EU336" s="59"/>
      <c r="EV336" s="59"/>
      <c r="EW336" s="59"/>
      <c r="EX336" s="59"/>
      <c r="EY336" s="59"/>
      <c r="EZ336" s="59"/>
      <c r="FA336" s="59"/>
      <c r="FB336" s="59"/>
      <c r="FC336" s="59"/>
      <c r="FD336" s="59"/>
      <c r="FE336" s="59"/>
      <c r="FF336" s="59"/>
      <c r="FG336" s="59"/>
      <c r="FH336" s="59"/>
      <c r="FI336" s="59"/>
      <c r="FJ336" s="59"/>
      <c r="FK336" s="59"/>
      <c r="FL336" s="59"/>
      <c r="FM336" s="59"/>
      <c r="FN336" s="59"/>
      <c r="FO336" s="59"/>
      <c r="FP336" s="59"/>
      <c r="FQ336" s="59"/>
      <c r="FR336" s="59"/>
      <c r="FS336" s="59"/>
      <c r="FT336" s="59"/>
      <c r="FU336" s="59"/>
      <c r="FV336" s="59"/>
      <c r="FW336" s="59"/>
      <c r="FX336" s="59"/>
      <c r="FY336" s="59"/>
      <c r="FZ336" s="59"/>
      <c r="GA336" s="59"/>
      <c r="GB336" s="59"/>
      <c r="GC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  <c r="CL337" s="59"/>
      <c r="CM337" s="59"/>
      <c r="CN337" s="59"/>
      <c r="CO337" s="59"/>
      <c r="CP337" s="59"/>
      <c r="CQ337" s="59"/>
      <c r="CR337" s="59"/>
      <c r="CS337" s="59"/>
      <c r="CT337" s="59"/>
      <c r="CU337" s="59"/>
      <c r="CV337" s="59"/>
      <c r="CW337" s="59"/>
      <c r="CX337" s="59"/>
      <c r="CY337" s="59"/>
      <c r="CZ337" s="59"/>
      <c r="DA337" s="59"/>
      <c r="DB337" s="59"/>
      <c r="DC337" s="59"/>
      <c r="DD337" s="59"/>
      <c r="DE337" s="59"/>
      <c r="DF337" s="59"/>
      <c r="DG337" s="59"/>
      <c r="DH337" s="59"/>
      <c r="DI337" s="59"/>
      <c r="DJ337" s="59"/>
      <c r="DK337" s="59"/>
      <c r="DL337" s="59"/>
      <c r="DM337" s="59"/>
      <c r="DN337" s="59"/>
      <c r="DO337" s="59"/>
      <c r="DP337" s="59"/>
      <c r="DQ337" s="59"/>
      <c r="DR337" s="59"/>
      <c r="DS337" s="59"/>
      <c r="DT337" s="59"/>
      <c r="DU337" s="59"/>
      <c r="DV337" s="59"/>
      <c r="DW337" s="59"/>
      <c r="DX337" s="59"/>
      <c r="DY337" s="59"/>
      <c r="DZ337" s="59"/>
      <c r="EA337" s="59"/>
      <c r="EB337" s="59"/>
      <c r="EC337" s="59"/>
      <c r="ED337" s="59"/>
      <c r="EE337" s="59"/>
      <c r="EF337" s="59"/>
      <c r="EG337" s="59"/>
      <c r="EH337" s="59"/>
      <c r="EI337" s="59"/>
      <c r="EJ337" s="59"/>
      <c r="EK337" s="59"/>
      <c r="EL337" s="59"/>
      <c r="EM337" s="59"/>
      <c r="EN337" s="59"/>
      <c r="EO337" s="59"/>
      <c r="EP337" s="59"/>
      <c r="EQ337" s="59"/>
      <c r="ER337" s="59"/>
      <c r="ES337" s="59"/>
      <c r="ET337" s="59"/>
      <c r="EU337" s="59"/>
      <c r="EV337" s="59"/>
      <c r="EW337" s="59"/>
      <c r="EX337" s="59"/>
      <c r="EY337" s="59"/>
      <c r="EZ337" s="59"/>
      <c r="FA337" s="59"/>
      <c r="FB337" s="59"/>
      <c r="FC337" s="59"/>
      <c r="FD337" s="59"/>
      <c r="FE337" s="59"/>
      <c r="FF337" s="59"/>
      <c r="FG337" s="59"/>
      <c r="FH337" s="59"/>
      <c r="FI337" s="59"/>
      <c r="FJ337" s="59"/>
      <c r="FK337" s="59"/>
      <c r="FL337" s="59"/>
      <c r="FM337" s="59"/>
      <c r="FN337" s="59"/>
      <c r="FO337" s="59"/>
      <c r="FP337" s="59"/>
      <c r="FQ337" s="59"/>
      <c r="FR337" s="59"/>
      <c r="FS337" s="59"/>
      <c r="FT337" s="59"/>
      <c r="FU337" s="59"/>
      <c r="FV337" s="59"/>
      <c r="FW337" s="59"/>
      <c r="FX337" s="59"/>
      <c r="FY337" s="59"/>
      <c r="FZ337" s="59"/>
      <c r="GA337" s="59"/>
      <c r="GB337" s="59"/>
      <c r="GC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  <c r="CL338" s="59"/>
      <c r="CM338" s="59"/>
      <c r="CN338" s="59"/>
      <c r="CO338" s="59"/>
      <c r="CP338" s="59"/>
      <c r="CQ338" s="59"/>
      <c r="CR338" s="59"/>
      <c r="CS338" s="59"/>
      <c r="CT338" s="59"/>
      <c r="CU338" s="59"/>
      <c r="CV338" s="59"/>
      <c r="CW338" s="59"/>
      <c r="CX338" s="59"/>
      <c r="CY338" s="59"/>
      <c r="CZ338" s="59"/>
      <c r="DA338" s="59"/>
      <c r="DB338" s="59"/>
      <c r="DC338" s="59"/>
      <c r="DD338" s="59"/>
      <c r="DE338" s="59"/>
      <c r="DF338" s="59"/>
      <c r="DG338" s="59"/>
      <c r="DH338" s="59"/>
      <c r="DI338" s="59"/>
      <c r="DJ338" s="59"/>
      <c r="DK338" s="59"/>
      <c r="DL338" s="59"/>
      <c r="DM338" s="59"/>
      <c r="DN338" s="59"/>
      <c r="DO338" s="59"/>
      <c r="DP338" s="59"/>
      <c r="DQ338" s="59"/>
      <c r="DR338" s="59"/>
      <c r="DS338" s="59"/>
      <c r="DT338" s="59"/>
      <c r="DU338" s="59"/>
      <c r="DV338" s="59"/>
      <c r="DW338" s="59"/>
      <c r="DX338" s="59"/>
      <c r="DY338" s="59"/>
      <c r="DZ338" s="59"/>
      <c r="EA338" s="59"/>
      <c r="EB338" s="59"/>
      <c r="EC338" s="59"/>
      <c r="ED338" s="59"/>
      <c r="EE338" s="59"/>
      <c r="EF338" s="59"/>
      <c r="EG338" s="59"/>
      <c r="EH338" s="59"/>
      <c r="EI338" s="59"/>
      <c r="EJ338" s="59"/>
      <c r="EK338" s="59"/>
      <c r="EL338" s="59"/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/>
      <c r="FD338" s="59"/>
      <c r="FE338" s="59"/>
      <c r="FF338" s="59"/>
      <c r="FG338" s="59"/>
      <c r="FH338" s="59"/>
      <c r="FI338" s="59"/>
      <c r="FJ338" s="59"/>
      <c r="FK338" s="59"/>
      <c r="FL338" s="59"/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  <c r="CL339" s="59"/>
      <c r="CM339" s="59"/>
      <c r="CN339" s="59"/>
      <c r="CO339" s="59"/>
      <c r="CP339" s="59"/>
      <c r="CQ339" s="59"/>
      <c r="CR339" s="59"/>
      <c r="CS339" s="59"/>
      <c r="CT339" s="59"/>
      <c r="CU339" s="59"/>
      <c r="CV339" s="59"/>
      <c r="CW339" s="59"/>
      <c r="CX339" s="59"/>
      <c r="CY339" s="59"/>
      <c r="CZ339" s="59"/>
      <c r="DA339" s="59"/>
      <c r="DB339" s="59"/>
      <c r="DC339" s="59"/>
      <c r="DD339" s="59"/>
      <c r="DE339" s="59"/>
      <c r="DF339" s="59"/>
      <c r="DG339" s="59"/>
      <c r="DH339" s="59"/>
      <c r="DI339" s="59"/>
      <c r="DJ339" s="59"/>
      <c r="DK339" s="59"/>
      <c r="DL339" s="59"/>
      <c r="DM339" s="59"/>
      <c r="DN339" s="59"/>
      <c r="DO339" s="59"/>
      <c r="DP339" s="59"/>
      <c r="DQ339" s="59"/>
      <c r="DR339" s="59"/>
      <c r="DS339" s="59"/>
      <c r="DT339" s="59"/>
      <c r="DU339" s="59"/>
      <c r="DV339" s="59"/>
      <c r="DW339" s="59"/>
      <c r="DX339" s="59"/>
      <c r="DY339" s="59"/>
      <c r="DZ339" s="59"/>
      <c r="EA339" s="59"/>
      <c r="EB339" s="59"/>
      <c r="EC339" s="59"/>
      <c r="ED339" s="59"/>
      <c r="EE339" s="59"/>
      <c r="EF339" s="59"/>
      <c r="EG339" s="59"/>
      <c r="EH339" s="59"/>
      <c r="EI339" s="59"/>
      <c r="EJ339" s="59"/>
      <c r="EK339" s="59"/>
      <c r="EL339" s="59"/>
      <c r="EM339" s="59"/>
      <c r="EN339" s="59"/>
      <c r="EO339" s="59"/>
      <c r="EP339" s="59"/>
      <c r="EQ339" s="59"/>
      <c r="ER339" s="59"/>
      <c r="ES339" s="59"/>
      <c r="ET339" s="59"/>
      <c r="EU339" s="59"/>
      <c r="EV339" s="59"/>
      <c r="EW339" s="59"/>
      <c r="EX339" s="59"/>
      <c r="EY339" s="59"/>
      <c r="EZ339" s="59"/>
      <c r="FA339" s="59"/>
      <c r="FB339" s="59"/>
      <c r="FC339" s="59"/>
      <c r="FD339" s="59"/>
      <c r="FE339" s="59"/>
      <c r="FF339" s="59"/>
      <c r="FG339" s="59"/>
      <c r="FH339" s="59"/>
      <c r="FI339" s="59"/>
      <c r="FJ339" s="59"/>
      <c r="FK339" s="59"/>
      <c r="FL339" s="59"/>
      <c r="FM339" s="59"/>
      <c r="FN339" s="59"/>
      <c r="FO339" s="59"/>
      <c r="FP339" s="59"/>
      <c r="FQ339" s="59"/>
      <c r="FR339" s="59"/>
      <c r="FS339" s="59"/>
      <c r="FT339" s="59"/>
      <c r="FU339" s="59"/>
      <c r="FV339" s="59"/>
      <c r="FW339" s="59"/>
      <c r="FX339" s="59"/>
      <c r="FY339" s="59"/>
      <c r="FZ339" s="59"/>
      <c r="GA339" s="59"/>
      <c r="GB339" s="59"/>
      <c r="GC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  <c r="CL340" s="59"/>
      <c r="CM340" s="59"/>
      <c r="CN340" s="59"/>
      <c r="CO340" s="59"/>
      <c r="CP340" s="59"/>
      <c r="CQ340" s="59"/>
      <c r="CR340" s="59"/>
      <c r="CS340" s="59"/>
      <c r="CT340" s="59"/>
      <c r="CU340" s="59"/>
      <c r="CV340" s="59"/>
      <c r="CW340" s="59"/>
      <c r="CX340" s="59"/>
      <c r="CY340" s="59"/>
      <c r="CZ340" s="59"/>
      <c r="DA340" s="59"/>
      <c r="DB340" s="59"/>
      <c r="DC340" s="59"/>
      <c r="DD340" s="59"/>
      <c r="DE340" s="59"/>
      <c r="DF340" s="59"/>
      <c r="DG340" s="59"/>
      <c r="DH340" s="59"/>
      <c r="DI340" s="59"/>
      <c r="DJ340" s="59"/>
      <c r="DK340" s="59"/>
      <c r="DL340" s="59"/>
      <c r="DM340" s="59"/>
      <c r="DN340" s="59"/>
      <c r="DO340" s="59"/>
      <c r="DP340" s="59"/>
      <c r="DQ340" s="59"/>
      <c r="DR340" s="59"/>
      <c r="DS340" s="59"/>
      <c r="DT340" s="59"/>
      <c r="DU340" s="59"/>
      <c r="DV340" s="59"/>
      <c r="DW340" s="59"/>
      <c r="DX340" s="59"/>
      <c r="DY340" s="59"/>
      <c r="DZ340" s="59"/>
      <c r="EA340" s="59"/>
      <c r="EB340" s="59"/>
      <c r="EC340" s="59"/>
      <c r="ED340" s="59"/>
      <c r="EE340" s="59"/>
      <c r="EF340" s="59"/>
      <c r="EG340" s="59"/>
      <c r="EH340" s="59"/>
      <c r="EI340" s="59"/>
      <c r="EJ340" s="59"/>
      <c r="EK340" s="59"/>
      <c r="EL340" s="59"/>
      <c r="EM340" s="59"/>
      <c r="EN340" s="59"/>
      <c r="EO340" s="59"/>
      <c r="EP340" s="59"/>
      <c r="EQ340" s="59"/>
      <c r="ER340" s="59"/>
      <c r="ES340" s="59"/>
      <c r="ET340" s="59"/>
      <c r="EU340" s="59"/>
      <c r="EV340" s="59"/>
      <c r="EW340" s="59"/>
      <c r="EX340" s="59"/>
      <c r="EY340" s="59"/>
      <c r="EZ340" s="59"/>
      <c r="FA340" s="59"/>
      <c r="FB340" s="59"/>
      <c r="FC340" s="59"/>
      <c r="FD340" s="59"/>
      <c r="FE340" s="59"/>
      <c r="FF340" s="59"/>
      <c r="FG340" s="59"/>
      <c r="FH340" s="59"/>
      <c r="FI340" s="59"/>
      <c r="FJ340" s="59"/>
      <c r="FK340" s="59"/>
      <c r="FL340" s="59"/>
      <c r="FM340" s="59"/>
      <c r="FN340" s="59"/>
      <c r="FO340" s="59"/>
      <c r="FP340" s="59"/>
      <c r="FQ340" s="59"/>
      <c r="FR340" s="59"/>
      <c r="FS340" s="59"/>
      <c r="FT340" s="59"/>
      <c r="FU340" s="59"/>
      <c r="FV340" s="59"/>
      <c r="FW340" s="59"/>
      <c r="FX340" s="59"/>
      <c r="FY340" s="59"/>
      <c r="FZ340" s="59"/>
      <c r="GA340" s="59"/>
      <c r="GB340" s="59"/>
      <c r="GC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  <c r="CL341" s="59"/>
      <c r="CM341" s="59"/>
      <c r="CN341" s="59"/>
      <c r="CO341" s="59"/>
      <c r="CP341" s="59"/>
      <c r="CQ341" s="59"/>
      <c r="CR341" s="59"/>
      <c r="CS341" s="59"/>
      <c r="CT341" s="59"/>
      <c r="CU341" s="59"/>
      <c r="CV341" s="59"/>
      <c r="CW341" s="59"/>
      <c r="CX341" s="59"/>
      <c r="CY341" s="59"/>
      <c r="CZ341" s="59"/>
      <c r="DA341" s="59"/>
      <c r="DB341" s="59"/>
      <c r="DC341" s="59"/>
      <c r="DD341" s="59"/>
      <c r="DE341" s="59"/>
      <c r="DF341" s="59"/>
      <c r="DG341" s="59"/>
      <c r="DH341" s="59"/>
      <c r="DI341" s="59"/>
      <c r="DJ341" s="59"/>
      <c r="DK341" s="59"/>
      <c r="DL341" s="59"/>
      <c r="DM341" s="59"/>
      <c r="DN341" s="59"/>
      <c r="DO341" s="59"/>
      <c r="DP341" s="59"/>
      <c r="DQ341" s="59"/>
      <c r="DR341" s="59"/>
      <c r="DS341" s="59"/>
      <c r="DT341" s="59"/>
      <c r="DU341" s="59"/>
      <c r="DV341" s="59"/>
      <c r="DW341" s="59"/>
      <c r="DX341" s="59"/>
      <c r="DY341" s="59"/>
      <c r="DZ341" s="59"/>
      <c r="EA341" s="59"/>
      <c r="EB341" s="59"/>
      <c r="EC341" s="59"/>
      <c r="ED341" s="59"/>
      <c r="EE341" s="59"/>
      <c r="EF341" s="59"/>
      <c r="EG341" s="59"/>
      <c r="EH341" s="59"/>
      <c r="EI341" s="59"/>
      <c r="EJ341" s="59"/>
      <c r="EK341" s="59"/>
      <c r="EL341" s="59"/>
      <c r="EM341" s="59"/>
      <c r="EN341" s="59"/>
      <c r="EO341" s="59"/>
      <c r="EP341" s="59"/>
      <c r="EQ341" s="59"/>
      <c r="ER341" s="59"/>
      <c r="ES341" s="59"/>
      <c r="ET341" s="59"/>
      <c r="EU341" s="59"/>
      <c r="EV341" s="59"/>
      <c r="EW341" s="59"/>
      <c r="EX341" s="59"/>
      <c r="EY341" s="59"/>
      <c r="EZ341" s="59"/>
      <c r="FA341" s="59"/>
      <c r="FB341" s="59"/>
      <c r="FC341" s="59"/>
      <c r="FD341" s="59"/>
      <c r="FE341" s="59"/>
      <c r="FF341" s="59"/>
      <c r="FG341" s="59"/>
      <c r="FH341" s="59"/>
      <c r="FI341" s="59"/>
      <c r="FJ341" s="59"/>
      <c r="FK341" s="59"/>
      <c r="FL341" s="59"/>
      <c r="FM341" s="59"/>
      <c r="FN341" s="59"/>
      <c r="FO341" s="59"/>
      <c r="FP341" s="59"/>
      <c r="FQ341" s="59"/>
      <c r="FR341" s="59"/>
      <c r="FS341" s="59"/>
      <c r="FT341" s="59"/>
      <c r="FU341" s="59"/>
      <c r="FV341" s="59"/>
      <c r="FW341" s="59"/>
      <c r="FX341" s="59"/>
      <c r="FY341" s="59"/>
      <c r="FZ341" s="59"/>
      <c r="GA341" s="59"/>
      <c r="GB341" s="59"/>
      <c r="GC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  <c r="CL342" s="59"/>
      <c r="CM342" s="59"/>
      <c r="CN342" s="59"/>
      <c r="CO342" s="59"/>
      <c r="CP342" s="59"/>
      <c r="CQ342" s="59"/>
      <c r="CR342" s="59"/>
      <c r="CS342" s="59"/>
      <c r="CT342" s="59"/>
      <c r="CU342" s="59"/>
      <c r="CV342" s="59"/>
      <c r="CW342" s="59"/>
      <c r="CX342" s="59"/>
      <c r="CY342" s="59"/>
      <c r="CZ342" s="59"/>
      <c r="DA342" s="59"/>
      <c r="DB342" s="59"/>
      <c r="DC342" s="59"/>
      <c r="DD342" s="59"/>
      <c r="DE342" s="59"/>
      <c r="DF342" s="59"/>
      <c r="DG342" s="59"/>
      <c r="DH342" s="59"/>
      <c r="DI342" s="59"/>
      <c r="DJ342" s="59"/>
      <c r="DK342" s="59"/>
      <c r="DL342" s="59"/>
      <c r="DM342" s="59"/>
      <c r="DN342" s="59"/>
      <c r="DO342" s="59"/>
      <c r="DP342" s="59"/>
      <c r="DQ342" s="59"/>
      <c r="DR342" s="59"/>
      <c r="DS342" s="59"/>
      <c r="DT342" s="59"/>
      <c r="DU342" s="59"/>
      <c r="DV342" s="59"/>
      <c r="DW342" s="59"/>
      <c r="DX342" s="59"/>
      <c r="DY342" s="59"/>
      <c r="DZ342" s="59"/>
      <c r="EA342" s="59"/>
      <c r="EB342" s="59"/>
      <c r="EC342" s="59"/>
      <c r="ED342" s="59"/>
      <c r="EE342" s="59"/>
      <c r="EF342" s="59"/>
      <c r="EG342" s="59"/>
      <c r="EH342" s="59"/>
      <c r="EI342" s="59"/>
      <c r="EJ342" s="59"/>
      <c r="EK342" s="59"/>
      <c r="EL342" s="59"/>
      <c r="EM342" s="59"/>
      <c r="EN342" s="59"/>
      <c r="EO342" s="59"/>
      <c r="EP342" s="59"/>
      <c r="EQ342" s="59"/>
      <c r="ER342" s="59"/>
      <c r="ES342" s="59"/>
      <c r="ET342" s="59"/>
      <c r="EU342" s="59"/>
      <c r="EV342" s="59"/>
      <c r="EW342" s="59"/>
      <c r="EX342" s="59"/>
      <c r="EY342" s="59"/>
      <c r="EZ342" s="59"/>
      <c r="FA342" s="59"/>
      <c r="FB342" s="59"/>
      <c r="FC342" s="59"/>
      <c r="FD342" s="59"/>
      <c r="FE342" s="59"/>
      <c r="FF342" s="59"/>
      <c r="FG342" s="59"/>
      <c r="FH342" s="59"/>
      <c r="FI342" s="59"/>
      <c r="FJ342" s="59"/>
      <c r="FK342" s="59"/>
      <c r="FL342" s="59"/>
      <c r="FM342" s="59"/>
      <c r="FN342" s="59"/>
      <c r="FO342" s="59"/>
      <c r="FP342" s="59"/>
      <c r="FQ342" s="59"/>
      <c r="FR342" s="59"/>
      <c r="FS342" s="59"/>
      <c r="FT342" s="59"/>
      <c r="FU342" s="59"/>
      <c r="FV342" s="59"/>
      <c r="FW342" s="59"/>
      <c r="FX342" s="59"/>
      <c r="FY342" s="59"/>
      <c r="FZ342" s="59"/>
      <c r="GA342" s="59"/>
      <c r="GB342" s="59"/>
      <c r="GC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  <c r="CL343" s="59"/>
      <c r="CM343" s="59"/>
      <c r="CN343" s="59"/>
      <c r="CO343" s="59"/>
      <c r="CP343" s="59"/>
      <c r="CQ343" s="59"/>
      <c r="CR343" s="59"/>
      <c r="CS343" s="59"/>
      <c r="CT343" s="59"/>
      <c r="CU343" s="59"/>
      <c r="CV343" s="59"/>
      <c r="CW343" s="59"/>
      <c r="CX343" s="59"/>
      <c r="CY343" s="59"/>
      <c r="CZ343" s="59"/>
      <c r="DA343" s="59"/>
      <c r="DB343" s="59"/>
      <c r="DC343" s="59"/>
      <c r="DD343" s="59"/>
      <c r="DE343" s="59"/>
      <c r="DF343" s="59"/>
      <c r="DG343" s="59"/>
      <c r="DH343" s="59"/>
      <c r="DI343" s="59"/>
      <c r="DJ343" s="59"/>
      <c r="DK343" s="59"/>
      <c r="DL343" s="59"/>
      <c r="DM343" s="59"/>
      <c r="DN343" s="59"/>
      <c r="DO343" s="59"/>
      <c r="DP343" s="59"/>
      <c r="DQ343" s="59"/>
      <c r="DR343" s="59"/>
      <c r="DS343" s="59"/>
      <c r="DT343" s="59"/>
      <c r="DU343" s="59"/>
      <c r="DV343" s="59"/>
      <c r="DW343" s="59"/>
      <c r="DX343" s="59"/>
      <c r="DY343" s="59"/>
      <c r="DZ343" s="59"/>
      <c r="EA343" s="59"/>
      <c r="EB343" s="59"/>
      <c r="EC343" s="59"/>
      <c r="ED343" s="59"/>
      <c r="EE343" s="59"/>
      <c r="EF343" s="59"/>
      <c r="EG343" s="59"/>
      <c r="EH343" s="59"/>
      <c r="EI343" s="59"/>
      <c r="EJ343" s="59"/>
      <c r="EK343" s="59"/>
      <c r="EL343" s="59"/>
      <c r="EM343" s="59"/>
      <c r="EN343" s="59"/>
      <c r="EO343" s="59"/>
      <c r="EP343" s="59"/>
      <c r="EQ343" s="59"/>
      <c r="ER343" s="59"/>
      <c r="ES343" s="59"/>
      <c r="ET343" s="59"/>
      <c r="EU343" s="59"/>
      <c r="EV343" s="59"/>
      <c r="EW343" s="59"/>
      <c r="EX343" s="59"/>
      <c r="EY343" s="59"/>
      <c r="EZ343" s="59"/>
      <c r="FA343" s="59"/>
      <c r="FB343" s="59"/>
      <c r="FC343" s="59"/>
      <c r="FD343" s="59"/>
      <c r="FE343" s="59"/>
      <c r="FF343" s="59"/>
      <c r="FG343" s="59"/>
      <c r="FH343" s="59"/>
      <c r="FI343" s="59"/>
      <c r="FJ343" s="59"/>
      <c r="FK343" s="59"/>
      <c r="FL343" s="59"/>
      <c r="FM343" s="59"/>
      <c r="FN343" s="59"/>
      <c r="FO343" s="59"/>
      <c r="FP343" s="59"/>
      <c r="FQ343" s="59"/>
      <c r="FR343" s="59"/>
      <c r="FS343" s="59"/>
      <c r="FT343" s="59"/>
      <c r="FU343" s="59"/>
      <c r="FV343" s="59"/>
      <c r="FW343" s="59"/>
      <c r="FX343" s="59"/>
      <c r="FY343" s="59"/>
      <c r="FZ343" s="59"/>
      <c r="GA343" s="59"/>
      <c r="GB343" s="59"/>
      <c r="GC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  <c r="CL344" s="59"/>
      <c r="CM344" s="59"/>
      <c r="CN344" s="59"/>
      <c r="CO344" s="59"/>
      <c r="CP344" s="59"/>
      <c r="CQ344" s="59"/>
      <c r="CR344" s="59"/>
      <c r="CS344" s="59"/>
      <c r="CT344" s="59"/>
      <c r="CU344" s="59"/>
      <c r="CV344" s="59"/>
      <c r="CW344" s="59"/>
      <c r="CX344" s="59"/>
      <c r="CY344" s="59"/>
      <c r="CZ344" s="59"/>
      <c r="DA344" s="59"/>
      <c r="DB344" s="59"/>
      <c r="DC344" s="59"/>
      <c r="DD344" s="59"/>
      <c r="DE344" s="59"/>
      <c r="DF344" s="59"/>
      <c r="DG344" s="59"/>
      <c r="DH344" s="59"/>
      <c r="DI344" s="59"/>
      <c r="DJ344" s="59"/>
      <c r="DK344" s="59"/>
      <c r="DL344" s="59"/>
      <c r="DM344" s="59"/>
      <c r="DN344" s="59"/>
      <c r="DO344" s="59"/>
      <c r="DP344" s="59"/>
      <c r="DQ344" s="59"/>
      <c r="DR344" s="59"/>
      <c r="DS344" s="59"/>
      <c r="DT344" s="59"/>
      <c r="DU344" s="59"/>
      <c r="DV344" s="59"/>
      <c r="DW344" s="59"/>
      <c r="DX344" s="59"/>
      <c r="DY344" s="59"/>
      <c r="DZ344" s="59"/>
      <c r="EA344" s="59"/>
      <c r="EB344" s="59"/>
      <c r="EC344" s="59"/>
      <c r="ED344" s="59"/>
      <c r="EE344" s="59"/>
      <c r="EF344" s="59"/>
      <c r="EG344" s="59"/>
      <c r="EH344" s="59"/>
      <c r="EI344" s="59"/>
      <c r="EJ344" s="59"/>
      <c r="EK344" s="59"/>
      <c r="EL344" s="59"/>
      <c r="EM344" s="59"/>
      <c r="EN344" s="59"/>
      <c r="EO344" s="59"/>
      <c r="EP344" s="59"/>
      <c r="EQ344" s="59"/>
      <c r="ER344" s="59"/>
      <c r="ES344" s="59"/>
      <c r="ET344" s="59"/>
      <c r="EU344" s="59"/>
      <c r="EV344" s="59"/>
      <c r="EW344" s="59"/>
      <c r="EX344" s="59"/>
      <c r="EY344" s="59"/>
      <c r="EZ344" s="59"/>
      <c r="FA344" s="59"/>
      <c r="FB344" s="59"/>
      <c r="FC344" s="59"/>
      <c r="FD344" s="59"/>
      <c r="FE344" s="59"/>
      <c r="FF344" s="59"/>
      <c r="FG344" s="59"/>
      <c r="FH344" s="59"/>
      <c r="FI344" s="59"/>
      <c r="FJ344" s="59"/>
      <c r="FK344" s="59"/>
      <c r="FL344" s="59"/>
      <c r="FM344" s="59"/>
      <c r="FN344" s="59"/>
      <c r="FO344" s="59"/>
      <c r="FP344" s="59"/>
      <c r="FQ344" s="59"/>
      <c r="FR344" s="59"/>
      <c r="FS344" s="59"/>
      <c r="FT344" s="59"/>
      <c r="FU344" s="59"/>
      <c r="FV344" s="59"/>
      <c r="FW344" s="59"/>
      <c r="FX344" s="59"/>
      <c r="FY344" s="59"/>
      <c r="FZ344" s="59"/>
      <c r="GA344" s="59"/>
      <c r="GB344" s="59"/>
      <c r="GC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  <c r="CP350" s="59"/>
      <c r="CQ350" s="59"/>
      <c r="CR350" s="59"/>
      <c r="CS350" s="59"/>
      <c r="CT350" s="59"/>
      <c r="CU350" s="59"/>
      <c r="CV350" s="59"/>
      <c r="CW350" s="59"/>
      <c r="CX350" s="59"/>
      <c r="CY350" s="59"/>
      <c r="CZ350" s="59"/>
      <c r="DA350" s="59"/>
      <c r="DB350" s="59"/>
      <c r="DC350" s="59"/>
      <c r="DD350" s="59"/>
      <c r="DE350" s="59"/>
      <c r="DF350" s="59"/>
      <c r="DG350" s="59"/>
      <c r="DH350" s="59"/>
      <c r="DI350" s="59"/>
      <c r="DJ350" s="59"/>
      <c r="DK350" s="59"/>
      <c r="DL350" s="59"/>
      <c r="DM350" s="59"/>
      <c r="DN350" s="59"/>
      <c r="DO350" s="59"/>
      <c r="DP350" s="59"/>
      <c r="DQ350" s="59"/>
      <c r="DR350" s="59"/>
      <c r="DS350" s="59"/>
      <c r="DT350" s="59"/>
      <c r="DU350" s="59"/>
      <c r="DV350" s="59"/>
      <c r="DW350" s="59"/>
      <c r="DX350" s="59"/>
      <c r="DY350" s="59"/>
      <c r="DZ350" s="59"/>
      <c r="EA350" s="59"/>
      <c r="EB350" s="59"/>
      <c r="EC350" s="59"/>
      <c r="ED350" s="59"/>
      <c r="EE350" s="59"/>
      <c r="EF350" s="59"/>
      <c r="EG350" s="59"/>
      <c r="EH350" s="59"/>
      <c r="EI350" s="59"/>
      <c r="EJ350" s="59"/>
      <c r="EK350" s="59"/>
      <c r="EL350" s="59"/>
      <c r="EM350" s="59"/>
      <c r="EN350" s="59"/>
      <c r="EO350" s="59"/>
      <c r="EP350" s="59"/>
      <c r="EQ350" s="59"/>
      <c r="ER350" s="59"/>
      <c r="ES350" s="59"/>
      <c r="ET350" s="59"/>
      <c r="EU350" s="59"/>
      <c r="EV350" s="59"/>
      <c r="EW350" s="59"/>
      <c r="EX350" s="59"/>
      <c r="EY350" s="59"/>
      <c r="EZ350" s="59"/>
      <c r="FA350" s="59"/>
      <c r="FB350" s="59"/>
      <c r="FC350" s="59"/>
      <c r="FD350" s="59"/>
      <c r="FE350" s="59"/>
      <c r="FF350" s="59"/>
      <c r="FG350" s="59"/>
      <c r="FH350" s="59"/>
      <c r="FI350" s="59"/>
      <c r="FJ350" s="59"/>
      <c r="FK350" s="59"/>
      <c r="FL350" s="59"/>
      <c r="FM350" s="59"/>
      <c r="FN350" s="59"/>
      <c r="FO350" s="59"/>
      <c r="FP350" s="59"/>
      <c r="FQ350" s="59"/>
      <c r="FR350" s="59"/>
      <c r="FS350" s="59"/>
      <c r="FT350" s="59"/>
      <c r="FU350" s="59"/>
      <c r="FV350" s="59"/>
      <c r="FW350" s="59"/>
      <c r="FX350" s="59"/>
      <c r="FY350" s="59"/>
      <c r="FZ350" s="59"/>
      <c r="GA350" s="59"/>
      <c r="GB350" s="59"/>
      <c r="GC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  <c r="CP351" s="59"/>
      <c r="CQ351" s="59"/>
      <c r="CR351" s="59"/>
      <c r="CS351" s="59"/>
      <c r="CT351" s="59"/>
      <c r="CU351" s="59"/>
      <c r="CV351" s="59"/>
      <c r="CW351" s="59"/>
      <c r="CX351" s="59"/>
      <c r="CY351" s="59"/>
      <c r="CZ351" s="59"/>
      <c r="DA351" s="59"/>
      <c r="DB351" s="59"/>
      <c r="DC351" s="59"/>
      <c r="DD351" s="59"/>
      <c r="DE351" s="59"/>
      <c r="DF351" s="59"/>
      <c r="DG351" s="59"/>
      <c r="DH351" s="59"/>
      <c r="DI351" s="59"/>
      <c r="DJ351" s="59"/>
      <c r="DK351" s="59"/>
      <c r="DL351" s="59"/>
      <c r="DM351" s="59"/>
      <c r="DN351" s="59"/>
      <c r="DO351" s="59"/>
      <c r="DP351" s="59"/>
      <c r="DQ351" s="59"/>
      <c r="DR351" s="59"/>
      <c r="DS351" s="59"/>
      <c r="DT351" s="59"/>
      <c r="DU351" s="59"/>
      <c r="DV351" s="59"/>
      <c r="DW351" s="59"/>
      <c r="DX351" s="59"/>
      <c r="DY351" s="59"/>
      <c r="DZ351" s="59"/>
      <c r="EA351" s="59"/>
      <c r="EB351" s="59"/>
      <c r="EC351" s="59"/>
      <c r="ED351" s="59"/>
      <c r="EE351" s="59"/>
      <c r="EF351" s="59"/>
      <c r="EG351" s="59"/>
      <c r="EH351" s="59"/>
      <c r="EI351" s="59"/>
      <c r="EJ351" s="59"/>
      <c r="EK351" s="59"/>
      <c r="EL351" s="59"/>
      <c r="EM351" s="59"/>
      <c r="EN351" s="59"/>
      <c r="EO351" s="59"/>
      <c r="EP351" s="59"/>
      <c r="EQ351" s="59"/>
      <c r="ER351" s="59"/>
      <c r="ES351" s="59"/>
      <c r="ET351" s="59"/>
      <c r="EU351" s="59"/>
      <c r="EV351" s="59"/>
      <c r="EW351" s="59"/>
      <c r="EX351" s="59"/>
      <c r="EY351" s="59"/>
      <c r="EZ351" s="59"/>
      <c r="FA351" s="59"/>
      <c r="FB351" s="59"/>
      <c r="FC351" s="59"/>
      <c r="FD351" s="59"/>
      <c r="FE351" s="59"/>
      <c r="FF351" s="59"/>
      <c r="FG351" s="59"/>
      <c r="FH351" s="59"/>
      <c r="FI351" s="59"/>
      <c r="FJ351" s="59"/>
      <c r="FK351" s="59"/>
      <c r="FL351" s="59"/>
      <c r="FM351" s="59"/>
      <c r="FN351" s="59"/>
      <c r="FO351" s="59"/>
      <c r="FP351" s="59"/>
      <c r="FQ351" s="59"/>
      <c r="FR351" s="59"/>
      <c r="FS351" s="59"/>
      <c r="FT351" s="59"/>
      <c r="FU351" s="59"/>
      <c r="FV351" s="59"/>
      <c r="FW351" s="59"/>
      <c r="FX351" s="59"/>
      <c r="FY351" s="59"/>
      <c r="FZ351" s="59"/>
      <c r="GA351" s="59"/>
      <c r="GB351" s="59"/>
      <c r="GC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  <c r="CP352" s="59"/>
      <c r="CQ352" s="59"/>
      <c r="CR352" s="59"/>
      <c r="CS352" s="59"/>
      <c r="CT352" s="59"/>
      <c r="CU352" s="59"/>
      <c r="CV352" s="59"/>
      <c r="CW352" s="59"/>
      <c r="CX352" s="59"/>
      <c r="CY352" s="59"/>
      <c r="CZ352" s="59"/>
      <c r="DA352" s="59"/>
      <c r="DB352" s="59"/>
      <c r="DC352" s="59"/>
      <c r="DD352" s="59"/>
      <c r="DE352" s="59"/>
      <c r="DF352" s="59"/>
      <c r="DG352" s="59"/>
      <c r="DH352" s="59"/>
      <c r="DI352" s="59"/>
      <c r="DJ352" s="59"/>
      <c r="DK352" s="59"/>
      <c r="DL352" s="59"/>
      <c r="DM352" s="59"/>
      <c r="DN352" s="59"/>
      <c r="DO352" s="59"/>
      <c r="DP352" s="59"/>
      <c r="DQ352" s="59"/>
      <c r="DR352" s="59"/>
      <c r="DS352" s="59"/>
      <c r="DT352" s="59"/>
      <c r="DU352" s="59"/>
      <c r="DV352" s="59"/>
      <c r="DW352" s="59"/>
      <c r="DX352" s="59"/>
      <c r="DY352" s="59"/>
      <c r="DZ352" s="59"/>
      <c r="EA352" s="59"/>
      <c r="EB352" s="59"/>
      <c r="EC352" s="59"/>
      <c r="ED352" s="59"/>
      <c r="EE352" s="59"/>
      <c r="EF352" s="59"/>
      <c r="EG352" s="59"/>
      <c r="EH352" s="59"/>
      <c r="EI352" s="59"/>
      <c r="EJ352" s="59"/>
      <c r="EK352" s="59"/>
      <c r="EL352" s="59"/>
      <c r="EM352" s="59"/>
      <c r="EN352" s="59"/>
      <c r="EO352" s="59"/>
      <c r="EP352" s="59"/>
      <c r="EQ352" s="59"/>
      <c r="ER352" s="59"/>
      <c r="ES352" s="59"/>
      <c r="ET352" s="59"/>
      <c r="EU352" s="59"/>
      <c r="EV352" s="59"/>
      <c r="EW352" s="59"/>
      <c r="EX352" s="59"/>
      <c r="EY352" s="59"/>
      <c r="EZ352" s="59"/>
      <c r="FA352" s="59"/>
      <c r="FB352" s="59"/>
      <c r="FC352" s="59"/>
      <c r="FD352" s="59"/>
      <c r="FE352" s="59"/>
      <c r="FF352" s="59"/>
      <c r="FG352" s="59"/>
      <c r="FH352" s="59"/>
      <c r="FI352" s="59"/>
      <c r="FJ352" s="59"/>
      <c r="FK352" s="59"/>
      <c r="FL352" s="59"/>
      <c r="FM352" s="59"/>
      <c r="FN352" s="59"/>
      <c r="FO352" s="59"/>
      <c r="FP352" s="59"/>
      <c r="FQ352" s="59"/>
      <c r="FR352" s="59"/>
      <c r="FS352" s="59"/>
      <c r="FT352" s="59"/>
      <c r="FU352" s="59"/>
      <c r="FV352" s="59"/>
      <c r="FW352" s="59"/>
      <c r="FX352" s="59"/>
      <c r="FY352" s="59"/>
      <c r="FZ352" s="59"/>
      <c r="GA352" s="59"/>
      <c r="GB352" s="59"/>
      <c r="GC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  <c r="CP353" s="59"/>
      <c r="CQ353" s="59"/>
      <c r="CR353" s="59"/>
      <c r="CS353" s="59"/>
      <c r="CT353" s="59"/>
      <c r="CU353" s="59"/>
      <c r="CV353" s="59"/>
      <c r="CW353" s="59"/>
      <c r="CX353" s="59"/>
      <c r="CY353" s="59"/>
      <c r="CZ353" s="59"/>
      <c r="DA353" s="59"/>
      <c r="DB353" s="59"/>
      <c r="DC353" s="59"/>
      <c r="DD353" s="59"/>
      <c r="DE353" s="59"/>
      <c r="DF353" s="59"/>
      <c r="DG353" s="59"/>
      <c r="DH353" s="59"/>
      <c r="DI353" s="59"/>
      <c r="DJ353" s="59"/>
      <c r="DK353" s="59"/>
      <c r="DL353" s="59"/>
      <c r="DM353" s="59"/>
      <c r="DN353" s="59"/>
      <c r="DO353" s="59"/>
      <c r="DP353" s="59"/>
      <c r="DQ353" s="59"/>
      <c r="DR353" s="59"/>
      <c r="DS353" s="59"/>
      <c r="DT353" s="59"/>
      <c r="DU353" s="59"/>
      <c r="DV353" s="59"/>
      <c r="DW353" s="59"/>
      <c r="DX353" s="59"/>
      <c r="DY353" s="59"/>
      <c r="DZ353" s="59"/>
      <c r="EA353" s="59"/>
      <c r="EB353" s="59"/>
      <c r="EC353" s="59"/>
      <c r="ED353" s="59"/>
      <c r="EE353" s="59"/>
      <c r="EF353" s="59"/>
      <c r="EG353" s="59"/>
      <c r="EH353" s="59"/>
      <c r="EI353" s="59"/>
      <c r="EJ353" s="59"/>
      <c r="EK353" s="59"/>
      <c r="EL353" s="59"/>
      <c r="EM353" s="59"/>
      <c r="EN353" s="59"/>
      <c r="EO353" s="59"/>
      <c r="EP353" s="59"/>
      <c r="EQ353" s="59"/>
      <c r="ER353" s="59"/>
      <c r="ES353" s="59"/>
      <c r="ET353" s="59"/>
      <c r="EU353" s="59"/>
      <c r="EV353" s="59"/>
      <c r="EW353" s="59"/>
      <c r="EX353" s="59"/>
      <c r="EY353" s="59"/>
      <c r="EZ353" s="59"/>
      <c r="FA353" s="59"/>
      <c r="FB353" s="59"/>
      <c r="FC353" s="59"/>
      <c r="FD353" s="59"/>
      <c r="FE353" s="59"/>
      <c r="FF353" s="59"/>
      <c r="FG353" s="59"/>
      <c r="FH353" s="59"/>
      <c r="FI353" s="59"/>
      <c r="FJ353" s="59"/>
      <c r="FK353" s="59"/>
      <c r="FL353" s="59"/>
      <c r="FM353" s="59"/>
      <c r="FN353" s="59"/>
      <c r="FO353" s="59"/>
      <c r="FP353" s="59"/>
      <c r="FQ353" s="59"/>
      <c r="FR353" s="59"/>
      <c r="FS353" s="59"/>
      <c r="FT353" s="59"/>
      <c r="FU353" s="59"/>
      <c r="FV353" s="59"/>
      <c r="FW353" s="59"/>
      <c r="FX353" s="59"/>
      <c r="FY353" s="59"/>
      <c r="FZ353" s="59"/>
      <c r="GA353" s="59"/>
      <c r="GB353" s="59"/>
      <c r="GC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  <c r="CP354" s="59"/>
      <c r="CQ354" s="59"/>
      <c r="CR354" s="59"/>
      <c r="CS354" s="59"/>
      <c r="CT354" s="59"/>
      <c r="CU354" s="59"/>
      <c r="CV354" s="59"/>
      <c r="CW354" s="59"/>
      <c r="CX354" s="59"/>
      <c r="CY354" s="59"/>
      <c r="CZ354" s="59"/>
      <c r="DA354" s="59"/>
      <c r="DB354" s="59"/>
      <c r="DC354" s="59"/>
      <c r="DD354" s="59"/>
      <c r="DE354" s="59"/>
      <c r="DF354" s="59"/>
      <c r="DG354" s="59"/>
      <c r="DH354" s="59"/>
      <c r="DI354" s="59"/>
      <c r="DJ354" s="59"/>
      <c r="DK354" s="59"/>
      <c r="DL354" s="59"/>
      <c r="DM354" s="59"/>
      <c r="DN354" s="59"/>
      <c r="DO354" s="59"/>
      <c r="DP354" s="59"/>
      <c r="DQ354" s="59"/>
      <c r="DR354" s="59"/>
      <c r="DS354" s="59"/>
      <c r="DT354" s="59"/>
      <c r="DU354" s="59"/>
      <c r="DV354" s="59"/>
      <c r="DW354" s="59"/>
      <c r="DX354" s="59"/>
      <c r="DY354" s="59"/>
      <c r="DZ354" s="59"/>
      <c r="EA354" s="59"/>
      <c r="EB354" s="59"/>
      <c r="EC354" s="59"/>
      <c r="ED354" s="59"/>
      <c r="EE354" s="59"/>
      <c r="EF354" s="59"/>
      <c r="EG354" s="59"/>
      <c r="EH354" s="59"/>
      <c r="EI354" s="59"/>
      <c r="EJ354" s="59"/>
      <c r="EK354" s="59"/>
      <c r="EL354" s="59"/>
      <c r="EM354" s="59"/>
      <c r="EN354" s="59"/>
      <c r="EO354" s="59"/>
      <c r="EP354" s="59"/>
      <c r="EQ354" s="59"/>
      <c r="ER354" s="59"/>
      <c r="ES354" s="59"/>
      <c r="ET354" s="59"/>
      <c r="EU354" s="59"/>
      <c r="EV354" s="59"/>
      <c r="EW354" s="59"/>
      <c r="EX354" s="59"/>
      <c r="EY354" s="59"/>
      <c r="EZ354" s="59"/>
      <c r="FA354" s="59"/>
      <c r="FB354" s="59"/>
      <c r="FC354" s="59"/>
      <c r="FD354" s="59"/>
      <c r="FE354" s="59"/>
      <c r="FF354" s="59"/>
      <c r="FG354" s="59"/>
      <c r="FH354" s="59"/>
      <c r="FI354" s="59"/>
      <c r="FJ354" s="59"/>
      <c r="FK354" s="59"/>
      <c r="FL354" s="59"/>
      <c r="FM354" s="59"/>
      <c r="FN354" s="59"/>
      <c r="FO354" s="59"/>
      <c r="FP354" s="59"/>
      <c r="FQ354" s="59"/>
      <c r="FR354" s="59"/>
      <c r="FS354" s="59"/>
      <c r="FT354" s="59"/>
      <c r="FU354" s="59"/>
      <c r="FV354" s="59"/>
      <c r="FW354" s="59"/>
      <c r="FX354" s="59"/>
      <c r="FY354" s="59"/>
      <c r="FZ354" s="59"/>
      <c r="GA354" s="59"/>
      <c r="GB354" s="59"/>
      <c r="GC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  <c r="CP355" s="59"/>
      <c r="CQ355" s="59"/>
      <c r="CR355" s="59"/>
      <c r="CS355" s="59"/>
      <c r="CT355" s="59"/>
      <c r="CU355" s="59"/>
      <c r="CV355" s="59"/>
      <c r="CW355" s="59"/>
      <c r="CX355" s="59"/>
      <c r="CY355" s="59"/>
      <c r="CZ355" s="59"/>
      <c r="DA355" s="59"/>
      <c r="DB355" s="59"/>
      <c r="DC355" s="59"/>
      <c r="DD355" s="59"/>
      <c r="DE355" s="59"/>
      <c r="DF355" s="59"/>
      <c r="DG355" s="59"/>
      <c r="DH355" s="59"/>
      <c r="DI355" s="59"/>
      <c r="DJ355" s="59"/>
      <c r="DK355" s="59"/>
      <c r="DL355" s="59"/>
      <c r="DM355" s="59"/>
      <c r="DN355" s="59"/>
      <c r="DO355" s="59"/>
      <c r="DP355" s="59"/>
      <c r="DQ355" s="59"/>
      <c r="DR355" s="59"/>
      <c r="DS355" s="59"/>
      <c r="DT355" s="59"/>
      <c r="DU355" s="59"/>
      <c r="DV355" s="59"/>
      <c r="DW355" s="59"/>
      <c r="DX355" s="59"/>
      <c r="DY355" s="59"/>
      <c r="DZ355" s="59"/>
      <c r="EA355" s="59"/>
      <c r="EB355" s="59"/>
      <c r="EC355" s="59"/>
      <c r="ED355" s="59"/>
      <c r="EE355" s="59"/>
      <c r="EF355" s="59"/>
      <c r="EG355" s="59"/>
      <c r="EH355" s="59"/>
      <c r="EI355" s="59"/>
      <c r="EJ355" s="59"/>
      <c r="EK355" s="59"/>
      <c r="EL355" s="59"/>
      <c r="EM355" s="59"/>
      <c r="EN355" s="59"/>
      <c r="EO355" s="59"/>
      <c r="EP355" s="59"/>
      <c r="EQ355" s="59"/>
      <c r="ER355" s="59"/>
      <c r="ES355" s="59"/>
      <c r="ET355" s="59"/>
      <c r="EU355" s="59"/>
      <c r="EV355" s="59"/>
      <c r="EW355" s="59"/>
      <c r="EX355" s="59"/>
      <c r="EY355" s="59"/>
      <c r="EZ355" s="59"/>
      <c r="FA355" s="59"/>
      <c r="FB355" s="59"/>
      <c r="FC355" s="59"/>
      <c r="FD355" s="59"/>
      <c r="FE355" s="59"/>
      <c r="FF355" s="59"/>
      <c r="FG355" s="59"/>
      <c r="FH355" s="59"/>
      <c r="FI355" s="59"/>
      <c r="FJ355" s="59"/>
      <c r="FK355" s="59"/>
      <c r="FL355" s="59"/>
      <c r="FM355" s="59"/>
      <c r="FN355" s="59"/>
      <c r="FO355" s="59"/>
      <c r="FP355" s="59"/>
      <c r="FQ355" s="59"/>
      <c r="FR355" s="59"/>
      <c r="FS355" s="59"/>
      <c r="FT355" s="59"/>
      <c r="FU355" s="59"/>
      <c r="FV355" s="59"/>
      <c r="FW355" s="59"/>
      <c r="FX355" s="59"/>
      <c r="FY355" s="59"/>
      <c r="FZ355" s="59"/>
      <c r="GA355" s="59"/>
      <c r="GB355" s="59"/>
      <c r="GC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  <c r="CP356" s="59"/>
      <c r="CQ356" s="59"/>
      <c r="CR356" s="59"/>
      <c r="CS356" s="59"/>
      <c r="CT356" s="59"/>
      <c r="CU356" s="59"/>
      <c r="CV356" s="59"/>
      <c r="CW356" s="59"/>
      <c r="CX356" s="59"/>
      <c r="CY356" s="59"/>
      <c r="CZ356" s="59"/>
      <c r="DA356" s="59"/>
      <c r="DB356" s="59"/>
      <c r="DC356" s="59"/>
      <c r="DD356" s="59"/>
      <c r="DE356" s="59"/>
      <c r="DF356" s="59"/>
      <c r="DG356" s="59"/>
      <c r="DH356" s="59"/>
      <c r="DI356" s="59"/>
      <c r="DJ356" s="59"/>
      <c r="DK356" s="59"/>
      <c r="DL356" s="59"/>
      <c r="DM356" s="59"/>
      <c r="DN356" s="59"/>
      <c r="DO356" s="59"/>
      <c r="DP356" s="59"/>
      <c r="DQ356" s="59"/>
      <c r="DR356" s="59"/>
      <c r="DS356" s="59"/>
      <c r="DT356" s="59"/>
      <c r="DU356" s="59"/>
      <c r="DV356" s="59"/>
      <c r="DW356" s="59"/>
      <c r="DX356" s="59"/>
      <c r="DY356" s="59"/>
      <c r="DZ356" s="59"/>
      <c r="EA356" s="59"/>
      <c r="EB356" s="59"/>
      <c r="EC356" s="59"/>
      <c r="ED356" s="59"/>
      <c r="EE356" s="59"/>
      <c r="EF356" s="59"/>
      <c r="EG356" s="59"/>
      <c r="EH356" s="59"/>
      <c r="EI356" s="59"/>
      <c r="EJ356" s="59"/>
      <c r="EK356" s="59"/>
      <c r="EL356" s="59"/>
      <c r="EM356" s="59"/>
      <c r="EN356" s="59"/>
      <c r="EO356" s="59"/>
      <c r="EP356" s="59"/>
      <c r="EQ356" s="59"/>
      <c r="ER356" s="59"/>
      <c r="ES356" s="59"/>
      <c r="ET356" s="59"/>
      <c r="EU356" s="59"/>
      <c r="EV356" s="59"/>
      <c r="EW356" s="59"/>
      <c r="EX356" s="59"/>
      <c r="EY356" s="59"/>
      <c r="EZ356" s="59"/>
      <c r="FA356" s="59"/>
      <c r="FB356" s="59"/>
      <c r="FC356" s="59"/>
      <c r="FD356" s="59"/>
      <c r="FE356" s="59"/>
      <c r="FF356" s="59"/>
      <c r="FG356" s="59"/>
      <c r="FH356" s="59"/>
      <c r="FI356" s="59"/>
      <c r="FJ356" s="59"/>
      <c r="FK356" s="59"/>
      <c r="FL356" s="59"/>
      <c r="FM356" s="59"/>
      <c r="FN356" s="59"/>
      <c r="FO356" s="59"/>
      <c r="FP356" s="59"/>
      <c r="FQ356" s="59"/>
      <c r="FR356" s="59"/>
      <c r="FS356" s="59"/>
      <c r="FT356" s="59"/>
      <c r="FU356" s="59"/>
      <c r="FV356" s="59"/>
      <c r="FW356" s="59"/>
      <c r="FX356" s="59"/>
      <c r="FY356" s="59"/>
      <c r="FZ356" s="59"/>
      <c r="GA356" s="59"/>
      <c r="GB356" s="59"/>
      <c r="GC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  <c r="CP357" s="59"/>
      <c r="CQ357" s="59"/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/>
      <c r="FF357" s="59"/>
      <c r="FG357" s="59"/>
      <c r="FH357" s="59"/>
      <c r="FI357" s="59"/>
      <c r="FJ357" s="59"/>
      <c r="FK357" s="59"/>
      <c r="FL357" s="59"/>
      <c r="FM357" s="59"/>
      <c r="FN357" s="59"/>
      <c r="FO357" s="59"/>
      <c r="FP357" s="59"/>
      <c r="FQ357" s="59"/>
      <c r="FR357" s="59"/>
      <c r="FS357" s="59"/>
      <c r="FT357" s="59"/>
      <c r="FU357" s="59"/>
      <c r="FV357" s="59"/>
      <c r="FW357" s="59"/>
      <c r="FX357" s="59"/>
      <c r="FY357" s="59"/>
      <c r="FZ357" s="59"/>
      <c r="GA357" s="59"/>
      <c r="GB357" s="59"/>
      <c r="GC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  <c r="CP358" s="59"/>
      <c r="CQ358" s="59"/>
      <c r="CR358" s="59"/>
      <c r="CS358" s="59"/>
      <c r="CT358" s="59"/>
      <c r="CU358" s="59"/>
      <c r="CV358" s="59"/>
      <c r="CW358" s="59"/>
      <c r="CX358" s="59"/>
      <c r="CY358" s="59"/>
      <c r="CZ358" s="59"/>
      <c r="DA358" s="59"/>
      <c r="DB358" s="59"/>
      <c r="DC358" s="59"/>
      <c r="DD358" s="59"/>
      <c r="DE358" s="59"/>
      <c r="DF358" s="59"/>
      <c r="DG358" s="59"/>
      <c r="DH358" s="59"/>
      <c r="DI358" s="59"/>
      <c r="DJ358" s="59"/>
      <c r="DK358" s="59"/>
      <c r="DL358" s="59"/>
      <c r="DM358" s="59"/>
      <c r="DN358" s="59"/>
      <c r="DO358" s="59"/>
      <c r="DP358" s="59"/>
      <c r="DQ358" s="59"/>
      <c r="DR358" s="59"/>
      <c r="DS358" s="59"/>
      <c r="DT358" s="59"/>
      <c r="DU358" s="59"/>
      <c r="DV358" s="59"/>
      <c r="DW358" s="59"/>
      <c r="DX358" s="59"/>
      <c r="DY358" s="59"/>
      <c r="DZ358" s="59"/>
      <c r="EA358" s="59"/>
      <c r="EB358" s="59"/>
      <c r="EC358" s="59"/>
      <c r="ED358" s="59"/>
      <c r="EE358" s="59"/>
      <c r="EF358" s="59"/>
      <c r="EG358" s="59"/>
      <c r="EH358" s="59"/>
      <c r="EI358" s="59"/>
      <c r="EJ358" s="59"/>
      <c r="EK358" s="59"/>
      <c r="EL358" s="59"/>
      <c r="EM358" s="59"/>
      <c r="EN358" s="59"/>
      <c r="EO358" s="59"/>
      <c r="EP358" s="59"/>
      <c r="EQ358" s="59"/>
      <c r="ER358" s="59"/>
      <c r="ES358" s="59"/>
      <c r="ET358" s="59"/>
      <c r="EU358" s="59"/>
      <c r="EV358" s="59"/>
      <c r="EW358" s="59"/>
      <c r="EX358" s="59"/>
      <c r="EY358" s="59"/>
      <c r="EZ358" s="59"/>
      <c r="FA358" s="59"/>
      <c r="FB358" s="59"/>
      <c r="FC358" s="59"/>
      <c r="FD358" s="59"/>
      <c r="FE358" s="59"/>
      <c r="FF358" s="59"/>
      <c r="FG358" s="59"/>
      <c r="FH358" s="59"/>
      <c r="FI358" s="59"/>
      <c r="FJ358" s="59"/>
      <c r="FK358" s="59"/>
      <c r="FL358" s="59"/>
      <c r="FM358" s="59"/>
      <c r="FN358" s="59"/>
      <c r="FO358" s="59"/>
      <c r="FP358" s="59"/>
      <c r="FQ358" s="59"/>
      <c r="FR358" s="59"/>
      <c r="FS358" s="59"/>
      <c r="FT358" s="59"/>
      <c r="FU358" s="59"/>
      <c r="FV358" s="59"/>
      <c r="FW358" s="59"/>
      <c r="FX358" s="59"/>
      <c r="FY358" s="59"/>
      <c r="FZ358" s="59"/>
      <c r="GA358" s="59"/>
      <c r="GB358" s="59"/>
      <c r="GC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  <c r="CP359" s="59"/>
      <c r="CQ359" s="59"/>
      <c r="CR359" s="59"/>
      <c r="CS359" s="59"/>
      <c r="CT359" s="59"/>
      <c r="CU359" s="59"/>
      <c r="CV359" s="59"/>
      <c r="CW359" s="59"/>
      <c r="CX359" s="59"/>
      <c r="CY359" s="59"/>
      <c r="CZ359" s="59"/>
      <c r="DA359" s="59"/>
      <c r="DB359" s="59"/>
      <c r="DC359" s="59"/>
      <c r="DD359" s="59"/>
      <c r="DE359" s="59"/>
      <c r="DF359" s="59"/>
      <c r="DG359" s="59"/>
      <c r="DH359" s="59"/>
      <c r="DI359" s="59"/>
      <c r="DJ359" s="59"/>
      <c r="DK359" s="59"/>
      <c r="DL359" s="59"/>
      <c r="DM359" s="59"/>
      <c r="DN359" s="59"/>
      <c r="DO359" s="59"/>
      <c r="DP359" s="59"/>
      <c r="DQ359" s="59"/>
      <c r="DR359" s="59"/>
      <c r="DS359" s="59"/>
      <c r="DT359" s="59"/>
      <c r="DU359" s="59"/>
      <c r="DV359" s="59"/>
      <c r="DW359" s="59"/>
      <c r="DX359" s="59"/>
      <c r="DY359" s="59"/>
      <c r="DZ359" s="59"/>
      <c r="EA359" s="59"/>
      <c r="EB359" s="59"/>
      <c r="EC359" s="59"/>
      <c r="ED359" s="59"/>
      <c r="EE359" s="59"/>
      <c r="EF359" s="59"/>
      <c r="EG359" s="59"/>
      <c r="EH359" s="59"/>
      <c r="EI359" s="59"/>
      <c r="EJ359" s="59"/>
      <c r="EK359" s="59"/>
      <c r="EL359" s="59"/>
      <c r="EM359" s="59"/>
      <c r="EN359" s="59"/>
      <c r="EO359" s="59"/>
      <c r="EP359" s="59"/>
      <c r="EQ359" s="59"/>
      <c r="ER359" s="59"/>
      <c r="ES359" s="59"/>
      <c r="ET359" s="59"/>
      <c r="EU359" s="59"/>
      <c r="EV359" s="59"/>
      <c r="EW359" s="59"/>
      <c r="EX359" s="59"/>
      <c r="EY359" s="59"/>
      <c r="EZ359" s="59"/>
      <c r="FA359" s="59"/>
      <c r="FB359" s="59"/>
      <c r="FC359" s="59"/>
      <c r="FD359" s="59"/>
      <c r="FE359" s="59"/>
      <c r="FF359" s="59"/>
      <c r="FG359" s="59"/>
      <c r="FH359" s="59"/>
      <c r="FI359" s="59"/>
      <c r="FJ359" s="59"/>
      <c r="FK359" s="59"/>
      <c r="FL359" s="59"/>
      <c r="FM359" s="59"/>
      <c r="FN359" s="59"/>
      <c r="FO359" s="59"/>
      <c r="FP359" s="59"/>
      <c r="FQ359" s="59"/>
      <c r="FR359" s="59"/>
      <c r="FS359" s="59"/>
      <c r="FT359" s="59"/>
      <c r="FU359" s="59"/>
      <c r="FV359" s="59"/>
      <c r="FW359" s="59"/>
      <c r="FX359" s="59"/>
      <c r="FY359" s="59"/>
      <c r="FZ359" s="59"/>
      <c r="GA359" s="59"/>
      <c r="GB359" s="59"/>
      <c r="GC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  <c r="CP360" s="59"/>
      <c r="CQ360" s="59"/>
      <c r="CR360" s="59"/>
      <c r="CS360" s="59"/>
      <c r="CT360" s="59"/>
      <c r="CU360" s="59"/>
      <c r="CV360" s="59"/>
      <c r="CW360" s="59"/>
      <c r="CX360" s="59"/>
      <c r="CY360" s="59"/>
      <c r="CZ360" s="59"/>
      <c r="DA360" s="59"/>
      <c r="DB360" s="59"/>
      <c r="DC360" s="59"/>
      <c r="DD360" s="59"/>
      <c r="DE360" s="59"/>
      <c r="DF360" s="59"/>
      <c r="DG360" s="59"/>
      <c r="DH360" s="59"/>
      <c r="DI360" s="59"/>
      <c r="DJ360" s="59"/>
      <c r="DK360" s="59"/>
      <c r="DL360" s="59"/>
      <c r="DM360" s="59"/>
      <c r="DN360" s="59"/>
      <c r="DO360" s="59"/>
      <c r="DP360" s="59"/>
      <c r="DQ360" s="59"/>
      <c r="DR360" s="59"/>
      <c r="DS360" s="59"/>
      <c r="DT360" s="59"/>
      <c r="DU360" s="59"/>
      <c r="DV360" s="59"/>
      <c r="DW360" s="59"/>
      <c r="DX360" s="59"/>
      <c r="DY360" s="59"/>
      <c r="DZ360" s="59"/>
      <c r="EA360" s="59"/>
      <c r="EB360" s="59"/>
      <c r="EC360" s="59"/>
      <c r="ED360" s="59"/>
      <c r="EE360" s="59"/>
      <c r="EF360" s="59"/>
      <c r="EG360" s="59"/>
      <c r="EH360" s="59"/>
      <c r="EI360" s="59"/>
      <c r="EJ360" s="59"/>
      <c r="EK360" s="59"/>
      <c r="EL360" s="59"/>
      <c r="EM360" s="59"/>
      <c r="EN360" s="59"/>
      <c r="EO360" s="59"/>
      <c r="EP360" s="59"/>
      <c r="EQ360" s="59"/>
      <c r="ER360" s="59"/>
      <c r="ES360" s="59"/>
      <c r="ET360" s="59"/>
      <c r="EU360" s="59"/>
      <c r="EV360" s="59"/>
      <c r="EW360" s="59"/>
      <c r="EX360" s="59"/>
      <c r="EY360" s="59"/>
      <c r="EZ360" s="59"/>
      <c r="FA360" s="59"/>
      <c r="FB360" s="59"/>
      <c r="FC360" s="59"/>
      <c r="FD360" s="59"/>
      <c r="FE360" s="59"/>
      <c r="FF360" s="59"/>
      <c r="FG360" s="59"/>
      <c r="FH360" s="59"/>
      <c r="FI360" s="59"/>
      <c r="FJ360" s="59"/>
      <c r="FK360" s="59"/>
      <c r="FL360" s="59"/>
      <c r="FM360" s="59"/>
      <c r="FN360" s="59"/>
      <c r="FO360" s="59"/>
      <c r="FP360" s="59"/>
      <c r="FQ360" s="59"/>
      <c r="FR360" s="59"/>
      <c r="FS360" s="59"/>
      <c r="FT360" s="59"/>
      <c r="FU360" s="59"/>
      <c r="FV360" s="59"/>
      <c r="FW360" s="59"/>
      <c r="FX360" s="59"/>
      <c r="FY360" s="59"/>
      <c r="FZ360" s="59"/>
      <c r="GA360" s="59"/>
      <c r="GB360" s="59"/>
      <c r="GC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  <c r="CP377" s="59"/>
      <c r="CQ377" s="59"/>
      <c r="CR377" s="59"/>
      <c r="CS377" s="59"/>
      <c r="CT377" s="59"/>
      <c r="CU377" s="59"/>
      <c r="CV377" s="59"/>
      <c r="CW377" s="59"/>
      <c r="CX377" s="59"/>
      <c r="CY377" s="59"/>
      <c r="CZ377" s="59"/>
      <c r="DA377" s="59"/>
      <c r="DB377" s="59"/>
      <c r="DC377" s="59"/>
      <c r="DD377" s="59"/>
      <c r="DE377" s="59"/>
      <c r="DF377" s="59"/>
      <c r="DG377" s="59"/>
      <c r="DH377" s="59"/>
      <c r="DI377" s="59"/>
      <c r="DJ377" s="59"/>
      <c r="DK377" s="59"/>
      <c r="DL377" s="59"/>
      <c r="DM377" s="59"/>
      <c r="DN377" s="59"/>
      <c r="DO377" s="59"/>
      <c r="DP377" s="59"/>
      <c r="DQ377" s="59"/>
      <c r="DR377" s="59"/>
      <c r="DS377" s="59"/>
      <c r="DT377" s="59"/>
      <c r="DU377" s="59"/>
      <c r="DV377" s="59"/>
      <c r="DW377" s="59"/>
      <c r="DX377" s="59"/>
      <c r="DY377" s="59"/>
      <c r="DZ377" s="59"/>
      <c r="EA377" s="59"/>
      <c r="EB377" s="59"/>
      <c r="EC377" s="59"/>
      <c r="ED377" s="59"/>
      <c r="EE377" s="59"/>
      <c r="EF377" s="59"/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/>
      <c r="EV377" s="59"/>
      <c r="EW377" s="59"/>
      <c r="EX377" s="59"/>
      <c r="EY377" s="59"/>
      <c r="EZ377" s="59"/>
      <c r="FA377" s="59"/>
      <c r="FB377" s="59"/>
      <c r="FC377" s="59"/>
      <c r="FD377" s="59"/>
      <c r="FE377" s="59"/>
      <c r="FF377" s="59"/>
      <c r="FG377" s="59"/>
      <c r="FH377" s="59"/>
      <c r="FI377" s="59"/>
      <c r="FJ377" s="59"/>
      <c r="FK377" s="59"/>
      <c r="FL377" s="59"/>
      <c r="FM377" s="59"/>
      <c r="FN377" s="59"/>
      <c r="FO377" s="59"/>
      <c r="FP377" s="59"/>
      <c r="FQ377" s="59"/>
      <c r="FR377" s="59"/>
      <c r="FS377" s="59"/>
      <c r="FT377" s="59"/>
      <c r="FU377" s="59"/>
      <c r="FV377" s="59"/>
      <c r="FW377" s="59"/>
      <c r="FX377" s="59"/>
      <c r="FY377" s="59"/>
      <c r="FZ377" s="59"/>
      <c r="GA377" s="59"/>
      <c r="GB377" s="59"/>
      <c r="GC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  <c r="CP378" s="59"/>
      <c r="CQ378" s="59"/>
      <c r="CR378" s="59"/>
      <c r="CS378" s="59"/>
      <c r="CT378" s="59"/>
      <c r="CU378" s="59"/>
      <c r="CV378" s="59"/>
      <c r="CW378" s="59"/>
      <c r="CX378" s="59"/>
      <c r="CY378" s="59"/>
      <c r="CZ378" s="59"/>
      <c r="DA378" s="59"/>
      <c r="DB378" s="59"/>
      <c r="DC378" s="59"/>
      <c r="DD378" s="59"/>
      <c r="DE378" s="59"/>
      <c r="DF378" s="59"/>
      <c r="DG378" s="59"/>
      <c r="DH378" s="59"/>
      <c r="DI378" s="59"/>
      <c r="DJ378" s="59"/>
      <c r="DK378" s="59"/>
      <c r="DL378" s="59"/>
      <c r="DM378" s="59"/>
      <c r="DN378" s="59"/>
      <c r="DO378" s="59"/>
      <c r="DP378" s="59"/>
      <c r="DQ378" s="59"/>
      <c r="DR378" s="59"/>
      <c r="DS378" s="59"/>
      <c r="DT378" s="59"/>
      <c r="DU378" s="59"/>
      <c r="DV378" s="59"/>
      <c r="DW378" s="59"/>
      <c r="DX378" s="59"/>
      <c r="DY378" s="59"/>
      <c r="DZ378" s="59"/>
      <c r="EA378" s="59"/>
      <c r="EB378" s="59"/>
      <c r="EC378" s="59"/>
      <c r="ED378" s="59"/>
      <c r="EE378" s="59"/>
      <c r="EF378" s="59"/>
      <c r="EG378" s="59"/>
      <c r="EH378" s="59"/>
      <c r="EI378" s="59"/>
      <c r="EJ378" s="59"/>
      <c r="EK378" s="59"/>
      <c r="EL378" s="59"/>
      <c r="EM378" s="59"/>
      <c r="EN378" s="59"/>
      <c r="EO378" s="59"/>
      <c r="EP378" s="59"/>
      <c r="EQ378" s="59"/>
      <c r="ER378" s="59"/>
      <c r="ES378" s="59"/>
      <c r="ET378" s="59"/>
      <c r="EU378" s="59"/>
      <c r="EV378" s="59"/>
      <c r="EW378" s="59"/>
      <c r="EX378" s="59"/>
      <c r="EY378" s="59"/>
      <c r="EZ378" s="59"/>
      <c r="FA378" s="59"/>
      <c r="FB378" s="59"/>
      <c r="FC378" s="59"/>
      <c r="FD378" s="59"/>
      <c r="FE378" s="59"/>
      <c r="FF378" s="59"/>
      <c r="FG378" s="59"/>
      <c r="FH378" s="59"/>
      <c r="FI378" s="59"/>
      <c r="FJ378" s="59"/>
      <c r="FK378" s="59"/>
      <c r="FL378" s="59"/>
      <c r="FM378" s="59"/>
      <c r="FN378" s="59"/>
      <c r="FO378" s="59"/>
      <c r="FP378" s="59"/>
      <c r="FQ378" s="59"/>
      <c r="FR378" s="59"/>
      <c r="FS378" s="59"/>
      <c r="FT378" s="59"/>
      <c r="FU378" s="59"/>
      <c r="FV378" s="59"/>
      <c r="FW378" s="59"/>
      <c r="FX378" s="59"/>
      <c r="FY378" s="59"/>
      <c r="FZ378" s="59"/>
      <c r="GA378" s="59"/>
      <c r="GB378" s="59"/>
      <c r="GC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  <c r="CP379" s="59"/>
      <c r="CQ379" s="59"/>
      <c r="CR379" s="59"/>
      <c r="CS379" s="59"/>
      <c r="CT379" s="59"/>
      <c r="CU379" s="59"/>
      <c r="CV379" s="59"/>
      <c r="CW379" s="59"/>
      <c r="CX379" s="59"/>
      <c r="CY379" s="59"/>
      <c r="CZ379" s="59"/>
      <c r="DA379" s="59"/>
      <c r="DB379" s="59"/>
      <c r="DC379" s="59"/>
      <c r="DD379" s="59"/>
      <c r="DE379" s="59"/>
      <c r="DF379" s="59"/>
      <c r="DG379" s="59"/>
      <c r="DH379" s="59"/>
      <c r="DI379" s="59"/>
      <c r="DJ379" s="59"/>
      <c r="DK379" s="59"/>
      <c r="DL379" s="59"/>
      <c r="DM379" s="59"/>
      <c r="DN379" s="59"/>
      <c r="DO379" s="59"/>
      <c r="DP379" s="59"/>
      <c r="DQ379" s="59"/>
      <c r="DR379" s="59"/>
      <c r="DS379" s="59"/>
      <c r="DT379" s="59"/>
      <c r="DU379" s="59"/>
      <c r="DV379" s="59"/>
      <c r="DW379" s="59"/>
      <c r="DX379" s="59"/>
      <c r="DY379" s="59"/>
      <c r="DZ379" s="59"/>
      <c r="EA379" s="59"/>
      <c r="EB379" s="59"/>
      <c r="EC379" s="59"/>
      <c r="ED379" s="59"/>
      <c r="EE379" s="59"/>
      <c r="EF379" s="59"/>
      <c r="EG379" s="59"/>
      <c r="EH379" s="59"/>
      <c r="EI379" s="59"/>
      <c r="EJ379" s="59"/>
      <c r="EK379" s="59"/>
      <c r="EL379" s="59"/>
      <c r="EM379" s="59"/>
      <c r="EN379" s="59"/>
      <c r="EO379" s="59"/>
      <c r="EP379" s="59"/>
      <c r="EQ379" s="59"/>
      <c r="ER379" s="59"/>
      <c r="ES379" s="59"/>
      <c r="ET379" s="59"/>
      <c r="EU379" s="59"/>
      <c r="EV379" s="59"/>
      <c r="EW379" s="59"/>
      <c r="EX379" s="59"/>
      <c r="EY379" s="59"/>
      <c r="EZ379" s="59"/>
      <c r="FA379" s="59"/>
      <c r="FB379" s="59"/>
      <c r="FC379" s="59"/>
      <c r="FD379" s="59"/>
      <c r="FE379" s="59"/>
      <c r="FF379" s="59"/>
      <c r="FG379" s="59"/>
      <c r="FH379" s="59"/>
      <c r="FI379" s="59"/>
      <c r="FJ379" s="59"/>
      <c r="FK379" s="59"/>
      <c r="FL379" s="59"/>
      <c r="FM379" s="59"/>
      <c r="FN379" s="59"/>
      <c r="FO379" s="59"/>
      <c r="FP379" s="59"/>
      <c r="FQ379" s="59"/>
      <c r="FR379" s="59"/>
      <c r="FS379" s="59"/>
      <c r="FT379" s="59"/>
      <c r="FU379" s="59"/>
      <c r="FV379" s="59"/>
      <c r="FW379" s="59"/>
      <c r="FX379" s="59"/>
      <c r="FY379" s="59"/>
      <c r="FZ379" s="59"/>
      <c r="GA379" s="59"/>
      <c r="GB379" s="59"/>
      <c r="GC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  <c r="CP380" s="59"/>
      <c r="CQ380" s="59"/>
      <c r="CR380" s="59"/>
      <c r="CS380" s="59"/>
      <c r="CT380" s="59"/>
      <c r="CU380" s="59"/>
      <c r="CV380" s="59"/>
      <c r="CW380" s="59"/>
      <c r="CX380" s="59"/>
      <c r="CY380" s="59"/>
      <c r="CZ380" s="59"/>
      <c r="DA380" s="59"/>
      <c r="DB380" s="59"/>
      <c r="DC380" s="59"/>
      <c r="DD380" s="59"/>
      <c r="DE380" s="59"/>
      <c r="DF380" s="59"/>
      <c r="DG380" s="59"/>
      <c r="DH380" s="59"/>
      <c r="DI380" s="59"/>
      <c r="DJ380" s="59"/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/>
      <c r="DZ380" s="59"/>
      <c r="EA380" s="59"/>
      <c r="EB380" s="59"/>
      <c r="EC380" s="59"/>
      <c r="ED380" s="59"/>
      <c r="EE380" s="59"/>
      <c r="EF380" s="59"/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/>
      <c r="ES380" s="59"/>
      <c r="ET380" s="59"/>
      <c r="EU380" s="59"/>
      <c r="EV380" s="59"/>
      <c r="EW380" s="59"/>
      <c r="EX380" s="59"/>
      <c r="EY380" s="59"/>
      <c r="EZ380" s="59"/>
      <c r="FA380" s="59"/>
      <c r="FB380" s="59"/>
      <c r="FC380" s="59"/>
      <c r="FD380" s="59"/>
      <c r="FE380" s="59"/>
      <c r="FF380" s="59"/>
      <c r="FG380" s="59"/>
      <c r="FH380" s="59"/>
      <c r="FI380" s="59"/>
      <c r="FJ380" s="59"/>
      <c r="FK380" s="59"/>
      <c r="FL380" s="59"/>
      <c r="FM380" s="59"/>
      <c r="FN380" s="59"/>
      <c r="FO380" s="59"/>
      <c r="FP380" s="59"/>
      <c r="FQ380" s="59"/>
      <c r="FR380" s="59"/>
      <c r="FS380" s="59"/>
      <c r="FT380" s="59"/>
      <c r="FU380" s="59"/>
      <c r="FV380" s="59"/>
      <c r="FW380" s="59"/>
      <c r="FX380" s="59"/>
      <c r="FY380" s="59"/>
      <c r="FZ380" s="59"/>
      <c r="GA380" s="59"/>
      <c r="GB380" s="59"/>
      <c r="GC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  <c r="CP384" s="59"/>
      <c r="CQ384" s="59"/>
      <c r="CR384" s="59"/>
      <c r="CS384" s="59"/>
      <c r="CT384" s="59"/>
      <c r="CU384" s="59"/>
      <c r="CV384" s="59"/>
      <c r="CW384" s="59"/>
      <c r="CX384" s="59"/>
      <c r="CY384" s="59"/>
      <c r="CZ384" s="59"/>
      <c r="DA384" s="59"/>
      <c r="DB384" s="59"/>
      <c r="DC384" s="59"/>
      <c r="DD384" s="59"/>
      <c r="DE384" s="59"/>
      <c r="DF384" s="59"/>
      <c r="DG384" s="59"/>
      <c r="DH384" s="59"/>
      <c r="DI384" s="59"/>
      <c r="DJ384" s="59"/>
      <c r="DK384" s="59"/>
      <c r="DL384" s="59"/>
      <c r="DM384" s="59"/>
      <c r="DN384" s="59"/>
      <c r="DO384" s="59"/>
      <c r="DP384" s="59"/>
      <c r="DQ384" s="59"/>
      <c r="DR384" s="59"/>
      <c r="DS384" s="59"/>
      <c r="DT384" s="59"/>
      <c r="DU384" s="59"/>
      <c r="DV384" s="59"/>
      <c r="DW384" s="59"/>
      <c r="DX384" s="59"/>
      <c r="DY384" s="59"/>
      <c r="DZ384" s="59"/>
      <c r="EA384" s="59"/>
      <c r="EB384" s="59"/>
      <c r="EC384" s="59"/>
      <c r="ED384" s="59"/>
      <c r="EE384" s="59"/>
      <c r="EF384" s="59"/>
      <c r="EG384" s="59"/>
      <c r="EH384" s="59"/>
      <c r="EI384" s="59"/>
      <c r="EJ384" s="59"/>
      <c r="EK384" s="59"/>
      <c r="EL384" s="59"/>
      <c r="EM384" s="59"/>
      <c r="EN384" s="59"/>
      <c r="EO384" s="59"/>
      <c r="EP384" s="59"/>
      <c r="EQ384" s="59"/>
      <c r="ER384" s="59"/>
      <c r="ES384" s="59"/>
      <c r="ET384" s="59"/>
      <c r="EU384" s="59"/>
      <c r="EV384" s="59"/>
      <c r="EW384" s="59"/>
      <c r="EX384" s="59"/>
      <c r="EY384" s="59"/>
      <c r="EZ384" s="59"/>
      <c r="FA384" s="59"/>
      <c r="FB384" s="59"/>
      <c r="FC384" s="59"/>
      <c r="FD384" s="59"/>
      <c r="FE384" s="59"/>
      <c r="FF384" s="59"/>
      <c r="FG384" s="59"/>
      <c r="FH384" s="59"/>
      <c r="FI384" s="59"/>
      <c r="FJ384" s="59"/>
      <c r="FK384" s="59"/>
      <c r="FL384" s="59"/>
      <c r="FM384" s="59"/>
      <c r="FN384" s="59"/>
      <c r="FO384" s="59"/>
      <c r="FP384" s="59"/>
      <c r="FQ384" s="59"/>
      <c r="FR384" s="59"/>
      <c r="FS384" s="59"/>
      <c r="FT384" s="59"/>
      <c r="FU384" s="59"/>
      <c r="FV384" s="59"/>
      <c r="FW384" s="59"/>
      <c r="FX384" s="59"/>
      <c r="FY384" s="59"/>
      <c r="FZ384" s="59"/>
      <c r="GA384" s="59"/>
      <c r="GB384" s="59"/>
      <c r="GC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/>
      <c r="DC385" s="59"/>
      <c r="DD385" s="59"/>
      <c r="DE385" s="59"/>
      <c r="DF385" s="59"/>
      <c r="DG385" s="59"/>
      <c r="DH385" s="59"/>
      <c r="DI385" s="59"/>
      <c r="DJ385" s="59"/>
      <c r="DK385" s="59"/>
      <c r="DL385" s="59"/>
      <c r="DM385" s="59"/>
      <c r="DN385" s="59"/>
      <c r="DO385" s="59"/>
      <c r="DP385" s="59"/>
      <c r="DQ385" s="59"/>
      <c r="DR385" s="59"/>
      <c r="DS385" s="59"/>
      <c r="DT385" s="59"/>
      <c r="DU385" s="59"/>
      <c r="DV385" s="59"/>
      <c r="DW385" s="59"/>
      <c r="DX385" s="59"/>
      <c r="DY385" s="59"/>
      <c r="DZ385" s="59"/>
      <c r="EA385" s="59"/>
      <c r="EB385" s="59"/>
      <c r="EC385" s="59"/>
      <c r="ED385" s="59"/>
      <c r="EE385" s="59"/>
      <c r="EF385" s="59"/>
      <c r="EG385" s="59"/>
      <c r="EH385" s="59"/>
      <c r="EI385" s="59"/>
      <c r="EJ385" s="59"/>
      <c r="EK385" s="59"/>
      <c r="EL385" s="59"/>
      <c r="EM385" s="59"/>
      <c r="EN385" s="59"/>
      <c r="EO385" s="59"/>
      <c r="EP385" s="59"/>
      <c r="EQ385" s="59"/>
      <c r="ER385" s="59"/>
      <c r="ES385" s="59"/>
      <c r="ET385" s="59"/>
      <c r="EU385" s="59"/>
      <c r="EV385" s="59"/>
      <c r="EW385" s="59"/>
      <c r="EX385" s="59"/>
      <c r="EY385" s="59"/>
      <c r="EZ385" s="59"/>
      <c r="FA385" s="59"/>
      <c r="FB385" s="59"/>
      <c r="FC385" s="59"/>
      <c r="FD385" s="59"/>
      <c r="FE385" s="59"/>
      <c r="FF385" s="59"/>
      <c r="FG385" s="59"/>
      <c r="FH385" s="59"/>
      <c r="FI385" s="59"/>
      <c r="FJ385" s="59"/>
      <c r="FK385" s="59"/>
      <c r="FL385" s="59"/>
      <c r="FM385" s="59"/>
      <c r="FN385" s="59"/>
      <c r="FO385" s="59"/>
      <c r="FP385" s="59"/>
      <c r="FQ385" s="59"/>
      <c r="FR385" s="59"/>
      <c r="FS385" s="59"/>
      <c r="FT385" s="59"/>
      <c r="FU385" s="59"/>
      <c r="FV385" s="59"/>
      <c r="FW385" s="59"/>
      <c r="FX385" s="59"/>
      <c r="FY385" s="59"/>
      <c r="FZ385" s="59"/>
      <c r="GA385" s="59"/>
      <c r="GB385" s="59"/>
      <c r="GC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  <c r="CP386" s="59"/>
      <c r="CQ386" s="59"/>
      <c r="CR386" s="59"/>
      <c r="CS386" s="59"/>
      <c r="CT386" s="59"/>
      <c r="CU386" s="59"/>
      <c r="CV386" s="59"/>
      <c r="CW386" s="59"/>
      <c r="CX386" s="59"/>
      <c r="CY386" s="59"/>
      <c r="CZ386" s="59"/>
      <c r="DA386" s="59"/>
      <c r="DB386" s="59"/>
      <c r="DC386" s="59"/>
      <c r="DD386" s="59"/>
      <c r="DE386" s="59"/>
      <c r="DF386" s="59"/>
      <c r="DG386" s="59"/>
      <c r="DH386" s="59"/>
      <c r="DI386" s="59"/>
      <c r="DJ386" s="59"/>
      <c r="DK386" s="59"/>
      <c r="DL386" s="59"/>
      <c r="DM386" s="59"/>
      <c r="DN386" s="59"/>
      <c r="DO386" s="59"/>
      <c r="DP386" s="59"/>
      <c r="DQ386" s="59"/>
      <c r="DR386" s="59"/>
      <c r="DS386" s="59"/>
      <c r="DT386" s="59"/>
      <c r="DU386" s="59"/>
      <c r="DV386" s="59"/>
      <c r="DW386" s="59"/>
      <c r="DX386" s="59"/>
      <c r="DY386" s="59"/>
      <c r="DZ386" s="59"/>
      <c r="EA386" s="59"/>
      <c r="EB386" s="59"/>
      <c r="EC386" s="59"/>
      <c r="ED386" s="59"/>
      <c r="EE386" s="59"/>
      <c r="EF386" s="59"/>
      <c r="EG386" s="59"/>
      <c r="EH386" s="59"/>
      <c r="EI386" s="59"/>
      <c r="EJ386" s="59"/>
      <c r="EK386" s="59"/>
      <c r="EL386" s="59"/>
      <c r="EM386" s="59"/>
      <c r="EN386" s="59"/>
      <c r="EO386" s="59"/>
      <c r="EP386" s="59"/>
      <c r="EQ386" s="59"/>
      <c r="ER386" s="59"/>
      <c r="ES386" s="59"/>
      <c r="ET386" s="59"/>
      <c r="EU386" s="59"/>
      <c r="EV386" s="59"/>
      <c r="EW386" s="59"/>
      <c r="EX386" s="59"/>
      <c r="EY386" s="59"/>
      <c r="EZ386" s="59"/>
      <c r="FA386" s="59"/>
      <c r="FB386" s="59"/>
      <c r="FC386" s="59"/>
      <c r="FD386" s="59"/>
      <c r="FE386" s="59"/>
      <c r="FF386" s="59"/>
      <c r="FG386" s="59"/>
      <c r="FH386" s="59"/>
      <c r="FI386" s="59"/>
      <c r="FJ386" s="59"/>
      <c r="FK386" s="59"/>
      <c r="FL386" s="59"/>
      <c r="FM386" s="59"/>
      <c r="FN386" s="59"/>
      <c r="FO386" s="59"/>
      <c r="FP386" s="59"/>
      <c r="FQ386" s="59"/>
      <c r="FR386" s="59"/>
      <c r="FS386" s="59"/>
      <c r="FT386" s="59"/>
      <c r="FU386" s="59"/>
      <c r="FV386" s="59"/>
      <c r="FW386" s="59"/>
      <c r="FX386" s="59"/>
      <c r="FY386" s="59"/>
      <c r="FZ386" s="59"/>
      <c r="GA386" s="59"/>
      <c r="GB386" s="59"/>
      <c r="GC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  <c r="CP387" s="59"/>
      <c r="CQ387" s="59"/>
      <c r="CR387" s="59"/>
      <c r="CS387" s="59"/>
      <c r="CT387" s="59"/>
      <c r="CU387" s="59"/>
      <c r="CV387" s="59"/>
      <c r="CW387" s="59"/>
      <c r="CX387" s="59"/>
      <c r="CY387" s="59"/>
      <c r="CZ387" s="59"/>
      <c r="DA387" s="59"/>
      <c r="DB387" s="59"/>
      <c r="DC387" s="59"/>
      <c r="DD387" s="59"/>
      <c r="DE387" s="59"/>
      <c r="DF387" s="59"/>
      <c r="DG387" s="59"/>
      <c r="DH387" s="59"/>
      <c r="DI387" s="59"/>
      <c r="DJ387" s="59"/>
      <c r="DK387" s="59"/>
      <c r="DL387" s="59"/>
      <c r="DM387" s="59"/>
      <c r="DN387" s="59"/>
      <c r="DO387" s="59"/>
      <c r="DP387" s="59"/>
      <c r="DQ387" s="59"/>
      <c r="DR387" s="59"/>
      <c r="DS387" s="59"/>
      <c r="DT387" s="59"/>
      <c r="DU387" s="59"/>
      <c r="DV387" s="59"/>
      <c r="DW387" s="59"/>
      <c r="DX387" s="59"/>
      <c r="DY387" s="59"/>
      <c r="DZ387" s="59"/>
      <c r="EA387" s="59"/>
      <c r="EB387" s="59"/>
      <c r="EC387" s="59"/>
      <c r="ED387" s="59"/>
      <c r="EE387" s="59"/>
      <c r="EF387" s="59"/>
      <c r="EG387" s="59"/>
      <c r="EH387" s="59"/>
      <c r="EI387" s="59"/>
      <c r="EJ387" s="59"/>
      <c r="EK387" s="59"/>
      <c r="EL387" s="59"/>
      <c r="EM387" s="59"/>
      <c r="EN387" s="59"/>
      <c r="EO387" s="59"/>
      <c r="EP387" s="59"/>
      <c r="EQ387" s="59"/>
      <c r="ER387" s="59"/>
      <c r="ES387" s="59"/>
      <c r="ET387" s="59"/>
      <c r="EU387" s="59"/>
      <c r="EV387" s="59"/>
      <c r="EW387" s="59"/>
      <c r="EX387" s="59"/>
      <c r="EY387" s="59"/>
      <c r="EZ387" s="59"/>
      <c r="FA387" s="59"/>
      <c r="FB387" s="59"/>
      <c r="FC387" s="59"/>
      <c r="FD387" s="59"/>
      <c r="FE387" s="59"/>
      <c r="FF387" s="59"/>
      <c r="FG387" s="59"/>
      <c r="FH387" s="59"/>
      <c r="FI387" s="59"/>
      <c r="FJ387" s="59"/>
      <c r="FK387" s="59"/>
      <c r="FL387" s="59"/>
      <c r="FM387" s="59"/>
      <c r="FN387" s="59"/>
      <c r="FO387" s="59"/>
      <c r="FP387" s="59"/>
      <c r="FQ387" s="59"/>
      <c r="FR387" s="59"/>
      <c r="FS387" s="59"/>
      <c r="FT387" s="59"/>
      <c r="FU387" s="59"/>
      <c r="FV387" s="59"/>
      <c r="FW387" s="59"/>
      <c r="FX387" s="59"/>
      <c r="FY387" s="59"/>
      <c r="FZ387" s="59"/>
      <c r="GA387" s="59"/>
      <c r="GB387" s="59"/>
      <c r="GC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  <c r="CP388" s="59"/>
      <c r="CQ388" s="59"/>
      <c r="CR388" s="59"/>
      <c r="CS388" s="59"/>
      <c r="CT388" s="59"/>
      <c r="CU388" s="59"/>
      <c r="CV388" s="59"/>
      <c r="CW388" s="59"/>
      <c r="CX388" s="59"/>
      <c r="CY388" s="59"/>
      <c r="CZ388" s="59"/>
      <c r="DA388" s="59"/>
      <c r="DB388" s="59"/>
      <c r="DC388" s="59"/>
      <c r="DD388" s="59"/>
      <c r="DE388" s="59"/>
      <c r="DF388" s="59"/>
      <c r="DG388" s="59"/>
      <c r="DH388" s="59"/>
      <c r="DI388" s="59"/>
      <c r="DJ388" s="59"/>
      <c r="DK388" s="59"/>
      <c r="DL388" s="59"/>
      <c r="DM388" s="59"/>
      <c r="DN388" s="59"/>
      <c r="DO388" s="59"/>
      <c r="DP388" s="59"/>
      <c r="DQ388" s="59"/>
      <c r="DR388" s="59"/>
      <c r="DS388" s="59"/>
      <c r="DT388" s="59"/>
      <c r="DU388" s="59"/>
      <c r="DV388" s="59"/>
      <c r="DW388" s="59"/>
      <c r="DX388" s="59"/>
      <c r="DY388" s="59"/>
      <c r="DZ388" s="59"/>
      <c r="EA388" s="59"/>
      <c r="EB388" s="59"/>
      <c r="EC388" s="59"/>
      <c r="ED388" s="59"/>
      <c r="EE388" s="59"/>
      <c r="EF388" s="59"/>
      <c r="EG388" s="59"/>
      <c r="EH388" s="59"/>
      <c r="EI388" s="59"/>
      <c r="EJ388" s="59"/>
      <c r="EK388" s="59"/>
      <c r="EL388" s="59"/>
      <c r="EM388" s="59"/>
      <c r="EN388" s="59"/>
      <c r="EO388" s="59"/>
      <c r="EP388" s="59"/>
      <c r="EQ388" s="59"/>
      <c r="ER388" s="59"/>
      <c r="ES388" s="59"/>
      <c r="ET388" s="59"/>
      <c r="EU388" s="59"/>
      <c r="EV388" s="59"/>
      <c r="EW388" s="59"/>
      <c r="EX388" s="59"/>
      <c r="EY388" s="59"/>
      <c r="EZ388" s="59"/>
      <c r="FA388" s="59"/>
      <c r="FB388" s="59"/>
      <c r="FC388" s="59"/>
      <c r="FD388" s="59"/>
      <c r="FE388" s="59"/>
      <c r="FF388" s="59"/>
      <c r="FG388" s="59"/>
      <c r="FH388" s="59"/>
      <c r="FI388" s="59"/>
      <c r="FJ388" s="59"/>
      <c r="FK388" s="59"/>
      <c r="FL388" s="59"/>
      <c r="FM388" s="59"/>
      <c r="FN388" s="59"/>
      <c r="FO388" s="59"/>
      <c r="FP388" s="59"/>
      <c r="FQ388" s="59"/>
      <c r="FR388" s="59"/>
      <c r="FS388" s="59"/>
      <c r="FT388" s="59"/>
      <c r="FU388" s="59"/>
      <c r="FV388" s="59"/>
      <c r="FW388" s="59"/>
      <c r="FX388" s="59"/>
      <c r="FY388" s="59"/>
      <c r="FZ388" s="59"/>
      <c r="GA388" s="59"/>
      <c r="GB388" s="59"/>
      <c r="GC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  <c r="CP389" s="59"/>
      <c r="CQ389" s="59"/>
      <c r="CR389" s="59"/>
      <c r="CS389" s="59"/>
      <c r="CT389" s="59"/>
      <c r="CU389" s="59"/>
      <c r="CV389" s="59"/>
      <c r="CW389" s="59"/>
      <c r="CX389" s="59"/>
      <c r="CY389" s="59"/>
      <c r="CZ389" s="59"/>
      <c r="DA389" s="59"/>
      <c r="DB389" s="59"/>
      <c r="DC389" s="59"/>
      <c r="DD389" s="59"/>
      <c r="DE389" s="59"/>
      <c r="DF389" s="59"/>
      <c r="DG389" s="59"/>
      <c r="DH389" s="59"/>
      <c r="DI389" s="59"/>
      <c r="DJ389" s="59"/>
      <c r="DK389" s="59"/>
      <c r="DL389" s="59"/>
      <c r="DM389" s="59"/>
      <c r="DN389" s="59"/>
      <c r="DO389" s="59"/>
      <c r="DP389" s="59"/>
      <c r="DQ389" s="59"/>
      <c r="DR389" s="59"/>
      <c r="DS389" s="59"/>
      <c r="DT389" s="59"/>
      <c r="DU389" s="59"/>
      <c r="DV389" s="59"/>
      <c r="DW389" s="59"/>
      <c r="DX389" s="59"/>
      <c r="DY389" s="59"/>
      <c r="DZ389" s="59"/>
      <c r="EA389" s="59"/>
      <c r="EB389" s="59"/>
      <c r="EC389" s="59"/>
      <c r="ED389" s="59"/>
      <c r="EE389" s="59"/>
      <c r="EF389" s="59"/>
      <c r="EG389" s="59"/>
      <c r="EH389" s="59"/>
      <c r="EI389" s="59"/>
      <c r="EJ389" s="59"/>
      <c r="EK389" s="59"/>
      <c r="EL389" s="59"/>
      <c r="EM389" s="59"/>
      <c r="EN389" s="59"/>
      <c r="EO389" s="59"/>
      <c r="EP389" s="59"/>
      <c r="EQ389" s="59"/>
      <c r="ER389" s="59"/>
      <c r="ES389" s="59"/>
      <c r="ET389" s="59"/>
      <c r="EU389" s="59"/>
      <c r="EV389" s="59"/>
      <c r="EW389" s="59"/>
      <c r="EX389" s="59"/>
      <c r="EY389" s="59"/>
      <c r="EZ389" s="59"/>
      <c r="FA389" s="59"/>
      <c r="FB389" s="59"/>
      <c r="FC389" s="59"/>
      <c r="FD389" s="59"/>
      <c r="FE389" s="59"/>
      <c r="FF389" s="59"/>
      <c r="FG389" s="59"/>
      <c r="FH389" s="59"/>
      <c r="FI389" s="59"/>
      <c r="FJ389" s="59"/>
      <c r="FK389" s="59"/>
      <c r="FL389" s="59"/>
      <c r="FM389" s="59"/>
      <c r="FN389" s="59"/>
      <c r="FO389" s="59"/>
      <c r="FP389" s="59"/>
      <c r="FQ389" s="59"/>
      <c r="FR389" s="59"/>
      <c r="FS389" s="59"/>
      <c r="FT389" s="59"/>
      <c r="FU389" s="59"/>
      <c r="FV389" s="59"/>
      <c r="FW389" s="59"/>
      <c r="FX389" s="59"/>
      <c r="FY389" s="59"/>
      <c r="FZ389" s="59"/>
      <c r="GA389" s="59"/>
      <c r="GB389" s="59"/>
      <c r="GC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/>
      <c r="DC390" s="59"/>
      <c r="DD390" s="59"/>
      <c r="DE390" s="59"/>
      <c r="DF390" s="59"/>
      <c r="DG390" s="59"/>
      <c r="DH390" s="59"/>
      <c r="DI390" s="59"/>
      <c r="DJ390" s="59"/>
      <c r="DK390" s="59"/>
      <c r="DL390" s="59"/>
      <c r="DM390" s="59"/>
      <c r="DN390" s="59"/>
      <c r="DO390" s="59"/>
      <c r="DP390" s="59"/>
      <c r="DQ390" s="59"/>
      <c r="DR390" s="59"/>
      <c r="DS390" s="59"/>
      <c r="DT390" s="59"/>
      <c r="DU390" s="59"/>
      <c r="DV390" s="59"/>
      <c r="DW390" s="59"/>
      <c r="DX390" s="59"/>
      <c r="DY390" s="59"/>
      <c r="DZ390" s="59"/>
      <c r="EA390" s="59"/>
      <c r="EB390" s="59"/>
      <c r="EC390" s="59"/>
      <c r="ED390" s="59"/>
      <c r="EE390" s="59"/>
      <c r="EF390" s="59"/>
      <c r="EG390" s="59"/>
      <c r="EH390" s="59"/>
      <c r="EI390" s="59"/>
      <c r="EJ390" s="59"/>
      <c r="EK390" s="59"/>
      <c r="EL390" s="59"/>
      <c r="EM390" s="59"/>
      <c r="EN390" s="59"/>
      <c r="EO390" s="59"/>
      <c r="EP390" s="59"/>
      <c r="EQ390" s="59"/>
      <c r="ER390" s="59"/>
      <c r="ES390" s="59"/>
      <c r="ET390" s="59"/>
      <c r="EU390" s="59"/>
      <c r="EV390" s="59"/>
      <c r="EW390" s="59"/>
      <c r="EX390" s="59"/>
      <c r="EY390" s="59"/>
      <c r="EZ390" s="59"/>
      <c r="FA390" s="59"/>
      <c r="FB390" s="59"/>
      <c r="FC390" s="59"/>
      <c r="FD390" s="59"/>
      <c r="FE390" s="59"/>
      <c r="FF390" s="59"/>
      <c r="FG390" s="59"/>
      <c r="FH390" s="59"/>
      <c r="FI390" s="59"/>
      <c r="FJ390" s="59"/>
      <c r="FK390" s="59"/>
      <c r="FL390" s="59"/>
      <c r="FM390" s="59"/>
      <c r="FN390" s="59"/>
      <c r="FO390" s="59"/>
      <c r="FP390" s="59"/>
      <c r="FQ390" s="59"/>
      <c r="FR390" s="59"/>
      <c r="FS390" s="59"/>
      <c r="FT390" s="59"/>
      <c r="FU390" s="59"/>
      <c r="FV390" s="59"/>
      <c r="FW390" s="59"/>
      <c r="FX390" s="59"/>
      <c r="FY390" s="59"/>
      <c r="FZ390" s="59"/>
      <c r="GA390" s="59"/>
      <c r="GB390" s="59"/>
      <c r="GC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  <c r="CP391" s="59"/>
      <c r="CQ391" s="59"/>
      <c r="CR391" s="59"/>
      <c r="CS391" s="59"/>
      <c r="CT391" s="59"/>
      <c r="CU391" s="59"/>
      <c r="CV391" s="59"/>
      <c r="CW391" s="59"/>
      <c r="CX391" s="59"/>
      <c r="CY391" s="59"/>
      <c r="CZ391" s="59"/>
      <c r="DA391" s="59"/>
      <c r="DB391" s="59"/>
      <c r="DC391" s="59"/>
      <c r="DD391" s="59"/>
      <c r="DE391" s="59"/>
      <c r="DF391" s="59"/>
      <c r="DG391" s="59"/>
      <c r="DH391" s="59"/>
      <c r="DI391" s="59"/>
      <c r="DJ391" s="59"/>
      <c r="DK391" s="59"/>
      <c r="DL391" s="59"/>
      <c r="DM391" s="59"/>
      <c r="DN391" s="59"/>
      <c r="DO391" s="59"/>
      <c r="DP391" s="59"/>
      <c r="DQ391" s="59"/>
      <c r="DR391" s="59"/>
      <c r="DS391" s="59"/>
      <c r="DT391" s="59"/>
      <c r="DU391" s="59"/>
      <c r="DV391" s="59"/>
      <c r="DW391" s="59"/>
      <c r="DX391" s="59"/>
      <c r="DY391" s="59"/>
      <c r="DZ391" s="59"/>
      <c r="EA391" s="59"/>
      <c r="EB391" s="59"/>
      <c r="EC391" s="59"/>
      <c r="ED391" s="59"/>
      <c r="EE391" s="59"/>
      <c r="EF391" s="59"/>
      <c r="EG391" s="59"/>
      <c r="EH391" s="59"/>
      <c r="EI391" s="59"/>
      <c r="EJ391" s="59"/>
      <c r="EK391" s="59"/>
      <c r="EL391" s="59"/>
      <c r="EM391" s="59"/>
      <c r="EN391" s="59"/>
      <c r="EO391" s="59"/>
      <c r="EP391" s="59"/>
      <c r="EQ391" s="59"/>
      <c r="ER391" s="59"/>
      <c r="ES391" s="59"/>
      <c r="ET391" s="59"/>
      <c r="EU391" s="59"/>
      <c r="EV391" s="59"/>
      <c r="EW391" s="59"/>
      <c r="EX391" s="59"/>
      <c r="EY391" s="59"/>
      <c r="EZ391" s="59"/>
      <c r="FA391" s="59"/>
      <c r="FB391" s="59"/>
      <c r="FC391" s="59"/>
      <c r="FD391" s="59"/>
      <c r="FE391" s="59"/>
      <c r="FF391" s="59"/>
      <c r="FG391" s="59"/>
      <c r="FH391" s="59"/>
      <c r="FI391" s="59"/>
      <c r="FJ391" s="59"/>
      <c r="FK391" s="59"/>
      <c r="FL391" s="59"/>
      <c r="FM391" s="59"/>
      <c r="FN391" s="59"/>
      <c r="FO391" s="59"/>
      <c r="FP391" s="59"/>
      <c r="FQ391" s="59"/>
      <c r="FR391" s="59"/>
      <c r="FS391" s="59"/>
      <c r="FT391" s="59"/>
      <c r="FU391" s="59"/>
      <c r="FV391" s="59"/>
      <c r="FW391" s="59"/>
      <c r="FX391" s="59"/>
      <c r="FY391" s="59"/>
      <c r="FZ391" s="59"/>
      <c r="GA391" s="59"/>
      <c r="GB391" s="59"/>
      <c r="GC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  <c r="CP392" s="59"/>
      <c r="CQ392" s="59"/>
      <c r="CR392" s="59"/>
      <c r="CS392" s="59"/>
      <c r="CT392" s="59"/>
      <c r="CU392" s="59"/>
      <c r="CV392" s="59"/>
      <c r="CW392" s="59"/>
      <c r="CX392" s="59"/>
      <c r="CY392" s="59"/>
      <c r="CZ392" s="59"/>
      <c r="DA392" s="59"/>
      <c r="DB392" s="59"/>
      <c r="DC392" s="59"/>
      <c r="DD392" s="59"/>
      <c r="DE392" s="59"/>
      <c r="DF392" s="59"/>
      <c r="DG392" s="59"/>
      <c r="DH392" s="59"/>
      <c r="DI392" s="59"/>
      <c r="DJ392" s="59"/>
      <c r="DK392" s="59"/>
      <c r="DL392" s="59"/>
      <c r="DM392" s="59"/>
      <c r="DN392" s="59"/>
      <c r="DO392" s="59"/>
      <c r="DP392" s="59"/>
      <c r="DQ392" s="59"/>
      <c r="DR392" s="59"/>
      <c r="DS392" s="59"/>
      <c r="DT392" s="59"/>
      <c r="DU392" s="59"/>
      <c r="DV392" s="59"/>
      <c r="DW392" s="59"/>
      <c r="DX392" s="59"/>
      <c r="DY392" s="59"/>
      <c r="DZ392" s="59"/>
      <c r="EA392" s="59"/>
      <c r="EB392" s="59"/>
      <c r="EC392" s="59"/>
      <c r="ED392" s="59"/>
      <c r="EE392" s="59"/>
      <c r="EF392" s="59"/>
      <c r="EG392" s="59"/>
      <c r="EH392" s="59"/>
      <c r="EI392" s="59"/>
      <c r="EJ392" s="59"/>
      <c r="EK392" s="59"/>
      <c r="EL392" s="59"/>
      <c r="EM392" s="59"/>
      <c r="EN392" s="59"/>
      <c r="EO392" s="59"/>
      <c r="EP392" s="59"/>
      <c r="EQ392" s="59"/>
      <c r="ER392" s="59"/>
      <c r="ES392" s="59"/>
      <c r="ET392" s="59"/>
      <c r="EU392" s="59"/>
      <c r="EV392" s="59"/>
      <c r="EW392" s="59"/>
      <c r="EX392" s="59"/>
      <c r="EY392" s="59"/>
      <c r="EZ392" s="59"/>
      <c r="FA392" s="59"/>
      <c r="FB392" s="59"/>
      <c r="FC392" s="59"/>
      <c r="FD392" s="59"/>
      <c r="FE392" s="59"/>
      <c r="FF392" s="59"/>
      <c r="FG392" s="59"/>
      <c r="FH392" s="59"/>
      <c r="FI392" s="59"/>
      <c r="FJ392" s="59"/>
      <c r="FK392" s="59"/>
      <c r="FL392" s="59"/>
      <c r="FM392" s="59"/>
      <c r="FN392" s="59"/>
      <c r="FO392" s="59"/>
      <c r="FP392" s="59"/>
      <c r="FQ392" s="59"/>
      <c r="FR392" s="59"/>
      <c r="FS392" s="59"/>
      <c r="FT392" s="59"/>
      <c r="FU392" s="59"/>
      <c r="FV392" s="59"/>
      <c r="FW392" s="59"/>
      <c r="FX392" s="59"/>
      <c r="FY392" s="59"/>
      <c r="FZ392" s="59"/>
      <c r="GA392" s="59"/>
      <c r="GB392" s="59"/>
      <c r="GC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  <c r="CP395" s="59"/>
      <c r="CQ395" s="59"/>
      <c r="CR395" s="59"/>
      <c r="CS395" s="59"/>
      <c r="CT395" s="59"/>
      <c r="CU395" s="59"/>
      <c r="CV395" s="59"/>
      <c r="CW395" s="59"/>
      <c r="CX395" s="59"/>
      <c r="CY395" s="59"/>
      <c r="CZ395" s="59"/>
      <c r="DA395" s="59"/>
      <c r="DB395" s="59"/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/>
      <c r="ES395" s="59"/>
      <c r="ET395" s="59"/>
      <c r="EU395" s="59"/>
      <c r="EV395" s="59"/>
      <c r="EW395" s="59"/>
      <c r="EX395" s="59"/>
      <c r="EY395" s="59"/>
      <c r="EZ395" s="59"/>
      <c r="FA395" s="59"/>
      <c r="FB395" s="59"/>
      <c r="FC395" s="59"/>
      <c r="FD395" s="59"/>
      <c r="FE395" s="59"/>
      <c r="FF395" s="59"/>
      <c r="FG395" s="59"/>
      <c r="FH395" s="59"/>
      <c r="FI395" s="59"/>
      <c r="FJ395" s="59"/>
      <c r="FK395" s="59"/>
      <c r="FL395" s="59"/>
      <c r="FM395" s="59"/>
      <c r="FN395" s="59"/>
      <c r="FO395" s="59"/>
      <c r="FP395" s="59"/>
      <c r="FQ395" s="59"/>
      <c r="FR395" s="59"/>
      <c r="FS395" s="59"/>
      <c r="FT395" s="59"/>
      <c r="FU395" s="59"/>
      <c r="FV395" s="59"/>
      <c r="FW395" s="59"/>
      <c r="FX395" s="59"/>
      <c r="FY395" s="59"/>
      <c r="FZ395" s="59"/>
      <c r="GA395" s="59"/>
      <c r="GB395" s="59"/>
      <c r="GC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  <c r="CL399" s="59"/>
      <c r="CM399" s="59"/>
      <c r="CN399" s="59"/>
      <c r="CO399" s="59"/>
      <c r="CP399" s="59"/>
      <c r="CQ399" s="59"/>
      <c r="CR399" s="59"/>
      <c r="CS399" s="59"/>
      <c r="CT399" s="59"/>
      <c r="CU399" s="59"/>
      <c r="CV399" s="59"/>
      <c r="CW399" s="59"/>
      <c r="CX399" s="59"/>
      <c r="CY399" s="59"/>
      <c r="CZ399" s="59"/>
      <c r="DA399" s="59"/>
      <c r="DB399" s="59"/>
      <c r="DC399" s="59"/>
      <c r="DD399" s="59"/>
      <c r="DE399" s="59"/>
      <c r="DF399" s="59"/>
      <c r="DG399" s="59"/>
      <c r="DH399" s="59"/>
      <c r="DI399" s="59"/>
      <c r="DJ399" s="59"/>
      <c r="DK399" s="59"/>
      <c r="DL399" s="59"/>
      <c r="DM399" s="59"/>
      <c r="DN399" s="59"/>
      <c r="DO399" s="59"/>
      <c r="DP399" s="59"/>
      <c r="DQ399" s="59"/>
      <c r="DR399" s="59"/>
      <c r="DS399" s="59"/>
      <c r="DT399" s="59"/>
      <c r="DU399" s="59"/>
      <c r="DV399" s="59"/>
      <c r="DW399" s="59"/>
      <c r="DX399" s="59"/>
      <c r="DY399" s="59"/>
      <c r="DZ399" s="59"/>
      <c r="EA399" s="59"/>
      <c r="EB399" s="59"/>
      <c r="EC399" s="59"/>
      <c r="ED399" s="59"/>
      <c r="EE399" s="59"/>
      <c r="EF399" s="59"/>
      <c r="EG399" s="59"/>
      <c r="EH399" s="59"/>
      <c r="EI399" s="59"/>
      <c r="EJ399" s="59"/>
      <c r="EK399" s="59"/>
      <c r="EL399" s="59"/>
      <c r="EM399" s="59"/>
      <c r="EN399" s="59"/>
      <c r="EO399" s="59"/>
      <c r="EP399" s="59"/>
      <c r="EQ399" s="59"/>
      <c r="ER399" s="59"/>
      <c r="ES399" s="59"/>
      <c r="ET399" s="59"/>
      <c r="EU399" s="59"/>
      <c r="EV399" s="59"/>
      <c r="EW399" s="59"/>
      <c r="EX399" s="59"/>
      <c r="EY399" s="59"/>
      <c r="EZ399" s="59"/>
      <c r="FA399" s="59"/>
      <c r="FB399" s="59"/>
      <c r="FC399" s="59"/>
      <c r="FD399" s="59"/>
      <c r="FE399" s="59"/>
      <c r="FF399" s="59"/>
      <c r="FG399" s="59"/>
      <c r="FH399" s="59"/>
      <c r="FI399" s="59"/>
      <c r="FJ399" s="59"/>
      <c r="FK399" s="59"/>
      <c r="FL399" s="59"/>
      <c r="FM399" s="59"/>
      <c r="FN399" s="59"/>
      <c r="FO399" s="59"/>
      <c r="FP399" s="59"/>
      <c r="FQ399" s="59"/>
      <c r="FR399" s="59"/>
      <c r="FS399" s="59"/>
      <c r="FT399" s="59"/>
      <c r="FU399" s="59"/>
      <c r="FV399" s="59"/>
      <c r="FW399" s="59"/>
      <c r="FX399" s="59"/>
      <c r="FY399" s="59"/>
      <c r="FZ399" s="59"/>
      <c r="GA399" s="59"/>
      <c r="GB399" s="59"/>
      <c r="GC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  <c r="CL403" s="59"/>
      <c r="CM403" s="59"/>
      <c r="CN403" s="59"/>
      <c r="CO403" s="59"/>
      <c r="CP403" s="59"/>
      <c r="CQ403" s="59"/>
      <c r="CR403" s="59"/>
      <c r="CS403" s="59"/>
      <c r="CT403" s="59"/>
      <c r="CU403" s="59"/>
      <c r="CV403" s="59"/>
      <c r="CW403" s="59"/>
      <c r="CX403" s="59"/>
      <c r="CY403" s="59"/>
      <c r="CZ403" s="59"/>
      <c r="DA403" s="59"/>
      <c r="DB403" s="59"/>
      <c r="DC403" s="59"/>
      <c r="DD403" s="59"/>
      <c r="DE403" s="59"/>
      <c r="DF403" s="59"/>
      <c r="DG403" s="59"/>
      <c r="DH403" s="59"/>
      <c r="DI403" s="59"/>
      <c r="DJ403" s="59"/>
      <c r="DK403" s="59"/>
      <c r="DL403" s="59"/>
      <c r="DM403" s="59"/>
      <c r="DN403" s="59"/>
      <c r="DO403" s="59"/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/>
      <c r="EF403" s="59"/>
      <c r="EG403" s="59"/>
      <c r="EH403" s="59"/>
      <c r="EI403" s="59"/>
      <c r="EJ403" s="59"/>
      <c r="EK403" s="59"/>
      <c r="EL403" s="59"/>
      <c r="EM403" s="59"/>
      <c r="EN403" s="59"/>
      <c r="EO403" s="59"/>
      <c r="EP403" s="59"/>
      <c r="EQ403" s="59"/>
      <c r="ER403" s="59"/>
      <c r="ES403" s="59"/>
      <c r="ET403" s="59"/>
      <c r="EU403" s="59"/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  <c r="CP408" s="59"/>
      <c r="CQ408" s="59"/>
      <c r="CR408" s="59"/>
      <c r="CS408" s="59"/>
      <c r="CT408" s="59"/>
      <c r="CU408" s="59"/>
      <c r="CV408" s="59"/>
      <c r="CW408" s="59"/>
      <c r="CX408" s="59"/>
      <c r="CY408" s="59"/>
      <c r="CZ408" s="59"/>
      <c r="DA408" s="59"/>
      <c r="DB408" s="59"/>
      <c r="DC408" s="59"/>
      <c r="DD408" s="59"/>
      <c r="DE408" s="59"/>
      <c r="DF408" s="59"/>
      <c r="DG408" s="59"/>
      <c r="DH408" s="59"/>
      <c r="DI408" s="59"/>
      <c r="DJ408" s="59"/>
      <c r="DK408" s="59"/>
      <c r="DL408" s="59"/>
      <c r="DM408" s="59"/>
      <c r="DN408" s="59"/>
      <c r="DO408" s="59"/>
      <c r="DP408" s="59"/>
      <c r="DQ408" s="59"/>
      <c r="DR408" s="59"/>
      <c r="DS408" s="59"/>
      <c r="DT408" s="59"/>
      <c r="DU408" s="59"/>
      <c r="DV408" s="59"/>
      <c r="DW408" s="59"/>
      <c r="DX408" s="59"/>
      <c r="DY408" s="59"/>
      <c r="DZ408" s="59"/>
      <c r="EA408" s="59"/>
      <c r="EB408" s="59"/>
      <c r="EC408" s="59"/>
      <c r="ED408" s="59"/>
      <c r="EE408" s="59"/>
      <c r="EF408" s="59"/>
      <c r="EG408" s="59"/>
      <c r="EH408" s="59"/>
      <c r="EI408" s="59"/>
      <c r="EJ408" s="59"/>
      <c r="EK408" s="59"/>
      <c r="EL408" s="59"/>
      <c r="EM408" s="59"/>
      <c r="EN408" s="59"/>
      <c r="EO408" s="59"/>
      <c r="EP408" s="59"/>
      <c r="EQ408" s="59"/>
      <c r="ER408" s="59"/>
      <c r="ES408" s="59"/>
      <c r="ET408" s="59"/>
      <c r="EU408" s="59"/>
      <c r="EV408" s="59"/>
      <c r="EW408" s="59"/>
      <c r="EX408" s="59"/>
      <c r="EY408" s="59"/>
      <c r="EZ408" s="59"/>
      <c r="FA408" s="59"/>
      <c r="FB408" s="59"/>
      <c r="FC408" s="59"/>
      <c r="FD408" s="59"/>
      <c r="FE408" s="59"/>
      <c r="FF408" s="59"/>
      <c r="FG408" s="59"/>
      <c r="FH408" s="59"/>
      <c r="FI408" s="59"/>
      <c r="FJ408" s="59"/>
      <c r="FK408" s="59"/>
      <c r="FL408" s="59"/>
      <c r="FM408" s="59"/>
      <c r="FN408" s="59"/>
      <c r="FO408" s="59"/>
      <c r="FP408" s="59"/>
      <c r="FQ408" s="59"/>
      <c r="FR408" s="59"/>
      <c r="FS408" s="59"/>
      <c r="FT408" s="59"/>
      <c r="FU408" s="59"/>
      <c r="FV408" s="59"/>
      <c r="FW408" s="59"/>
      <c r="FX408" s="59"/>
      <c r="FY408" s="59"/>
      <c r="FZ408" s="59"/>
      <c r="GA408" s="59"/>
      <c r="GB408" s="59"/>
      <c r="GC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/>
      <c r="DA409" s="59"/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  <c r="CP411" s="59"/>
      <c r="CQ411" s="59"/>
      <c r="CR411" s="59"/>
      <c r="CS411" s="59"/>
      <c r="CT411" s="59"/>
      <c r="CU411" s="59"/>
      <c r="CV411" s="59"/>
      <c r="CW411" s="59"/>
      <c r="CX411" s="59"/>
      <c r="CY411" s="59"/>
      <c r="CZ411" s="59"/>
      <c r="DA411" s="59"/>
      <c r="DB411" s="59"/>
      <c r="DC411" s="59"/>
      <c r="DD411" s="59"/>
      <c r="DE411" s="59"/>
      <c r="DF411" s="59"/>
      <c r="DG411" s="59"/>
      <c r="DH411" s="59"/>
      <c r="DI411" s="59"/>
      <c r="DJ411" s="59"/>
      <c r="DK411" s="59"/>
      <c r="DL411" s="59"/>
      <c r="DM411" s="59"/>
      <c r="DN411" s="59"/>
      <c r="DO411" s="59"/>
      <c r="DP411" s="59"/>
      <c r="DQ411" s="59"/>
      <c r="DR411" s="59"/>
      <c r="DS411" s="59"/>
      <c r="DT411" s="59"/>
      <c r="DU411" s="59"/>
      <c r="DV411" s="59"/>
      <c r="DW411" s="59"/>
      <c r="DX411" s="59"/>
      <c r="DY411" s="59"/>
      <c r="DZ411" s="59"/>
      <c r="EA411" s="59"/>
      <c r="EB411" s="59"/>
      <c r="EC411" s="59"/>
      <c r="ED411" s="59"/>
      <c r="EE411" s="59"/>
      <c r="EF411" s="59"/>
      <c r="EG411" s="59"/>
      <c r="EH411" s="59"/>
      <c r="EI411" s="59"/>
      <c r="EJ411" s="59"/>
      <c r="EK411" s="59"/>
      <c r="EL411" s="59"/>
      <c r="EM411" s="59"/>
      <c r="EN411" s="59"/>
      <c r="EO411" s="59"/>
      <c r="EP411" s="59"/>
      <c r="EQ411" s="59"/>
      <c r="ER411" s="59"/>
      <c r="ES411" s="59"/>
      <c r="ET411" s="59"/>
      <c r="EU411" s="59"/>
      <c r="EV411" s="59"/>
      <c r="EW411" s="59"/>
      <c r="EX411" s="59"/>
      <c r="EY411" s="59"/>
      <c r="EZ411" s="59"/>
      <c r="FA411" s="59"/>
      <c r="FB411" s="59"/>
      <c r="FC411" s="59"/>
      <c r="FD411" s="59"/>
      <c r="FE411" s="59"/>
      <c r="FF411" s="59"/>
      <c r="FG411" s="59"/>
      <c r="FH411" s="59"/>
      <c r="FI411" s="59"/>
      <c r="FJ411" s="59"/>
      <c r="FK411" s="59"/>
      <c r="FL411" s="59"/>
      <c r="FM411" s="59"/>
      <c r="FN411" s="59"/>
      <c r="FO411" s="59"/>
      <c r="FP411" s="59"/>
      <c r="FQ411" s="59"/>
      <c r="FR411" s="59"/>
      <c r="FS411" s="59"/>
      <c r="FT411" s="59"/>
      <c r="FU411" s="59"/>
      <c r="FV411" s="59"/>
      <c r="FW411" s="59"/>
      <c r="FX411" s="59"/>
      <c r="FY411" s="59"/>
      <c r="FZ411" s="59"/>
      <c r="GA411" s="59"/>
      <c r="GB411" s="59"/>
      <c r="GC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  <c r="CP413" s="59"/>
      <c r="CQ413" s="59"/>
      <c r="CR413" s="59"/>
      <c r="CS413" s="59"/>
      <c r="CT413" s="59"/>
      <c r="CU413" s="59"/>
      <c r="CV413" s="59"/>
      <c r="CW413" s="59"/>
      <c r="CX413" s="59"/>
      <c r="CY413" s="59"/>
      <c r="CZ413" s="59"/>
      <c r="DA413" s="59"/>
      <c r="DB413" s="59"/>
      <c r="DC413" s="59"/>
      <c r="DD413" s="59"/>
      <c r="DE413" s="59"/>
      <c r="DF413" s="59"/>
      <c r="DG413" s="59"/>
      <c r="DH413" s="59"/>
      <c r="DI413" s="59"/>
      <c r="DJ413" s="59"/>
      <c r="DK413" s="59"/>
      <c r="DL413" s="59"/>
      <c r="DM413" s="59"/>
      <c r="DN413" s="59"/>
      <c r="DO413" s="59"/>
      <c r="DP413" s="59"/>
      <c r="DQ413" s="59"/>
      <c r="DR413" s="59"/>
      <c r="DS413" s="59"/>
      <c r="DT413" s="59"/>
      <c r="DU413" s="59"/>
      <c r="DV413" s="59"/>
      <c r="DW413" s="59"/>
      <c r="DX413" s="59"/>
      <c r="DY413" s="59"/>
      <c r="DZ413" s="59"/>
      <c r="EA413" s="59"/>
      <c r="EB413" s="59"/>
      <c r="EC413" s="59"/>
      <c r="ED413" s="59"/>
      <c r="EE413" s="59"/>
      <c r="EF413" s="59"/>
      <c r="EG413" s="59"/>
      <c r="EH413" s="59"/>
      <c r="EI413" s="59"/>
      <c r="EJ413" s="59"/>
      <c r="EK413" s="59"/>
      <c r="EL413" s="59"/>
      <c r="EM413" s="59"/>
      <c r="EN413" s="59"/>
      <c r="EO413" s="59"/>
      <c r="EP413" s="59"/>
      <c r="EQ413" s="59"/>
      <c r="ER413" s="59"/>
      <c r="ES413" s="59"/>
      <c r="ET413" s="59"/>
      <c r="EU413" s="59"/>
      <c r="EV413" s="59"/>
      <c r="EW413" s="59"/>
      <c r="EX413" s="59"/>
      <c r="EY413" s="59"/>
      <c r="EZ413" s="59"/>
      <c r="FA413" s="59"/>
      <c r="FB413" s="59"/>
      <c r="FC413" s="59"/>
      <c r="FD413" s="59"/>
      <c r="FE413" s="59"/>
      <c r="FF413" s="59"/>
      <c r="FG413" s="59"/>
      <c r="FH413" s="59"/>
      <c r="FI413" s="59"/>
      <c r="FJ413" s="59"/>
      <c r="FK413" s="59"/>
      <c r="FL413" s="59"/>
      <c r="FM413" s="59"/>
      <c r="FN413" s="59"/>
      <c r="FO413" s="59"/>
      <c r="FP413" s="59"/>
      <c r="FQ413" s="59"/>
      <c r="FR413" s="59"/>
      <c r="FS413" s="59"/>
      <c r="FT413" s="59"/>
      <c r="FU413" s="59"/>
      <c r="FV413" s="59"/>
      <c r="FW413" s="59"/>
      <c r="FX413" s="59"/>
      <c r="FY413" s="59"/>
      <c r="FZ413" s="59"/>
      <c r="GA413" s="59"/>
      <c r="GB413" s="59"/>
      <c r="GC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  <c r="CP414" s="59"/>
      <c r="CQ414" s="59"/>
      <c r="CR414" s="59"/>
      <c r="CS414" s="59"/>
      <c r="CT414" s="59"/>
      <c r="CU414" s="59"/>
      <c r="CV414" s="59"/>
      <c r="CW414" s="59"/>
      <c r="CX414" s="59"/>
      <c r="CY414" s="59"/>
      <c r="CZ414" s="59"/>
      <c r="DA414" s="59"/>
      <c r="DB414" s="59"/>
      <c r="DC414" s="59"/>
      <c r="DD414" s="59"/>
      <c r="DE414" s="59"/>
      <c r="DF414" s="59"/>
      <c r="DG414" s="59"/>
      <c r="DH414" s="59"/>
      <c r="DI414" s="59"/>
      <c r="DJ414" s="59"/>
      <c r="DK414" s="59"/>
      <c r="DL414" s="59"/>
      <c r="DM414" s="59"/>
      <c r="DN414" s="59"/>
      <c r="DO414" s="59"/>
      <c r="DP414" s="59"/>
      <c r="DQ414" s="59"/>
      <c r="DR414" s="59"/>
      <c r="DS414" s="59"/>
      <c r="DT414" s="59"/>
      <c r="DU414" s="59"/>
      <c r="DV414" s="59"/>
      <c r="DW414" s="59"/>
      <c r="DX414" s="59"/>
      <c r="DY414" s="59"/>
      <c r="DZ414" s="59"/>
      <c r="EA414" s="59"/>
      <c r="EB414" s="59"/>
      <c r="EC414" s="59"/>
      <c r="ED414" s="59"/>
      <c r="EE414" s="59"/>
      <c r="EF414" s="59"/>
      <c r="EG414" s="59"/>
      <c r="EH414" s="59"/>
      <c r="EI414" s="59"/>
      <c r="EJ414" s="59"/>
      <c r="EK414" s="59"/>
      <c r="EL414" s="59"/>
      <c r="EM414" s="59"/>
      <c r="EN414" s="59"/>
      <c r="EO414" s="59"/>
      <c r="EP414" s="59"/>
      <c r="EQ414" s="59"/>
      <c r="ER414" s="59"/>
      <c r="ES414" s="59"/>
      <c r="ET414" s="59"/>
      <c r="EU414" s="59"/>
      <c r="EV414" s="59"/>
      <c r="EW414" s="59"/>
      <c r="EX414" s="59"/>
      <c r="EY414" s="59"/>
      <c r="EZ414" s="59"/>
      <c r="FA414" s="59"/>
      <c r="FB414" s="59"/>
      <c r="FC414" s="59"/>
      <c r="FD414" s="59"/>
      <c r="FE414" s="59"/>
      <c r="FF414" s="59"/>
      <c r="FG414" s="59"/>
      <c r="FH414" s="59"/>
      <c r="FI414" s="59"/>
      <c r="FJ414" s="59"/>
      <c r="FK414" s="59"/>
      <c r="FL414" s="59"/>
      <c r="FM414" s="59"/>
      <c r="FN414" s="59"/>
      <c r="FO414" s="59"/>
      <c r="FP414" s="59"/>
      <c r="FQ414" s="59"/>
      <c r="FR414" s="59"/>
      <c r="FS414" s="59"/>
      <c r="FT414" s="59"/>
      <c r="FU414" s="59"/>
      <c r="FV414" s="59"/>
      <c r="FW414" s="59"/>
      <c r="FX414" s="59"/>
      <c r="FY414" s="59"/>
      <c r="FZ414" s="59"/>
      <c r="GA414" s="59"/>
      <c r="GB414" s="59"/>
      <c r="GC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  <c r="CP415" s="59"/>
      <c r="CQ415" s="59"/>
      <c r="CR415" s="59"/>
      <c r="CS415" s="59"/>
      <c r="CT415" s="59"/>
      <c r="CU415" s="59"/>
      <c r="CV415" s="59"/>
      <c r="CW415" s="59"/>
      <c r="CX415" s="59"/>
      <c r="CY415" s="59"/>
      <c r="CZ415" s="59"/>
      <c r="DA415" s="59"/>
      <c r="DB415" s="59"/>
      <c r="DC415" s="59"/>
      <c r="DD415" s="59"/>
      <c r="DE415" s="59"/>
      <c r="DF415" s="59"/>
      <c r="DG415" s="59"/>
      <c r="DH415" s="59"/>
      <c r="DI415" s="59"/>
      <c r="DJ415" s="59"/>
      <c r="DK415" s="59"/>
      <c r="DL415" s="59"/>
      <c r="DM415" s="59"/>
      <c r="DN415" s="59"/>
      <c r="DO415" s="59"/>
      <c r="DP415" s="59"/>
      <c r="DQ415" s="59"/>
      <c r="DR415" s="59"/>
      <c r="DS415" s="59"/>
      <c r="DT415" s="59"/>
      <c r="DU415" s="59"/>
      <c r="DV415" s="59"/>
      <c r="DW415" s="59"/>
      <c r="DX415" s="59"/>
      <c r="DY415" s="59"/>
      <c r="DZ415" s="59"/>
      <c r="EA415" s="59"/>
      <c r="EB415" s="59"/>
      <c r="EC415" s="59"/>
      <c r="ED415" s="59"/>
      <c r="EE415" s="59"/>
      <c r="EF415" s="59"/>
      <c r="EG415" s="59"/>
      <c r="EH415" s="59"/>
      <c r="EI415" s="59"/>
      <c r="EJ415" s="59"/>
      <c r="EK415" s="59"/>
      <c r="EL415" s="59"/>
      <c r="EM415" s="59"/>
      <c r="EN415" s="59"/>
      <c r="EO415" s="59"/>
      <c r="EP415" s="59"/>
      <c r="EQ415" s="59"/>
      <c r="ER415" s="59"/>
      <c r="ES415" s="59"/>
      <c r="ET415" s="59"/>
      <c r="EU415" s="59"/>
      <c r="EV415" s="59"/>
      <c r="EW415" s="59"/>
      <c r="EX415" s="59"/>
      <c r="EY415" s="59"/>
      <c r="EZ415" s="59"/>
      <c r="FA415" s="59"/>
      <c r="FB415" s="59"/>
      <c r="FC415" s="59"/>
      <c r="FD415" s="59"/>
      <c r="FE415" s="59"/>
      <c r="FF415" s="59"/>
      <c r="FG415" s="59"/>
      <c r="FH415" s="59"/>
      <c r="FI415" s="59"/>
      <c r="FJ415" s="59"/>
      <c r="FK415" s="59"/>
      <c r="FL415" s="59"/>
      <c r="FM415" s="59"/>
      <c r="FN415" s="59"/>
      <c r="FO415" s="59"/>
      <c r="FP415" s="59"/>
      <c r="FQ415" s="59"/>
      <c r="FR415" s="59"/>
      <c r="FS415" s="59"/>
      <c r="FT415" s="59"/>
      <c r="FU415" s="59"/>
      <c r="FV415" s="59"/>
      <c r="FW415" s="59"/>
      <c r="FX415" s="59"/>
      <c r="FY415" s="59"/>
      <c r="FZ415" s="59"/>
      <c r="GA415" s="59"/>
      <c r="GB415" s="59"/>
      <c r="GC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  <c r="CP416" s="59"/>
      <c r="CQ416" s="59"/>
      <c r="CR416" s="59"/>
      <c r="CS416" s="59"/>
      <c r="CT416" s="59"/>
      <c r="CU416" s="59"/>
      <c r="CV416" s="59"/>
      <c r="CW416" s="59"/>
      <c r="CX416" s="59"/>
      <c r="CY416" s="59"/>
      <c r="CZ416" s="59"/>
      <c r="DA416" s="59"/>
      <c r="DB416" s="59"/>
      <c r="DC416" s="59"/>
      <c r="DD416" s="59"/>
      <c r="DE416" s="59"/>
      <c r="DF416" s="59"/>
      <c r="DG416" s="59"/>
      <c r="DH416" s="59"/>
      <c r="DI416" s="59"/>
      <c r="DJ416" s="59"/>
      <c r="DK416" s="59"/>
      <c r="DL416" s="59"/>
      <c r="DM416" s="59"/>
      <c r="DN416" s="59"/>
      <c r="DO416" s="59"/>
      <c r="DP416" s="59"/>
      <c r="DQ416" s="59"/>
      <c r="DR416" s="59"/>
      <c r="DS416" s="59"/>
      <c r="DT416" s="59"/>
      <c r="DU416" s="59"/>
      <c r="DV416" s="59"/>
      <c r="DW416" s="59"/>
      <c r="DX416" s="59"/>
      <c r="DY416" s="59"/>
      <c r="DZ416" s="59"/>
      <c r="EA416" s="59"/>
      <c r="EB416" s="59"/>
      <c r="EC416" s="59"/>
      <c r="ED416" s="59"/>
      <c r="EE416" s="59"/>
      <c r="EF416" s="59"/>
      <c r="EG416" s="59"/>
      <c r="EH416" s="59"/>
      <c r="EI416" s="59"/>
      <c r="EJ416" s="59"/>
      <c r="EK416" s="59"/>
      <c r="EL416" s="59"/>
      <c r="EM416" s="59"/>
      <c r="EN416" s="59"/>
      <c r="EO416" s="59"/>
      <c r="EP416" s="59"/>
      <c r="EQ416" s="59"/>
      <c r="ER416" s="59"/>
      <c r="ES416" s="59"/>
      <c r="ET416" s="59"/>
      <c r="EU416" s="59"/>
      <c r="EV416" s="59"/>
      <c r="EW416" s="59"/>
      <c r="EX416" s="59"/>
      <c r="EY416" s="59"/>
      <c r="EZ416" s="59"/>
      <c r="FA416" s="59"/>
      <c r="FB416" s="59"/>
      <c r="FC416" s="59"/>
      <c r="FD416" s="59"/>
      <c r="FE416" s="59"/>
      <c r="FF416" s="59"/>
      <c r="FG416" s="59"/>
      <c r="FH416" s="59"/>
      <c r="FI416" s="59"/>
      <c r="FJ416" s="59"/>
      <c r="FK416" s="59"/>
      <c r="FL416" s="59"/>
      <c r="FM416" s="59"/>
      <c r="FN416" s="59"/>
      <c r="FO416" s="59"/>
      <c r="FP416" s="59"/>
      <c r="FQ416" s="59"/>
      <c r="FR416" s="59"/>
      <c r="FS416" s="59"/>
      <c r="FT416" s="59"/>
      <c r="FU416" s="59"/>
      <c r="FV416" s="59"/>
      <c r="FW416" s="59"/>
      <c r="FX416" s="59"/>
      <c r="FY416" s="59"/>
      <c r="FZ416" s="59"/>
      <c r="GA416" s="59"/>
      <c r="GB416" s="59"/>
      <c r="GC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  <c r="CP417" s="59"/>
      <c r="CQ417" s="59"/>
      <c r="CR417" s="59"/>
      <c r="CS417" s="59"/>
      <c r="CT417" s="59"/>
      <c r="CU417" s="59"/>
      <c r="CV417" s="59"/>
      <c r="CW417" s="59"/>
      <c r="CX417" s="59"/>
      <c r="CY417" s="59"/>
      <c r="CZ417" s="59"/>
      <c r="DA417" s="59"/>
      <c r="DB417" s="59"/>
      <c r="DC417" s="59"/>
      <c r="DD417" s="59"/>
      <c r="DE417" s="59"/>
      <c r="DF417" s="59"/>
      <c r="DG417" s="59"/>
      <c r="DH417" s="59"/>
      <c r="DI417" s="59"/>
      <c r="DJ417" s="59"/>
      <c r="DK417" s="59"/>
      <c r="DL417" s="59"/>
      <c r="DM417" s="59"/>
      <c r="DN417" s="59"/>
      <c r="DO417" s="59"/>
      <c r="DP417" s="59"/>
      <c r="DQ417" s="59"/>
      <c r="DR417" s="59"/>
      <c r="DS417" s="59"/>
      <c r="DT417" s="59"/>
      <c r="DU417" s="59"/>
      <c r="DV417" s="59"/>
      <c r="DW417" s="59"/>
      <c r="DX417" s="59"/>
      <c r="DY417" s="59"/>
      <c r="DZ417" s="59"/>
      <c r="EA417" s="59"/>
      <c r="EB417" s="59"/>
      <c r="EC417" s="59"/>
      <c r="ED417" s="59"/>
      <c r="EE417" s="59"/>
      <c r="EF417" s="59"/>
      <c r="EG417" s="59"/>
      <c r="EH417" s="59"/>
      <c r="EI417" s="59"/>
      <c r="EJ417" s="59"/>
      <c r="EK417" s="59"/>
      <c r="EL417" s="59"/>
      <c r="EM417" s="59"/>
      <c r="EN417" s="59"/>
      <c r="EO417" s="59"/>
      <c r="EP417" s="59"/>
      <c r="EQ417" s="59"/>
      <c r="ER417" s="59"/>
      <c r="ES417" s="59"/>
      <c r="ET417" s="59"/>
      <c r="EU417" s="59"/>
      <c r="EV417" s="59"/>
      <c r="EW417" s="59"/>
      <c r="EX417" s="59"/>
      <c r="EY417" s="59"/>
      <c r="EZ417" s="59"/>
      <c r="FA417" s="59"/>
      <c r="FB417" s="59"/>
      <c r="FC417" s="59"/>
      <c r="FD417" s="59"/>
      <c r="FE417" s="59"/>
      <c r="FF417" s="59"/>
      <c r="FG417" s="59"/>
      <c r="FH417" s="59"/>
      <c r="FI417" s="59"/>
      <c r="FJ417" s="59"/>
      <c r="FK417" s="59"/>
      <c r="FL417" s="59"/>
      <c r="FM417" s="59"/>
      <c r="FN417" s="59"/>
      <c r="FO417" s="59"/>
      <c r="FP417" s="59"/>
      <c r="FQ417" s="59"/>
      <c r="FR417" s="59"/>
      <c r="FS417" s="59"/>
      <c r="FT417" s="59"/>
      <c r="FU417" s="59"/>
      <c r="FV417" s="59"/>
      <c r="FW417" s="59"/>
      <c r="FX417" s="59"/>
      <c r="FY417" s="59"/>
      <c r="FZ417" s="59"/>
      <c r="GA417" s="59"/>
      <c r="GB417" s="59"/>
      <c r="GC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  <c r="CP418" s="59"/>
      <c r="CQ418" s="59"/>
      <c r="CR418" s="59"/>
      <c r="CS418" s="59"/>
      <c r="CT418" s="59"/>
      <c r="CU418" s="59"/>
      <c r="CV418" s="59"/>
      <c r="CW418" s="59"/>
      <c r="CX418" s="59"/>
      <c r="CY418" s="59"/>
      <c r="CZ418" s="59"/>
      <c r="DA418" s="59"/>
      <c r="DB418" s="59"/>
      <c r="DC418" s="59"/>
      <c r="DD418" s="59"/>
      <c r="DE418" s="59"/>
      <c r="DF418" s="59"/>
      <c r="DG418" s="59"/>
      <c r="DH418" s="59"/>
      <c r="DI418" s="59"/>
      <c r="DJ418" s="59"/>
      <c r="DK418" s="59"/>
      <c r="DL418" s="59"/>
      <c r="DM418" s="59"/>
      <c r="DN418" s="59"/>
      <c r="DO418" s="59"/>
      <c r="DP418" s="59"/>
      <c r="DQ418" s="59"/>
      <c r="DR418" s="59"/>
      <c r="DS418" s="59"/>
      <c r="DT418" s="59"/>
      <c r="DU418" s="59"/>
      <c r="DV418" s="59"/>
      <c r="DW418" s="59"/>
      <c r="DX418" s="59"/>
      <c r="DY418" s="59"/>
      <c r="DZ418" s="59"/>
      <c r="EA418" s="59"/>
      <c r="EB418" s="59"/>
      <c r="EC418" s="59"/>
      <c r="ED418" s="59"/>
      <c r="EE418" s="59"/>
      <c r="EF418" s="59"/>
      <c r="EG418" s="59"/>
      <c r="EH418" s="59"/>
      <c r="EI418" s="59"/>
      <c r="EJ418" s="59"/>
      <c r="EK418" s="59"/>
      <c r="EL418" s="59"/>
      <c r="EM418" s="59"/>
      <c r="EN418" s="59"/>
      <c r="EO418" s="59"/>
      <c r="EP418" s="59"/>
      <c r="EQ418" s="59"/>
      <c r="ER418" s="59"/>
      <c r="ES418" s="59"/>
      <c r="ET418" s="59"/>
      <c r="EU418" s="59"/>
      <c r="EV418" s="59"/>
      <c r="EW418" s="59"/>
      <c r="EX418" s="59"/>
      <c r="EY418" s="59"/>
      <c r="EZ418" s="59"/>
      <c r="FA418" s="59"/>
      <c r="FB418" s="59"/>
      <c r="FC418" s="59"/>
      <c r="FD418" s="59"/>
      <c r="FE418" s="59"/>
      <c r="FF418" s="59"/>
      <c r="FG418" s="59"/>
      <c r="FH418" s="59"/>
      <c r="FI418" s="59"/>
      <c r="FJ418" s="59"/>
      <c r="FK418" s="59"/>
      <c r="FL418" s="59"/>
      <c r="FM418" s="59"/>
      <c r="FN418" s="59"/>
      <c r="FO418" s="59"/>
      <c r="FP418" s="59"/>
      <c r="FQ418" s="59"/>
      <c r="FR418" s="59"/>
      <c r="FS418" s="59"/>
      <c r="FT418" s="59"/>
      <c r="FU418" s="59"/>
      <c r="FV418" s="59"/>
      <c r="FW418" s="59"/>
      <c r="FX418" s="59"/>
      <c r="FY418" s="59"/>
      <c r="FZ418" s="59"/>
      <c r="GA418" s="59"/>
      <c r="GB418" s="59"/>
      <c r="GC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  <c r="CP419" s="59"/>
      <c r="CQ419" s="59"/>
      <c r="CR419" s="59"/>
      <c r="CS419" s="59"/>
      <c r="CT419" s="59"/>
      <c r="CU419" s="59"/>
      <c r="CV419" s="59"/>
      <c r="CW419" s="59"/>
      <c r="CX419" s="59"/>
      <c r="CY419" s="59"/>
      <c r="CZ419" s="59"/>
      <c r="DA419" s="59"/>
      <c r="DB419" s="59"/>
      <c r="DC419" s="59"/>
      <c r="DD419" s="59"/>
      <c r="DE419" s="59"/>
      <c r="DF419" s="59"/>
      <c r="DG419" s="59"/>
      <c r="DH419" s="59"/>
      <c r="DI419" s="59"/>
      <c r="DJ419" s="59"/>
      <c r="DK419" s="59"/>
      <c r="DL419" s="59"/>
      <c r="DM419" s="59"/>
      <c r="DN419" s="59"/>
      <c r="DO419" s="59"/>
      <c r="DP419" s="59"/>
      <c r="DQ419" s="59"/>
      <c r="DR419" s="59"/>
      <c r="DS419" s="59"/>
      <c r="DT419" s="59"/>
      <c r="DU419" s="59"/>
      <c r="DV419" s="59"/>
      <c r="DW419" s="59"/>
      <c r="DX419" s="59"/>
      <c r="DY419" s="59"/>
      <c r="DZ419" s="59"/>
      <c r="EA419" s="59"/>
      <c r="EB419" s="59"/>
      <c r="EC419" s="59"/>
      <c r="ED419" s="59"/>
      <c r="EE419" s="59"/>
      <c r="EF419" s="59"/>
      <c r="EG419" s="59"/>
      <c r="EH419" s="59"/>
      <c r="EI419" s="59"/>
      <c r="EJ419" s="59"/>
      <c r="EK419" s="59"/>
      <c r="EL419" s="59"/>
      <c r="EM419" s="59"/>
      <c r="EN419" s="59"/>
      <c r="EO419" s="59"/>
      <c r="EP419" s="59"/>
      <c r="EQ419" s="59"/>
      <c r="ER419" s="59"/>
      <c r="ES419" s="59"/>
      <c r="ET419" s="59"/>
      <c r="EU419" s="59"/>
      <c r="EV419" s="59"/>
      <c r="EW419" s="59"/>
      <c r="EX419" s="59"/>
      <c r="EY419" s="59"/>
      <c r="EZ419" s="59"/>
      <c r="FA419" s="59"/>
      <c r="FB419" s="59"/>
      <c r="FC419" s="59"/>
      <c r="FD419" s="59"/>
      <c r="FE419" s="59"/>
      <c r="FF419" s="59"/>
      <c r="FG419" s="59"/>
      <c r="FH419" s="59"/>
      <c r="FI419" s="59"/>
      <c r="FJ419" s="59"/>
      <c r="FK419" s="59"/>
      <c r="FL419" s="59"/>
      <c r="FM419" s="59"/>
      <c r="FN419" s="59"/>
      <c r="FO419" s="59"/>
      <c r="FP419" s="59"/>
      <c r="FQ419" s="59"/>
      <c r="FR419" s="59"/>
      <c r="FS419" s="59"/>
      <c r="FT419" s="59"/>
      <c r="FU419" s="59"/>
      <c r="FV419" s="59"/>
      <c r="FW419" s="59"/>
      <c r="FX419" s="59"/>
      <c r="FY419" s="59"/>
      <c r="FZ419" s="59"/>
      <c r="GA419" s="59"/>
      <c r="GB419" s="59"/>
      <c r="GC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/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  <c r="CP421" s="59"/>
      <c r="CQ421" s="59"/>
      <c r="CR421" s="59"/>
      <c r="CS421" s="59"/>
      <c r="CT421" s="59"/>
      <c r="CU421" s="59"/>
      <c r="CV421" s="59"/>
      <c r="CW421" s="59"/>
      <c r="CX421" s="59"/>
      <c r="CY421" s="59"/>
      <c r="CZ421" s="59"/>
      <c r="DA421" s="59"/>
      <c r="DB421" s="59"/>
      <c r="DC421" s="59"/>
      <c r="DD421" s="59"/>
      <c r="DE421" s="59"/>
      <c r="DF421" s="59"/>
      <c r="DG421" s="59"/>
      <c r="DH421" s="59"/>
      <c r="DI421" s="59"/>
      <c r="DJ421" s="59"/>
      <c r="DK421" s="59"/>
      <c r="DL421" s="59"/>
      <c r="DM421" s="59"/>
      <c r="DN421" s="59"/>
      <c r="DO421" s="59"/>
      <c r="DP421" s="59"/>
      <c r="DQ421" s="59"/>
      <c r="DR421" s="59"/>
      <c r="DS421" s="59"/>
      <c r="DT421" s="59"/>
      <c r="DU421" s="59"/>
      <c r="DV421" s="59"/>
      <c r="DW421" s="59"/>
      <c r="DX421" s="59"/>
      <c r="DY421" s="59"/>
      <c r="DZ421" s="59"/>
      <c r="EA421" s="59"/>
      <c r="EB421" s="59"/>
      <c r="EC421" s="59"/>
      <c r="ED421" s="59"/>
      <c r="EE421" s="59"/>
      <c r="EF421" s="59"/>
      <c r="EG421" s="59"/>
      <c r="EH421" s="59"/>
      <c r="EI421" s="59"/>
      <c r="EJ421" s="59"/>
      <c r="EK421" s="59"/>
      <c r="EL421" s="59"/>
      <c r="EM421" s="59"/>
      <c r="EN421" s="59"/>
      <c r="EO421" s="59"/>
      <c r="EP421" s="59"/>
      <c r="EQ421" s="59"/>
      <c r="ER421" s="59"/>
      <c r="ES421" s="59"/>
      <c r="ET421" s="59"/>
      <c r="EU421" s="59"/>
      <c r="EV421" s="59"/>
      <c r="EW421" s="59"/>
      <c r="EX421" s="59"/>
      <c r="EY421" s="59"/>
      <c r="EZ421" s="59"/>
      <c r="FA421" s="59"/>
      <c r="FB421" s="59"/>
      <c r="FC421" s="59"/>
      <c r="FD421" s="59"/>
      <c r="FE421" s="59"/>
      <c r="FF421" s="59"/>
      <c r="FG421" s="59"/>
      <c r="FH421" s="59"/>
      <c r="FI421" s="59"/>
      <c r="FJ421" s="59"/>
      <c r="FK421" s="59"/>
      <c r="FL421" s="59"/>
      <c r="FM421" s="59"/>
      <c r="FN421" s="59"/>
      <c r="FO421" s="59"/>
      <c r="FP421" s="59"/>
      <c r="FQ421" s="59"/>
      <c r="FR421" s="59"/>
      <c r="FS421" s="59"/>
      <c r="FT421" s="59"/>
      <c r="FU421" s="59"/>
      <c r="FV421" s="59"/>
      <c r="FW421" s="59"/>
      <c r="FX421" s="59"/>
      <c r="FY421" s="59"/>
      <c r="FZ421" s="59"/>
      <c r="GA421" s="59"/>
      <c r="GB421" s="59"/>
      <c r="GC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  <c r="CP422" s="59"/>
      <c r="CQ422" s="59"/>
      <c r="CR422" s="59"/>
      <c r="CS422" s="59"/>
      <c r="CT422" s="59"/>
      <c r="CU422" s="59"/>
      <c r="CV422" s="59"/>
      <c r="CW422" s="59"/>
      <c r="CX422" s="59"/>
      <c r="CY422" s="59"/>
      <c r="CZ422" s="59"/>
      <c r="DA422" s="59"/>
      <c r="DB422" s="59"/>
      <c r="DC422" s="59"/>
      <c r="DD422" s="59"/>
      <c r="DE422" s="59"/>
      <c r="DF422" s="59"/>
      <c r="DG422" s="59"/>
      <c r="DH422" s="59"/>
      <c r="DI422" s="59"/>
      <c r="DJ422" s="59"/>
      <c r="DK422" s="59"/>
      <c r="DL422" s="59"/>
      <c r="DM422" s="59"/>
      <c r="DN422" s="59"/>
      <c r="DO422" s="59"/>
      <c r="DP422" s="59"/>
      <c r="DQ422" s="59"/>
      <c r="DR422" s="59"/>
      <c r="DS422" s="59"/>
      <c r="DT422" s="59"/>
      <c r="DU422" s="59"/>
      <c r="DV422" s="59"/>
      <c r="DW422" s="59"/>
      <c r="DX422" s="59"/>
      <c r="DY422" s="59"/>
      <c r="DZ422" s="59"/>
      <c r="EA422" s="59"/>
      <c r="EB422" s="59"/>
      <c r="EC422" s="59"/>
      <c r="ED422" s="59"/>
      <c r="EE422" s="59"/>
      <c r="EF422" s="59"/>
      <c r="EG422" s="59"/>
      <c r="EH422" s="59"/>
      <c r="EI422" s="59"/>
      <c r="EJ422" s="59"/>
      <c r="EK422" s="59"/>
      <c r="EL422" s="59"/>
      <c r="EM422" s="59"/>
      <c r="EN422" s="59"/>
      <c r="EO422" s="59"/>
      <c r="EP422" s="59"/>
      <c r="EQ422" s="59"/>
      <c r="ER422" s="59"/>
      <c r="ES422" s="59"/>
      <c r="ET422" s="59"/>
      <c r="EU422" s="59"/>
      <c r="EV422" s="59"/>
      <c r="EW422" s="59"/>
      <c r="EX422" s="59"/>
      <c r="EY422" s="59"/>
      <c r="EZ422" s="59"/>
      <c r="FA422" s="59"/>
      <c r="FB422" s="59"/>
      <c r="FC422" s="59"/>
      <c r="FD422" s="59"/>
      <c r="FE422" s="59"/>
      <c r="FF422" s="59"/>
      <c r="FG422" s="59"/>
      <c r="FH422" s="59"/>
      <c r="FI422" s="59"/>
      <c r="FJ422" s="59"/>
      <c r="FK422" s="59"/>
      <c r="FL422" s="59"/>
      <c r="FM422" s="59"/>
      <c r="FN422" s="59"/>
      <c r="FO422" s="59"/>
      <c r="FP422" s="59"/>
      <c r="FQ422" s="59"/>
      <c r="FR422" s="59"/>
      <c r="FS422" s="59"/>
      <c r="FT422" s="59"/>
      <c r="FU422" s="59"/>
      <c r="FV422" s="59"/>
      <c r="FW422" s="59"/>
      <c r="FX422" s="59"/>
      <c r="FY422" s="59"/>
      <c r="FZ422" s="59"/>
      <c r="GA422" s="59"/>
      <c r="GB422" s="59"/>
      <c r="GC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  <c r="CP423" s="59"/>
      <c r="CQ423" s="59"/>
      <c r="CR423" s="59"/>
      <c r="CS423" s="59"/>
      <c r="CT423" s="59"/>
      <c r="CU423" s="59"/>
      <c r="CV423" s="59"/>
      <c r="CW423" s="59"/>
      <c r="CX423" s="59"/>
      <c r="CY423" s="59"/>
      <c r="CZ423" s="59"/>
      <c r="DA423" s="59"/>
      <c r="DB423" s="59"/>
      <c r="DC423" s="59"/>
      <c r="DD423" s="59"/>
      <c r="DE423" s="59"/>
      <c r="DF423" s="59"/>
      <c r="DG423" s="59"/>
      <c r="DH423" s="59"/>
      <c r="DI423" s="59"/>
      <c r="DJ423" s="59"/>
      <c r="DK423" s="59"/>
      <c r="DL423" s="59"/>
      <c r="DM423" s="59"/>
      <c r="DN423" s="59"/>
      <c r="DO423" s="59"/>
      <c r="DP423" s="59"/>
      <c r="DQ423" s="59"/>
      <c r="DR423" s="59"/>
      <c r="DS423" s="59"/>
      <c r="DT423" s="59"/>
      <c r="DU423" s="59"/>
      <c r="DV423" s="59"/>
      <c r="DW423" s="59"/>
      <c r="DX423" s="59"/>
      <c r="DY423" s="59"/>
      <c r="DZ423" s="59"/>
      <c r="EA423" s="59"/>
      <c r="EB423" s="59"/>
      <c r="EC423" s="59"/>
      <c r="ED423" s="59"/>
      <c r="EE423" s="59"/>
      <c r="EF423" s="59"/>
      <c r="EG423" s="59"/>
      <c r="EH423" s="59"/>
      <c r="EI423" s="59"/>
      <c r="EJ423" s="59"/>
      <c r="EK423" s="59"/>
      <c r="EL423" s="59"/>
      <c r="EM423" s="59"/>
      <c r="EN423" s="59"/>
      <c r="EO423" s="59"/>
      <c r="EP423" s="59"/>
      <c r="EQ423" s="59"/>
      <c r="ER423" s="59"/>
      <c r="ES423" s="59"/>
      <c r="ET423" s="59"/>
      <c r="EU423" s="59"/>
      <c r="EV423" s="59"/>
      <c r="EW423" s="59"/>
      <c r="EX423" s="59"/>
      <c r="EY423" s="59"/>
      <c r="EZ423" s="59"/>
      <c r="FA423" s="59"/>
      <c r="FB423" s="59"/>
      <c r="FC423" s="59"/>
      <c r="FD423" s="59"/>
      <c r="FE423" s="59"/>
      <c r="FF423" s="59"/>
      <c r="FG423" s="59"/>
      <c r="FH423" s="59"/>
      <c r="FI423" s="59"/>
      <c r="FJ423" s="59"/>
      <c r="FK423" s="59"/>
      <c r="FL423" s="59"/>
      <c r="FM423" s="59"/>
      <c r="FN423" s="59"/>
      <c r="FO423" s="59"/>
      <c r="FP423" s="59"/>
      <c r="FQ423" s="59"/>
      <c r="FR423" s="59"/>
      <c r="FS423" s="59"/>
      <c r="FT423" s="59"/>
      <c r="FU423" s="59"/>
      <c r="FV423" s="59"/>
      <c r="FW423" s="59"/>
      <c r="FX423" s="59"/>
      <c r="FY423" s="59"/>
      <c r="FZ423" s="59"/>
      <c r="GA423" s="59"/>
      <c r="GB423" s="59"/>
      <c r="GC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  <c r="CP424" s="59"/>
      <c r="CQ424" s="59"/>
      <c r="CR424" s="59"/>
      <c r="CS424" s="59"/>
      <c r="CT424" s="59"/>
      <c r="CU424" s="59"/>
      <c r="CV424" s="59"/>
      <c r="CW424" s="59"/>
      <c r="CX424" s="59"/>
      <c r="CY424" s="59"/>
      <c r="CZ424" s="59"/>
      <c r="DA424" s="59"/>
      <c r="DB424" s="59"/>
      <c r="DC424" s="59"/>
      <c r="DD424" s="59"/>
      <c r="DE424" s="59"/>
      <c r="DF424" s="59"/>
      <c r="DG424" s="59"/>
      <c r="DH424" s="59"/>
      <c r="DI424" s="59"/>
      <c r="DJ424" s="59"/>
      <c r="DK424" s="59"/>
      <c r="DL424" s="59"/>
      <c r="DM424" s="59"/>
      <c r="DN424" s="59"/>
      <c r="DO424" s="59"/>
      <c r="DP424" s="59"/>
      <c r="DQ424" s="59"/>
      <c r="DR424" s="59"/>
      <c r="DS424" s="59"/>
      <c r="DT424" s="59"/>
      <c r="DU424" s="59"/>
      <c r="DV424" s="59"/>
      <c r="DW424" s="59"/>
      <c r="DX424" s="59"/>
      <c r="DY424" s="59"/>
      <c r="DZ424" s="59"/>
      <c r="EA424" s="59"/>
      <c r="EB424" s="59"/>
      <c r="EC424" s="59"/>
      <c r="ED424" s="59"/>
      <c r="EE424" s="59"/>
      <c r="EF424" s="59"/>
      <c r="EG424" s="59"/>
      <c r="EH424" s="59"/>
      <c r="EI424" s="59"/>
      <c r="EJ424" s="59"/>
      <c r="EK424" s="59"/>
      <c r="EL424" s="59"/>
      <c r="EM424" s="59"/>
      <c r="EN424" s="59"/>
      <c r="EO424" s="59"/>
      <c r="EP424" s="59"/>
      <c r="EQ424" s="59"/>
      <c r="ER424" s="59"/>
      <c r="ES424" s="59"/>
      <c r="ET424" s="59"/>
      <c r="EU424" s="59"/>
      <c r="EV424" s="59"/>
      <c r="EW424" s="59"/>
      <c r="EX424" s="59"/>
      <c r="EY424" s="59"/>
      <c r="EZ424" s="59"/>
      <c r="FA424" s="59"/>
      <c r="FB424" s="59"/>
      <c r="FC424" s="59"/>
      <c r="FD424" s="59"/>
      <c r="FE424" s="59"/>
      <c r="FF424" s="59"/>
      <c r="FG424" s="59"/>
      <c r="FH424" s="59"/>
      <c r="FI424" s="59"/>
      <c r="FJ424" s="59"/>
      <c r="FK424" s="59"/>
      <c r="FL424" s="59"/>
      <c r="FM424" s="59"/>
      <c r="FN424" s="59"/>
      <c r="FO424" s="59"/>
      <c r="FP424" s="59"/>
      <c r="FQ424" s="59"/>
      <c r="FR424" s="59"/>
      <c r="FS424" s="59"/>
      <c r="FT424" s="59"/>
      <c r="FU424" s="59"/>
      <c r="FV424" s="59"/>
      <c r="FW424" s="59"/>
      <c r="FX424" s="59"/>
      <c r="FY424" s="59"/>
      <c r="FZ424" s="59"/>
      <c r="GA424" s="59"/>
      <c r="GB424" s="59"/>
      <c r="GC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  <c r="CP425" s="59"/>
      <c r="CQ425" s="59"/>
      <c r="CR425" s="59"/>
      <c r="CS425" s="59"/>
      <c r="CT425" s="59"/>
      <c r="CU425" s="59"/>
      <c r="CV425" s="59"/>
      <c r="CW425" s="59"/>
      <c r="CX425" s="59"/>
      <c r="CY425" s="59"/>
      <c r="CZ425" s="59"/>
      <c r="DA425" s="59"/>
      <c r="DB425" s="59"/>
      <c r="DC425" s="59"/>
      <c r="DD425" s="59"/>
      <c r="DE425" s="59"/>
      <c r="DF425" s="59"/>
      <c r="DG425" s="59"/>
      <c r="DH425" s="59"/>
      <c r="DI425" s="59"/>
      <c r="DJ425" s="59"/>
      <c r="DK425" s="59"/>
      <c r="DL425" s="59"/>
      <c r="DM425" s="59"/>
      <c r="DN425" s="59"/>
      <c r="DO425" s="59"/>
      <c r="DP425" s="59"/>
      <c r="DQ425" s="59"/>
      <c r="DR425" s="59"/>
      <c r="DS425" s="59"/>
      <c r="DT425" s="59"/>
      <c r="DU425" s="59"/>
      <c r="DV425" s="59"/>
      <c r="DW425" s="59"/>
      <c r="DX425" s="59"/>
      <c r="DY425" s="59"/>
      <c r="DZ425" s="59"/>
      <c r="EA425" s="59"/>
      <c r="EB425" s="59"/>
      <c r="EC425" s="59"/>
      <c r="ED425" s="59"/>
      <c r="EE425" s="59"/>
      <c r="EF425" s="59"/>
      <c r="EG425" s="59"/>
      <c r="EH425" s="59"/>
      <c r="EI425" s="59"/>
      <c r="EJ425" s="59"/>
      <c r="EK425" s="59"/>
      <c r="EL425" s="59"/>
      <c r="EM425" s="59"/>
      <c r="EN425" s="59"/>
      <c r="EO425" s="59"/>
      <c r="EP425" s="59"/>
      <c r="EQ425" s="59"/>
      <c r="ER425" s="59"/>
      <c r="ES425" s="59"/>
      <c r="ET425" s="59"/>
      <c r="EU425" s="59"/>
      <c r="EV425" s="59"/>
      <c r="EW425" s="59"/>
      <c r="EX425" s="59"/>
      <c r="EY425" s="59"/>
      <c r="EZ425" s="59"/>
      <c r="FA425" s="59"/>
      <c r="FB425" s="59"/>
      <c r="FC425" s="59"/>
      <c r="FD425" s="59"/>
      <c r="FE425" s="59"/>
      <c r="FF425" s="59"/>
      <c r="FG425" s="59"/>
      <c r="FH425" s="59"/>
      <c r="FI425" s="59"/>
      <c r="FJ425" s="59"/>
      <c r="FK425" s="59"/>
      <c r="FL425" s="59"/>
      <c r="FM425" s="59"/>
      <c r="FN425" s="59"/>
      <c r="FO425" s="59"/>
      <c r="FP425" s="59"/>
      <c r="FQ425" s="59"/>
      <c r="FR425" s="59"/>
      <c r="FS425" s="59"/>
      <c r="FT425" s="59"/>
      <c r="FU425" s="59"/>
      <c r="FV425" s="59"/>
      <c r="FW425" s="59"/>
      <c r="FX425" s="59"/>
      <c r="FY425" s="59"/>
      <c r="FZ425" s="59"/>
      <c r="GA425" s="59"/>
      <c r="GB425" s="59"/>
      <c r="GC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  <c r="CP426" s="59"/>
      <c r="CQ426" s="59"/>
      <c r="CR426" s="59"/>
      <c r="CS426" s="59"/>
      <c r="CT426" s="59"/>
      <c r="CU426" s="59"/>
      <c r="CV426" s="59"/>
      <c r="CW426" s="59"/>
      <c r="CX426" s="59"/>
      <c r="CY426" s="59"/>
      <c r="CZ426" s="59"/>
      <c r="DA426" s="59"/>
      <c r="DB426" s="59"/>
      <c r="DC426" s="59"/>
      <c r="DD426" s="59"/>
      <c r="DE426" s="59"/>
      <c r="DF426" s="59"/>
      <c r="DG426" s="59"/>
      <c r="DH426" s="59"/>
      <c r="DI426" s="59"/>
      <c r="DJ426" s="59"/>
      <c r="DK426" s="59"/>
      <c r="DL426" s="59"/>
      <c r="DM426" s="59"/>
      <c r="DN426" s="59"/>
      <c r="DO426" s="59"/>
      <c r="DP426" s="59"/>
      <c r="DQ426" s="59"/>
      <c r="DR426" s="59"/>
      <c r="DS426" s="59"/>
      <c r="DT426" s="59"/>
      <c r="DU426" s="59"/>
      <c r="DV426" s="59"/>
      <c r="DW426" s="59"/>
      <c r="DX426" s="59"/>
      <c r="DY426" s="59"/>
      <c r="DZ426" s="59"/>
      <c r="EA426" s="59"/>
      <c r="EB426" s="59"/>
      <c r="EC426" s="59"/>
      <c r="ED426" s="59"/>
      <c r="EE426" s="59"/>
      <c r="EF426" s="59"/>
      <c r="EG426" s="59"/>
      <c r="EH426" s="59"/>
      <c r="EI426" s="59"/>
      <c r="EJ426" s="59"/>
      <c r="EK426" s="59"/>
      <c r="EL426" s="59"/>
      <c r="EM426" s="59"/>
      <c r="EN426" s="59"/>
      <c r="EO426" s="59"/>
      <c r="EP426" s="59"/>
      <c r="EQ426" s="59"/>
      <c r="ER426" s="59"/>
      <c r="ES426" s="59"/>
      <c r="ET426" s="59"/>
      <c r="EU426" s="59"/>
      <c r="EV426" s="59"/>
      <c r="EW426" s="59"/>
      <c r="EX426" s="59"/>
      <c r="EY426" s="59"/>
      <c r="EZ426" s="59"/>
      <c r="FA426" s="59"/>
      <c r="FB426" s="59"/>
      <c r="FC426" s="59"/>
      <c r="FD426" s="59"/>
      <c r="FE426" s="59"/>
      <c r="FF426" s="59"/>
      <c r="FG426" s="59"/>
      <c r="FH426" s="59"/>
      <c r="FI426" s="59"/>
      <c r="FJ426" s="59"/>
      <c r="FK426" s="59"/>
      <c r="FL426" s="59"/>
      <c r="FM426" s="59"/>
      <c r="FN426" s="59"/>
      <c r="FO426" s="59"/>
      <c r="FP426" s="59"/>
      <c r="FQ426" s="59"/>
      <c r="FR426" s="59"/>
      <c r="FS426" s="59"/>
      <c r="FT426" s="59"/>
      <c r="FU426" s="59"/>
      <c r="FV426" s="59"/>
      <c r="FW426" s="59"/>
      <c r="FX426" s="59"/>
      <c r="FY426" s="59"/>
      <c r="FZ426" s="59"/>
      <c r="GA426" s="59"/>
      <c r="GB426" s="59"/>
      <c r="GC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  <c r="CP427" s="59"/>
      <c r="CQ427" s="59"/>
      <c r="CR427" s="59"/>
      <c r="CS427" s="59"/>
      <c r="CT427" s="59"/>
      <c r="CU427" s="59"/>
      <c r="CV427" s="59"/>
      <c r="CW427" s="59"/>
      <c r="CX427" s="59"/>
      <c r="CY427" s="59"/>
      <c r="CZ427" s="59"/>
      <c r="DA427" s="59"/>
      <c r="DB427" s="59"/>
      <c r="DC427" s="59"/>
      <c r="DD427" s="59"/>
      <c r="DE427" s="59"/>
      <c r="DF427" s="59"/>
      <c r="DG427" s="59"/>
      <c r="DH427" s="59"/>
      <c r="DI427" s="59"/>
      <c r="DJ427" s="59"/>
      <c r="DK427" s="59"/>
      <c r="DL427" s="59"/>
      <c r="DM427" s="59"/>
      <c r="DN427" s="59"/>
      <c r="DO427" s="59"/>
      <c r="DP427" s="59"/>
      <c r="DQ427" s="59"/>
      <c r="DR427" s="59"/>
      <c r="DS427" s="59"/>
      <c r="DT427" s="59"/>
      <c r="DU427" s="59"/>
      <c r="DV427" s="59"/>
      <c r="DW427" s="59"/>
      <c r="DX427" s="59"/>
      <c r="DY427" s="59"/>
      <c r="DZ427" s="59"/>
      <c r="EA427" s="59"/>
      <c r="EB427" s="59"/>
      <c r="EC427" s="59"/>
      <c r="ED427" s="59"/>
      <c r="EE427" s="59"/>
      <c r="EF427" s="59"/>
      <c r="EG427" s="59"/>
      <c r="EH427" s="59"/>
      <c r="EI427" s="59"/>
      <c r="EJ427" s="59"/>
      <c r="EK427" s="59"/>
      <c r="EL427" s="59"/>
      <c r="EM427" s="59"/>
      <c r="EN427" s="59"/>
      <c r="EO427" s="59"/>
      <c r="EP427" s="59"/>
      <c r="EQ427" s="59"/>
      <c r="ER427" s="59"/>
      <c r="ES427" s="59"/>
      <c r="ET427" s="59"/>
      <c r="EU427" s="59"/>
      <c r="EV427" s="59"/>
      <c r="EW427" s="59"/>
      <c r="EX427" s="59"/>
      <c r="EY427" s="59"/>
      <c r="EZ427" s="59"/>
      <c r="FA427" s="59"/>
      <c r="FB427" s="59"/>
      <c r="FC427" s="59"/>
      <c r="FD427" s="59"/>
      <c r="FE427" s="59"/>
      <c r="FF427" s="59"/>
      <c r="FG427" s="59"/>
      <c r="FH427" s="59"/>
      <c r="FI427" s="59"/>
      <c r="FJ427" s="59"/>
      <c r="FK427" s="59"/>
      <c r="FL427" s="59"/>
      <c r="FM427" s="59"/>
      <c r="FN427" s="59"/>
      <c r="FO427" s="59"/>
      <c r="FP427" s="59"/>
      <c r="FQ427" s="59"/>
      <c r="FR427" s="59"/>
      <c r="FS427" s="59"/>
      <c r="FT427" s="59"/>
      <c r="FU427" s="59"/>
      <c r="FV427" s="59"/>
      <c r="FW427" s="59"/>
      <c r="FX427" s="59"/>
      <c r="FY427" s="59"/>
      <c r="FZ427" s="59"/>
      <c r="GA427" s="59"/>
      <c r="GB427" s="59"/>
      <c r="GC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  <c r="CP428" s="59"/>
      <c r="CQ428" s="59"/>
      <c r="CR428" s="59"/>
      <c r="CS428" s="59"/>
      <c r="CT428" s="59"/>
      <c r="CU428" s="59"/>
      <c r="CV428" s="59"/>
      <c r="CW428" s="59"/>
      <c r="CX428" s="59"/>
      <c r="CY428" s="59"/>
      <c r="CZ428" s="59"/>
      <c r="DA428" s="59"/>
      <c r="DB428" s="59"/>
      <c r="DC428" s="59"/>
      <c r="DD428" s="59"/>
      <c r="DE428" s="59"/>
      <c r="DF428" s="59"/>
      <c r="DG428" s="59"/>
      <c r="DH428" s="59"/>
      <c r="DI428" s="59"/>
      <c r="DJ428" s="59"/>
      <c r="DK428" s="59"/>
      <c r="DL428" s="59"/>
      <c r="DM428" s="59"/>
      <c r="DN428" s="59"/>
      <c r="DO428" s="59"/>
      <c r="DP428" s="59"/>
      <c r="DQ428" s="59"/>
      <c r="DR428" s="59"/>
      <c r="DS428" s="59"/>
      <c r="DT428" s="59"/>
      <c r="DU428" s="59"/>
      <c r="DV428" s="59"/>
      <c r="DW428" s="59"/>
      <c r="DX428" s="59"/>
      <c r="DY428" s="59"/>
      <c r="DZ428" s="59"/>
      <c r="EA428" s="59"/>
      <c r="EB428" s="59"/>
      <c r="EC428" s="59"/>
      <c r="ED428" s="59"/>
      <c r="EE428" s="59"/>
      <c r="EF428" s="59"/>
      <c r="EG428" s="59"/>
      <c r="EH428" s="59"/>
      <c r="EI428" s="59"/>
      <c r="EJ428" s="59"/>
      <c r="EK428" s="59"/>
      <c r="EL428" s="59"/>
      <c r="EM428" s="59"/>
      <c r="EN428" s="59"/>
      <c r="EO428" s="59"/>
      <c r="EP428" s="59"/>
      <c r="EQ428" s="59"/>
      <c r="ER428" s="59"/>
      <c r="ES428" s="59"/>
      <c r="ET428" s="59"/>
      <c r="EU428" s="59"/>
      <c r="EV428" s="59"/>
      <c r="EW428" s="59"/>
      <c r="EX428" s="59"/>
      <c r="EY428" s="59"/>
      <c r="EZ428" s="59"/>
      <c r="FA428" s="59"/>
      <c r="FB428" s="59"/>
      <c r="FC428" s="59"/>
      <c r="FD428" s="59"/>
      <c r="FE428" s="59"/>
      <c r="FF428" s="59"/>
      <c r="FG428" s="59"/>
      <c r="FH428" s="59"/>
      <c r="FI428" s="59"/>
      <c r="FJ428" s="59"/>
      <c r="FK428" s="59"/>
      <c r="FL428" s="59"/>
      <c r="FM428" s="59"/>
      <c r="FN428" s="59"/>
      <c r="FO428" s="59"/>
      <c r="FP428" s="59"/>
      <c r="FQ428" s="59"/>
      <c r="FR428" s="59"/>
      <c r="FS428" s="59"/>
      <c r="FT428" s="59"/>
      <c r="FU428" s="59"/>
      <c r="FV428" s="59"/>
      <c r="FW428" s="59"/>
      <c r="FX428" s="59"/>
      <c r="FY428" s="59"/>
      <c r="FZ428" s="59"/>
      <c r="GA428" s="59"/>
      <c r="GB428" s="59"/>
      <c r="GC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  <c r="CP429" s="59"/>
      <c r="CQ429" s="59"/>
      <c r="CR429" s="59"/>
      <c r="CS429" s="59"/>
      <c r="CT429" s="59"/>
      <c r="CU429" s="59"/>
      <c r="CV429" s="59"/>
      <c r="CW429" s="59"/>
      <c r="CX429" s="59"/>
      <c r="CY429" s="59"/>
      <c r="CZ429" s="59"/>
      <c r="DA429" s="59"/>
      <c r="DB429" s="59"/>
      <c r="DC429" s="59"/>
      <c r="DD429" s="59"/>
      <c r="DE429" s="59"/>
      <c r="DF429" s="59"/>
      <c r="DG429" s="59"/>
      <c r="DH429" s="59"/>
      <c r="DI429" s="59"/>
      <c r="DJ429" s="59"/>
      <c r="DK429" s="59"/>
      <c r="DL429" s="59"/>
      <c r="DM429" s="59"/>
      <c r="DN429" s="59"/>
      <c r="DO429" s="59"/>
      <c r="DP429" s="59"/>
      <c r="DQ429" s="59"/>
      <c r="DR429" s="59"/>
      <c r="DS429" s="59"/>
      <c r="DT429" s="59"/>
      <c r="DU429" s="59"/>
      <c r="DV429" s="59"/>
      <c r="DW429" s="59"/>
      <c r="DX429" s="59"/>
      <c r="DY429" s="59"/>
      <c r="DZ429" s="59"/>
      <c r="EA429" s="59"/>
      <c r="EB429" s="59"/>
      <c r="EC429" s="59"/>
      <c r="ED429" s="59"/>
      <c r="EE429" s="59"/>
      <c r="EF429" s="59"/>
      <c r="EG429" s="59"/>
      <c r="EH429" s="59"/>
      <c r="EI429" s="59"/>
      <c r="EJ429" s="59"/>
      <c r="EK429" s="59"/>
      <c r="EL429" s="59"/>
      <c r="EM429" s="59"/>
      <c r="EN429" s="59"/>
      <c r="EO429" s="59"/>
      <c r="EP429" s="59"/>
      <c r="EQ429" s="59"/>
      <c r="ER429" s="59"/>
      <c r="ES429" s="59"/>
      <c r="ET429" s="59"/>
      <c r="EU429" s="59"/>
      <c r="EV429" s="59"/>
      <c r="EW429" s="59"/>
      <c r="EX429" s="59"/>
      <c r="EY429" s="59"/>
      <c r="EZ429" s="59"/>
      <c r="FA429" s="59"/>
      <c r="FB429" s="59"/>
      <c r="FC429" s="59"/>
      <c r="FD429" s="59"/>
      <c r="FE429" s="59"/>
      <c r="FF429" s="59"/>
      <c r="FG429" s="59"/>
      <c r="FH429" s="59"/>
      <c r="FI429" s="59"/>
      <c r="FJ429" s="59"/>
      <c r="FK429" s="59"/>
      <c r="FL429" s="59"/>
      <c r="FM429" s="59"/>
      <c r="FN429" s="59"/>
      <c r="FO429" s="59"/>
      <c r="FP429" s="59"/>
      <c r="FQ429" s="59"/>
      <c r="FR429" s="59"/>
      <c r="FS429" s="59"/>
      <c r="FT429" s="59"/>
      <c r="FU429" s="59"/>
      <c r="FV429" s="59"/>
      <c r="FW429" s="59"/>
      <c r="FX429" s="59"/>
      <c r="FY429" s="59"/>
      <c r="FZ429" s="59"/>
      <c r="GA429" s="59"/>
      <c r="GB429" s="59"/>
      <c r="GC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  <c r="CP430" s="59"/>
      <c r="CQ430" s="59"/>
      <c r="CR430" s="59"/>
      <c r="CS430" s="59"/>
      <c r="CT430" s="59"/>
      <c r="CU430" s="59"/>
      <c r="CV430" s="59"/>
      <c r="CW430" s="59"/>
      <c r="CX430" s="59"/>
      <c r="CY430" s="59"/>
      <c r="CZ430" s="59"/>
      <c r="DA430" s="59"/>
      <c r="DB430" s="59"/>
      <c r="DC430" s="59"/>
      <c r="DD430" s="59"/>
      <c r="DE430" s="59"/>
      <c r="DF430" s="59"/>
      <c r="DG430" s="59"/>
      <c r="DH430" s="59"/>
      <c r="DI430" s="59"/>
      <c r="DJ430" s="59"/>
      <c r="DK430" s="59"/>
      <c r="DL430" s="59"/>
      <c r="DM430" s="59"/>
      <c r="DN430" s="59"/>
      <c r="DO430" s="59"/>
      <c r="DP430" s="59"/>
      <c r="DQ430" s="59"/>
      <c r="DR430" s="59"/>
      <c r="DS430" s="59"/>
      <c r="DT430" s="59"/>
      <c r="DU430" s="59"/>
      <c r="DV430" s="59"/>
      <c r="DW430" s="59"/>
      <c r="DX430" s="59"/>
      <c r="DY430" s="59"/>
      <c r="DZ430" s="59"/>
      <c r="EA430" s="59"/>
      <c r="EB430" s="59"/>
      <c r="EC430" s="59"/>
      <c r="ED430" s="59"/>
      <c r="EE430" s="59"/>
      <c r="EF430" s="59"/>
      <c r="EG430" s="59"/>
      <c r="EH430" s="59"/>
      <c r="EI430" s="59"/>
      <c r="EJ430" s="59"/>
      <c r="EK430" s="59"/>
      <c r="EL430" s="59"/>
      <c r="EM430" s="59"/>
      <c r="EN430" s="59"/>
      <c r="EO430" s="59"/>
      <c r="EP430" s="59"/>
      <c r="EQ430" s="59"/>
      <c r="ER430" s="59"/>
      <c r="ES430" s="59"/>
      <c r="ET430" s="59"/>
      <c r="EU430" s="59"/>
      <c r="EV430" s="59"/>
      <c r="EW430" s="59"/>
      <c r="EX430" s="59"/>
      <c r="EY430" s="59"/>
      <c r="EZ430" s="59"/>
      <c r="FA430" s="59"/>
      <c r="FB430" s="59"/>
      <c r="FC430" s="59"/>
      <c r="FD430" s="59"/>
      <c r="FE430" s="59"/>
      <c r="FF430" s="59"/>
      <c r="FG430" s="59"/>
      <c r="FH430" s="59"/>
      <c r="FI430" s="59"/>
      <c r="FJ430" s="59"/>
      <c r="FK430" s="59"/>
      <c r="FL430" s="59"/>
      <c r="FM430" s="59"/>
      <c r="FN430" s="59"/>
      <c r="FO430" s="59"/>
      <c r="FP430" s="59"/>
      <c r="FQ430" s="59"/>
      <c r="FR430" s="59"/>
      <c r="FS430" s="59"/>
      <c r="FT430" s="59"/>
      <c r="FU430" s="59"/>
      <c r="FV430" s="59"/>
      <c r="FW430" s="59"/>
      <c r="FX430" s="59"/>
      <c r="FY430" s="59"/>
      <c r="FZ430" s="59"/>
      <c r="GA430" s="59"/>
      <c r="GB430" s="59"/>
      <c r="GC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  <c r="CP431" s="59"/>
      <c r="CQ431" s="59"/>
      <c r="CR431" s="59"/>
      <c r="CS431" s="59"/>
      <c r="CT431" s="59"/>
      <c r="CU431" s="59"/>
      <c r="CV431" s="59"/>
      <c r="CW431" s="59"/>
      <c r="CX431" s="59"/>
      <c r="CY431" s="59"/>
      <c r="CZ431" s="59"/>
      <c r="DA431" s="59"/>
      <c r="DB431" s="59"/>
      <c r="DC431" s="59"/>
      <c r="DD431" s="59"/>
      <c r="DE431" s="59"/>
      <c r="DF431" s="59"/>
      <c r="DG431" s="59"/>
      <c r="DH431" s="59"/>
      <c r="DI431" s="59"/>
      <c r="DJ431" s="59"/>
      <c r="DK431" s="59"/>
      <c r="DL431" s="59"/>
      <c r="DM431" s="59"/>
      <c r="DN431" s="59"/>
      <c r="DO431" s="59"/>
      <c r="DP431" s="59"/>
      <c r="DQ431" s="59"/>
      <c r="DR431" s="59"/>
      <c r="DS431" s="59"/>
      <c r="DT431" s="59"/>
      <c r="DU431" s="59"/>
      <c r="DV431" s="59"/>
      <c r="DW431" s="59"/>
      <c r="DX431" s="59"/>
      <c r="DY431" s="59"/>
      <c r="DZ431" s="59"/>
      <c r="EA431" s="59"/>
      <c r="EB431" s="59"/>
      <c r="EC431" s="59"/>
      <c r="ED431" s="59"/>
      <c r="EE431" s="59"/>
      <c r="EF431" s="59"/>
      <c r="EG431" s="59"/>
      <c r="EH431" s="59"/>
      <c r="EI431" s="59"/>
      <c r="EJ431" s="59"/>
      <c r="EK431" s="59"/>
      <c r="EL431" s="59"/>
      <c r="EM431" s="59"/>
      <c r="EN431" s="59"/>
      <c r="EO431" s="59"/>
      <c r="EP431" s="59"/>
      <c r="EQ431" s="59"/>
      <c r="ER431" s="59"/>
      <c r="ES431" s="59"/>
      <c r="ET431" s="59"/>
      <c r="EU431" s="59"/>
      <c r="EV431" s="59"/>
      <c r="EW431" s="59"/>
      <c r="EX431" s="59"/>
      <c r="EY431" s="59"/>
      <c r="EZ431" s="59"/>
      <c r="FA431" s="59"/>
      <c r="FB431" s="59"/>
      <c r="FC431" s="59"/>
      <c r="FD431" s="59"/>
      <c r="FE431" s="59"/>
      <c r="FF431" s="59"/>
      <c r="FG431" s="59"/>
      <c r="FH431" s="59"/>
      <c r="FI431" s="59"/>
      <c r="FJ431" s="59"/>
      <c r="FK431" s="59"/>
      <c r="FL431" s="59"/>
      <c r="FM431" s="59"/>
      <c r="FN431" s="59"/>
      <c r="FO431" s="59"/>
      <c r="FP431" s="59"/>
      <c r="FQ431" s="59"/>
      <c r="FR431" s="59"/>
      <c r="FS431" s="59"/>
      <c r="FT431" s="59"/>
      <c r="FU431" s="59"/>
      <c r="FV431" s="59"/>
      <c r="FW431" s="59"/>
      <c r="FX431" s="59"/>
      <c r="FY431" s="59"/>
      <c r="FZ431" s="59"/>
      <c r="GA431" s="59"/>
      <c r="GB431" s="59"/>
      <c r="GC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  <c r="CP432" s="59"/>
      <c r="CQ432" s="59"/>
      <c r="CR432" s="59"/>
      <c r="CS432" s="59"/>
      <c r="CT432" s="59"/>
      <c r="CU432" s="59"/>
      <c r="CV432" s="59"/>
      <c r="CW432" s="59"/>
      <c r="CX432" s="59"/>
      <c r="CY432" s="59"/>
      <c r="CZ432" s="59"/>
      <c r="DA432" s="59"/>
      <c r="DB432" s="59"/>
      <c r="DC432" s="59"/>
      <c r="DD432" s="59"/>
      <c r="DE432" s="59"/>
      <c r="DF432" s="59"/>
      <c r="DG432" s="59"/>
      <c r="DH432" s="59"/>
      <c r="DI432" s="59"/>
      <c r="DJ432" s="59"/>
      <c r="DK432" s="59"/>
      <c r="DL432" s="59"/>
      <c r="DM432" s="59"/>
      <c r="DN432" s="59"/>
      <c r="DO432" s="59"/>
      <c r="DP432" s="59"/>
      <c r="DQ432" s="59"/>
      <c r="DR432" s="59"/>
      <c r="DS432" s="59"/>
      <c r="DT432" s="59"/>
      <c r="DU432" s="59"/>
      <c r="DV432" s="59"/>
      <c r="DW432" s="59"/>
      <c r="DX432" s="59"/>
      <c r="DY432" s="59"/>
      <c r="DZ432" s="59"/>
      <c r="EA432" s="59"/>
      <c r="EB432" s="59"/>
      <c r="EC432" s="59"/>
      <c r="ED432" s="59"/>
      <c r="EE432" s="59"/>
      <c r="EF432" s="59"/>
      <c r="EG432" s="59"/>
      <c r="EH432" s="59"/>
      <c r="EI432" s="59"/>
      <c r="EJ432" s="59"/>
      <c r="EK432" s="59"/>
      <c r="EL432" s="59"/>
      <c r="EM432" s="59"/>
      <c r="EN432" s="59"/>
      <c r="EO432" s="59"/>
      <c r="EP432" s="59"/>
      <c r="EQ432" s="59"/>
      <c r="ER432" s="59"/>
      <c r="ES432" s="59"/>
      <c r="ET432" s="59"/>
      <c r="EU432" s="59"/>
      <c r="EV432" s="59"/>
      <c r="EW432" s="59"/>
      <c r="EX432" s="59"/>
      <c r="EY432" s="59"/>
      <c r="EZ432" s="59"/>
      <c r="FA432" s="59"/>
      <c r="FB432" s="59"/>
      <c r="FC432" s="59"/>
      <c r="FD432" s="59"/>
      <c r="FE432" s="59"/>
      <c r="FF432" s="59"/>
      <c r="FG432" s="59"/>
      <c r="FH432" s="59"/>
      <c r="FI432" s="59"/>
      <c r="FJ432" s="59"/>
      <c r="FK432" s="59"/>
      <c r="FL432" s="59"/>
      <c r="FM432" s="59"/>
      <c r="FN432" s="59"/>
      <c r="FO432" s="59"/>
      <c r="FP432" s="59"/>
      <c r="FQ432" s="59"/>
      <c r="FR432" s="59"/>
      <c r="FS432" s="59"/>
      <c r="FT432" s="59"/>
      <c r="FU432" s="59"/>
      <c r="FV432" s="59"/>
      <c r="FW432" s="59"/>
      <c r="FX432" s="59"/>
      <c r="FY432" s="59"/>
      <c r="FZ432" s="59"/>
      <c r="GA432" s="59"/>
      <c r="GB432" s="59"/>
      <c r="GC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  <c r="CP433" s="59"/>
      <c r="CQ433" s="59"/>
      <c r="CR433" s="59"/>
      <c r="CS433" s="59"/>
      <c r="CT433" s="59"/>
      <c r="CU433" s="59"/>
      <c r="CV433" s="59"/>
      <c r="CW433" s="59"/>
      <c r="CX433" s="59"/>
      <c r="CY433" s="59"/>
      <c r="CZ433" s="59"/>
      <c r="DA433" s="59"/>
      <c r="DB433" s="59"/>
      <c r="DC433" s="59"/>
      <c r="DD433" s="59"/>
      <c r="DE433" s="59"/>
      <c r="DF433" s="59"/>
      <c r="DG433" s="59"/>
      <c r="DH433" s="59"/>
      <c r="DI433" s="59"/>
      <c r="DJ433" s="59"/>
      <c r="DK433" s="59"/>
      <c r="DL433" s="59"/>
      <c r="DM433" s="59"/>
      <c r="DN433" s="59"/>
      <c r="DO433" s="59"/>
      <c r="DP433" s="59"/>
      <c r="DQ433" s="59"/>
      <c r="DR433" s="59"/>
      <c r="DS433" s="59"/>
      <c r="DT433" s="59"/>
      <c r="DU433" s="59"/>
      <c r="DV433" s="59"/>
      <c r="DW433" s="59"/>
      <c r="DX433" s="59"/>
      <c r="DY433" s="59"/>
      <c r="DZ433" s="59"/>
      <c r="EA433" s="59"/>
      <c r="EB433" s="59"/>
      <c r="EC433" s="59"/>
      <c r="ED433" s="59"/>
      <c r="EE433" s="59"/>
      <c r="EF433" s="59"/>
      <c r="EG433" s="59"/>
      <c r="EH433" s="59"/>
      <c r="EI433" s="59"/>
      <c r="EJ433" s="59"/>
      <c r="EK433" s="59"/>
      <c r="EL433" s="59"/>
      <c r="EM433" s="59"/>
      <c r="EN433" s="59"/>
      <c r="EO433" s="59"/>
      <c r="EP433" s="59"/>
      <c r="EQ433" s="59"/>
      <c r="ER433" s="59"/>
      <c r="ES433" s="59"/>
      <c r="ET433" s="59"/>
      <c r="EU433" s="59"/>
      <c r="EV433" s="59"/>
      <c r="EW433" s="59"/>
      <c r="EX433" s="59"/>
      <c r="EY433" s="59"/>
      <c r="EZ433" s="59"/>
      <c r="FA433" s="59"/>
      <c r="FB433" s="59"/>
      <c r="FC433" s="59"/>
      <c r="FD433" s="59"/>
      <c r="FE433" s="59"/>
      <c r="FF433" s="59"/>
      <c r="FG433" s="59"/>
      <c r="FH433" s="59"/>
      <c r="FI433" s="59"/>
      <c r="FJ433" s="59"/>
      <c r="FK433" s="59"/>
      <c r="FL433" s="59"/>
      <c r="FM433" s="59"/>
      <c r="FN433" s="59"/>
      <c r="FO433" s="59"/>
      <c r="FP433" s="59"/>
      <c r="FQ433" s="59"/>
      <c r="FR433" s="59"/>
      <c r="FS433" s="59"/>
      <c r="FT433" s="59"/>
      <c r="FU433" s="59"/>
      <c r="FV433" s="59"/>
      <c r="FW433" s="59"/>
      <c r="FX433" s="59"/>
      <c r="FY433" s="59"/>
      <c r="FZ433" s="59"/>
      <c r="GA433" s="59"/>
      <c r="GB433" s="59"/>
      <c r="GC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  <c r="CP434" s="59"/>
      <c r="CQ434" s="59"/>
      <c r="CR434" s="59"/>
      <c r="CS434" s="59"/>
      <c r="CT434" s="59"/>
      <c r="CU434" s="59"/>
      <c r="CV434" s="59"/>
      <c r="CW434" s="59"/>
      <c r="CX434" s="59"/>
      <c r="CY434" s="59"/>
      <c r="CZ434" s="59"/>
      <c r="DA434" s="59"/>
      <c r="DB434" s="59"/>
      <c r="DC434" s="59"/>
      <c r="DD434" s="59"/>
      <c r="DE434" s="59"/>
      <c r="DF434" s="59"/>
      <c r="DG434" s="59"/>
      <c r="DH434" s="59"/>
      <c r="DI434" s="59"/>
      <c r="DJ434" s="59"/>
      <c r="DK434" s="59"/>
      <c r="DL434" s="59"/>
      <c r="DM434" s="59"/>
      <c r="DN434" s="59"/>
      <c r="DO434" s="59"/>
      <c r="DP434" s="59"/>
      <c r="DQ434" s="59"/>
      <c r="DR434" s="59"/>
      <c r="DS434" s="59"/>
      <c r="DT434" s="59"/>
      <c r="DU434" s="59"/>
      <c r="DV434" s="59"/>
      <c r="DW434" s="59"/>
      <c r="DX434" s="59"/>
      <c r="DY434" s="59"/>
      <c r="DZ434" s="59"/>
      <c r="EA434" s="59"/>
      <c r="EB434" s="59"/>
      <c r="EC434" s="59"/>
      <c r="ED434" s="59"/>
      <c r="EE434" s="59"/>
      <c r="EF434" s="59"/>
      <c r="EG434" s="59"/>
      <c r="EH434" s="59"/>
      <c r="EI434" s="59"/>
      <c r="EJ434" s="59"/>
      <c r="EK434" s="59"/>
      <c r="EL434" s="59"/>
      <c r="EM434" s="59"/>
      <c r="EN434" s="59"/>
      <c r="EO434" s="59"/>
      <c r="EP434" s="59"/>
      <c r="EQ434" s="59"/>
      <c r="ER434" s="59"/>
      <c r="ES434" s="59"/>
      <c r="ET434" s="59"/>
      <c r="EU434" s="59"/>
      <c r="EV434" s="59"/>
      <c r="EW434" s="59"/>
      <c r="EX434" s="59"/>
      <c r="EY434" s="59"/>
      <c r="EZ434" s="59"/>
      <c r="FA434" s="59"/>
      <c r="FB434" s="59"/>
      <c r="FC434" s="59"/>
      <c r="FD434" s="59"/>
      <c r="FE434" s="59"/>
      <c r="FF434" s="59"/>
      <c r="FG434" s="59"/>
      <c r="FH434" s="59"/>
      <c r="FI434" s="59"/>
      <c r="FJ434" s="59"/>
      <c r="FK434" s="59"/>
      <c r="FL434" s="59"/>
      <c r="FM434" s="59"/>
      <c r="FN434" s="59"/>
      <c r="FO434" s="59"/>
      <c r="FP434" s="59"/>
      <c r="FQ434" s="59"/>
      <c r="FR434" s="59"/>
      <c r="FS434" s="59"/>
      <c r="FT434" s="59"/>
      <c r="FU434" s="59"/>
      <c r="FV434" s="59"/>
      <c r="FW434" s="59"/>
      <c r="FX434" s="59"/>
      <c r="FY434" s="59"/>
      <c r="FZ434" s="59"/>
      <c r="GA434" s="59"/>
      <c r="GB434" s="59"/>
      <c r="GC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  <c r="CP435" s="59"/>
      <c r="CQ435" s="59"/>
      <c r="CR435" s="59"/>
      <c r="CS435" s="59"/>
      <c r="CT435" s="59"/>
      <c r="CU435" s="59"/>
      <c r="CV435" s="59"/>
      <c r="CW435" s="59"/>
      <c r="CX435" s="59"/>
      <c r="CY435" s="59"/>
      <c r="CZ435" s="59"/>
      <c r="DA435" s="59"/>
      <c r="DB435" s="59"/>
      <c r="DC435" s="59"/>
      <c r="DD435" s="59"/>
      <c r="DE435" s="59"/>
      <c r="DF435" s="59"/>
      <c r="DG435" s="59"/>
      <c r="DH435" s="59"/>
      <c r="DI435" s="59"/>
      <c r="DJ435" s="59"/>
      <c r="DK435" s="59"/>
      <c r="DL435" s="59"/>
      <c r="DM435" s="59"/>
      <c r="DN435" s="59"/>
      <c r="DO435" s="59"/>
      <c r="DP435" s="59"/>
      <c r="DQ435" s="59"/>
      <c r="DR435" s="59"/>
      <c r="DS435" s="59"/>
      <c r="DT435" s="59"/>
      <c r="DU435" s="59"/>
      <c r="DV435" s="59"/>
      <c r="DW435" s="59"/>
      <c r="DX435" s="59"/>
      <c r="DY435" s="59"/>
      <c r="DZ435" s="59"/>
      <c r="EA435" s="59"/>
      <c r="EB435" s="59"/>
      <c r="EC435" s="59"/>
      <c r="ED435" s="59"/>
      <c r="EE435" s="59"/>
      <c r="EF435" s="59"/>
      <c r="EG435" s="59"/>
      <c r="EH435" s="59"/>
      <c r="EI435" s="59"/>
      <c r="EJ435" s="59"/>
      <c r="EK435" s="59"/>
      <c r="EL435" s="59"/>
      <c r="EM435" s="59"/>
      <c r="EN435" s="59"/>
      <c r="EO435" s="59"/>
      <c r="EP435" s="59"/>
      <c r="EQ435" s="59"/>
      <c r="ER435" s="59"/>
      <c r="ES435" s="59"/>
      <c r="ET435" s="59"/>
      <c r="EU435" s="59"/>
      <c r="EV435" s="59"/>
      <c r="EW435" s="59"/>
      <c r="EX435" s="59"/>
      <c r="EY435" s="59"/>
      <c r="EZ435" s="59"/>
      <c r="FA435" s="59"/>
      <c r="FB435" s="59"/>
      <c r="FC435" s="59"/>
      <c r="FD435" s="59"/>
      <c r="FE435" s="59"/>
      <c r="FF435" s="59"/>
      <c r="FG435" s="59"/>
      <c r="FH435" s="59"/>
      <c r="FI435" s="59"/>
      <c r="FJ435" s="59"/>
      <c r="FK435" s="59"/>
      <c r="FL435" s="59"/>
      <c r="FM435" s="59"/>
      <c r="FN435" s="59"/>
      <c r="FO435" s="59"/>
      <c r="FP435" s="59"/>
      <c r="FQ435" s="59"/>
      <c r="FR435" s="59"/>
      <c r="FS435" s="59"/>
      <c r="FT435" s="59"/>
      <c r="FU435" s="59"/>
      <c r="FV435" s="59"/>
      <c r="FW435" s="59"/>
      <c r="FX435" s="59"/>
      <c r="FY435" s="59"/>
      <c r="FZ435" s="59"/>
      <c r="GA435" s="59"/>
      <c r="GB435" s="59"/>
      <c r="GC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  <c r="CP436" s="59"/>
      <c r="CQ436" s="59"/>
      <c r="CR436" s="59"/>
      <c r="CS436" s="59"/>
      <c r="CT436" s="59"/>
      <c r="CU436" s="59"/>
      <c r="CV436" s="59"/>
      <c r="CW436" s="59"/>
      <c r="CX436" s="59"/>
      <c r="CY436" s="59"/>
      <c r="CZ436" s="59"/>
      <c r="DA436" s="59"/>
      <c r="DB436" s="59"/>
      <c r="DC436" s="59"/>
      <c r="DD436" s="59"/>
      <c r="DE436" s="59"/>
      <c r="DF436" s="59"/>
      <c r="DG436" s="59"/>
      <c r="DH436" s="59"/>
      <c r="DI436" s="59"/>
      <c r="DJ436" s="59"/>
      <c r="DK436" s="59"/>
      <c r="DL436" s="59"/>
      <c r="DM436" s="59"/>
      <c r="DN436" s="59"/>
      <c r="DO436" s="59"/>
      <c r="DP436" s="59"/>
      <c r="DQ436" s="59"/>
      <c r="DR436" s="59"/>
      <c r="DS436" s="59"/>
      <c r="DT436" s="59"/>
      <c r="DU436" s="59"/>
      <c r="DV436" s="59"/>
      <c r="DW436" s="59"/>
      <c r="DX436" s="59"/>
      <c r="DY436" s="59"/>
      <c r="DZ436" s="59"/>
      <c r="EA436" s="59"/>
      <c r="EB436" s="59"/>
      <c r="EC436" s="59"/>
      <c r="ED436" s="59"/>
      <c r="EE436" s="59"/>
      <c r="EF436" s="59"/>
      <c r="EG436" s="59"/>
      <c r="EH436" s="59"/>
      <c r="EI436" s="59"/>
      <c r="EJ436" s="59"/>
      <c r="EK436" s="59"/>
      <c r="EL436" s="59"/>
      <c r="EM436" s="59"/>
      <c r="EN436" s="59"/>
      <c r="EO436" s="59"/>
      <c r="EP436" s="59"/>
      <c r="EQ436" s="59"/>
      <c r="ER436" s="59"/>
      <c r="ES436" s="59"/>
      <c r="ET436" s="59"/>
      <c r="EU436" s="59"/>
      <c r="EV436" s="59"/>
      <c r="EW436" s="59"/>
      <c r="EX436" s="59"/>
      <c r="EY436" s="59"/>
      <c r="EZ436" s="59"/>
      <c r="FA436" s="59"/>
      <c r="FB436" s="59"/>
      <c r="FC436" s="59"/>
      <c r="FD436" s="59"/>
      <c r="FE436" s="59"/>
      <c r="FF436" s="59"/>
      <c r="FG436" s="59"/>
      <c r="FH436" s="59"/>
      <c r="FI436" s="59"/>
      <c r="FJ436" s="59"/>
      <c r="FK436" s="59"/>
      <c r="FL436" s="59"/>
      <c r="FM436" s="59"/>
      <c r="FN436" s="59"/>
      <c r="FO436" s="59"/>
      <c r="FP436" s="59"/>
      <c r="FQ436" s="59"/>
      <c r="FR436" s="59"/>
      <c r="FS436" s="59"/>
      <c r="FT436" s="59"/>
      <c r="FU436" s="59"/>
      <c r="FV436" s="59"/>
      <c r="FW436" s="59"/>
      <c r="FX436" s="59"/>
      <c r="FY436" s="59"/>
      <c r="FZ436" s="59"/>
      <c r="GA436" s="59"/>
      <c r="GB436" s="59"/>
      <c r="GC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  <c r="CP437" s="59"/>
      <c r="CQ437" s="59"/>
      <c r="CR437" s="59"/>
      <c r="CS437" s="59"/>
      <c r="CT437" s="59"/>
      <c r="CU437" s="59"/>
      <c r="CV437" s="59"/>
      <c r="CW437" s="59"/>
      <c r="CX437" s="59"/>
      <c r="CY437" s="59"/>
      <c r="CZ437" s="59"/>
      <c r="DA437" s="59"/>
      <c r="DB437" s="59"/>
      <c r="DC437" s="59"/>
      <c r="DD437" s="59"/>
      <c r="DE437" s="59"/>
      <c r="DF437" s="59"/>
      <c r="DG437" s="59"/>
      <c r="DH437" s="59"/>
      <c r="DI437" s="59"/>
      <c r="DJ437" s="59"/>
      <c r="DK437" s="59"/>
      <c r="DL437" s="59"/>
      <c r="DM437" s="59"/>
      <c r="DN437" s="59"/>
      <c r="DO437" s="59"/>
      <c r="DP437" s="59"/>
      <c r="DQ437" s="59"/>
      <c r="DR437" s="59"/>
      <c r="DS437" s="59"/>
      <c r="DT437" s="59"/>
      <c r="DU437" s="59"/>
      <c r="DV437" s="59"/>
      <c r="DW437" s="59"/>
      <c r="DX437" s="59"/>
      <c r="DY437" s="59"/>
      <c r="DZ437" s="59"/>
      <c r="EA437" s="59"/>
      <c r="EB437" s="59"/>
      <c r="EC437" s="59"/>
      <c r="ED437" s="59"/>
      <c r="EE437" s="59"/>
      <c r="EF437" s="59"/>
      <c r="EG437" s="59"/>
      <c r="EH437" s="59"/>
      <c r="EI437" s="59"/>
      <c r="EJ437" s="59"/>
      <c r="EK437" s="59"/>
      <c r="EL437" s="59"/>
      <c r="EM437" s="59"/>
      <c r="EN437" s="59"/>
      <c r="EO437" s="59"/>
      <c r="EP437" s="59"/>
      <c r="EQ437" s="59"/>
      <c r="ER437" s="59"/>
      <c r="ES437" s="59"/>
      <c r="ET437" s="59"/>
      <c r="EU437" s="59"/>
      <c r="EV437" s="59"/>
      <c r="EW437" s="59"/>
      <c r="EX437" s="59"/>
      <c r="EY437" s="59"/>
      <c r="EZ437" s="59"/>
      <c r="FA437" s="59"/>
      <c r="FB437" s="59"/>
      <c r="FC437" s="59"/>
      <c r="FD437" s="59"/>
      <c r="FE437" s="59"/>
      <c r="FF437" s="59"/>
      <c r="FG437" s="59"/>
      <c r="FH437" s="59"/>
      <c r="FI437" s="59"/>
      <c r="FJ437" s="59"/>
      <c r="FK437" s="59"/>
      <c r="FL437" s="59"/>
      <c r="FM437" s="59"/>
      <c r="FN437" s="59"/>
      <c r="FO437" s="59"/>
      <c r="FP437" s="59"/>
      <c r="FQ437" s="59"/>
      <c r="FR437" s="59"/>
      <c r="FS437" s="59"/>
      <c r="FT437" s="59"/>
      <c r="FU437" s="59"/>
      <c r="FV437" s="59"/>
      <c r="FW437" s="59"/>
      <c r="FX437" s="59"/>
      <c r="FY437" s="59"/>
      <c r="FZ437" s="59"/>
      <c r="GA437" s="59"/>
      <c r="GB437" s="59"/>
      <c r="GC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  <c r="CP438" s="59"/>
      <c r="CQ438" s="59"/>
      <c r="CR438" s="59"/>
      <c r="CS438" s="59"/>
      <c r="CT438" s="59"/>
      <c r="CU438" s="59"/>
      <c r="CV438" s="59"/>
      <c r="CW438" s="59"/>
      <c r="CX438" s="59"/>
      <c r="CY438" s="59"/>
      <c r="CZ438" s="59"/>
      <c r="DA438" s="59"/>
      <c r="DB438" s="59"/>
      <c r="DC438" s="59"/>
      <c r="DD438" s="59"/>
      <c r="DE438" s="59"/>
      <c r="DF438" s="59"/>
      <c r="DG438" s="59"/>
      <c r="DH438" s="59"/>
      <c r="DI438" s="59"/>
      <c r="DJ438" s="59"/>
      <c r="DK438" s="59"/>
      <c r="DL438" s="59"/>
      <c r="DM438" s="59"/>
      <c r="DN438" s="59"/>
      <c r="DO438" s="59"/>
      <c r="DP438" s="59"/>
      <c r="DQ438" s="59"/>
      <c r="DR438" s="59"/>
      <c r="DS438" s="59"/>
      <c r="DT438" s="59"/>
      <c r="DU438" s="59"/>
      <c r="DV438" s="59"/>
      <c r="DW438" s="59"/>
      <c r="DX438" s="59"/>
      <c r="DY438" s="59"/>
      <c r="DZ438" s="59"/>
      <c r="EA438" s="59"/>
      <c r="EB438" s="59"/>
      <c r="EC438" s="59"/>
      <c r="ED438" s="59"/>
      <c r="EE438" s="59"/>
      <c r="EF438" s="59"/>
      <c r="EG438" s="59"/>
      <c r="EH438" s="59"/>
      <c r="EI438" s="59"/>
      <c r="EJ438" s="59"/>
      <c r="EK438" s="59"/>
      <c r="EL438" s="59"/>
      <c r="EM438" s="59"/>
      <c r="EN438" s="59"/>
      <c r="EO438" s="59"/>
      <c r="EP438" s="59"/>
      <c r="EQ438" s="59"/>
      <c r="ER438" s="59"/>
      <c r="ES438" s="59"/>
      <c r="ET438" s="59"/>
      <c r="EU438" s="59"/>
      <c r="EV438" s="59"/>
      <c r="EW438" s="59"/>
      <c r="EX438" s="59"/>
      <c r="EY438" s="59"/>
      <c r="EZ438" s="59"/>
      <c r="FA438" s="59"/>
      <c r="FB438" s="59"/>
      <c r="FC438" s="59"/>
      <c r="FD438" s="59"/>
      <c r="FE438" s="59"/>
      <c r="FF438" s="59"/>
      <c r="FG438" s="59"/>
      <c r="FH438" s="59"/>
      <c r="FI438" s="59"/>
      <c r="FJ438" s="59"/>
      <c r="FK438" s="59"/>
      <c r="FL438" s="59"/>
      <c r="FM438" s="59"/>
      <c r="FN438" s="59"/>
      <c r="FO438" s="59"/>
      <c r="FP438" s="59"/>
      <c r="FQ438" s="59"/>
      <c r="FR438" s="59"/>
      <c r="FS438" s="59"/>
      <c r="FT438" s="59"/>
      <c r="FU438" s="59"/>
      <c r="FV438" s="59"/>
      <c r="FW438" s="59"/>
      <c r="FX438" s="59"/>
      <c r="FY438" s="59"/>
      <c r="FZ438" s="59"/>
      <c r="GA438" s="59"/>
      <c r="GB438" s="59"/>
      <c r="GC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  <c r="CP439" s="59"/>
      <c r="CQ439" s="59"/>
      <c r="CR439" s="59"/>
      <c r="CS439" s="59"/>
      <c r="CT439" s="59"/>
      <c r="CU439" s="59"/>
      <c r="CV439" s="59"/>
      <c r="CW439" s="59"/>
      <c r="CX439" s="59"/>
      <c r="CY439" s="59"/>
      <c r="CZ439" s="59"/>
      <c r="DA439" s="59"/>
      <c r="DB439" s="59"/>
      <c r="DC439" s="59"/>
      <c r="DD439" s="59"/>
      <c r="DE439" s="59"/>
      <c r="DF439" s="59"/>
      <c r="DG439" s="59"/>
      <c r="DH439" s="59"/>
      <c r="DI439" s="59"/>
      <c r="DJ439" s="59"/>
      <c r="DK439" s="59"/>
      <c r="DL439" s="59"/>
      <c r="DM439" s="59"/>
      <c r="DN439" s="59"/>
      <c r="DO439" s="59"/>
      <c r="DP439" s="59"/>
      <c r="DQ439" s="59"/>
      <c r="DR439" s="59"/>
      <c r="DS439" s="59"/>
      <c r="DT439" s="59"/>
      <c r="DU439" s="59"/>
      <c r="DV439" s="59"/>
      <c r="DW439" s="59"/>
      <c r="DX439" s="59"/>
      <c r="DY439" s="59"/>
      <c r="DZ439" s="59"/>
      <c r="EA439" s="59"/>
      <c r="EB439" s="59"/>
      <c r="EC439" s="59"/>
      <c r="ED439" s="59"/>
      <c r="EE439" s="59"/>
      <c r="EF439" s="59"/>
      <c r="EG439" s="59"/>
      <c r="EH439" s="59"/>
      <c r="EI439" s="59"/>
      <c r="EJ439" s="59"/>
      <c r="EK439" s="59"/>
      <c r="EL439" s="59"/>
      <c r="EM439" s="59"/>
      <c r="EN439" s="59"/>
      <c r="EO439" s="59"/>
      <c r="EP439" s="59"/>
      <c r="EQ439" s="59"/>
      <c r="ER439" s="59"/>
      <c r="ES439" s="59"/>
      <c r="ET439" s="59"/>
      <c r="EU439" s="59"/>
      <c r="EV439" s="59"/>
      <c r="EW439" s="59"/>
      <c r="EX439" s="59"/>
      <c r="EY439" s="59"/>
      <c r="EZ439" s="59"/>
      <c r="FA439" s="59"/>
      <c r="FB439" s="59"/>
      <c r="FC439" s="59"/>
      <c r="FD439" s="59"/>
      <c r="FE439" s="59"/>
      <c r="FF439" s="59"/>
      <c r="FG439" s="59"/>
      <c r="FH439" s="59"/>
      <c r="FI439" s="59"/>
      <c r="FJ439" s="59"/>
      <c r="FK439" s="59"/>
      <c r="FL439" s="59"/>
      <c r="FM439" s="59"/>
      <c r="FN439" s="59"/>
      <c r="FO439" s="59"/>
      <c r="FP439" s="59"/>
      <c r="FQ439" s="59"/>
      <c r="FR439" s="59"/>
      <c r="FS439" s="59"/>
      <c r="FT439" s="59"/>
      <c r="FU439" s="59"/>
      <c r="FV439" s="59"/>
      <c r="FW439" s="59"/>
      <c r="FX439" s="59"/>
      <c r="FY439" s="59"/>
      <c r="FZ439" s="59"/>
      <c r="GA439" s="59"/>
      <c r="GB439" s="59"/>
      <c r="GC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  <c r="CP440" s="59"/>
      <c r="CQ440" s="59"/>
      <c r="CR440" s="59"/>
      <c r="CS440" s="59"/>
      <c r="CT440" s="59"/>
      <c r="CU440" s="59"/>
      <c r="CV440" s="59"/>
      <c r="CW440" s="59"/>
      <c r="CX440" s="59"/>
      <c r="CY440" s="59"/>
      <c r="CZ440" s="59"/>
      <c r="DA440" s="59"/>
      <c r="DB440" s="59"/>
      <c r="DC440" s="59"/>
      <c r="DD440" s="59"/>
      <c r="DE440" s="59"/>
      <c r="DF440" s="59"/>
      <c r="DG440" s="59"/>
      <c r="DH440" s="59"/>
      <c r="DI440" s="59"/>
      <c r="DJ440" s="59"/>
      <c r="DK440" s="59"/>
      <c r="DL440" s="59"/>
      <c r="DM440" s="59"/>
      <c r="DN440" s="59"/>
      <c r="DO440" s="59"/>
      <c r="DP440" s="59"/>
      <c r="DQ440" s="59"/>
      <c r="DR440" s="59"/>
      <c r="DS440" s="59"/>
      <c r="DT440" s="59"/>
      <c r="DU440" s="59"/>
      <c r="DV440" s="59"/>
      <c r="DW440" s="59"/>
      <c r="DX440" s="59"/>
      <c r="DY440" s="59"/>
      <c r="DZ440" s="59"/>
      <c r="EA440" s="59"/>
      <c r="EB440" s="59"/>
      <c r="EC440" s="59"/>
      <c r="ED440" s="59"/>
      <c r="EE440" s="59"/>
      <c r="EF440" s="59"/>
      <c r="EG440" s="59"/>
      <c r="EH440" s="59"/>
      <c r="EI440" s="59"/>
      <c r="EJ440" s="59"/>
      <c r="EK440" s="59"/>
      <c r="EL440" s="59"/>
      <c r="EM440" s="59"/>
      <c r="EN440" s="59"/>
      <c r="EO440" s="59"/>
      <c r="EP440" s="59"/>
      <c r="EQ440" s="59"/>
      <c r="ER440" s="59"/>
      <c r="ES440" s="59"/>
      <c r="ET440" s="59"/>
      <c r="EU440" s="59"/>
      <c r="EV440" s="59"/>
      <c r="EW440" s="59"/>
      <c r="EX440" s="59"/>
      <c r="EY440" s="59"/>
      <c r="EZ440" s="59"/>
      <c r="FA440" s="59"/>
      <c r="FB440" s="59"/>
      <c r="FC440" s="59"/>
      <c r="FD440" s="59"/>
      <c r="FE440" s="59"/>
      <c r="FF440" s="59"/>
      <c r="FG440" s="59"/>
      <c r="FH440" s="59"/>
      <c r="FI440" s="59"/>
      <c r="FJ440" s="59"/>
      <c r="FK440" s="59"/>
      <c r="FL440" s="59"/>
      <c r="FM440" s="59"/>
      <c r="FN440" s="59"/>
      <c r="FO440" s="59"/>
      <c r="FP440" s="59"/>
      <c r="FQ440" s="59"/>
      <c r="FR440" s="59"/>
      <c r="FS440" s="59"/>
      <c r="FT440" s="59"/>
      <c r="FU440" s="59"/>
      <c r="FV440" s="59"/>
      <c r="FW440" s="59"/>
      <c r="FX440" s="59"/>
      <c r="FY440" s="59"/>
      <c r="FZ440" s="59"/>
      <c r="GA440" s="59"/>
      <c r="GB440" s="59"/>
      <c r="GC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  <c r="CP441" s="59"/>
      <c r="CQ441" s="59"/>
      <c r="CR441" s="59"/>
      <c r="CS441" s="59"/>
      <c r="CT441" s="59"/>
      <c r="CU441" s="59"/>
      <c r="CV441" s="59"/>
      <c r="CW441" s="59"/>
      <c r="CX441" s="59"/>
      <c r="CY441" s="59"/>
      <c r="CZ441" s="59"/>
      <c r="DA441" s="59"/>
      <c r="DB441" s="59"/>
      <c r="DC441" s="59"/>
      <c r="DD441" s="59"/>
      <c r="DE441" s="59"/>
      <c r="DF441" s="59"/>
      <c r="DG441" s="59"/>
      <c r="DH441" s="59"/>
      <c r="DI441" s="59"/>
      <c r="DJ441" s="59"/>
      <c r="DK441" s="59"/>
      <c r="DL441" s="59"/>
      <c r="DM441" s="59"/>
      <c r="DN441" s="59"/>
      <c r="DO441" s="59"/>
      <c r="DP441" s="59"/>
      <c r="DQ441" s="59"/>
      <c r="DR441" s="59"/>
      <c r="DS441" s="59"/>
      <c r="DT441" s="59"/>
      <c r="DU441" s="59"/>
      <c r="DV441" s="59"/>
      <c r="DW441" s="59"/>
      <c r="DX441" s="59"/>
      <c r="DY441" s="59"/>
      <c r="DZ441" s="59"/>
      <c r="EA441" s="59"/>
      <c r="EB441" s="59"/>
      <c r="EC441" s="59"/>
      <c r="ED441" s="59"/>
      <c r="EE441" s="59"/>
      <c r="EF441" s="59"/>
      <c r="EG441" s="59"/>
      <c r="EH441" s="59"/>
      <c r="EI441" s="59"/>
      <c r="EJ441" s="59"/>
      <c r="EK441" s="59"/>
      <c r="EL441" s="59"/>
      <c r="EM441" s="59"/>
      <c r="EN441" s="59"/>
      <c r="EO441" s="59"/>
      <c r="EP441" s="59"/>
      <c r="EQ441" s="59"/>
      <c r="ER441" s="59"/>
      <c r="ES441" s="59"/>
      <c r="ET441" s="59"/>
      <c r="EU441" s="59"/>
      <c r="EV441" s="59"/>
      <c r="EW441" s="59"/>
      <c r="EX441" s="59"/>
      <c r="EY441" s="59"/>
      <c r="EZ441" s="59"/>
      <c r="FA441" s="59"/>
      <c r="FB441" s="59"/>
      <c r="FC441" s="59"/>
      <c r="FD441" s="59"/>
      <c r="FE441" s="59"/>
      <c r="FF441" s="59"/>
      <c r="FG441" s="59"/>
      <c r="FH441" s="59"/>
      <c r="FI441" s="59"/>
      <c r="FJ441" s="59"/>
      <c r="FK441" s="59"/>
      <c r="FL441" s="59"/>
      <c r="FM441" s="59"/>
      <c r="FN441" s="59"/>
      <c r="FO441" s="59"/>
      <c r="FP441" s="59"/>
      <c r="FQ441" s="59"/>
      <c r="FR441" s="59"/>
      <c r="FS441" s="59"/>
      <c r="FT441" s="59"/>
      <c r="FU441" s="59"/>
      <c r="FV441" s="59"/>
      <c r="FW441" s="59"/>
      <c r="FX441" s="59"/>
      <c r="FY441" s="59"/>
      <c r="FZ441" s="59"/>
      <c r="GA441" s="59"/>
      <c r="GB441" s="59"/>
      <c r="GC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  <c r="CP442" s="59"/>
      <c r="CQ442" s="59"/>
      <c r="CR442" s="59"/>
      <c r="CS442" s="59"/>
      <c r="CT442" s="59"/>
      <c r="CU442" s="59"/>
      <c r="CV442" s="59"/>
      <c r="CW442" s="59"/>
      <c r="CX442" s="59"/>
      <c r="CY442" s="59"/>
      <c r="CZ442" s="59"/>
      <c r="DA442" s="59"/>
      <c r="DB442" s="59"/>
      <c r="DC442" s="59"/>
      <c r="DD442" s="59"/>
      <c r="DE442" s="59"/>
      <c r="DF442" s="59"/>
      <c r="DG442" s="59"/>
      <c r="DH442" s="59"/>
      <c r="DI442" s="59"/>
      <c r="DJ442" s="59"/>
      <c r="DK442" s="59"/>
      <c r="DL442" s="59"/>
      <c r="DM442" s="59"/>
      <c r="DN442" s="59"/>
      <c r="DO442" s="59"/>
      <c r="DP442" s="59"/>
      <c r="DQ442" s="59"/>
      <c r="DR442" s="59"/>
      <c r="DS442" s="59"/>
      <c r="DT442" s="59"/>
      <c r="DU442" s="59"/>
      <c r="DV442" s="59"/>
      <c r="DW442" s="59"/>
      <c r="DX442" s="59"/>
      <c r="DY442" s="59"/>
      <c r="DZ442" s="59"/>
      <c r="EA442" s="59"/>
      <c r="EB442" s="59"/>
      <c r="EC442" s="59"/>
      <c r="ED442" s="59"/>
      <c r="EE442" s="59"/>
      <c r="EF442" s="59"/>
      <c r="EG442" s="59"/>
      <c r="EH442" s="59"/>
      <c r="EI442" s="59"/>
      <c r="EJ442" s="59"/>
      <c r="EK442" s="59"/>
      <c r="EL442" s="59"/>
      <c r="EM442" s="59"/>
      <c r="EN442" s="59"/>
      <c r="EO442" s="59"/>
      <c r="EP442" s="59"/>
      <c r="EQ442" s="59"/>
      <c r="ER442" s="59"/>
      <c r="ES442" s="59"/>
      <c r="ET442" s="59"/>
      <c r="EU442" s="59"/>
      <c r="EV442" s="59"/>
      <c r="EW442" s="59"/>
      <c r="EX442" s="59"/>
      <c r="EY442" s="59"/>
      <c r="EZ442" s="59"/>
      <c r="FA442" s="59"/>
      <c r="FB442" s="59"/>
      <c r="FC442" s="59"/>
      <c r="FD442" s="59"/>
      <c r="FE442" s="59"/>
      <c r="FF442" s="59"/>
      <c r="FG442" s="59"/>
      <c r="FH442" s="59"/>
      <c r="FI442" s="59"/>
      <c r="FJ442" s="59"/>
      <c r="FK442" s="59"/>
      <c r="FL442" s="59"/>
      <c r="FM442" s="59"/>
      <c r="FN442" s="59"/>
      <c r="FO442" s="59"/>
      <c r="FP442" s="59"/>
      <c r="FQ442" s="59"/>
      <c r="FR442" s="59"/>
      <c r="FS442" s="59"/>
      <c r="FT442" s="59"/>
      <c r="FU442" s="59"/>
      <c r="FV442" s="59"/>
      <c r="FW442" s="59"/>
      <c r="FX442" s="59"/>
      <c r="FY442" s="59"/>
      <c r="FZ442" s="59"/>
      <c r="GA442" s="59"/>
      <c r="GB442" s="59"/>
      <c r="GC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/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  <c r="ES443" s="59"/>
      <c r="ET443" s="59"/>
      <c r="EU443" s="59"/>
      <c r="EV443" s="59"/>
      <c r="EW443" s="59"/>
      <c r="EX443" s="59"/>
      <c r="EY443" s="59"/>
      <c r="EZ443" s="59"/>
      <c r="FA443" s="59"/>
      <c r="FB443" s="59"/>
      <c r="FC443" s="59"/>
      <c r="FD443" s="59"/>
      <c r="FE443" s="59"/>
      <c r="FF443" s="59"/>
      <c r="FG443" s="59"/>
      <c r="FH443" s="59"/>
      <c r="FI443" s="59"/>
      <c r="FJ443" s="59"/>
      <c r="FK443" s="59"/>
      <c r="FL443" s="59"/>
      <c r="FM443" s="59"/>
      <c r="FN443" s="59"/>
      <c r="FO443" s="59"/>
      <c r="FP443" s="59"/>
      <c r="FQ443" s="59"/>
      <c r="FR443" s="59"/>
      <c r="FS443" s="59"/>
      <c r="FT443" s="59"/>
      <c r="FU443" s="59"/>
      <c r="FV443" s="59"/>
      <c r="FW443" s="59"/>
      <c r="FX443" s="59"/>
      <c r="FY443" s="59"/>
      <c r="FZ443" s="59"/>
      <c r="GA443" s="59"/>
      <c r="GB443" s="59"/>
      <c r="GC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/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  <c r="ES444" s="59"/>
      <c r="ET444" s="59"/>
      <c r="EU444" s="59"/>
      <c r="EV444" s="59"/>
      <c r="EW444" s="59"/>
      <c r="EX444" s="59"/>
      <c r="EY444" s="59"/>
      <c r="EZ444" s="59"/>
      <c r="FA444" s="59"/>
      <c r="FB444" s="59"/>
      <c r="FC444" s="59"/>
      <c r="FD444" s="59"/>
      <c r="FE444" s="59"/>
      <c r="FF444" s="59"/>
      <c r="FG444" s="59"/>
      <c r="FH444" s="59"/>
      <c r="FI444" s="59"/>
      <c r="FJ444" s="59"/>
      <c r="FK444" s="59"/>
      <c r="FL444" s="59"/>
      <c r="FM444" s="59"/>
      <c r="FN444" s="59"/>
      <c r="FO444" s="59"/>
      <c r="FP444" s="59"/>
      <c r="FQ444" s="59"/>
      <c r="FR444" s="59"/>
      <c r="FS444" s="59"/>
      <c r="FT444" s="59"/>
      <c r="FU444" s="59"/>
      <c r="FV444" s="59"/>
      <c r="FW444" s="59"/>
      <c r="FX444" s="59"/>
      <c r="FY444" s="59"/>
      <c r="FZ444" s="59"/>
      <c r="GA444" s="59"/>
      <c r="GB444" s="59"/>
      <c r="GC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/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  <c r="ES445" s="59"/>
      <c r="ET445" s="59"/>
      <c r="EU445" s="59"/>
      <c r="EV445" s="59"/>
      <c r="EW445" s="59"/>
      <c r="EX445" s="59"/>
      <c r="EY445" s="59"/>
      <c r="EZ445" s="59"/>
      <c r="FA445" s="59"/>
      <c r="FB445" s="59"/>
      <c r="FC445" s="59"/>
      <c r="FD445" s="59"/>
      <c r="FE445" s="59"/>
      <c r="FF445" s="59"/>
      <c r="FG445" s="59"/>
      <c r="FH445" s="59"/>
      <c r="FI445" s="59"/>
      <c r="FJ445" s="59"/>
      <c r="FK445" s="59"/>
      <c r="FL445" s="59"/>
      <c r="FM445" s="59"/>
      <c r="FN445" s="59"/>
      <c r="FO445" s="59"/>
      <c r="FP445" s="59"/>
      <c r="FQ445" s="59"/>
      <c r="FR445" s="59"/>
      <c r="FS445" s="59"/>
      <c r="FT445" s="59"/>
      <c r="FU445" s="59"/>
      <c r="FV445" s="59"/>
      <c r="FW445" s="59"/>
      <c r="FX445" s="59"/>
      <c r="FY445" s="59"/>
      <c r="FZ445" s="59"/>
      <c r="GA445" s="59"/>
      <c r="GB445" s="59"/>
      <c r="GC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/>
      <c r="CQ446" s="59"/>
      <c r="CR446" s="59"/>
      <c r="CS446" s="59"/>
      <c r="CT446" s="59"/>
      <c r="CU446" s="59"/>
      <c r="CV446" s="59"/>
      <c r="CW446" s="59"/>
      <c r="CX446" s="59"/>
      <c r="CY446" s="59"/>
      <c r="CZ446" s="59"/>
      <c r="DA446" s="59"/>
      <c r="DB446" s="59"/>
      <c r="DC446" s="59"/>
      <c r="DD446" s="59"/>
      <c r="DE446" s="59"/>
      <c r="DF446" s="59"/>
      <c r="DG446" s="59"/>
      <c r="DH446" s="59"/>
      <c r="DI446" s="59"/>
      <c r="DJ446" s="59"/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/>
      <c r="ES446" s="59"/>
      <c r="ET446" s="59"/>
      <c r="EU446" s="59"/>
      <c r="EV446" s="59"/>
      <c r="EW446" s="59"/>
      <c r="EX446" s="59"/>
      <c r="EY446" s="59"/>
      <c r="EZ446" s="59"/>
      <c r="FA446" s="59"/>
      <c r="FB446" s="59"/>
      <c r="FC446" s="59"/>
      <c r="FD446" s="59"/>
      <c r="FE446" s="59"/>
      <c r="FF446" s="59"/>
      <c r="FG446" s="59"/>
      <c r="FH446" s="59"/>
      <c r="FI446" s="59"/>
      <c r="FJ446" s="59"/>
      <c r="FK446" s="59"/>
      <c r="FL446" s="59"/>
      <c r="FM446" s="59"/>
      <c r="FN446" s="59"/>
      <c r="FO446" s="59"/>
      <c r="FP446" s="59"/>
      <c r="FQ446" s="59"/>
      <c r="FR446" s="59"/>
      <c r="FS446" s="59"/>
      <c r="FT446" s="59"/>
      <c r="FU446" s="59"/>
      <c r="FV446" s="59"/>
      <c r="FW446" s="59"/>
      <c r="FX446" s="59"/>
      <c r="FY446" s="59"/>
      <c r="FZ446" s="59"/>
      <c r="GA446" s="59"/>
      <c r="GB446" s="59"/>
      <c r="GC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/>
      <c r="CQ447" s="59"/>
      <c r="CR447" s="59"/>
      <c r="CS447" s="59"/>
      <c r="CT447" s="59"/>
      <c r="CU447" s="59"/>
      <c r="CV447" s="59"/>
      <c r="CW447" s="59"/>
      <c r="CX447" s="59"/>
      <c r="CY447" s="59"/>
      <c r="CZ447" s="59"/>
      <c r="DA447" s="59"/>
      <c r="DB447" s="59"/>
      <c r="DC447" s="59"/>
      <c r="DD447" s="59"/>
      <c r="DE447" s="59"/>
      <c r="DF447" s="59"/>
      <c r="DG447" s="59"/>
      <c r="DH447" s="59"/>
      <c r="DI447" s="59"/>
      <c r="DJ447" s="59"/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/>
      <c r="ES447" s="59"/>
      <c r="ET447" s="59"/>
      <c r="EU447" s="59"/>
      <c r="EV447" s="59"/>
      <c r="EW447" s="59"/>
      <c r="EX447" s="59"/>
      <c r="EY447" s="59"/>
      <c r="EZ447" s="59"/>
      <c r="FA447" s="59"/>
      <c r="FB447" s="59"/>
      <c r="FC447" s="59"/>
      <c r="FD447" s="59"/>
      <c r="FE447" s="59"/>
      <c r="FF447" s="59"/>
      <c r="FG447" s="59"/>
      <c r="FH447" s="59"/>
      <c r="FI447" s="59"/>
      <c r="FJ447" s="59"/>
      <c r="FK447" s="59"/>
      <c r="FL447" s="59"/>
      <c r="FM447" s="59"/>
      <c r="FN447" s="59"/>
      <c r="FO447" s="59"/>
      <c r="FP447" s="59"/>
      <c r="FQ447" s="59"/>
      <c r="FR447" s="59"/>
      <c r="FS447" s="59"/>
      <c r="FT447" s="59"/>
      <c r="FU447" s="59"/>
      <c r="FV447" s="59"/>
      <c r="FW447" s="59"/>
      <c r="FX447" s="59"/>
      <c r="FY447" s="59"/>
      <c r="FZ447" s="59"/>
      <c r="GA447" s="59"/>
      <c r="GB447" s="59"/>
      <c r="GC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  <c r="ES448" s="59"/>
      <c r="ET448" s="59"/>
      <c r="EU448" s="59"/>
      <c r="EV448" s="59"/>
      <c r="EW448" s="59"/>
      <c r="EX448" s="59"/>
      <c r="EY448" s="59"/>
      <c r="EZ448" s="59"/>
      <c r="FA448" s="59"/>
      <c r="FB448" s="59"/>
      <c r="FC448" s="59"/>
      <c r="FD448" s="59"/>
      <c r="FE448" s="59"/>
      <c r="FF448" s="59"/>
      <c r="FG448" s="59"/>
      <c r="FH448" s="59"/>
      <c r="FI448" s="59"/>
      <c r="FJ448" s="59"/>
      <c r="FK448" s="59"/>
      <c r="FL448" s="59"/>
      <c r="FM448" s="59"/>
      <c r="FN448" s="59"/>
      <c r="FO448" s="59"/>
      <c r="FP448" s="59"/>
      <c r="FQ448" s="59"/>
      <c r="FR448" s="59"/>
      <c r="FS448" s="59"/>
      <c r="FT448" s="59"/>
      <c r="FU448" s="59"/>
      <c r="FV448" s="59"/>
      <c r="FW448" s="59"/>
      <c r="FX448" s="59"/>
      <c r="FY448" s="59"/>
      <c r="FZ448" s="59"/>
      <c r="GA448" s="59"/>
      <c r="GB448" s="59"/>
      <c r="GC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  <c r="ES449" s="59"/>
      <c r="ET449" s="59"/>
      <c r="EU449" s="59"/>
      <c r="EV449" s="59"/>
      <c r="EW449" s="59"/>
      <c r="EX449" s="59"/>
      <c r="EY449" s="59"/>
      <c r="EZ449" s="59"/>
      <c r="FA449" s="59"/>
      <c r="FB449" s="59"/>
      <c r="FC449" s="59"/>
      <c r="FD449" s="59"/>
      <c r="FE449" s="59"/>
      <c r="FF449" s="59"/>
      <c r="FG449" s="59"/>
      <c r="FH449" s="59"/>
      <c r="FI449" s="59"/>
      <c r="FJ449" s="59"/>
      <c r="FK449" s="59"/>
      <c r="FL449" s="59"/>
      <c r="FM449" s="59"/>
      <c r="FN449" s="59"/>
      <c r="FO449" s="59"/>
      <c r="FP449" s="59"/>
      <c r="FQ449" s="59"/>
      <c r="FR449" s="59"/>
      <c r="FS449" s="59"/>
      <c r="FT449" s="59"/>
      <c r="FU449" s="59"/>
      <c r="FV449" s="59"/>
      <c r="FW449" s="59"/>
      <c r="FX449" s="59"/>
      <c r="FY449" s="59"/>
      <c r="FZ449" s="59"/>
      <c r="GA449" s="59"/>
      <c r="GB449" s="59"/>
      <c r="GC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/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  <c r="ES450" s="59"/>
      <c r="ET450" s="59"/>
      <c r="EU450" s="59"/>
      <c r="EV450" s="59"/>
      <c r="EW450" s="59"/>
      <c r="EX450" s="59"/>
      <c r="EY450" s="59"/>
      <c r="EZ450" s="59"/>
      <c r="FA450" s="59"/>
      <c r="FB450" s="59"/>
      <c r="FC450" s="59"/>
      <c r="FD450" s="59"/>
      <c r="FE450" s="59"/>
      <c r="FF450" s="59"/>
      <c r="FG450" s="59"/>
      <c r="FH450" s="59"/>
      <c r="FI450" s="59"/>
      <c r="FJ450" s="59"/>
      <c r="FK450" s="59"/>
      <c r="FL450" s="59"/>
      <c r="FM450" s="59"/>
      <c r="FN450" s="59"/>
      <c r="FO450" s="59"/>
      <c r="FP450" s="59"/>
      <c r="FQ450" s="59"/>
      <c r="FR450" s="59"/>
      <c r="FS450" s="59"/>
      <c r="FT450" s="59"/>
      <c r="FU450" s="59"/>
      <c r="FV450" s="59"/>
      <c r="FW450" s="59"/>
      <c r="FX450" s="59"/>
      <c r="FY450" s="59"/>
      <c r="FZ450" s="59"/>
      <c r="GA450" s="59"/>
      <c r="GB450" s="59"/>
      <c r="GC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/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  <c r="ES451" s="59"/>
      <c r="ET451" s="59"/>
      <c r="EU451" s="59"/>
      <c r="EV451" s="59"/>
      <c r="EW451" s="59"/>
      <c r="EX451" s="59"/>
      <c r="EY451" s="59"/>
      <c r="EZ451" s="59"/>
      <c r="FA451" s="59"/>
      <c r="FB451" s="59"/>
      <c r="FC451" s="59"/>
      <c r="FD451" s="59"/>
      <c r="FE451" s="59"/>
      <c r="FF451" s="59"/>
      <c r="FG451" s="59"/>
      <c r="FH451" s="59"/>
      <c r="FI451" s="59"/>
      <c r="FJ451" s="59"/>
      <c r="FK451" s="59"/>
      <c r="FL451" s="59"/>
      <c r="FM451" s="59"/>
      <c r="FN451" s="59"/>
      <c r="FO451" s="59"/>
      <c r="FP451" s="59"/>
      <c r="FQ451" s="59"/>
      <c r="FR451" s="59"/>
      <c r="FS451" s="59"/>
      <c r="FT451" s="59"/>
      <c r="FU451" s="59"/>
      <c r="FV451" s="59"/>
      <c r="FW451" s="59"/>
      <c r="FX451" s="59"/>
      <c r="FY451" s="59"/>
      <c r="FZ451" s="59"/>
      <c r="GA451" s="59"/>
      <c r="GB451" s="59"/>
      <c r="GC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  <c r="ES452" s="59"/>
      <c r="ET452" s="59"/>
      <c r="EU452" s="59"/>
      <c r="EV452" s="59"/>
      <c r="EW452" s="59"/>
      <c r="EX452" s="59"/>
      <c r="EY452" s="59"/>
      <c r="EZ452" s="59"/>
      <c r="FA452" s="59"/>
      <c r="FB452" s="59"/>
      <c r="FC452" s="59"/>
      <c r="FD452" s="59"/>
      <c r="FE452" s="59"/>
      <c r="FF452" s="59"/>
      <c r="FG452" s="59"/>
      <c r="FH452" s="59"/>
      <c r="FI452" s="59"/>
      <c r="FJ452" s="59"/>
      <c r="FK452" s="59"/>
      <c r="FL452" s="59"/>
      <c r="FM452" s="59"/>
      <c r="FN452" s="59"/>
      <c r="FO452" s="59"/>
      <c r="FP452" s="59"/>
      <c r="FQ452" s="59"/>
      <c r="FR452" s="59"/>
      <c r="FS452" s="59"/>
      <c r="FT452" s="59"/>
      <c r="FU452" s="59"/>
      <c r="FV452" s="59"/>
      <c r="FW452" s="59"/>
      <c r="FX452" s="59"/>
      <c r="FY452" s="59"/>
      <c r="FZ452" s="59"/>
      <c r="GA452" s="59"/>
      <c r="GB452" s="59"/>
      <c r="GC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  <c r="ES453" s="59"/>
      <c r="ET453" s="59"/>
      <c r="EU453" s="59"/>
      <c r="EV453" s="59"/>
      <c r="EW453" s="59"/>
      <c r="EX453" s="59"/>
      <c r="EY453" s="59"/>
      <c r="EZ453" s="59"/>
      <c r="FA453" s="59"/>
      <c r="FB453" s="59"/>
      <c r="FC453" s="59"/>
      <c r="FD453" s="59"/>
      <c r="FE453" s="59"/>
      <c r="FF453" s="59"/>
      <c r="FG453" s="59"/>
      <c r="FH453" s="59"/>
      <c r="FI453" s="59"/>
      <c r="FJ453" s="59"/>
      <c r="FK453" s="59"/>
      <c r="FL453" s="59"/>
      <c r="FM453" s="59"/>
      <c r="FN453" s="59"/>
      <c r="FO453" s="59"/>
      <c r="FP453" s="59"/>
      <c r="FQ453" s="59"/>
      <c r="FR453" s="59"/>
      <c r="FS453" s="59"/>
      <c r="FT453" s="59"/>
      <c r="FU453" s="59"/>
      <c r="FV453" s="59"/>
      <c r="FW453" s="59"/>
      <c r="FX453" s="59"/>
      <c r="FY453" s="59"/>
      <c r="FZ453" s="59"/>
      <c r="GA453" s="59"/>
      <c r="GB453" s="59"/>
      <c r="GC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/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/>
      <c r="ES454" s="59"/>
      <c r="ET454" s="59"/>
      <c r="EU454" s="59"/>
      <c r="EV454" s="59"/>
      <c r="EW454" s="59"/>
      <c r="EX454" s="59"/>
      <c r="EY454" s="59"/>
      <c r="EZ454" s="59"/>
      <c r="FA454" s="59"/>
      <c r="FB454" s="59"/>
      <c r="FC454" s="59"/>
      <c r="FD454" s="59"/>
      <c r="FE454" s="59"/>
      <c r="FF454" s="59"/>
      <c r="FG454" s="59"/>
      <c r="FH454" s="59"/>
      <c r="FI454" s="59"/>
      <c r="FJ454" s="59"/>
      <c r="FK454" s="59"/>
      <c r="FL454" s="59"/>
      <c r="FM454" s="59"/>
      <c r="FN454" s="59"/>
      <c r="FO454" s="59"/>
      <c r="FP454" s="59"/>
      <c r="FQ454" s="59"/>
      <c r="FR454" s="59"/>
      <c r="FS454" s="59"/>
      <c r="FT454" s="59"/>
      <c r="FU454" s="59"/>
      <c r="FV454" s="59"/>
      <c r="FW454" s="59"/>
      <c r="FX454" s="59"/>
      <c r="FY454" s="59"/>
      <c r="FZ454" s="59"/>
      <c r="GA454" s="59"/>
      <c r="GB454" s="59"/>
      <c r="GC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  <c r="ES455" s="59"/>
      <c r="ET455" s="59"/>
      <c r="EU455" s="59"/>
      <c r="EV455" s="59"/>
      <c r="EW455" s="59"/>
      <c r="EX455" s="59"/>
      <c r="EY455" s="59"/>
      <c r="EZ455" s="59"/>
      <c r="FA455" s="59"/>
      <c r="FB455" s="59"/>
      <c r="FC455" s="59"/>
      <c r="FD455" s="59"/>
      <c r="FE455" s="59"/>
      <c r="FF455" s="59"/>
      <c r="FG455" s="59"/>
      <c r="FH455" s="59"/>
      <c r="FI455" s="59"/>
      <c r="FJ455" s="59"/>
      <c r="FK455" s="59"/>
      <c r="FL455" s="59"/>
      <c r="FM455" s="59"/>
      <c r="FN455" s="59"/>
      <c r="FO455" s="59"/>
      <c r="FP455" s="59"/>
      <c r="FQ455" s="59"/>
      <c r="FR455" s="59"/>
      <c r="FS455" s="59"/>
      <c r="FT455" s="59"/>
      <c r="FU455" s="59"/>
      <c r="FV455" s="59"/>
      <c r="FW455" s="59"/>
      <c r="FX455" s="59"/>
      <c r="FY455" s="59"/>
      <c r="FZ455" s="59"/>
      <c r="GA455" s="59"/>
      <c r="GB455" s="59"/>
      <c r="GC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  <c r="ES456" s="59"/>
      <c r="ET456" s="59"/>
      <c r="EU456" s="59"/>
      <c r="EV456" s="59"/>
      <c r="EW456" s="59"/>
      <c r="EX456" s="59"/>
      <c r="EY456" s="59"/>
      <c r="EZ456" s="59"/>
      <c r="FA456" s="59"/>
      <c r="FB456" s="59"/>
      <c r="FC456" s="59"/>
      <c r="FD456" s="59"/>
      <c r="FE456" s="59"/>
      <c r="FF456" s="59"/>
      <c r="FG456" s="59"/>
      <c r="FH456" s="59"/>
      <c r="FI456" s="59"/>
      <c r="FJ456" s="59"/>
      <c r="FK456" s="59"/>
      <c r="FL456" s="59"/>
      <c r="FM456" s="59"/>
      <c r="FN456" s="59"/>
      <c r="FO456" s="59"/>
      <c r="FP456" s="59"/>
      <c r="FQ456" s="59"/>
      <c r="FR456" s="59"/>
      <c r="FS456" s="59"/>
      <c r="FT456" s="59"/>
      <c r="FU456" s="59"/>
      <c r="FV456" s="59"/>
      <c r="FW456" s="59"/>
      <c r="FX456" s="59"/>
      <c r="FY456" s="59"/>
      <c r="FZ456" s="59"/>
      <c r="GA456" s="59"/>
      <c r="GB456" s="59"/>
      <c r="GC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  <c r="ES457" s="59"/>
      <c r="ET457" s="59"/>
      <c r="EU457" s="59"/>
      <c r="EV457" s="59"/>
      <c r="EW457" s="59"/>
      <c r="EX457" s="59"/>
      <c r="EY457" s="59"/>
      <c r="EZ457" s="59"/>
      <c r="FA457" s="59"/>
      <c r="FB457" s="59"/>
      <c r="FC457" s="59"/>
      <c r="FD457" s="59"/>
      <c r="FE457" s="59"/>
      <c r="FF457" s="59"/>
      <c r="FG457" s="59"/>
      <c r="FH457" s="59"/>
      <c r="FI457" s="59"/>
      <c r="FJ457" s="59"/>
      <c r="FK457" s="59"/>
      <c r="FL457" s="59"/>
      <c r="FM457" s="59"/>
      <c r="FN457" s="59"/>
      <c r="FO457" s="59"/>
      <c r="FP457" s="59"/>
      <c r="FQ457" s="59"/>
      <c r="FR457" s="59"/>
      <c r="FS457" s="59"/>
      <c r="FT457" s="59"/>
      <c r="FU457" s="59"/>
      <c r="FV457" s="59"/>
      <c r="FW457" s="59"/>
      <c r="FX457" s="59"/>
      <c r="FY457" s="59"/>
      <c r="FZ457" s="59"/>
      <c r="GA457" s="59"/>
      <c r="GB457" s="59"/>
      <c r="GC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  <c r="ES458" s="59"/>
      <c r="ET458" s="59"/>
      <c r="EU458" s="59"/>
      <c r="EV458" s="59"/>
      <c r="EW458" s="59"/>
      <c r="EX458" s="59"/>
      <c r="EY458" s="59"/>
      <c r="EZ458" s="59"/>
      <c r="FA458" s="59"/>
      <c r="FB458" s="59"/>
      <c r="FC458" s="59"/>
      <c r="FD458" s="59"/>
      <c r="FE458" s="59"/>
      <c r="FF458" s="59"/>
      <c r="FG458" s="59"/>
      <c r="FH458" s="59"/>
      <c r="FI458" s="59"/>
      <c r="FJ458" s="59"/>
      <c r="FK458" s="59"/>
      <c r="FL458" s="59"/>
      <c r="FM458" s="59"/>
      <c r="FN458" s="59"/>
      <c r="FO458" s="59"/>
      <c r="FP458" s="59"/>
      <c r="FQ458" s="59"/>
      <c r="FR458" s="59"/>
      <c r="FS458" s="59"/>
      <c r="FT458" s="59"/>
      <c r="FU458" s="59"/>
      <c r="FV458" s="59"/>
      <c r="FW458" s="59"/>
      <c r="FX458" s="59"/>
      <c r="FY458" s="59"/>
      <c r="FZ458" s="59"/>
      <c r="GA458" s="59"/>
      <c r="GB458" s="59"/>
      <c r="GC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  <c r="ES459" s="59"/>
      <c r="ET459" s="59"/>
      <c r="EU459" s="59"/>
      <c r="EV459" s="59"/>
      <c r="EW459" s="59"/>
      <c r="EX459" s="59"/>
      <c r="EY459" s="59"/>
      <c r="EZ459" s="59"/>
      <c r="FA459" s="59"/>
      <c r="FB459" s="59"/>
      <c r="FC459" s="59"/>
      <c r="FD459" s="59"/>
      <c r="FE459" s="59"/>
      <c r="FF459" s="59"/>
      <c r="FG459" s="59"/>
      <c r="FH459" s="59"/>
      <c r="FI459" s="59"/>
      <c r="FJ459" s="59"/>
      <c r="FK459" s="59"/>
      <c r="FL459" s="59"/>
      <c r="FM459" s="59"/>
      <c r="FN459" s="59"/>
      <c r="FO459" s="59"/>
      <c r="FP459" s="59"/>
      <c r="FQ459" s="59"/>
      <c r="FR459" s="59"/>
      <c r="FS459" s="59"/>
      <c r="FT459" s="59"/>
      <c r="FU459" s="59"/>
      <c r="FV459" s="59"/>
      <c r="FW459" s="59"/>
      <c r="FX459" s="59"/>
      <c r="FY459" s="59"/>
      <c r="FZ459" s="59"/>
      <c r="GA459" s="59"/>
      <c r="GB459" s="59"/>
      <c r="GC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  <c r="ES460" s="59"/>
      <c r="ET460" s="59"/>
      <c r="EU460" s="59"/>
      <c r="EV460" s="59"/>
      <c r="EW460" s="59"/>
      <c r="EX460" s="59"/>
      <c r="EY460" s="59"/>
      <c r="EZ460" s="59"/>
      <c r="FA460" s="59"/>
      <c r="FB460" s="59"/>
      <c r="FC460" s="59"/>
      <c r="FD460" s="59"/>
      <c r="FE460" s="59"/>
      <c r="FF460" s="59"/>
      <c r="FG460" s="59"/>
      <c r="FH460" s="59"/>
      <c r="FI460" s="59"/>
      <c r="FJ460" s="59"/>
      <c r="FK460" s="59"/>
      <c r="FL460" s="59"/>
      <c r="FM460" s="59"/>
      <c r="FN460" s="59"/>
      <c r="FO460" s="59"/>
      <c r="FP460" s="59"/>
      <c r="FQ460" s="59"/>
      <c r="FR460" s="59"/>
      <c r="FS460" s="59"/>
      <c r="FT460" s="59"/>
      <c r="FU460" s="59"/>
      <c r="FV460" s="59"/>
      <c r="FW460" s="59"/>
      <c r="FX460" s="59"/>
      <c r="FY460" s="59"/>
      <c r="FZ460" s="59"/>
      <c r="GA460" s="59"/>
      <c r="GB460" s="59"/>
      <c r="GC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/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  <c r="ES461" s="59"/>
      <c r="ET461" s="59"/>
      <c r="EU461" s="59"/>
      <c r="EV461" s="59"/>
      <c r="EW461" s="59"/>
      <c r="EX461" s="59"/>
      <c r="EY461" s="59"/>
      <c r="EZ461" s="59"/>
      <c r="FA461" s="59"/>
      <c r="FB461" s="59"/>
      <c r="FC461" s="59"/>
      <c r="FD461" s="59"/>
      <c r="FE461" s="59"/>
      <c r="FF461" s="59"/>
      <c r="FG461" s="59"/>
      <c r="FH461" s="59"/>
      <c r="FI461" s="59"/>
      <c r="FJ461" s="59"/>
      <c r="FK461" s="59"/>
      <c r="FL461" s="59"/>
      <c r="FM461" s="59"/>
      <c r="FN461" s="59"/>
      <c r="FO461" s="59"/>
      <c r="FP461" s="59"/>
      <c r="FQ461" s="59"/>
      <c r="FR461" s="59"/>
      <c r="FS461" s="59"/>
      <c r="FT461" s="59"/>
      <c r="FU461" s="59"/>
      <c r="FV461" s="59"/>
      <c r="FW461" s="59"/>
      <c r="FX461" s="59"/>
      <c r="FY461" s="59"/>
      <c r="FZ461" s="59"/>
      <c r="GA461" s="59"/>
      <c r="GB461" s="59"/>
      <c r="GC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/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  <c r="ES462" s="59"/>
      <c r="ET462" s="59"/>
      <c r="EU462" s="59"/>
      <c r="EV462" s="59"/>
      <c r="EW462" s="59"/>
      <c r="EX462" s="59"/>
      <c r="EY462" s="59"/>
      <c r="EZ462" s="59"/>
      <c r="FA462" s="59"/>
      <c r="FB462" s="59"/>
      <c r="FC462" s="59"/>
      <c r="FD462" s="59"/>
      <c r="FE462" s="59"/>
      <c r="FF462" s="59"/>
      <c r="FG462" s="59"/>
      <c r="FH462" s="59"/>
      <c r="FI462" s="59"/>
      <c r="FJ462" s="59"/>
      <c r="FK462" s="59"/>
      <c r="FL462" s="59"/>
      <c r="FM462" s="59"/>
      <c r="FN462" s="59"/>
      <c r="FO462" s="59"/>
      <c r="FP462" s="59"/>
      <c r="FQ462" s="59"/>
      <c r="FR462" s="59"/>
      <c r="FS462" s="59"/>
      <c r="FT462" s="59"/>
      <c r="FU462" s="59"/>
      <c r="FV462" s="59"/>
      <c r="FW462" s="59"/>
      <c r="FX462" s="59"/>
      <c r="FY462" s="59"/>
      <c r="FZ462" s="59"/>
      <c r="GA462" s="59"/>
      <c r="GB462" s="59"/>
      <c r="GC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/>
      <c r="EN463" s="59"/>
      <c r="EO463" s="59"/>
      <c r="EP463" s="59"/>
      <c r="EQ463" s="59"/>
      <c r="ER463" s="59"/>
      <c r="ES463" s="59"/>
      <c r="ET463" s="59"/>
      <c r="EU463" s="59"/>
      <c r="EV463" s="59"/>
      <c r="EW463" s="59"/>
      <c r="EX463" s="59"/>
      <c r="EY463" s="59"/>
      <c r="EZ463" s="59"/>
      <c r="FA463" s="59"/>
      <c r="FB463" s="59"/>
      <c r="FC463" s="59"/>
      <c r="FD463" s="59"/>
      <c r="FE463" s="59"/>
      <c r="FF463" s="59"/>
      <c r="FG463" s="59"/>
      <c r="FH463" s="59"/>
      <c r="FI463" s="59"/>
      <c r="FJ463" s="59"/>
      <c r="FK463" s="59"/>
      <c r="FL463" s="59"/>
      <c r="FM463" s="59"/>
      <c r="FN463" s="59"/>
      <c r="FO463" s="59"/>
      <c r="FP463" s="59"/>
      <c r="FQ463" s="59"/>
      <c r="FR463" s="59"/>
      <c r="FS463" s="59"/>
      <c r="FT463" s="59"/>
      <c r="FU463" s="59"/>
      <c r="FV463" s="59"/>
      <c r="FW463" s="59"/>
      <c r="FX463" s="59"/>
      <c r="FY463" s="59"/>
      <c r="FZ463" s="59"/>
      <c r="GA463" s="59"/>
      <c r="GB463" s="59"/>
      <c r="GC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/>
      <c r="EN464" s="59"/>
      <c r="EO464" s="59"/>
      <c r="EP464" s="59"/>
      <c r="EQ464" s="59"/>
      <c r="ER464" s="59"/>
      <c r="ES464" s="59"/>
      <c r="ET464" s="59"/>
      <c r="EU464" s="59"/>
      <c r="EV464" s="59"/>
      <c r="EW464" s="59"/>
      <c r="EX464" s="59"/>
      <c r="EY464" s="59"/>
      <c r="EZ464" s="59"/>
      <c r="FA464" s="59"/>
      <c r="FB464" s="59"/>
      <c r="FC464" s="59"/>
      <c r="FD464" s="59"/>
      <c r="FE464" s="59"/>
      <c r="FF464" s="59"/>
      <c r="FG464" s="59"/>
      <c r="FH464" s="59"/>
      <c r="FI464" s="59"/>
      <c r="FJ464" s="59"/>
      <c r="FK464" s="59"/>
      <c r="FL464" s="59"/>
      <c r="FM464" s="59"/>
      <c r="FN464" s="59"/>
      <c r="FO464" s="59"/>
      <c r="FP464" s="59"/>
      <c r="FQ464" s="59"/>
      <c r="FR464" s="59"/>
      <c r="FS464" s="59"/>
      <c r="FT464" s="59"/>
      <c r="FU464" s="59"/>
      <c r="FV464" s="59"/>
      <c r="FW464" s="59"/>
      <c r="FX464" s="59"/>
      <c r="FY464" s="59"/>
      <c r="FZ464" s="59"/>
      <c r="GA464" s="59"/>
      <c r="GB464" s="59"/>
      <c r="GC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/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/>
      <c r="DP465" s="59"/>
      <c r="DQ465" s="59"/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  <c r="ES465" s="59"/>
      <c r="ET465" s="59"/>
      <c r="EU465" s="59"/>
      <c r="EV465" s="59"/>
      <c r="EW465" s="59"/>
      <c r="EX465" s="59"/>
      <c r="EY465" s="59"/>
      <c r="EZ465" s="59"/>
      <c r="FA465" s="59"/>
      <c r="FB465" s="59"/>
      <c r="FC465" s="59"/>
      <c r="FD465" s="59"/>
      <c r="FE465" s="59"/>
      <c r="FF465" s="59"/>
      <c r="FG465" s="59"/>
      <c r="FH465" s="59"/>
      <c r="FI465" s="59"/>
      <c r="FJ465" s="59"/>
      <c r="FK465" s="59"/>
      <c r="FL465" s="59"/>
      <c r="FM465" s="59"/>
      <c r="FN465" s="59"/>
      <c r="FO465" s="59"/>
      <c r="FP465" s="59"/>
      <c r="FQ465" s="59"/>
      <c r="FR465" s="59"/>
      <c r="FS465" s="59"/>
      <c r="FT465" s="59"/>
      <c r="FU465" s="59"/>
      <c r="FV465" s="59"/>
      <c r="FW465" s="59"/>
      <c r="FX465" s="59"/>
      <c r="FY465" s="59"/>
      <c r="FZ465" s="59"/>
      <c r="GA465" s="59"/>
      <c r="GB465" s="59"/>
      <c r="GC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/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/>
      <c r="DP466" s="59"/>
      <c r="DQ466" s="59"/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  <c r="ES466" s="59"/>
      <c r="ET466" s="59"/>
      <c r="EU466" s="59"/>
      <c r="EV466" s="59"/>
      <c r="EW466" s="59"/>
      <c r="EX466" s="59"/>
      <c r="EY466" s="59"/>
      <c r="EZ466" s="59"/>
      <c r="FA466" s="59"/>
      <c r="FB466" s="59"/>
      <c r="FC466" s="59"/>
      <c r="FD466" s="59"/>
      <c r="FE466" s="59"/>
      <c r="FF466" s="59"/>
      <c r="FG466" s="59"/>
      <c r="FH466" s="59"/>
      <c r="FI466" s="59"/>
      <c r="FJ466" s="59"/>
      <c r="FK466" s="59"/>
      <c r="FL466" s="59"/>
      <c r="FM466" s="59"/>
      <c r="FN466" s="59"/>
      <c r="FO466" s="59"/>
      <c r="FP466" s="59"/>
      <c r="FQ466" s="59"/>
      <c r="FR466" s="59"/>
      <c r="FS466" s="59"/>
      <c r="FT466" s="59"/>
      <c r="FU466" s="59"/>
      <c r="FV466" s="59"/>
      <c r="FW466" s="59"/>
      <c r="FX466" s="59"/>
      <c r="FY466" s="59"/>
      <c r="FZ466" s="59"/>
      <c r="GA466" s="59"/>
      <c r="GB466" s="59"/>
      <c r="GC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/>
      <c r="CY467" s="59"/>
      <c r="CZ467" s="59"/>
      <c r="DA467" s="59"/>
      <c r="DB467" s="59"/>
      <c r="DC467" s="59"/>
      <c r="DD467" s="59"/>
      <c r="DE467" s="59"/>
      <c r="DF467" s="59"/>
      <c r="DG467" s="59"/>
      <c r="DH467" s="59"/>
      <c r="DI467" s="59"/>
      <c r="DJ467" s="59"/>
      <c r="DK467" s="59"/>
      <c r="DL467" s="59"/>
      <c r="DM467" s="59"/>
      <c r="DN467" s="59"/>
      <c r="DO467" s="59"/>
      <c r="DP467" s="59"/>
      <c r="DQ467" s="59"/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/>
      <c r="EO467" s="59"/>
      <c r="EP467" s="59"/>
      <c r="EQ467" s="59"/>
      <c r="ER467" s="59"/>
      <c r="ES467" s="59"/>
      <c r="ET467" s="59"/>
      <c r="EU467" s="59"/>
      <c r="EV467" s="59"/>
      <c r="EW467" s="59"/>
      <c r="EX467" s="59"/>
      <c r="EY467" s="59"/>
      <c r="EZ467" s="59"/>
      <c r="FA467" s="59"/>
      <c r="FB467" s="59"/>
      <c r="FC467" s="59"/>
      <c r="FD467" s="59"/>
      <c r="FE467" s="59"/>
      <c r="FF467" s="59"/>
      <c r="FG467" s="59"/>
      <c r="FH467" s="59"/>
      <c r="FI467" s="59"/>
      <c r="FJ467" s="59"/>
      <c r="FK467" s="59"/>
      <c r="FL467" s="59"/>
      <c r="FM467" s="59"/>
      <c r="FN467" s="59"/>
      <c r="FO467" s="59"/>
      <c r="FP467" s="59"/>
      <c r="FQ467" s="59"/>
      <c r="FR467" s="59"/>
      <c r="FS467" s="59"/>
      <c r="FT467" s="59"/>
      <c r="FU467" s="59"/>
      <c r="FV467" s="59"/>
      <c r="FW467" s="59"/>
      <c r="FX467" s="59"/>
      <c r="FY467" s="59"/>
      <c r="FZ467" s="59"/>
      <c r="GA467" s="59"/>
      <c r="GB467" s="59"/>
      <c r="GC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/>
      <c r="CY468" s="59"/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/>
      <c r="DK468" s="59"/>
      <c r="DL468" s="59"/>
      <c r="DM468" s="59"/>
      <c r="DN468" s="59"/>
      <c r="DO468" s="59"/>
      <c r="DP468" s="59"/>
      <c r="DQ468" s="59"/>
      <c r="DR468" s="59"/>
      <c r="DS468" s="59"/>
      <c r="DT468" s="59"/>
      <c r="DU468" s="59"/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  <c r="ES468" s="59"/>
      <c r="ET468" s="59"/>
      <c r="EU468" s="59"/>
      <c r="EV468" s="59"/>
      <c r="EW468" s="59"/>
      <c r="EX468" s="59"/>
      <c r="EY468" s="59"/>
      <c r="EZ468" s="59"/>
      <c r="FA468" s="59"/>
      <c r="FB468" s="59"/>
      <c r="FC468" s="59"/>
      <c r="FD468" s="59"/>
      <c r="FE468" s="59"/>
      <c r="FF468" s="59"/>
      <c r="FG468" s="59"/>
      <c r="FH468" s="59"/>
      <c r="FI468" s="59"/>
      <c r="FJ468" s="59"/>
      <c r="FK468" s="59"/>
      <c r="FL468" s="59"/>
      <c r="FM468" s="59"/>
      <c r="FN468" s="59"/>
      <c r="FO468" s="59"/>
      <c r="FP468" s="59"/>
      <c r="FQ468" s="59"/>
      <c r="FR468" s="59"/>
      <c r="FS468" s="59"/>
      <c r="FT468" s="59"/>
      <c r="FU468" s="59"/>
      <c r="FV468" s="59"/>
      <c r="FW468" s="59"/>
      <c r="FX468" s="59"/>
      <c r="FY468" s="59"/>
      <c r="FZ468" s="59"/>
      <c r="GA468" s="59"/>
      <c r="GB468" s="59"/>
      <c r="GC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/>
      <c r="CY469" s="59"/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/>
      <c r="DK469" s="59"/>
      <c r="DL469" s="59"/>
      <c r="DM469" s="59"/>
      <c r="DN469" s="59"/>
      <c r="DO469" s="59"/>
      <c r="DP469" s="59"/>
      <c r="DQ469" s="59"/>
      <c r="DR469" s="59"/>
      <c r="DS469" s="59"/>
      <c r="DT469" s="59"/>
      <c r="DU469" s="59"/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  <c r="ES469" s="59"/>
      <c r="ET469" s="59"/>
      <c r="EU469" s="59"/>
      <c r="EV469" s="59"/>
      <c r="EW469" s="59"/>
      <c r="EX469" s="59"/>
      <c r="EY469" s="59"/>
      <c r="EZ469" s="59"/>
      <c r="FA469" s="59"/>
      <c r="FB469" s="59"/>
      <c r="FC469" s="59"/>
      <c r="FD469" s="59"/>
      <c r="FE469" s="59"/>
      <c r="FF469" s="59"/>
      <c r="FG469" s="59"/>
      <c r="FH469" s="59"/>
      <c r="FI469" s="59"/>
      <c r="FJ469" s="59"/>
      <c r="FK469" s="59"/>
      <c r="FL469" s="59"/>
      <c r="FM469" s="59"/>
      <c r="FN469" s="59"/>
      <c r="FO469" s="59"/>
      <c r="FP469" s="59"/>
      <c r="FQ469" s="59"/>
      <c r="FR469" s="59"/>
      <c r="FS469" s="59"/>
      <c r="FT469" s="59"/>
      <c r="FU469" s="59"/>
      <c r="FV469" s="59"/>
      <c r="FW469" s="59"/>
      <c r="FX469" s="59"/>
      <c r="FY469" s="59"/>
      <c r="FZ469" s="59"/>
      <c r="GA469" s="59"/>
      <c r="GB469" s="59"/>
      <c r="GC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/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/>
      <c r="DH470" s="59"/>
      <c r="DI470" s="59"/>
      <c r="DJ470" s="59"/>
      <c r="DK470" s="59"/>
      <c r="DL470" s="59"/>
      <c r="DM470" s="59"/>
      <c r="DN470" s="59"/>
      <c r="DO470" s="59"/>
      <c r="DP470" s="59"/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/>
      <c r="EP470" s="59"/>
      <c r="EQ470" s="59"/>
      <c r="ER470" s="59"/>
      <c r="ES470" s="59"/>
      <c r="ET470" s="59"/>
      <c r="EU470" s="59"/>
      <c r="EV470" s="59"/>
      <c r="EW470" s="59"/>
      <c r="EX470" s="59"/>
      <c r="EY470" s="59"/>
      <c r="EZ470" s="59"/>
      <c r="FA470" s="59"/>
      <c r="FB470" s="59"/>
      <c r="FC470" s="59"/>
      <c r="FD470" s="59"/>
      <c r="FE470" s="59"/>
      <c r="FF470" s="59"/>
      <c r="FG470" s="59"/>
      <c r="FH470" s="59"/>
      <c r="FI470" s="59"/>
      <c r="FJ470" s="59"/>
      <c r="FK470" s="59"/>
      <c r="FL470" s="59"/>
      <c r="FM470" s="59"/>
      <c r="FN470" s="59"/>
      <c r="FO470" s="59"/>
      <c r="FP470" s="59"/>
      <c r="FQ470" s="59"/>
      <c r="FR470" s="59"/>
      <c r="FS470" s="59"/>
      <c r="FT470" s="59"/>
      <c r="FU470" s="59"/>
      <c r="FV470" s="59"/>
      <c r="FW470" s="59"/>
      <c r="FX470" s="59"/>
      <c r="FY470" s="59"/>
      <c r="FZ470" s="59"/>
      <c r="GA470" s="59"/>
      <c r="GB470" s="59"/>
      <c r="GC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/>
      <c r="DH471" s="59"/>
      <c r="DI471" s="59"/>
      <c r="DJ471" s="59"/>
      <c r="DK471" s="59"/>
      <c r="DL471" s="59"/>
      <c r="DM471" s="59"/>
      <c r="DN471" s="59"/>
      <c r="DO471" s="59"/>
      <c r="DP471" s="59"/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/>
      <c r="EP471" s="59"/>
      <c r="EQ471" s="59"/>
      <c r="ER471" s="59"/>
      <c r="ES471" s="59"/>
      <c r="ET471" s="59"/>
      <c r="EU471" s="59"/>
      <c r="EV471" s="59"/>
      <c r="EW471" s="59"/>
      <c r="EX471" s="59"/>
      <c r="EY471" s="59"/>
      <c r="EZ471" s="59"/>
      <c r="FA471" s="59"/>
      <c r="FB471" s="59"/>
      <c r="FC471" s="59"/>
      <c r="FD471" s="59"/>
      <c r="FE471" s="59"/>
      <c r="FF471" s="59"/>
      <c r="FG471" s="59"/>
      <c r="FH471" s="59"/>
      <c r="FI471" s="59"/>
      <c r="FJ471" s="59"/>
      <c r="FK471" s="59"/>
      <c r="FL471" s="59"/>
      <c r="FM471" s="59"/>
      <c r="FN471" s="59"/>
      <c r="FO471" s="59"/>
      <c r="FP471" s="59"/>
      <c r="FQ471" s="59"/>
      <c r="FR471" s="59"/>
      <c r="FS471" s="59"/>
      <c r="FT471" s="59"/>
      <c r="FU471" s="59"/>
      <c r="FV471" s="59"/>
      <c r="FW471" s="59"/>
      <c r="FX471" s="59"/>
      <c r="FY471" s="59"/>
      <c r="FZ471" s="59"/>
      <c r="GA471" s="59"/>
      <c r="GB471" s="59"/>
      <c r="GC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/>
      <c r="DH472" s="59"/>
      <c r="DI472" s="59"/>
      <c r="DJ472" s="59"/>
      <c r="DK472" s="59"/>
      <c r="DL472" s="59"/>
      <c r="DM472" s="59"/>
      <c r="DN472" s="59"/>
      <c r="DO472" s="59"/>
      <c r="DP472" s="59"/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/>
      <c r="EP472" s="59"/>
      <c r="EQ472" s="59"/>
      <c r="ER472" s="59"/>
      <c r="ES472" s="59"/>
      <c r="ET472" s="59"/>
      <c r="EU472" s="59"/>
      <c r="EV472" s="59"/>
      <c r="EW472" s="59"/>
      <c r="EX472" s="59"/>
      <c r="EY472" s="59"/>
      <c r="EZ472" s="59"/>
      <c r="FA472" s="59"/>
      <c r="FB472" s="59"/>
      <c r="FC472" s="59"/>
      <c r="FD472" s="59"/>
      <c r="FE472" s="59"/>
      <c r="FF472" s="59"/>
      <c r="FG472" s="59"/>
      <c r="FH472" s="59"/>
      <c r="FI472" s="59"/>
      <c r="FJ472" s="59"/>
      <c r="FK472" s="59"/>
      <c r="FL472" s="59"/>
      <c r="FM472" s="59"/>
      <c r="FN472" s="59"/>
      <c r="FO472" s="59"/>
      <c r="FP472" s="59"/>
      <c r="FQ472" s="59"/>
      <c r="FR472" s="59"/>
      <c r="FS472" s="59"/>
      <c r="FT472" s="59"/>
      <c r="FU472" s="59"/>
      <c r="FV472" s="59"/>
      <c r="FW472" s="59"/>
      <c r="FX472" s="59"/>
      <c r="FY472" s="59"/>
      <c r="FZ472" s="59"/>
      <c r="GA472" s="59"/>
      <c r="GB472" s="59"/>
      <c r="GC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/>
      <c r="DH473" s="59"/>
      <c r="DI473" s="59"/>
      <c r="DJ473" s="59"/>
      <c r="DK473" s="59"/>
      <c r="DL473" s="59"/>
      <c r="DM473" s="59"/>
      <c r="DN473" s="59"/>
      <c r="DO473" s="59"/>
      <c r="DP473" s="59"/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/>
      <c r="EP473" s="59"/>
      <c r="EQ473" s="59"/>
      <c r="ER473" s="59"/>
      <c r="ES473" s="59"/>
      <c r="ET473" s="59"/>
      <c r="EU473" s="59"/>
      <c r="EV473" s="59"/>
      <c r="EW473" s="59"/>
      <c r="EX473" s="59"/>
      <c r="EY473" s="59"/>
      <c r="EZ473" s="59"/>
      <c r="FA473" s="59"/>
      <c r="FB473" s="59"/>
      <c r="FC473" s="59"/>
      <c r="FD473" s="59"/>
      <c r="FE473" s="59"/>
      <c r="FF473" s="59"/>
      <c r="FG473" s="59"/>
      <c r="FH473" s="59"/>
      <c r="FI473" s="59"/>
      <c r="FJ473" s="59"/>
      <c r="FK473" s="59"/>
      <c r="FL473" s="59"/>
      <c r="FM473" s="59"/>
      <c r="FN473" s="59"/>
      <c r="FO473" s="59"/>
      <c r="FP473" s="59"/>
      <c r="FQ473" s="59"/>
      <c r="FR473" s="59"/>
      <c r="FS473" s="59"/>
      <c r="FT473" s="59"/>
      <c r="FU473" s="59"/>
      <c r="FV473" s="59"/>
      <c r="FW473" s="59"/>
      <c r="FX473" s="59"/>
      <c r="FY473" s="59"/>
      <c r="FZ473" s="59"/>
      <c r="GA473" s="59"/>
      <c r="GB473" s="59"/>
      <c r="GC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  <c r="ES474" s="59"/>
      <c r="ET474" s="59"/>
      <c r="EU474" s="59"/>
      <c r="EV474" s="59"/>
      <c r="EW474" s="59"/>
      <c r="EX474" s="59"/>
      <c r="EY474" s="59"/>
      <c r="EZ474" s="59"/>
      <c r="FA474" s="59"/>
      <c r="FB474" s="59"/>
      <c r="FC474" s="59"/>
      <c r="FD474" s="59"/>
      <c r="FE474" s="59"/>
      <c r="FF474" s="59"/>
      <c r="FG474" s="59"/>
      <c r="FH474" s="59"/>
      <c r="FI474" s="59"/>
      <c r="FJ474" s="59"/>
      <c r="FK474" s="59"/>
      <c r="FL474" s="59"/>
      <c r="FM474" s="59"/>
      <c r="FN474" s="59"/>
      <c r="FO474" s="59"/>
      <c r="FP474" s="59"/>
      <c r="FQ474" s="59"/>
      <c r="FR474" s="59"/>
      <c r="FS474" s="59"/>
      <c r="FT474" s="59"/>
      <c r="FU474" s="59"/>
      <c r="FV474" s="59"/>
      <c r="FW474" s="59"/>
      <c r="FX474" s="59"/>
      <c r="FY474" s="59"/>
      <c r="FZ474" s="59"/>
      <c r="GA474" s="59"/>
      <c r="GB474" s="59"/>
      <c r="GC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  <c r="ES475" s="59"/>
      <c r="ET475" s="59"/>
      <c r="EU475" s="59"/>
      <c r="EV475" s="59"/>
      <c r="EW475" s="59"/>
      <c r="EX475" s="59"/>
      <c r="EY475" s="59"/>
      <c r="EZ475" s="59"/>
      <c r="FA475" s="59"/>
      <c r="FB475" s="59"/>
      <c r="FC475" s="59"/>
      <c r="FD475" s="59"/>
      <c r="FE475" s="59"/>
      <c r="FF475" s="59"/>
      <c r="FG475" s="59"/>
      <c r="FH475" s="59"/>
      <c r="FI475" s="59"/>
      <c r="FJ475" s="59"/>
      <c r="FK475" s="59"/>
      <c r="FL475" s="59"/>
      <c r="FM475" s="59"/>
      <c r="FN475" s="59"/>
      <c r="FO475" s="59"/>
      <c r="FP475" s="59"/>
      <c r="FQ475" s="59"/>
      <c r="FR475" s="59"/>
      <c r="FS475" s="59"/>
      <c r="FT475" s="59"/>
      <c r="FU475" s="59"/>
      <c r="FV475" s="59"/>
      <c r="FW475" s="59"/>
      <c r="FX475" s="59"/>
      <c r="FY475" s="59"/>
      <c r="FZ475" s="59"/>
      <c r="GA475" s="59"/>
      <c r="GB475" s="59"/>
      <c r="GC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  <c r="ES476" s="59"/>
      <c r="ET476" s="59"/>
      <c r="EU476" s="59"/>
      <c r="EV476" s="59"/>
      <c r="EW476" s="59"/>
      <c r="EX476" s="59"/>
      <c r="EY476" s="59"/>
      <c r="EZ476" s="59"/>
      <c r="FA476" s="59"/>
      <c r="FB476" s="59"/>
      <c r="FC476" s="59"/>
      <c r="FD476" s="59"/>
      <c r="FE476" s="59"/>
      <c r="FF476" s="59"/>
      <c r="FG476" s="59"/>
      <c r="FH476" s="59"/>
      <c r="FI476" s="59"/>
      <c r="FJ476" s="59"/>
      <c r="FK476" s="59"/>
      <c r="FL476" s="59"/>
      <c r="FM476" s="59"/>
      <c r="FN476" s="59"/>
      <c r="FO476" s="59"/>
      <c r="FP476" s="59"/>
      <c r="FQ476" s="59"/>
      <c r="FR476" s="59"/>
      <c r="FS476" s="59"/>
      <c r="FT476" s="59"/>
      <c r="FU476" s="59"/>
      <c r="FV476" s="59"/>
      <c r="FW476" s="59"/>
      <c r="FX476" s="59"/>
      <c r="FY476" s="59"/>
      <c r="FZ476" s="59"/>
      <c r="GA476" s="59"/>
      <c r="GB476" s="59"/>
      <c r="GC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  <c r="ES477" s="59"/>
      <c r="ET477" s="59"/>
      <c r="EU477" s="59"/>
      <c r="EV477" s="59"/>
      <c r="EW477" s="59"/>
      <c r="EX477" s="59"/>
      <c r="EY477" s="59"/>
      <c r="EZ477" s="59"/>
      <c r="FA477" s="59"/>
      <c r="FB477" s="59"/>
      <c r="FC477" s="59"/>
      <c r="FD477" s="59"/>
      <c r="FE477" s="59"/>
      <c r="FF477" s="59"/>
      <c r="FG477" s="59"/>
      <c r="FH477" s="59"/>
      <c r="FI477" s="59"/>
      <c r="FJ477" s="59"/>
      <c r="FK477" s="59"/>
      <c r="FL477" s="59"/>
      <c r="FM477" s="59"/>
      <c r="FN477" s="59"/>
      <c r="FO477" s="59"/>
      <c r="FP477" s="59"/>
      <c r="FQ477" s="59"/>
      <c r="FR477" s="59"/>
      <c r="FS477" s="59"/>
      <c r="FT477" s="59"/>
      <c r="FU477" s="59"/>
      <c r="FV477" s="59"/>
      <c r="FW477" s="59"/>
      <c r="FX477" s="59"/>
      <c r="FY477" s="59"/>
      <c r="FZ477" s="59"/>
      <c r="GA477" s="59"/>
      <c r="GB477" s="59"/>
      <c r="GC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  <c r="ES478" s="59"/>
      <c r="ET478" s="59"/>
      <c r="EU478" s="59"/>
      <c r="EV478" s="59"/>
      <c r="EW478" s="59"/>
      <c r="EX478" s="59"/>
      <c r="EY478" s="59"/>
      <c r="EZ478" s="59"/>
      <c r="FA478" s="59"/>
      <c r="FB478" s="59"/>
      <c r="FC478" s="59"/>
      <c r="FD478" s="59"/>
      <c r="FE478" s="59"/>
      <c r="FF478" s="59"/>
      <c r="FG478" s="59"/>
      <c r="FH478" s="59"/>
      <c r="FI478" s="59"/>
      <c r="FJ478" s="59"/>
      <c r="FK478" s="59"/>
      <c r="FL478" s="59"/>
      <c r="FM478" s="59"/>
      <c r="FN478" s="59"/>
      <c r="FO478" s="59"/>
      <c r="FP478" s="59"/>
      <c r="FQ478" s="59"/>
      <c r="FR478" s="59"/>
      <c r="FS478" s="59"/>
      <c r="FT478" s="59"/>
      <c r="FU478" s="59"/>
      <c r="FV478" s="59"/>
      <c r="FW478" s="59"/>
      <c r="FX478" s="59"/>
      <c r="FY478" s="59"/>
      <c r="FZ478" s="59"/>
      <c r="GA478" s="59"/>
      <c r="GB478" s="59"/>
      <c r="GC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  <c r="ES479" s="59"/>
      <c r="ET479" s="59"/>
      <c r="EU479" s="59"/>
      <c r="EV479" s="59"/>
      <c r="EW479" s="59"/>
      <c r="EX479" s="59"/>
      <c r="EY479" s="59"/>
      <c r="EZ479" s="59"/>
      <c r="FA479" s="59"/>
      <c r="FB479" s="59"/>
      <c r="FC479" s="59"/>
      <c r="FD479" s="59"/>
      <c r="FE479" s="59"/>
      <c r="FF479" s="59"/>
      <c r="FG479" s="59"/>
      <c r="FH479" s="59"/>
      <c r="FI479" s="59"/>
      <c r="FJ479" s="59"/>
      <c r="FK479" s="59"/>
      <c r="FL479" s="59"/>
      <c r="FM479" s="59"/>
      <c r="FN479" s="59"/>
      <c r="FO479" s="59"/>
      <c r="FP479" s="59"/>
      <c r="FQ479" s="59"/>
      <c r="FR479" s="59"/>
      <c r="FS479" s="59"/>
      <c r="FT479" s="59"/>
      <c r="FU479" s="59"/>
      <c r="FV479" s="59"/>
      <c r="FW479" s="59"/>
      <c r="FX479" s="59"/>
      <c r="FY479" s="59"/>
      <c r="FZ479" s="59"/>
      <c r="GA479" s="59"/>
      <c r="GB479" s="59"/>
      <c r="GC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/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/>
      <c r="EP480" s="59"/>
      <c r="EQ480" s="59"/>
      <c r="ER480" s="59"/>
      <c r="ES480" s="59"/>
      <c r="ET480" s="59"/>
      <c r="EU480" s="59"/>
      <c r="EV480" s="59"/>
      <c r="EW480" s="59"/>
      <c r="EX480" s="59"/>
      <c r="EY480" s="59"/>
      <c r="EZ480" s="59"/>
      <c r="FA480" s="59"/>
      <c r="FB480" s="59"/>
      <c r="FC480" s="59"/>
      <c r="FD480" s="59"/>
      <c r="FE480" s="59"/>
      <c r="FF480" s="59"/>
      <c r="FG480" s="59"/>
      <c r="FH480" s="59"/>
      <c r="FI480" s="59"/>
      <c r="FJ480" s="59"/>
      <c r="FK480" s="59"/>
      <c r="FL480" s="59"/>
      <c r="FM480" s="59"/>
      <c r="FN480" s="59"/>
      <c r="FO480" s="59"/>
      <c r="FP480" s="59"/>
      <c r="FQ480" s="59"/>
      <c r="FR480" s="59"/>
      <c r="FS480" s="59"/>
      <c r="FT480" s="59"/>
      <c r="FU480" s="59"/>
      <c r="FV480" s="59"/>
      <c r="FW480" s="59"/>
      <c r="FX480" s="59"/>
      <c r="FY480" s="59"/>
      <c r="FZ480" s="59"/>
      <c r="GA480" s="59"/>
      <c r="GB480" s="59"/>
      <c r="GC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/>
      <c r="CY481" s="59"/>
      <c r="CZ481" s="59"/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/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/>
      <c r="EP481" s="59"/>
      <c r="EQ481" s="59"/>
      <c r="ER481" s="59"/>
      <c r="ES481" s="59"/>
      <c r="ET481" s="59"/>
      <c r="EU481" s="59"/>
      <c r="EV481" s="59"/>
      <c r="EW481" s="59"/>
      <c r="EX481" s="59"/>
      <c r="EY481" s="59"/>
      <c r="EZ481" s="59"/>
      <c r="FA481" s="59"/>
      <c r="FB481" s="59"/>
      <c r="FC481" s="59"/>
      <c r="FD481" s="59"/>
      <c r="FE481" s="59"/>
      <c r="FF481" s="59"/>
      <c r="FG481" s="59"/>
      <c r="FH481" s="59"/>
      <c r="FI481" s="59"/>
      <c r="FJ481" s="59"/>
      <c r="FK481" s="59"/>
      <c r="FL481" s="59"/>
      <c r="FM481" s="59"/>
      <c r="FN481" s="59"/>
      <c r="FO481" s="59"/>
      <c r="FP481" s="59"/>
      <c r="FQ481" s="59"/>
      <c r="FR481" s="59"/>
      <c r="FS481" s="59"/>
      <c r="FT481" s="59"/>
      <c r="FU481" s="59"/>
      <c r="FV481" s="59"/>
      <c r="FW481" s="59"/>
      <c r="FX481" s="59"/>
      <c r="FY481" s="59"/>
      <c r="FZ481" s="59"/>
      <c r="GA481" s="59"/>
      <c r="GB481" s="59"/>
      <c r="GC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/>
      <c r="CY482" s="59"/>
      <c r="CZ482" s="59"/>
      <c r="DA482" s="59"/>
      <c r="DB482" s="59"/>
      <c r="DC482" s="59"/>
      <c r="DD482" s="59"/>
      <c r="DE482" s="59"/>
      <c r="DF482" s="59"/>
      <c r="DG482" s="59"/>
      <c r="DH482" s="59"/>
      <c r="DI482" s="59"/>
      <c r="DJ482" s="59"/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  <c r="ES482" s="59"/>
      <c r="ET482" s="59"/>
      <c r="EU482" s="59"/>
      <c r="EV482" s="59"/>
      <c r="EW482" s="59"/>
      <c r="EX482" s="59"/>
      <c r="EY482" s="59"/>
      <c r="EZ482" s="59"/>
      <c r="FA482" s="59"/>
      <c r="FB482" s="59"/>
      <c r="FC482" s="59"/>
      <c r="FD482" s="59"/>
      <c r="FE482" s="59"/>
      <c r="FF482" s="59"/>
      <c r="FG482" s="59"/>
      <c r="FH482" s="59"/>
      <c r="FI482" s="59"/>
      <c r="FJ482" s="59"/>
      <c r="FK482" s="59"/>
      <c r="FL482" s="59"/>
      <c r="FM482" s="59"/>
      <c r="FN482" s="59"/>
      <c r="FO482" s="59"/>
      <c r="FP482" s="59"/>
      <c r="FQ482" s="59"/>
      <c r="FR482" s="59"/>
      <c r="FS482" s="59"/>
      <c r="FT482" s="59"/>
      <c r="FU482" s="59"/>
      <c r="FV482" s="59"/>
      <c r="FW482" s="59"/>
      <c r="FX482" s="59"/>
      <c r="FY482" s="59"/>
      <c r="FZ482" s="59"/>
      <c r="GA482" s="59"/>
      <c r="GB482" s="59"/>
      <c r="GC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/>
      <c r="CY483" s="59"/>
      <c r="CZ483" s="59"/>
      <c r="DA483" s="59"/>
      <c r="DB483" s="59"/>
      <c r="DC483" s="59"/>
      <c r="DD483" s="59"/>
      <c r="DE483" s="59"/>
      <c r="DF483" s="59"/>
      <c r="DG483" s="59"/>
      <c r="DH483" s="59"/>
      <c r="DI483" s="59"/>
      <c r="DJ483" s="59"/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  <c r="ES483" s="59"/>
      <c r="ET483" s="59"/>
      <c r="EU483" s="59"/>
      <c r="EV483" s="59"/>
      <c r="EW483" s="59"/>
      <c r="EX483" s="59"/>
      <c r="EY483" s="59"/>
      <c r="EZ483" s="59"/>
      <c r="FA483" s="59"/>
      <c r="FB483" s="59"/>
      <c r="FC483" s="59"/>
      <c r="FD483" s="59"/>
      <c r="FE483" s="59"/>
      <c r="FF483" s="59"/>
      <c r="FG483" s="59"/>
      <c r="FH483" s="59"/>
      <c r="FI483" s="59"/>
      <c r="FJ483" s="59"/>
      <c r="FK483" s="59"/>
      <c r="FL483" s="59"/>
      <c r="FM483" s="59"/>
      <c r="FN483" s="59"/>
      <c r="FO483" s="59"/>
      <c r="FP483" s="59"/>
      <c r="FQ483" s="59"/>
      <c r="FR483" s="59"/>
      <c r="FS483" s="59"/>
      <c r="FT483" s="59"/>
      <c r="FU483" s="59"/>
      <c r="FV483" s="59"/>
      <c r="FW483" s="59"/>
      <c r="FX483" s="59"/>
      <c r="FY483" s="59"/>
      <c r="FZ483" s="59"/>
      <c r="GA483" s="59"/>
      <c r="GB483" s="59"/>
      <c r="GC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/>
      <c r="DQ484" s="59"/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/>
      <c r="EL484" s="59"/>
      <c r="EM484" s="59"/>
      <c r="EN484" s="59"/>
      <c r="EO484" s="59"/>
      <c r="EP484" s="59"/>
      <c r="EQ484" s="59"/>
      <c r="ER484" s="59"/>
      <c r="ES484" s="59"/>
      <c r="ET484" s="59"/>
      <c r="EU484" s="59"/>
      <c r="EV484" s="59"/>
      <c r="EW484" s="59"/>
      <c r="EX484" s="59"/>
      <c r="EY484" s="59"/>
      <c r="EZ484" s="59"/>
      <c r="FA484" s="59"/>
      <c r="FB484" s="59"/>
      <c r="FC484" s="59"/>
      <c r="FD484" s="59"/>
      <c r="FE484" s="59"/>
      <c r="FF484" s="59"/>
      <c r="FG484" s="59"/>
      <c r="FH484" s="59"/>
      <c r="FI484" s="59"/>
      <c r="FJ484" s="59"/>
      <c r="FK484" s="59"/>
      <c r="FL484" s="59"/>
      <c r="FM484" s="59"/>
      <c r="FN484" s="59"/>
      <c r="FO484" s="59"/>
      <c r="FP484" s="59"/>
      <c r="FQ484" s="59"/>
      <c r="FR484" s="59"/>
      <c r="FS484" s="59"/>
      <c r="FT484" s="59"/>
      <c r="FU484" s="59"/>
      <c r="FV484" s="59"/>
      <c r="FW484" s="59"/>
      <c r="FX484" s="59"/>
      <c r="FY484" s="59"/>
      <c r="FZ484" s="59"/>
      <c r="GA484" s="59"/>
      <c r="GB484" s="59"/>
      <c r="GC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/>
      <c r="DQ485" s="59"/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/>
      <c r="EL485" s="59"/>
      <c r="EM485" s="59"/>
      <c r="EN485" s="59"/>
      <c r="EO485" s="59"/>
      <c r="EP485" s="59"/>
      <c r="EQ485" s="59"/>
      <c r="ER485" s="59"/>
      <c r="ES485" s="59"/>
      <c r="ET485" s="59"/>
      <c r="EU485" s="59"/>
      <c r="EV485" s="59"/>
      <c r="EW485" s="59"/>
      <c r="EX485" s="59"/>
      <c r="EY485" s="59"/>
      <c r="EZ485" s="59"/>
      <c r="FA485" s="59"/>
      <c r="FB485" s="59"/>
      <c r="FC485" s="59"/>
      <c r="FD485" s="59"/>
      <c r="FE485" s="59"/>
      <c r="FF485" s="59"/>
      <c r="FG485" s="59"/>
      <c r="FH485" s="59"/>
      <c r="FI485" s="59"/>
      <c r="FJ485" s="59"/>
      <c r="FK485" s="59"/>
      <c r="FL485" s="59"/>
      <c r="FM485" s="59"/>
      <c r="FN485" s="59"/>
      <c r="FO485" s="59"/>
      <c r="FP485" s="59"/>
      <c r="FQ485" s="59"/>
      <c r="FR485" s="59"/>
      <c r="FS485" s="59"/>
      <c r="FT485" s="59"/>
      <c r="FU485" s="59"/>
      <c r="FV485" s="59"/>
      <c r="FW485" s="59"/>
      <c r="FX485" s="59"/>
      <c r="FY485" s="59"/>
      <c r="FZ485" s="59"/>
      <c r="GA485" s="59"/>
      <c r="GB485" s="59"/>
      <c r="GC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/>
      <c r="DQ486" s="59"/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/>
      <c r="EL486" s="59"/>
      <c r="EM486" s="59"/>
      <c r="EN486" s="59"/>
      <c r="EO486" s="59"/>
      <c r="EP486" s="59"/>
      <c r="EQ486" s="59"/>
      <c r="ER486" s="59"/>
      <c r="ES486" s="59"/>
      <c r="ET486" s="59"/>
      <c r="EU486" s="59"/>
      <c r="EV486" s="59"/>
      <c r="EW486" s="59"/>
      <c r="EX486" s="59"/>
      <c r="EY486" s="59"/>
      <c r="EZ486" s="59"/>
      <c r="FA486" s="59"/>
      <c r="FB486" s="59"/>
      <c r="FC486" s="59"/>
      <c r="FD486" s="59"/>
      <c r="FE486" s="59"/>
      <c r="FF486" s="59"/>
      <c r="FG486" s="59"/>
      <c r="FH486" s="59"/>
      <c r="FI486" s="59"/>
      <c r="FJ486" s="59"/>
      <c r="FK486" s="59"/>
      <c r="FL486" s="59"/>
      <c r="FM486" s="59"/>
      <c r="FN486" s="59"/>
      <c r="FO486" s="59"/>
      <c r="FP486" s="59"/>
      <c r="FQ486" s="59"/>
      <c r="FR486" s="59"/>
      <c r="FS486" s="59"/>
      <c r="FT486" s="59"/>
      <c r="FU486" s="59"/>
      <c r="FV486" s="59"/>
      <c r="FW486" s="59"/>
      <c r="FX486" s="59"/>
      <c r="FY486" s="59"/>
      <c r="FZ486" s="59"/>
      <c r="GA486" s="59"/>
      <c r="GB486" s="59"/>
      <c r="GC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/>
      <c r="DQ487" s="59"/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/>
      <c r="EL487" s="59"/>
      <c r="EM487" s="59"/>
      <c r="EN487" s="59"/>
      <c r="EO487" s="59"/>
      <c r="EP487" s="59"/>
      <c r="EQ487" s="59"/>
      <c r="ER487" s="59"/>
      <c r="ES487" s="59"/>
      <c r="ET487" s="59"/>
      <c r="EU487" s="59"/>
      <c r="EV487" s="59"/>
      <c r="EW487" s="59"/>
      <c r="EX487" s="59"/>
      <c r="EY487" s="59"/>
      <c r="EZ487" s="59"/>
      <c r="FA487" s="59"/>
      <c r="FB487" s="59"/>
      <c r="FC487" s="59"/>
      <c r="FD487" s="59"/>
      <c r="FE487" s="59"/>
      <c r="FF487" s="59"/>
      <c r="FG487" s="59"/>
      <c r="FH487" s="59"/>
      <c r="FI487" s="59"/>
      <c r="FJ487" s="59"/>
      <c r="FK487" s="59"/>
      <c r="FL487" s="59"/>
      <c r="FM487" s="59"/>
      <c r="FN487" s="59"/>
      <c r="FO487" s="59"/>
      <c r="FP487" s="59"/>
      <c r="FQ487" s="59"/>
      <c r="FR487" s="59"/>
      <c r="FS487" s="59"/>
      <c r="FT487" s="59"/>
      <c r="FU487" s="59"/>
      <c r="FV487" s="59"/>
      <c r="FW487" s="59"/>
      <c r="FX487" s="59"/>
      <c r="FY487" s="59"/>
      <c r="FZ487" s="59"/>
      <c r="GA487" s="59"/>
      <c r="GB487" s="59"/>
      <c r="GC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/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  <c r="ES488" s="59"/>
      <c r="ET488" s="59"/>
      <c r="EU488" s="59"/>
      <c r="EV488" s="59"/>
      <c r="EW488" s="59"/>
      <c r="EX488" s="59"/>
      <c r="EY488" s="59"/>
      <c r="EZ488" s="59"/>
      <c r="FA488" s="59"/>
      <c r="FB488" s="59"/>
      <c r="FC488" s="59"/>
      <c r="FD488" s="59"/>
      <c r="FE488" s="59"/>
      <c r="FF488" s="59"/>
      <c r="FG488" s="59"/>
      <c r="FH488" s="59"/>
      <c r="FI488" s="59"/>
      <c r="FJ488" s="59"/>
      <c r="FK488" s="59"/>
      <c r="FL488" s="59"/>
      <c r="FM488" s="59"/>
      <c r="FN488" s="59"/>
      <c r="FO488" s="59"/>
      <c r="FP488" s="59"/>
      <c r="FQ488" s="59"/>
      <c r="FR488" s="59"/>
      <c r="FS488" s="59"/>
      <c r="FT488" s="59"/>
      <c r="FU488" s="59"/>
      <c r="FV488" s="59"/>
      <c r="FW488" s="59"/>
      <c r="FX488" s="59"/>
      <c r="FY488" s="59"/>
      <c r="FZ488" s="59"/>
      <c r="GA488" s="59"/>
      <c r="GB488" s="59"/>
      <c r="GC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/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  <c r="ES489" s="59"/>
      <c r="ET489" s="59"/>
      <c r="EU489" s="59"/>
      <c r="EV489" s="59"/>
      <c r="EW489" s="59"/>
      <c r="EX489" s="59"/>
      <c r="EY489" s="59"/>
      <c r="EZ489" s="59"/>
      <c r="FA489" s="59"/>
      <c r="FB489" s="59"/>
      <c r="FC489" s="59"/>
      <c r="FD489" s="59"/>
      <c r="FE489" s="59"/>
      <c r="FF489" s="59"/>
      <c r="FG489" s="59"/>
      <c r="FH489" s="59"/>
      <c r="FI489" s="59"/>
      <c r="FJ489" s="59"/>
      <c r="FK489" s="59"/>
      <c r="FL489" s="59"/>
      <c r="FM489" s="59"/>
      <c r="FN489" s="59"/>
      <c r="FO489" s="59"/>
      <c r="FP489" s="59"/>
      <c r="FQ489" s="59"/>
      <c r="FR489" s="59"/>
      <c r="FS489" s="59"/>
      <c r="FT489" s="59"/>
      <c r="FU489" s="59"/>
      <c r="FV489" s="59"/>
      <c r="FW489" s="59"/>
      <c r="FX489" s="59"/>
      <c r="FY489" s="59"/>
      <c r="FZ489" s="59"/>
      <c r="GA489" s="59"/>
      <c r="GB489" s="59"/>
      <c r="GC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/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  <c r="ES490" s="59"/>
      <c r="ET490" s="59"/>
      <c r="EU490" s="59"/>
      <c r="EV490" s="59"/>
      <c r="EW490" s="59"/>
      <c r="EX490" s="59"/>
      <c r="EY490" s="59"/>
      <c r="EZ490" s="59"/>
      <c r="FA490" s="59"/>
      <c r="FB490" s="59"/>
      <c r="FC490" s="59"/>
      <c r="FD490" s="59"/>
      <c r="FE490" s="59"/>
      <c r="FF490" s="59"/>
      <c r="FG490" s="59"/>
      <c r="FH490" s="59"/>
      <c r="FI490" s="59"/>
      <c r="FJ490" s="59"/>
      <c r="FK490" s="59"/>
      <c r="FL490" s="59"/>
      <c r="FM490" s="59"/>
      <c r="FN490" s="59"/>
      <c r="FO490" s="59"/>
      <c r="FP490" s="59"/>
      <c r="FQ490" s="59"/>
      <c r="FR490" s="59"/>
      <c r="FS490" s="59"/>
      <c r="FT490" s="59"/>
      <c r="FU490" s="59"/>
      <c r="FV490" s="59"/>
      <c r="FW490" s="59"/>
      <c r="FX490" s="59"/>
      <c r="FY490" s="59"/>
      <c r="FZ490" s="59"/>
      <c r="GA490" s="59"/>
      <c r="GB490" s="59"/>
      <c r="GC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  <c r="ES491" s="59"/>
      <c r="ET491" s="59"/>
      <c r="EU491" s="59"/>
      <c r="EV491" s="59"/>
      <c r="EW491" s="59"/>
      <c r="EX491" s="59"/>
      <c r="EY491" s="59"/>
      <c r="EZ491" s="59"/>
      <c r="FA491" s="59"/>
      <c r="FB491" s="59"/>
      <c r="FC491" s="59"/>
      <c r="FD491" s="59"/>
      <c r="FE491" s="59"/>
      <c r="FF491" s="59"/>
      <c r="FG491" s="59"/>
      <c r="FH491" s="59"/>
      <c r="FI491" s="59"/>
      <c r="FJ491" s="59"/>
      <c r="FK491" s="59"/>
      <c r="FL491" s="59"/>
      <c r="FM491" s="59"/>
      <c r="FN491" s="59"/>
      <c r="FO491" s="59"/>
      <c r="FP491" s="59"/>
      <c r="FQ491" s="59"/>
      <c r="FR491" s="59"/>
      <c r="FS491" s="59"/>
      <c r="FT491" s="59"/>
      <c r="FU491" s="59"/>
      <c r="FV491" s="59"/>
      <c r="FW491" s="59"/>
      <c r="FX491" s="59"/>
      <c r="FY491" s="59"/>
      <c r="FZ491" s="59"/>
      <c r="GA491" s="59"/>
      <c r="GB491" s="59"/>
      <c r="GC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  <c r="ES492" s="59"/>
      <c r="ET492" s="59"/>
      <c r="EU492" s="59"/>
      <c r="EV492" s="59"/>
      <c r="EW492" s="59"/>
      <c r="EX492" s="59"/>
      <c r="EY492" s="59"/>
      <c r="EZ492" s="59"/>
      <c r="FA492" s="59"/>
      <c r="FB492" s="59"/>
      <c r="FC492" s="59"/>
      <c r="FD492" s="59"/>
      <c r="FE492" s="59"/>
      <c r="FF492" s="59"/>
      <c r="FG492" s="59"/>
      <c r="FH492" s="59"/>
      <c r="FI492" s="59"/>
      <c r="FJ492" s="59"/>
      <c r="FK492" s="59"/>
      <c r="FL492" s="59"/>
      <c r="FM492" s="59"/>
      <c r="FN492" s="59"/>
      <c r="FO492" s="59"/>
      <c r="FP492" s="59"/>
      <c r="FQ492" s="59"/>
      <c r="FR492" s="59"/>
      <c r="FS492" s="59"/>
      <c r="FT492" s="59"/>
      <c r="FU492" s="59"/>
      <c r="FV492" s="59"/>
      <c r="FW492" s="59"/>
      <c r="FX492" s="59"/>
      <c r="FY492" s="59"/>
      <c r="FZ492" s="59"/>
      <c r="GA492" s="59"/>
      <c r="GB492" s="59"/>
      <c r="GC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  <c r="ES493" s="59"/>
      <c r="ET493" s="59"/>
      <c r="EU493" s="59"/>
      <c r="EV493" s="59"/>
      <c r="EW493" s="59"/>
      <c r="EX493" s="59"/>
      <c r="EY493" s="59"/>
      <c r="EZ493" s="59"/>
      <c r="FA493" s="59"/>
      <c r="FB493" s="59"/>
      <c r="FC493" s="59"/>
      <c r="FD493" s="59"/>
      <c r="FE493" s="59"/>
      <c r="FF493" s="59"/>
      <c r="FG493" s="59"/>
      <c r="FH493" s="59"/>
      <c r="FI493" s="59"/>
      <c r="FJ493" s="59"/>
      <c r="FK493" s="59"/>
      <c r="FL493" s="59"/>
      <c r="FM493" s="59"/>
      <c r="FN493" s="59"/>
      <c r="FO493" s="59"/>
      <c r="FP493" s="59"/>
      <c r="FQ493" s="59"/>
      <c r="FR493" s="59"/>
      <c r="FS493" s="59"/>
      <c r="FT493" s="59"/>
      <c r="FU493" s="59"/>
      <c r="FV493" s="59"/>
      <c r="FW493" s="59"/>
      <c r="FX493" s="59"/>
      <c r="FY493" s="59"/>
      <c r="FZ493" s="59"/>
      <c r="GA493" s="59"/>
      <c r="GB493" s="59"/>
      <c r="GC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  <c r="ES494" s="59"/>
      <c r="ET494" s="59"/>
      <c r="EU494" s="59"/>
      <c r="EV494" s="59"/>
      <c r="EW494" s="59"/>
      <c r="EX494" s="59"/>
      <c r="EY494" s="59"/>
      <c r="EZ494" s="59"/>
      <c r="FA494" s="59"/>
      <c r="FB494" s="59"/>
      <c r="FC494" s="59"/>
      <c r="FD494" s="59"/>
      <c r="FE494" s="59"/>
      <c r="FF494" s="59"/>
      <c r="FG494" s="59"/>
      <c r="FH494" s="59"/>
      <c r="FI494" s="59"/>
      <c r="FJ494" s="59"/>
      <c r="FK494" s="59"/>
      <c r="FL494" s="59"/>
      <c r="FM494" s="59"/>
      <c r="FN494" s="59"/>
      <c r="FO494" s="59"/>
      <c r="FP494" s="59"/>
      <c r="FQ494" s="59"/>
      <c r="FR494" s="59"/>
      <c r="FS494" s="59"/>
      <c r="FT494" s="59"/>
      <c r="FU494" s="59"/>
      <c r="FV494" s="59"/>
      <c r="FW494" s="59"/>
      <c r="FX494" s="59"/>
      <c r="FY494" s="59"/>
      <c r="FZ494" s="59"/>
      <c r="GA494" s="59"/>
      <c r="GB494" s="59"/>
      <c r="GC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  <c r="ES495" s="59"/>
      <c r="ET495" s="59"/>
      <c r="EU495" s="59"/>
      <c r="EV495" s="59"/>
      <c r="EW495" s="59"/>
      <c r="EX495" s="59"/>
      <c r="EY495" s="59"/>
      <c r="EZ495" s="59"/>
      <c r="FA495" s="59"/>
      <c r="FB495" s="59"/>
      <c r="FC495" s="59"/>
      <c r="FD495" s="59"/>
      <c r="FE495" s="59"/>
      <c r="FF495" s="59"/>
      <c r="FG495" s="59"/>
      <c r="FH495" s="59"/>
      <c r="FI495" s="59"/>
      <c r="FJ495" s="59"/>
      <c r="FK495" s="59"/>
      <c r="FL495" s="59"/>
      <c r="FM495" s="59"/>
      <c r="FN495" s="59"/>
      <c r="FO495" s="59"/>
      <c r="FP495" s="59"/>
      <c r="FQ495" s="59"/>
      <c r="FR495" s="59"/>
      <c r="FS495" s="59"/>
      <c r="FT495" s="59"/>
      <c r="FU495" s="59"/>
      <c r="FV495" s="59"/>
      <c r="FW495" s="59"/>
      <c r="FX495" s="59"/>
      <c r="FY495" s="59"/>
      <c r="FZ495" s="59"/>
      <c r="GA495" s="59"/>
      <c r="GB495" s="59"/>
      <c r="GC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/>
      <c r="DQ496" s="59"/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  <c r="ES496" s="59"/>
      <c r="ET496" s="59"/>
      <c r="EU496" s="59"/>
      <c r="EV496" s="59"/>
      <c r="EW496" s="59"/>
      <c r="EX496" s="59"/>
      <c r="EY496" s="59"/>
      <c r="EZ496" s="59"/>
      <c r="FA496" s="59"/>
      <c r="FB496" s="59"/>
      <c r="FC496" s="59"/>
      <c r="FD496" s="59"/>
      <c r="FE496" s="59"/>
      <c r="FF496" s="59"/>
      <c r="FG496" s="59"/>
      <c r="FH496" s="59"/>
      <c r="FI496" s="59"/>
      <c r="FJ496" s="59"/>
      <c r="FK496" s="59"/>
      <c r="FL496" s="59"/>
      <c r="FM496" s="59"/>
      <c r="FN496" s="59"/>
      <c r="FO496" s="59"/>
      <c r="FP496" s="59"/>
      <c r="FQ496" s="59"/>
      <c r="FR496" s="59"/>
      <c r="FS496" s="59"/>
      <c r="FT496" s="59"/>
      <c r="FU496" s="59"/>
      <c r="FV496" s="59"/>
      <c r="FW496" s="59"/>
      <c r="FX496" s="59"/>
      <c r="FY496" s="59"/>
      <c r="FZ496" s="59"/>
      <c r="GA496" s="59"/>
      <c r="GB496" s="59"/>
      <c r="GC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/>
      <c r="DQ497" s="59"/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  <c r="ES497" s="59"/>
      <c r="ET497" s="59"/>
      <c r="EU497" s="59"/>
      <c r="EV497" s="59"/>
      <c r="EW497" s="59"/>
      <c r="EX497" s="59"/>
      <c r="EY497" s="59"/>
      <c r="EZ497" s="59"/>
      <c r="FA497" s="59"/>
      <c r="FB497" s="59"/>
      <c r="FC497" s="59"/>
      <c r="FD497" s="59"/>
      <c r="FE497" s="59"/>
      <c r="FF497" s="59"/>
      <c r="FG497" s="59"/>
      <c r="FH497" s="59"/>
      <c r="FI497" s="59"/>
      <c r="FJ497" s="59"/>
      <c r="FK497" s="59"/>
      <c r="FL497" s="59"/>
      <c r="FM497" s="59"/>
      <c r="FN497" s="59"/>
      <c r="FO497" s="59"/>
      <c r="FP497" s="59"/>
      <c r="FQ497" s="59"/>
      <c r="FR497" s="59"/>
      <c r="FS497" s="59"/>
      <c r="FT497" s="59"/>
      <c r="FU497" s="59"/>
      <c r="FV497" s="59"/>
      <c r="FW497" s="59"/>
      <c r="FX497" s="59"/>
      <c r="FY497" s="59"/>
      <c r="FZ497" s="59"/>
      <c r="GA497" s="59"/>
      <c r="GB497" s="59"/>
      <c r="GC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/>
      <c r="DQ498" s="59"/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  <c r="ES498" s="59"/>
      <c r="ET498" s="59"/>
      <c r="EU498" s="59"/>
      <c r="EV498" s="59"/>
      <c r="EW498" s="59"/>
      <c r="EX498" s="59"/>
      <c r="EY498" s="59"/>
      <c r="EZ498" s="59"/>
      <c r="FA498" s="59"/>
      <c r="FB498" s="59"/>
      <c r="FC498" s="59"/>
      <c r="FD498" s="59"/>
      <c r="FE498" s="59"/>
      <c r="FF498" s="59"/>
      <c r="FG498" s="59"/>
      <c r="FH498" s="59"/>
      <c r="FI498" s="59"/>
      <c r="FJ498" s="59"/>
      <c r="FK498" s="59"/>
      <c r="FL498" s="59"/>
      <c r="FM498" s="59"/>
      <c r="FN498" s="59"/>
      <c r="FO498" s="59"/>
      <c r="FP498" s="59"/>
      <c r="FQ498" s="59"/>
      <c r="FR498" s="59"/>
      <c r="FS498" s="59"/>
      <c r="FT498" s="59"/>
      <c r="FU498" s="59"/>
      <c r="FV498" s="59"/>
      <c r="FW498" s="59"/>
      <c r="FX498" s="59"/>
      <c r="FY498" s="59"/>
      <c r="FZ498" s="59"/>
      <c r="GA498" s="59"/>
      <c r="GB498" s="59"/>
      <c r="GC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/>
      <c r="CX499" s="59"/>
      <c r="CY499" s="59"/>
      <c r="CZ499" s="59"/>
      <c r="DA499" s="59"/>
      <c r="DB499" s="59"/>
      <c r="DC499" s="59"/>
      <c r="DD499" s="59"/>
      <c r="DE499" s="59"/>
      <c r="DF499" s="59"/>
      <c r="DG499" s="59"/>
      <c r="DH499" s="59"/>
      <c r="DI499" s="59"/>
      <c r="DJ499" s="59"/>
      <c r="DK499" s="59"/>
      <c r="DL499" s="59"/>
      <c r="DM499" s="59"/>
      <c r="DN499" s="59"/>
      <c r="DO499" s="59"/>
      <c r="DP499" s="59"/>
      <c r="DQ499" s="59"/>
      <c r="DR499" s="59"/>
      <c r="DS499" s="59"/>
      <c r="DT499" s="59"/>
      <c r="DU499" s="59"/>
      <c r="DV499" s="59"/>
      <c r="DW499" s="59"/>
      <c r="DX499" s="59"/>
      <c r="DY499" s="59"/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  <c r="ES499" s="59"/>
      <c r="ET499" s="59"/>
      <c r="EU499" s="59"/>
      <c r="EV499" s="59"/>
      <c r="EW499" s="59"/>
      <c r="EX499" s="59"/>
      <c r="EY499" s="59"/>
      <c r="EZ499" s="59"/>
      <c r="FA499" s="59"/>
      <c r="FB499" s="59"/>
      <c r="FC499" s="59"/>
      <c r="FD499" s="59"/>
      <c r="FE499" s="59"/>
      <c r="FF499" s="59"/>
      <c r="FG499" s="59"/>
      <c r="FH499" s="59"/>
      <c r="FI499" s="59"/>
      <c r="FJ499" s="59"/>
      <c r="FK499" s="59"/>
      <c r="FL499" s="59"/>
      <c r="FM499" s="59"/>
      <c r="FN499" s="59"/>
      <c r="FO499" s="59"/>
      <c r="FP499" s="59"/>
      <c r="FQ499" s="59"/>
      <c r="FR499" s="59"/>
      <c r="FS499" s="59"/>
      <c r="FT499" s="59"/>
      <c r="FU499" s="59"/>
      <c r="FV499" s="59"/>
      <c r="FW499" s="59"/>
      <c r="FX499" s="59"/>
      <c r="FY499" s="59"/>
      <c r="FZ499" s="59"/>
      <c r="GA499" s="59"/>
      <c r="GB499" s="59"/>
      <c r="GC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/>
      <c r="CX500" s="59"/>
      <c r="CY500" s="59"/>
      <c r="CZ500" s="59"/>
      <c r="DA500" s="59"/>
      <c r="DB500" s="59"/>
      <c r="DC500" s="59"/>
      <c r="DD500" s="59"/>
      <c r="DE500" s="59"/>
      <c r="DF500" s="59"/>
      <c r="DG500" s="59"/>
      <c r="DH500" s="59"/>
      <c r="DI500" s="59"/>
      <c r="DJ500" s="59"/>
      <c r="DK500" s="59"/>
      <c r="DL500" s="59"/>
      <c r="DM500" s="59"/>
      <c r="DN500" s="59"/>
      <c r="DO500" s="59"/>
      <c r="DP500" s="59"/>
      <c r="DQ500" s="59"/>
      <c r="DR500" s="59"/>
      <c r="DS500" s="59"/>
      <c r="DT500" s="59"/>
      <c r="DU500" s="59"/>
      <c r="DV500" s="59"/>
      <c r="DW500" s="59"/>
      <c r="DX500" s="59"/>
      <c r="DY500" s="59"/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  <c r="ES500" s="59"/>
      <c r="ET500" s="59"/>
      <c r="EU500" s="59"/>
      <c r="EV500" s="59"/>
      <c r="EW500" s="59"/>
      <c r="EX500" s="59"/>
      <c r="EY500" s="59"/>
      <c r="EZ500" s="59"/>
      <c r="FA500" s="59"/>
      <c r="FB500" s="59"/>
      <c r="FC500" s="59"/>
      <c r="FD500" s="59"/>
      <c r="FE500" s="59"/>
      <c r="FF500" s="59"/>
      <c r="FG500" s="59"/>
      <c r="FH500" s="59"/>
      <c r="FI500" s="59"/>
      <c r="FJ500" s="59"/>
      <c r="FK500" s="59"/>
      <c r="FL500" s="59"/>
      <c r="FM500" s="59"/>
      <c r="FN500" s="59"/>
      <c r="FO500" s="59"/>
      <c r="FP500" s="59"/>
      <c r="FQ500" s="59"/>
      <c r="FR500" s="59"/>
      <c r="FS500" s="59"/>
      <c r="FT500" s="59"/>
      <c r="FU500" s="59"/>
      <c r="FV500" s="59"/>
      <c r="FW500" s="59"/>
      <c r="FX500" s="59"/>
      <c r="FY500" s="59"/>
      <c r="FZ500" s="59"/>
      <c r="GA500" s="59"/>
      <c r="GB500" s="59"/>
      <c r="GC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  <c r="CP501" s="59"/>
      <c r="CQ501" s="59"/>
      <c r="CR501" s="59"/>
      <c r="CS501" s="59"/>
      <c r="CT501" s="59"/>
      <c r="CU501" s="59"/>
      <c r="CV501" s="59"/>
      <c r="CW501" s="59"/>
      <c r="CX501" s="59"/>
      <c r="CY501" s="59"/>
      <c r="CZ501" s="59"/>
      <c r="DA501" s="59"/>
      <c r="DB501" s="59"/>
      <c r="DC501" s="59"/>
      <c r="DD501" s="59"/>
      <c r="DE501" s="59"/>
      <c r="DF501" s="59"/>
      <c r="DG501" s="59"/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/>
      <c r="ES501" s="59"/>
      <c r="ET501" s="59"/>
      <c r="EU501" s="59"/>
      <c r="EV501" s="59"/>
      <c r="EW501" s="59"/>
      <c r="EX501" s="59"/>
      <c r="EY501" s="59"/>
      <c r="EZ501" s="59"/>
      <c r="FA501" s="59"/>
      <c r="FB501" s="59"/>
      <c r="FC501" s="59"/>
      <c r="FD501" s="59"/>
      <c r="FE501" s="59"/>
      <c r="FF501" s="59"/>
      <c r="FG501" s="59"/>
      <c r="FH501" s="59"/>
      <c r="FI501" s="59"/>
      <c r="FJ501" s="59"/>
      <c r="FK501" s="59"/>
      <c r="FL501" s="59"/>
      <c r="FM501" s="59"/>
      <c r="FN501" s="59"/>
      <c r="FO501" s="59"/>
      <c r="FP501" s="59"/>
      <c r="FQ501" s="59"/>
      <c r="FR501" s="59"/>
      <c r="FS501" s="59"/>
      <c r="FT501" s="59"/>
      <c r="FU501" s="59"/>
      <c r="FV501" s="59"/>
      <c r="FW501" s="59"/>
      <c r="FX501" s="59"/>
      <c r="FY501" s="59"/>
      <c r="FZ501" s="59"/>
      <c r="GA501" s="59"/>
      <c r="GB501" s="59"/>
      <c r="GC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  <c r="CP502" s="59"/>
      <c r="CQ502" s="59"/>
      <c r="CR502" s="59"/>
      <c r="CS502" s="59"/>
      <c r="CT502" s="59"/>
      <c r="CU502" s="59"/>
      <c r="CV502" s="59"/>
      <c r="CW502" s="59"/>
      <c r="CX502" s="59"/>
      <c r="CY502" s="59"/>
      <c r="CZ502" s="59"/>
      <c r="DA502" s="59"/>
      <c r="DB502" s="59"/>
      <c r="DC502" s="59"/>
      <c r="DD502" s="59"/>
      <c r="DE502" s="59"/>
      <c r="DF502" s="59"/>
      <c r="DG502" s="59"/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/>
      <c r="ES502" s="59"/>
      <c r="ET502" s="59"/>
      <c r="EU502" s="59"/>
      <c r="EV502" s="59"/>
      <c r="EW502" s="59"/>
      <c r="EX502" s="59"/>
      <c r="EY502" s="59"/>
      <c r="EZ502" s="59"/>
      <c r="FA502" s="59"/>
      <c r="FB502" s="59"/>
      <c r="FC502" s="59"/>
      <c r="FD502" s="59"/>
      <c r="FE502" s="59"/>
      <c r="FF502" s="59"/>
      <c r="FG502" s="59"/>
      <c r="FH502" s="59"/>
      <c r="FI502" s="59"/>
      <c r="FJ502" s="59"/>
      <c r="FK502" s="59"/>
      <c r="FL502" s="59"/>
      <c r="FM502" s="59"/>
      <c r="FN502" s="59"/>
      <c r="FO502" s="59"/>
      <c r="FP502" s="59"/>
      <c r="FQ502" s="59"/>
      <c r="FR502" s="59"/>
      <c r="FS502" s="59"/>
      <c r="FT502" s="59"/>
      <c r="FU502" s="59"/>
      <c r="FV502" s="59"/>
      <c r="FW502" s="59"/>
      <c r="FX502" s="59"/>
      <c r="FY502" s="59"/>
      <c r="FZ502" s="59"/>
      <c r="GA502" s="59"/>
      <c r="GB502" s="59"/>
      <c r="GC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  <c r="CP503" s="59"/>
      <c r="CQ503" s="59"/>
      <c r="CR503" s="59"/>
      <c r="CS503" s="59"/>
      <c r="CT503" s="59"/>
      <c r="CU503" s="59"/>
      <c r="CV503" s="59"/>
      <c r="CW503" s="59"/>
      <c r="CX503" s="59"/>
      <c r="CY503" s="59"/>
      <c r="CZ503" s="59"/>
      <c r="DA503" s="59"/>
      <c r="DB503" s="59"/>
      <c r="DC503" s="59"/>
      <c r="DD503" s="59"/>
      <c r="DE503" s="59"/>
      <c r="DF503" s="59"/>
      <c r="DG503" s="59"/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/>
      <c r="ES503" s="59"/>
      <c r="ET503" s="59"/>
      <c r="EU503" s="59"/>
      <c r="EV503" s="59"/>
      <c r="EW503" s="59"/>
      <c r="EX503" s="59"/>
      <c r="EY503" s="59"/>
      <c r="EZ503" s="59"/>
      <c r="FA503" s="59"/>
      <c r="FB503" s="59"/>
      <c r="FC503" s="59"/>
      <c r="FD503" s="59"/>
      <c r="FE503" s="59"/>
      <c r="FF503" s="59"/>
      <c r="FG503" s="59"/>
      <c r="FH503" s="59"/>
      <c r="FI503" s="59"/>
      <c r="FJ503" s="59"/>
      <c r="FK503" s="59"/>
      <c r="FL503" s="59"/>
      <c r="FM503" s="59"/>
      <c r="FN503" s="59"/>
      <c r="FO503" s="59"/>
      <c r="FP503" s="59"/>
      <c r="FQ503" s="59"/>
      <c r="FR503" s="59"/>
      <c r="FS503" s="59"/>
      <c r="FT503" s="59"/>
      <c r="FU503" s="59"/>
      <c r="FV503" s="59"/>
      <c r="FW503" s="59"/>
      <c r="FX503" s="59"/>
      <c r="FY503" s="59"/>
      <c r="FZ503" s="59"/>
      <c r="GA503" s="59"/>
      <c r="GB503" s="59"/>
      <c r="GC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  <c r="CP504" s="59"/>
      <c r="CQ504" s="59"/>
      <c r="CR504" s="59"/>
      <c r="CS504" s="59"/>
      <c r="CT504" s="59"/>
      <c r="CU504" s="59"/>
      <c r="CV504" s="59"/>
      <c r="CW504" s="59"/>
      <c r="CX504" s="59"/>
      <c r="CY504" s="59"/>
      <c r="CZ504" s="59"/>
      <c r="DA504" s="59"/>
      <c r="DB504" s="59"/>
      <c r="DC504" s="59"/>
      <c r="DD504" s="59"/>
      <c r="DE504" s="59"/>
      <c r="DF504" s="59"/>
      <c r="DG504" s="59"/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/>
      <c r="ES504" s="59"/>
      <c r="ET504" s="59"/>
      <c r="EU504" s="59"/>
      <c r="EV504" s="59"/>
      <c r="EW504" s="59"/>
      <c r="EX504" s="59"/>
      <c r="EY504" s="59"/>
      <c r="EZ504" s="59"/>
      <c r="FA504" s="59"/>
      <c r="FB504" s="59"/>
      <c r="FC504" s="59"/>
      <c r="FD504" s="59"/>
      <c r="FE504" s="59"/>
      <c r="FF504" s="59"/>
      <c r="FG504" s="59"/>
      <c r="FH504" s="59"/>
      <c r="FI504" s="59"/>
      <c r="FJ504" s="59"/>
      <c r="FK504" s="59"/>
      <c r="FL504" s="59"/>
      <c r="FM504" s="59"/>
      <c r="FN504" s="59"/>
      <c r="FO504" s="59"/>
      <c r="FP504" s="59"/>
      <c r="FQ504" s="59"/>
      <c r="FR504" s="59"/>
      <c r="FS504" s="59"/>
      <c r="FT504" s="59"/>
      <c r="FU504" s="59"/>
      <c r="FV504" s="59"/>
      <c r="FW504" s="59"/>
      <c r="FX504" s="59"/>
      <c r="FY504" s="59"/>
      <c r="FZ504" s="59"/>
      <c r="GA504" s="59"/>
      <c r="GB504" s="59"/>
      <c r="GC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  <c r="CP505" s="59"/>
      <c r="CQ505" s="59"/>
      <c r="CR505" s="59"/>
      <c r="CS505" s="59"/>
      <c r="CT505" s="59"/>
      <c r="CU505" s="59"/>
      <c r="CV505" s="59"/>
      <c r="CW505" s="59"/>
      <c r="CX505" s="59"/>
      <c r="CY505" s="59"/>
      <c r="CZ505" s="59"/>
      <c r="DA505" s="59"/>
      <c r="DB505" s="59"/>
      <c r="DC505" s="59"/>
      <c r="DD505" s="59"/>
      <c r="DE505" s="59"/>
      <c r="DF505" s="59"/>
      <c r="DG505" s="59"/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/>
      <c r="ES505" s="59"/>
      <c r="ET505" s="59"/>
      <c r="EU505" s="59"/>
      <c r="EV505" s="59"/>
      <c r="EW505" s="59"/>
      <c r="EX505" s="59"/>
      <c r="EY505" s="59"/>
      <c r="EZ505" s="59"/>
      <c r="FA505" s="59"/>
      <c r="FB505" s="59"/>
      <c r="FC505" s="59"/>
      <c r="FD505" s="59"/>
      <c r="FE505" s="59"/>
      <c r="FF505" s="59"/>
      <c r="FG505" s="59"/>
      <c r="FH505" s="59"/>
      <c r="FI505" s="59"/>
      <c r="FJ505" s="59"/>
      <c r="FK505" s="59"/>
      <c r="FL505" s="59"/>
      <c r="FM505" s="59"/>
      <c r="FN505" s="59"/>
      <c r="FO505" s="59"/>
      <c r="FP505" s="59"/>
      <c r="FQ505" s="59"/>
      <c r="FR505" s="59"/>
      <c r="FS505" s="59"/>
      <c r="FT505" s="59"/>
      <c r="FU505" s="59"/>
      <c r="FV505" s="59"/>
      <c r="FW505" s="59"/>
      <c r="FX505" s="59"/>
      <c r="FY505" s="59"/>
      <c r="FZ505" s="59"/>
      <c r="GA505" s="59"/>
      <c r="GB505" s="59"/>
      <c r="GC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  <c r="CP506" s="59"/>
      <c r="CQ506" s="59"/>
      <c r="CR506" s="59"/>
      <c r="CS506" s="59"/>
      <c r="CT506" s="59"/>
      <c r="CU506" s="59"/>
      <c r="CV506" s="59"/>
      <c r="CW506" s="59"/>
      <c r="CX506" s="59"/>
      <c r="CY506" s="59"/>
      <c r="CZ506" s="59"/>
      <c r="DA506" s="59"/>
      <c r="DB506" s="59"/>
      <c r="DC506" s="59"/>
      <c r="DD506" s="59"/>
      <c r="DE506" s="59"/>
      <c r="DF506" s="59"/>
      <c r="DG506" s="59"/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/>
      <c r="ES506" s="59"/>
      <c r="ET506" s="59"/>
      <c r="EU506" s="59"/>
      <c r="EV506" s="59"/>
      <c r="EW506" s="59"/>
      <c r="EX506" s="59"/>
      <c r="EY506" s="59"/>
      <c r="EZ506" s="59"/>
      <c r="FA506" s="59"/>
      <c r="FB506" s="59"/>
      <c r="FC506" s="59"/>
      <c r="FD506" s="59"/>
      <c r="FE506" s="59"/>
      <c r="FF506" s="59"/>
      <c r="FG506" s="59"/>
      <c r="FH506" s="59"/>
      <c r="FI506" s="59"/>
      <c r="FJ506" s="59"/>
      <c r="FK506" s="59"/>
      <c r="FL506" s="59"/>
      <c r="FM506" s="59"/>
      <c r="FN506" s="59"/>
      <c r="FO506" s="59"/>
      <c r="FP506" s="59"/>
      <c r="FQ506" s="59"/>
      <c r="FR506" s="59"/>
      <c r="FS506" s="59"/>
      <c r="FT506" s="59"/>
      <c r="FU506" s="59"/>
      <c r="FV506" s="59"/>
      <c r="FW506" s="59"/>
      <c r="FX506" s="59"/>
      <c r="FY506" s="59"/>
      <c r="FZ506" s="59"/>
      <c r="GA506" s="59"/>
      <c r="GB506" s="59"/>
      <c r="GC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  <c r="CP507" s="59"/>
      <c r="CQ507" s="59"/>
      <c r="CR507" s="59"/>
      <c r="CS507" s="59"/>
      <c r="CT507" s="59"/>
      <c r="CU507" s="59"/>
      <c r="CV507" s="59"/>
      <c r="CW507" s="59"/>
      <c r="CX507" s="59"/>
      <c r="CY507" s="59"/>
      <c r="CZ507" s="59"/>
      <c r="DA507" s="59"/>
      <c r="DB507" s="59"/>
      <c r="DC507" s="59"/>
      <c r="DD507" s="59"/>
      <c r="DE507" s="59"/>
      <c r="DF507" s="59"/>
      <c r="DG507" s="59"/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/>
      <c r="ES507" s="59"/>
      <c r="ET507" s="59"/>
      <c r="EU507" s="59"/>
      <c r="EV507" s="59"/>
      <c r="EW507" s="59"/>
      <c r="EX507" s="59"/>
      <c r="EY507" s="59"/>
      <c r="EZ507" s="59"/>
      <c r="FA507" s="59"/>
      <c r="FB507" s="59"/>
      <c r="FC507" s="59"/>
      <c r="FD507" s="59"/>
      <c r="FE507" s="59"/>
      <c r="FF507" s="59"/>
      <c r="FG507" s="59"/>
      <c r="FH507" s="59"/>
      <c r="FI507" s="59"/>
      <c r="FJ507" s="59"/>
      <c r="FK507" s="59"/>
      <c r="FL507" s="59"/>
      <c r="FM507" s="59"/>
      <c r="FN507" s="59"/>
      <c r="FO507" s="59"/>
      <c r="FP507" s="59"/>
      <c r="FQ507" s="59"/>
      <c r="FR507" s="59"/>
      <c r="FS507" s="59"/>
      <c r="FT507" s="59"/>
      <c r="FU507" s="59"/>
      <c r="FV507" s="59"/>
      <c r="FW507" s="59"/>
      <c r="FX507" s="59"/>
      <c r="FY507" s="59"/>
      <c r="FZ507" s="59"/>
      <c r="GA507" s="59"/>
      <c r="GB507" s="59"/>
      <c r="GC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/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/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/>
      <c r="EM508" s="59"/>
      <c r="EN508" s="59"/>
      <c r="EO508" s="59"/>
      <c r="EP508" s="59"/>
      <c r="EQ508" s="59"/>
      <c r="ER508" s="59"/>
      <c r="ES508" s="59"/>
      <c r="ET508" s="59"/>
      <c r="EU508" s="59"/>
      <c r="EV508" s="59"/>
      <c r="EW508" s="59"/>
      <c r="EX508" s="59"/>
      <c r="EY508" s="59"/>
      <c r="EZ508" s="59"/>
      <c r="FA508" s="59"/>
      <c r="FB508" s="59"/>
      <c r="FC508" s="59"/>
      <c r="FD508" s="59"/>
      <c r="FE508" s="59"/>
      <c r="FF508" s="59"/>
      <c r="FG508" s="59"/>
      <c r="FH508" s="59"/>
      <c r="FI508" s="59"/>
      <c r="FJ508" s="59"/>
      <c r="FK508" s="59"/>
      <c r="FL508" s="59"/>
      <c r="FM508" s="59"/>
      <c r="FN508" s="59"/>
      <c r="FO508" s="59"/>
      <c r="FP508" s="59"/>
      <c r="FQ508" s="59"/>
      <c r="FR508" s="59"/>
      <c r="FS508" s="59"/>
      <c r="FT508" s="59"/>
      <c r="FU508" s="59"/>
      <c r="FV508" s="59"/>
      <c r="FW508" s="59"/>
      <c r="FX508" s="59"/>
      <c r="FY508" s="59"/>
      <c r="FZ508" s="59"/>
      <c r="GA508" s="59"/>
      <c r="GB508" s="59"/>
      <c r="GC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/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/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/>
      <c r="EM509" s="59"/>
      <c r="EN509" s="59"/>
      <c r="EO509" s="59"/>
      <c r="EP509" s="59"/>
      <c r="EQ509" s="59"/>
      <c r="ER509" s="59"/>
      <c r="ES509" s="59"/>
      <c r="ET509" s="59"/>
      <c r="EU509" s="59"/>
      <c r="EV509" s="59"/>
      <c r="EW509" s="59"/>
      <c r="EX509" s="59"/>
      <c r="EY509" s="59"/>
      <c r="EZ509" s="59"/>
      <c r="FA509" s="59"/>
      <c r="FB509" s="59"/>
      <c r="FC509" s="59"/>
      <c r="FD509" s="59"/>
      <c r="FE509" s="59"/>
      <c r="FF509" s="59"/>
      <c r="FG509" s="59"/>
      <c r="FH509" s="59"/>
      <c r="FI509" s="59"/>
      <c r="FJ509" s="59"/>
      <c r="FK509" s="59"/>
      <c r="FL509" s="59"/>
      <c r="FM509" s="59"/>
      <c r="FN509" s="59"/>
      <c r="FO509" s="59"/>
      <c r="FP509" s="59"/>
      <c r="FQ509" s="59"/>
      <c r="FR509" s="59"/>
      <c r="FS509" s="59"/>
      <c r="FT509" s="59"/>
      <c r="FU509" s="59"/>
      <c r="FV509" s="59"/>
      <c r="FW509" s="59"/>
      <c r="FX509" s="59"/>
      <c r="FY509" s="59"/>
      <c r="FZ509" s="59"/>
      <c r="GA509" s="59"/>
      <c r="GB509" s="59"/>
      <c r="GC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/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/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/>
      <c r="EM510" s="59"/>
      <c r="EN510" s="59"/>
      <c r="EO510" s="59"/>
      <c r="EP510" s="59"/>
      <c r="EQ510" s="59"/>
      <c r="ER510" s="59"/>
      <c r="ES510" s="59"/>
      <c r="ET510" s="59"/>
      <c r="EU510" s="59"/>
      <c r="EV510" s="59"/>
      <c r="EW510" s="59"/>
      <c r="EX510" s="59"/>
      <c r="EY510" s="59"/>
      <c r="EZ510" s="59"/>
      <c r="FA510" s="59"/>
      <c r="FB510" s="59"/>
      <c r="FC510" s="59"/>
      <c r="FD510" s="59"/>
      <c r="FE510" s="59"/>
      <c r="FF510" s="59"/>
      <c r="FG510" s="59"/>
      <c r="FH510" s="59"/>
      <c r="FI510" s="59"/>
      <c r="FJ510" s="59"/>
      <c r="FK510" s="59"/>
      <c r="FL510" s="59"/>
      <c r="FM510" s="59"/>
      <c r="FN510" s="59"/>
      <c r="FO510" s="59"/>
      <c r="FP510" s="59"/>
      <c r="FQ510" s="59"/>
      <c r="FR510" s="59"/>
      <c r="FS510" s="59"/>
      <c r="FT510" s="59"/>
      <c r="FU510" s="59"/>
      <c r="FV510" s="59"/>
      <c r="FW510" s="59"/>
      <c r="FX510" s="59"/>
      <c r="FY510" s="59"/>
      <c r="FZ510" s="59"/>
      <c r="GA510" s="59"/>
      <c r="GB510" s="59"/>
      <c r="GC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/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/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/>
      <c r="EM511" s="59"/>
      <c r="EN511" s="59"/>
      <c r="EO511" s="59"/>
      <c r="EP511" s="59"/>
      <c r="EQ511" s="59"/>
      <c r="ER511" s="59"/>
      <c r="ES511" s="59"/>
      <c r="ET511" s="59"/>
      <c r="EU511" s="59"/>
      <c r="EV511" s="59"/>
      <c r="EW511" s="59"/>
      <c r="EX511" s="59"/>
      <c r="EY511" s="59"/>
      <c r="EZ511" s="59"/>
      <c r="FA511" s="59"/>
      <c r="FB511" s="59"/>
      <c r="FC511" s="59"/>
      <c r="FD511" s="59"/>
      <c r="FE511" s="59"/>
      <c r="FF511" s="59"/>
      <c r="FG511" s="59"/>
      <c r="FH511" s="59"/>
      <c r="FI511" s="59"/>
      <c r="FJ511" s="59"/>
      <c r="FK511" s="59"/>
      <c r="FL511" s="59"/>
      <c r="FM511" s="59"/>
      <c r="FN511" s="59"/>
      <c r="FO511" s="59"/>
      <c r="FP511" s="59"/>
      <c r="FQ511" s="59"/>
      <c r="FR511" s="59"/>
      <c r="FS511" s="59"/>
      <c r="FT511" s="59"/>
      <c r="FU511" s="59"/>
      <c r="FV511" s="59"/>
      <c r="FW511" s="59"/>
      <c r="FX511" s="59"/>
      <c r="FY511" s="59"/>
      <c r="FZ511" s="59"/>
      <c r="GA511" s="59"/>
      <c r="GB511" s="59"/>
      <c r="GC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/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/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/>
      <c r="EM512" s="59"/>
      <c r="EN512" s="59"/>
      <c r="EO512" s="59"/>
      <c r="EP512" s="59"/>
      <c r="EQ512" s="59"/>
      <c r="ER512" s="59"/>
      <c r="ES512" s="59"/>
      <c r="ET512" s="59"/>
      <c r="EU512" s="59"/>
      <c r="EV512" s="59"/>
      <c r="EW512" s="59"/>
      <c r="EX512" s="59"/>
      <c r="EY512" s="59"/>
      <c r="EZ512" s="59"/>
      <c r="FA512" s="59"/>
      <c r="FB512" s="59"/>
      <c r="FC512" s="59"/>
      <c r="FD512" s="59"/>
      <c r="FE512" s="59"/>
      <c r="FF512" s="59"/>
      <c r="FG512" s="59"/>
      <c r="FH512" s="59"/>
      <c r="FI512" s="59"/>
      <c r="FJ512" s="59"/>
      <c r="FK512" s="59"/>
      <c r="FL512" s="59"/>
      <c r="FM512" s="59"/>
      <c r="FN512" s="59"/>
      <c r="FO512" s="59"/>
      <c r="FP512" s="59"/>
      <c r="FQ512" s="59"/>
      <c r="FR512" s="59"/>
      <c r="FS512" s="59"/>
      <c r="FT512" s="59"/>
      <c r="FU512" s="59"/>
      <c r="FV512" s="59"/>
      <c r="FW512" s="59"/>
      <c r="FX512" s="59"/>
      <c r="FY512" s="59"/>
      <c r="FZ512" s="59"/>
      <c r="GA512" s="59"/>
      <c r="GB512" s="59"/>
      <c r="GC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  <c r="CP513" s="59"/>
      <c r="CQ513" s="59"/>
      <c r="CR513" s="59"/>
      <c r="CS513" s="59"/>
      <c r="CT513" s="59"/>
      <c r="CU513" s="59"/>
      <c r="CV513" s="59"/>
      <c r="CW513" s="59"/>
      <c r="CX513" s="59"/>
      <c r="CY513" s="59"/>
      <c r="CZ513" s="59"/>
      <c r="DA513" s="59"/>
      <c r="DB513" s="59"/>
      <c r="DC513" s="59"/>
      <c r="DD513" s="59"/>
      <c r="DE513" s="59"/>
      <c r="DF513" s="59"/>
      <c r="DG513" s="59"/>
      <c r="DH513" s="59"/>
      <c r="DI513" s="59"/>
      <c r="DJ513" s="59"/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/>
      <c r="ES513" s="59"/>
      <c r="ET513" s="59"/>
      <c r="EU513" s="59"/>
      <c r="EV513" s="59"/>
      <c r="EW513" s="59"/>
      <c r="EX513" s="59"/>
      <c r="EY513" s="59"/>
      <c r="EZ513" s="59"/>
      <c r="FA513" s="59"/>
      <c r="FB513" s="59"/>
      <c r="FC513" s="59"/>
      <c r="FD513" s="59"/>
      <c r="FE513" s="59"/>
      <c r="FF513" s="59"/>
      <c r="FG513" s="59"/>
      <c r="FH513" s="59"/>
      <c r="FI513" s="59"/>
      <c r="FJ513" s="59"/>
      <c r="FK513" s="59"/>
      <c r="FL513" s="59"/>
      <c r="FM513" s="59"/>
      <c r="FN513" s="59"/>
      <c r="FO513" s="59"/>
      <c r="FP513" s="59"/>
      <c r="FQ513" s="59"/>
      <c r="FR513" s="59"/>
      <c r="FS513" s="59"/>
      <c r="FT513" s="59"/>
      <c r="FU513" s="59"/>
      <c r="FV513" s="59"/>
      <c r="FW513" s="59"/>
      <c r="FX513" s="59"/>
      <c r="FY513" s="59"/>
      <c r="FZ513" s="59"/>
      <c r="GA513" s="59"/>
      <c r="GB513" s="59"/>
      <c r="GC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  <c r="CP514" s="59"/>
      <c r="CQ514" s="59"/>
      <c r="CR514" s="59"/>
      <c r="CS514" s="59"/>
      <c r="CT514" s="59"/>
      <c r="CU514" s="59"/>
      <c r="CV514" s="59"/>
      <c r="CW514" s="59"/>
      <c r="CX514" s="59"/>
      <c r="CY514" s="59"/>
      <c r="CZ514" s="59"/>
      <c r="DA514" s="59"/>
      <c r="DB514" s="59"/>
      <c r="DC514" s="59"/>
      <c r="DD514" s="59"/>
      <c r="DE514" s="59"/>
      <c r="DF514" s="59"/>
      <c r="DG514" s="59"/>
      <c r="DH514" s="59"/>
      <c r="DI514" s="59"/>
      <c r="DJ514" s="59"/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/>
      <c r="ES514" s="59"/>
      <c r="ET514" s="59"/>
      <c r="EU514" s="59"/>
      <c r="EV514" s="59"/>
      <c r="EW514" s="59"/>
      <c r="EX514" s="59"/>
      <c r="EY514" s="59"/>
      <c r="EZ514" s="59"/>
      <c r="FA514" s="59"/>
      <c r="FB514" s="59"/>
      <c r="FC514" s="59"/>
      <c r="FD514" s="59"/>
      <c r="FE514" s="59"/>
      <c r="FF514" s="59"/>
      <c r="FG514" s="59"/>
      <c r="FH514" s="59"/>
      <c r="FI514" s="59"/>
      <c r="FJ514" s="59"/>
      <c r="FK514" s="59"/>
      <c r="FL514" s="59"/>
      <c r="FM514" s="59"/>
      <c r="FN514" s="59"/>
      <c r="FO514" s="59"/>
      <c r="FP514" s="59"/>
      <c r="FQ514" s="59"/>
      <c r="FR514" s="59"/>
      <c r="FS514" s="59"/>
      <c r="FT514" s="59"/>
      <c r="FU514" s="59"/>
      <c r="FV514" s="59"/>
      <c r="FW514" s="59"/>
      <c r="FX514" s="59"/>
      <c r="FY514" s="59"/>
      <c r="FZ514" s="59"/>
      <c r="GA514" s="59"/>
      <c r="GB514" s="59"/>
      <c r="GC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59"/>
      <c r="CZ515" s="59"/>
      <c r="DA515" s="59"/>
      <c r="DB515" s="59"/>
      <c r="DC515" s="59"/>
      <c r="DD515" s="59"/>
      <c r="DE515" s="59"/>
      <c r="DF515" s="59"/>
      <c r="DG515" s="59"/>
      <c r="DH515" s="59"/>
      <c r="DI515" s="59"/>
      <c r="DJ515" s="59"/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/>
      <c r="ES515" s="59"/>
      <c r="ET515" s="59"/>
      <c r="EU515" s="59"/>
      <c r="EV515" s="59"/>
      <c r="EW515" s="59"/>
      <c r="EX515" s="59"/>
      <c r="EY515" s="59"/>
      <c r="EZ515" s="59"/>
      <c r="FA515" s="59"/>
      <c r="FB515" s="59"/>
      <c r="FC515" s="59"/>
      <c r="FD515" s="59"/>
      <c r="FE515" s="59"/>
      <c r="FF515" s="59"/>
      <c r="FG515" s="59"/>
      <c r="FH515" s="59"/>
      <c r="FI515" s="59"/>
      <c r="FJ515" s="59"/>
      <c r="FK515" s="59"/>
      <c r="FL515" s="59"/>
      <c r="FM515" s="59"/>
      <c r="FN515" s="59"/>
      <c r="FO515" s="59"/>
      <c r="FP515" s="59"/>
      <c r="FQ515" s="59"/>
      <c r="FR515" s="59"/>
      <c r="FS515" s="59"/>
      <c r="FT515" s="59"/>
      <c r="FU515" s="59"/>
      <c r="FV515" s="59"/>
      <c r="FW515" s="59"/>
      <c r="FX515" s="59"/>
      <c r="FY515" s="59"/>
      <c r="FZ515" s="59"/>
      <c r="GA515" s="59"/>
      <c r="GB515" s="59"/>
      <c r="GC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/>
      <c r="CZ516" s="59"/>
      <c r="DA516" s="59"/>
      <c r="DB516" s="59"/>
      <c r="DC516" s="59"/>
      <c r="DD516" s="59"/>
      <c r="DE516" s="59"/>
      <c r="DF516" s="59"/>
      <c r="DG516" s="59"/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  <c r="ES516" s="59"/>
      <c r="ET516" s="59"/>
      <c r="EU516" s="59"/>
      <c r="EV516" s="59"/>
      <c r="EW516" s="59"/>
      <c r="EX516" s="59"/>
      <c r="EY516" s="59"/>
      <c r="EZ516" s="59"/>
      <c r="FA516" s="59"/>
      <c r="FB516" s="59"/>
      <c r="FC516" s="59"/>
      <c r="FD516" s="59"/>
      <c r="FE516" s="59"/>
      <c r="FF516" s="59"/>
      <c r="FG516" s="59"/>
      <c r="FH516" s="59"/>
      <c r="FI516" s="59"/>
      <c r="FJ516" s="59"/>
      <c r="FK516" s="59"/>
      <c r="FL516" s="59"/>
      <c r="FM516" s="59"/>
      <c r="FN516" s="59"/>
      <c r="FO516" s="59"/>
      <c r="FP516" s="59"/>
      <c r="FQ516" s="59"/>
      <c r="FR516" s="59"/>
      <c r="FS516" s="59"/>
      <c r="FT516" s="59"/>
      <c r="FU516" s="59"/>
      <c r="FV516" s="59"/>
      <c r="FW516" s="59"/>
      <c r="FX516" s="59"/>
      <c r="FY516" s="59"/>
      <c r="FZ516" s="59"/>
      <c r="GA516" s="59"/>
      <c r="GB516" s="59"/>
      <c r="GC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/>
      <c r="CZ517" s="59"/>
      <c r="DA517" s="59"/>
      <c r="DB517" s="59"/>
      <c r="DC517" s="59"/>
      <c r="DD517" s="59"/>
      <c r="DE517" s="59"/>
      <c r="DF517" s="59"/>
      <c r="DG517" s="59"/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  <c r="ES517" s="59"/>
      <c r="ET517" s="59"/>
      <c r="EU517" s="59"/>
      <c r="EV517" s="59"/>
      <c r="EW517" s="59"/>
      <c r="EX517" s="59"/>
      <c r="EY517" s="59"/>
      <c r="EZ517" s="59"/>
      <c r="FA517" s="59"/>
      <c r="FB517" s="59"/>
      <c r="FC517" s="59"/>
      <c r="FD517" s="59"/>
      <c r="FE517" s="59"/>
      <c r="FF517" s="59"/>
      <c r="FG517" s="59"/>
      <c r="FH517" s="59"/>
      <c r="FI517" s="59"/>
      <c r="FJ517" s="59"/>
      <c r="FK517" s="59"/>
      <c r="FL517" s="59"/>
      <c r="FM517" s="59"/>
      <c r="FN517" s="59"/>
      <c r="FO517" s="59"/>
      <c r="FP517" s="59"/>
      <c r="FQ517" s="59"/>
      <c r="FR517" s="59"/>
      <c r="FS517" s="59"/>
      <c r="FT517" s="59"/>
      <c r="FU517" s="59"/>
      <c r="FV517" s="59"/>
      <c r="FW517" s="59"/>
      <c r="FX517" s="59"/>
      <c r="FY517" s="59"/>
      <c r="FZ517" s="59"/>
      <c r="GA517" s="59"/>
      <c r="GB517" s="59"/>
      <c r="GC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  <c r="ES518" s="59"/>
      <c r="ET518" s="59"/>
      <c r="EU518" s="59"/>
      <c r="EV518" s="59"/>
      <c r="EW518" s="59"/>
      <c r="EX518" s="59"/>
      <c r="EY518" s="59"/>
      <c r="EZ518" s="59"/>
      <c r="FA518" s="59"/>
      <c r="FB518" s="59"/>
      <c r="FC518" s="59"/>
      <c r="FD518" s="59"/>
      <c r="FE518" s="59"/>
      <c r="FF518" s="59"/>
      <c r="FG518" s="59"/>
      <c r="FH518" s="59"/>
      <c r="FI518" s="59"/>
      <c r="FJ518" s="59"/>
      <c r="FK518" s="59"/>
      <c r="FL518" s="59"/>
      <c r="FM518" s="59"/>
      <c r="FN518" s="59"/>
      <c r="FO518" s="59"/>
      <c r="FP518" s="59"/>
      <c r="FQ518" s="59"/>
      <c r="FR518" s="59"/>
      <c r="FS518" s="59"/>
      <c r="FT518" s="59"/>
      <c r="FU518" s="59"/>
      <c r="FV518" s="59"/>
      <c r="FW518" s="59"/>
      <c r="FX518" s="59"/>
      <c r="FY518" s="59"/>
      <c r="FZ518" s="59"/>
      <c r="GA518" s="59"/>
      <c r="GB518" s="59"/>
      <c r="GC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  <c r="ES519" s="59"/>
      <c r="ET519" s="59"/>
      <c r="EU519" s="59"/>
      <c r="EV519" s="59"/>
      <c r="EW519" s="59"/>
      <c r="EX519" s="59"/>
      <c r="EY519" s="59"/>
      <c r="EZ519" s="59"/>
      <c r="FA519" s="59"/>
      <c r="FB519" s="59"/>
      <c r="FC519" s="59"/>
      <c r="FD519" s="59"/>
      <c r="FE519" s="59"/>
      <c r="FF519" s="59"/>
      <c r="FG519" s="59"/>
      <c r="FH519" s="59"/>
      <c r="FI519" s="59"/>
      <c r="FJ519" s="59"/>
      <c r="FK519" s="59"/>
      <c r="FL519" s="59"/>
      <c r="FM519" s="59"/>
      <c r="FN519" s="59"/>
      <c r="FO519" s="59"/>
      <c r="FP519" s="59"/>
      <c r="FQ519" s="59"/>
      <c r="FR519" s="59"/>
      <c r="FS519" s="59"/>
      <c r="FT519" s="59"/>
      <c r="FU519" s="59"/>
      <c r="FV519" s="59"/>
      <c r="FW519" s="59"/>
      <c r="FX519" s="59"/>
      <c r="FY519" s="59"/>
      <c r="FZ519" s="59"/>
      <c r="GA519" s="59"/>
      <c r="GB519" s="59"/>
      <c r="GC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  <c r="ES520" s="59"/>
      <c r="ET520" s="59"/>
      <c r="EU520" s="59"/>
      <c r="EV520" s="59"/>
      <c r="EW520" s="59"/>
      <c r="EX520" s="59"/>
      <c r="EY520" s="59"/>
      <c r="EZ520" s="59"/>
      <c r="FA520" s="59"/>
      <c r="FB520" s="59"/>
      <c r="FC520" s="59"/>
      <c r="FD520" s="59"/>
      <c r="FE520" s="59"/>
      <c r="FF520" s="59"/>
      <c r="FG520" s="59"/>
      <c r="FH520" s="59"/>
      <c r="FI520" s="59"/>
      <c r="FJ520" s="59"/>
      <c r="FK520" s="59"/>
      <c r="FL520" s="59"/>
      <c r="FM520" s="59"/>
      <c r="FN520" s="59"/>
      <c r="FO520" s="59"/>
      <c r="FP520" s="59"/>
      <c r="FQ520" s="59"/>
      <c r="FR520" s="59"/>
      <c r="FS520" s="59"/>
      <c r="FT520" s="59"/>
      <c r="FU520" s="59"/>
      <c r="FV520" s="59"/>
      <c r="FW520" s="59"/>
      <c r="FX520" s="59"/>
      <c r="FY520" s="59"/>
      <c r="FZ520" s="59"/>
      <c r="GA520" s="59"/>
      <c r="GB520" s="59"/>
      <c r="GC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  <c r="ES521" s="59"/>
      <c r="ET521" s="59"/>
      <c r="EU521" s="59"/>
      <c r="EV521" s="59"/>
      <c r="EW521" s="59"/>
      <c r="EX521" s="59"/>
      <c r="EY521" s="59"/>
      <c r="EZ521" s="59"/>
      <c r="FA521" s="59"/>
      <c r="FB521" s="59"/>
      <c r="FC521" s="59"/>
      <c r="FD521" s="59"/>
      <c r="FE521" s="59"/>
      <c r="FF521" s="59"/>
      <c r="FG521" s="59"/>
      <c r="FH521" s="59"/>
      <c r="FI521" s="59"/>
      <c r="FJ521" s="59"/>
      <c r="FK521" s="59"/>
      <c r="FL521" s="59"/>
      <c r="FM521" s="59"/>
      <c r="FN521" s="59"/>
      <c r="FO521" s="59"/>
      <c r="FP521" s="59"/>
      <c r="FQ521" s="59"/>
      <c r="FR521" s="59"/>
      <c r="FS521" s="59"/>
      <c r="FT521" s="59"/>
      <c r="FU521" s="59"/>
      <c r="FV521" s="59"/>
      <c r="FW521" s="59"/>
      <c r="FX521" s="59"/>
      <c r="FY521" s="59"/>
      <c r="FZ521" s="59"/>
      <c r="GA521" s="59"/>
      <c r="GB521" s="59"/>
      <c r="GC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/>
      <c r="CX522" s="59"/>
      <c r="CY522" s="59"/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  <c r="ES522" s="59"/>
      <c r="ET522" s="59"/>
      <c r="EU522" s="59"/>
      <c r="EV522" s="59"/>
      <c r="EW522" s="59"/>
      <c r="EX522" s="59"/>
      <c r="EY522" s="59"/>
      <c r="EZ522" s="59"/>
      <c r="FA522" s="59"/>
      <c r="FB522" s="59"/>
      <c r="FC522" s="59"/>
      <c r="FD522" s="59"/>
      <c r="FE522" s="59"/>
      <c r="FF522" s="59"/>
      <c r="FG522" s="59"/>
      <c r="FH522" s="59"/>
      <c r="FI522" s="59"/>
      <c r="FJ522" s="59"/>
      <c r="FK522" s="59"/>
      <c r="FL522" s="59"/>
      <c r="FM522" s="59"/>
      <c r="FN522" s="59"/>
      <c r="FO522" s="59"/>
      <c r="FP522" s="59"/>
      <c r="FQ522" s="59"/>
      <c r="FR522" s="59"/>
      <c r="FS522" s="59"/>
      <c r="FT522" s="59"/>
      <c r="FU522" s="59"/>
      <c r="FV522" s="59"/>
      <c r="FW522" s="59"/>
      <c r="FX522" s="59"/>
      <c r="FY522" s="59"/>
      <c r="FZ522" s="59"/>
      <c r="GA522" s="59"/>
      <c r="GB522" s="59"/>
      <c r="GC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/>
      <c r="CX523" s="59"/>
      <c r="CY523" s="59"/>
      <c r="CZ523" s="59"/>
      <c r="DA523" s="59"/>
      <c r="DB523" s="59"/>
      <c r="DC523" s="59"/>
      <c r="DD523" s="59"/>
      <c r="DE523" s="59"/>
      <c r="DF523" s="59"/>
      <c r="DG523" s="59"/>
      <c r="DH523" s="59"/>
      <c r="DI523" s="59"/>
      <c r="DJ523" s="59"/>
      <c r="DK523" s="59"/>
      <c r="DL523" s="59"/>
      <c r="DM523" s="59"/>
      <c r="DN523" s="59"/>
      <c r="DO523" s="59"/>
      <c r="DP523" s="59"/>
      <c r="DQ523" s="59"/>
      <c r="DR523" s="59"/>
      <c r="DS523" s="59"/>
      <c r="DT523" s="59"/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/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  <c r="ES523" s="59"/>
      <c r="ET523" s="59"/>
      <c r="EU523" s="59"/>
      <c r="EV523" s="59"/>
      <c r="EW523" s="59"/>
      <c r="EX523" s="59"/>
      <c r="EY523" s="59"/>
      <c r="EZ523" s="59"/>
      <c r="FA523" s="59"/>
      <c r="FB523" s="59"/>
      <c r="FC523" s="59"/>
      <c r="FD523" s="59"/>
      <c r="FE523" s="59"/>
      <c r="FF523" s="59"/>
      <c r="FG523" s="59"/>
      <c r="FH523" s="59"/>
      <c r="FI523" s="59"/>
      <c r="FJ523" s="59"/>
      <c r="FK523" s="59"/>
      <c r="FL523" s="59"/>
      <c r="FM523" s="59"/>
      <c r="FN523" s="59"/>
      <c r="FO523" s="59"/>
      <c r="FP523" s="59"/>
      <c r="FQ523" s="59"/>
      <c r="FR523" s="59"/>
      <c r="FS523" s="59"/>
      <c r="FT523" s="59"/>
      <c r="FU523" s="59"/>
      <c r="FV523" s="59"/>
      <c r="FW523" s="59"/>
      <c r="FX523" s="59"/>
      <c r="FY523" s="59"/>
      <c r="FZ523" s="59"/>
      <c r="GA523" s="59"/>
      <c r="GB523" s="59"/>
      <c r="GC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/>
      <c r="CX524" s="59"/>
      <c r="CY524" s="59"/>
      <c r="CZ524" s="59"/>
      <c r="DA524" s="59"/>
      <c r="DB524" s="59"/>
      <c r="DC524" s="59"/>
      <c r="DD524" s="59"/>
      <c r="DE524" s="59"/>
      <c r="DF524" s="59"/>
      <c r="DG524" s="59"/>
      <c r="DH524" s="59"/>
      <c r="DI524" s="59"/>
      <c r="DJ524" s="59"/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/>
      <c r="ER524" s="59"/>
      <c r="ES524" s="59"/>
      <c r="ET524" s="59"/>
      <c r="EU524" s="59"/>
      <c r="EV524" s="59"/>
      <c r="EW524" s="59"/>
      <c r="EX524" s="59"/>
      <c r="EY524" s="59"/>
      <c r="EZ524" s="59"/>
      <c r="FA524" s="59"/>
      <c r="FB524" s="59"/>
      <c r="FC524" s="59"/>
      <c r="FD524" s="59"/>
      <c r="FE524" s="59"/>
      <c r="FF524" s="59"/>
      <c r="FG524" s="59"/>
      <c r="FH524" s="59"/>
      <c r="FI524" s="59"/>
      <c r="FJ524" s="59"/>
      <c r="FK524" s="59"/>
      <c r="FL524" s="59"/>
      <c r="FM524" s="59"/>
      <c r="FN524" s="59"/>
      <c r="FO524" s="59"/>
      <c r="FP524" s="59"/>
      <c r="FQ524" s="59"/>
      <c r="FR524" s="59"/>
      <c r="FS524" s="59"/>
      <c r="FT524" s="59"/>
      <c r="FU524" s="59"/>
      <c r="FV524" s="59"/>
      <c r="FW524" s="59"/>
      <c r="FX524" s="59"/>
      <c r="FY524" s="59"/>
      <c r="FZ524" s="59"/>
      <c r="GA524" s="59"/>
      <c r="GB524" s="59"/>
      <c r="GC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/>
      <c r="CX525" s="59"/>
      <c r="CY525" s="59"/>
      <c r="CZ525" s="59"/>
      <c r="DA525" s="59"/>
      <c r="DB525" s="59"/>
      <c r="DC525" s="59"/>
      <c r="DD525" s="59"/>
      <c r="DE525" s="59"/>
      <c r="DF525" s="59"/>
      <c r="DG525" s="59"/>
      <c r="DH525" s="59"/>
      <c r="DI525" s="59"/>
      <c r="DJ525" s="59"/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/>
      <c r="ER525" s="59"/>
      <c r="ES525" s="59"/>
      <c r="ET525" s="59"/>
      <c r="EU525" s="59"/>
      <c r="EV525" s="59"/>
      <c r="EW525" s="59"/>
      <c r="EX525" s="59"/>
      <c r="EY525" s="59"/>
      <c r="EZ525" s="59"/>
      <c r="FA525" s="59"/>
      <c r="FB525" s="59"/>
      <c r="FC525" s="59"/>
      <c r="FD525" s="59"/>
      <c r="FE525" s="59"/>
      <c r="FF525" s="59"/>
      <c r="FG525" s="59"/>
      <c r="FH525" s="59"/>
      <c r="FI525" s="59"/>
      <c r="FJ525" s="59"/>
      <c r="FK525" s="59"/>
      <c r="FL525" s="59"/>
      <c r="FM525" s="59"/>
      <c r="FN525" s="59"/>
      <c r="FO525" s="59"/>
      <c r="FP525" s="59"/>
      <c r="FQ525" s="59"/>
      <c r="FR525" s="59"/>
      <c r="FS525" s="59"/>
      <c r="FT525" s="59"/>
      <c r="FU525" s="59"/>
      <c r="FV525" s="59"/>
      <c r="FW525" s="59"/>
      <c r="FX525" s="59"/>
      <c r="FY525" s="59"/>
      <c r="FZ525" s="59"/>
      <c r="GA525" s="59"/>
      <c r="GB525" s="59"/>
      <c r="GC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/>
      <c r="CX526" s="59"/>
      <c r="CY526" s="59"/>
      <c r="CZ526" s="59"/>
      <c r="DA526" s="59"/>
      <c r="DB526" s="59"/>
      <c r="DC526" s="59"/>
      <c r="DD526" s="59"/>
      <c r="DE526" s="59"/>
      <c r="DF526" s="59"/>
      <c r="DG526" s="59"/>
      <c r="DH526" s="59"/>
      <c r="DI526" s="59"/>
      <c r="DJ526" s="59"/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/>
      <c r="ER526" s="59"/>
      <c r="ES526" s="59"/>
      <c r="ET526" s="59"/>
      <c r="EU526" s="59"/>
      <c r="EV526" s="59"/>
      <c r="EW526" s="59"/>
      <c r="EX526" s="59"/>
      <c r="EY526" s="59"/>
      <c r="EZ526" s="59"/>
      <c r="FA526" s="59"/>
      <c r="FB526" s="59"/>
      <c r="FC526" s="59"/>
      <c r="FD526" s="59"/>
      <c r="FE526" s="59"/>
      <c r="FF526" s="59"/>
      <c r="FG526" s="59"/>
      <c r="FH526" s="59"/>
      <c r="FI526" s="59"/>
      <c r="FJ526" s="59"/>
      <c r="FK526" s="59"/>
      <c r="FL526" s="59"/>
      <c r="FM526" s="59"/>
      <c r="FN526" s="59"/>
      <c r="FO526" s="59"/>
      <c r="FP526" s="59"/>
      <c r="FQ526" s="59"/>
      <c r="FR526" s="59"/>
      <c r="FS526" s="59"/>
      <c r="FT526" s="59"/>
      <c r="FU526" s="59"/>
      <c r="FV526" s="59"/>
      <c r="FW526" s="59"/>
      <c r="FX526" s="59"/>
      <c r="FY526" s="59"/>
      <c r="FZ526" s="59"/>
      <c r="GA526" s="59"/>
      <c r="GB526" s="59"/>
      <c r="GC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/>
      <c r="CX527" s="59"/>
      <c r="CY527" s="59"/>
      <c r="CZ527" s="59"/>
      <c r="DA527" s="59"/>
      <c r="DB527" s="59"/>
      <c r="DC527" s="59"/>
      <c r="DD527" s="59"/>
      <c r="DE527" s="59"/>
      <c r="DF527" s="59"/>
      <c r="DG527" s="59"/>
      <c r="DH527" s="59"/>
      <c r="DI527" s="59"/>
      <c r="DJ527" s="59"/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/>
      <c r="ER527" s="59"/>
      <c r="ES527" s="59"/>
      <c r="ET527" s="59"/>
      <c r="EU527" s="59"/>
      <c r="EV527" s="59"/>
      <c r="EW527" s="59"/>
      <c r="EX527" s="59"/>
      <c r="EY527" s="59"/>
      <c r="EZ527" s="59"/>
      <c r="FA527" s="59"/>
      <c r="FB527" s="59"/>
      <c r="FC527" s="59"/>
      <c r="FD527" s="59"/>
      <c r="FE527" s="59"/>
      <c r="FF527" s="59"/>
      <c r="FG527" s="59"/>
      <c r="FH527" s="59"/>
      <c r="FI527" s="59"/>
      <c r="FJ527" s="59"/>
      <c r="FK527" s="59"/>
      <c r="FL527" s="59"/>
      <c r="FM527" s="59"/>
      <c r="FN527" s="59"/>
      <c r="FO527" s="59"/>
      <c r="FP527" s="59"/>
      <c r="FQ527" s="59"/>
      <c r="FR527" s="59"/>
      <c r="FS527" s="59"/>
      <c r="FT527" s="59"/>
      <c r="FU527" s="59"/>
      <c r="FV527" s="59"/>
      <c r="FW527" s="59"/>
      <c r="FX527" s="59"/>
      <c r="FY527" s="59"/>
      <c r="FZ527" s="59"/>
      <c r="GA527" s="59"/>
      <c r="GB527" s="59"/>
      <c r="GC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  <c r="ES528" s="59"/>
      <c r="ET528" s="59"/>
      <c r="EU528" s="59"/>
      <c r="EV528" s="59"/>
      <c r="EW528" s="59"/>
      <c r="EX528" s="59"/>
      <c r="EY528" s="59"/>
      <c r="EZ528" s="59"/>
      <c r="FA528" s="59"/>
      <c r="FB528" s="59"/>
      <c r="FC528" s="59"/>
      <c r="FD528" s="59"/>
      <c r="FE528" s="59"/>
      <c r="FF528" s="59"/>
      <c r="FG528" s="59"/>
      <c r="FH528" s="59"/>
      <c r="FI528" s="59"/>
      <c r="FJ528" s="59"/>
      <c r="FK528" s="59"/>
      <c r="FL528" s="59"/>
      <c r="FM528" s="59"/>
      <c r="FN528" s="59"/>
      <c r="FO528" s="59"/>
      <c r="FP528" s="59"/>
      <c r="FQ528" s="59"/>
      <c r="FR528" s="59"/>
      <c r="FS528" s="59"/>
      <c r="FT528" s="59"/>
      <c r="FU528" s="59"/>
      <c r="FV528" s="59"/>
      <c r="FW528" s="59"/>
      <c r="FX528" s="59"/>
      <c r="FY528" s="59"/>
      <c r="FZ528" s="59"/>
      <c r="GA528" s="59"/>
      <c r="GB528" s="59"/>
      <c r="GC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/>
      <c r="CY529" s="59"/>
      <c r="CZ529" s="59"/>
      <c r="DA529" s="59"/>
      <c r="DB529" s="59"/>
      <c r="DC529" s="59"/>
      <c r="DD529" s="59"/>
      <c r="DE529" s="59"/>
      <c r="DF529" s="59"/>
      <c r="DG529" s="59"/>
      <c r="DH529" s="59"/>
      <c r="DI529" s="59"/>
      <c r="DJ529" s="59"/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/>
      <c r="ES529" s="59"/>
      <c r="ET529" s="59"/>
      <c r="EU529" s="59"/>
      <c r="EV529" s="59"/>
      <c r="EW529" s="59"/>
      <c r="EX529" s="59"/>
      <c r="EY529" s="59"/>
      <c r="EZ529" s="59"/>
      <c r="FA529" s="59"/>
      <c r="FB529" s="59"/>
      <c r="FC529" s="59"/>
      <c r="FD529" s="59"/>
      <c r="FE529" s="59"/>
      <c r="FF529" s="59"/>
      <c r="FG529" s="59"/>
      <c r="FH529" s="59"/>
      <c r="FI529" s="59"/>
      <c r="FJ529" s="59"/>
      <c r="FK529" s="59"/>
      <c r="FL529" s="59"/>
      <c r="FM529" s="59"/>
      <c r="FN529" s="59"/>
      <c r="FO529" s="59"/>
      <c r="FP529" s="59"/>
      <c r="FQ529" s="59"/>
      <c r="FR529" s="59"/>
      <c r="FS529" s="59"/>
      <c r="FT529" s="59"/>
      <c r="FU529" s="59"/>
      <c r="FV529" s="59"/>
      <c r="FW529" s="59"/>
      <c r="FX529" s="59"/>
      <c r="FY529" s="59"/>
      <c r="FZ529" s="59"/>
      <c r="GA529" s="59"/>
      <c r="GB529" s="59"/>
      <c r="GC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/>
      <c r="CY530" s="59"/>
      <c r="CZ530" s="59"/>
      <c r="DA530" s="59"/>
      <c r="DB530" s="59"/>
      <c r="DC530" s="59"/>
      <c r="DD530" s="59"/>
      <c r="DE530" s="59"/>
      <c r="DF530" s="59"/>
      <c r="DG530" s="59"/>
      <c r="DH530" s="59"/>
      <c r="DI530" s="59"/>
      <c r="DJ530" s="59"/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/>
      <c r="ES530" s="59"/>
      <c r="ET530" s="59"/>
      <c r="EU530" s="59"/>
      <c r="EV530" s="59"/>
      <c r="EW530" s="59"/>
      <c r="EX530" s="59"/>
      <c r="EY530" s="59"/>
      <c r="EZ530" s="59"/>
      <c r="FA530" s="59"/>
      <c r="FB530" s="59"/>
      <c r="FC530" s="59"/>
      <c r="FD530" s="59"/>
      <c r="FE530" s="59"/>
      <c r="FF530" s="59"/>
      <c r="FG530" s="59"/>
      <c r="FH530" s="59"/>
      <c r="FI530" s="59"/>
      <c r="FJ530" s="59"/>
      <c r="FK530" s="59"/>
      <c r="FL530" s="59"/>
      <c r="FM530" s="59"/>
      <c r="FN530" s="59"/>
      <c r="FO530" s="59"/>
      <c r="FP530" s="59"/>
      <c r="FQ530" s="59"/>
      <c r="FR530" s="59"/>
      <c r="FS530" s="59"/>
      <c r="FT530" s="59"/>
      <c r="FU530" s="59"/>
      <c r="FV530" s="59"/>
      <c r="FW530" s="59"/>
      <c r="FX530" s="59"/>
      <c r="FY530" s="59"/>
      <c r="FZ530" s="59"/>
      <c r="GA530" s="59"/>
      <c r="GB530" s="59"/>
      <c r="GC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/>
      <c r="CY531" s="59"/>
      <c r="CZ531" s="59"/>
      <c r="DA531" s="59"/>
      <c r="DB531" s="59"/>
      <c r="DC531" s="59"/>
      <c r="DD531" s="59"/>
      <c r="DE531" s="59"/>
      <c r="DF531" s="59"/>
      <c r="DG531" s="59"/>
      <c r="DH531" s="59"/>
      <c r="DI531" s="59"/>
      <c r="DJ531" s="59"/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/>
      <c r="ES531" s="59"/>
      <c r="ET531" s="59"/>
      <c r="EU531" s="59"/>
      <c r="EV531" s="59"/>
      <c r="EW531" s="59"/>
      <c r="EX531" s="59"/>
      <c r="EY531" s="59"/>
      <c r="EZ531" s="59"/>
      <c r="FA531" s="59"/>
      <c r="FB531" s="59"/>
      <c r="FC531" s="59"/>
      <c r="FD531" s="59"/>
      <c r="FE531" s="59"/>
      <c r="FF531" s="59"/>
      <c r="FG531" s="59"/>
      <c r="FH531" s="59"/>
      <c r="FI531" s="59"/>
      <c r="FJ531" s="59"/>
      <c r="FK531" s="59"/>
      <c r="FL531" s="59"/>
      <c r="FM531" s="59"/>
      <c r="FN531" s="59"/>
      <c r="FO531" s="59"/>
      <c r="FP531" s="59"/>
      <c r="FQ531" s="59"/>
      <c r="FR531" s="59"/>
      <c r="FS531" s="59"/>
      <c r="FT531" s="59"/>
      <c r="FU531" s="59"/>
      <c r="FV531" s="59"/>
      <c r="FW531" s="59"/>
      <c r="FX531" s="59"/>
      <c r="FY531" s="59"/>
      <c r="FZ531" s="59"/>
      <c r="GA531" s="59"/>
      <c r="GB531" s="59"/>
      <c r="GC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/>
      <c r="CY532" s="59"/>
      <c r="CZ532" s="59"/>
      <c r="DA532" s="59"/>
      <c r="DB532" s="59"/>
      <c r="DC532" s="59"/>
      <c r="DD532" s="59"/>
      <c r="DE532" s="59"/>
      <c r="DF532" s="59"/>
      <c r="DG532" s="59"/>
      <c r="DH532" s="59"/>
      <c r="DI532" s="59"/>
      <c r="DJ532" s="59"/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/>
      <c r="ES532" s="59"/>
      <c r="ET532" s="59"/>
      <c r="EU532" s="59"/>
      <c r="EV532" s="59"/>
      <c r="EW532" s="59"/>
      <c r="EX532" s="59"/>
      <c r="EY532" s="59"/>
      <c r="EZ532" s="59"/>
      <c r="FA532" s="59"/>
      <c r="FB532" s="59"/>
      <c r="FC532" s="59"/>
      <c r="FD532" s="59"/>
      <c r="FE532" s="59"/>
      <c r="FF532" s="59"/>
      <c r="FG532" s="59"/>
      <c r="FH532" s="59"/>
      <c r="FI532" s="59"/>
      <c r="FJ532" s="59"/>
      <c r="FK532" s="59"/>
      <c r="FL532" s="59"/>
      <c r="FM532" s="59"/>
      <c r="FN532" s="59"/>
      <c r="FO532" s="59"/>
      <c r="FP532" s="59"/>
      <c r="FQ532" s="59"/>
      <c r="FR532" s="59"/>
      <c r="FS532" s="59"/>
      <c r="FT532" s="59"/>
      <c r="FU532" s="59"/>
      <c r="FV532" s="59"/>
      <c r="FW532" s="59"/>
      <c r="FX532" s="59"/>
      <c r="FY532" s="59"/>
      <c r="FZ532" s="59"/>
      <c r="GA532" s="59"/>
      <c r="GB532" s="59"/>
      <c r="GC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/>
      <c r="CX533" s="59"/>
      <c r="CY533" s="59"/>
      <c r="CZ533" s="59"/>
      <c r="DA533" s="59"/>
      <c r="DB533" s="59"/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  <c r="ES533" s="59"/>
      <c r="ET533" s="59"/>
      <c r="EU533" s="59"/>
      <c r="EV533" s="59"/>
      <c r="EW533" s="59"/>
      <c r="EX533" s="59"/>
      <c r="EY533" s="59"/>
      <c r="EZ533" s="59"/>
      <c r="FA533" s="59"/>
      <c r="FB533" s="59"/>
      <c r="FC533" s="59"/>
      <c r="FD533" s="59"/>
      <c r="FE533" s="59"/>
      <c r="FF533" s="59"/>
      <c r="FG533" s="59"/>
      <c r="FH533" s="59"/>
      <c r="FI533" s="59"/>
      <c r="FJ533" s="59"/>
      <c r="FK533" s="59"/>
      <c r="FL533" s="59"/>
      <c r="FM533" s="59"/>
      <c r="FN533" s="59"/>
      <c r="FO533" s="59"/>
      <c r="FP533" s="59"/>
      <c r="FQ533" s="59"/>
      <c r="FR533" s="59"/>
      <c r="FS533" s="59"/>
      <c r="FT533" s="59"/>
      <c r="FU533" s="59"/>
      <c r="FV533" s="59"/>
      <c r="FW533" s="59"/>
      <c r="FX533" s="59"/>
      <c r="FY533" s="59"/>
      <c r="FZ533" s="59"/>
      <c r="GA533" s="59"/>
      <c r="GB533" s="59"/>
      <c r="GC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/>
      <c r="CX534" s="59"/>
      <c r="CY534" s="59"/>
      <c r="CZ534" s="59"/>
      <c r="DA534" s="59"/>
      <c r="DB534" s="59"/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  <c r="ES534" s="59"/>
      <c r="ET534" s="59"/>
      <c r="EU534" s="59"/>
      <c r="EV534" s="59"/>
      <c r="EW534" s="59"/>
      <c r="EX534" s="59"/>
      <c r="EY534" s="59"/>
      <c r="EZ534" s="59"/>
      <c r="FA534" s="59"/>
      <c r="FB534" s="59"/>
      <c r="FC534" s="59"/>
      <c r="FD534" s="59"/>
      <c r="FE534" s="59"/>
      <c r="FF534" s="59"/>
      <c r="FG534" s="59"/>
      <c r="FH534" s="59"/>
      <c r="FI534" s="59"/>
      <c r="FJ534" s="59"/>
      <c r="FK534" s="59"/>
      <c r="FL534" s="59"/>
      <c r="FM534" s="59"/>
      <c r="FN534" s="59"/>
      <c r="FO534" s="59"/>
      <c r="FP534" s="59"/>
      <c r="FQ534" s="59"/>
      <c r="FR534" s="59"/>
      <c r="FS534" s="59"/>
      <c r="FT534" s="59"/>
      <c r="FU534" s="59"/>
      <c r="FV534" s="59"/>
      <c r="FW534" s="59"/>
      <c r="FX534" s="59"/>
      <c r="FY534" s="59"/>
      <c r="FZ534" s="59"/>
      <c r="GA534" s="59"/>
      <c r="GB534" s="59"/>
      <c r="GC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/>
      <c r="CX535" s="59"/>
      <c r="CY535" s="59"/>
      <c r="CZ535" s="59"/>
      <c r="DA535" s="59"/>
      <c r="DB535" s="59"/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  <c r="ES535" s="59"/>
      <c r="ET535" s="59"/>
      <c r="EU535" s="59"/>
      <c r="EV535" s="59"/>
      <c r="EW535" s="59"/>
      <c r="EX535" s="59"/>
      <c r="EY535" s="59"/>
      <c r="EZ535" s="59"/>
      <c r="FA535" s="59"/>
      <c r="FB535" s="59"/>
      <c r="FC535" s="59"/>
      <c r="FD535" s="59"/>
      <c r="FE535" s="59"/>
      <c r="FF535" s="59"/>
      <c r="FG535" s="59"/>
      <c r="FH535" s="59"/>
      <c r="FI535" s="59"/>
      <c r="FJ535" s="59"/>
      <c r="FK535" s="59"/>
      <c r="FL535" s="59"/>
      <c r="FM535" s="59"/>
      <c r="FN535" s="59"/>
      <c r="FO535" s="59"/>
      <c r="FP535" s="59"/>
      <c r="FQ535" s="59"/>
      <c r="FR535" s="59"/>
      <c r="FS535" s="59"/>
      <c r="FT535" s="59"/>
      <c r="FU535" s="59"/>
      <c r="FV535" s="59"/>
      <c r="FW535" s="59"/>
      <c r="FX535" s="59"/>
      <c r="FY535" s="59"/>
      <c r="FZ535" s="59"/>
      <c r="GA535" s="59"/>
      <c r="GB535" s="59"/>
      <c r="GC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  <c r="CP536" s="59"/>
      <c r="CQ536" s="59"/>
      <c r="CR536" s="59"/>
      <c r="CS536" s="59"/>
      <c r="CT536" s="59"/>
      <c r="CU536" s="59"/>
      <c r="CV536" s="59"/>
      <c r="CW536" s="59"/>
      <c r="CX536" s="59"/>
      <c r="CY536" s="59"/>
      <c r="CZ536" s="59"/>
      <c r="DA536" s="59"/>
      <c r="DB536" s="59"/>
      <c r="DC536" s="59"/>
      <c r="DD536" s="59"/>
      <c r="DE536" s="59"/>
      <c r="DF536" s="59"/>
      <c r="DG536" s="59"/>
      <c r="DH536" s="59"/>
      <c r="DI536" s="59"/>
      <c r="DJ536" s="59"/>
      <c r="DK536" s="59"/>
      <c r="DL536" s="59"/>
      <c r="DM536" s="59"/>
      <c r="DN536" s="59"/>
      <c r="DO536" s="59"/>
      <c r="DP536" s="59"/>
      <c r="DQ536" s="59"/>
      <c r="DR536" s="59"/>
      <c r="DS536" s="59"/>
      <c r="DT536" s="59"/>
      <c r="DU536" s="59"/>
      <c r="DV536" s="59"/>
      <c r="DW536" s="59"/>
      <c r="DX536" s="59"/>
      <c r="DY536" s="59"/>
      <c r="DZ536" s="59"/>
      <c r="EA536" s="59"/>
      <c r="EB536" s="59"/>
      <c r="EC536" s="59"/>
      <c r="ED536" s="59"/>
      <c r="EE536" s="59"/>
      <c r="EF536" s="59"/>
      <c r="EG536" s="59"/>
      <c r="EH536" s="59"/>
      <c r="EI536" s="59"/>
      <c r="EJ536" s="59"/>
      <c r="EK536" s="59"/>
      <c r="EL536" s="59"/>
      <c r="EM536" s="59"/>
      <c r="EN536" s="59"/>
      <c r="EO536" s="59"/>
      <c r="EP536" s="59"/>
      <c r="EQ536" s="59"/>
      <c r="ER536" s="59"/>
      <c r="ES536" s="59"/>
      <c r="ET536" s="59"/>
      <c r="EU536" s="59"/>
      <c r="EV536" s="59"/>
      <c r="EW536" s="59"/>
      <c r="EX536" s="59"/>
      <c r="EY536" s="59"/>
      <c r="EZ536" s="59"/>
      <c r="FA536" s="59"/>
      <c r="FB536" s="59"/>
      <c r="FC536" s="59"/>
      <c r="FD536" s="59"/>
      <c r="FE536" s="59"/>
      <c r="FF536" s="59"/>
      <c r="FG536" s="59"/>
      <c r="FH536" s="59"/>
      <c r="FI536" s="59"/>
      <c r="FJ536" s="59"/>
      <c r="FK536" s="59"/>
      <c r="FL536" s="59"/>
      <c r="FM536" s="59"/>
      <c r="FN536" s="59"/>
      <c r="FO536" s="59"/>
      <c r="FP536" s="59"/>
      <c r="FQ536" s="59"/>
      <c r="FR536" s="59"/>
      <c r="FS536" s="59"/>
      <c r="FT536" s="59"/>
      <c r="FU536" s="59"/>
      <c r="FV536" s="59"/>
      <c r="FW536" s="59"/>
      <c r="FX536" s="59"/>
      <c r="FY536" s="59"/>
      <c r="FZ536" s="59"/>
      <c r="GA536" s="59"/>
      <c r="GB536" s="59"/>
      <c r="GC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  <c r="CP537" s="59"/>
      <c r="CQ537" s="59"/>
      <c r="CR537" s="59"/>
      <c r="CS537" s="59"/>
      <c r="CT537" s="59"/>
      <c r="CU537" s="59"/>
      <c r="CV537" s="59"/>
      <c r="CW537" s="59"/>
      <c r="CX537" s="59"/>
      <c r="CY537" s="59"/>
      <c r="CZ537" s="59"/>
      <c r="DA537" s="59"/>
      <c r="DB537" s="59"/>
      <c r="DC537" s="59"/>
      <c r="DD537" s="59"/>
      <c r="DE537" s="59"/>
      <c r="DF537" s="59"/>
      <c r="DG537" s="59"/>
      <c r="DH537" s="59"/>
      <c r="DI537" s="59"/>
      <c r="DJ537" s="59"/>
      <c r="DK537" s="59"/>
      <c r="DL537" s="59"/>
      <c r="DM537" s="59"/>
      <c r="DN537" s="59"/>
      <c r="DO537" s="59"/>
      <c r="DP537" s="59"/>
      <c r="DQ537" s="59"/>
      <c r="DR537" s="59"/>
      <c r="DS537" s="59"/>
      <c r="DT537" s="59"/>
      <c r="DU537" s="59"/>
      <c r="DV537" s="59"/>
      <c r="DW537" s="59"/>
      <c r="DX537" s="59"/>
      <c r="DY537" s="59"/>
      <c r="DZ537" s="59"/>
      <c r="EA537" s="59"/>
      <c r="EB537" s="59"/>
      <c r="EC537" s="59"/>
      <c r="ED537" s="59"/>
      <c r="EE537" s="59"/>
      <c r="EF537" s="59"/>
      <c r="EG537" s="59"/>
      <c r="EH537" s="59"/>
      <c r="EI537" s="59"/>
      <c r="EJ537" s="59"/>
      <c r="EK537" s="59"/>
      <c r="EL537" s="59"/>
      <c r="EM537" s="59"/>
      <c r="EN537" s="59"/>
      <c r="EO537" s="59"/>
      <c r="EP537" s="59"/>
      <c r="EQ537" s="59"/>
      <c r="ER537" s="59"/>
      <c r="ES537" s="59"/>
      <c r="ET537" s="59"/>
      <c r="EU537" s="59"/>
      <c r="EV537" s="59"/>
      <c r="EW537" s="59"/>
      <c r="EX537" s="59"/>
      <c r="EY537" s="59"/>
      <c r="EZ537" s="59"/>
      <c r="FA537" s="59"/>
      <c r="FB537" s="59"/>
      <c r="FC537" s="59"/>
      <c r="FD537" s="59"/>
      <c r="FE537" s="59"/>
      <c r="FF537" s="59"/>
      <c r="FG537" s="59"/>
      <c r="FH537" s="59"/>
      <c r="FI537" s="59"/>
      <c r="FJ537" s="59"/>
      <c r="FK537" s="59"/>
      <c r="FL537" s="59"/>
      <c r="FM537" s="59"/>
      <c r="FN537" s="59"/>
      <c r="FO537" s="59"/>
      <c r="FP537" s="59"/>
      <c r="FQ537" s="59"/>
      <c r="FR537" s="59"/>
      <c r="FS537" s="59"/>
      <c r="FT537" s="59"/>
      <c r="FU537" s="59"/>
      <c r="FV537" s="59"/>
      <c r="FW537" s="59"/>
      <c r="FX537" s="59"/>
      <c r="FY537" s="59"/>
      <c r="FZ537" s="59"/>
      <c r="GA537" s="59"/>
      <c r="GB537" s="59"/>
      <c r="GC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/>
      <c r="BY538" s="59"/>
      <c r="BZ538" s="59"/>
      <c r="CA538" s="59"/>
      <c r="CB538" s="59"/>
      <c r="CC538" s="59"/>
      <c r="CD538" s="59"/>
      <c r="CE538" s="59"/>
      <c r="CF538" s="59"/>
      <c r="CG538" s="59"/>
      <c r="CH538" s="59"/>
      <c r="CI538" s="59"/>
      <c r="CJ538" s="59"/>
      <c r="CK538" s="59"/>
      <c r="CL538" s="59"/>
      <c r="CM538" s="59"/>
      <c r="CN538" s="59"/>
      <c r="CO538" s="59"/>
      <c r="CP538" s="59"/>
      <c r="CQ538" s="59"/>
      <c r="CR538" s="59"/>
      <c r="CS538" s="59"/>
      <c r="CT538" s="59"/>
      <c r="CU538" s="59"/>
      <c r="CV538" s="59"/>
      <c r="CW538" s="59"/>
      <c r="CX538" s="59"/>
      <c r="CY538" s="59"/>
      <c r="CZ538" s="59"/>
      <c r="DA538" s="59"/>
      <c r="DB538" s="59"/>
      <c r="DC538" s="59"/>
      <c r="DD538" s="59"/>
      <c r="DE538" s="59"/>
      <c r="DF538" s="59"/>
      <c r="DG538" s="59"/>
      <c r="DH538" s="59"/>
      <c r="DI538" s="59"/>
      <c r="DJ538" s="59"/>
      <c r="DK538" s="59"/>
      <c r="DL538" s="59"/>
      <c r="DM538" s="59"/>
      <c r="DN538" s="59"/>
      <c r="DO538" s="59"/>
      <c r="DP538" s="59"/>
      <c r="DQ538" s="59"/>
      <c r="DR538" s="59"/>
      <c r="DS538" s="59"/>
      <c r="DT538" s="59"/>
      <c r="DU538" s="59"/>
      <c r="DV538" s="59"/>
      <c r="DW538" s="59"/>
      <c r="DX538" s="59"/>
      <c r="DY538" s="59"/>
      <c r="DZ538" s="59"/>
      <c r="EA538" s="59"/>
      <c r="EB538" s="59"/>
      <c r="EC538" s="59"/>
      <c r="ED538" s="59"/>
      <c r="EE538" s="59"/>
      <c r="EF538" s="59"/>
      <c r="EG538" s="59"/>
      <c r="EH538" s="59"/>
      <c r="EI538" s="59"/>
      <c r="EJ538" s="59"/>
      <c r="EK538" s="59"/>
      <c r="EL538" s="59"/>
      <c r="EM538" s="59"/>
      <c r="EN538" s="59"/>
      <c r="EO538" s="59"/>
      <c r="EP538" s="59"/>
      <c r="EQ538" s="59"/>
      <c r="ER538" s="59"/>
      <c r="ES538" s="59"/>
      <c r="ET538" s="59"/>
      <c r="EU538" s="59"/>
      <c r="EV538" s="59"/>
      <c r="EW538" s="59"/>
      <c r="EX538" s="59"/>
      <c r="EY538" s="59"/>
      <c r="EZ538" s="59"/>
      <c r="FA538" s="59"/>
      <c r="FB538" s="59"/>
      <c r="FC538" s="59"/>
      <c r="FD538" s="59"/>
      <c r="FE538" s="59"/>
      <c r="FF538" s="59"/>
      <c r="FG538" s="59"/>
      <c r="FH538" s="59"/>
      <c r="FI538" s="59"/>
      <c r="FJ538" s="59"/>
      <c r="FK538" s="59"/>
      <c r="FL538" s="59"/>
      <c r="FM538" s="59"/>
      <c r="FN538" s="59"/>
      <c r="FO538" s="59"/>
      <c r="FP538" s="59"/>
      <c r="FQ538" s="59"/>
      <c r="FR538" s="59"/>
      <c r="FS538" s="59"/>
      <c r="FT538" s="59"/>
      <c r="FU538" s="59"/>
      <c r="FV538" s="59"/>
      <c r="FW538" s="59"/>
      <c r="FX538" s="59"/>
      <c r="FY538" s="59"/>
      <c r="FZ538" s="59"/>
      <c r="GA538" s="59"/>
      <c r="GB538" s="59"/>
      <c r="GC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59"/>
      <c r="CZ539" s="59"/>
      <c r="DA539" s="59"/>
      <c r="DB539" s="59"/>
      <c r="DC539" s="59"/>
      <c r="DD539" s="59"/>
      <c r="DE539" s="59"/>
      <c r="DF539" s="59"/>
      <c r="DG539" s="59"/>
      <c r="DH539" s="59"/>
      <c r="DI539" s="59"/>
      <c r="DJ539" s="59"/>
      <c r="DK539" s="59"/>
      <c r="DL539" s="59"/>
      <c r="DM539" s="59"/>
      <c r="DN539" s="59"/>
      <c r="DO539" s="59"/>
      <c r="DP539" s="59"/>
      <c r="DQ539" s="59"/>
      <c r="DR539" s="59"/>
      <c r="DS539" s="59"/>
      <c r="DT539" s="59"/>
      <c r="DU539" s="59"/>
      <c r="DV539" s="59"/>
      <c r="DW539" s="59"/>
      <c r="DX539" s="59"/>
      <c r="DY539" s="59"/>
      <c r="DZ539" s="59"/>
      <c r="EA539" s="59"/>
      <c r="EB539" s="59"/>
      <c r="EC539" s="59"/>
      <c r="ED539" s="59"/>
      <c r="EE539" s="59"/>
      <c r="EF539" s="59"/>
      <c r="EG539" s="59"/>
      <c r="EH539" s="59"/>
      <c r="EI539" s="59"/>
      <c r="EJ539" s="59"/>
      <c r="EK539" s="59"/>
      <c r="EL539" s="59"/>
      <c r="EM539" s="59"/>
      <c r="EN539" s="59"/>
      <c r="EO539" s="59"/>
      <c r="EP539" s="59"/>
      <c r="EQ539" s="59"/>
      <c r="ER539" s="59"/>
      <c r="ES539" s="59"/>
      <c r="ET539" s="59"/>
      <c r="EU539" s="59"/>
      <c r="EV539" s="59"/>
      <c r="EW539" s="59"/>
      <c r="EX539" s="59"/>
      <c r="EY539" s="59"/>
      <c r="EZ539" s="59"/>
      <c r="FA539" s="59"/>
      <c r="FB539" s="59"/>
      <c r="FC539" s="59"/>
      <c r="FD539" s="59"/>
      <c r="FE539" s="59"/>
      <c r="FF539" s="59"/>
      <c r="FG539" s="59"/>
      <c r="FH539" s="59"/>
      <c r="FI539" s="59"/>
      <c r="FJ539" s="59"/>
      <c r="FK539" s="59"/>
      <c r="FL539" s="59"/>
      <c r="FM539" s="59"/>
      <c r="FN539" s="59"/>
      <c r="FO539" s="59"/>
      <c r="FP539" s="59"/>
      <c r="FQ539" s="59"/>
      <c r="FR539" s="59"/>
      <c r="FS539" s="59"/>
      <c r="FT539" s="59"/>
      <c r="FU539" s="59"/>
      <c r="FV539" s="59"/>
      <c r="FW539" s="59"/>
      <c r="FX539" s="59"/>
      <c r="FY539" s="59"/>
      <c r="FZ539" s="59"/>
      <c r="GA539" s="59"/>
      <c r="GB539" s="59"/>
      <c r="GC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  <c r="CP540" s="59"/>
      <c r="CQ540" s="59"/>
      <c r="CR540" s="59"/>
      <c r="CS540" s="59"/>
      <c r="CT540" s="59"/>
      <c r="CU540" s="59"/>
      <c r="CV540" s="59"/>
      <c r="CW540" s="59"/>
      <c r="CX540" s="59"/>
      <c r="CY540" s="59"/>
      <c r="CZ540" s="59"/>
      <c r="DA540" s="59"/>
      <c r="DB540" s="59"/>
      <c r="DC540" s="59"/>
      <c r="DD540" s="59"/>
      <c r="DE540" s="59"/>
      <c r="DF540" s="59"/>
      <c r="DG540" s="59"/>
      <c r="DH540" s="59"/>
      <c r="DI540" s="59"/>
      <c r="DJ540" s="59"/>
      <c r="DK540" s="59"/>
      <c r="DL540" s="59"/>
      <c r="DM540" s="59"/>
      <c r="DN540" s="59"/>
      <c r="DO540" s="59"/>
      <c r="DP540" s="59"/>
      <c r="DQ540" s="59"/>
      <c r="DR540" s="59"/>
      <c r="DS540" s="59"/>
      <c r="DT540" s="59"/>
      <c r="DU540" s="59"/>
      <c r="DV540" s="59"/>
      <c r="DW540" s="59"/>
      <c r="DX540" s="59"/>
      <c r="DY540" s="59"/>
      <c r="DZ540" s="59"/>
      <c r="EA540" s="59"/>
      <c r="EB540" s="59"/>
      <c r="EC540" s="59"/>
      <c r="ED540" s="59"/>
      <c r="EE540" s="59"/>
      <c r="EF540" s="59"/>
      <c r="EG540" s="59"/>
      <c r="EH540" s="59"/>
      <c r="EI540" s="59"/>
      <c r="EJ540" s="59"/>
      <c r="EK540" s="59"/>
      <c r="EL540" s="59"/>
      <c r="EM540" s="59"/>
      <c r="EN540" s="59"/>
      <c r="EO540" s="59"/>
      <c r="EP540" s="59"/>
      <c r="EQ540" s="59"/>
      <c r="ER540" s="59"/>
      <c r="ES540" s="59"/>
      <c r="ET540" s="59"/>
      <c r="EU540" s="59"/>
      <c r="EV540" s="59"/>
      <c r="EW540" s="59"/>
      <c r="EX540" s="59"/>
      <c r="EY540" s="59"/>
      <c r="EZ540" s="59"/>
      <c r="FA540" s="59"/>
      <c r="FB540" s="59"/>
      <c r="FC540" s="59"/>
      <c r="FD540" s="59"/>
      <c r="FE540" s="59"/>
      <c r="FF540" s="59"/>
      <c r="FG540" s="59"/>
      <c r="FH540" s="59"/>
      <c r="FI540" s="59"/>
      <c r="FJ540" s="59"/>
      <c r="FK540" s="59"/>
      <c r="FL540" s="59"/>
      <c r="FM540" s="59"/>
      <c r="FN540" s="59"/>
      <c r="FO540" s="59"/>
      <c r="FP540" s="59"/>
      <c r="FQ540" s="59"/>
      <c r="FR540" s="59"/>
      <c r="FS540" s="59"/>
      <c r="FT540" s="59"/>
      <c r="FU540" s="59"/>
      <c r="FV540" s="59"/>
      <c r="FW540" s="59"/>
      <c r="FX540" s="59"/>
      <c r="FY540" s="59"/>
      <c r="FZ540" s="59"/>
      <c r="GA540" s="59"/>
      <c r="GB540" s="59"/>
      <c r="GC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  <c r="CP541" s="59"/>
      <c r="CQ541" s="59"/>
      <c r="CR541" s="59"/>
      <c r="CS541" s="59"/>
      <c r="CT541" s="59"/>
      <c r="CU541" s="59"/>
      <c r="CV541" s="59"/>
      <c r="CW541" s="59"/>
      <c r="CX541" s="59"/>
      <c r="CY541" s="59"/>
      <c r="CZ541" s="59"/>
      <c r="DA541" s="59"/>
      <c r="DB541" s="59"/>
      <c r="DC541" s="59"/>
      <c r="DD541" s="59"/>
      <c r="DE541" s="59"/>
      <c r="DF541" s="59"/>
      <c r="DG541" s="59"/>
      <c r="DH541" s="59"/>
      <c r="DI541" s="59"/>
      <c r="DJ541" s="59"/>
      <c r="DK541" s="59"/>
      <c r="DL541" s="59"/>
      <c r="DM541" s="59"/>
      <c r="DN541" s="59"/>
      <c r="DO541" s="59"/>
      <c r="DP541" s="59"/>
      <c r="DQ541" s="59"/>
      <c r="DR541" s="59"/>
      <c r="DS541" s="59"/>
      <c r="DT541" s="59"/>
      <c r="DU541" s="59"/>
      <c r="DV541" s="59"/>
      <c r="DW541" s="59"/>
      <c r="DX541" s="59"/>
      <c r="DY541" s="59"/>
      <c r="DZ541" s="59"/>
      <c r="EA541" s="59"/>
      <c r="EB541" s="59"/>
      <c r="EC541" s="59"/>
      <c r="ED541" s="59"/>
      <c r="EE541" s="59"/>
      <c r="EF541" s="59"/>
      <c r="EG541" s="59"/>
      <c r="EH541" s="59"/>
      <c r="EI541" s="59"/>
      <c r="EJ541" s="59"/>
      <c r="EK541" s="59"/>
      <c r="EL541" s="59"/>
      <c r="EM541" s="59"/>
      <c r="EN541" s="59"/>
      <c r="EO541" s="59"/>
      <c r="EP541" s="59"/>
      <c r="EQ541" s="59"/>
      <c r="ER541" s="59"/>
      <c r="ES541" s="59"/>
      <c r="ET541" s="59"/>
      <c r="EU541" s="59"/>
      <c r="EV541" s="59"/>
      <c r="EW541" s="59"/>
      <c r="EX541" s="59"/>
      <c r="EY541" s="59"/>
      <c r="EZ541" s="59"/>
      <c r="FA541" s="59"/>
      <c r="FB541" s="59"/>
      <c r="FC541" s="59"/>
      <c r="FD541" s="59"/>
      <c r="FE541" s="59"/>
      <c r="FF541" s="59"/>
      <c r="FG541" s="59"/>
      <c r="FH541" s="59"/>
      <c r="FI541" s="59"/>
      <c r="FJ541" s="59"/>
      <c r="FK541" s="59"/>
      <c r="FL541" s="59"/>
      <c r="FM541" s="59"/>
      <c r="FN541" s="59"/>
      <c r="FO541" s="59"/>
      <c r="FP541" s="59"/>
      <c r="FQ541" s="59"/>
      <c r="FR541" s="59"/>
      <c r="FS541" s="59"/>
      <c r="FT541" s="59"/>
      <c r="FU541" s="59"/>
      <c r="FV541" s="59"/>
      <c r="FW541" s="59"/>
      <c r="FX541" s="59"/>
      <c r="FY541" s="59"/>
      <c r="FZ541" s="59"/>
      <c r="GA541" s="59"/>
      <c r="GB541" s="59"/>
      <c r="GC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  <c r="CP542" s="59"/>
      <c r="CQ542" s="59"/>
      <c r="CR542" s="59"/>
      <c r="CS542" s="59"/>
      <c r="CT542" s="59"/>
      <c r="CU542" s="59"/>
      <c r="CV542" s="59"/>
      <c r="CW542" s="59"/>
      <c r="CX542" s="59"/>
      <c r="CY542" s="59"/>
      <c r="CZ542" s="59"/>
      <c r="DA542" s="59"/>
      <c r="DB542" s="59"/>
      <c r="DC542" s="59"/>
      <c r="DD542" s="59"/>
      <c r="DE542" s="59"/>
      <c r="DF542" s="59"/>
      <c r="DG542" s="59"/>
      <c r="DH542" s="59"/>
      <c r="DI542" s="59"/>
      <c r="DJ542" s="59"/>
      <c r="DK542" s="59"/>
      <c r="DL542" s="59"/>
      <c r="DM542" s="59"/>
      <c r="DN542" s="59"/>
      <c r="DO542" s="59"/>
      <c r="DP542" s="59"/>
      <c r="DQ542" s="59"/>
      <c r="DR542" s="59"/>
      <c r="DS542" s="59"/>
      <c r="DT542" s="59"/>
      <c r="DU542" s="59"/>
      <c r="DV542" s="59"/>
      <c r="DW542" s="59"/>
      <c r="DX542" s="59"/>
      <c r="DY542" s="59"/>
      <c r="DZ542" s="59"/>
      <c r="EA542" s="59"/>
      <c r="EB542" s="59"/>
      <c r="EC542" s="59"/>
      <c r="ED542" s="59"/>
      <c r="EE542" s="59"/>
      <c r="EF542" s="59"/>
      <c r="EG542" s="59"/>
      <c r="EH542" s="59"/>
      <c r="EI542" s="59"/>
      <c r="EJ542" s="59"/>
      <c r="EK542" s="59"/>
      <c r="EL542" s="59"/>
      <c r="EM542" s="59"/>
      <c r="EN542" s="59"/>
      <c r="EO542" s="59"/>
      <c r="EP542" s="59"/>
      <c r="EQ542" s="59"/>
      <c r="ER542" s="59"/>
      <c r="ES542" s="59"/>
      <c r="ET542" s="59"/>
      <c r="EU542" s="59"/>
      <c r="EV542" s="59"/>
      <c r="EW542" s="59"/>
      <c r="EX542" s="59"/>
      <c r="EY542" s="59"/>
      <c r="EZ542" s="59"/>
      <c r="FA542" s="59"/>
      <c r="FB542" s="59"/>
      <c r="FC542" s="59"/>
      <c r="FD542" s="59"/>
      <c r="FE542" s="59"/>
      <c r="FF542" s="59"/>
      <c r="FG542" s="59"/>
      <c r="FH542" s="59"/>
      <c r="FI542" s="59"/>
      <c r="FJ542" s="59"/>
      <c r="FK542" s="59"/>
      <c r="FL542" s="59"/>
      <c r="FM542" s="59"/>
      <c r="FN542" s="59"/>
      <c r="FO542" s="59"/>
      <c r="FP542" s="59"/>
      <c r="FQ542" s="59"/>
      <c r="FR542" s="59"/>
      <c r="FS542" s="59"/>
      <c r="FT542" s="59"/>
      <c r="FU542" s="59"/>
      <c r="FV542" s="59"/>
      <c r="FW542" s="59"/>
      <c r="FX542" s="59"/>
      <c r="FY542" s="59"/>
      <c r="FZ542" s="59"/>
      <c r="GA542" s="59"/>
      <c r="GB542" s="59"/>
      <c r="GC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/>
      <c r="CN543" s="59"/>
      <c r="CO543" s="59"/>
      <c r="CP543" s="59"/>
      <c r="CQ543" s="59"/>
      <c r="CR543" s="59"/>
      <c r="CS543" s="59"/>
      <c r="CT543" s="59"/>
      <c r="CU543" s="59"/>
      <c r="CV543" s="59"/>
      <c r="CW543" s="59"/>
      <c r="CX543" s="59"/>
      <c r="CY543" s="59"/>
      <c r="CZ543" s="59"/>
      <c r="DA543" s="59"/>
      <c r="DB543" s="59"/>
      <c r="DC543" s="59"/>
      <c r="DD543" s="59"/>
      <c r="DE543" s="59"/>
      <c r="DF543" s="59"/>
      <c r="DG543" s="59"/>
      <c r="DH543" s="59"/>
      <c r="DI543" s="59"/>
      <c r="DJ543" s="59"/>
      <c r="DK543" s="59"/>
      <c r="DL543" s="59"/>
      <c r="DM543" s="59"/>
      <c r="DN543" s="59"/>
      <c r="DO543" s="59"/>
      <c r="DP543" s="59"/>
      <c r="DQ543" s="59"/>
      <c r="DR543" s="59"/>
      <c r="DS543" s="59"/>
      <c r="DT543" s="59"/>
      <c r="DU543" s="59"/>
      <c r="DV543" s="59"/>
      <c r="DW543" s="59"/>
      <c r="DX543" s="59"/>
      <c r="DY543" s="59"/>
      <c r="DZ543" s="59"/>
      <c r="EA543" s="59"/>
      <c r="EB543" s="59"/>
      <c r="EC543" s="59"/>
      <c r="ED543" s="59"/>
      <c r="EE543" s="59"/>
      <c r="EF543" s="59"/>
      <c r="EG543" s="59"/>
      <c r="EH543" s="59"/>
      <c r="EI543" s="59"/>
      <c r="EJ543" s="59"/>
      <c r="EK543" s="59"/>
      <c r="EL543" s="59"/>
      <c r="EM543" s="59"/>
      <c r="EN543" s="59"/>
      <c r="EO543" s="59"/>
      <c r="EP543" s="59"/>
      <c r="EQ543" s="59"/>
      <c r="ER543" s="59"/>
      <c r="ES543" s="59"/>
      <c r="ET543" s="59"/>
      <c r="EU543" s="59"/>
      <c r="EV543" s="59"/>
      <c r="EW543" s="59"/>
      <c r="EX543" s="59"/>
      <c r="EY543" s="59"/>
      <c r="EZ543" s="59"/>
      <c r="FA543" s="59"/>
      <c r="FB543" s="59"/>
      <c r="FC543" s="59"/>
      <c r="FD543" s="59"/>
      <c r="FE543" s="59"/>
      <c r="FF543" s="59"/>
      <c r="FG543" s="59"/>
      <c r="FH543" s="59"/>
      <c r="FI543" s="59"/>
      <c r="FJ543" s="59"/>
      <c r="FK543" s="59"/>
      <c r="FL543" s="59"/>
      <c r="FM543" s="59"/>
      <c r="FN543" s="59"/>
      <c r="FO543" s="59"/>
      <c r="FP543" s="59"/>
      <c r="FQ543" s="59"/>
      <c r="FR543" s="59"/>
      <c r="FS543" s="59"/>
      <c r="FT543" s="59"/>
      <c r="FU543" s="59"/>
      <c r="FV543" s="59"/>
      <c r="FW543" s="59"/>
      <c r="FX543" s="59"/>
      <c r="FY543" s="59"/>
      <c r="FZ543" s="59"/>
      <c r="GA543" s="59"/>
      <c r="GB543" s="59"/>
      <c r="GC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/>
      <c r="CN544" s="59"/>
      <c r="CO544" s="59"/>
      <c r="CP544" s="59"/>
      <c r="CQ544" s="59"/>
      <c r="CR544" s="59"/>
      <c r="CS544" s="59"/>
      <c r="CT544" s="59"/>
      <c r="CU544" s="59"/>
      <c r="CV544" s="59"/>
      <c r="CW544" s="59"/>
      <c r="CX544" s="59"/>
      <c r="CY544" s="59"/>
      <c r="CZ544" s="59"/>
      <c r="DA544" s="59"/>
      <c r="DB544" s="59"/>
      <c r="DC544" s="59"/>
      <c r="DD544" s="59"/>
      <c r="DE544" s="59"/>
      <c r="DF544" s="59"/>
      <c r="DG544" s="59"/>
      <c r="DH544" s="59"/>
      <c r="DI544" s="59"/>
      <c r="DJ544" s="59"/>
      <c r="DK544" s="59"/>
      <c r="DL544" s="59"/>
      <c r="DM544" s="59"/>
      <c r="DN544" s="59"/>
      <c r="DO544" s="59"/>
      <c r="DP544" s="59"/>
      <c r="DQ544" s="59"/>
      <c r="DR544" s="59"/>
      <c r="DS544" s="59"/>
      <c r="DT544" s="59"/>
      <c r="DU544" s="59"/>
      <c r="DV544" s="59"/>
      <c r="DW544" s="59"/>
      <c r="DX544" s="59"/>
      <c r="DY544" s="59"/>
      <c r="DZ544" s="59"/>
      <c r="EA544" s="59"/>
      <c r="EB544" s="59"/>
      <c r="EC544" s="59"/>
      <c r="ED544" s="59"/>
      <c r="EE544" s="59"/>
      <c r="EF544" s="59"/>
      <c r="EG544" s="59"/>
      <c r="EH544" s="59"/>
      <c r="EI544" s="59"/>
      <c r="EJ544" s="59"/>
      <c r="EK544" s="59"/>
      <c r="EL544" s="59"/>
      <c r="EM544" s="59"/>
      <c r="EN544" s="59"/>
      <c r="EO544" s="59"/>
      <c r="EP544" s="59"/>
      <c r="EQ544" s="59"/>
      <c r="ER544" s="59"/>
      <c r="ES544" s="59"/>
      <c r="ET544" s="59"/>
      <c r="EU544" s="59"/>
      <c r="EV544" s="59"/>
      <c r="EW544" s="59"/>
      <c r="EX544" s="59"/>
      <c r="EY544" s="59"/>
      <c r="EZ544" s="59"/>
      <c r="FA544" s="59"/>
      <c r="FB544" s="59"/>
      <c r="FC544" s="59"/>
      <c r="FD544" s="59"/>
      <c r="FE544" s="59"/>
      <c r="FF544" s="59"/>
      <c r="FG544" s="59"/>
      <c r="FH544" s="59"/>
      <c r="FI544" s="59"/>
      <c r="FJ544" s="59"/>
      <c r="FK544" s="59"/>
      <c r="FL544" s="59"/>
      <c r="FM544" s="59"/>
      <c r="FN544" s="59"/>
      <c r="FO544" s="59"/>
      <c r="FP544" s="59"/>
      <c r="FQ544" s="59"/>
      <c r="FR544" s="59"/>
      <c r="FS544" s="59"/>
      <c r="FT544" s="59"/>
      <c r="FU544" s="59"/>
      <c r="FV544" s="59"/>
      <c r="FW544" s="59"/>
      <c r="FX544" s="59"/>
      <c r="FY544" s="59"/>
      <c r="FZ544" s="59"/>
      <c r="GA544" s="59"/>
      <c r="GB544" s="59"/>
      <c r="GC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/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/>
      <c r="CJ545" s="59"/>
      <c r="CK545" s="59"/>
      <c r="CL545" s="59"/>
      <c r="CM545" s="59"/>
      <c r="CN545" s="59"/>
      <c r="CO545" s="59"/>
      <c r="CP545" s="59"/>
      <c r="CQ545" s="59"/>
      <c r="CR545" s="59"/>
      <c r="CS545" s="59"/>
      <c r="CT545" s="59"/>
      <c r="CU545" s="59"/>
      <c r="CV545" s="59"/>
      <c r="CW545" s="59"/>
      <c r="CX545" s="59"/>
      <c r="CY545" s="59"/>
      <c r="CZ545" s="59"/>
      <c r="DA545" s="59"/>
      <c r="DB545" s="59"/>
      <c r="DC545" s="59"/>
      <c r="DD545" s="59"/>
      <c r="DE545" s="59"/>
      <c r="DF545" s="59"/>
      <c r="DG545" s="59"/>
      <c r="DH545" s="59"/>
      <c r="DI545" s="59"/>
      <c r="DJ545" s="59"/>
      <c r="DK545" s="59"/>
      <c r="DL545" s="59"/>
      <c r="DM545" s="59"/>
      <c r="DN545" s="59"/>
      <c r="DO545" s="59"/>
      <c r="DP545" s="59"/>
      <c r="DQ545" s="59"/>
      <c r="DR545" s="59"/>
      <c r="DS545" s="59"/>
      <c r="DT545" s="59"/>
      <c r="DU545" s="59"/>
      <c r="DV545" s="59"/>
      <c r="DW545" s="59"/>
      <c r="DX545" s="59"/>
      <c r="DY545" s="59"/>
      <c r="DZ545" s="59"/>
      <c r="EA545" s="59"/>
      <c r="EB545" s="59"/>
      <c r="EC545" s="59"/>
      <c r="ED545" s="59"/>
      <c r="EE545" s="59"/>
      <c r="EF545" s="59"/>
      <c r="EG545" s="59"/>
      <c r="EH545" s="59"/>
      <c r="EI545" s="59"/>
      <c r="EJ545" s="59"/>
      <c r="EK545" s="59"/>
      <c r="EL545" s="59"/>
      <c r="EM545" s="59"/>
      <c r="EN545" s="59"/>
      <c r="EO545" s="59"/>
      <c r="EP545" s="59"/>
      <c r="EQ545" s="59"/>
      <c r="ER545" s="59"/>
      <c r="ES545" s="59"/>
      <c r="ET545" s="59"/>
      <c r="EU545" s="59"/>
      <c r="EV545" s="59"/>
      <c r="EW545" s="59"/>
      <c r="EX545" s="59"/>
      <c r="EY545" s="59"/>
      <c r="EZ545" s="59"/>
      <c r="FA545" s="59"/>
      <c r="FB545" s="59"/>
      <c r="FC545" s="59"/>
      <c r="FD545" s="59"/>
      <c r="FE545" s="59"/>
      <c r="FF545" s="59"/>
      <c r="FG545" s="59"/>
      <c r="FH545" s="59"/>
      <c r="FI545" s="59"/>
      <c r="FJ545" s="59"/>
      <c r="FK545" s="59"/>
      <c r="FL545" s="59"/>
      <c r="FM545" s="59"/>
      <c r="FN545" s="59"/>
      <c r="FO545" s="59"/>
      <c r="FP545" s="59"/>
      <c r="FQ545" s="59"/>
      <c r="FR545" s="59"/>
      <c r="FS545" s="59"/>
      <c r="FT545" s="59"/>
      <c r="FU545" s="59"/>
      <c r="FV545" s="59"/>
      <c r="FW545" s="59"/>
      <c r="FX545" s="59"/>
      <c r="FY545" s="59"/>
      <c r="FZ545" s="59"/>
      <c r="GA545" s="59"/>
      <c r="GB545" s="59"/>
      <c r="GC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/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/>
      <c r="CJ546" s="59"/>
      <c r="CK546" s="59"/>
      <c r="CL546" s="59"/>
      <c r="CM546" s="59"/>
      <c r="CN546" s="59"/>
      <c r="CO546" s="59"/>
      <c r="CP546" s="59"/>
      <c r="CQ546" s="59"/>
      <c r="CR546" s="59"/>
      <c r="CS546" s="59"/>
      <c r="CT546" s="59"/>
      <c r="CU546" s="59"/>
      <c r="CV546" s="59"/>
      <c r="CW546" s="59"/>
      <c r="CX546" s="59"/>
      <c r="CY546" s="59"/>
      <c r="CZ546" s="59"/>
      <c r="DA546" s="59"/>
      <c r="DB546" s="59"/>
      <c r="DC546" s="59"/>
      <c r="DD546" s="59"/>
      <c r="DE546" s="59"/>
      <c r="DF546" s="59"/>
      <c r="DG546" s="59"/>
      <c r="DH546" s="59"/>
      <c r="DI546" s="59"/>
      <c r="DJ546" s="59"/>
      <c r="DK546" s="59"/>
      <c r="DL546" s="59"/>
      <c r="DM546" s="59"/>
      <c r="DN546" s="59"/>
      <c r="DO546" s="59"/>
      <c r="DP546" s="59"/>
      <c r="DQ546" s="59"/>
      <c r="DR546" s="59"/>
      <c r="DS546" s="59"/>
      <c r="DT546" s="59"/>
      <c r="DU546" s="59"/>
      <c r="DV546" s="59"/>
      <c r="DW546" s="59"/>
      <c r="DX546" s="59"/>
      <c r="DY546" s="59"/>
      <c r="DZ546" s="59"/>
      <c r="EA546" s="59"/>
      <c r="EB546" s="59"/>
      <c r="EC546" s="59"/>
      <c r="ED546" s="59"/>
      <c r="EE546" s="59"/>
      <c r="EF546" s="59"/>
      <c r="EG546" s="59"/>
      <c r="EH546" s="59"/>
      <c r="EI546" s="59"/>
      <c r="EJ546" s="59"/>
      <c r="EK546" s="59"/>
      <c r="EL546" s="59"/>
      <c r="EM546" s="59"/>
      <c r="EN546" s="59"/>
      <c r="EO546" s="59"/>
      <c r="EP546" s="59"/>
      <c r="EQ546" s="59"/>
      <c r="ER546" s="59"/>
      <c r="ES546" s="59"/>
      <c r="ET546" s="59"/>
      <c r="EU546" s="59"/>
      <c r="EV546" s="59"/>
      <c r="EW546" s="59"/>
      <c r="EX546" s="59"/>
      <c r="EY546" s="59"/>
      <c r="EZ546" s="59"/>
      <c r="FA546" s="59"/>
      <c r="FB546" s="59"/>
      <c r="FC546" s="59"/>
      <c r="FD546" s="59"/>
      <c r="FE546" s="59"/>
      <c r="FF546" s="59"/>
      <c r="FG546" s="59"/>
      <c r="FH546" s="59"/>
      <c r="FI546" s="59"/>
      <c r="FJ546" s="59"/>
      <c r="FK546" s="59"/>
      <c r="FL546" s="59"/>
      <c r="FM546" s="59"/>
      <c r="FN546" s="59"/>
      <c r="FO546" s="59"/>
      <c r="FP546" s="59"/>
      <c r="FQ546" s="59"/>
      <c r="FR546" s="59"/>
      <c r="FS546" s="59"/>
      <c r="FT546" s="59"/>
      <c r="FU546" s="59"/>
      <c r="FV546" s="59"/>
      <c r="FW546" s="59"/>
      <c r="FX546" s="59"/>
      <c r="FY546" s="59"/>
      <c r="FZ546" s="59"/>
      <c r="GA546" s="59"/>
      <c r="GB546" s="59"/>
      <c r="GC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/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/>
      <c r="CJ547" s="59"/>
      <c r="CK547" s="59"/>
      <c r="CL547" s="59"/>
      <c r="CM547" s="59"/>
      <c r="CN547" s="59"/>
      <c r="CO547" s="59"/>
      <c r="CP547" s="59"/>
      <c r="CQ547" s="59"/>
      <c r="CR547" s="59"/>
      <c r="CS547" s="59"/>
      <c r="CT547" s="59"/>
      <c r="CU547" s="59"/>
      <c r="CV547" s="59"/>
      <c r="CW547" s="59"/>
      <c r="CX547" s="59"/>
      <c r="CY547" s="59"/>
      <c r="CZ547" s="59"/>
      <c r="DA547" s="59"/>
      <c r="DB547" s="59"/>
      <c r="DC547" s="59"/>
      <c r="DD547" s="59"/>
      <c r="DE547" s="59"/>
      <c r="DF547" s="59"/>
      <c r="DG547" s="59"/>
      <c r="DH547" s="59"/>
      <c r="DI547" s="59"/>
      <c r="DJ547" s="59"/>
      <c r="DK547" s="59"/>
      <c r="DL547" s="59"/>
      <c r="DM547" s="59"/>
      <c r="DN547" s="59"/>
      <c r="DO547" s="59"/>
      <c r="DP547" s="59"/>
      <c r="DQ547" s="59"/>
      <c r="DR547" s="59"/>
      <c r="DS547" s="59"/>
      <c r="DT547" s="59"/>
      <c r="DU547" s="59"/>
      <c r="DV547" s="59"/>
      <c r="DW547" s="59"/>
      <c r="DX547" s="59"/>
      <c r="DY547" s="59"/>
      <c r="DZ547" s="59"/>
      <c r="EA547" s="59"/>
      <c r="EB547" s="59"/>
      <c r="EC547" s="59"/>
      <c r="ED547" s="59"/>
      <c r="EE547" s="59"/>
      <c r="EF547" s="59"/>
      <c r="EG547" s="59"/>
      <c r="EH547" s="59"/>
      <c r="EI547" s="59"/>
      <c r="EJ547" s="59"/>
      <c r="EK547" s="59"/>
      <c r="EL547" s="59"/>
      <c r="EM547" s="59"/>
      <c r="EN547" s="59"/>
      <c r="EO547" s="59"/>
      <c r="EP547" s="59"/>
      <c r="EQ547" s="59"/>
      <c r="ER547" s="59"/>
      <c r="ES547" s="59"/>
      <c r="ET547" s="59"/>
      <c r="EU547" s="59"/>
      <c r="EV547" s="59"/>
      <c r="EW547" s="59"/>
      <c r="EX547" s="59"/>
      <c r="EY547" s="59"/>
      <c r="EZ547" s="59"/>
      <c r="FA547" s="59"/>
      <c r="FB547" s="59"/>
      <c r="FC547" s="59"/>
      <c r="FD547" s="59"/>
      <c r="FE547" s="59"/>
      <c r="FF547" s="59"/>
      <c r="FG547" s="59"/>
      <c r="FH547" s="59"/>
      <c r="FI547" s="59"/>
      <c r="FJ547" s="59"/>
      <c r="FK547" s="59"/>
      <c r="FL547" s="59"/>
      <c r="FM547" s="59"/>
      <c r="FN547" s="59"/>
      <c r="FO547" s="59"/>
      <c r="FP547" s="59"/>
      <c r="FQ547" s="59"/>
      <c r="FR547" s="59"/>
      <c r="FS547" s="59"/>
      <c r="FT547" s="59"/>
      <c r="FU547" s="59"/>
      <c r="FV547" s="59"/>
      <c r="FW547" s="59"/>
      <c r="FX547" s="59"/>
      <c r="FY547" s="59"/>
      <c r="FZ547" s="59"/>
      <c r="GA547" s="59"/>
      <c r="GB547" s="59"/>
      <c r="GC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  <c r="CP548" s="59"/>
      <c r="CQ548" s="59"/>
      <c r="CR548" s="59"/>
      <c r="CS548" s="59"/>
      <c r="CT548" s="59"/>
      <c r="CU548" s="59"/>
      <c r="CV548" s="59"/>
      <c r="CW548" s="59"/>
      <c r="CX548" s="59"/>
      <c r="CY548" s="59"/>
      <c r="CZ548" s="59"/>
      <c r="DA548" s="59"/>
      <c r="DB548" s="59"/>
      <c r="DC548" s="59"/>
      <c r="DD548" s="59"/>
      <c r="DE548" s="59"/>
      <c r="DF548" s="59"/>
      <c r="DG548" s="59"/>
      <c r="DH548" s="59"/>
      <c r="DI548" s="59"/>
      <c r="DJ548" s="59"/>
      <c r="DK548" s="59"/>
      <c r="DL548" s="59"/>
      <c r="DM548" s="59"/>
      <c r="DN548" s="59"/>
      <c r="DO548" s="59"/>
      <c r="DP548" s="59"/>
      <c r="DQ548" s="59"/>
      <c r="DR548" s="59"/>
      <c r="DS548" s="59"/>
      <c r="DT548" s="59"/>
      <c r="DU548" s="59"/>
      <c r="DV548" s="59"/>
      <c r="DW548" s="59"/>
      <c r="DX548" s="59"/>
      <c r="DY548" s="59"/>
      <c r="DZ548" s="59"/>
      <c r="EA548" s="59"/>
      <c r="EB548" s="59"/>
      <c r="EC548" s="59"/>
      <c r="ED548" s="59"/>
      <c r="EE548" s="59"/>
      <c r="EF548" s="59"/>
      <c r="EG548" s="59"/>
      <c r="EH548" s="59"/>
      <c r="EI548" s="59"/>
      <c r="EJ548" s="59"/>
      <c r="EK548" s="59"/>
      <c r="EL548" s="59"/>
      <c r="EM548" s="59"/>
      <c r="EN548" s="59"/>
      <c r="EO548" s="59"/>
      <c r="EP548" s="59"/>
      <c r="EQ548" s="59"/>
      <c r="ER548" s="59"/>
      <c r="ES548" s="59"/>
      <c r="ET548" s="59"/>
      <c r="EU548" s="59"/>
      <c r="EV548" s="59"/>
      <c r="EW548" s="59"/>
      <c r="EX548" s="59"/>
      <c r="EY548" s="59"/>
      <c r="EZ548" s="59"/>
      <c r="FA548" s="59"/>
      <c r="FB548" s="59"/>
      <c r="FC548" s="59"/>
      <c r="FD548" s="59"/>
      <c r="FE548" s="59"/>
      <c r="FF548" s="59"/>
      <c r="FG548" s="59"/>
      <c r="FH548" s="59"/>
      <c r="FI548" s="59"/>
      <c r="FJ548" s="59"/>
      <c r="FK548" s="59"/>
      <c r="FL548" s="59"/>
      <c r="FM548" s="59"/>
      <c r="FN548" s="59"/>
      <c r="FO548" s="59"/>
      <c r="FP548" s="59"/>
      <c r="FQ548" s="59"/>
      <c r="FR548" s="59"/>
      <c r="FS548" s="59"/>
      <c r="FT548" s="59"/>
      <c r="FU548" s="59"/>
      <c r="FV548" s="59"/>
      <c r="FW548" s="59"/>
      <c r="FX548" s="59"/>
      <c r="FY548" s="59"/>
      <c r="FZ548" s="59"/>
      <c r="GA548" s="59"/>
      <c r="GB548" s="59"/>
      <c r="GC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  <c r="CP549" s="59"/>
      <c r="CQ549" s="59"/>
      <c r="CR549" s="59"/>
      <c r="CS549" s="59"/>
      <c r="CT549" s="59"/>
      <c r="CU549" s="59"/>
      <c r="CV549" s="59"/>
      <c r="CW549" s="59"/>
      <c r="CX549" s="59"/>
      <c r="CY549" s="59"/>
      <c r="CZ549" s="59"/>
      <c r="DA549" s="59"/>
      <c r="DB549" s="59"/>
      <c r="DC549" s="59"/>
      <c r="DD549" s="59"/>
      <c r="DE549" s="59"/>
      <c r="DF549" s="59"/>
      <c r="DG549" s="59"/>
      <c r="DH549" s="59"/>
      <c r="DI549" s="59"/>
      <c r="DJ549" s="59"/>
      <c r="DK549" s="59"/>
      <c r="DL549" s="59"/>
      <c r="DM549" s="59"/>
      <c r="DN549" s="59"/>
      <c r="DO549" s="59"/>
      <c r="DP549" s="59"/>
      <c r="DQ549" s="59"/>
      <c r="DR549" s="59"/>
      <c r="DS549" s="59"/>
      <c r="DT549" s="59"/>
      <c r="DU549" s="59"/>
      <c r="DV549" s="59"/>
      <c r="DW549" s="59"/>
      <c r="DX549" s="59"/>
      <c r="DY549" s="59"/>
      <c r="DZ549" s="59"/>
      <c r="EA549" s="59"/>
      <c r="EB549" s="59"/>
      <c r="EC549" s="59"/>
      <c r="ED549" s="59"/>
      <c r="EE549" s="59"/>
      <c r="EF549" s="59"/>
      <c r="EG549" s="59"/>
      <c r="EH549" s="59"/>
      <c r="EI549" s="59"/>
      <c r="EJ549" s="59"/>
      <c r="EK549" s="59"/>
      <c r="EL549" s="59"/>
      <c r="EM549" s="59"/>
      <c r="EN549" s="59"/>
      <c r="EO549" s="59"/>
      <c r="EP549" s="59"/>
      <c r="EQ549" s="59"/>
      <c r="ER549" s="59"/>
      <c r="ES549" s="59"/>
      <c r="ET549" s="59"/>
      <c r="EU549" s="59"/>
      <c r="EV549" s="59"/>
      <c r="EW549" s="59"/>
      <c r="EX549" s="59"/>
      <c r="EY549" s="59"/>
      <c r="EZ549" s="59"/>
      <c r="FA549" s="59"/>
      <c r="FB549" s="59"/>
      <c r="FC549" s="59"/>
      <c r="FD549" s="59"/>
      <c r="FE549" s="59"/>
      <c r="FF549" s="59"/>
      <c r="FG549" s="59"/>
      <c r="FH549" s="59"/>
      <c r="FI549" s="59"/>
      <c r="FJ549" s="59"/>
      <c r="FK549" s="59"/>
      <c r="FL549" s="59"/>
      <c r="FM549" s="59"/>
      <c r="FN549" s="59"/>
      <c r="FO549" s="59"/>
      <c r="FP549" s="59"/>
      <c r="FQ549" s="59"/>
      <c r="FR549" s="59"/>
      <c r="FS549" s="59"/>
      <c r="FT549" s="59"/>
      <c r="FU549" s="59"/>
      <c r="FV549" s="59"/>
      <c r="FW549" s="59"/>
      <c r="FX549" s="59"/>
      <c r="FY549" s="59"/>
      <c r="FZ549" s="59"/>
      <c r="GA549" s="59"/>
      <c r="GB549" s="59"/>
      <c r="GC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  <c r="CP550" s="59"/>
      <c r="CQ550" s="59"/>
      <c r="CR550" s="59"/>
      <c r="CS550" s="59"/>
      <c r="CT550" s="59"/>
      <c r="CU550" s="59"/>
      <c r="CV550" s="59"/>
      <c r="CW550" s="59"/>
      <c r="CX550" s="59"/>
      <c r="CY550" s="59"/>
      <c r="CZ550" s="59"/>
      <c r="DA550" s="59"/>
      <c r="DB550" s="59"/>
      <c r="DC550" s="59"/>
      <c r="DD550" s="59"/>
      <c r="DE550" s="59"/>
      <c r="DF550" s="59"/>
      <c r="DG550" s="59"/>
      <c r="DH550" s="59"/>
      <c r="DI550" s="59"/>
      <c r="DJ550" s="59"/>
      <c r="DK550" s="59"/>
      <c r="DL550" s="59"/>
      <c r="DM550" s="59"/>
      <c r="DN550" s="59"/>
      <c r="DO550" s="59"/>
      <c r="DP550" s="59"/>
      <c r="DQ550" s="59"/>
      <c r="DR550" s="59"/>
      <c r="DS550" s="59"/>
      <c r="DT550" s="59"/>
      <c r="DU550" s="59"/>
      <c r="DV550" s="59"/>
      <c r="DW550" s="59"/>
      <c r="DX550" s="59"/>
      <c r="DY550" s="59"/>
      <c r="DZ550" s="59"/>
      <c r="EA550" s="59"/>
      <c r="EB550" s="59"/>
      <c r="EC550" s="59"/>
      <c r="ED550" s="59"/>
      <c r="EE550" s="59"/>
      <c r="EF550" s="59"/>
      <c r="EG550" s="59"/>
      <c r="EH550" s="59"/>
      <c r="EI550" s="59"/>
      <c r="EJ550" s="59"/>
      <c r="EK550" s="59"/>
      <c r="EL550" s="59"/>
      <c r="EM550" s="59"/>
      <c r="EN550" s="59"/>
      <c r="EO550" s="59"/>
      <c r="EP550" s="59"/>
      <c r="EQ550" s="59"/>
      <c r="ER550" s="59"/>
      <c r="ES550" s="59"/>
      <c r="ET550" s="59"/>
      <c r="EU550" s="59"/>
      <c r="EV550" s="59"/>
      <c r="EW550" s="59"/>
      <c r="EX550" s="59"/>
      <c r="EY550" s="59"/>
      <c r="EZ550" s="59"/>
      <c r="FA550" s="59"/>
      <c r="FB550" s="59"/>
      <c r="FC550" s="59"/>
      <c r="FD550" s="59"/>
      <c r="FE550" s="59"/>
      <c r="FF550" s="59"/>
      <c r="FG550" s="59"/>
      <c r="FH550" s="59"/>
      <c r="FI550" s="59"/>
      <c r="FJ550" s="59"/>
      <c r="FK550" s="59"/>
      <c r="FL550" s="59"/>
      <c r="FM550" s="59"/>
      <c r="FN550" s="59"/>
      <c r="FO550" s="59"/>
      <c r="FP550" s="59"/>
      <c r="FQ550" s="59"/>
      <c r="FR550" s="59"/>
      <c r="FS550" s="59"/>
      <c r="FT550" s="59"/>
      <c r="FU550" s="59"/>
      <c r="FV550" s="59"/>
      <c r="FW550" s="59"/>
      <c r="FX550" s="59"/>
      <c r="FY550" s="59"/>
      <c r="FZ550" s="59"/>
      <c r="GA550" s="59"/>
      <c r="GB550" s="59"/>
      <c r="GC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  <c r="CP551" s="59"/>
      <c r="CQ551" s="59"/>
      <c r="CR551" s="59"/>
      <c r="CS551" s="59"/>
      <c r="CT551" s="59"/>
      <c r="CU551" s="59"/>
      <c r="CV551" s="59"/>
      <c r="CW551" s="59"/>
      <c r="CX551" s="59"/>
      <c r="CY551" s="59"/>
      <c r="CZ551" s="59"/>
      <c r="DA551" s="59"/>
      <c r="DB551" s="59"/>
      <c r="DC551" s="59"/>
      <c r="DD551" s="59"/>
      <c r="DE551" s="59"/>
      <c r="DF551" s="59"/>
      <c r="DG551" s="59"/>
      <c r="DH551" s="59"/>
      <c r="DI551" s="59"/>
      <c r="DJ551" s="59"/>
      <c r="DK551" s="59"/>
      <c r="DL551" s="59"/>
      <c r="DM551" s="59"/>
      <c r="DN551" s="59"/>
      <c r="DO551" s="59"/>
      <c r="DP551" s="59"/>
      <c r="DQ551" s="59"/>
      <c r="DR551" s="59"/>
      <c r="DS551" s="59"/>
      <c r="DT551" s="59"/>
      <c r="DU551" s="59"/>
      <c r="DV551" s="59"/>
      <c r="DW551" s="59"/>
      <c r="DX551" s="59"/>
      <c r="DY551" s="59"/>
      <c r="DZ551" s="59"/>
      <c r="EA551" s="59"/>
      <c r="EB551" s="59"/>
      <c r="EC551" s="59"/>
      <c r="ED551" s="59"/>
      <c r="EE551" s="59"/>
      <c r="EF551" s="59"/>
      <c r="EG551" s="59"/>
      <c r="EH551" s="59"/>
      <c r="EI551" s="59"/>
      <c r="EJ551" s="59"/>
      <c r="EK551" s="59"/>
      <c r="EL551" s="59"/>
      <c r="EM551" s="59"/>
      <c r="EN551" s="59"/>
      <c r="EO551" s="59"/>
      <c r="EP551" s="59"/>
      <c r="EQ551" s="59"/>
      <c r="ER551" s="59"/>
      <c r="ES551" s="59"/>
      <c r="ET551" s="59"/>
      <c r="EU551" s="59"/>
      <c r="EV551" s="59"/>
      <c r="EW551" s="59"/>
      <c r="EX551" s="59"/>
      <c r="EY551" s="59"/>
      <c r="EZ551" s="59"/>
      <c r="FA551" s="59"/>
      <c r="FB551" s="59"/>
      <c r="FC551" s="59"/>
      <c r="FD551" s="59"/>
      <c r="FE551" s="59"/>
      <c r="FF551" s="59"/>
      <c r="FG551" s="59"/>
      <c r="FH551" s="59"/>
      <c r="FI551" s="59"/>
      <c r="FJ551" s="59"/>
      <c r="FK551" s="59"/>
      <c r="FL551" s="59"/>
      <c r="FM551" s="59"/>
      <c r="FN551" s="59"/>
      <c r="FO551" s="59"/>
      <c r="FP551" s="59"/>
      <c r="FQ551" s="59"/>
      <c r="FR551" s="59"/>
      <c r="FS551" s="59"/>
      <c r="FT551" s="59"/>
      <c r="FU551" s="59"/>
      <c r="FV551" s="59"/>
      <c r="FW551" s="59"/>
      <c r="FX551" s="59"/>
      <c r="FY551" s="59"/>
      <c r="FZ551" s="59"/>
      <c r="GA551" s="59"/>
      <c r="GB551" s="59"/>
      <c r="GC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  <c r="CP552" s="59"/>
      <c r="CQ552" s="59"/>
      <c r="CR552" s="59"/>
      <c r="CS552" s="59"/>
      <c r="CT552" s="59"/>
      <c r="CU552" s="59"/>
      <c r="CV552" s="59"/>
      <c r="CW552" s="59"/>
      <c r="CX552" s="59"/>
      <c r="CY552" s="59"/>
      <c r="CZ552" s="59"/>
      <c r="DA552" s="59"/>
      <c r="DB552" s="59"/>
      <c r="DC552" s="59"/>
      <c r="DD552" s="59"/>
      <c r="DE552" s="59"/>
      <c r="DF552" s="59"/>
      <c r="DG552" s="59"/>
      <c r="DH552" s="59"/>
      <c r="DI552" s="59"/>
      <c r="DJ552" s="59"/>
      <c r="DK552" s="59"/>
      <c r="DL552" s="59"/>
      <c r="DM552" s="59"/>
      <c r="DN552" s="59"/>
      <c r="DO552" s="59"/>
      <c r="DP552" s="59"/>
      <c r="DQ552" s="59"/>
      <c r="DR552" s="59"/>
      <c r="DS552" s="59"/>
      <c r="DT552" s="59"/>
      <c r="DU552" s="59"/>
      <c r="DV552" s="59"/>
      <c r="DW552" s="59"/>
      <c r="DX552" s="59"/>
      <c r="DY552" s="59"/>
      <c r="DZ552" s="59"/>
      <c r="EA552" s="59"/>
      <c r="EB552" s="59"/>
      <c r="EC552" s="59"/>
      <c r="ED552" s="59"/>
      <c r="EE552" s="59"/>
      <c r="EF552" s="59"/>
      <c r="EG552" s="59"/>
      <c r="EH552" s="59"/>
      <c r="EI552" s="59"/>
      <c r="EJ552" s="59"/>
      <c r="EK552" s="59"/>
      <c r="EL552" s="59"/>
      <c r="EM552" s="59"/>
      <c r="EN552" s="59"/>
      <c r="EO552" s="59"/>
      <c r="EP552" s="59"/>
      <c r="EQ552" s="59"/>
      <c r="ER552" s="59"/>
      <c r="ES552" s="59"/>
      <c r="ET552" s="59"/>
      <c r="EU552" s="59"/>
      <c r="EV552" s="59"/>
      <c r="EW552" s="59"/>
      <c r="EX552" s="59"/>
      <c r="EY552" s="59"/>
      <c r="EZ552" s="59"/>
      <c r="FA552" s="59"/>
      <c r="FB552" s="59"/>
      <c r="FC552" s="59"/>
      <c r="FD552" s="59"/>
      <c r="FE552" s="59"/>
      <c r="FF552" s="59"/>
      <c r="FG552" s="59"/>
      <c r="FH552" s="59"/>
      <c r="FI552" s="59"/>
      <c r="FJ552" s="59"/>
      <c r="FK552" s="59"/>
      <c r="FL552" s="59"/>
      <c r="FM552" s="59"/>
      <c r="FN552" s="59"/>
      <c r="FO552" s="59"/>
      <c r="FP552" s="59"/>
      <c r="FQ552" s="59"/>
      <c r="FR552" s="59"/>
      <c r="FS552" s="59"/>
      <c r="FT552" s="59"/>
      <c r="FU552" s="59"/>
      <c r="FV552" s="59"/>
      <c r="FW552" s="59"/>
      <c r="FX552" s="59"/>
      <c r="FY552" s="59"/>
      <c r="FZ552" s="59"/>
      <c r="GA552" s="59"/>
      <c r="GB552" s="59"/>
      <c r="GC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  <c r="CP553" s="59"/>
      <c r="CQ553" s="59"/>
      <c r="CR553" s="59"/>
      <c r="CS553" s="59"/>
      <c r="CT553" s="59"/>
      <c r="CU553" s="59"/>
      <c r="CV553" s="59"/>
      <c r="CW553" s="59"/>
      <c r="CX553" s="59"/>
      <c r="CY553" s="59"/>
      <c r="CZ553" s="59"/>
      <c r="DA553" s="59"/>
      <c r="DB553" s="59"/>
      <c r="DC553" s="59"/>
      <c r="DD553" s="59"/>
      <c r="DE553" s="59"/>
      <c r="DF553" s="59"/>
      <c r="DG553" s="59"/>
      <c r="DH553" s="59"/>
      <c r="DI553" s="59"/>
      <c r="DJ553" s="59"/>
      <c r="DK553" s="59"/>
      <c r="DL553" s="59"/>
      <c r="DM553" s="59"/>
      <c r="DN553" s="59"/>
      <c r="DO553" s="59"/>
      <c r="DP553" s="59"/>
      <c r="DQ553" s="59"/>
      <c r="DR553" s="59"/>
      <c r="DS553" s="59"/>
      <c r="DT553" s="59"/>
      <c r="DU553" s="59"/>
      <c r="DV553" s="59"/>
      <c r="DW553" s="59"/>
      <c r="DX553" s="59"/>
      <c r="DY553" s="59"/>
      <c r="DZ553" s="59"/>
      <c r="EA553" s="59"/>
      <c r="EB553" s="59"/>
      <c r="EC553" s="59"/>
      <c r="ED553" s="59"/>
      <c r="EE553" s="59"/>
      <c r="EF553" s="59"/>
      <c r="EG553" s="59"/>
      <c r="EH553" s="59"/>
      <c r="EI553" s="59"/>
      <c r="EJ553" s="59"/>
      <c r="EK553" s="59"/>
      <c r="EL553" s="59"/>
      <c r="EM553" s="59"/>
      <c r="EN553" s="59"/>
      <c r="EO553" s="59"/>
      <c r="EP553" s="59"/>
      <c r="EQ553" s="59"/>
      <c r="ER553" s="59"/>
      <c r="ES553" s="59"/>
      <c r="ET553" s="59"/>
      <c r="EU553" s="59"/>
      <c r="EV553" s="59"/>
      <c r="EW553" s="59"/>
      <c r="EX553" s="59"/>
      <c r="EY553" s="59"/>
      <c r="EZ553" s="59"/>
      <c r="FA553" s="59"/>
      <c r="FB553" s="59"/>
      <c r="FC553" s="59"/>
      <c r="FD553" s="59"/>
      <c r="FE553" s="59"/>
      <c r="FF553" s="59"/>
      <c r="FG553" s="59"/>
      <c r="FH553" s="59"/>
      <c r="FI553" s="59"/>
      <c r="FJ553" s="59"/>
      <c r="FK553" s="59"/>
      <c r="FL553" s="59"/>
      <c r="FM553" s="59"/>
      <c r="FN553" s="59"/>
      <c r="FO553" s="59"/>
      <c r="FP553" s="59"/>
      <c r="FQ553" s="59"/>
      <c r="FR553" s="59"/>
      <c r="FS553" s="59"/>
      <c r="FT553" s="59"/>
      <c r="FU553" s="59"/>
      <c r="FV553" s="59"/>
      <c r="FW553" s="59"/>
      <c r="FX553" s="59"/>
      <c r="FY553" s="59"/>
      <c r="FZ553" s="59"/>
      <c r="GA553" s="59"/>
      <c r="GB553" s="59"/>
      <c r="GC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/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  <c r="CP554" s="59"/>
      <c r="CQ554" s="59"/>
      <c r="CR554" s="59"/>
      <c r="CS554" s="59"/>
      <c r="CT554" s="59"/>
      <c r="CU554" s="59"/>
      <c r="CV554" s="59"/>
      <c r="CW554" s="59"/>
      <c r="CX554" s="59"/>
      <c r="CY554" s="59"/>
      <c r="CZ554" s="59"/>
      <c r="DA554" s="59"/>
      <c r="DB554" s="59"/>
      <c r="DC554" s="59"/>
      <c r="DD554" s="59"/>
      <c r="DE554" s="59"/>
      <c r="DF554" s="59"/>
      <c r="DG554" s="59"/>
      <c r="DH554" s="59"/>
      <c r="DI554" s="59"/>
      <c r="DJ554" s="59"/>
      <c r="DK554" s="59"/>
      <c r="DL554" s="59"/>
      <c r="DM554" s="59"/>
      <c r="DN554" s="59"/>
      <c r="DO554" s="59"/>
      <c r="DP554" s="59"/>
      <c r="DQ554" s="59"/>
      <c r="DR554" s="59"/>
      <c r="DS554" s="59"/>
      <c r="DT554" s="59"/>
      <c r="DU554" s="59"/>
      <c r="DV554" s="59"/>
      <c r="DW554" s="59"/>
      <c r="DX554" s="59"/>
      <c r="DY554" s="59"/>
      <c r="DZ554" s="59"/>
      <c r="EA554" s="59"/>
      <c r="EB554" s="59"/>
      <c r="EC554" s="59"/>
      <c r="ED554" s="59"/>
      <c r="EE554" s="59"/>
      <c r="EF554" s="59"/>
      <c r="EG554" s="59"/>
      <c r="EH554" s="59"/>
      <c r="EI554" s="59"/>
      <c r="EJ554" s="59"/>
      <c r="EK554" s="59"/>
      <c r="EL554" s="59"/>
      <c r="EM554" s="59"/>
      <c r="EN554" s="59"/>
      <c r="EO554" s="59"/>
      <c r="EP554" s="59"/>
      <c r="EQ554" s="59"/>
      <c r="ER554" s="59"/>
      <c r="ES554" s="59"/>
      <c r="ET554" s="59"/>
      <c r="EU554" s="59"/>
      <c r="EV554" s="59"/>
      <c r="EW554" s="59"/>
      <c r="EX554" s="59"/>
      <c r="EY554" s="59"/>
      <c r="EZ554" s="59"/>
      <c r="FA554" s="59"/>
      <c r="FB554" s="59"/>
      <c r="FC554" s="59"/>
      <c r="FD554" s="59"/>
      <c r="FE554" s="59"/>
      <c r="FF554" s="59"/>
      <c r="FG554" s="59"/>
      <c r="FH554" s="59"/>
      <c r="FI554" s="59"/>
      <c r="FJ554" s="59"/>
      <c r="FK554" s="59"/>
      <c r="FL554" s="59"/>
      <c r="FM554" s="59"/>
      <c r="FN554" s="59"/>
      <c r="FO554" s="59"/>
      <c r="FP554" s="59"/>
      <c r="FQ554" s="59"/>
      <c r="FR554" s="59"/>
      <c r="FS554" s="59"/>
      <c r="FT554" s="59"/>
      <c r="FU554" s="59"/>
      <c r="FV554" s="59"/>
      <c r="FW554" s="59"/>
      <c r="FX554" s="59"/>
      <c r="FY554" s="59"/>
      <c r="FZ554" s="59"/>
      <c r="GA554" s="59"/>
      <c r="GB554" s="59"/>
      <c r="GC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/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  <c r="CP555" s="59"/>
      <c r="CQ555" s="59"/>
      <c r="CR555" s="59"/>
      <c r="CS555" s="59"/>
      <c r="CT555" s="59"/>
      <c r="CU555" s="59"/>
      <c r="CV555" s="59"/>
      <c r="CW555" s="59"/>
      <c r="CX555" s="59"/>
      <c r="CY555" s="59"/>
      <c r="CZ555" s="59"/>
      <c r="DA555" s="59"/>
      <c r="DB555" s="59"/>
      <c r="DC555" s="59"/>
      <c r="DD555" s="59"/>
      <c r="DE555" s="59"/>
      <c r="DF555" s="59"/>
      <c r="DG555" s="59"/>
      <c r="DH555" s="59"/>
      <c r="DI555" s="59"/>
      <c r="DJ555" s="59"/>
      <c r="DK555" s="59"/>
      <c r="DL555" s="59"/>
      <c r="DM555" s="59"/>
      <c r="DN555" s="59"/>
      <c r="DO555" s="59"/>
      <c r="DP555" s="59"/>
      <c r="DQ555" s="59"/>
      <c r="DR555" s="59"/>
      <c r="DS555" s="59"/>
      <c r="DT555" s="59"/>
      <c r="DU555" s="59"/>
      <c r="DV555" s="59"/>
      <c r="DW555" s="59"/>
      <c r="DX555" s="59"/>
      <c r="DY555" s="59"/>
      <c r="DZ555" s="59"/>
      <c r="EA555" s="59"/>
      <c r="EB555" s="59"/>
      <c r="EC555" s="59"/>
      <c r="ED555" s="59"/>
      <c r="EE555" s="59"/>
      <c r="EF555" s="59"/>
      <c r="EG555" s="59"/>
      <c r="EH555" s="59"/>
      <c r="EI555" s="59"/>
      <c r="EJ555" s="59"/>
      <c r="EK555" s="59"/>
      <c r="EL555" s="59"/>
      <c r="EM555" s="59"/>
      <c r="EN555" s="59"/>
      <c r="EO555" s="59"/>
      <c r="EP555" s="59"/>
      <c r="EQ555" s="59"/>
      <c r="ER555" s="59"/>
      <c r="ES555" s="59"/>
      <c r="ET555" s="59"/>
      <c r="EU555" s="59"/>
      <c r="EV555" s="59"/>
      <c r="EW555" s="59"/>
      <c r="EX555" s="59"/>
      <c r="EY555" s="59"/>
      <c r="EZ555" s="59"/>
      <c r="FA555" s="59"/>
      <c r="FB555" s="59"/>
      <c r="FC555" s="59"/>
      <c r="FD555" s="59"/>
      <c r="FE555" s="59"/>
      <c r="FF555" s="59"/>
      <c r="FG555" s="59"/>
      <c r="FH555" s="59"/>
      <c r="FI555" s="59"/>
      <c r="FJ555" s="59"/>
      <c r="FK555" s="59"/>
      <c r="FL555" s="59"/>
      <c r="FM555" s="59"/>
      <c r="FN555" s="59"/>
      <c r="FO555" s="59"/>
      <c r="FP555" s="59"/>
      <c r="FQ555" s="59"/>
      <c r="FR555" s="59"/>
      <c r="FS555" s="59"/>
      <c r="FT555" s="59"/>
      <c r="FU555" s="59"/>
      <c r="FV555" s="59"/>
      <c r="FW555" s="59"/>
      <c r="FX555" s="59"/>
      <c r="FY555" s="59"/>
      <c r="FZ555" s="59"/>
      <c r="GA555" s="59"/>
      <c r="GB555" s="59"/>
      <c r="GC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  <c r="CP556" s="59"/>
      <c r="CQ556" s="59"/>
      <c r="CR556" s="59"/>
      <c r="CS556" s="59"/>
      <c r="CT556" s="59"/>
      <c r="CU556" s="59"/>
      <c r="CV556" s="59"/>
      <c r="CW556" s="59"/>
      <c r="CX556" s="59"/>
      <c r="CY556" s="59"/>
      <c r="CZ556" s="59"/>
      <c r="DA556" s="59"/>
      <c r="DB556" s="59"/>
      <c r="DC556" s="59"/>
      <c r="DD556" s="59"/>
      <c r="DE556" s="59"/>
      <c r="DF556" s="59"/>
      <c r="DG556" s="59"/>
      <c r="DH556" s="59"/>
      <c r="DI556" s="59"/>
      <c r="DJ556" s="59"/>
      <c r="DK556" s="59"/>
      <c r="DL556" s="59"/>
      <c r="DM556" s="59"/>
      <c r="DN556" s="59"/>
      <c r="DO556" s="59"/>
      <c r="DP556" s="59"/>
      <c r="DQ556" s="59"/>
      <c r="DR556" s="59"/>
      <c r="DS556" s="59"/>
      <c r="DT556" s="59"/>
      <c r="DU556" s="59"/>
      <c r="DV556" s="59"/>
      <c r="DW556" s="59"/>
      <c r="DX556" s="59"/>
      <c r="DY556" s="59"/>
      <c r="DZ556" s="59"/>
      <c r="EA556" s="59"/>
      <c r="EB556" s="59"/>
      <c r="EC556" s="59"/>
      <c r="ED556" s="59"/>
      <c r="EE556" s="59"/>
      <c r="EF556" s="59"/>
      <c r="EG556" s="59"/>
      <c r="EH556" s="59"/>
      <c r="EI556" s="59"/>
      <c r="EJ556" s="59"/>
      <c r="EK556" s="59"/>
      <c r="EL556" s="59"/>
      <c r="EM556" s="59"/>
      <c r="EN556" s="59"/>
      <c r="EO556" s="59"/>
      <c r="EP556" s="59"/>
      <c r="EQ556" s="59"/>
      <c r="ER556" s="59"/>
      <c r="ES556" s="59"/>
      <c r="ET556" s="59"/>
      <c r="EU556" s="59"/>
      <c r="EV556" s="59"/>
      <c r="EW556" s="59"/>
      <c r="EX556" s="59"/>
      <c r="EY556" s="59"/>
      <c r="EZ556" s="59"/>
      <c r="FA556" s="59"/>
      <c r="FB556" s="59"/>
      <c r="FC556" s="59"/>
      <c r="FD556" s="59"/>
      <c r="FE556" s="59"/>
      <c r="FF556" s="59"/>
      <c r="FG556" s="59"/>
      <c r="FH556" s="59"/>
      <c r="FI556" s="59"/>
      <c r="FJ556" s="59"/>
      <c r="FK556" s="59"/>
      <c r="FL556" s="59"/>
      <c r="FM556" s="59"/>
      <c r="FN556" s="59"/>
      <c r="FO556" s="59"/>
      <c r="FP556" s="59"/>
      <c r="FQ556" s="59"/>
      <c r="FR556" s="59"/>
      <c r="FS556" s="59"/>
      <c r="FT556" s="59"/>
      <c r="FU556" s="59"/>
      <c r="FV556" s="59"/>
      <c r="FW556" s="59"/>
      <c r="FX556" s="59"/>
      <c r="FY556" s="59"/>
      <c r="FZ556" s="59"/>
      <c r="GA556" s="59"/>
      <c r="GB556" s="59"/>
      <c r="GC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  <c r="CP557" s="59"/>
      <c r="CQ557" s="59"/>
      <c r="CR557" s="59"/>
      <c r="CS557" s="59"/>
      <c r="CT557" s="59"/>
      <c r="CU557" s="59"/>
      <c r="CV557" s="59"/>
      <c r="CW557" s="59"/>
      <c r="CX557" s="59"/>
      <c r="CY557" s="59"/>
      <c r="CZ557" s="59"/>
      <c r="DA557" s="59"/>
      <c r="DB557" s="59"/>
      <c r="DC557" s="59"/>
      <c r="DD557" s="59"/>
      <c r="DE557" s="59"/>
      <c r="DF557" s="59"/>
      <c r="DG557" s="59"/>
      <c r="DH557" s="59"/>
      <c r="DI557" s="59"/>
      <c r="DJ557" s="59"/>
      <c r="DK557" s="59"/>
      <c r="DL557" s="59"/>
      <c r="DM557" s="59"/>
      <c r="DN557" s="59"/>
      <c r="DO557" s="59"/>
      <c r="DP557" s="59"/>
      <c r="DQ557" s="59"/>
      <c r="DR557" s="59"/>
      <c r="DS557" s="59"/>
      <c r="DT557" s="59"/>
      <c r="DU557" s="59"/>
      <c r="DV557" s="59"/>
      <c r="DW557" s="59"/>
      <c r="DX557" s="59"/>
      <c r="DY557" s="59"/>
      <c r="DZ557" s="59"/>
      <c r="EA557" s="59"/>
      <c r="EB557" s="59"/>
      <c r="EC557" s="59"/>
      <c r="ED557" s="59"/>
      <c r="EE557" s="59"/>
      <c r="EF557" s="59"/>
      <c r="EG557" s="59"/>
      <c r="EH557" s="59"/>
      <c r="EI557" s="59"/>
      <c r="EJ557" s="59"/>
      <c r="EK557" s="59"/>
      <c r="EL557" s="59"/>
      <c r="EM557" s="59"/>
      <c r="EN557" s="59"/>
      <c r="EO557" s="59"/>
      <c r="EP557" s="59"/>
      <c r="EQ557" s="59"/>
      <c r="ER557" s="59"/>
      <c r="ES557" s="59"/>
      <c r="ET557" s="59"/>
      <c r="EU557" s="59"/>
      <c r="EV557" s="59"/>
      <c r="EW557" s="59"/>
      <c r="EX557" s="59"/>
      <c r="EY557" s="59"/>
      <c r="EZ557" s="59"/>
      <c r="FA557" s="59"/>
      <c r="FB557" s="59"/>
      <c r="FC557" s="59"/>
      <c r="FD557" s="59"/>
      <c r="FE557" s="59"/>
      <c r="FF557" s="59"/>
      <c r="FG557" s="59"/>
      <c r="FH557" s="59"/>
      <c r="FI557" s="59"/>
      <c r="FJ557" s="59"/>
      <c r="FK557" s="59"/>
      <c r="FL557" s="59"/>
      <c r="FM557" s="59"/>
      <c r="FN557" s="59"/>
      <c r="FO557" s="59"/>
      <c r="FP557" s="59"/>
      <c r="FQ557" s="59"/>
      <c r="FR557" s="59"/>
      <c r="FS557" s="59"/>
      <c r="FT557" s="59"/>
      <c r="FU557" s="59"/>
      <c r="FV557" s="59"/>
      <c r="FW557" s="59"/>
      <c r="FX557" s="59"/>
      <c r="FY557" s="59"/>
      <c r="FZ557" s="59"/>
      <c r="GA557" s="59"/>
      <c r="GB557" s="59"/>
      <c r="GC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59"/>
      <c r="CZ558" s="59"/>
      <c r="DA558" s="59"/>
      <c r="DB558" s="59"/>
      <c r="DC558" s="59"/>
      <c r="DD558" s="59"/>
      <c r="DE558" s="59"/>
      <c r="DF558" s="59"/>
      <c r="DG558" s="59"/>
      <c r="DH558" s="59"/>
      <c r="DI558" s="59"/>
      <c r="DJ558" s="59"/>
      <c r="DK558" s="59"/>
      <c r="DL558" s="59"/>
      <c r="DM558" s="59"/>
      <c r="DN558" s="59"/>
      <c r="DO558" s="59"/>
      <c r="DP558" s="59"/>
      <c r="DQ558" s="59"/>
      <c r="DR558" s="59"/>
      <c r="DS558" s="59"/>
      <c r="DT558" s="59"/>
      <c r="DU558" s="59"/>
      <c r="DV558" s="59"/>
      <c r="DW558" s="59"/>
      <c r="DX558" s="59"/>
      <c r="DY558" s="59"/>
      <c r="DZ558" s="59"/>
      <c r="EA558" s="59"/>
      <c r="EB558" s="59"/>
      <c r="EC558" s="59"/>
      <c r="ED558" s="59"/>
      <c r="EE558" s="59"/>
      <c r="EF558" s="59"/>
      <c r="EG558" s="59"/>
      <c r="EH558" s="59"/>
      <c r="EI558" s="59"/>
      <c r="EJ558" s="59"/>
      <c r="EK558" s="59"/>
      <c r="EL558" s="59"/>
      <c r="EM558" s="59"/>
      <c r="EN558" s="59"/>
      <c r="EO558" s="59"/>
      <c r="EP558" s="59"/>
      <c r="EQ558" s="59"/>
      <c r="ER558" s="59"/>
      <c r="ES558" s="59"/>
      <c r="ET558" s="59"/>
      <c r="EU558" s="59"/>
      <c r="EV558" s="59"/>
      <c r="EW558" s="59"/>
      <c r="EX558" s="59"/>
      <c r="EY558" s="59"/>
      <c r="EZ558" s="59"/>
      <c r="FA558" s="59"/>
      <c r="FB558" s="59"/>
      <c r="FC558" s="59"/>
      <c r="FD558" s="59"/>
      <c r="FE558" s="59"/>
      <c r="FF558" s="59"/>
      <c r="FG558" s="59"/>
      <c r="FH558" s="59"/>
      <c r="FI558" s="59"/>
      <c r="FJ558" s="59"/>
      <c r="FK558" s="59"/>
      <c r="FL558" s="59"/>
      <c r="FM558" s="59"/>
      <c r="FN558" s="59"/>
      <c r="FO558" s="59"/>
      <c r="FP558" s="59"/>
      <c r="FQ558" s="59"/>
      <c r="FR558" s="59"/>
      <c r="FS558" s="59"/>
      <c r="FT558" s="59"/>
      <c r="FU558" s="59"/>
      <c r="FV558" s="59"/>
      <c r="FW558" s="59"/>
      <c r="FX558" s="59"/>
      <c r="FY558" s="59"/>
      <c r="FZ558" s="59"/>
      <c r="GA558" s="59"/>
      <c r="GB558" s="59"/>
      <c r="GC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  <c r="CP559" s="59"/>
      <c r="CQ559" s="59"/>
      <c r="CR559" s="59"/>
      <c r="CS559" s="59"/>
      <c r="CT559" s="59"/>
      <c r="CU559" s="59"/>
      <c r="CV559" s="59"/>
      <c r="CW559" s="59"/>
      <c r="CX559" s="59"/>
      <c r="CY559" s="59"/>
      <c r="CZ559" s="59"/>
      <c r="DA559" s="59"/>
      <c r="DB559" s="59"/>
      <c r="DC559" s="59"/>
      <c r="DD559" s="59"/>
      <c r="DE559" s="59"/>
      <c r="DF559" s="59"/>
      <c r="DG559" s="59"/>
      <c r="DH559" s="59"/>
      <c r="DI559" s="59"/>
      <c r="DJ559" s="59"/>
      <c r="DK559" s="59"/>
      <c r="DL559" s="59"/>
      <c r="DM559" s="59"/>
      <c r="DN559" s="59"/>
      <c r="DO559" s="59"/>
      <c r="DP559" s="59"/>
      <c r="DQ559" s="59"/>
      <c r="DR559" s="59"/>
      <c r="DS559" s="59"/>
      <c r="DT559" s="59"/>
      <c r="DU559" s="59"/>
      <c r="DV559" s="59"/>
      <c r="DW559" s="59"/>
      <c r="DX559" s="59"/>
      <c r="DY559" s="59"/>
      <c r="DZ559" s="59"/>
      <c r="EA559" s="59"/>
      <c r="EB559" s="59"/>
      <c r="EC559" s="59"/>
      <c r="ED559" s="59"/>
      <c r="EE559" s="59"/>
      <c r="EF559" s="59"/>
      <c r="EG559" s="59"/>
      <c r="EH559" s="59"/>
      <c r="EI559" s="59"/>
      <c r="EJ559" s="59"/>
      <c r="EK559" s="59"/>
      <c r="EL559" s="59"/>
      <c r="EM559" s="59"/>
      <c r="EN559" s="59"/>
      <c r="EO559" s="59"/>
      <c r="EP559" s="59"/>
      <c r="EQ559" s="59"/>
      <c r="ER559" s="59"/>
      <c r="ES559" s="59"/>
      <c r="ET559" s="59"/>
      <c r="EU559" s="59"/>
      <c r="EV559" s="59"/>
      <c r="EW559" s="59"/>
      <c r="EX559" s="59"/>
      <c r="EY559" s="59"/>
      <c r="EZ559" s="59"/>
      <c r="FA559" s="59"/>
      <c r="FB559" s="59"/>
      <c r="FC559" s="59"/>
      <c r="FD559" s="59"/>
      <c r="FE559" s="59"/>
      <c r="FF559" s="59"/>
      <c r="FG559" s="59"/>
      <c r="FH559" s="59"/>
      <c r="FI559" s="59"/>
      <c r="FJ559" s="59"/>
      <c r="FK559" s="59"/>
      <c r="FL559" s="59"/>
      <c r="FM559" s="59"/>
      <c r="FN559" s="59"/>
      <c r="FO559" s="59"/>
      <c r="FP559" s="59"/>
      <c r="FQ559" s="59"/>
      <c r="FR559" s="59"/>
      <c r="FS559" s="59"/>
      <c r="FT559" s="59"/>
      <c r="FU559" s="59"/>
      <c r="FV559" s="59"/>
      <c r="FW559" s="59"/>
      <c r="FX559" s="59"/>
      <c r="FY559" s="59"/>
      <c r="FZ559" s="59"/>
      <c r="GA559" s="59"/>
      <c r="GB559" s="59"/>
      <c r="GC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  <c r="CP560" s="59"/>
      <c r="CQ560" s="59"/>
      <c r="CR560" s="59"/>
      <c r="CS560" s="59"/>
      <c r="CT560" s="59"/>
      <c r="CU560" s="59"/>
      <c r="CV560" s="59"/>
      <c r="CW560" s="59"/>
      <c r="CX560" s="59"/>
      <c r="CY560" s="59"/>
      <c r="CZ560" s="59"/>
      <c r="DA560" s="59"/>
      <c r="DB560" s="59"/>
      <c r="DC560" s="59"/>
      <c r="DD560" s="59"/>
      <c r="DE560" s="59"/>
      <c r="DF560" s="59"/>
      <c r="DG560" s="59"/>
      <c r="DH560" s="59"/>
      <c r="DI560" s="59"/>
      <c r="DJ560" s="59"/>
      <c r="DK560" s="59"/>
      <c r="DL560" s="59"/>
      <c r="DM560" s="59"/>
      <c r="DN560" s="59"/>
      <c r="DO560" s="59"/>
      <c r="DP560" s="59"/>
      <c r="DQ560" s="59"/>
      <c r="DR560" s="59"/>
      <c r="DS560" s="59"/>
      <c r="DT560" s="59"/>
      <c r="DU560" s="59"/>
      <c r="DV560" s="59"/>
      <c r="DW560" s="59"/>
      <c r="DX560" s="59"/>
      <c r="DY560" s="59"/>
      <c r="DZ560" s="59"/>
      <c r="EA560" s="59"/>
      <c r="EB560" s="59"/>
      <c r="EC560" s="59"/>
      <c r="ED560" s="59"/>
      <c r="EE560" s="59"/>
      <c r="EF560" s="59"/>
      <c r="EG560" s="59"/>
      <c r="EH560" s="59"/>
      <c r="EI560" s="59"/>
      <c r="EJ560" s="59"/>
      <c r="EK560" s="59"/>
      <c r="EL560" s="59"/>
      <c r="EM560" s="59"/>
      <c r="EN560" s="59"/>
      <c r="EO560" s="59"/>
      <c r="EP560" s="59"/>
      <c r="EQ560" s="59"/>
      <c r="ER560" s="59"/>
      <c r="ES560" s="59"/>
      <c r="ET560" s="59"/>
      <c r="EU560" s="59"/>
      <c r="EV560" s="59"/>
      <c r="EW560" s="59"/>
      <c r="EX560" s="59"/>
      <c r="EY560" s="59"/>
      <c r="EZ560" s="59"/>
      <c r="FA560" s="59"/>
      <c r="FB560" s="59"/>
      <c r="FC560" s="59"/>
      <c r="FD560" s="59"/>
      <c r="FE560" s="59"/>
      <c r="FF560" s="59"/>
      <c r="FG560" s="59"/>
      <c r="FH560" s="59"/>
      <c r="FI560" s="59"/>
      <c r="FJ560" s="59"/>
      <c r="FK560" s="59"/>
      <c r="FL560" s="59"/>
      <c r="FM560" s="59"/>
      <c r="FN560" s="59"/>
      <c r="FO560" s="59"/>
      <c r="FP560" s="59"/>
      <c r="FQ560" s="59"/>
      <c r="FR560" s="59"/>
      <c r="FS560" s="59"/>
      <c r="FT560" s="59"/>
      <c r="FU560" s="59"/>
      <c r="FV560" s="59"/>
      <c r="FW560" s="59"/>
      <c r="FX560" s="59"/>
      <c r="FY560" s="59"/>
      <c r="FZ560" s="59"/>
      <c r="GA560" s="59"/>
      <c r="GB560" s="59"/>
      <c r="GC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  <c r="CP561" s="59"/>
      <c r="CQ561" s="59"/>
      <c r="CR561" s="59"/>
      <c r="CS561" s="59"/>
      <c r="CT561" s="59"/>
      <c r="CU561" s="59"/>
      <c r="CV561" s="59"/>
      <c r="CW561" s="59"/>
      <c r="CX561" s="59"/>
      <c r="CY561" s="59"/>
      <c r="CZ561" s="59"/>
      <c r="DA561" s="59"/>
      <c r="DB561" s="59"/>
      <c r="DC561" s="59"/>
      <c r="DD561" s="59"/>
      <c r="DE561" s="59"/>
      <c r="DF561" s="59"/>
      <c r="DG561" s="59"/>
      <c r="DH561" s="59"/>
      <c r="DI561" s="59"/>
      <c r="DJ561" s="59"/>
      <c r="DK561" s="59"/>
      <c r="DL561" s="59"/>
      <c r="DM561" s="59"/>
      <c r="DN561" s="59"/>
      <c r="DO561" s="59"/>
      <c r="DP561" s="59"/>
      <c r="DQ561" s="59"/>
      <c r="DR561" s="59"/>
      <c r="DS561" s="59"/>
      <c r="DT561" s="59"/>
      <c r="DU561" s="59"/>
      <c r="DV561" s="59"/>
      <c r="DW561" s="59"/>
      <c r="DX561" s="59"/>
      <c r="DY561" s="59"/>
      <c r="DZ561" s="59"/>
      <c r="EA561" s="59"/>
      <c r="EB561" s="59"/>
      <c r="EC561" s="59"/>
      <c r="ED561" s="59"/>
      <c r="EE561" s="59"/>
      <c r="EF561" s="59"/>
      <c r="EG561" s="59"/>
      <c r="EH561" s="59"/>
      <c r="EI561" s="59"/>
      <c r="EJ561" s="59"/>
      <c r="EK561" s="59"/>
      <c r="EL561" s="59"/>
      <c r="EM561" s="59"/>
      <c r="EN561" s="59"/>
      <c r="EO561" s="59"/>
      <c r="EP561" s="59"/>
      <c r="EQ561" s="59"/>
      <c r="ER561" s="59"/>
      <c r="ES561" s="59"/>
      <c r="ET561" s="59"/>
      <c r="EU561" s="59"/>
      <c r="EV561" s="59"/>
      <c r="EW561" s="59"/>
      <c r="EX561" s="59"/>
      <c r="EY561" s="59"/>
      <c r="EZ561" s="59"/>
      <c r="FA561" s="59"/>
      <c r="FB561" s="59"/>
      <c r="FC561" s="59"/>
      <c r="FD561" s="59"/>
      <c r="FE561" s="59"/>
      <c r="FF561" s="59"/>
      <c r="FG561" s="59"/>
      <c r="FH561" s="59"/>
      <c r="FI561" s="59"/>
      <c r="FJ561" s="59"/>
      <c r="FK561" s="59"/>
      <c r="FL561" s="59"/>
      <c r="FM561" s="59"/>
      <c r="FN561" s="59"/>
      <c r="FO561" s="59"/>
      <c r="FP561" s="59"/>
      <c r="FQ561" s="59"/>
      <c r="FR561" s="59"/>
      <c r="FS561" s="59"/>
      <c r="FT561" s="59"/>
      <c r="FU561" s="59"/>
      <c r="FV561" s="59"/>
      <c r="FW561" s="59"/>
      <c r="FX561" s="59"/>
      <c r="FY561" s="59"/>
      <c r="FZ561" s="59"/>
      <c r="GA561" s="59"/>
      <c r="GB561" s="59"/>
      <c r="GC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/>
      <c r="CM562" s="59"/>
      <c r="CN562" s="59"/>
      <c r="CO562" s="59"/>
      <c r="CP562" s="59"/>
      <c r="CQ562" s="59"/>
      <c r="CR562" s="59"/>
      <c r="CS562" s="59"/>
      <c r="CT562" s="59"/>
      <c r="CU562" s="59"/>
      <c r="CV562" s="59"/>
      <c r="CW562" s="59"/>
      <c r="CX562" s="59"/>
      <c r="CY562" s="59"/>
      <c r="CZ562" s="59"/>
      <c r="DA562" s="59"/>
      <c r="DB562" s="59"/>
      <c r="DC562" s="59"/>
      <c r="DD562" s="59"/>
      <c r="DE562" s="59"/>
      <c r="DF562" s="59"/>
      <c r="DG562" s="59"/>
      <c r="DH562" s="59"/>
      <c r="DI562" s="59"/>
      <c r="DJ562" s="59"/>
      <c r="DK562" s="59"/>
      <c r="DL562" s="59"/>
      <c r="DM562" s="59"/>
      <c r="DN562" s="59"/>
      <c r="DO562" s="59"/>
      <c r="DP562" s="59"/>
      <c r="DQ562" s="59"/>
      <c r="DR562" s="59"/>
      <c r="DS562" s="59"/>
      <c r="DT562" s="59"/>
      <c r="DU562" s="59"/>
      <c r="DV562" s="59"/>
      <c r="DW562" s="59"/>
      <c r="DX562" s="59"/>
      <c r="DY562" s="59"/>
      <c r="DZ562" s="59"/>
      <c r="EA562" s="59"/>
      <c r="EB562" s="59"/>
      <c r="EC562" s="59"/>
      <c r="ED562" s="59"/>
      <c r="EE562" s="59"/>
      <c r="EF562" s="59"/>
      <c r="EG562" s="59"/>
      <c r="EH562" s="59"/>
      <c r="EI562" s="59"/>
      <c r="EJ562" s="59"/>
      <c r="EK562" s="59"/>
      <c r="EL562" s="59"/>
      <c r="EM562" s="59"/>
      <c r="EN562" s="59"/>
      <c r="EO562" s="59"/>
      <c r="EP562" s="59"/>
      <c r="EQ562" s="59"/>
      <c r="ER562" s="59"/>
      <c r="ES562" s="59"/>
      <c r="ET562" s="59"/>
      <c r="EU562" s="59"/>
      <c r="EV562" s="59"/>
      <c r="EW562" s="59"/>
      <c r="EX562" s="59"/>
      <c r="EY562" s="59"/>
      <c r="EZ562" s="59"/>
      <c r="FA562" s="59"/>
      <c r="FB562" s="59"/>
      <c r="FC562" s="59"/>
      <c r="FD562" s="59"/>
      <c r="FE562" s="59"/>
      <c r="FF562" s="59"/>
      <c r="FG562" s="59"/>
      <c r="FH562" s="59"/>
      <c r="FI562" s="59"/>
      <c r="FJ562" s="59"/>
      <c r="FK562" s="59"/>
      <c r="FL562" s="59"/>
      <c r="FM562" s="59"/>
      <c r="FN562" s="59"/>
      <c r="FO562" s="59"/>
      <c r="FP562" s="59"/>
      <c r="FQ562" s="59"/>
      <c r="FR562" s="59"/>
      <c r="FS562" s="59"/>
      <c r="FT562" s="59"/>
      <c r="FU562" s="59"/>
      <c r="FV562" s="59"/>
      <c r="FW562" s="59"/>
      <c r="FX562" s="59"/>
      <c r="FY562" s="59"/>
      <c r="FZ562" s="59"/>
      <c r="GA562" s="59"/>
      <c r="GB562" s="59"/>
      <c r="GC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/>
      <c r="CM563" s="59"/>
      <c r="CN563" s="59"/>
      <c r="CO563" s="59"/>
      <c r="CP563" s="59"/>
      <c r="CQ563" s="59"/>
      <c r="CR563" s="59"/>
      <c r="CS563" s="59"/>
      <c r="CT563" s="59"/>
      <c r="CU563" s="59"/>
      <c r="CV563" s="59"/>
      <c r="CW563" s="59"/>
      <c r="CX563" s="59"/>
      <c r="CY563" s="59"/>
      <c r="CZ563" s="59"/>
      <c r="DA563" s="59"/>
      <c r="DB563" s="59"/>
      <c r="DC563" s="59"/>
      <c r="DD563" s="59"/>
      <c r="DE563" s="59"/>
      <c r="DF563" s="59"/>
      <c r="DG563" s="59"/>
      <c r="DH563" s="59"/>
      <c r="DI563" s="59"/>
      <c r="DJ563" s="59"/>
      <c r="DK563" s="59"/>
      <c r="DL563" s="59"/>
      <c r="DM563" s="59"/>
      <c r="DN563" s="59"/>
      <c r="DO563" s="59"/>
      <c r="DP563" s="59"/>
      <c r="DQ563" s="59"/>
      <c r="DR563" s="59"/>
      <c r="DS563" s="59"/>
      <c r="DT563" s="59"/>
      <c r="DU563" s="59"/>
      <c r="DV563" s="59"/>
      <c r="DW563" s="59"/>
      <c r="DX563" s="59"/>
      <c r="DY563" s="59"/>
      <c r="DZ563" s="59"/>
      <c r="EA563" s="59"/>
      <c r="EB563" s="59"/>
      <c r="EC563" s="59"/>
      <c r="ED563" s="59"/>
      <c r="EE563" s="59"/>
      <c r="EF563" s="59"/>
      <c r="EG563" s="59"/>
      <c r="EH563" s="59"/>
      <c r="EI563" s="59"/>
      <c r="EJ563" s="59"/>
      <c r="EK563" s="59"/>
      <c r="EL563" s="59"/>
      <c r="EM563" s="59"/>
      <c r="EN563" s="59"/>
      <c r="EO563" s="59"/>
      <c r="EP563" s="59"/>
      <c r="EQ563" s="59"/>
      <c r="ER563" s="59"/>
      <c r="ES563" s="59"/>
      <c r="ET563" s="59"/>
      <c r="EU563" s="59"/>
      <c r="EV563" s="59"/>
      <c r="EW563" s="59"/>
      <c r="EX563" s="59"/>
      <c r="EY563" s="59"/>
      <c r="EZ563" s="59"/>
      <c r="FA563" s="59"/>
      <c r="FB563" s="59"/>
      <c r="FC563" s="59"/>
      <c r="FD563" s="59"/>
      <c r="FE563" s="59"/>
      <c r="FF563" s="59"/>
      <c r="FG563" s="59"/>
      <c r="FH563" s="59"/>
      <c r="FI563" s="59"/>
      <c r="FJ563" s="59"/>
      <c r="FK563" s="59"/>
      <c r="FL563" s="59"/>
      <c r="FM563" s="59"/>
      <c r="FN563" s="59"/>
      <c r="FO563" s="59"/>
      <c r="FP563" s="59"/>
      <c r="FQ563" s="59"/>
      <c r="FR563" s="59"/>
      <c r="FS563" s="59"/>
      <c r="FT563" s="59"/>
      <c r="FU563" s="59"/>
      <c r="FV563" s="59"/>
      <c r="FW563" s="59"/>
      <c r="FX563" s="59"/>
      <c r="FY563" s="59"/>
      <c r="FZ563" s="59"/>
      <c r="GA563" s="59"/>
      <c r="GB563" s="59"/>
      <c r="GC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/>
      <c r="CM564" s="59"/>
      <c r="CN564" s="59"/>
      <c r="CO564" s="59"/>
      <c r="CP564" s="59"/>
      <c r="CQ564" s="59"/>
      <c r="CR564" s="59"/>
      <c r="CS564" s="59"/>
      <c r="CT564" s="59"/>
      <c r="CU564" s="59"/>
      <c r="CV564" s="59"/>
      <c r="CW564" s="59"/>
      <c r="CX564" s="59"/>
      <c r="CY564" s="59"/>
      <c r="CZ564" s="59"/>
      <c r="DA564" s="59"/>
      <c r="DB564" s="59"/>
      <c r="DC564" s="59"/>
      <c r="DD564" s="59"/>
      <c r="DE564" s="59"/>
      <c r="DF564" s="59"/>
      <c r="DG564" s="59"/>
      <c r="DH564" s="59"/>
      <c r="DI564" s="59"/>
      <c r="DJ564" s="59"/>
      <c r="DK564" s="59"/>
      <c r="DL564" s="59"/>
      <c r="DM564" s="59"/>
      <c r="DN564" s="59"/>
      <c r="DO564" s="59"/>
      <c r="DP564" s="59"/>
      <c r="DQ564" s="59"/>
      <c r="DR564" s="59"/>
      <c r="DS564" s="59"/>
      <c r="DT564" s="59"/>
      <c r="DU564" s="59"/>
      <c r="DV564" s="59"/>
      <c r="DW564" s="59"/>
      <c r="DX564" s="59"/>
      <c r="DY564" s="59"/>
      <c r="DZ564" s="59"/>
      <c r="EA564" s="59"/>
      <c r="EB564" s="59"/>
      <c r="EC564" s="59"/>
      <c r="ED564" s="59"/>
      <c r="EE564" s="59"/>
      <c r="EF564" s="59"/>
      <c r="EG564" s="59"/>
      <c r="EH564" s="59"/>
      <c r="EI564" s="59"/>
      <c r="EJ564" s="59"/>
      <c r="EK564" s="59"/>
      <c r="EL564" s="59"/>
      <c r="EM564" s="59"/>
      <c r="EN564" s="59"/>
      <c r="EO564" s="59"/>
      <c r="EP564" s="59"/>
      <c r="EQ564" s="59"/>
      <c r="ER564" s="59"/>
      <c r="ES564" s="59"/>
      <c r="ET564" s="59"/>
      <c r="EU564" s="59"/>
      <c r="EV564" s="59"/>
      <c r="EW564" s="59"/>
      <c r="EX564" s="59"/>
      <c r="EY564" s="59"/>
      <c r="EZ564" s="59"/>
      <c r="FA564" s="59"/>
      <c r="FB564" s="59"/>
      <c r="FC564" s="59"/>
      <c r="FD564" s="59"/>
      <c r="FE564" s="59"/>
      <c r="FF564" s="59"/>
      <c r="FG564" s="59"/>
      <c r="FH564" s="59"/>
      <c r="FI564" s="59"/>
      <c r="FJ564" s="59"/>
      <c r="FK564" s="59"/>
      <c r="FL564" s="59"/>
      <c r="FM564" s="59"/>
      <c r="FN564" s="59"/>
      <c r="FO564" s="59"/>
      <c r="FP564" s="59"/>
      <c r="FQ564" s="59"/>
      <c r="FR564" s="59"/>
      <c r="FS564" s="59"/>
      <c r="FT564" s="59"/>
      <c r="FU564" s="59"/>
      <c r="FV564" s="59"/>
      <c r="FW564" s="59"/>
      <c r="FX564" s="59"/>
      <c r="FY564" s="59"/>
      <c r="FZ564" s="59"/>
      <c r="GA564" s="59"/>
      <c r="GB564" s="59"/>
      <c r="GC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/>
      <c r="CM565" s="59"/>
      <c r="CN565" s="59"/>
      <c r="CO565" s="59"/>
      <c r="CP565" s="59"/>
      <c r="CQ565" s="59"/>
      <c r="CR565" s="59"/>
      <c r="CS565" s="59"/>
      <c r="CT565" s="59"/>
      <c r="CU565" s="59"/>
      <c r="CV565" s="59"/>
      <c r="CW565" s="59"/>
      <c r="CX565" s="59"/>
      <c r="CY565" s="59"/>
      <c r="CZ565" s="59"/>
      <c r="DA565" s="59"/>
      <c r="DB565" s="59"/>
      <c r="DC565" s="59"/>
      <c r="DD565" s="59"/>
      <c r="DE565" s="59"/>
      <c r="DF565" s="59"/>
      <c r="DG565" s="59"/>
      <c r="DH565" s="59"/>
      <c r="DI565" s="59"/>
      <c r="DJ565" s="59"/>
      <c r="DK565" s="59"/>
      <c r="DL565" s="59"/>
      <c r="DM565" s="59"/>
      <c r="DN565" s="59"/>
      <c r="DO565" s="59"/>
      <c r="DP565" s="59"/>
      <c r="DQ565" s="59"/>
      <c r="DR565" s="59"/>
      <c r="DS565" s="59"/>
      <c r="DT565" s="59"/>
      <c r="DU565" s="59"/>
      <c r="DV565" s="59"/>
      <c r="DW565" s="59"/>
      <c r="DX565" s="59"/>
      <c r="DY565" s="59"/>
      <c r="DZ565" s="59"/>
      <c r="EA565" s="59"/>
      <c r="EB565" s="59"/>
      <c r="EC565" s="59"/>
      <c r="ED565" s="59"/>
      <c r="EE565" s="59"/>
      <c r="EF565" s="59"/>
      <c r="EG565" s="59"/>
      <c r="EH565" s="59"/>
      <c r="EI565" s="59"/>
      <c r="EJ565" s="59"/>
      <c r="EK565" s="59"/>
      <c r="EL565" s="59"/>
      <c r="EM565" s="59"/>
      <c r="EN565" s="59"/>
      <c r="EO565" s="59"/>
      <c r="EP565" s="59"/>
      <c r="EQ565" s="59"/>
      <c r="ER565" s="59"/>
      <c r="ES565" s="59"/>
      <c r="ET565" s="59"/>
      <c r="EU565" s="59"/>
      <c r="EV565" s="59"/>
      <c r="EW565" s="59"/>
      <c r="EX565" s="59"/>
      <c r="EY565" s="59"/>
      <c r="EZ565" s="59"/>
      <c r="FA565" s="59"/>
      <c r="FB565" s="59"/>
      <c r="FC565" s="59"/>
      <c r="FD565" s="59"/>
      <c r="FE565" s="59"/>
      <c r="FF565" s="59"/>
      <c r="FG565" s="59"/>
      <c r="FH565" s="59"/>
      <c r="FI565" s="59"/>
      <c r="FJ565" s="59"/>
      <c r="FK565" s="59"/>
      <c r="FL565" s="59"/>
      <c r="FM565" s="59"/>
      <c r="FN565" s="59"/>
      <c r="FO565" s="59"/>
      <c r="FP565" s="59"/>
      <c r="FQ565" s="59"/>
      <c r="FR565" s="59"/>
      <c r="FS565" s="59"/>
      <c r="FT565" s="59"/>
      <c r="FU565" s="59"/>
      <c r="FV565" s="59"/>
      <c r="FW565" s="59"/>
      <c r="FX565" s="59"/>
      <c r="FY565" s="59"/>
      <c r="FZ565" s="59"/>
      <c r="GA565" s="59"/>
      <c r="GB565" s="59"/>
      <c r="GC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/>
      <c r="CM566" s="59"/>
      <c r="CN566" s="59"/>
      <c r="CO566" s="59"/>
      <c r="CP566" s="59"/>
      <c r="CQ566" s="59"/>
      <c r="CR566" s="59"/>
      <c r="CS566" s="59"/>
      <c r="CT566" s="59"/>
      <c r="CU566" s="59"/>
      <c r="CV566" s="59"/>
      <c r="CW566" s="59"/>
      <c r="CX566" s="59"/>
      <c r="CY566" s="59"/>
      <c r="CZ566" s="59"/>
      <c r="DA566" s="59"/>
      <c r="DB566" s="59"/>
      <c r="DC566" s="59"/>
      <c r="DD566" s="59"/>
      <c r="DE566" s="59"/>
      <c r="DF566" s="59"/>
      <c r="DG566" s="59"/>
      <c r="DH566" s="59"/>
      <c r="DI566" s="59"/>
      <c r="DJ566" s="59"/>
      <c r="DK566" s="59"/>
      <c r="DL566" s="59"/>
      <c r="DM566" s="59"/>
      <c r="DN566" s="59"/>
      <c r="DO566" s="59"/>
      <c r="DP566" s="59"/>
      <c r="DQ566" s="59"/>
      <c r="DR566" s="59"/>
      <c r="DS566" s="59"/>
      <c r="DT566" s="59"/>
      <c r="DU566" s="59"/>
      <c r="DV566" s="59"/>
      <c r="DW566" s="59"/>
      <c r="DX566" s="59"/>
      <c r="DY566" s="59"/>
      <c r="DZ566" s="59"/>
      <c r="EA566" s="59"/>
      <c r="EB566" s="59"/>
      <c r="EC566" s="59"/>
      <c r="ED566" s="59"/>
      <c r="EE566" s="59"/>
      <c r="EF566" s="59"/>
      <c r="EG566" s="59"/>
      <c r="EH566" s="59"/>
      <c r="EI566" s="59"/>
      <c r="EJ566" s="59"/>
      <c r="EK566" s="59"/>
      <c r="EL566" s="59"/>
      <c r="EM566" s="59"/>
      <c r="EN566" s="59"/>
      <c r="EO566" s="59"/>
      <c r="EP566" s="59"/>
      <c r="EQ566" s="59"/>
      <c r="ER566" s="59"/>
      <c r="ES566" s="59"/>
      <c r="ET566" s="59"/>
      <c r="EU566" s="59"/>
      <c r="EV566" s="59"/>
      <c r="EW566" s="59"/>
      <c r="EX566" s="59"/>
      <c r="EY566" s="59"/>
      <c r="EZ566" s="59"/>
      <c r="FA566" s="59"/>
      <c r="FB566" s="59"/>
      <c r="FC566" s="59"/>
      <c r="FD566" s="59"/>
      <c r="FE566" s="59"/>
      <c r="FF566" s="59"/>
      <c r="FG566" s="59"/>
      <c r="FH566" s="59"/>
      <c r="FI566" s="59"/>
      <c r="FJ566" s="59"/>
      <c r="FK566" s="59"/>
      <c r="FL566" s="59"/>
      <c r="FM566" s="59"/>
      <c r="FN566" s="59"/>
      <c r="FO566" s="59"/>
      <c r="FP566" s="59"/>
      <c r="FQ566" s="59"/>
      <c r="FR566" s="59"/>
      <c r="FS566" s="59"/>
      <c r="FT566" s="59"/>
      <c r="FU566" s="59"/>
      <c r="FV566" s="59"/>
      <c r="FW566" s="59"/>
      <c r="FX566" s="59"/>
      <c r="FY566" s="59"/>
      <c r="FZ566" s="59"/>
      <c r="GA566" s="59"/>
      <c r="GB566" s="59"/>
      <c r="GC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/>
      <c r="CM567" s="59"/>
      <c r="CN567" s="59"/>
      <c r="CO567" s="59"/>
      <c r="CP567" s="59"/>
      <c r="CQ567" s="59"/>
      <c r="CR567" s="59"/>
      <c r="CS567" s="59"/>
      <c r="CT567" s="59"/>
      <c r="CU567" s="59"/>
      <c r="CV567" s="59"/>
      <c r="CW567" s="59"/>
      <c r="CX567" s="59"/>
      <c r="CY567" s="59"/>
      <c r="CZ567" s="59"/>
      <c r="DA567" s="59"/>
      <c r="DB567" s="59"/>
      <c r="DC567" s="59"/>
      <c r="DD567" s="59"/>
      <c r="DE567" s="59"/>
      <c r="DF567" s="59"/>
      <c r="DG567" s="59"/>
      <c r="DH567" s="59"/>
      <c r="DI567" s="59"/>
      <c r="DJ567" s="59"/>
      <c r="DK567" s="59"/>
      <c r="DL567" s="59"/>
      <c r="DM567" s="59"/>
      <c r="DN567" s="59"/>
      <c r="DO567" s="59"/>
      <c r="DP567" s="59"/>
      <c r="DQ567" s="59"/>
      <c r="DR567" s="59"/>
      <c r="DS567" s="59"/>
      <c r="DT567" s="59"/>
      <c r="DU567" s="59"/>
      <c r="DV567" s="59"/>
      <c r="DW567" s="59"/>
      <c r="DX567" s="59"/>
      <c r="DY567" s="59"/>
      <c r="DZ567" s="59"/>
      <c r="EA567" s="59"/>
      <c r="EB567" s="59"/>
      <c r="EC567" s="59"/>
      <c r="ED567" s="59"/>
      <c r="EE567" s="59"/>
      <c r="EF567" s="59"/>
      <c r="EG567" s="59"/>
      <c r="EH567" s="59"/>
      <c r="EI567" s="59"/>
      <c r="EJ567" s="59"/>
      <c r="EK567" s="59"/>
      <c r="EL567" s="59"/>
      <c r="EM567" s="59"/>
      <c r="EN567" s="59"/>
      <c r="EO567" s="59"/>
      <c r="EP567" s="59"/>
      <c r="EQ567" s="59"/>
      <c r="ER567" s="59"/>
      <c r="ES567" s="59"/>
      <c r="ET567" s="59"/>
      <c r="EU567" s="59"/>
      <c r="EV567" s="59"/>
      <c r="EW567" s="59"/>
      <c r="EX567" s="59"/>
      <c r="EY567" s="59"/>
      <c r="EZ567" s="59"/>
      <c r="FA567" s="59"/>
      <c r="FB567" s="59"/>
      <c r="FC567" s="59"/>
      <c r="FD567" s="59"/>
      <c r="FE567" s="59"/>
      <c r="FF567" s="59"/>
      <c r="FG567" s="59"/>
      <c r="FH567" s="59"/>
      <c r="FI567" s="59"/>
      <c r="FJ567" s="59"/>
      <c r="FK567" s="59"/>
      <c r="FL567" s="59"/>
      <c r="FM567" s="59"/>
      <c r="FN567" s="59"/>
      <c r="FO567" s="59"/>
      <c r="FP567" s="59"/>
      <c r="FQ567" s="59"/>
      <c r="FR567" s="59"/>
      <c r="FS567" s="59"/>
      <c r="FT567" s="59"/>
      <c r="FU567" s="59"/>
      <c r="FV567" s="59"/>
      <c r="FW567" s="59"/>
      <c r="FX567" s="59"/>
      <c r="FY567" s="59"/>
      <c r="FZ567" s="59"/>
      <c r="GA567" s="59"/>
      <c r="GB567" s="59"/>
      <c r="GC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  <c r="CK568" s="59"/>
      <c r="CL568" s="59"/>
      <c r="CM568" s="59"/>
      <c r="CN568" s="59"/>
      <c r="CO568" s="59"/>
      <c r="CP568" s="59"/>
      <c r="CQ568" s="59"/>
      <c r="CR568" s="59"/>
      <c r="CS568" s="59"/>
      <c r="CT568" s="59"/>
      <c r="CU568" s="59"/>
      <c r="CV568" s="59"/>
      <c r="CW568" s="59"/>
      <c r="CX568" s="59"/>
      <c r="CY568" s="59"/>
      <c r="CZ568" s="59"/>
      <c r="DA568" s="59"/>
      <c r="DB568" s="59"/>
      <c r="DC568" s="59"/>
      <c r="DD568" s="59"/>
      <c r="DE568" s="59"/>
      <c r="DF568" s="59"/>
      <c r="DG568" s="59"/>
      <c r="DH568" s="59"/>
      <c r="DI568" s="59"/>
      <c r="DJ568" s="59"/>
      <c r="DK568" s="59"/>
      <c r="DL568" s="59"/>
      <c r="DM568" s="59"/>
      <c r="DN568" s="59"/>
      <c r="DO568" s="59"/>
      <c r="DP568" s="59"/>
      <c r="DQ568" s="59"/>
      <c r="DR568" s="59"/>
      <c r="DS568" s="59"/>
      <c r="DT568" s="59"/>
      <c r="DU568" s="59"/>
      <c r="DV568" s="59"/>
      <c r="DW568" s="59"/>
      <c r="DX568" s="59"/>
      <c r="DY568" s="59"/>
      <c r="DZ568" s="59"/>
      <c r="EA568" s="59"/>
      <c r="EB568" s="59"/>
      <c r="EC568" s="59"/>
      <c r="ED568" s="59"/>
      <c r="EE568" s="59"/>
      <c r="EF568" s="59"/>
      <c r="EG568" s="59"/>
      <c r="EH568" s="59"/>
      <c r="EI568" s="59"/>
      <c r="EJ568" s="59"/>
      <c r="EK568" s="59"/>
      <c r="EL568" s="59"/>
      <c r="EM568" s="59"/>
      <c r="EN568" s="59"/>
      <c r="EO568" s="59"/>
      <c r="EP568" s="59"/>
      <c r="EQ568" s="59"/>
      <c r="ER568" s="59"/>
      <c r="ES568" s="59"/>
      <c r="ET568" s="59"/>
      <c r="EU568" s="59"/>
      <c r="EV568" s="59"/>
      <c r="EW568" s="59"/>
      <c r="EX568" s="59"/>
      <c r="EY568" s="59"/>
      <c r="EZ568" s="59"/>
      <c r="FA568" s="59"/>
      <c r="FB568" s="59"/>
      <c r="FC568" s="59"/>
      <c r="FD568" s="59"/>
      <c r="FE568" s="59"/>
      <c r="FF568" s="59"/>
      <c r="FG568" s="59"/>
      <c r="FH568" s="59"/>
      <c r="FI568" s="59"/>
      <c r="FJ568" s="59"/>
      <c r="FK568" s="59"/>
      <c r="FL568" s="59"/>
      <c r="FM568" s="59"/>
      <c r="FN568" s="59"/>
      <c r="FO568" s="59"/>
      <c r="FP568" s="59"/>
      <c r="FQ568" s="59"/>
      <c r="FR568" s="59"/>
      <c r="FS568" s="59"/>
      <c r="FT568" s="59"/>
      <c r="FU568" s="59"/>
      <c r="FV568" s="59"/>
      <c r="FW568" s="59"/>
      <c r="FX568" s="59"/>
      <c r="FY568" s="59"/>
      <c r="FZ568" s="59"/>
      <c r="GA568" s="59"/>
      <c r="GB568" s="59"/>
      <c r="GC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/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/>
      <c r="CJ569" s="59"/>
      <c r="CK569" s="59"/>
      <c r="CL569" s="59"/>
      <c r="CM569" s="59"/>
      <c r="CN569" s="59"/>
      <c r="CO569" s="59"/>
      <c r="CP569" s="59"/>
      <c r="CQ569" s="59"/>
      <c r="CR569" s="59"/>
      <c r="CS569" s="59"/>
      <c r="CT569" s="59"/>
      <c r="CU569" s="59"/>
      <c r="CV569" s="59"/>
      <c r="CW569" s="59"/>
      <c r="CX569" s="59"/>
      <c r="CY569" s="59"/>
      <c r="CZ569" s="59"/>
      <c r="DA569" s="59"/>
      <c r="DB569" s="59"/>
      <c r="DC569" s="59"/>
      <c r="DD569" s="59"/>
      <c r="DE569" s="59"/>
      <c r="DF569" s="59"/>
      <c r="DG569" s="59"/>
      <c r="DH569" s="59"/>
      <c r="DI569" s="59"/>
      <c r="DJ569" s="59"/>
      <c r="DK569" s="59"/>
      <c r="DL569" s="59"/>
      <c r="DM569" s="59"/>
      <c r="DN569" s="59"/>
      <c r="DO569" s="59"/>
      <c r="DP569" s="59"/>
      <c r="DQ569" s="59"/>
      <c r="DR569" s="59"/>
      <c r="DS569" s="59"/>
      <c r="DT569" s="59"/>
      <c r="DU569" s="59"/>
      <c r="DV569" s="59"/>
      <c r="DW569" s="59"/>
      <c r="DX569" s="59"/>
      <c r="DY569" s="59"/>
      <c r="DZ569" s="59"/>
      <c r="EA569" s="59"/>
      <c r="EB569" s="59"/>
      <c r="EC569" s="59"/>
      <c r="ED569" s="59"/>
      <c r="EE569" s="59"/>
      <c r="EF569" s="59"/>
      <c r="EG569" s="59"/>
      <c r="EH569" s="59"/>
      <c r="EI569" s="59"/>
      <c r="EJ569" s="59"/>
      <c r="EK569" s="59"/>
      <c r="EL569" s="59"/>
      <c r="EM569" s="59"/>
      <c r="EN569" s="59"/>
      <c r="EO569" s="59"/>
      <c r="EP569" s="59"/>
      <c r="EQ569" s="59"/>
      <c r="ER569" s="59"/>
      <c r="ES569" s="59"/>
      <c r="ET569" s="59"/>
      <c r="EU569" s="59"/>
      <c r="EV569" s="59"/>
      <c r="EW569" s="59"/>
      <c r="EX569" s="59"/>
      <c r="EY569" s="59"/>
      <c r="EZ569" s="59"/>
      <c r="FA569" s="59"/>
      <c r="FB569" s="59"/>
      <c r="FC569" s="59"/>
      <c r="FD569" s="59"/>
      <c r="FE569" s="59"/>
      <c r="FF569" s="59"/>
      <c r="FG569" s="59"/>
      <c r="FH569" s="59"/>
      <c r="FI569" s="59"/>
      <c r="FJ569" s="59"/>
      <c r="FK569" s="59"/>
      <c r="FL569" s="59"/>
      <c r="FM569" s="59"/>
      <c r="FN569" s="59"/>
      <c r="FO569" s="59"/>
      <c r="FP569" s="59"/>
      <c r="FQ569" s="59"/>
      <c r="FR569" s="59"/>
      <c r="FS569" s="59"/>
      <c r="FT569" s="59"/>
      <c r="FU569" s="59"/>
      <c r="FV569" s="59"/>
      <c r="FW569" s="59"/>
      <c r="FX569" s="59"/>
      <c r="FY569" s="59"/>
      <c r="FZ569" s="59"/>
      <c r="GA569" s="59"/>
      <c r="GB569" s="59"/>
      <c r="GC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/>
      <c r="CJ570" s="59"/>
      <c r="CK570" s="59"/>
      <c r="CL570" s="59"/>
      <c r="CM570" s="59"/>
      <c r="CN570" s="59"/>
      <c r="CO570" s="59"/>
      <c r="CP570" s="59"/>
      <c r="CQ570" s="59"/>
      <c r="CR570" s="59"/>
      <c r="CS570" s="59"/>
      <c r="CT570" s="59"/>
      <c r="CU570" s="59"/>
      <c r="CV570" s="59"/>
      <c r="CW570" s="59"/>
      <c r="CX570" s="59"/>
      <c r="CY570" s="59"/>
      <c r="CZ570" s="59"/>
      <c r="DA570" s="59"/>
      <c r="DB570" s="59"/>
      <c r="DC570" s="59"/>
      <c r="DD570" s="59"/>
      <c r="DE570" s="59"/>
      <c r="DF570" s="59"/>
      <c r="DG570" s="59"/>
      <c r="DH570" s="59"/>
      <c r="DI570" s="59"/>
      <c r="DJ570" s="59"/>
      <c r="DK570" s="59"/>
      <c r="DL570" s="59"/>
      <c r="DM570" s="59"/>
      <c r="DN570" s="59"/>
      <c r="DO570" s="59"/>
      <c r="DP570" s="59"/>
      <c r="DQ570" s="59"/>
      <c r="DR570" s="59"/>
      <c r="DS570" s="59"/>
      <c r="DT570" s="59"/>
      <c r="DU570" s="59"/>
      <c r="DV570" s="59"/>
      <c r="DW570" s="59"/>
      <c r="DX570" s="59"/>
      <c r="DY570" s="59"/>
      <c r="DZ570" s="59"/>
      <c r="EA570" s="59"/>
      <c r="EB570" s="59"/>
      <c r="EC570" s="59"/>
      <c r="ED570" s="59"/>
      <c r="EE570" s="59"/>
      <c r="EF570" s="59"/>
      <c r="EG570" s="59"/>
      <c r="EH570" s="59"/>
      <c r="EI570" s="59"/>
      <c r="EJ570" s="59"/>
      <c r="EK570" s="59"/>
      <c r="EL570" s="59"/>
      <c r="EM570" s="59"/>
      <c r="EN570" s="59"/>
      <c r="EO570" s="59"/>
      <c r="EP570" s="59"/>
      <c r="EQ570" s="59"/>
      <c r="ER570" s="59"/>
      <c r="ES570" s="59"/>
      <c r="ET570" s="59"/>
      <c r="EU570" s="59"/>
      <c r="EV570" s="59"/>
      <c r="EW570" s="59"/>
      <c r="EX570" s="59"/>
      <c r="EY570" s="59"/>
      <c r="EZ570" s="59"/>
      <c r="FA570" s="59"/>
      <c r="FB570" s="59"/>
      <c r="FC570" s="59"/>
      <c r="FD570" s="59"/>
      <c r="FE570" s="59"/>
      <c r="FF570" s="59"/>
      <c r="FG570" s="59"/>
      <c r="FH570" s="59"/>
      <c r="FI570" s="59"/>
      <c r="FJ570" s="59"/>
      <c r="FK570" s="59"/>
      <c r="FL570" s="59"/>
      <c r="FM570" s="59"/>
      <c r="FN570" s="59"/>
      <c r="FO570" s="59"/>
      <c r="FP570" s="59"/>
      <c r="FQ570" s="59"/>
      <c r="FR570" s="59"/>
      <c r="FS570" s="59"/>
      <c r="FT570" s="59"/>
      <c r="FU570" s="59"/>
      <c r="FV570" s="59"/>
      <c r="FW570" s="59"/>
      <c r="FX570" s="59"/>
      <c r="FY570" s="59"/>
      <c r="FZ570" s="59"/>
      <c r="GA570" s="59"/>
      <c r="GB570" s="59"/>
      <c r="GC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  <c r="CP571" s="59"/>
      <c r="CQ571" s="59"/>
      <c r="CR571" s="59"/>
      <c r="CS571" s="59"/>
      <c r="CT571" s="59"/>
      <c r="CU571" s="59"/>
      <c r="CV571" s="59"/>
      <c r="CW571" s="59"/>
      <c r="CX571" s="59"/>
      <c r="CY571" s="59"/>
      <c r="CZ571" s="59"/>
      <c r="DA571" s="59"/>
      <c r="DB571" s="59"/>
      <c r="DC571" s="59"/>
      <c r="DD571" s="59"/>
      <c r="DE571" s="59"/>
      <c r="DF571" s="59"/>
      <c r="DG571" s="59"/>
      <c r="DH571" s="59"/>
      <c r="DI571" s="59"/>
      <c r="DJ571" s="59"/>
      <c r="DK571" s="59"/>
      <c r="DL571" s="59"/>
      <c r="DM571" s="59"/>
      <c r="DN571" s="59"/>
      <c r="DO571" s="59"/>
      <c r="DP571" s="59"/>
      <c r="DQ571" s="59"/>
      <c r="DR571" s="59"/>
      <c r="DS571" s="59"/>
      <c r="DT571" s="59"/>
      <c r="DU571" s="59"/>
      <c r="DV571" s="59"/>
      <c r="DW571" s="59"/>
      <c r="DX571" s="59"/>
      <c r="DY571" s="59"/>
      <c r="DZ571" s="59"/>
      <c r="EA571" s="59"/>
      <c r="EB571" s="59"/>
      <c r="EC571" s="59"/>
      <c r="ED571" s="59"/>
      <c r="EE571" s="59"/>
      <c r="EF571" s="59"/>
      <c r="EG571" s="59"/>
      <c r="EH571" s="59"/>
      <c r="EI571" s="59"/>
      <c r="EJ571" s="59"/>
      <c r="EK571" s="59"/>
      <c r="EL571" s="59"/>
      <c r="EM571" s="59"/>
      <c r="EN571" s="59"/>
      <c r="EO571" s="59"/>
      <c r="EP571" s="59"/>
      <c r="EQ571" s="59"/>
      <c r="ER571" s="59"/>
      <c r="ES571" s="59"/>
      <c r="ET571" s="59"/>
      <c r="EU571" s="59"/>
      <c r="EV571" s="59"/>
      <c r="EW571" s="59"/>
      <c r="EX571" s="59"/>
      <c r="EY571" s="59"/>
      <c r="EZ571" s="59"/>
      <c r="FA571" s="59"/>
      <c r="FB571" s="59"/>
      <c r="FC571" s="59"/>
      <c r="FD571" s="59"/>
      <c r="FE571" s="59"/>
      <c r="FF571" s="59"/>
      <c r="FG571" s="59"/>
      <c r="FH571" s="59"/>
      <c r="FI571" s="59"/>
      <c r="FJ571" s="59"/>
      <c r="FK571" s="59"/>
      <c r="FL571" s="59"/>
      <c r="FM571" s="59"/>
      <c r="FN571" s="59"/>
      <c r="FO571" s="59"/>
      <c r="FP571" s="59"/>
      <c r="FQ571" s="59"/>
      <c r="FR571" s="59"/>
      <c r="FS571" s="59"/>
      <c r="FT571" s="59"/>
      <c r="FU571" s="59"/>
      <c r="FV571" s="59"/>
      <c r="FW571" s="59"/>
      <c r="FX571" s="59"/>
      <c r="FY571" s="59"/>
      <c r="FZ571" s="59"/>
      <c r="GA571" s="59"/>
      <c r="GB571" s="59"/>
      <c r="GC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  <c r="CP572" s="59"/>
      <c r="CQ572" s="59"/>
      <c r="CR572" s="59"/>
      <c r="CS572" s="59"/>
      <c r="CT572" s="59"/>
      <c r="CU572" s="59"/>
      <c r="CV572" s="59"/>
      <c r="CW572" s="59"/>
      <c r="CX572" s="59"/>
      <c r="CY572" s="59"/>
      <c r="CZ572" s="59"/>
      <c r="DA572" s="59"/>
      <c r="DB572" s="59"/>
      <c r="DC572" s="59"/>
      <c r="DD572" s="59"/>
      <c r="DE572" s="59"/>
      <c r="DF572" s="59"/>
      <c r="DG572" s="59"/>
      <c r="DH572" s="59"/>
      <c r="DI572" s="59"/>
      <c r="DJ572" s="59"/>
      <c r="DK572" s="59"/>
      <c r="DL572" s="59"/>
      <c r="DM572" s="59"/>
      <c r="DN572" s="59"/>
      <c r="DO572" s="59"/>
      <c r="DP572" s="59"/>
      <c r="DQ572" s="59"/>
      <c r="DR572" s="59"/>
      <c r="DS572" s="59"/>
      <c r="DT572" s="59"/>
      <c r="DU572" s="59"/>
      <c r="DV572" s="59"/>
      <c r="DW572" s="59"/>
      <c r="DX572" s="59"/>
      <c r="DY572" s="59"/>
      <c r="DZ572" s="59"/>
      <c r="EA572" s="59"/>
      <c r="EB572" s="59"/>
      <c r="EC572" s="59"/>
      <c r="ED572" s="59"/>
      <c r="EE572" s="59"/>
      <c r="EF572" s="59"/>
      <c r="EG572" s="59"/>
      <c r="EH572" s="59"/>
      <c r="EI572" s="59"/>
      <c r="EJ572" s="59"/>
      <c r="EK572" s="59"/>
      <c r="EL572" s="59"/>
      <c r="EM572" s="59"/>
      <c r="EN572" s="59"/>
      <c r="EO572" s="59"/>
      <c r="EP572" s="59"/>
      <c r="EQ572" s="59"/>
      <c r="ER572" s="59"/>
      <c r="ES572" s="59"/>
      <c r="ET572" s="59"/>
      <c r="EU572" s="59"/>
      <c r="EV572" s="59"/>
      <c r="EW572" s="59"/>
      <c r="EX572" s="59"/>
      <c r="EY572" s="59"/>
      <c r="EZ572" s="59"/>
      <c r="FA572" s="59"/>
      <c r="FB572" s="59"/>
      <c r="FC572" s="59"/>
      <c r="FD572" s="59"/>
      <c r="FE572" s="59"/>
      <c r="FF572" s="59"/>
      <c r="FG572" s="59"/>
      <c r="FH572" s="59"/>
      <c r="FI572" s="59"/>
      <c r="FJ572" s="59"/>
      <c r="FK572" s="59"/>
      <c r="FL572" s="59"/>
      <c r="FM572" s="59"/>
      <c r="FN572" s="59"/>
      <c r="FO572" s="59"/>
      <c r="FP572" s="59"/>
      <c r="FQ572" s="59"/>
      <c r="FR572" s="59"/>
      <c r="FS572" s="59"/>
      <c r="FT572" s="59"/>
      <c r="FU572" s="59"/>
      <c r="FV572" s="59"/>
      <c r="FW572" s="59"/>
      <c r="FX572" s="59"/>
      <c r="FY572" s="59"/>
      <c r="FZ572" s="59"/>
      <c r="GA572" s="59"/>
      <c r="GB572" s="59"/>
      <c r="GC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  <c r="CP573" s="59"/>
      <c r="CQ573" s="59"/>
      <c r="CR573" s="59"/>
      <c r="CS573" s="59"/>
      <c r="CT573" s="59"/>
      <c r="CU573" s="59"/>
      <c r="CV573" s="59"/>
      <c r="CW573" s="59"/>
      <c r="CX573" s="59"/>
      <c r="CY573" s="59"/>
      <c r="CZ573" s="59"/>
      <c r="DA573" s="59"/>
      <c r="DB573" s="59"/>
      <c r="DC573" s="59"/>
      <c r="DD573" s="59"/>
      <c r="DE573" s="59"/>
      <c r="DF573" s="59"/>
      <c r="DG573" s="59"/>
      <c r="DH573" s="59"/>
      <c r="DI573" s="59"/>
      <c r="DJ573" s="59"/>
      <c r="DK573" s="59"/>
      <c r="DL573" s="59"/>
      <c r="DM573" s="59"/>
      <c r="DN573" s="59"/>
      <c r="DO573" s="59"/>
      <c r="DP573" s="59"/>
      <c r="DQ573" s="59"/>
      <c r="DR573" s="59"/>
      <c r="DS573" s="59"/>
      <c r="DT573" s="59"/>
      <c r="DU573" s="59"/>
      <c r="DV573" s="59"/>
      <c r="DW573" s="59"/>
      <c r="DX573" s="59"/>
      <c r="DY573" s="59"/>
      <c r="DZ573" s="59"/>
      <c r="EA573" s="59"/>
      <c r="EB573" s="59"/>
      <c r="EC573" s="59"/>
      <c r="ED573" s="59"/>
      <c r="EE573" s="59"/>
      <c r="EF573" s="59"/>
      <c r="EG573" s="59"/>
      <c r="EH573" s="59"/>
      <c r="EI573" s="59"/>
      <c r="EJ573" s="59"/>
      <c r="EK573" s="59"/>
      <c r="EL573" s="59"/>
      <c r="EM573" s="59"/>
      <c r="EN573" s="59"/>
      <c r="EO573" s="59"/>
      <c r="EP573" s="59"/>
      <c r="EQ573" s="59"/>
      <c r="ER573" s="59"/>
      <c r="ES573" s="59"/>
      <c r="ET573" s="59"/>
      <c r="EU573" s="59"/>
      <c r="EV573" s="59"/>
      <c r="EW573" s="59"/>
      <c r="EX573" s="59"/>
      <c r="EY573" s="59"/>
      <c r="EZ573" s="59"/>
      <c r="FA573" s="59"/>
      <c r="FB573" s="59"/>
      <c r="FC573" s="59"/>
      <c r="FD573" s="59"/>
      <c r="FE573" s="59"/>
      <c r="FF573" s="59"/>
      <c r="FG573" s="59"/>
      <c r="FH573" s="59"/>
      <c r="FI573" s="59"/>
      <c r="FJ573" s="59"/>
      <c r="FK573" s="59"/>
      <c r="FL573" s="59"/>
      <c r="FM573" s="59"/>
      <c r="FN573" s="59"/>
      <c r="FO573" s="59"/>
      <c r="FP573" s="59"/>
      <c r="FQ573" s="59"/>
      <c r="FR573" s="59"/>
      <c r="FS573" s="59"/>
      <c r="FT573" s="59"/>
      <c r="FU573" s="59"/>
      <c r="FV573" s="59"/>
      <c r="FW573" s="59"/>
      <c r="FX573" s="59"/>
      <c r="FY573" s="59"/>
      <c r="FZ573" s="59"/>
      <c r="GA573" s="59"/>
      <c r="GB573" s="59"/>
      <c r="GC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  <c r="CP574" s="59"/>
      <c r="CQ574" s="59"/>
      <c r="CR574" s="59"/>
      <c r="CS574" s="59"/>
      <c r="CT574" s="59"/>
      <c r="CU574" s="59"/>
      <c r="CV574" s="59"/>
      <c r="CW574" s="59"/>
      <c r="CX574" s="59"/>
      <c r="CY574" s="59"/>
      <c r="CZ574" s="59"/>
      <c r="DA574" s="59"/>
      <c r="DB574" s="59"/>
      <c r="DC574" s="59"/>
      <c r="DD574" s="59"/>
      <c r="DE574" s="59"/>
      <c r="DF574" s="59"/>
      <c r="DG574" s="59"/>
      <c r="DH574" s="59"/>
      <c r="DI574" s="59"/>
      <c r="DJ574" s="59"/>
      <c r="DK574" s="59"/>
      <c r="DL574" s="59"/>
      <c r="DM574" s="59"/>
      <c r="DN574" s="59"/>
      <c r="DO574" s="59"/>
      <c r="DP574" s="59"/>
      <c r="DQ574" s="59"/>
      <c r="DR574" s="59"/>
      <c r="DS574" s="59"/>
      <c r="DT574" s="59"/>
      <c r="DU574" s="59"/>
      <c r="DV574" s="59"/>
      <c r="DW574" s="59"/>
      <c r="DX574" s="59"/>
      <c r="DY574" s="59"/>
      <c r="DZ574" s="59"/>
      <c r="EA574" s="59"/>
      <c r="EB574" s="59"/>
      <c r="EC574" s="59"/>
      <c r="ED574" s="59"/>
      <c r="EE574" s="59"/>
      <c r="EF574" s="59"/>
      <c r="EG574" s="59"/>
      <c r="EH574" s="59"/>
      <c r="EI574" s="59"/>
      <c r="EJ574" s="59"/>
      <c r="EK574" s="59"/>
      <c r="EL574" s="59"/>
      <c r="EM574" s="59"/>
      <c r="EN574" s="59"/>
      <c r="EO574" s="59"/>
      <c r="EP574" s="59"/>
      <c r="EQ574" s="59"/>
      <c r="ER574" s="59"/>
      <c r="ES574" s="59"/>
      <c r="ET574" s="59"/>
      <c r="EU574" s="59"/>
      <c r="EV574" s="59"/>
      <c r="EW574" s="59"/>
      <c r="EX574" s="59"/>
      <c r="EY574" s="59"/>
      <c r="EZ574" s="59"/>
      <c r="FA574" s="59"/>
      <c r="FB574" s="59"/>
      <c r="FC574" s="59"/>
      <c r="FD574" s="59"/>
      <c r="FE574" s="59"/>
      <c r="FF574" s="59"/>
      <c r="FG574" s="59"/>
      <c r="FH574" s="59"/>
      <c r="FI574" s="59"/>
      <c r="FJ574" s="59"/>
      <c r="FK574" s="59"/>
      <c r="FL574" s="59"/>
      <c r="FM574" s="59"/>
      <c r="FN574" s="59"/>
      <c r="FO574" s="59"/>
      <c r="FP574" s="59"/>
      <c r="FQ574" s="59"/>
      <c r="FR574" s="59"/>
      <c r="FS574" s="59"/>
      <c r="FT574" s="59"/>
      <c r="FU574" s="59"/>
      <c r="FV574" s="59"/>
      <c r="FW574" s="59"/>
      <c r="FX574" s="59"/>
      <c r="FY574" s="59"/>
      <c r="FZ574" s="59"/>
      <c r="GA574" s="59"/>
      <c r="GB574" s="59"/>
      <c r="GC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  <c r="CP575" s="59"/>
      <c r="CQ575" s="59"/>
      <c r="CR575" s="59"/>
      <c r="CS575" s="59"/>
      <c r="CT575" s="59"/>
      <c r="CU575" s="59"/>
      <c r="CV575" s="59"/>
      <c r="CW575" s="59"/>
      <c r="CX575" s="59"/>
      <c r="CY575" s="59"/>
      <c r="CZ575" s="59"/>
      <c r="DA575" s="59"/>
      <c r="DB575" s="59"/>
      <c r="DC575" s="59"/>
      <c r="DD575" s="59"/>
      <c r="DE575" s="59"/>
      <c r="DF575" s="59"/>
      <c r="DG575" s="59"/>
      <c r="DH575" s="59"/>
      <c r="DI575" s="59"/>
      <c r="DJ575" s="59"/>
      <c r="DK575" s="59"/>
      <c r="DL575" s="59"/>
      <c r="DM575" s="59"/>
      <c r="DN575" s="59"/>
      <c r="DO575" s="59"/>
      <c r="DP575" s="59"/>
      <c r="DQ575" s="59"/>
      <c r="DR575" s="59"/>
      <c r="DS575" s="59"/>
      <c r="DT575" s="59"/>
      <c r="DU575" s="59"/>
      <c r="DV575" s="59"/>
      <c r="DW575" s="59"/>
      <c r="DX575" s="59"/>
      <c r="DY575" s="59"/>
      <c r="DZ575" s="59"/>
      <c r="EA575" s="59"/>
      <c r="EB575" s="59"/>
      <c r="EC575" s="59"/>
      <c r="ED575" s="59"/>
      <c r="EE575" s="59"/>
      <c r="EF575" s="59"/>
      <c r="EG575" s="59"/>
      <c r="EH575" s="59"/>
      <c r="EI575" s="59"/>
      <c r="EJ575" s="59"/>
      <c r="EK575" s="59"/>
      <c r="EL575" s="59"/>
      <c r="EM575" s="59"/>
      <c r="EN575" s="59"/>
      <c r="EO575" s="59"/>
      <c r="EP575" s="59"/>
      <c r="EQ575" s="59"/>
      <c r="ER575" s="59"/>
      <c r="ES575" s="59"/>
      <c r="ET575" s="59"/>
      <c r="EU575" s="59"/>
      <c r="EV575" s="59"/>
      <c r="EW575" s="59"/>
      <c r="EX575" s="59"/>
      <c r="EY575" s="59"/>
      <c r="EZ575" s="59"/>
      <c r="FA575" s="59"/>
      <c r="FB575" s="59"/>
      <c r="FC575" s="59"/>
      <c r="FD575" s="59"/>
      <c r="FE575" s="59"/>
      <c r="FF575" s="59"/>
      <c r="FG575" s="59"/>
      <c r="FH575" s="59"/>
      <c r="FI575" s="59"/>
      <c r="FJ575" s="59"/>
      <c r="FK575" s="59"/>
      <c r="FL575" s="59"/>
      <c r="FM575" s="59"/>
      <c r="FN575" s="59"/>
      <c r="FO575" s="59"/>
      <c r="FP575" s="59"/>
      <c r="FQ575" s="59"/>
      <c r="FR575" s="59"/>
      <c r="FS575" s="59"/>
      <c r="FT575" s="59"/>
      <c r="FU575" s="59"/>
      <c r="FV575" s="59"/>
      <c r="FW575" s="59"/>
      <c r="FX575" s="59"/>
      <c r="FY575" s="59"/>
      <c r="FZ575" s="59"/>
      <c r="GA575" s="59"/>
      <c r="GB575" s="59"/>
      <c r="GC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  <c r="CP576" s="59"/>
      <c r="CQ576" s="59"/>
      <c r="CR576" s="59"/>
      <c r="CS576" s="59"/>
      <c r="CT576" s="59"/>
      <c r="CU576" s="59"/>
      <c r="CV576" s="59"/>
      <c r="CW576" s="59"/>
      <c r="CX576" s="59"/>
      <c r="CY576" s="59"/>
      <c r="CZ576" s="59"/>
      <c r="DA576" s="59"/>
      <c r="DB576" s="59"/>
      <c r="DC576" s="59"/>
      <c r="DD576" s="59"/>
      <c r="DE576" s="59"/>
      <c r="DF576" s="59"/>
      <c r="DG576" s="59"/>
      <c r="DH576" s="59"/>
      <c r="DI576" s="59"/>
      <c r="DJ576" s="59"/>
      <c r="DK576" s="59"/>
      <c r="DL576" s="59"/>
      <c r="DM576" s="59"/>
      <c r="DN576" s="59"/>
      <c r="DO576" s="59"/>
      <c r="DP576" s="59"/>
      <c r="DQ576" s="59"/>
      <c r="DR576" s="59"/>
      <c r="DS576" s="59"/>
      <c r="DT576" s="59"/>
      <c r="DU576" s="59"/>
      <c r="DV576" s="59"/>
      <c r="DW576" s="59"/>
      <c r="DX576" s="59"/>
      <c r="DY576" s="59"/>
      <c r="DZ576" s="59"/>
      <c r="EA576" s="59"/>
      <c r="EB576" s="59"/>
      <c r="EC576" s="59"/>
      <c r="ED576" s="59"/>
      <c r="EE576" s="59"/>
      <c r="EF576" s="59"/>
      <c r="EG576" s="59"/>
      <c r="EH576" s="59"/>
      <c r="EI576" s="59"/>
      <c r="EJ576" s="59"/>
      <c r="EK576" s="59"/>
      <c r="EL576" s="59"/>
      <c r="EM576" s="59"/>
      <c r="EN576" s="59"/>
      <c r="EO576" s="59"/>
      <c r="EP576" s="59"/>
      <c r="EQ576" s="59"/>
      <c r="ER576" s="59"/>
      <c r="ES576" s="59"/>
      <c r="ET576" s="59"/>
      <c r="EU576" s="59"/>
      <c r="EV576" s="59"/>
      <c r="EW576" s="59"/>
      <c r="EX576" s="59"/>
      <c r="EY576" s="59"/>
      <c r="EZ576" s="59"/>
      <c r="FA576" s="59"/>
      <c r="FB576" s="59"/>
      <c r="FC576" s="59"/>
      <c r="FD576" s="59"/>
      <c r="FE576" s="59"/>
      <c r="FF576" s="59"/>
      <c r="FG576" s="59"/>
      <c r="FH576" s="59"/>
      <c r="FI576" s="59"/>
      <c r="FJ576" s="59"/>
      <c r="FK576" s="59"/>
      <c r="FL576" s="59"/>
      <c r="FM576" s="59"/>
      <c r="FN576" s="59"/>
      <c r="FO576" s="59"/>
      <c r="FP576" s="59"/>
      <c r="FQ576" s="59"/>
      <c r="FR576" s="59"/>
      <c r="FS576" s="59"/>
      <c r="FT576" s="59"/>
      <c r="FU576" s="59"/>
      <c r="FV576" s="59"/>
      <c r="FW576" s="59"/>
      <c r="FX576" s="59"/>
      <c r="FY576" s="59"/>
      <c r="FZ576" s="59"/>
      <c r="GA576" s="59"/>
      <c r="GB576" s="59"/>
      <c r="GC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/>
      <c r="CM577" s="59"/>
      <c r="CN577" s="59"/>
      <c r="CO577" s="59"/>
      <c r="CP577" s="59"/>
      <c r="CQ577" s="59"/>
      <c r="CR577" s="59"/>
      <c r="CS577" s="59"/>
      <c r="CT577" s="59"/>
      <c r="CU577" s="59"/>
      <c r="CV577" s="59"/>
      <c r="CW577" s="59"/>
      <c r="CX577" s="59"/>
      <c r="CY577" s="59"/>
      <c r="CZ577" s="59"/>
      <c r="DA577" s="59"/>
      <c r="DB577" s="59"/>
      <c r="DC577" s="59"/>
      <c r="DD577" s="59"/>
      <c r="DE577" s="59"/>
      <c r="DF577" s="59"/>
      <c r="DG577" s="59"/>
      <c r="DH577" s="59"/>
      <c r="DI577" s="59"/>
      <c r="DJ577" s="59"/>
      <c r="DK577" s="59"/>
      <c r="DL577" s="59"/>
      <c r="DM577" s="59"/>
      <c r="DN577" s="59"/>
      <c r="DO577" s="59"/>
      <c r="DP577" s="59"/>
      <c r="DQ577" s="59"/>
      <c r="DR577" s="59"/>
      <c r="DS577" s="59"/>
      <c r="DT577" s="59"/>
      <c r="DU577" s="59"/>
      <c r="DV577" s="59"/>
      <c r="DW577" s="59"/>
      <c r="DX577" s="59"/>
      <c r="DY577" s="59"/>
      <c r="DZ577" s="59"/>
      <c r="EA577" s="59"/>
      <c r="EB577" s="59"/>
      <c r="EC577" s="59"/>
      <c r="ED577" s="59"/>
      <c r="EE577" s="59"/>
      <c r="EF577" s="59"/>
      <c r="EG577" s="59"/>
      <c r="EH577" s="59"/>
      <c r="EI577" s="59"/>
      <c r="EJ577" s="59"/>
      <c r="EK577" s="59"/>
      <c r="EL577" s="59"/>
      <c r="EM577" s="59"/>
      <c r="EN577" s="59"/>
      <c r="EO577" s="59"/>
      <c r="EP577" s="59"/>
      <c r="EQ577" s="59"/>
      <c r="ER577" s="59"/>
      <c r="ES577" s="59"/>
      <c r="ET577" s="59"/>
      <c r="EU577" s="59"/>
      <c r="EV577" s="59"/>
      <c r="EW577" s="59"/>
      <c r="EX577" s="59"/>
      <c r="EY577" s="59"/>
      <c r="EZ577" s="59"/>
      <c r="FA577" s="59"/>
      <c r="FB577" s="59"/>
      <c r="FC577" s="59"/>
      <c r="FD577" s="59"/>
      <c r="FE577" s="59"/>
      <c r="FF577" s="59"/>
      <c r="FG577" s="59"/>
      <c r="FH577" s="59"/>
      <c r="FI577" s="59"/>
      <c r="FJ577" s="59"/>
      <c r="FK577" s="59"/>
      <c r="FL577" s="59"/>
      <c r="FM577" s="59"/>
      <c r="FN577" s="59"/>
      <c r="FO577" s="59"/>
      <c r="FP577" s="59"/>
      <c r="FQ577" s="59"/>
      <c r="FR577" s="59"/>
      <c r="FS577" s="59"/>
      <c r="FT577" s="59"/>
      <c r="FU577" s="59"/>
      <c r="FV577" s="59"/>
      <c r="FW577" s="59"/>
      <c r="FX577" s="59"/>
      <c r="FY577" s="59"/>
      <c r="FZ577" s="59"/>
      <c r="GA577" s="59"/>
      <c r="GB577" s="59"/>
      <c r="GC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/>
      <c r="CM578" s="59"/>
      <c r="CN578" s="59"/>
      <c r="CO578" s="59"/>
      <c r="CP578" s="59"/>
      <c r="CQ578" s="59"/>
      <c r="CR578" s="59"/>
      <c r="CS578" s="59"/>
      <c r="CT578" s="59"/>
      <c r="CU578" s="59"/>
      <c r="CV578" s="59"/>
      <c r="CW578" s="59"/>
      <c r="CX578" s="59"/>
      <c r="CY578" s="59"/>
      <c r="CZ578" s="59"/>
      <c r="DA578" s="59"/>
      <c r="DB578" s="59"/>
      <c r="DC578" s="59"/>
      <c r="DD578" s="59"/>
      <c r="DE578" s="59"/>
      <c r="DF578" s="59"/>
      <c r="DG578" s="59"/>
      <c r="DH578" s="59"/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  <c r="EN578" s="59"/>
      <c r="EO578" s="59"/>
      <c r="EP578" s="59"/>
      <c r="EQ578" s="59"/>
      <c r="ER578" s="59"/>
      <c r="ES578" s="59"/>
      <c r="ET578" s="59"/>
      <c r="EU578" s="59"/>
      <c r="EV578" s="59"/>
      <c r="EW578" s="59"/>
      <c r="EX578" s="59"/>
      <c r="EY578" s="59"/>
      <c r="EZ578" s="59"/>
      <c r="FA578" s="59"/>
      <c r="FB578" s="59"/>
      <c r="FC578" s="59"/>
      <c r="FD578" s="59"/>
      <c r="FE578" s="59"/>
      <c r="FF578" s="59"/>
      <c r="FG578" s="59"/>
      <c r="FH578" s="59"/>
      <c r="FI578" s="59"/>
      <c r="FJ578" s="59"/>
      <c r="FK578" s="59"/>
      <c r="FL578" s="59"/>
      <c r="FM578" s="59"/>
      <c r="FN578" s="59"/>
      <c r="FO578" s="59"/>
      <c r="FP578" s="59"/>
      <c r="FQ578" s="59"/>
      <c r="FR578" s="59"/>
      <c r="FS578" s="59"/>
      <c r="FT578" s="59"/>
      <c r="FU578" s="59"/>
      <c r="FV578" s="59"/>
      <c r="FW578" s="59"/>
      <c r="FX578" s="59"/>
      <c r="FY578" s="59"/>
      <c r="FZ578" s="59"/>
      <c r="GA578" s="59"/>
      <c r="GB578" s="59"/>
      <c r="GC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/>
      <c r="CM579" s="59"/>
      <c r="CN579" s="59"/>
      <c r="CO579" s="59"/>
      <c r="CP579" s="59"/>
      <c r="CQ579" s="59"/>
      <c r="CR579" s="59"/>
      <c r="CS579" s="59"/>
      <c r="CT579" s="59"/>
      <c r="CU579" s="59"/>
      <c r="CV579" s="59"/>
      <c r="CW579" s="59"/>
      <c r="CX579" s="59"/>
      <c r="CY579" s="59"/>
      <c r="CZ579" s="59"/>
      <c r="DA579" s="59"/>
      <c r="DB579" s="59"/>
      <c r="DC579" s="59"/>
      <c r="DD579" s="59"/>
      <c r="DE579" s="59"/>
      <c r="DF579" s="59"/>
      <c r="DG579" s="59"/>
      <c r="DH579" s="59"/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9"/>
      <c r="DX579" s="59"/>
      <c r="DY579" s="59"/>
      <c r="DZ579" s="59"/>
      <c r="EA579" s="59"/>
      <c r="EB579" s="59"/>
      <c r="EC579" s="59"/>
      <c r="ED579" s="59"/>
      <c r="EE579" s="59"/>
      <c r="EF579" s="59"/>
      <c r="EG579" s="59"/>
      <c r="EH579" s="59"/>
      <c r="EI579" s="59"/>
      <c r="EJ579" s="59"/>
      <c r="EK579" s="59"/>
      <c r="EL579" s="59"/>
      <c r="EM579" s="59"/>
      <c r="EN579" s="59"/>
      <c r="EO579" s="59"/>
      <c r="EP579" s="59"/>
      <c r="EQ579" s="59"/>
      <c r="ER579" s="59"/>
      <c r="ES579" s="59"/>
      <c r="ET579" s="59"/>
      <c r="EU579" s="59"/>
      <c r="EV579" s="59"/>
      <c r="EW579" s="59"/>
      <c r="EX579" s="59"/>
      <c r="EY579" s="59"/>
      <c r="EZ579" s="59"/>
      <c r="FA579" s="59"/>
      <c r="FB579" s="59"/>
      <c r="FC579" s="59"/>
      <c r="FD579" s="59"/>
      <c r="FE579" s="59"/>
      <c r="FF579" s="59"/>
      <c r="FG579" s="59"/>
      <c r="FH579" s="59"/>
      <c r="FI579" s="59"/>
      <c r="FJ579" s="59"/>
      <c r="FK579" s="59"/>
      <c r="FL579" s="59"/>
      <c r="FM579" s="59"/>
      <c r="FN579" s="59"/>
      <c r="FO579" s="59"/>
      <c r="FP579" s="59"/>
      <c r="FQ579" s="59"/>
      <c r="FR579" s="59"/>
      <c r="FS579" s="59"/>
      <c r="FT579" s="59"/>
      <c r="FU579" s="59"/>
      <c r="FV579" s="59"/>
      <c r="FW579" s="59"/>
      <c r="FX579" s="59"/>
      <c r="FY579" s="59"/>
      <c r="FZ579" s="59"/>
      <c r="GA579" s="59"/>
      <c r="GB579" s="59"/>
      <c r="GC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/>
      <c r="CM580" s="59"/>
      <c r="CN580" s="59"/>
      <c r="CO580" s="59"/>
      <c r="CP580" s="59"/>
      <c r="CQ580" s="59"/>
      <c r="CR580" s="59"/>
      <c r="CS580" s="59"/>
      <c r="CT580" s="59"/>
      <c r="CU580" s="59"/>
      <c r="CV580" s="59"/>
      <c r="CW580" s="59"/>
      <c r="CX580" s="59"/>
      <c r="CY580" s="59"/>
      <c r="CZ580" s="59"/>
      <c r="DA580" s="59"/>
      <c r="DB580" s="59"/>
      <c r="DC580" s="59"/>
      <c r="DD580" s="59"/>
      <c r="DE580" s="59"/>
      <c r="DF580" s="59"/>
      <c r="DG580" s="59"/>
      <c r="DH580" s="59"/>
      <c r="DI580" s="59"/>
      <c r="DJ580" s="59"/>
      <c r="DK580" s="59"/>
      <c r="DL580" s="59"/>
      <c r="DM580" s="59"/>
      <c r="DN580" s="59"/>
      <c r="DO580" s="59"/>
      <c r="DP580" s="59"/>
      <c r="DQ580" s="59"/>
      <c r="DR580" s="59"/>
      <c r="DS580" s="59"/>
      <c r="DT580" s="59"/>
      <c r="DU580" s="59"/>
      <c r="DV580" s="59"/>
      <c r="DW580" s="59"/>
      <c r="DX580" s="59"/>
      <c r="DY580" s="59"/>
      <c r="DZ580" s="59"/>
      <c r="EA580" s="59"/>
      <c r="EB580" s="59"/>
      <c r="EC580" s="59"/>
      <c r="ED580" s="59"/>
      <c r="EE580" s="59"/>
      <c r="EF580" s="59"/>
      <c r="EG580" s="59"/>
      <c r="EH580" s="59"/>
      <c r="EI580" s="59"/>
      <c r="EJ580" s="59"/>
      <c r="EK580" s="59"/>
      <c r="EL580" s="59"/>
      <c r="EM580" s="59"/>
      <c r="EN580" s="59"/>
      <c r="EO580" s="59"/>
      <c r="EP580" s="59"/>
      <c r="EQ580" s="59"/>
      <c r="ER580" s="59"/>
      <c r="ES580" s="59"/>
      <c r="ET580" s="59"/>
      <c r="EU580" s="59"/>
      <c r="EV580" s="59"/>
      <c r="EW580" s="59"/>
      <c r="EX580" s="59"/>
      <c r="EY580" s="59"/>
      <c r="EZ580" s="59"/>
      <c r="FA580" s="59"/>
      <c r="FB580" s="59"/>
      <c r="FC580" s="59"/>
      <c r="FD580" s="59"/>
      <c r="FE580" s="59"/>
      <c r="FF580" s="59"/>
      <c r="FG580" s="59"/>
      <c r="FH580" s="59"/>
      <c r="FI580" s="59"/>
      <c r="FJ580" s="59"/>
      <c r="FK580" s="59"/>
      <c r="FL580" s="59"/>
      <c r="FM580" s="59"/>
      <c r="FN580" s="59"/>
      <c r="FO580" s="59"/>
      <c r="FP580" s="59"/>
      <c r="FQ580" s="59"/>
      <c r="FR580" s="59"/>
      <c r="FS580" s="59"/>
      <c r="FT580" s="59"/>
      <c r="FU580" s="59"/>
      <c r="FV580" s="59"/>
      <c r="FW580" s="59"/>
      <c r="FX580" s="59"/>
      <c r="FY580" s="59"/>
      <c r="FZ580" s="59"/>
      <c r="GA580" s="59"/>
      <c r="GB580" s="59"/>
      <c r="GC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/>
      <c r="CM581" s="59"/>
      <c r="CN581" s="59"/>
      <c r="CO581" s="59"/>
      <c r="CP581" s="59"/>
      <c r="CQ581" s="59"/>
      <c r="CR581" s="59"/>
      <c r="CS581" s="59"/>
      <c r="CT581" s="59"/>
      <c r="CU581" s="59"/>
      <c r="CV581" s="59"/>
      <c r="CW581" s="59"/>
      <c r="CX581" s="59"/>
      <c r="CY581" s="59"/>
      <c r="CZ581" s="59"/>
      <c r="DA581" s="59"/>
      <c r="DB581" s="59"/>
      <c r="DC581" s="59"/>
      <c r="DD581" s="59"/>
      <c r="DE581" s="59"/>
      <c r="DF581" s="59"/>
      <c r="DG581" s="59"/>
      <c r="DH581" s="59"/>
      <c r="DI581" s="59"/>
      <c r="DJ581" s="59"/>
      <c r="DK581" s="59"/>
      <c r="DL581" s="59"/>
      <c r="DM581" s="59"/>
      <c r="DN581" s="59"/>
      <c r="DO581" s="59"/>
      <c r="DP581" s="59"/>
      <c r="DQ581" s="59"/>
      <c r="DR581" s="59"/>
      <c r="DS581" s="59"/>
      <c r="DT581" s="59"/>
      <c r="DU581" s="59"/>
      <c r="DV581" s="59"/>
      <c r="DW581" s="59"/>
      <c r="DX581" s="59"/>
      <c r="DY581" s="59"/>
      <c r="DZ581" s="59"/>
      <c r="EA581" s="59"/>
      <c r="EB581" s="59"/>
      <c r="EC581" s="59"/>
      <c r="ED581" s="59"/>
      <c r="EE581" s="59"/>
      <c r="EF581" s="59"/>
      <c r="EG581" s="59"/>
      <c r="EH581" s="59"/>
      <c r="EI581" s="59"/>
      <c r="EJ581" s="59"/>
      <c r="EK581" s="59"/>
      <c r="EL581" s="59"/>
      <c r="EM581" s="59"/>
      <c r="EN581" s="59"/>
      <c r="EO581" s="59"/>
      <c r="EP581" s="59"/>
      <c r="EQ581" s="59"/>
      <c r="ER581" s="59"/>
      <c r="ES581" s="59"/>
      <c r="ET581" s="59"/>
      <c r="EU581" s="59"/>
      <c r="EV581" s="59"/>
      <c r="EW581" s="59"/>
      <c r="EX581" s="59"/>
      <c r="EY581" s="59"/>
      <c r="EZ581" s="59"/>
      <c r="FA581" s="59"/>
      <c r="FB581" s="59"/>
      <c r="FC581" s="59"/>
      <c r="FD581" s="59"/>
      <c r="FE581" s="59"/>
      <c r="FF581" s="59"/>
      <c r="FG581" s="59"/>
      <c r="FH581" s="59"/>
      <c r="FI581" s="59"/>
      <c r="FJ581" s="59"/>
      <c r="FK581" s="59"/>
      <c r="FL581" s="59"/>
      <c r="FM581" s="59"/>
      <c r="FN581" s="59"/>
      <c r="FO581" s="59"/>
      <c r="FP581" s="59"/>
      <c r="FQ581" s="59"/>
      <c r="FR581" s="59"/>
      <c r="FS581" s="59"/>
      <c r="FT581" s="59"/>
      <c r="FU581" s="59"/>
      <c r="FV581" s="59"/>
      <c r="FW581" s="59"/>
      <c r="FX581" s="59"/>
      <c r="FY581" s="59"/>
      <c r="FZ581" s="59"/>
      <c r="GA581" s="59"/>
      <c r="GB581" s="59"/>
      <c r="GC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/>
      <c r="CM582" s="59"/>
      <c r="CN582" s="59"/>
      <c r="CO582" s="59"/>
      <c r="CP582" s="59"/>
      <c r="CQ582" s="59"/>
      <c r="CR582" s="59"/>
      <c r="CS582" s="59"/>
      <c r="CT582" s="59"/>
      <c r="CU582" s="59"/>
      <c r="CV582" s="59"/>
      <c r="CW582" s="59"/>
      <c r="CX582" s="59"/>
      <c r="CY582" s="59"/>
      <c r="CZ582" s="59"/>
      <c r="DA582" s="59"/>
      <c r="DB582" s="59"/>
      <c r="DC582" s="59"/>
      <c r="DD582" s="59"/>
      <c r="DE582" s="59"/>
      <c r="DF582" s="59"/>
      <c r="DG582" s="59"/>
      <c r="DH582" s="59"/>
      <c r="DI582" s="59"/>
      <c r="DJ582" s="59"/>
      <c r="DK582" s="59"/>
      <c r="DL582" s="59"/>
      <c r="DM582" s="59"/>
      <c r="DN582" s="59"/>
      <c r="DO582" s="59"/>
      <c r="DP582" s="59"/>
      <c r="DQ582" s="59"/>
      <c r="DR582" s="59"/>
      <c r="DS582" s="59"/>
      <c r="DT582" s="59"/>
      <c r="DU582" s="59"/>
      <c r="DV582" s="59"/>
      <c r="DW582" s="59"/>
      <c r="DX582" s="59"/>
      <c r="DY582" s="59"/>
      <c r="DZ582" s="59"/>
      <c r="EA582" s="59"/>
      <c r="EB582" s="59"/>
      <c r="EC582" s="59"/>
      <c r="ED582" s="59"/>
      <c r="EE582" s="59"/>
      <c r="EF582" s="59"/>
      <c r="EG582" s="59"/>
      <c r="EH582" s="59"/>
      <c r="EI582" s="59"/>
      <c r="EJ582" s="59"/>
      <c r="EK582" s="59"/>
      <c r="EL582" s="59"/>
      <c r="EM582" s="59"/>
      <c r="EN582" s="59"/>
      <c r="EO582" s="59"/>
      <c r="EP582" s="59"/>
      <c r="EQ582" s="59"/>
      <c r="ER582" s="59"/>
      <c r="ES582" s="59"/>
      <c r="ET582" s="59"/>
      <c r="EU582" s="59"/>
      <c r="EV582" s="59"/>
      <c r="EW582" s="59"/>
      <c r="EX582" s="59"/>
      <c r="EY582" s="59"/>
      <c r="EZ582" s="59"/>
      <c r="FA582" s="59"/>
      <c r="FB582" s="59"/>
      <c r="FC582" s="59"/>
      <c r="FD582" s="59"/>
      <c r="FE582" s="59"/>
      <c r="FF582" s="59"/>
      <c r="FG582" s="59"/>
      <c r="FH582" s="59"/>
      <c r="FI582" s="59"/>
      <c r="FJ582" s="59"/>
      <c r="FK582" s="59"/>
      <c r="FL582" s="59"/>
      <c r="FM582" s="59"/>
      <c r="FN582" s="59"/>
      <c r="FO582" s="59"/>
      <c r="FP582" s="59"/>
      <c r="FQ582" s="59"/>
      <c r="FR582" s="59"/>
      <c r="FS582" s="59"/>
      <c r="FT582" s="59"/>
      <c r="FU582" s="59"/>
      <c r="FV582" s="59"/>
      <c r="FW582" s="59"/>
      <c r="FX582" s="59"/>
      <c r="FY582" s="59"/>
      <c r="FZ582" s="59"/>
      <c r="GA582" s="59"/>
      <c r="GB582" s="59"/>
      <c r="GC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  <c r="CP583" s="59"/>
      <c r="CQ583" s="59"/>
      <c r="CR583" s="59"/>
      <c r="CS583" s="59"/>
      <c r="CT583" s="59"/>
      <c r="CU583" s="59"/>
      <c r="CV583" s="59"/>
      <c r="CW583" s="59"/>
      <c r="CX583" s="59"/>
      <c r="CY583" s="59"/>
      <c r="CZ583" s="59"/>
      <c r="DA583" s="59"/>
      <c r="DB583" s="59"/>
      <c r="DC583" s="59"/>
      <c r="DD583" s="59"/>
      <c r="DE583" s="59"/>
      <c r="DF583" s="59"/>
      <c r="DG583" s="59"/>
      <c r="DH583" s="59"/>
      <c r="DI583" s="59"/>
      <c r="DJ583" s="59"/>
      <c r="DK583" s="59"/>
      <c r="DL583" s="59"/>
      <c r="DM583" s="59"/>
      <c r="DN583" s="59"/>
      <c r="DO583" s="59"/>
      <c r="DP583" s="59"/>
      <c r="DQ583" s="59"/>
      <c r="DR583" s="59"/>
      <c r="DS583" s="59"/>
      <c r="DT583" s="59"/>
      <c r="DU583" s="59"/>
      <c r="DV583" s="59"/>
      <c r="DW583" s="59"/>
      <c r="DX583" s="59"/>
      <c r="DY583" s="59"/>
      <c r="DZ583" s="59"/>
      <c r="EA583" s="59"/>
      <c r="EB583" s="59"/>
      <c r="EC583" s="59"/>
      <c r="ED583" s="59"/>
      <c r="EE583" s="59"/>
      <c r="EF583" s="59"/>
      <c r="EG583" s="59"/>
      <c r="EH583" s="59"/>
      <c r="EI583" s="59"/>
      <c r="EJ583" s="59"/>
      <c r="EK583" s="59"/>
      <c r="EL583" s="59"/>
      <c r="EM583" s="59"/>
      <c r="EN583" s="59"/>
      <c r="EO583" s="59"/>
      <c r="EP583" s="59"/>
      <c r="EQ583" s="59"/>
      <c r="ER583" s="59"/>
      <c r="ES583" s="59"/>
      <c r="ET583" s="59"/>
      <c r="EU583" s="59"/>
      <c r="EV583" s="59"/>
      <c r="EW583" s="59"/>
      <c r="EX583" s="59"/>
      <c r="EY583" s="59"/>
      <c r="EZ583" s="59"/>
      <c r="FA583" s="59"/>
      <c r="FB583" s="59"/>
      <c r="FC583" s="59"/>
      <c r="FD583" s="59"/>
      <c r="FE583" s="59"/>
      <c r="FF583" s="59"/>
      <c r="FG583" s="59"/>
      <c r="FH583" s="59"/>
      <c r="FI583" s="59"/>
      <c r="FJ583" s="59"/>
      <c r="FK583" s="59"/>
      <c r="FL583" s="59"/>
      <c r="FM583" s="59"/>
      <c r="FN583" s="59"/>
      <c r="FO583" s="59"/>
      <c r="FP583" s="59"/>
      <c r="FQ583" s="59"/>
      <c r="FR583" s="59"/>
      <c r="FS583" s="59"/>
      <c r="FT583" s="59"/>
      <c r="FU583" s="59"/>
      <c r="FV583" s="59"/>
      <c r="FW583" s="59"/>
      <c r="FX583" s="59"/>
      <c r="FY583" s="59"/>
      <c r="FZ583" s="59"/>
      <c r="GA583" s="59"/>
      <c r="GB583" s="59"/>
      <c r="GC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/>
      <c r="CJ584" s="59"/>
      <c r="CK584" s="59"/>
      <c r="CL584" s="59"/>
      <c r="CM584" s="59"/>
      <c r="CN584" s="59"/>
      <c r="CO584" s="59"/>
      <c r="CP584" s="59"/>
      <c r="CQ584" s="59"/>
      <c r="CR584" s="59"/>
      <c r="CS584" s="59"/>
      <c r="CT584" s="59"/>
      <c r="CU584" s="59"/>
      <c r="CV584" s="59"/>
      <c r="CW584" s="59"/>
      <c r="CX584" s="59"/>
      <c r="CY584" s="59"/>
      <c r="CZ584" s="59"/>
      <c r="DA584" s="59"/>
      <c r="DB584" s="59"/>
      <c r="DC584" s="59"/>
      <c r="DD584" s="59"/>
      <c r="DE584" s="59"/>
      <c r="DF584" s="59"/>
      <c r="DG584" s="59"/>
      <c r="DH584" s="59"/>
      <c r="DI584" s="59"/>
      <c r="DJ584" s="59"/>
      <c r="DK584" s="59"/>
      <c r="DL584" s="59"/>
      <c r="DM584" s="59"/>
      <c r="DN584" s="59"/>
      <c r="DO584" s="59"/>
      <c r="DP584" s="59"/>
      <c r="DQ584" s="59"/>
      <c r="DR584" s="59"/>
      <c r="DS584" s="59"/>
      <c r="DT584" s="59"/>
      <c r="DU584" s="59"/>
      <c r="DV584" s="59"/>
      <c r="DW584" s="59"/>
      <c r="DX584" s="59"/>
      <c r="DY584" s="59"/>
      <c r="DZ584" s="59"/>
      <c r="EA584" s="59"/>
      <c r="EB584" s="59"/>
      <c r="EC584" s="59"/>
      <c r="ED584" s="59"/>
      <c r="EE584" s="59"/>
      <c r="EF584" s="59"/>
      <c r="EG584" s="59"/>
      <c r="EH584" s="59"/>
      <c r="EI584" s="59"/>
      <c r="EJ584" s="59"/>
      <c r="EK584" s="59"/>
      <c r="EL584" s="59"/>
      <c r="EM584" s="59"/>
      <c r="EN584" s="59"/>
      <c r="EO584" s="59"/>
      <c r="EP584" s="59"/>
      <c r="EQ584" s="59"/>
      <c r="ER584" s="59"/>
      <c r="ES584" s="59"/>
      <c r="ET584" s="59"/>
      <c r="EU584" s="59"/>
      <c r="EV584" s="59"/>
      <c r="EW584" s="59"/>
      <c r="EX584" s="59"/>
      <c r="EY584" s="59"/>
      <c r="EZ584" s="59"/>
      <c r="FA584" s="59"/>
      <c r="FB584" s="59"/>
      <c r="FC584" s="59"/>
      <c r="FD584" s="59"/>
      <c r="FE584" s="59"/>
      <c r="FF584" s="59"/>
      <c r="FG584" s="59"/>
      <c r="FH584" s="59"/>
      <c r="FI584" s="59"/>
      <c r="FJ584" s="59"/>
      <c r="FK584" s="59"/>
      <c r="FL584" s="59"/>
      <c r="FM584" s="59"/>
      <c r="FN584" s="59"/>
      <c r="FO584" s="59"/>
      <c r="FP584" s="59"/>
      <c r="FQ584" s="59"/>
      <c r="FR584" s="59"/>
      <c r="FS584" s="59"/>
      <c r="FT584" s="59"/>
      <c r="FU584" s="59"/>
      <c r="FV584" s="59"/>
      <c r="FW584" s="59"/>
      <c r="FX584" s="59"/>
      <c r="FY584" s="59"/>
      <c r="FZ584" s="59"/>
      <c r="GA584" s="59"/>
      <c r="GB584" s="59"/>
      <c r="GC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/>
      <c r="CJ585" s="59"/>
      <c r="CK585" s="59"/>
      <c r="CL585" s="59"/>
      <c r="CM585" s="59"/>
      <c r="CN585" s="59"/>
      <c r="CO585" s="59"/>
      <c r="CP585" s="59"/>
      <c r="CQ585" s="59"/>
      <c r="CR585" s="59"/>
      <c r="CS585" s="59"/>
      <c r="CT585" s="59"/>
      <c r="CU585" s="59"/>
      <c r="CV585" s="59"/>
      <c r="CW585" s="59"/>
      <c r="CX585" s="59"/>
      <c r="CY585" s="59"/>
      <c r="CZ585" s="59"/>
      <c r="DA585" s="59"/>
      <c r="DB585" s="59"/>
      <c r="DC585" s="59"/>
      <c r="DD585" s="59"/>
      <c r="DE585" s="59"/>
      <c r="DF585" s="59"/>
      <c r="DG585" s="59"/>
      <c r="DH585" s="59"/>
      <c r="DI585" s="59"/>
      <c r="DJ585" s="59"/>
      <c r="DK585" s="59"/>
      <c r="DL585" s="59"/>
      <c r="DM585" s="59"/>
      <c r="DN585" s="59"/>
      <c r="DO585" s="59"/>
      <c r="DP585" s="59"/>
      <c r="DQ585" s="59"/>
      <c r="DR585" s="59"/>
      <c r="DS585" s="59"/>
      <c r="DT585" s="59"/>
      <c r="DU585" s="59"/>
      <c r="DV585" s="59"/>
      <c r="DW585" s="59"/>
      <c r="DX585" s="59"/>
      <c r="DY585" s="59"/>
      <c r="DZ585" s="59"/>
      <c r="EA585" s="59"/>
      <c r="EB585" s="59"/>
      <c r="EC585" s="59"/>
      <c r="ED585" s="59"/>
      <c r="EE585" s="59"/>
      <c r="EF585" s="59"/>
      <c r="EG585" s="59"/>
      <c r="EH585" s="59"/>
      <c r="EI585" s="59"/>
      <c r="EJ585" s="59"/>
      <c r="EK585" s="59"/>
      <c r="EL585" s="59"/>
      <c r="EM585" s="59"/>
      <c r="EN585" s="59"/>
      <c r="EO585" s="59"/>
      <c r="EP585" s="59"/>
      <c r="EQ585" s="59"/>
      <c r="ER585" s="59"/>
      <c r="ES585" s="59"/>
      <c r="ET585" s="59"/>
      <c r="EU585" s="59"/>
      <c r="EV585" s="59"/>
      <c r="EW585" s="59"/>
      <c r="EX585" s="59"/>
      <c r="EY585" s="59"/>
      <c r="EZ585" s="59"/>
      <c r="FA585" s="59"/>
      <c r="FB585" s="59"/>
      <c r="FC585" s="59"/>
      <c r="FD585" s="59"/>
      <c r="FE585" s="59"/>
      <c r="FF585" s="59"/>
      <c r="FG585" s="59"/>
      <c r="FH585" s="59"/>
      <c r="FI585" s="59"/>
      <c r="FJ585" s="59"/>
      <c r="FK585" s="59"/>
      <c r="FL585" s="59"/>
      <c r="FM585" s="59"/>
      <c r="FN585" s="59"/>
      <c r="FO585" s="59"/>
      <c r="FP585" s="59"/>
      <c r="FQ585" s="59"/>
      <c r="FR585" s="59"/>
      <c r="FS585" s="59"/>
      <c r="FT585" s="59"/>
      <c r="FU585" s="59"/>
      <c r="FV585" s="59"/>
      <c r="FW585" s="59"/>
      <c r="FX585" s="59"/>
      <c r="FY585" s="59"/>
      <c r="FZ585" s="59"/>
      <c r="GA585" s="59"/>
      <c r="GB585" s="59"/>
      <c r="GC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  <c r="CP586" s="59"/>
      <c r="CQ586" s="59"/>
      <c r="CR586" s="59"/>
      <c r="CS586" s="59"/>
      <c r="CT586" s="59"/>
      <c r="CU586" s="59"/>
      <c r="CV586" s="59"/>
      <c r="CW586" s="59"/>
      <c r="CX586" s="59"/>
      <c r="CY586" s="59"/>
      <c r="CZ586" s="59"/>
      <c r="DA586" s="59"/>
      <c r="DB586" s="59"/>
      <c r="DC586" s="59"/>
      <c r="DD586" s="59"/>
      <c r="DE586" s="59"/>
      <c r="DF586" s="59"/>
      <c r="DG586" s="59"/>
      <c r="DH586" s="59"/>
      <c r="DI586" s="59"/>
      <c r="DJ586" s="59"/>
      <c r="DK586" s="59"/>
      <c r="DL586" s="59"/>
      <c r="DM586" s="59"/>
      <c r="DN586" s="59"/>
      <c r="DO586" s="59"/>
      <c r="DP586" s="59"/>
      <c r="DQ586" s="59"/>
      <c r="DR586" s="59"/>
      <c r="DS586" s="59"/>
      <c r="DT586" s="59"/>
      <c r="DU586" s="59"/>
      <c r="DV586" s="59"/>
      <c r="DW586" s="59"/>
      <c r="DX586" s="59"/>
      <c r="DY586" s="59"/>
      <c r="DZ586" s="59"/>
      <c r="EA586" s="59"/>
      <c r="EB586" s="59"/>
      <c r="EC586" s="59"/>
      <c r="ED586" s="59"/>
      <c r="EE586" s="59"/>
      <c r="EF586" s="59"/>
      <c r="EG586" s="59"/>
      <c r="EH586" s="59"/>
      <c r="EI586" s="59"/>
      <c r="EJ586" s="59"/>
      <c r="EK586" s="59"/>
      <c r="EL586" s="59"/>
      <c r="EM586" s="59"/>
      <c r="EN586" s="59"/>
      <c r="EO586" s="59"/>
      <c r="EP586" s="59"/>
      <c r="EQ586" s="59"/>
      <c r="ER586" s="59"/>
      <c r="ES586" s="59"/>
      <c r="ET586" s="59"/>
      <c r="EU586" s="59"/>
      <c r="EV586" s="59"/>
      <c r="EW586" s="59"/>
      <c r="EX586" s="59"/>
      <c r="EY586" s="59"/>
      <c r="EZ586" s="59"/>
      <c r="FA586" s="59"/>
      <c r="FB586" s="59"/>
      <c r="FC586" s="59"/>
      <c r="FD586" s="59"/>
      <c r="FE586" s="59"/>
      <c r="FF586" s="59"/>
      <c r="FG586" s="59"/>
      <c r="FH586" s="59"/>
      <c r="FI586" s="59"/>
      <c r="FJ586" s="59"/>
      <c r="FK586" s="59"/>
      <c r="FL586" s="59"/>
      <c r="FM586" s="59"/>
      <c r="FN586" s="59"/>
      <c r="FO586" s="59"/>
      <c r="FP586" s="59"/>
      <c r="FQ586" s="59"/>
      <c r="FR586" s="59"/>
      <c r="FS586" s="59"/>
      <c r="FT586" s="59"/>
      <c r="FU586" s="59"/>
      <c r="FV586" s="59"/>
      <c r="FW586" s="59"/>
      <c r="FX586" s="59"/>
      <c r="FY586" s="59"/>
      <c r="FZ586" s="59"/>
      <c r="GA586" s="59"/>
      <c r="GB586" s="59"/>
      <c r="GC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  <c r="CP587" s="59"/>
      <c r="CQ587" s="59"/>
      <c r="CR587" s="59"/>
      <c r="CS587" s="59"/>
      <c r="CT587" s="59"/>
      <c r="CU587" s="59"/>
      <c r="CV587" s="59"/>
      <c r="CW587" s="59"/>
      <c r="CX587" s="59"/>
      <c r="CY587" s="59"/>
      <c r="CZ587" s="59"/>
      <c r="DA587" s="59"/>
      <c r="DB587" s="59"/>
      <c r="DC587" s="59"/>
      <c r="DD587" s="59"/>
      <c r="DE587" s="59"/>
      <c r="DF587" s="59"/>
      <c r="DG587" s="59"/>
      <c r="DH587" s="59"/>
      <c r="DI587" s="59"/>
      <c r="DJ587" s="59"/>
      <c r="DK587" s="59"/>
      <c r="DL587" s="59"/>
      <c r="DM587" s="59"/>
      <c r="DN587" s="59"/>
      <c r="DO587" s="59"/>
      <c r="DP587" s="59"/>
      <c r="DQ587" s="59"/>
      <c r="DR587" s="59"/>
      <c r="DS587" s="59"/>
      <c r="DT587" s="59"/>
      <c r="DU587" s="59"/>
      <c r="DV587" s="59"/>
      <c r="DW587" s="59"/>
      <c r="DX587" s="59"/>
      <c r="DY587" s="59"/>
      <c r="DZ587" s="59"/>
      <c r="EA587" s="59"/>
      <c r="EB587" s="59"/>
      <c r="EC587" s="59"/>
      <c r="ED587" s="59"/>
      <c r="EE587" s="59"/>
      <c r="EF587" s="59"/>
      <c r="EG587" s="59"/>
      <c r="EH587" s="59"/>
      <c r="EI587" s="59"/>
      <c r="EJ587" s="59"/>
      <c r="EK587" s="59"/>
      <c r="EL587" s="59"/>
      <c r="EM587" s="59"/>
      <c r="EN587" s="59"/>
      <c r="EO587" s="59"/>
      <c r="EP587" s="59"/>
      <c r="EQ587" s="59"/>
      <c r="ER587" s="59"/>
      <c r="ES587" s="59"/>
      <c r="ET587" s="59"/>
      <c r="EU587" s="59"/>
      <c r="EV587" s="59"/>
      <c r="EW587" s="59"/>
      <c r="EX587" s="59"/>
      <c r="EY587" s="59"/>
      <c r="EZ587" s="59"/>
      <c r="FA587" s="59"/>
      <c r="FB587" s="59"/>
      <c r="FC587" s="59"/>
      <c r="FD587" s="59"/>
      <c r="FE587" s="59"/>
      <c r="FF587" s="59"/>
      <c r="FG587" s="59"/>
      <c r="FH587" s="59"/>
      <c r="FI587" s="59"/>
      <c r="FJ587" s="59"/>
      <c r="FK587" s="59"/>
      <c r="FL587" s="59"/>
      <c r="FM587" s="59"/>
      <c r="FN587" s="59"/>
      <c r="FO587" s="59"/>
      <c r="FP587" s="59"/>
      <c r="FQ587" s="59"/>
      <c r="FR587" s="59"/>
      <c r="FS587" s="59"/>
      <c r="FT587" s="59"/>
      <c r="FU587" s="59"/>
      <c r="FV587" s="59"/>
      <c r="FW587" s="59"/>
      <c r="FX587" s="59"/>
      <c r="FY587" s="59"/>
      <c r="FZ587" s="59"/>
      <c r="GA587" s="59"/>
      <c r="GB587" s="59"/>
      <c r="GC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59"/>
      <c r="BX588" s="59"/>
      <c r="BY588" s="59"/>
      <c r="BZ588" s="59"/>
      <c r="CA588" s="59"/>
      <c r="CB588" s="59"/>
      <c r="CC588" s="59"/>
      <c r="CD588" s="59"/>
      <c r="CE588" s="59"/>
      <c r="CF588" s="59"/>
      <c r="CG588" s="59"/>
      <c r="CH588" s="59"/>
      <c r="CI588" s="59"/>
      <c r="CJ588" s="59"/>
      <c r="CK588" s="59"/>
      <c r="CL588" s="59"/>
      <c r="CM588" s="59"/>
      <c r="CN588" s="59"/>
      <c r="CO588" s="59"/>
      <c r="CP588" s="59"/>
      <c r="CQ588" s="59"/>
      <c r="CR588" s="59"/>
      <c r="CS588" s="59"/>
      <c r="CT588" s="59"/>
      <c r="CU588" s="59"/>
      <c r="CV588" s="59"/>
      <c r="CW588" s="59"/>
      <c r="CX588" s="59"/>
      <c r="CY588" s="59"/>
      <c r="CZ588" s="59"/>
      <c r="DA588" s="59"/>
      <c r="DB588" s="59"/>
      <c r="DC588" s="59"/>
      <c r="DD588" s="59"/>
      <c r="DE588" s="59"/>
      <c r="DF588" s="59"/>
      <c r="DG588" s="59"/>
      <c r="DH588" s="59"/>
      <c r="DI588" s="59"/>
      <c r="DJ588" s="59"/>
      <c r="DK588" s="59"/>
      <c r="DL588" s="59"/>
      <c r="DM588" s="59"/>
      <c r="DN588" s="59"/>
      <c r="DO588" s="59"/>
      <c r="DP588" s="59"/>
      <c r="DQ588" s="59"/>
      <c r="DR588" s="59"/>
      <c r="DS588" s="59"/>
      <c r="DT588" s="59"/>
      <c r="DU588" s="59"/>
      <c r="DV588" s="59"/>
      <c r="DW588" s="59"/>
      <c r="DX588" s="59"/>
      <c r="DY588" s="59"/>
      <c r="DZ588" s="59"/>
      <c r="EA588" s="59"/>
      <c r="EB588" s="59"/>
      <c r="EC588" s="59"/>
      <c r="ED588" s="59"/>
      <c r="EE588" s="59"/>
      <c r="EF588" s="59"/>
      <c r="EG588" s="59"/>
      <c r="EH588" s="59"/>
      <c r="EI588" s="59"/>
      <c r="EJ588" s="59"/>
      <c r="EK588" s="59"/>
      <c r="EL588" s="59"/>
      <c r="EM588" s="59"/>
      <c r="EN588" s="59"/>
      <c r="EO588" s="59"/>
      <c r="EP588" s="59"/>
      <c r="EQ588" s="59"/>
      <c r="ER588" s="59"/>
      <c r="ES588" s="59"/>
      <c r="ET588" s="59"/>
      <c r="EU588" s="59"/>
      <c r="EV588" s="59"/>
      <c r="EW588" s="59"/>
      <c r="EX588" s="59"/>
      <c r="EY588" s="59"/>
      <c r="EZ588" s="59"/>
      <c r="FA588" s="59"/>
      <c r="FB588" s="59"/>
      <c r="FC588" s="59"/>
      <c r="FD588" s="59"/>
      <c r="FE588" s="59"/>
      <c r="FF588" s="59"/>
      <c r="FG588" s="59"/>
      <c r="FH588" s="59"/>
      <c r="FI588" s="59"/>
      <c r="FJ588" s="59"/>
      <c r="FK588" s="59"/>
      <c r="FL588" s="59"/>
      <c r="FM588" s="59"/>
      <c r="FN588" s="59"/>
      <c r="FO588" s="59"/>
      <c r="FP588" s="59"/>
      <c r="FQ588" s="59"/>
      <c r="FR588" s="59"/>
      <c r="FS588" s="59"/>
      <c r="FT588" s="59"/>
      <c r="FU588" s="59"/>
      <c r="FV588" s="59"/>
      <c r="FW588" s="59"/>
      <c r="FX588" s="59"/>
      <c r="FY588" s="59"/>
      <c r="FZ588" s="59"/>
      <c r="GA588" s="59"/>
      <c r="GB588" s="59"/>
      <c r="GC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59"/>
      <c r="BX589" s="59"/>
      <c r="BY589" s="59"/>
      <c r="BZ589" s="59"/>
      <c r="CA589" s="59"/>
      <c r="CB589" s="59"/>
      <c r="CC589" s="59"/>
      <c r="CD589" s="59"/>
      <c r="CE589" s="59"/>
      <c r="CF589" s="59"/>
      <c r="CG589" s="59"/>
      <c r="CH589" s="59"/>
      <c r="CI589" s="59"/>
      <c r="CJ589" s="59"/>
      <c r="CK589" s="59"/>
      <c r="CL589" s="59"/>
      <c r="CM589" s="59"/>
      <c r="CN589" s="59"/>
      <c r="CO589" s="59"/>
      <c r="CP589" s="59"/>
      <c r="CQ589" s="59"/>
      <c r="CR589" s="59"/>
      <c r="CS589" s="59"/>
      <c r="CT589" s="59"/>
      <c r="CU589" s="59"/>
      <c r="CV589" s="59"/>
      <c r="CW589" s="59"/>
      <c r="CX589" s="59"/>
      <c r="CY589" s="59"/>
      <c r="CZ589" s="59"/>
      <c r="DA589" s="59"/>
      <c r="DB589" s="59"/>
      <c r="DC589" s="59"/>
      <c r="DD589" s="59"/>
      <c r="DE589" s="59"/>
      <c r="DF589" s="59"/>
      <c r="DG589" s="59"/>
      <c r="DH589" s="59"/>
      <c r="DI589" s="59"/>
      <c r="DJ589" s="59"/>
      <c r="DK589" s="59"/>
      <c r="DL589" s="59"/>
      <c r="DM589" s="59"/>
      <c r="DN589" s="59"/>
      <c r="DO589" s="59"/>
      <c r="DP589" s="59"/>
      <c r="DQ589" s="59"/>
      <c r="DR589" s="59"/>
      <c r="DS589" s="59"/>
      <c r="DT589" s="59"/>
      <c r="DU589" s="59"/>
      <c r="DV589" s="59"/>
      <c r="DW589" s="59"/>
      <c r="DX589" s="59"/>
      <c r="DY589" s="59"/>
      <c r="DZ589" s="59"/>
      <c r="EA589" s="59"/>
      <c r="EB589" s="59"/>
      <c r="EC589" s="59"/>
      <c r="ED589" s="59"/>
      <c r="EE589" s="59"/>
      <c r="EF589" s="59"/>
      <c r="EG589" s="59"/>
      <c r="EH589" s="59"/>
      <c r="EI589" s="59"/>
      <c r="EJ589" s="59"/>
      <c r="EK589" s="59"/>
      <c r="EL589" s="59"/>
      <c r="EM589" s="59"/>
      <c r="EN589" s="59"/>
      <c r="EO589" s="59"/>
      <c r="EP589" s="59"/>
      <c r="EQ589" s="59"/>
      <c r="ER589" s="59"/>
      <c r="ES589" s="59"/>
      <c r="ET589" s="59"/>
      <c r="EU589" s="59"/>
      <c r="EV589" s="59"/>
      <c r="EW589" s="59"/>
      <c r="EX589" s="59"/>
      <c r="EY589" s="59"/>
      <c r="EZ589" s="59"/>
      <c r="FA589" s="59"/>
      <c r="FB589" s="59"/>
      <c r="FC589" s="59"/>
      <c r="FD589" s="59"/>
      <c r="FE589" s="59"/>
      <c r="FF589" s="59"/>
      <c r="FG589" s="59"/>
      <c r="FH589" s="59"/>
      <c r="FI589" s="59"/>
      <c r="FJ589" s="59"/>
      <c r="FK589" s="59"/>
      <c r="FL589" s="59"/>
      <c r="FM589" s="59"/>
      <c r="FN589" s="59"/>
      <c r="FO589" s="59"/>
      <c r="FP589" s="59"/>
      <c r="FQ589" s="59"/>
      <c r="FR589" s="59"/>
      <c r="FS589" s="59"/>
      <c r="FT589" s="59"/>
      <c r="FU589" s="59"/>
      <c r="FV589" s="59"/>
      <c r="FW589" s="59"/>
      <c r="FX589" s="59"/>
      <c r="FY589" s="59"/>
      <c r="FZ589" s="59"/>
      <c r="GA589" s="59"/>
      <c r="GB589" s="59"/>
      <c r="GC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/>
      <c r="CH590" s="59"/>
      <c r="CI590" s="59"/>
      <c r="CJ590" s="59"/>
      <c r="CK590" s="59"/>
      <c r="CL590" s="59"/>
      <c r="CM590" s="59"/>
      <c r="CN590" s="59"/>
      <c r="CO590" s="59"/>
      <c r="CP590" s="59"/>
      <c r="CQ590" s="59"/>
      <c r="CR590" s="59"/>
      <c r="CS590" s="59"/>
      <c r="CT590" s="59"/>
      <c r="CU590" s="59"/>
      <c r="CV590" s="59"/>
      <c r="CW590" s="59"/>
      <c r="CX590" s="59"/>
      <c r="CY590" s="59"/>
      <c r="CZ590" s="59"/>
      <c r="DA590" s="59"/>
      <c r="DB590" s="59"/>
      <c r="DC590" s="59"/>
      <c r="DD590" s="59"/>
      <c r="DE590" s="59"/>
      <c r="DF590" s="59"/>
      <c r="DG590" s="59"/>
      <c r="DH590" s="59"/>
      <c r="DI590" s="59"/>
      <c r="DJ590" s="59"/>
      <c r="DK590" s="59"/>
      <c r="DL590" s="59"/>
      <c r="DM590" s="59"/>
      <c r="DN590" s="59"/>
      <c r="DO590" s="59"/>
      <c r="DP590" s="59"/>
      <c r="DQ590" s="59"/>
      <c r="DR590" s="59"/>
      <c r="DS590" s="59"/>
      <c r="DT590" s="59"/>
      <c r="DU590" s="59"/>
      <c r="DV590" s="59"/>
      <c r="DW590" s="59"/>
      <c r="DX590" s="59"/>
      <c r="DY590" s="59"/>
      <c r="DZ590" s="59"/>
      <c r="EA590" s="59"/>
      <c r="EB590" s="59"/>
      <c r="EC590" s="59"/>
      <c r="ED590" s="59"/>
      <c r="EE590" s="59"/>
      <c r="EF590" s="59"/>
      <c r="EG590" s="59"/>
      <c r="EH590" s="59"/>
      <c r="EI590" s="59"/>
      <c r="EJ590" s="59"/>
      <c r="EK590" s="59"/>
      <c r="EL590" s="59"/>
      <c r="EM590" s="59"/>
      <c r="EN590" s="59"/>
      <c r="EO590" s="59"/>
      <c r="EP590" s="59"/>
      <c r="EQ590" s="59"/>
      <c r="ER590" s="59"/>
      <c r="ES590" s="59"/>
      <c r="ET590" s="59"/>
      <c r="EU590" s="59"/>
      <c r="EV590" s="59"/>
      <c r="EW590" s="59"/>
      <c r="EX590" s="59"/>
      <c r="EY590" s="59"/>
      <c r="EZ590" s="59"/>
      <c r="FA590" s="59"/>
      <c r="FB590" s="59"/>
      <c r="FC590" s="59"/>
      <c r="FD590" s="59"/>
      <c r="FE590" s="59"/>
      <c r="FF590" s="59"/>
      <c r="FG590" s="59"/>
      <c r="FH590" s="59"/>
      <c r="FI590" s="59"/>
      <c r="FJ590" s="59"/>
      <c r="FK590" s="59"/>
      <c r="FL590" s="59"/>
      <c r="FM590" s="59"/>
      <c r="FN590" s="59"/>
      <c r="FO590" s="59"/>
      <c r="FP590" s="59"/>
      <c r="FQ590" s="59"/>
      <c r="FR590" s="59"/>
      <c r="FS590" s="59"/>
      <c r="FT590" s="59"/>
      <c r="FU590" s="59"/>
      <c r="FV590" s="59"/>
      <c r="FW590" s="59"/>
      <c r="FX590" s="59"/>
      <c r="FY590" s="59"/>
      <c r="FZ590" s="59"/>
      <c r="GA590" s="59"/>
      <c r="GB590" s="59"/>
      <c r="GC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  <c r="CP591" s="59"/>
      <c r="CQ591" s="59"/>
      <c r="CR591" s="59"/>
      <c r="CS591" s="59"/>
      <c r="CT591" s="59"/>
      <c r="CU591" s="59"/>
      <c r="CV591" s="59"/>
      <c r="CW591" s="59"/>
      <c r="CX591" s="59"/>
      <c r="CY591" s="59"/>
      <c r="CZ591" s="59"/>
      <c r="DA591" s="59"/>
      <c r="DB591" s="59"/>
      <c r="DC591" s="59"/>
      <c r="DD591" s="59"/>
      <c r="DE591" s="59"/>
      <c r="DF591" s="59"/>
      <c r="DG591" s="59"/>
      <c r="DH591" s="59"/>
      <c r="DI591" s="59"/>
      <c r="DJ591" s="59"/>
      <c r="DK591" s="59"/>
      <c r="DL591" s="59"/>
      <c r="DM591" s="59"/>
      <c r="DN591" s="59"/>
      <c r="DO591" s="59"/>
      <c r="DP591" s="59"/>
      <c r="DQ591" s="59"/>
      <c r="DR591" s="59"/>
      <c r="DS591" s="59"/>
      <c r="DT591" s="59"/>
      <c r="DU591" s="59"/>
      <c r="DV591" s="59"/>
      <c r="DW591" s="59"/>
      <c r="DX591" s="59"/>
      <c r="DY591" s="59"/>
      <c r="DZ591" s="59"/>
      <c r="EA591" s="59"/>
      <c r="EB591" s="59"/>
      <c r="EC591" s="59"/>
      <c r="ED591" s="59"/>
      <c r="EE591" s="59"/>
      <c r="EF591" s="59"/>
      <c r="EG591" s="59"/>
      <c r="EH591" s="59"/>
      <c r="EI591" s="59"/>
      <c r="EJ591" s="59"/>
      <c r="EK591" s="59"/>
      <c r="EL591" s="59"/>
      <c r="EM591" s="59"/>
      <c r="EN591" s="59"/>
      <c r="EO591" s="59"/>
      <c r="EP591" s="59"/>
      <c r="EQ591" s="59"/>
      <c r="ER591" s="59"/>
      <c r="ES591" s="59"/>
      <c r="ET591" s="59"/>
      <c r="EU591" s="59"/>
      <c r="EV591" s="59"/>
      <c r="EW591" s="59"/>
      <c r="EX591" s="59"/>
      <c r="EY591" s="59"/>
      <c r="EZ591" s="59"/>
      <c r="FA591" s="59"/>
      <c r="FB591" s="59"/>
      <c r="FC591" s="59"/>
      <c r="FD591" s="59"/>
      <c r="FE591" s="59"/>
      <c r="FF591" s="59"/>
      <c r="FG591" s="59"/>
      <c r="FH591" s="59"/>
      <c r="FI591" s="59"/>
      <c r="FJ591" s="59"/>
      <c r="FK591" s="59"/>
      <c r="FL591" s="59"/>
      <c r="FM591" s="59"/>
      <c r="FN591" s="59"/>
      <c r="FO591" s="59"/>
      <c r="FP591" s="59"/>
      <c r="FQ591" s="59"/>
      <c r="FR591" s="59"/>
      <c r="FS591" s="59"/>
      <c r="FT591" s="59"/>
      <c r="FU591" s="59"/>
      <c r="FV591" s="59"/>
      <c r="FW591" s="59"/>
      <c r="FX591" s="59"/>
      <c r="FY591" s="59"/>
      <c r="FZ591" s="59"/>
      <c r="GA591" s="59"/>
      <c r="GB591" s="59"/>
      <c r="GC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  <c r="CP592" s="59"/>
      <c r="CQ592" s="59"/>
      <c r="CR592" s="59"/>
      <c r="CS592" s="59"/>
      <c r="CT592" s="59"/>
      <c r="CU592" s="59"/>
      <c r="CV592" s="59"/>
      <c r="CW592" s="59"/>
      <c r="CX592" s="59"/>
      <c r="CY592" s="59"/>
      <c r="CZ592" s="59"/>
      <c r="DA592" s="59"/>
      <c r="DB592" s="59"/>
      <c r="DC592" s="59"/>
      <c r="DD592" s="59"/>
      <c r="DE592" s="59"/>
      <c r="DF592" s="59"/>
      <c r="DG592" s="59"/>
      <c r="DH592" s="59"/>
      <c r="DI592" s="59"/>
      <c r="DJ592" s="59"/>
      <c r="DK592" s="59"/>
      <c r="DL592" s="59"/>
      <c r="DM592" s="59"/>
      <c r="DN592" s="59"/>
      <c r="DO592" s="59"/>
      <c r="DP592" s="59"/>
      <c r="DQ592" s="59"/>
      <c r="DR592" s="59"/>
      <c r="DS592" s="59"/>
      <c r="DT592" s="59"/>
      <c r="DU592" s="59"/>
      <c r="DV592" s="59"/>
      <c r="DW592" s="59"/>
      <c r="DX592" s="59"/>
      <c r="DY592" s="59"/>
      <c r="DZ592" s="59"/>
      <c r="EA592" s="59"/>
      <c r="EB592" s="59"/>
      <c r="EC592" s="59"/>
      <c r="ED592" s="59"/>
      <c r="EE592" s="59"/>
      <c r="EF592" s="59"/>
      <c r="EG592" s="59"/>
      <c r="EH592" s="59"/>
      <c r="EI592" s="59"/>
      <c r="EJ592" s="59"/>
      <c r="EK592" s="59"/>
      <c r="EL592" s="59"/>
      <c r="EM592" s="59"/>
      <c r="EN592" s="59"/>
      <c r="EO592" s="59"/>
      <c r="EP592" s="59"/>
      <c r="EQ592" s="59"/>
      <c r="ER592" s="59"/>
      <c r="ES592" s="59"/>
      <c r="ET592" s="59"/>
      <c r="EU592" s="59"/>
      <c r="EV592" s="59"/>
      <c r="EW592" s="59"/>
      <c r="EX592" s="59"/>
      <c r="EY592" s="59"/>
      <c r="EZ592" s="59"/>
      <c r="FA592" s="59"/>
      <c r="FB592" s="59"/>
      <c r="FC592" s="59"/>
      <c r="FD592" s="59"/>
      <c r="FE592" s="59"/>
      <c r="FF592" s="59"/>
      <c r="FG592" s="59"/>
      <c r="FH592" s="59"/>
      <c r="FI592" s="59"/>
      <c r="FJ592" s="59"/>
      <c r="FK592" s="59"/>
      <c r="FL592" s="59"/>
      <c r="FM592" s="59"/>
      <c r="FN592" s="59"/>
      <c r="FO592" s="59"/>
      <c r="FP592" s="59"/>
      <c r="FQ592" s="59"/>
      <c r="FR592" s="59"/>
      <c r="FS592" s="59"/>
      <c r="FT592" s="59"/>
      <c r="FU592" s="59"/>
      <c r="FV592" s="59"/>
      <c r="FW592" s="59"/>
      <c r="FX592" s="59"/>
      <c r="FY592" s="59"/>
      <c r="FZ592" s="59"/>
      <c r="GA592" s="59"/>
      <c r="GB592" s="59"/>
      <c r="GC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  <c r="CP593" s="59"/>
      <c r="CQ593" s="59"/>
      <c r="CR593" s="59"/>
      <c r="CS593" s="59"/>
      <c r="CT593" s="59"/>
      <c r="CU593" s="59"/>
      <c r="CV593" s="59"/>
      <c r="CW593" s="59"/>
      <c r="CX593" s="59"/>
      <c r="CY593" s="59"/>
      <c r="CZ593" s="59"/>
      <c r="DA593" s="59"/>
      <c r="DB593" s="59"/>
      <c r="DC593" s="59"/>
      <c r="DD593" s="59"/>
      <c r="DE593" s="59"/>
      <c r="DF593" s="59"/>
      <c r="DG593" s="59"/>
      <c r="DH593" s="59"/>
      <c r="DI593" s="59"/>
      <c r="DJ593" s="59"/>
      <c r="DK593" s="59"/>
      <c r="DL593" s="59"/>
      <c r="DM593" s="59"/>
      <c r="DN593" s="59"/>
      <c r="DO593" s="59"/>
      <c r="DP593" s="59"/>
      <c r="DQ593" s="59"/>
      <c r="DR593" s="59"/>
      <c r="DS593" s="59"/>
      <c r="DT593" s="59"/>
      <c r="DU593" s="59"/>
      <c r="DV593" s="59"/>
      <c r="DW593" s="59"/>
      <c r="DX593" s="59"/>
      <c r="DY593" s="59"/>
      <c r="DZ593" s="59"/>
      <c r="EA593" s="59"/>
      <c r="EB593" s="59"/>
      <c r="EC593" s="59"/>
      <c r="ED593" s="59"/>
      <c r="EE593" s="59"/>
      <c r="EF593" s="59"/>
      <c r="EG593" s="59"/>
      <c r="EH593" s="59"/>
      <c r="EI593" s="59"/>
      <c r="EJ593" s="59"/>
      <c r="EK593" s="59"/>
      <c r="EL593" s="59"/>
      <c r="EM593" s="59"/>
      <c r="EN593" s="59"/>
      <c r="EO593" s="59"/>
      <c r="EP593" s="59"/>
      <c r="EQ593" s="59"/>
      <c r="ER593" s="59"/>
      <c r="ES593" s="59"/>
      <c r="ET593" s="59"/>
      <c r="EU593" s="59"/>
      <c r="EV593" s="59"/>
      <c r="EW593" s="59"/>
      <c r="EX593" s="59"/>
      <c r="EY593" s="59"/>
      <c r="EZ593" s="59"/>
      <c r="FA593" s="59"/>
      <c r="FB593" s="59"/>
      <c r="FC593" s="59"/>
      <c r="FD593" s="59"/>
      <c r="FE593" s="59"/>
      <c r="FF593" s="59"/>
      <c r="FG593" s="59"/>
      <c r="FH593" s="59"/>
      <c r="FI593" s="59"/>
      <c r="FJ593" s="59"/>
      <c r="FK593" s="59"/>
      <c r="FL593" s="59"/>
      <c r="FM593" s="59"/>
      <c r="FN593" s="59"/>
      <c r="FO593" s="59"/>
      <c r="FP593" s="59"/>
      <c r="FQ593" s="59"/>
      <c r="FR593" s="59"/>
      <c r="FS593" s="59"/>
      <c r="FT593" s="59"/>
      <c r="FU593" s="59"/>
      <c r="FV593" s="59"/>
      <c r="FW593" s="59"/>
      <c r="FX593" s="59"/>
      <c r="FY593" s="59"/>
      <c r="FZ593" s="59"/>
      <c r="GA593" s="59"/>
      <c r="GB593" s="59"/>
      <c r="GC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  <c r="CP594" s="59"/>
      <c r="CQ594" s="59"/>
      <c r="CR594" s="59"/>
      <c r="CS594" s="59"/>
      <c r="CT594" s="59"/>
      <c r="CU594" s="59"/>
      <c r="CV594" s="59"/>
      <c r="CW594" s="59"/>
      <c r="CX594" s="59"/>
      <c r="CY594" s="59"/>
      <c r="CZ594" s="59"/>
      <c r="DA594" s="59"/>
      <c r="DB594" s="59"/>
      <c r="DC594" s="59"/>
      <c r="DD594" s="59"/>
      <c r="DE594" s="59"/>
      <c r="DF594" s="59"/>
      <c r="DG594" s="59"/>
      <c r="DH594" s="59"/>
      <c r="DI594" s="59"/>
      <c r="DJ594" s="59"/>
      <c r="DK594" s="59"/>
      <c r="DL594" s="59"/>
      <c r="DM594" s="59"/>
      <c r="DN594" s="59"/>
      <c r="DO594" s="59"/>
      <c r="DP594" s="59"/>
      <c r="DQ594" s="59"/>
      <c r="DR594" s="59"/>
      <c r="DS594" s="59"/>
      <c r="DT594" s="59"/>
      <c r="DU594" s="59"/>
      <c r="DV594" s="59"/>
      <c r="DW594" s="59"/>
      <c r="DX594" s="59"/>
      <c r="DY594" s="59"/>
      <c r="DZ594" s="59"/>
      <c r="EA594" s="59"/>
      <c r="EB594" s="59"/>
      <c r="EC594" s="59"/>
      <c r="ED594" s="59"/>
      <c r="EE594" s="59"/>
      <c r="EF594" s="59"/>
      <c r="EG594" s="59"/>
      <c r="EH594" s="59"/>
      <c r="EI594" s="59"/>
      <c r="EJ594" s="59"/>
      <c r="EK594" s="59"/>
      <c r="EL594" s="59"/>
      <c r="EM594" s="59"/>
      <c r="EN594" s="59"/>
      <c r="EO594" s="59"/>
      <c r="EP594" s="59"/>
      <c r="EQ594" s="59"/>
      <c r="ER594" s="59"/>
      <c r="ES594" s="59"/>
      <c r="ET594" s="59"/>
      <c r="EU594" s="59"/>
      <c r="EV594" s="59"/>
      <c r="EW594" s="59"/>
      <c r="EX594" s="59"/>
      <c r="EY594" s="59"/>
      <c r="EZ594" s="59"/>
      <c r="FA594" s="59"/>
      <c r="FB594" s="59"/>
      <c r="FC594" s="59"/>
      <c r="FD594" s="59"/>
      <c r="FE594" s="59"/>
      <c r="FF594" s="59"/>
      <c r="FG594" s="59"/>
      <c r="FH594" s="59"/>
      <c r="FI594" s="59"/>
      <c r="FJ594" s="59"/>
      <c r="FK594" s="59"/>
      <c r="FL594" s="59"/>
      <c r="FM594" s="59"/>
      <c r="FN594" s="59"/>
      <c r="FO594" s="59"/>
      <c r="FP594" s="59"/>
      <c r="FQ594" s="59"/>
      <c r="FR594" s="59"/>
      <c r="FS594" s="59"/>
      <c r="FT594" s="59"/>
      <c r="FU594" s="59"/>
      <c r="FV594" s="59"/>
      <c r="FW594" s="59"/>
      <c r="FX594" s="59"/>
      <c r="FY594" s="59"/>
      <c r="FZ594" s="59"/>
      <c r="GA594" s="59"/>
      <c r="GB594" s="59"/>
      <c r="GC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  <c r="CP595" s="59"/>
      <c r="CQ595" s="59"/>
      <c r="CR595" s="59"/>
      <c r="CS595" s="59"/>
      <c r="CT595" s="59"/>
      <c r="CU595" s="59"/>
      <c r="CV595" s="59"/>
      <c r="CW595" s="59"/>
      <c r="CX595" s="59"/>
      <c r="CY595" s="59"/>
      <c r="CZ595" s="59"/>
      <c r="DA595" s="59"/>
      <c r="DB595" s="59"/>
      <c r="DC595" s="59"/>
      <c r="DD595" s="59"/>
      <c r="DE595" s="59"/>
      <c r="DF595" s="59"/>
      <c r="DG595" s="59"/>
      <c r="DH595" s="59"/>
      <c r="DI595" s="59"/>
      <c r="DJ595" s="59"/>
      <c r="DK595" s="59"/>
      <c r="DL595" s="59"/>
      <c r="DM595" s="59"/>
      <c r="DN595" s="59"/>
      <c r="DO595" s="59"/>
      <c r="DP595" s="59"/>
      <c r="DQ595" s="59"/>
      <c r="DR595" s="59"/>
      <c r="DS595" s="59"/>
      <c r="DT595" s="59"/>
      <c r="DU595" s="59"/>
      <c r="DV595" s="59"/>
      <c r="DW595" s="59"/>
      <c r="DX595" s="59"/>
      <c r="DY595" s="59"/>
      <c r="DZ595" s="59"/>
      <c r="EA595" s="59"/>
      <c r="EB595" s="59"/>
      <c r="EC595" s="59"/>
      <c r="ED595" s="59"/>
      <c r="EE595" s="59"/>
      <c r="EF595" s="59"/>
      <c r="EG595" s="59"/>
      <c r="EH595" s="59"/>
      <c r="EI595" s="59"/>
      <c r="EJ595" s="59"/>
      <c r="EK595" s="59"/>
      <c r="EL595" s="59"/>
      <c r="EM595" s="59"/>
      <c r="EN595" s="59"/>
      <c r="EO595" s="59"/>
      <c r="EP595" s="59"/>
      <c r="EQ595" s="59"/>
      <c r="ER595" s="59"/>
      <c r="ES595" s="59"/>
      <c r="ET595" s="59"/>
      <c r="EU595" s="59"/>
      <c r="EV595" s="59"/>
      <c r="EW595" s="59"/>
      <c r="EX595" s="59"/>
      <c r="EY595" s="59"/>
      <c r="EZ595" s="59"/>
      <c r="FA595" s="59"/>
      <c r="FB595" s="59"/>
      <c r="FC595" s="59"/>
      <c r="FD595" s="59"/>
      <c r="FE595" s="59"/>
      <c r="FF595" s="59"/>
      <c r="FG595" s="59"/>
      <c r="FH595" s="59"/>
      <c r="FI595" s="59"/>
      <c r="FJ595" s="59"/>
      <c r="FK595" s="59"/>
      <c r="FL595" s="59"/>
      <c r="FM595" s="59"/>
      <c r="FN595" s="59"/>
      <c r="FO595" s="59"/>
      <c r="FP595" s="59"/>
      <c r="FQ595" s="59"/>
      <c r="FR595" s="59"/>
      <c r="FS595" s="59"/>
      <c r="FT595" s="59"/>
      <c r="FU595" s="59"/>
      <c r="FV595" s="59"/>
      <c r="FW595" s="59"/>
      <c r="FX595" s="59"/>
      <c r="FY595" s="59"/>
      <c r="FZ595" s="59"/>
      <c r="GA595" s="59"/>
      <c r="GB595" s="59"/>
      <c r="GC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  <c r="CP596" s="59"/>
      <c r="CQ596" s="59"/>
      <c r="CR596" s="59"/>
      <c r="CS596" s="59"/>
      <c r="CT596" s="59"/>
      <c r="CU596" s="59"/>
      <c r="CV596" s="59"/>
      <c r="CW596" s="59"/>
      <c r="CX596" s="59"/>
      <c r="CY596" s="59"/>
      <c r="CZ596" s="59"/>
      <c r="DA596" s="59"/>
      <c r="DB596" s="59"/>
      <c r="DC596" s="59"/>
      <c r="DD596" s="59"/>
      <c r="DE596" s="59"/>
      <c r="DF596" s="59"/>
      <c r="DG596" s="59"/>
      <c r="DH596" s="59"/>
      <c r="DI596" s="59"/>
      <c r="DJ596" s="59"/>
      <c r="DK596" s="59"/>
      <c r="DL596" s="59"/>
      <c r="DM596" s="59"/>
      <c r="DN596" s="59"/>
      <c r="DO596" s="59"/>
      <c r="DP596" s="59"/>
      <c r="DQ596" s="59"/>
      <c r="DR596" s="59"/>
      <c r="DS596" s="59"/>
      <c r="DT596" s="59"/>
      <c r="DU596" s="59"/>
      <c r="DV596" s="59"/>
      <c r="DW596" s="59"/>
      <c r="DX596" s="59"/>
      <c r="DY596" s="59"/>
      <c r="DZ596" s="59"/>
      <c r="EA596" s="59"/>
      <c r="EB596" s="59"/>
      <c r="EC596" s="59"/>
      <c r="ED596" s="59"/>
      <c r="EE596" s="59"/>
      <c r="EF596" s="59"/>
      <c r="EG596" s="59"/>
      <c r="EH596" s="59"/>
      <c r="EI596" s="59"/>
      <c r="EJ596" s="59"/>
      <c r="EK596" s="59"/>
      <c r="EL596" s="59"/>
      <c r="EM596" s="59"/>
      <c r="EN596" s="59"/>
      <c r="EO596" s="59"/>
      <c r="EP596" s="59"/>
      <c r="EQ596" s="59"/>
      <c r="ER596" s="59"/>
      <c r="ES596" s="59"/>
      <c r="ET596" s="59"/>
      <c r="EU596" s="59"/>
      <c r="EV596" s="59"/>
      <c r="EW596" s="59"/>
      <c r="EX596" s="59"/>
      <c r="EY596" s="59"/>
      <c r="EZ596" s="59"/>
      <c r="FA596" s="59"/>
      <c r="FB596" s="59"/>
      <c r="FC596" s="59"/>
      <c r="FD596" s="59"/>
      <c r="FE596" s="59"/>
      <c r="FF596" s="59"/>
      <c r="FG596" s="59"/>
      <c r="FH596" s="59"/>
      <c r="FI596" s="59"/>
      <c r="FJ596" s="59"/>
      <c r="FK596" s="59"/>
      <c r="FL596" s="59"/>
      <c r="FM596" s="59"/>
      <c r="FN596" s="59"/>
      <c r="FO596" s="59"/>
      <c r="FP596" s="59"/>
      <c r="FQ596" s="59"/>
      <c r="FR596" s="59"/>
      <c r="FS596" s="59"/>
      <c r="FT596" s="59"/>
      <c r="FU596" s="59"/>
      <c r="FV596" s="59"/>
      <c r="FW596" s="59"/>
      <c r="FX596" s="59"/>
      <c r="FY596" s="59"/>
      <c r="FZ596" s="59"/>
      <c r="GA596" s="59"/>
      <c r="GB596" s="59"/>
      <c r="GC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  <c r="CP597" s="59"/>
      <c r="CQ597" s="59"/>
      <c r="CR597" s="59"/>
      <c r="CS597" s="59"/>
      <c r="CT597" s="59"/>
      <c r="CU597" s="59"/>
      <c r="CV597" s="59"/>
      <c r="CW597" s="59"/>
      <c r="CX597" s="59"/>
      <c r="CY597" s="59"/>
      <c r="CZ597" s="59"/>
      <c r="DA597" s="59"/>
      <c r="DB597" s="59"/>
      <c r="DC597" s="59"/>
      <c r="DD597" s="59"/>
      <c r="DE597" s="59"/>
      <c r="DF597" s="59"/>
      <c r="DG597" s="59"/>
      <c r="DH597" s="59"/>
      <c r="DI597" s="59"/>
      <c r="DJ597" s="59"/>
      <c r="DK597" s="59"/>
      <c r="DL597" s="59"/>
      <c r="DM597" s="59"/>
      <c r="DN597" s="59"/>
      <c r="DO597" s="59"/>
      <c r="DP597" s="59"/>
      <c r="DQ597" s="59"/>
      <c r="DR597" s="59"/>
      <c r="DS597" s="59"/>
      <c r="DT597" s="59"/>
      <c r="DU597" s="59"/>
      <c r="DV597" s="59"/>
      <c r="DW597" s="59"/>
      <c r="DX597" s="59"/>
      <c r="DY597" s="59"/>
      <c r="DZ597" s="59"/>
      <c r="EA597" s="59"/>
      <c r="EB597" s="59"/>
      <c r="EC597" s="59"/>
      <c r="ED597" s="59"/>
      <c r="EE597" s="59"/>
      <c r="EF597" s="59"/>
      <c r="EG597" s="59"/>
      <c r="EH597" s="59"/>
      <c r="EI597" s="59"/>
      <c r="EJ597" s="59"/>
      <c r="EK597" s="59"/>
      <c r="EL597" s="59"/>
      <c r="EM597" s="59"/>
      <c r="EN597" s="59"/>
      <c r="EO597" s="59"/>
      <c r="EP597" s="59"/>
      <c r="EQ597" s="59"/>
      <c r="ER597" s="59"/>
      <c r="ES597" s="59"/>
      <c r="ET597" s="59"/>
      <c r="EU597" s="59"/>
      <c r="EV597" s="59"/>
      <c r="EW597" s="59"/>
      <c r="EX597" s="59"/>
      <c r="EY597" s="59"/>
      <c r="EZ597" s="59"/>
      <c r="FA597" s="59"/>
      <c r="FB597" s="59"/>
      <c r="FC597" s="59"/>
      <c r="FD597" s="59"/>
      <c r="FE597" s="59"/>
      <c r="FF597" s="59"/>
      <c r="FG597" s="59"/>
      <c r="FH597" s="59"/>
      <c r="FI597" s="59"/>
      <c r="FJ597" s="59"/>
      <c r="FK597" s="59"/>
      <c r="FL597" s="59"/>
      <c r="FM597" s="59"/>
      <c r="FN597" s="59"/>
      <c r="FO597" s="59"/>
      <c r="FP597" s="59"/>
      <c r="FQ597" s="59"/>
      <c r="FR597" s="59"/>
      <c r="FS597" s="59"/>
      <c r="FT597" s="59"/>
      <c r="FU597" s="59"/>
      <c r="FV597" s="59"/>
      <c r="FW597" s="59"/>
      <c r="FX597" s="59"/>
      <c r="FY597" s="59"/>
      <c r="FZ597" s="59"/>
      <c r="GA597" s="59"/>
      <c r="GB597" s="59"/>
      <c r="GC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  <c r="CP598" s="59"/>
      <c r="CQ598" s="59"/>
      <c r="CR598" s="59"/>
      <c r="CS598" s="59"/>
      <c r="CT598" s="59"/>
      <c r="CU598" s="59"/>
      <c r="CV598" s="59"/>
      <c r="CW598" s="59"/>
      <c r="CX598" s="59"/>
      <c r="CY598" s="59"/>
      <c r="CZ598" s="59"/>
      <c r="DA598" s="59"/>
      <c r="DB598" s="59"/>
      <c r="DC598" s="59"/>
      <c r="DD598" s="59"/>
      <c r="DE598" s="59"/>
      <c r="DF598" s="59"/>
      <c r="DG598" s="59"/>
      <c r="DH598" s="59"/>
      <c r="DI598" s="59"/>
      <c r="DJ598" s="59"/>
      <c r="DK598" s="59"/>
      <c r="DL598" s="59"/>
      <c r="DM598" s="59"/>
      <c r="DN598" s="59"/>
      <c r="DO598" s="59"/>
      <c r="DP598" s="59"/>
      <c r="DQ598" s="59"/>
      <c r="DR598" s="59"/>
      <c r="DS598" s="59"/>
      <c r="DT598" s="59"/>
      <c r="DU598" s="59"/>
      <c r="DV598" s="59"/>
      <c r="DW598" s="59"/>
      <c r="DX598" s="59"/>
      <c r="DY598" s="59"/>
      <c r="DZ598" s="59"/>
      <c r="EA598" s="59"/>
      <c r="EB598" s="59"/>
      <c r="EC598" s="59"/>
      <c r="ED598" s="59"/>
      <c r="EE598" s="59"/>
      <c r="EF598" s="59"/>
      <c r="EG598" s="59"/>
      <c r="EH598" s="59"/>
      <c r="EI598" s="59"/>
      <c r="EJ598" s="59"/>
      <c r="EK598" s="59"/>
      <c r="EL598" s="59"/>
      <c r="EM598" s="59"/>
      <c r="EN598" s="59"/>
      <c r="EO598" s="59"/>
      <c r="EP598" s="59"/>
      <c r="EQ598" s="59"/>
      <c r="ER598" s="59"/>
      <c r="ES598" s="59"/>
      <c r="ET598" s="59"/>
      <c r="EU598" s="59"/>
      <c r="EV598" s="59"/>
      <c r="EW598" s="59"/>
      <c r="EX598" s="59"/>
      <c r="EY598" s="59"/>
      <c r="EZ598" s="59"/>
      <c r="FA598" s="59"/>
      <c r="FB598" s="59"/>
      <c r="FC598" s="59"/>
      <c r="FD598" s="59"/>
      <c r="FE598" s="59"/>
      <c r="FF598" s="59"/>
      <c r="FG598" s="59"/>
      <c r="FH598" s="59"/>
      <c r="FI598" s="59"/>
      <c r="FJ598" s="59"/>
      <c r="FK598" s="59"/>
      <c r="FL598" s="59"/>
      <c r="FM598" s="59"/>
      <c r="FN598" s="59"/>
      <c r="FO598" s="59"/>
      <c r="FP598" s="59"/>
      <c r="FQ598" s="59"/>
      <c r="FR598" s="59"/>
      <c r="FS598" s="59"/>
      <c r="FT598" s="59"/>
      <c r="FU598" s="59"/>
      <c r="FV598" s="59"/>
      <c r="FW598" s="59"/>
      <c r="FX598" s="59"/>
      <c r="FY598" s="59"/>
      <c r="FZ598" s="59"/>
      <c r="GA598" s="59"/>
      <c r="GB598" s="59"/>
      <c r="GC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59"/>
      <c r="BX599" s="59"/>
      <c r="BY599" s="59"/>
      <c r="BZ599" s="59"/>
      <c r="CA599" s="59"/>
      <c r="CB599" s="59"/>
      <c r="CC599" s="59"/>
      <c r="CD599" s="59"/>
      <c r="CE599" s="59"/>
      <c r="CF599" s="59"/>
      <c r="CG599" s="59"/>
      <c r="CH599" s="59"/>
      <c r="CI599" s="59"/>
      <c r="CJ599" s="59"/>
      <c r="CK599" s="59"/>
      <c r="CL599" s="59"/>
      <c r="CM599" s="59"/>
      <c r="CN599" s="59"/>
      <c r="CO599" s="59"/>
      <c r="CP599" s="59"/>
      <c r="CQ599" s="59"/>
      <c r="CR599" s="59"/>
      <c r="CS599" s="59"/>
      <c r="CT599" s="59"/>
      <c r="CU599" s="59"/>
      <c r="CV599" s="59"/>
      <c r="CW599" s="59"/>
      <c r="CX599" s="59"/>
      <c r="CY599" s="59"/>
      <c r="CZ599" s="59"/>
      <c r="DA599" s="59"/>
      <c r="DB599" s="59"/>
      <c r="DC599" s="59"/>
      <c r="DD599" s="59"/>
      <c r="DE599" s="59"/>
      <c r="DF599" s="59"/>
      <c r="DG599" s="59"/>
      <c r="DH599" s="59"/>
      <c r="DI599" s="59"/>
      <c r="DJ599" s="59"/>
      <c r="DK599" s="59"/>
      <c r="DL599" s="59"/>
      <c r="DM599" s="59"/>
      <c r="DN599" s="59"/>
      <c r="DO599" s="59"/>
      <c r="DP599" s="59"/>
      <c r="DQ599" s="59"/>
      <c r="DR599" s="59"/>
      <c r="DS599" s="59"/>
      <c r="DT599" s="59"/>
      <c r="DU599" s="59"/>
      <c r="DV599" s="59"/>
      <c r="DW599" s="59"/>
      <c r="DX599" s="59"/>
      <c r="DY599" s="59"/>
      <c r="DZ599" s="59"/>
      <c r="EA599" s="59"/>
      <c r="EB599" s="59"/>
      <c r="EC599" s="59"/>
      <c r="ED599" s="59"/>
      <c r="EE599" s="59"/>
      <c r="EF599" s="59"/>
      <c r="EG599" s="59"/>
      <c r="EH599" s="59"/>
      <c r="EI599" s="59"/>
      <c r="EJ599" s="59"/>
      <c r="EK599" s="59"/>
      <c r="EL599" s="59"/>
      <c r="EM599" s="59"/>
      <c r="EN599" s="59"/>
      <c r="EO599" s="59"/>
      <c r="EP599" s="59"/>
      <c r="EQ599" s="59"/>
      <c r="ER599" s="59"/>
      <c r="ES599" s="59"/>
      <c r="ET599" s="59"/>
      <c r="EU599" s="59"/>
      <c r="EV599" s="59"/>
      <c r="EW599" s="59"/>
      <c r="EX599" s="59"/>
      <c r="EY599" s="59"/>
      <c r="EZ599" s="59"/>
      <c r="FA599" s="59"/>
      <c r="FB599" s="59"/>
      <c r="FC599" s="59"/>
      <c r="FD599" s="59"/>
      <c r="FE599" s="59"/>
      <c r="FF599" s="59"/>
      <c r="FG599" s="59"/>
      <c r="FH599" s="59"/>
      <c r="FI599" s="59"/>
      <c r="FJ599" s="59"/>
      <c r="FK599" s="59"/>
      <c r="FL599" s="59"/>
      <c r="FM599" s="59"/>
      <c r="FN599" s="59"/>
      <c r="FO599" s="59"/>
      <c r="FP599" s="59"/>
      <c r="FQ599" s="59"/>
      <c r="FR599" s="59"/>
      <c r="FS599" s="59"/>
      <c r="FT599" s="59"/>
      <c r="FU599" s="59"/>
      <c r="FV599" s="59"/>
      <c r="FW599" s="59"/>
      <c r="FX599" s="59"/>
      <c r="FY599" s="59"/>
      <c r="FZ599" s="59"/>
      <c r="GA599" s="59"/>
      <c r="GB599" s="59"/>
      <c r="GC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59"/>
      <c r="BX600" s="59"/>
      <c r="BY600" s="59"/>
      <c r="BZ600" s="59"/>
      <c r="CA600" s="59"/>
      <c r="CB600" s="59"/>
      <c r="CC600" s="59"/>
      <c r="CD600" s="59"/>
      <c r="CE600" s="59"/>
      <c r="CF600" s="59"/>
      <c r="CG600" s="59"/>
      <c r="CH600" s="59"/>
      <c r="CI600" s="59"/>
      <c r="CJ600" s="59"/>
      <c r="CK600" s="59"/>
      <c r="CL600" s="59"/>
      <c r="CM600" s="59"/>
      <c r="CN600" s="59"/>
      <c r="CO600" s="59"/>
      <c r="CP600" s="59"/>
      <c r="CQ600" s="59"/>
      <c r="CR600" s="59"/>
      <c r="CS600" s="59"/>
      <c r="CT600" s="59"/>
      <c r="CU600" s="59"/>
      <c r="CV600" s="59"/>
      <c r="CW600" s="59"/>
      <c r="CX600" s="59"/>
      <c r="CY600" s="59"/>
      <c r="CZ600" s="59"/>
      <c r="DA600" s="59"/>
      <c r="DB600" s="59"/>
      <c r="DC600" s="59"/>
      <c r="DD600" s="59"/>
      <c r="DE600" s="59"/>
      <c r="DF600" s="59"/>
      <c r="DG600" s="59"/>
      <c r="DH600" s="59"/>
      <c r="DI600" s="59"/>
      <c r="DJ600" s="59"/>
      <c r="DK600" s="59"/>
      <c r="DL600" s="59"/>
      <c r="DM600" s="59"/>
      <c r="DN600" s="59"/>
      <c r="DO600" s="59"/>
      <c r="DP600" s="59"/>
      <c r="DQ600" s="59"/>
      <c r="DR600" s="59"/>
      <c r="DS600" s="59"/>
      <c r="DT600" s="59"/>
      <c r="DU600" s="59"/>
      <c r="DV600" s="59"/>
      <c r="DW600" s="59"/>
      <c r="DX600" s="59"/>
      <c r="DY600" s="59"/>
      <c r="DZ600" s="59"/>
      <c r="EA600" s="59"/>
      <c r="EB600" s="59"/>
      <c r="EC600" s="59"/>
      <c r="ED600" s="59"/>
      <c r="EE600" s="59"/>
      <c r="EF600" s="59"/>
      <c r="EG600" s="59"/>
      <c r="EH600" s="59"/>
      <c r="EI600" s="59"/>
      <c r="EJ600" s="59"/>
      <c r="EK600" s="59"/>
      <c r="EL600" s="59"/>
      <c r="EM600" s="59"/>
      <c r="EN600" s="59"/>
      <c r="EO600" s="59"/>
      <c r="EP600" s="59"/>
      <c r="EQ600" s="59"/>
      <c r="ER600" s="59"/>
      <c r="ES600" s="59"/>
      <c r="ET600" s="59"/>
      <c r="EU600" s="59"/>
      <c r="EV600" s="59"/>
      <c r="EW600" s="59"/>
      <c r="EX600" s="59"/>
      <c r="EY600" s="59"/>
      <c r="EZ600" s="59"/>
      <c r="FA600" s="59"/>
      <c r="FB600" s="59"/>
      <c r="FC600" s="59"/>
      <c r="FD600" s="59"/>
      <c r="FE600" s="59"/>
      <c r="FF600" s="59"/>
      <c r="FG600" s="59"/>
      <c r="FH600" s="59"/>
      <c r="FI600" s="59"/>
      <c r="FJ600" s="59"/>
      <c r="FK600" s="59"/>
      <c r="FL600" s="59"/>
      <c r="FM600" s="59"/>
      <c r="FN600" s="59"/>
      <c r="FO600" s="59"/>
      <c r="FP600" s="59"/>
      <c r="FQ600" s="59"/>
      <c r="FR600" s="59"/>
      <c r="FS600" s="59"/>
      <c r="FT600" s="59"/>
      <c r="FU600" s="59"/>
      <c r="FV600" s="59"/>
      <c r="FW600" s="59"/>
      <c r="FX600" s="59"/>
      <c r="FY600" s="59"/>
      <c r="FZ600" s="59"/>
      <c r="GA600" s="59"/>
      <c r="GB600" s="59"/>
      <c r="GC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59"/>
      <c r="BX601" s="59"/>
      <c r="BY601" s="59"/>
      <c r="BZ601" s="59"/>
      <c r="CA601" s="59"/>
      <c r="CB601" s="59"/>
      <c r="CC601" s="59"/>
      <c r="CD601" s="59"/>
      <c r="CE601" s="59"/>
      <c r="CF601" s="59"/>
      <c r="CG601" s="59"/>
      <c r="CH601" s="59"/>
      <c r="CI601" s="59"/>
      <c r="CJ601" s="59"/>
      <c r="CK601" s="59"/>
      <c r="CL601" s="59"/>
      <c r="CM601" s="59"/>
      <c r="CN601" s="59"/>
      <c r="CO601" s="59"/>
      <c r="CP601" s="59"/>
      <c r="CQ601" s="59"/>
      <c r="CR601" s="59"/>
      <c r="CS601" s="59"/>
      <c r="CT601" s="59"/>
      <c r="CU601" s="59"/>
      <c r="CV601" s="59"/>
      <c r="CW601" s="59"/>
      <c r="CX601" s="59"/>
      <c r="CY601" s="59"/>
      <c r="CZ601" s="59"/>
      <c r="DA601" s="59"/>
      <c r="DB601" s="59"/>
      <c r="DC601" s="59"/>
      <c r="DD601" s="59"/>
      <c r="DE601" s="59"/>
      <c r="DF601" s="59"/>
      <c r="DG601" s="59"/>
      <c r="DH601" s="59"/>
      <c r="DI601" s="59"/>
      <c r="DJ601" s="59"/>
      <c r="DK601" s="59"/>
      <c r="DL601" s="59"/>
      <c r="DM601" s="59"/>
      <c r="DN601" s="59"/>
      <c r="DO601" s="59"/>
      <c r="DP601" s="59"/>
      <c r="DQ601" s="59"/>
      <c r="DR601" s="59"/>
      <c r="DS601" s="59"/>
      <c r="DT601" s="59"/>
      <c r="DU601" s="59"/>
      <c r="DV601" s="59"/>
      <c r="DW601" s="59"/>
      <c r="DX601" s="59"/>
      <c r="DY601" s="59"/>
      <c r="DZ601" s="59"/>
      <c r="EA601" s="59"/>
      <c r="EB601" s="59"/>
      <c r="EC601" s="59"/>
      <c r="ED601" s="59"/>
      <c r="EE601" s="59"/>
      <c r="EF601" s="59"/>
      <c r="EG601" s="59"/>
      <c r="EH601" s="59"/>
      <c r="EI601" s="59"/>
      <c r="EJ601" s="59"/>
      <c r="EK601" s="59"/>
      <c r="EL601" s="59"/>
      <c r="EM601" s="59"/>
      <c r="EN601" s="59"/>
      <c r="EO601" s="59"/>
      <c r="EP601" s="59"/>
      <c r="EQ601" s="59"/>
      <c r="ER601" s="59"/>
      <c r="ES601" s="59"/>
      <c r="ET601" s="59"/>
      <c r="EU601" s="59"/>
      <c r="EV601" s="59"/>
      <c r="EW601" s="59"/>
      <c r="EX601" s="59"/>
      <c r="EY601" s="59"/>
      <c r="EZ601" s="59"/>
      <c r="FA601" s="59"/>
      <c r="FB601" s="59"/>
      <c r="FC601" s="59"/>
      <c r="FD601" s="59"/>
      <c r="FE601" s="59"/>
      <c r="FF601" s="59"/>
      <c r="FG601" s="59"/>
      <c r="FH601" s="59"/>
      <c r="FI601" s="59"/>
      <c r="FJ601" s="59"/>
      <c r="FK601" s="59"/>
      <c r="FL601" s="59"/>
      <c r="FM601" s="59"/>
      <c r="FN601" s="59"/>
      <c r="FO601" s="59"/>
      <c r="FP601" s="59"/>
      <c r="FQ601" s="59"/>
      <c r="FR601" s="59"/>
      <c r="FS601" s="59"/>
      <c r="FT601" s="59"/>
      <c r="FU601" s="59"/>
      <c r="FV601" s="59"/>
      <c r="FW601" s="59"/>
      <c r="FX601" s="59"/>
      <c r="FY601" s="59"/>
      <c r="FZ601" s="59"/>
      <c r="GA601" s="59"/>
      <c r="GB601" s="59"/>
      <c r="GC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/>
      <c r="CA602" s="59"/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  <c r="CP602" s="59"/>
      <c r="CQ602" s="59"/>
      <c r="CR602" s="59"/>
      <c r="CS602" s="59"/>
      <c r="CT602" s="59"/>
      <c r="CU602" s="59"/>
      <c r="CV602" s="59"/>
      <c r="CW602" s="59"/>
      <c r="CX602" s="59"/>
      <c r="CY602" s="59"/>
      <c r="CZ602" s="59"/>
      <c r="DA602" s="59"/>
      <c r="DB602" s="59"/>
      <c r="DC602" s="59"/>
      <c r="DD602" s="59"/>
      <c r="DE602" s="59"/>
      <c r="DF602" s="59"/>
      <c r="DG602" s="59"/>
      <c r="DH602" s="59"/>
      <c r="DI602" s="59"/>
      <c r="DJ602" s="59"/>
      <c r="DK602" s="59"/>
      <c r="DL602" s="59"/>
      <c r="DM602" s="59"/>
      <c r="DN602" s="59"/>
      <c r="DO602" s="59"/>
      <c r="DP602" s="59"/>
      <c r="DQ602" s="59"/>
      <c r="DR602" s="59"/>
      <c r="DS602" s="59"/>
      <c r="DT602" s="59"/>
      <c r="DU602" s="59"/>
      <c r="DV602" s="59"/>
      <c r="DW602" s="59"/>
      <c r="DX602" s="59"/>
      <c r="DY602" s="59"/>
      <c r="DZ602" s="59"/>
      <c r="EA602" s="59"/>
      <c r="EB602" s="59"/>
      <c r="EC602" s="59"/>
      <c r="ED602" s="59"/>
      <c r="EE602" s="59"/>
      <c r="EF602" s="59"/>
      <c r="EG602" s="59"/>
      <c r="EH602" s="59"/>
      <c r="EI602" s="59"/>
      <c r="EJ602" s="59"/>
      <c r="EK602" s="59"/>
      <c r="EL602" s="59"/>
      <c r="EM602" s="59"/>
      <c r="EN602" s="59"/>
      <c r="EO602" s="59"/>
      <c r="EP602" s="59"/>
      <c r="EQ602" s="59"/>
      <c r="ER602" s="59"/>
      <c r="ES602" s="59"/>
      <c r="ET602" s="59"/>
      <c r="EU602" s="59"/>
      <c r="EV602" s="59"/>
      <c r="EW602" s="59"/>
      <c r="EX602" s="59"/>
      <c r="EY602" s="59"/>
      <c r="EZ602" s="59"/>
      <c r="FA602" s="59"/>
      <c r="FB602" s="59"/>
      <c r="FC602" s="59"/>
      <c r="FD602" s="59"/>
      <c r="FE602" s="59"/>
      <c r="FF602" s="59"/>
      <c r="FG602" s="59"/>
      <c r="FH602" s="59"/>
      <c r="FI602" s="59"/>
      <c r="FJ602" s="59"/>
      <c r="FK602" s="59"/>
      <c r="FL602" s="59"/>
      <c r="FM602" s="59"/>
      <c r="FN602" s="59"/>
      <c r="FO602" s="59"/>
      <c r="FP602" s="59"/>
      <c r="FQ602" s="59"/>
      <c r="FR602" s="59"/>
      <c r="FS602" s="59"/>
      <c r="FT602" s="59"/>
      <c r="FU602" s="59"/>
      <c r="FV602" s="59"/>
      <c r="FW602" s="59"/>
      <c r="FX602" s="59"/>
      <c r="FY602" s="59"/>
      <c r="FZ602" s="59"/>
      <c r="GA602" s="59"/>
      <c r="GB602" s="59"/>
      <c r="GC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/>
      <c r="CA603" s="59"/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  <c r="CP603" s="59"/>
      <c r="CQ603" s="59"/>
      <c r="CR603" s="59"/>
      <c r="CS603" s="59"/>
      <c r="CT603" s="59"/>
      <c r="CU603" s="59"/>
      <c r="CV603" s="59"/>
      <c r="CW603" s="59"/>
      <c r="CX603" s="59"/>
      <c r="CY603" s="59"/>
      <c r="CZ603" s="59"/>
      <c r="DA603" s="59"/>
      <c r="DB603" s="59"/>
      <c r="DC603" s="59"/>
      <c r="DD603" s="59"/>
      <c r="DE603" s="59"/>
      <c r="DF603" s="59"/>
      <c r="DG603" s="59"/>
      <c r="DH603" s="59"/>
      <c r="DI603" s="59"/>
      <c r="DJ603" s="59"/>
      <c r="DK603" s="59"/>
      <c r="DL603" s="59"/>
      <c r="DM603" s="59"/>
      <c r="DN603" s="59"/>
      <c r="DO603" s="59"/>
      <c r="DP603" s="59"/>
      <c r="DQ603" s="59"/>
      <c r="DR603" s="59"/>
      <c r="DS603" s="59"/>
      <c r="DT603" s="59"/>
      <c r="DU603" s="59"/>
      <c r="DV603" s="59"/>
      <c r="DW603" s="59"/>
      <c r="DX603" s="59"/>
      <c r="DY603" s="59"/>
      <c r="DZ603" s="59"/>
      <c r="EA603" s="59"/>
      <c r="EB603" s="59"/>
      <c r="EC603" s="59"/>
      <c r="ED603" s="59"/>
      <c r="EE603" s="59"/>
      <c r="EF603" s="59"/>
      <c r="EG603" s="59"/>
      <c r="EH603" s="59"/>
      <c r="EI603" s="59"/>
      <c r="EJ603" s="59"/>
      <c r="EK603" s="59"/>
      <c r="EL603" s="59"/>
      <c r="EM603" s="59"/>
      <c r="EN603" s="59"/>
      <c r="EO603" s="59"/>
      <c r="EP603" s="59"/>
      <c r="EQ603" s="59"/>
      <c r="ER603" s="59"/>
      <c r="ES603" s="59"/>
      <c r="ET603" s="59"/>
      <c r="EU603" s="59"/>
      <c r="EV603" s="59"/>
      <c r="EW603" s="59"/>
      <c r="EX603" s="59"/>
      <c r="EY603" s="59"/>
      <c r="EZ603" s="59"/>
      <c r="FA603" s="59"/>
      <c r="FB603" s="59"/>
      <c r="FC603" s="59"/>
      <c r="FD603" s="59"/>
      <c r="FE603" s="59"/>
      <c r="FF603" s="59"/>
      <c r="FG603" s="59"/>
      <c r="FH603" s="59"/>
      <c r="FI603" s="59"/>
      <c r="FJ603" s="59"/>
      <c r="FK603" s="59"/>
      <c r="FL603" s="59"/>
      <c r="FM603" s="59"/>
      <c r="FN603" s="59"/>
      <c r="FO603" s="59"/>
      <c r="FP603" s="59"/>
      <c r="FQ603" s="59"/>
      <c r="FR603" s="59"/>
      <c r="FS603" s="59"/>
      <c r="FT603" s="59"/>
      <c r="FU603" s="59"/>
      <c r="FV603" s="59"/>
      <c r="FW603" s="59"/>
      <c r="FX603" s="59"/>
      <c r="FY603" s="59"/>
      <c r="FZ603" s="59"/>
      <c r="GA603" s="59"/>
      <c r="GB603" s="59"/>
      <c r="GC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/>
      <c r="CA604" s="59"/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  <c r="CP604" s="59"/>
      <c r="CQ604" s="59"/>
      <c r="CR604" s="59"/>
      <c r="CS604" s="59"/>
      <c r="CT604" s="59"/>
      <c r="CU604" s="59"/>
      <c r="CV604" s="59"/>
      <c r="CW604" s="59"/>
      <c r="CX604" s="59"/>
      <c r="CY604" s="59"/>
      <c r="CZ604" s="59"/>
      <c r="DA604" s="59"/>
      <c r="DB604" s="59"/>
      <c r="DC604" s="59"/>
      <c r="DD604" s="59"/>
      <c r="DE604" s="59"/>
      <c r="DF604" s="59"/>
      <c r="DG604" s="59"/>
      <c r="DH604" s="59"/>
      <c r="DI604" s="59"/>
      <c r="DJ604" s="59"/>
      <c r="DK604" s="59"/>
      <c r="DL604" s="59"/>
      <c r="DM604" s="59"/>
      <c r="DN604" s="59"/>
      <c r="DO604" s="59"/>
      <c r="DP604" s="59"/>
      <c r="DQ604" s="59"/>
      <c r="DR604" s="59"/>
      <c r="DS604" s="59"/>
      <c r="DT604" s="59"/>
      <c r="DU604" s="59"/>
      <c r="DV604" s="59"/>
      <c r="DW604" s="59"/>
      <c r="DX604" s="59"/>
      <c r="DY604" s="59"/>
      <c r="DZ604" s="59"/>
      <c r="EA604" s="59"/>
      <c r="EB604" s="59"/>
      <c r="EC604" s="59"/>
      <c r="ED604" s="59"/>
      <c r="EE604" s="59"/>
      <c r="EF604" s="59"/>
      <c r="EG604" s="59"/>
      <c r="EH604" s="59"/>
      <c r="EI604" s="59"/>
      <c r="EJ604" s="59"/>
      <c r="EK604" s="59"/>
      <c r="EL604" s="59"/>
      <c r="EM604" s="59"/>
      <c r="EN604" s="59"/>
      <c r="EO604" s="59"/>
      <c r="EP604" s="59"/>
      <c r="EQ604" s="59"/>
      <c r="ER604" s="59"/>
      <c r="ES604" s="59"/>
      <c r="ET604" s="59"/>
      <c r="EU604" s="59"/>
      <c r="EV604" s="59"/>
      <c r="EW604" s="59"/>
      <c r="EX604" s="59"/>
      <c r="EY604" s="59"/>
      <c r="EZ604" s="59"/>
      <c r="FA604" s="59"/>
      <c r="FB604" s="59"/>
      <c r="FC604" s="59"/>
      <c r="FD604" s="59"/>
      <c r="FE604" s="59"/>
      <c r="FF604" s="59"/>
      <c r="FG604" s="59"/>
      <c r="FH604" s="59"/>
      <c r="FI604" s="59"/>
      <c r="FJ604" s="59"/>
      <c r="FK604" s="59"/>
      <c r="FL604" s="59"/>
      <c r="FM604" s="59"/>
      <c r="FN604" s="59"/>
      <c r="FO604" s="59"/>
      <c r="FP604" s="59"/>
      <c r="FQ604" s="59"/>
      <c r="FR604" s="59"/>
      <c r="FS604" s="59"/>
      <c r="FT604" s="59"/>
      <c r="FU604" s="59"/>
      <c r="FV604" s="59"/>
      <c r="FW604" s="59"/>
      <c r="FX604" s="59"/>
      <c r="FY604" s="59"/>
      <c r="FZ604" s="59"/>
      <c r="GA604" s="59"/>
      <c r="GB604" s="59"/>
      <c r="GC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59"/>
      <c r="BX605" s="59"/>
      <c r="BY605" s="59"/>
      <c r="BZ605" s="59"/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  <c r="CP605" s="59"/>
      <c r="CQ605" s="59"/>
      <c r="CR605" s="59"/>
      <c r="CS605" s="59"/>
      <c r="CT605" s="59"/>
      <c r="CU605" s="59"/>
      <c r="CV605" s="59"/>
      <c r="CW605" s="59"/>
      <c r="CX605" s="59"/>
      <c r="CY605" s="59"/>
      <c r="CZ605" s="59"/>
      <c r="DA605" s="59"/>
      <c r="DB605" s="59"/>
      <c r="DC605" s="59"/>
      <c r="DD605" s="59"/>
      <c r="DE605" s="59"/>
      <c r="DF605" s="59"/>
      <c r="DG605" s="59"/>
      <c r="DH605" s="59"/>
      <c r="DI605" s="59"/>
      <c r="DJ605" s="59"/>
      <c r="DK605" s="59"/>
      <c r="DL605" s="59"/>
      <c r="DM605" s="59"/>
      <c r="DN605" s="59"/>
      <c r="DO605" s="59"/>
      <c r="DP605" s="59"/>
      <c r="DQ605" s="59"/>
      <c r="DR605" s="59"/>
      <c r="DS605" s="59"/>
      <c r="DT605" s="59"/>
      <c r="DU605" s="59"/>
      <c r="DV605" s="59"/>
      <c r="DW605" s="59"/>
      <c r="DX605" s="59"/>
      <c r="DY605" s="59"/>
      <c r="DZ605" s="59"/>
      <c r="EA605" s="59"/>
      <c r="EB605" s="59"/>
      <c r="EC605" s="59"/>
      <c r="ED605" s="59"/>
      <c r="EE605" s="59"/>
      <c r="EF605" s="59"/>
      <c r="EG605" s="59"/>
      <c r="EH605" s="59"/>
      <c r="EI605" s="59"/>
      <c r="EJ605" s="59"/>
      <c r="EK605" s="59"/>
      <c r="EL605" s="59"/>
      <c r="EM605" s="59"/>
      <c r="EN605" s="59"/>
      <c r="EO605" s="59"/>
      <c r="EP605" s="59"/>
      <c r="EQ605" s="59"/>
      <c r="ER605" s="59"/>
      <c r="ES605" s="59"/>
      <c r="ET605" s="59"/>
      <c r="EU605" s="59"/>
      <c r="EV605" s="59"/>
      <c r="EW605" s="59"/>
      <c r="EX605" s="59"/>
      <c r="EY605" s="59"/>
      <c r="EZ605" s="59"/>
      <c r="FA605" s="59"/>
      <c r="FB605" s="59"/>
      <c r="FC605" s="59"/>
      <c r="FD605" s="59"/>
      <c r="FE605" s="59"/>
      <c r="FF605" s="59"/>
      <c r="FG605" s="59"/>
      <c r="FH605" s="59"/>
      <c r="FI605" s="59"/>
      <c r="FJ605" s="59"/>
      <c r="FK605" s="59"/>
      <c r="FL605" s="59"/>
      <c r="FM605" s="59"/>
      <c r="FN605" s="59"/>
      <c r="FO605" s="59"/>
      <c r="FP605" s="59"/>
      <c r="FQ605" s="59"/>
      <c r="FR605" s="59"/>
      <c r="FS605" s="59"/>
      <c r="FT605" s="59"/>
      <c r="FU605" s="59"/>
      <c r="FV605" s="59"/>
      <c r="FW605" s="59"/>
      <c r="FX605" s="59"/>
      <c r="FY605" s="59"/>
      <c r="FZ605" s="59"/>
      <c r="GA605" s="59"/>
      <c r="GB605" s="59"/>
      <c r="GC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59"/>
      <c r="BX606" s="59"/>
      <c r="BY606" s="59"/>
      <c r="BZ606" s="59"/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  <c r="CP606" s="59"/>
      <c r="CQ606" s="59"/>
      <c r="CR606" s="59"/>
      <c r="CS606" s="59"/>
      <c r="CT606" s="59"/>
      <c r="CU606" s="59"/>
      <c r="CV606" s="59"/>
      <c r="CW606" s="59"/>
      <c r="CX606" s="59"/>
      <c r="CY606" s="59"/>
      <c r="CZ606" s="59"/>
      <c r="DA606" s="59"/>
      <c r="DB606" s="59"/>
      <c r="DC606" s="59"/>
      <c r="DD606" s="59"/>
      <c r="DE606" s="59"/>
      <c r="DF606" s="59"/>
      <c r="DG606" s="59"/>
      <c r="DH606" s="59"/>
      <c r="DI606" s="59"/>
      <c r="DJ606" s="59"/>
      <c r="DK606" s="59"/>
      <c r="DL606" s="59"/>
      <c r="DM606" s="59"/>
      <c r="DN606" s="59"/>
      <c r="DO606" s="59"/>
      <c r="DP606" s="59"/>
      <c r="DQ606" s="59"/>
      <c r="DR606" s="59"/>
      <c r="DS606" s="59"/>
      <c r="DT606" s="59"/>
      <c r="DU606" s="59"/>
      <c r="DV606" s="59"/>
      <c r="DW606" s="59"/>
      <c r="DX606" s="59"/>
      <c r="DY606" s="59"/>
      <c r="DZ606" s="59"/>
      <c r="EA606" s="59"/>
      <c r="EB606" s="59"/>
      <c r="EC606" s="59"/>
      <c r="ED606" s="59"/>
      <c r="EE606" s="59"/>
      <c r="EF606" s="59"/>
      <c r="EG606" s="59"/>
      <c r="EH606" s="59"/>
      <c r="EI606" s="59"/>
      <c r="EJ606" s="59"/>
      <c r="EK606" s="59"/>
      <c r="EL606" s="59"/>
      <c r="EM606" s="59"/>
      <c r="EN606" s="59"/>
      <c r="EO606" s="59"/>
      <c r="EP606" s="59"/>
      <c r="EQ606" s="59"/>
      <c r="ER606" s="59"/>
      <c r="ES606" s="59"/>
      <c r="ET606" s="59"/>
      <c r="EU606" s="59"/>
      <c r="EV606" s="59"/>
      <c r="EW606" s="59"/>
      <c r="EX606" s="59"/>
      <c r="EY606" s="59"/>
      <c r="EZ606" s="59"/>
      <c r="FA606" s="59"/>
      <c r="FB606" s="59"/>
      <c r="FC606" s="59"/>
      <c r="FD606" s="59"/>
      <c r="FE606" s="59"/>
      <c r="FF606" s="59"/>
      <c r="FG606" s="59"/>
      <c r="FH606" s="59"/>
      <c r="FI606" s="59"/>
      <c r="FJ606" s="59"/>
      <c r="FK606" s="59"/>
      <c r="FL606" s="59"/>
      <c r="FM606" s="59"/>
      <c r="FN606" s="59"/>
      <c r="FO606" s="59"/>
      <c r="FP606" s="59"/>
      <c r="FQ606" s="59"/>
      <c r="FR606" s="59"/>
      <c r="FS606" s="59"/>
      <c r="FT606" s="59"/>
      <c r="FU606" s="59"/>
      <c r="FV606" s="59"/>
      <c r="FW606" s="59"/>
      <c r="FX606" s="59"/>
      <c r="FY606" s="59"/>
      <c r="FZ606" s="59"/>
      <c r="GA606" s="59"/>
      <c r="GB606" s="59"/>
      <c r="GC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59"/>
      <c r="BX607" s="59"/>
      <c r="BY607" s="59"/>
      <c r="BZ607" s="59"/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  <c r="CP607" s="59"/>
      <c r="CQ607" s="59"/>
      <c r="CR607" s="59"/>
      <c r="CS607" s="59"/>
      <c r="CT607" s="59"/>
      <c r="CU607" s="59"/>
      <c r="CV607" s="59"/>
      <c r="CW607" s="59"/>
      <c r="CX607" s="59"/>
      <c r="CY607" s="59"/>
      <c r="CZ607" s="59"/>
      <c r="DA607" s="59"/>
      <c r="DB607" s="59"/>
      <c r="DC607" s="59"/>
      <c r="DD607" s="59"/>
      <c r="DE607" s="59"/>
      <c r="DF607" s="59"/>
      <c r="DG607" s="59"/>
      <c r="DH607" s="59"/>
      <c r="DI607" s="59"/>
      <c r="DJ607" s="59"/>
      <c r="DK607" s="59"/>
      <c r="DL607" s="59"/>
      <c r="DM607" s="59"/>
      <c r="DN607" s="59"/>
      <c r="DO607" s="59"/>
      <c r="DP607" s="59"/>
      <c r="DQ607" s="59"/>
      <c r="DR607" s="59"/>
      <c r="DS607" s="59"/>
      <c r="DT607" s="59"/>
      <c r="DU607" s="59"/>
      <c r="DV607" s="59"/>
      <c r="DW607" s="59"/>
      <c r="DX607" s="59"/>
      <c r="DY607" s="59"/>
      <c r="DZ607" s="59"/>
      <c r="EA607" s="59"/>
      <c r="EB607" s="59"/>
      <c r="EC607" s="59"/>
      <c r="ED607" s="59"/>
      <c r="EE607" s="59"/>
      <c r="EF607" s="59"/>
      <c r="EG607" s="59"/>
      <c r="EH607" s="59"/>
      <c r="EI607" s="59"/>
      <c r="EJ607" s="59"/>
      <c r="EK607" s="59"/>
      <c r="EL607" s="59"/>
      <c r="EM607" s="59"/>
      <c r="EN607" s="59"/>
      <c r="EO607" s="59"/>
      <c r="EP607" s="59"/>
      <c r="EQ607" s="59"/>
      <c r="ER607" s="59"/>
      <c r="ES607" s="59"/>
      <c r="ET607" s="59"/>
      <c r="EU607" s="59"/>
      <c r="EV607" s="59"/>
      <c r="EW607" s="59"/>
      <c r="EX607" s="59"/>
      <c r="EY607" s="59"/>
      <c r="EZ607" s="59"/>
      <c r="FA607" s="59"/>
      <c r="FB607" s="59"/>
      <c r="FC607" s="59"/>
      <c r="FD607" s="59"/>
      <c r="FE607" s="59"/>
      <c r="FF607" s="59"/>
      <c r="FG607" s="59"/>
      <c r="FH607" s="59"/>
      <c r="FI607" s="59"/>
      <c r="FJ607" s="59"/>
      <c r="FK607" s="59"/>
      <c r="FL607" s="59"/>
      <c r="FM607" s="59"/>
      <c r="FN607" s="59"/>
      <c r="FO607" s="59"/>
      <c r="FP607" s="59"/>
      <c r="FQ607" s="59"/>
      <c r="FR607" s="59"/>
      <c r="FS607" s="59"/>
      <c r="FT607" s="59"/>
      <c r="FU607" s="59"/>
      <c r="FV607" s="59"/>
      <c r="FW607" s="59"/>
      <c r="FX607" s="59"/>
      <c r="FY607" s="59"/>
      <c r="FZ607" s="59"/>
      <c r="GA607" s="59"/>
      <c r="GB607" s="59"/>
      <c r="GC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59"/>
      <c r="BX608" s="59"/>
      <c r="BY608" s="59"/>
      <c r="BZ608" s="59"/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  <c r="CP608" s="59"/>
      <c r="CQ608" s="59"/>
      <c r="CR608" s="59"/>
      <c r="CS608" s="59"/>
      <c r="CT608" s="59"/>
      <c r="CU608" s="59"/>
      <c r="CV608" s="59"/>
      <c r="CW608" s="59"/>
      <c r="CX608" s="59"/>
      <c r="CY608" s="59"/>
      <c r="CZ608" s="59"/>
      <c r="DA608" s="59"/>
      <c r="DB608" s="59"/>
      <c r="DC608" s="59"/>
      <c r="DD608" s="59"/>
      <c r="DE608" s="59"/>
      <c r="DF608" s="59"/>
      <c r="DG608" s="59"/>
      <c r="DH608" s="59"/>
      <c r="DI608" s="59"/>
      <c r="DJ608" s="59"/>
      <c r="DK608" s="59"/>
      <c r="DL608" s="59"/>
      <c r="DM608" s="59"/>
      <c r="DN608" s="59"/>
      <c r="DO608" s="59"/>
      <c r="DP608" s="59"/>
      <c r="DQ608" s="59"/>
      <c r="DR608" s="59"/>
      <c r="DS608" s="59"/>
      <c r="DT608" s="59"/>
      <c r="DU608" s="59"/>
      <c r="DV608" s="59"/>
      <c r="DW608" s="59"/>
      <c r="DX608" s="59"/>
      <c r="DY608" s="59"/>
      <c r="DZ608" s="59"/>
      <c r="EA608" s="59"/>
      <c r="EB608" s="59"/>
      <c r="EC608" s="59"/>
      <c r="ED608" s="59"/>
      <c r="EE608" s="59"/>
      <c r="EF608" s="59"/>
      <c r="EG608" s="59"/>
      <c r="EH608" s="59"/>
      <c r="EI608" s="59"/>
      <c r="EJ608" s="59"/>
      <c r="EK608" s="59"/>
      <c r="EL608" s="59"/>
      <c r="EM608" s="59"/>
      <c r="EN608" s="59"/>
      <c r="EO608" s="59"/>
      <c r="EP608" s="59"/>
      <c r="EQ608" s="59"/>
      <c r="ER608" s="59"/>
      <c r="ES608" s="59"/>
      <c r="ET608" s="59"/>
      <c r="EU608" s="59"/>
      <c r="EV608" s="59"/>
      <c r="EW608" s="59"/>
      <c r="EX608" s="59"/>
      <c r="EY608" s="59"/>
      <c r="EZ608" s="59"/>
      <c r="FA608" s="59"/>
      <c r="FB608" s="59"/>
      <c r="FC608" s="59"/>
      <c r="FD608" s="59"/>
      <c r="FE608" s="59"/>
      <c r="FF608" s="59"/>
      <c r="FG608" s="59"/>
      <c r="FH608" s="59"/>
      <c r="FI608" s="59"/>
      <c r="FJ608" s="59"/>
      <c r="FK608" s="59"/>
      <c r="FL608" s="59"/>
      <c r="FM608" s="59"/>
      <c r="FN608" s="59"/>
      <c r="FO608" s="59"/>
      <c r="FP608" s="59"/>
      <c r="FQ608" s="59"/>
      <c r="FR608" s="59"/>
      <c r="FS608" s="59"/>
      <c r="FT608" s="59"/>
      <c r="FU608" s="59"/>
      <c r="FV608" s="59"/>
      <c r="FW608" s="59"/>
      <c r="FX608" s="59"/>
      <c r="FY608" s="59"/>
      <c r="FZ608" s="59"/>
      <c r="GA608" s="59"/>
      <c r="GB608" s="59"/>
      <c r="GC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59"/>
      <c r="BX609" s="59"/>
      <c r="BY609" s="59"/>
      <c r="BZ609" s="59"/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  <c r="CP609" s="59"/>
      <c r="CQ609" s="59"/>
      <c r="CR609" s="59"/>
      <c r="CS609" s="59"/>
      <c r="CT609" s="59"/>
      <c r="CU609" s="59"/>
      <c r="CV609" s="59"/>
      <c r="CW609" s="59"/>
      <c r="CX609" s="59"/>
      <c r="CY609" s="59"/>
      <c r="CZ609" s="59"/>
      <c r="DA609" s="59"/>
      <c r="DB609" s="59"/>
      <c r="DC609" s="59"/>
      <c r="DD609" s="59"/>
      <c r="DE609" s="59"/>
      <c r="DF609" s="59"/>
      <c r="DG609" s="59"/>
      <c r="DH609" s="59"/>
      <c r="DI609" s="59"/>
      <c r="DJ609" s="59"/>
      <c r="DK609" s="59"/>
      <c r="DL609" s="59"/>
      <c r="DM609" s="59"/>
      <c r="DN609" s="59"/>
      <c r="DO609" s="59"/>
      <c r="DP609" s="59"/>
      <c r="DQ609" s="59"/>
      <c r="DR609" s="59"/>
      <c r="DS609" s="59"/>
      <c r="DT609" s="59"/>
      <c r="DU609" s="59"/>
      <c r="DV609" s="59"/>
      <c r="DW609" s="59"/>
      <c r="DX609" s="59"/>
      <c r="DY609" s="59"/>
      <c r="DZ609" s="59"/>
      <c r="EA609" s="59"/>
      <c r="EB609" s="59"/>
      <c r="EC609" s="59"/>
      <c r="ED609" s="59"/>
      <c r="EE609" s="59"/>
      <c r="EF609" s="59"/>
      <c r="EG609" s="59"/>
      <c r="EH609" s="59"/>
      <c r="EI609" s="59"/>
      <c r="EJ609" s="59"/>
      <c r="EK609" s="59"/>
      <c r="EL609" s="59"/>
      <c r="EM609" s="59"/>
      <c r="EN609" s="59"/>
      <c r="EO609" s="59"/>
      <c r="EP609" s="59"/>
      <c r="EQ609" s="59"/>
      <c r="ER609" s="59"/>
      <c r="ES609" s="59"/>
      <c r="ET609" s="59"/>
      <c r="EU609" s="59"/>
      <c r="EV609" s="59"/>
      <c r="EW609" s="59"/>
      <c r="EX609" s="59"/>
      <c r="EY609" s="59"/>
      <c r="EZ609" s="59"/>
      <c r="FA609" s="59"/>
      <c r="FB609" s="59"/>
      <c r="FC609" s="59"/>
      <c r="FD609" s="59"/>
      <c r="FE609" s="59"/>
      <c r="FF609" s="59"/>
      <c r="FG609" s="59"/>
      <c r="FH609" s="59"/>
      <c r="FI609" s="59"/>
      <c r="FJ609" s="59"/>
      <c r="FK609" s="59"/>
      <c r="FL609" s="59"/>
      <c r="FM609" s="59"/>
      <c r="FN609" s="59"/>
      <c r="FO609" s="59"/>
      <c r="FP609" s="59"/>
      <c r="FQ609" s="59"/>
      <c r="FR609" s="59"/>
      <c r="FS609" s="59"/>
      <c r="FT609" s="59"/>
      <c r="FU609" s="59"/>
      <c r="FV609" s="59"/>
      <c r="FW609" s="59"/>
      <c r="FX609" s="59"/>
      <c r="FY609" s="59"/>
      <c r="FZ609" s="59"/>
      <c r="GA609" s="59"/>
      <c r="GB609" s="59"/>
      <c r="GC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59"/>
      <c r="BX610" s="59"/>
      <c r="BY610" s="59"/>
      <c r="BZ610" s="59"/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  <c r="CP610" s="59"/>
      <c r="CQ610" s="59"/>
      <c r="CR610" s="59"/>
      <c r="CS610" s="59"/>
      <c r="CT610" s="59"/>
      <c r="CU610" s="59"/>
      <c r="CV610" s="59"/>
      <c r="CW610" s="59"/>
      <c r="CX610" s="59"/>
      <c r="CY610" s="59"/>
      <c r="CZ610" s="59"/>
      <c r="DA610" s="59"/>
      <c r="DB610" s="59"/>
      <c r="DC610" s="59"/>
      <c r="DD610" s="59"/>
      <c r="DE610" s="59"/>
      <c r="DF610" s="59"/>
      <c r="DG610" s="59"/>
      <c r="DH610" s="59"/>
      <c r="DI610" s="59"/>
      <c r="DJ610" s="59"/>
      <c r="DK610" s="59"/>
      <c r="DL610" s="59"/>
      <c r="DM610" s="59"/>
      <c r="DN610" s="59"/>
      <c r="DO610" s="59"/>
      <c r="DP610" s="59"/>
      <c r="DQ610" s="59"/>
      <c r="DR610" s="59"/>
      <c r="DS610" s="59"/>
      <c r="DT610" s="59"/>
      <c r="DU610" s="59"/>
      <c r="DV610" s="59"/>
      <c r="DW610" s="59"/>
      <c r="DX610" s="59"/>
      <c r="DY610" s="59"/>
      <c r="DZ610" s="59"/>
      <c r="EA610" s="59"/>
      <c r="EB610" s="59"/>
      <c r="EC610" s="59"/>
      <c r="ED610" s="59"/>
      <c r="EE610" s="59"/>
      <c r="EF610" s="59"/>
      <c r="EG610" s="59"/>
      <c r="EH610" s="59"/>
      <c r="EI610" s="59"/>
      <c r="EJ610" s="59"/>
      <c r="EK610" s="59"/>
      <c r="EL610" s="59"/>
      <c r="EM610" s="59"/>
      <c r="EN610" s="59"/>
      <c r="EO610" s="59"/>
      <c r="EP610" s="59"/>
      <c r="EQ610" s="59"/>
      <c r="ER610" s="59"/>
      <c r="ES610" s="59"/>
      <c r="ET610" s="59"/>
      <c r="EU610" s="59"/>
      <c r="EV610" s="59"/>
      <c r="EW610" s="59"/>
      <c r="EX610" s="59"/>
      <c r="EY610" s="59"/>
      <c r="EZ610" s="59"/>
      <c r="FA610" s="59"/>
      <c r="FB610" s="59"/>
      <c r="FC610" s="59"/>
      <c r="FD610" s="59"/>
      <c r="FE610" s="59"/>
      <c r="FF610" s="59"/>
      <c r="FG610" s="59"/>
      <c r="FH610" s="59"/>
      <c r="FI610" s="59"/>
      <c r="FJ610" s="59"/>
      <c r="FK610" s="59"/>
      <c r="FL610" s="59"/>
      <c r="FM610" s="59"/>
      <c r="FN610" s="59"/>
      <c r="FO610" s="59"/>
      <c r="FP610" s="59"/>
      <c r="FQ610" s="59"/>
      <c r="FR610" s="59"/>
      <c r="FS610" s="59"/>
      <c r="FT610" s="59"/>
      <c r="FU610" s="59"/>
      <c r="FV610" s="59"/>
      <c r="FW610" s="59"/>
      <c r="FX610" s="59"/>
      <c r="FY610" s="59"/>
      <c r="FZ610" s="59"/>
      <c r="GA610" s="59"/>
      <c r="GB610" s="59"/>
      <c r="GC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/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  <c r="CP611" s="59"/>
      <c r="CQ611" s="59"/>
      <c r="CR611" s="59"/>
      <c r="CS611" s="59"/>
      <c r="CT611" s="59"/>
      <c r="CU611" s="59"/>
      <c r="CV611" s="59"/>
      <c r="CW611" s="59"/>
      <c r="CX611" s="59"/>
      <c r="CY611" s="59"/>
      <c r="CZ611" s="59"/>
      <c r="DA611" s="59"/>
      <c r="DB611" s="59"/>
      <c r="DC611" s="59"/>
      <c r="DD611" s="59"/>
      <c r="DE611" s="59"/>
      <c r="DF611" s="59"/>
      <c r="DG611" s="59"/>
      <c r="DH611" s="59"/>
      <c r="DI611" s="59"/>
      <c r="DJ611" s="59"/>
      <c r="DK611" s="59"/>
      <c r="DL611" s="59"/>
      <c r="DM611" s="59"/>
      <c r="DN611" s="59"/>
      <c r="DO611" s="59"/>
      <c r="DP611" s="59"/>
      <c r="DQ611" s="59"/>
      <c r="DR611" s="59"/>
      <c r="DS611" s="59"/>
      <c r="DT611" s="59"/>
      <c r="DU611" s="59"/>
      <c r="DV611" s="59"/>
      <c r="DW611" s="59"/>
      <c r="DX611" s="59"/>
      <c r="DY611" s="59"/>
      <c r="DZ611" s="59"/>
      <c r="EA611" s="59"/>
      <c r="EB611" s="59"/>
      <c r="EC611" s="59"/>
      <c r="ED611" s="59"/>
      <c r="EE611" s="59"/>
      <c r="EF611" s="59"/>
      <c r="EG611" s="59"/>
      <c r="EH611" s="59"/>
      <c r="EI611" s="59"/>
      <c r="EJ611" s="59"/>
      <c r="EK611" s="59"/>
      <c r="EL611" s="59"/>
      <c r="EM611" s="59"/>
      <c r="EN611" s="59"/>
      <c r="EO611" s="59"/>
      <c r="EP611" s="59"/>
      <c r="EQ611" s="59"/>
      <c r="ER611" s="59"/>
      <c r="ES611" s="59"/>
      <c r="ET611" s="59"/>
      <c r="EU611" s="59"/>
      <c r="EV611" s="59"/>
      <c r="EW611" s="59"/>
      <c r="EX611" s="59"/>
      <c r="EY611" s="59"/>
      <c r="EZ611" s="59"/>
      <c r="FA611" s="59"/>
      <c r="FB611" s="59"/>
      <c r="FC611" s="59"/>
      <c r="FD611" s="59"/>
      <c r="FE611" s="59"/>
      <c r="FF611" s="59"/>
      <c r="FG611" s="59"/>
      <c r="FH611" s="59"/>
      <c r="FI611" s="59"/>
      <c r="FJ611" s="59"/>
      <c r="FK611" s="59"/>
      <c r="FL611" s="59"/>
      <c r="FM611" s="59"/>
      <c r="FN611" s="59"/>
      <c r="FO611" s="59"/>
      <c r="FP611" s="59"/>
      <c r="FQ611" s="59"/>
      <c r="FR611" s="59"/>
      <c r="FS611" s="59"/>
      <c r="FT611" s="59"/>
      <c r="FU611" s="59"/>
      <c r="FV611" s="59"/>
      <c r="FW611" s="59"/>
      <c r="FX611" s="59"/>
      <c r="FY611" s="59"/>
      <c r="FZ611" s="59"/>
      <c r="GA611" s="59"/>
      <c r="GB611" s="59"/>
      <c r="GC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/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  <c r="CP612" s="59"/>
      <c r="CQ612" s="59"/>
      <c r="CR612" s="59"/>
      <c r="CS612" s="59"/>
      <c r="CT612" s="59"/>
      <c r="CU612" s="59"/>
      <c r="CV612" s="59"/>
      <c r="CW612" s="59"/>
      <c r="CX612" s="59"/>
      <c r="CY612" s="59"/>
      <c r="CZ612" s="59"/>
      <c r="DA612" s="59"/>
      <c r="DB612" s="59"/>
      <c r="DC612" s="59"/>
      <c r="DD612" s="59"/>
      <c r="DE612" s="59"/>
      <c r="DF612" s="59"/>
      <c r="DG612" s="59"/>
      <c r="DH612" s="59"/>
      <c r="DI612" s="59"/>
      <c r="DJ612" s="59"/>
      <c r="DK612" s="59"/>
      <c r="DL612" s="59"/>
      <c r="DM612" s="59"/>
      <c r="DN612" s="59"/>
      <c r="DO612" s="59"/>
      <c r="DP612" s="59"/>
      <c r="DQ612" s="59"/>
      <c r="DR612" s="59"/>
      <c r="DS612" s="59"/>
      <c r="DT612" s="59"/>
      <c r="DU612" s="59"/>
      <c r="DV612" s="59"/>
      <c r="DW612" s="59"/>
      <c r="DX612" s="59"/>
      <c r="DY612" s="59"/>
      <c r="DZ612" s="59"/>
      <c r="EA612" s="59"/>
      <c r="EB612" s="59"/>
      <c r="EC612" s="59"/>
      <c r="ED612" s="59"/>
      <c r="EE612" s="59"/>
      <c r="EF612" s="59"/>
      <c r="EG612" s="59"/>
      <c r="EH612" s="59"/>
      <c r="EI612" s="59"/>
      <c r="EJ612" s="59"/>
      <c r="EK612" s="59"/>
      <c r="EL612" s="59"/>
      <c r="EM612" s="59"/>
      <c r="EN612" s="59"/>
      <c r="EO612" s="59"/>
      <c r="EP612" s="59"/>
      <c r="EQ612" s="59"/>
      <c r="ER612" s="59"/>
      <c r="ES612" s="59"/>
      <c r="ET612" s="59"/>
      <c r="EU612" s="59"/>
      <c r="EV612" s="59"/>
      <c r="EW612" s="59"/>
      <c r="EX612" s="59"/>
      <c r="EY612" s="59"/>
      <c r="EZ612" s="59"/>
      <c r="FA612" s="59"/>
      <c r="FB612" s="59"/>
      <c r="FC612" s="59"/>
      <c r="FD612" s="59"/>
      <c r="FE612" s="59"/>
      <c r="FF612" s="59"/>
      <c r="FG612" s="59"/>
      <c r="FH612" s="59"/>
      <c r="FI612" s="59"/>
      <c r="FJ612" s="59"/>
      <c r="FK612" s="59"/>
      <c r="FL612" s="59"/>
      <c r="FM612" s="59"/>
      <c r="FN612" s="59"/>
      <c r="FO612" s="59"/>
      <c r="FP612" s="59"/>
      <c r="FQ612" s="59"/>
      <c r="FR612" s="59"/>
      <c r="FS612" s="59"/>
      <c r="FT612" s="59"/>
      <c r="FU612" s="59"/>
      <c r="FV612" s="59"/>
      <c r="FW612" s="59"/>
      <c r="FX612" s="59"/>
      <c r="FY612" s="59"/>
      <c r="FZ612" s="59"/>
      <c r="GA612" s="59"/>
      <c r="GB612" s="59"/>
      <c r="GC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  <c r="CP613" s="59"/>
      <c r="CQ613" s="59"/>
      <c r="CR613" s="59"/>
      <c r="CS613" s="59"/>
      <c r="CT613" s="59"/>
      <c r="CU613" s="59"/>
      <c r="CV613" s="59"/>
      <c r="CW613" s="59"/>
      <c r="CX613" s="59"/>
      <c r="CY613" s="59"/>
      <c r="CZ613" s="59"/>
      <c r="DA613" s="59"/>
      <c r="DB613" s="59"/>
      <c r="DC613" s="59"/>
      <c r="DD613" s="59"/>
      <c r="DE613" s="59"/>
      <c r="DF613" s="59"/>
      <c r="DG613" s="59"/>
      <c r="DH613" s="59"/>
      <c r="DI613" s="59"/>
      <c r="DJ613" s="59"/>
      <c r="DK613" s="59"/>
      <c r="DL613" s="59"/>
      <c r="DM613" s="59"/>
      <c r="DN613" s="59"/>
      <c r="DO613" s="59"/>
      <c r="DP613" s="59"/>
      <c r="DQ613" s="59"/>
      <c r="DR613" s="59"/>
      <c r="DS613" s="59"/>
      <c r="DT613" s="59"/>
      <c r="DU613" s="59"/>
      <c r="DV613" s="59"/>
      <c r="DW613" s="59"/>
      <c r="DX613" s="59"/>
      <c r="DY613" s="59"/>
      <c r="DZ613" s="59"/>
      <c r="EA613" s="59"/>
      <c r="EB613" s="59"/>
      <c r="EC613" s="59"/>
      <c r="ED613" s="59"/>
      <c r="EE613" s="59"/>
      <c r="EF613" s="59"/>
      <c r="EG613" s="59"/>
      <c r="EH613" s="59"/>
      <c r="EI613" s="59"/>
      <c r="EJ613" s="59"/>
      <c r="EK613" s="59"/>
      <c r="EL613" s="59"/>
      <c r="EM613" s="59"/>
      <c r="EN613" s="59"/>
      <c r="EO613" s="59"/>
      <c r="EP613" s="59"/>
      <c r="EQ613" s="59"/>
      <c r="ER613" s="59"/>
      <c r="ES613" s="59"/>
      <c r="ET613" s="59"/>
      <c r="EU613" s="59"/>
      <c r="EV613" s="59"/>
      <c r="EW613" s="59"/>
      <c r="EX613" s="59"/>
      <c r="EY613" s="59"/>
      <c r="EZ613" s="59"/>
      <c r="FA613" s="59"/>
      <c r="FB613" s="59"/>
      <c r="FC613" s="59"/>
      <c r="FD613" s="59"/>
      <c r="FE613" s="59"/>
      <c r="FF613" s="59"/>
      <c r="FG613" s="59"/>
      <c r="FH613" s="59"/>
      <c r="FI613" s="59"/>
      <c r="FJ613" s="59"/>
      <c r="FK613" s="59"/>
      <c r="FL613" s="59"/>
      <c r="FM613" s="59"/>
      <c r="FN613" s="59"/>
      <c r="FO613" s="59"/>
      <c r="FP613" s="59"/>
      <c r="FQ613" s="59"/>
      <c r="FR613" s="59"/>
      <c r="FS613" s="59"/>
      <c r="FT613" s="59"/>
      <c r="FU613" s="59"/>
      <c r="FV613" s="59"/>
      <c r="FW613" s="59"/>
      <c r="FX613" s="59"/>
      <c r="FY613" s="59"/>
      <c r="FZ613" s="59"/>
      <c r="GA613" s="59"/>
      <c r="GB613" s="59"/>
      <c r="GC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  <c r="CP614" s="59"/>
      <c r="CQ614" s="59"/>
      <c r="CR614" s="59"/>
      <c r="CS614" s="59"/>
      <c r="CT614" s="59"/>
      <c r="CU614" s="59"/>
      <c r="CV614" s="59"/>
      <c r="CW614" s="59"/>
      <c r="CX614" s="59"/>
      <c r="CY614" s="59"/>
      <c r="CZ614" s="59"/>
      <c r="DA614" s="59"/>
      <c r="DB614" s="59"/>
      <c r="DC614" s="59"/>
      <c r="DD614" s="59"/>
      <c r="DE614" s="59"/>
      <c r="DF614" s="59"/>
      <c r="DG614" s="59"/>
      <c r="DH614" s="59"/>
      <c r="DI614" s="59"/>
      <c r="DJ614" s="59"/>
      <c r="DK614" s="59"/>
      <c r="DL614" s="59"/>
      <c r="DM614" s="59"/>
      <c r="DN614" s="59"/>
      <c r="DO614" s="59"/>
      <c r="DP614" s="59"/>
      <c r="DQ614" s="59"/>
      <c r="DR614" s="59"/>
      <c r="DS614" s="59"/>
      <c r="DT614" s="59"/>
      <c r="DU614" s="59"/>
      <c r="DV614" s="59"/>
      <c r="DW614" s="59"/>
      <c r="DX614" s="59"/>
      <c r="DY614" s="59"/>
      <c r="DZ614" s="59"/>
      <c r="EA614" s="59"/>
      <c r="EB614" s="59"/>
      <c r="EC614" s="59"/>
      <c r="ED614" s="59"/>
      <c r="EE614" s="59"/>
      <c r="EF614" s="59"/>
      <c r="EG614" s="59"/>
      <c r="EH614" s="59"/>
      <c r="EI614" s="59"/>
      <c r="EJ614" s="59"/>
      <c r="EK614" s="59"/>
      <c r="EL614" s="59"/>
      <c r="EM614" s="59"/>
      <c r="EN614" s="59"/>
      <c r="EO614" s="59"/>
      <c r="EP614" s="59"/>
      <c r="EQ614" s="59"/>
      <c r="ER614" s="59"/>
      <c r="ES614" s="59"/>
      <c r="ET614" s="59"/>
      <c r="EU614" s="59"/>
      <c r="EV614" s="59"/>
      <c r="EW614" s="59"/>
      <c r="EX614" s="59"/>
      <c r="EY614" s="59"/>
      <c r="EZ614" s="59"/>
      <c r="FA614" s="59"/>
      <c r="FB614" s="59"/>
      <c r="FC614" s="59"/>
      <c r="FD614" s="59"/>
      <c r="FE614" s="59"/>
      <c r="FF614" s="59"/>
      <c r="FG614" s="59"/>
      <c r="FH614" s="59"/>
      <c r="FI614" s="59"/>
      <c r="FJ614" s="59"/>
      <c r="FK614" s="59"/>
      <c r="FL614" s="59"/>
      <c r="FM614" s="59"/>
      <c r="FN614" s="59"/>
      <c r="FO614" s="59"/>
      <c r="FP614" s="59"/>
      <c r="FQ614" s="59"/>
      <c r="FR614" s="59"/>
      <c r="FS614" s="59"/>
      <c r="FT614" s="59"/>
      <c r="FU614" s="59"/>
      <c r="FV614" s="59"/>
      <c r="FW614" s="59"/>
      <c r="FX614" s="59"/>
      <c r="FY614" s="59"/>
      <c r="FZ614" s="59"/>
      <c r="GA614" s="59"/>
      <c r="GB614" s="59"/>
      <c r="GC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  <c r="CP615" s="59"/>
      <c r="CQ615" s="59"/>
      <c r="CR615" s="59"/>
      <c r="CS615" s="59"/>
      <c r="CT615" s="59"/>
      <c r="CU615" s="59"/>
      <c r="CV615" s="59"/>
      <c r="CW615" s="59"/>
      <c r="CX615" s="59"/>
      <c r="CY615" s="59"/>
      <c r="CZ615" s="59"/>
      <c r="DA615" s="59"/>
      <c r="DB615" s="59"/>
      <c r="DC615" s="59"/>
      <c r="DD615" s="59"/>
      <c r="DE615" s="59"/>
      <c r="DF615" s="59"/>
      <c r="DG615" s="59"/>
      <c r="DH615" s="59"/>
      <c r="DI615" s="59"/>
      <c r="DJ615" s="59"/>
      <c r="DK615" s="59"/>
      <c r="DL615" s="59"/>
      <c r="DM615" s="59"/>
      <c r="DN615" s="59"/>
      <c r="DO615" s="59"/>
      <c r="DP615" s="59"/>
      <c r="DQ615" s="59"/>
      <c r="DR615" s="59"/>
      <c r="DS615" s="59"/>
      <c r="DT615" s="59"/>
      <c r="DU615" s="59"/>
      <c r="DV615" s="59"/>
      <c r="DW615" s="59"/>
      <c r="DX615" s="59"/>
      <c r="DY615" s="59"/>
      <c r="DZ615" s="59"/>
      <c r="EA615" s="59"/>
      <c r="EB615" s="59"/>
      <c r="EC615" s="59"/>
      <c r="ED615" s="59"/>
      <c r="EE615" s="59"/>
      <c r="EF615" s="59"/>
      <c r="EG615" s="59"/>
      <c r="EH615" s="59"/>
      <c r="EI615" s="59"/>
      <c r="EJ615" s="59"/>
      <c r="EK615" s="59"/>
      <c r="EL615" s="59"/>
      <c r="EM615" s="59"/>
      <c r="EN615" s="59"/>
      <c r="EO615" s="59"/>
      <c r="EP615" s="59"/>
      <c r="EQ615" s="59"/>
      <c r="ER615" s="59"/>
      <c r="ES615" s="59"/>
      <c r="ET615" s="59"/>
      <c r="EU615" s="59"/>
      <c r="EV615" s="59"/>
      <c r="EW615" s="59"/>
      <c r="EX615" s="59"/>
      <c r="EY615" s="59"/>
      <c r="EZ615" s="59"/>
      <c r="FA615" s="59"/>
      <c r="FB615" s="59"/>
      <c r="FC615" s="59"/>
      <c r="FD615" s="59"/>
      <c r="FE615" s="59"/>
      <c r="FF615" s="59"/>
      <c r="FG615" s="59"/>
      <c r="FH615" s="59"/>
      <c r="FI615" s="59"/>
      <c r="FJ615" s="59"/>
      <c r="FK615" s="59"/>
      <c r="FL615" s="59"/>
      <c r="FM615" s="59"/>
      <c r="FN615" s="59"/>
      <c r="FO615" s="59"/>
      <c r="FP615" s="59"/>
      <c r="FQ615" s="59"/>
      <c r="FR615" s="59"/>
      <c r="FS615" s="59"/>
      <c r="FT615" s="59"/>
      <c r="FU615" s="59"/>
      <c r="FV615" s="59"/>
      <c r="FW615" s="59"/>
      <c r="FX615" s="59"/>
      <c r="FY615" s="59"/>
      <c r="FZ615" s="59"/>
      <c r="GA615" s="59"/>
      <c r="GB615" s="59"/>
      <c r="GC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  <c r="CP616" s="59"/>
      <c r="CQ616" s="59"/>
      <c r="CR616" s="59"/>
      <c r="CS616" s="59"/>
      <c r="CT616" s="59"/>
      <c r="CU616" s="59"/>
      <c r="CV616" s="59"/>
      <c r="CW616" s="59"/>
      <c r="CX616" s="59"/>
      <c r="CY616" s="59"/>
      <c r="CZ616" s="59"/>
      <c r="DA616" s="59"/>
      <c r="DB616" s="59"/>
      <c r="DC616" s="59"/>
      <c r="DD616" s="59"/>
      <c r="DE616" s="59"/>
      <c r="DF616" s="59"/>
      <c r="DG616" s="59"/>
      <c r="DH616" s="59"/>
      <c r="DI616" s="59"/>
      <c r="DJ616" s="59"/>
      <c r="DK616" s="59"/>
      <c r="DL616" s="59"/>
      <c r="DM616" s="59"/>
      <c r="DN616" s="59"/>
      <c r="DO616" s="59"/>
      <c r="DP616" s="59"/>
      <c r="DQ616" s="59"/>
      <c r="DR616" s="59"/>
      <c r="DS616" s="59"/>
      <c r="DT616" s="59"/>
      <c r="DU616" s="59"/>
      <c r="DV616" s="59"/>
      <c r="DW616" s="59"/>
      <c r="DX616" s="59"/>
      <c r="DY616" s="59"/>
      <c r="DZ616" s="59"/>
      <c r="EA616" s="59"/>
      <c r="EB616" s="59"/>
      <c r="EC616" s="59"/>
      <c r="ED616" s="59"/>
      <c r="EE616" s="59"/>
      <c r="EF616" s="59"/>
      <c r="EG616" s="59"/>
      <c r="EH616" s="59"/>
      <c r="EI616" s="59"/>
      <c r="EJ616" s="59"/>
      <c r="EK616" s="59"/>
      <c r="EL616" s="59"/>
      <c r="EM616" s="59"/>
      <c r="EN616" s="59"/>
      <c r="EO616" s="59"/>
      <c r="EP616" s="59"/>
      <c r="EQ616" s="59"/>
      <c r="ER616" s="59"/>
      <c r="ES616" s="59"/>
      <c r="ET616" s="59"/>
      <c r="EU616" s="59"/>
      <c r="EV616" s="59"/>
      <c r="EW616" s="59"/>
      <c r="EX616" s="59"/>
      <c r="EY616" s="59"/>
      <c r="EZ616" s="59"/>
      <c r="FA616" s="59"/>
      <c r="FB616" s="59"/>
      <c r="FC616" s="59"/>
      <c r="FD616" s="59"/>
      <c r="FE616" s="59"/>
      <c r="FF616" s="59"/>
      <c r="FG616" s="59"/>
      <c r="FH616" s="59"/>
      <c r="FI616" s="59"/>
      <c r="FJ616" s="59"/>
      <c r="FK616" s="59"/>
      <c r="FL616" s="59"/>
      <c r="FM616" s="59"/>
      <c r="FN616" s="59"/>
      <c r="FO616" s="59"/>
      <c r="FP616" s="59"/>
      <c r="FQ616" s="59"/>
      <c r="FR616" s="59"/>
      <c r="FS616" s="59"/>
      <c r="FT616" s="59"/>
      <c r="FU616" s="59"/>
      <c r="FV616" s="59"/>
      <c r="FW616" s="59"/>
      <c r="FX616" s="59"/>
      <c r="FY616" s="59"/>
      <c r="FZ616" s="59"/>
      <c r="GA616" s="59"/>
      <c r="GB616" s="59"/>
      <c r="GC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  <c r="CP617" s="59"/>
      <c r="CQ617" s="59"/>
      <c r="CR617" s="59"/>
      <c r="CS617" s="59"/>
      <c r="CT617" s="59"/>
      <c r="CU617" s="59"/>
      <c r="CV617" s="59"/>
      <c r="CW617" s="59"/>
      <c r="CX617" s="59"/>
      <c r="CY617" s="59"/>
      <c r="CZ617" s="59"/>
      <c r="DA617" s="59"/>
      <c r="DB617" s="59"/>
      <c r="DC617" s="59"/>
      <c r="DD617" s="59"/>
      <c r="DE617" s="59"/>
      <c r="DF617" s="59"/>
      <c r="DG617" s="59"/>
      <c r="DH617" s="59"/>
      <c r="DI617" s="59"/>
      <c r="DJ617" s="59"/>
      <c r="DK617" s="59"/>
      <c r="DL617" s="59"/>
      <c r="DM617" s="59"/>
      <c r="DN617" s="59"/>
      <c r="DO617" s="59"/>
      <c r="DP617" s="59"/>
      <c r="DQ617" s="59"/>
      <c r="DR617" s="59"/>
      <c r="DS617" s="59"/>
      <c r="DT617" s="59"/>
      <c r="DU617" s="59"/>
      <c r="DV617" s="59"/>
      <c r="DW617" s="59"/>
      <c r="DX617" s="59"/>
      <c r="DY617" s="59"/>
      <c r="DZ617" s="59"/>
      <c r="EA617" s="59"/>
      <c r="EB617" s="59"/>
      <c r="EC617" s="59"/>
      <c r="ED617" s="59"/>
      <c r="EE617" s="59"/>
      <c r="EF617" s="59"/>
      <c r="EG617" s="59"/>
      <c r="EH617" s="59"/>
      <c r="EI617" s="59"/>
      <c r="EJ617" s="59"/>
      <c r="EK617" s="59"/>
      <c r="EL617" s="59"/>
      <c r="EM617" s="59"/>
      <c r="EN617" s="59"/>
      <c r="EO617" s="59"/>
      <c r="EP617" s="59"/>
      <c r="EQ617" s="59"/>
      <c r="ER617" s="59"/>
      <c r="ES617" s="59"/>
      <c r="ET617" s="59"/>
      <c r="EU617" s="59"/>
      <c r="EV617" s="59"/>
      <c r="EW617" s="59"/>
      <c r="EX617" s="59"/>
      <c r="EY617" s="59"/>
      <c r="EZ617" s="59"/>
      <c r="FA617" s="59"/>
      <c r="FB617" s="59"/>
      <c r="FC617" s="59"/>
      <c r="FD617" s="59"/>
      <c r="FE617" s="59"/>
      <c r="FF617" s="59"/>
      <c r="FG617" s="59"/>
      <c r="FH617" s="59"/>
      <c r="FI617" s="59"/>
      <c r="FJ617" s="59"/>
      <c r="FK617" s="59"/>
      <c r="FL617" s="59"/>
      <c r="FM617" s="59"/>
      <c r="FN617" s="59"/>
      <c r="FO617" s="59"/>
      <c r="FP617" s="59"/>
      <c r="FQ617" s="59"/>
      <c r="FR617" s="59"/>
      <c r="FS617" s="59"/>
      <c r="FT617" s="59"/>
      <c r="FU617" s="59"/>
      <c r="FV617" s="59"/>
      <c r="FW617" s="59"/>
      <c r="FX617" s="59"/>
      <c r="FY617" s="59"/>
      <c r="FZ617" s="59"/>
      <c r="GA617" s="59"/>
      <c r="GB617" s="59"/>
      <c r="GC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  <c r="CP618" s="59"/>
      <c r="CQ618" s="59"/>
      <c r="CR618" s="59"/>
      <c r="CS618" s="59"/>
      <c r="CT618" s="59"/>
      <c r="CU618" s="59"/>
      <c r="CV618" s="59"/>
      <c r="CW618" s="59"/>
      <c r="CX618" s="59"/>
      <c r="CY618" s="59"/>
      <c r="CZ618" s="59"/>
      <c r="DA618" s="59"/>
      <c r="DB618" s="59"/>
      <c r="DC618" s="59"/>
      <c r="DD618" s="59"/>
      <c r="DE618" s="59"/>
      <c r="DF618" s="59"/>
      <c r="DG618" s="59"/>
      <c r="DH618" s="59"/>
      <c r="DI618" s="59"/>
      <c r="DJ618" s="59"/>
      <c r="DK618" s="59"/>
      <c r="DL618" s="59"/>
      <c r="DM618" s="59"/>
      <c r="DN618" s="59"/>
      <c r="DO618" s="59"/>
      <c r="DP618" s="59"/>
      <c r="DQ618" s="59"/>
      <c r="DR618" s="59"/>
      <c r="DS618" s="59"/>
      <c r="DT618" s="59"/>
      <c r="DU618" s="59"/>
      <c r="DV618" s="59"/>
      <c r="DW618" s="59"/>
      <c r="DX618" s="59"/>
      <c r="DY618" s="59"/>
      <c r="DZ618" s="59"/>
      <c r="EA618" s="59"/>
      <c r="EB618" s="59"/>
      <c r="EC618" s="59"/>
      <c r="ED618" s="59"/>
      <c r="EE618" s="59"/>
      <c r="EF618" s="59"/>
      <c r="EG618" s="59"/>
      <c r="EH618" s="59"/>
      <c r="EI618" s="59"/>
      <c r="EJ618" s="59"/>
      <c r="EK618" s="59"/>
      <c r="EL618" s="59"/>
      <c r="EM618" s="59"/>
      <c r="EN618" s="59"/>
      <c r="EO618" s="59"/>
      <c r="EP618" s="59"/>
      <c r="EQ618" s="59"/>
      <c r="ER618" s="59"/>
      <c r="ES618" s="59"/>
      <c r="ET618" s="59"/>
      <c r="EU618" s="59"/>
      <c r="EV618" s="59"/>
      <c r="EW618" s="59"/>
      <c r="EX618" s="59"/>
      <c r="EY618" s="59"/>
      <c r="EZ618" s="59"/>
      <c r="FA618" s="59"/>
      <c r="FB618" s="59"/>
      <c r="FC618" s="59"/>
      <c r="FD618" s="59"/>
      <c r="FE618" s="59"/>
      <c r="FF618" s="59"/>
      <c r="FG618" s="59"/>
      <c r="FH618" s="59"/>
      <c r="FI618" s="59"/>
      <c r="FJ618" s="59"/>
      <c r="FK618" s="59"/>
      <c r="FL618" s="59"/>
      <c r="FM618" s="59"/>
      <c r="FN618" s="59"/>
      <c r="FO618" s="59"/>
      <c r="FP618" s="59"/>
      <c r="FQ618" s="59"/>
      <c r="FR618" s="59"/>
      <c r="FS618" s="59"/>
      <c r="FT618" s="59"/>
      <c r="FU618" s="59"/>
      <c r="FV618" s="59"/>
      <c r="FW618" s="59"/>
      <c r="FX618" s="59"/>
      <c r="FY618" s="59"/>
      <c r="FZ618" s="59"/>
      <c r="GA618" s="59"/>
      <c r="GB618" s="59"/>
      <c r="GC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  <c r="CP619" s="59"/>
      <c r="CQ619" s="59"/>
      <c r="CR619" s="59"/>
      <c r="CS619" s="59"/>
      <c r="CT619" s="59"/>
      <c r="CU619" s="59"/>
      <c r="CV619" s="59"/>
      <c r="CW619" s="59"/>
      <c r="CX619" s="59"/>
      <c r="CY619" s="59"/>
      <c r="CZ619" s="59"/>
      <c r="DA619" s="59"/>
      <c r="DB619" s="59"/>
      <c r="DC619" s="59"/>
      <c r="DD619" s="59"/>
      <c r="DE619" s="59"/>
      <c r="DF619" s="59"/>
      <c r="DG619" s="59"/>
      <c r="DH619" s="59"/>
      <c r="DI619" s="59"/>
      <c r="DJ619" s="59"/>
      <c r="DK619" s="59"/>
      <c r="DL619" s="59"/>
      <c r="DM619" s="59"/>
      <c r="DN619" s="59"/>
      <c r="DO619" s="59"/>
      <c r="DP619" s="59"/>
      <c r="DQ619" s="59"/>
      <c r="DR619" s="59"/>
      <c r="DS619" s="59"/>
      <c r="DT619" s="59"/>
      <c r="DU619" s="59"/>
      <c r="DV619" s="59"/>
      <c r="DW619" s="59"/>
      <c r="DX619" s="59"/>
      <c r="DY619" s="59"/>
      <c r="DZ619" s="59"/>
      <c r="EA619" s="59"/>
      <c r="EB619" s="59"/>
      <c r="EC619" s="59"/>
      <c r="ED619" s="59"/>
      <c r="EE619" s="59"/>
      <c r="EF619" s="59"/>
      <c r="EG619" s="59"/>
      <c r="EH619" s="59"/>
      <c r="EI619" s="59"/>
      <c r="EJ619" s="59"/>
      <c r="EK619" s="59"/>
      <c r="EL619" s="59"/>
      <c r="EM619" s="59"/>
      <c r="EN619" s="59"/>
      <c r="EO619" s="59"/>
      <c r="EP619" s="59"/>
      <c r="EQ619" s="59"/>
      <c r="ER619" s="59"/>
      <c r="ES619" s="59"/>
      <c r="ET619" s="59"/>
      <c r="EU619" s="59"/>
      <c r="EV619" s="59"/>
      <c r="EW619" s="59"/>
      <c r="EX619" s="59"/>
      <c r="EY619" s="59"/>
      <c r="EZ619" s="59"/>
      <c r="FA619" s="59"/>
      <c r="FB619" s="59"/>
      <c r="FC619" s="59"/>
      <c r="FD619" s="59"/>
      <c r="FE619" s="59"/>
      <c r="FF619" s="59"/>
      <c r="FG619" s="59"/>
      <c r="FH619" s="59"/>
      <c r="FI619" s="59"/>
      <c r="FJ619" s="59"/>
      <c r="FK619" s="59"/>
      <c r="FL619" s="59"/>
      <c r="FM619" s="59"/>
      <c r="FN619" s="59"/>
      <c r="FO619" s="59"/>
      <c r="FP619" s="59"/>
      <c r="FQ619" s="59"/>
      <c r="FR619" s="59"/>
      <c r="FS619" s="59"/>
      <c r="FT619" s="59"/>
      <c r="FU619" s="59"/>
      <c r="FV619" s="59"/>
      <c r="FW619" s="59"/>
      <c r="FX619" s="59"/>
      <c r="FY619" s="59"/>
      <c r="FZ619" s="59"/>
      <c r="GA619" s="59"/>
      <c r="GB619" s="59"/>
      <c r="GC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  <c r="CP620" s="59"/>
      <c r="CQ620" s="59"/>
      <c r="CR620" s="59"/>
      <c r="CS620" s="59"/>
      <c r="CT620" s="59"/>
      <c r="CU620" s="59"/>
      <c r="CV620" s="59"/>
      <c r="CW620" s="59"/>
      <c r="CX620" s="59"/>
      <c r="CY620" s="59"/>
      <c r="CZ620" s="59"/>
      <c r="DA620" s="59"/>
      <c r="DB620" s="59"/>
      <c r="DC620" s="59"/>
      <c r="DD620" s="59"/>
      <c r="DE620" s="59"/>
      <c r="DF620" s="59"/>
      <c r="DG620" s="59"/>
      <c r="DH620" s="59"/>
      <c r="DI620" s="59"/>
      <c r="DJ620" s="59"/>
      <c r="DK620" s="59"/>
      <c r="DL620" s="59"/>
      <c r="DM620" s="59"/>
      <c r="DN620" s="59"/>
      <c r="DO620" s="59"/>
      <c r="DP620" s="59"/>
      <c r="DQ620" s="59"/>
      <c r="DR620" s="59"/>
      <c r="DS620" s="59"/>
      <c r="DT620" s="59"/>
      <c r="DU620" s="59"/>
      <c r="DV620" s="59"/>
      <c r="DW620" s="59"/>
      <c r="DX620" s="59"/>
      <c r="DY620" s="59"/>
      <c r="DZ620" s="59"/>
      <c r="EA620" s="59"/>
      <c r="EB620" s="59"/>
      <c r="EC620" s="59"/>
      <c r="ED620" s="59"/>
      <c r="EE620" s="59"/>
      <c r="EF620" s="59"/>
      <c r="EG620" s="59"/>
      <c r="EH620" s="59"/>
      <c r="EI620" s="59"/>
      <c r="EJ620" s="59"/>
      <c r="EK620" s="59"/>
      <c r="EL620" s="59"/>
      <c r="EM620" s="59"/>
      <c r="EN620" s="59"/>
      <c r="EO620" s="59"/>
      <c r="EP620" s="59"/>
      <c r="EQ620" s="59"/>
      <c r="ER620" s="59"/>
      <c r="ES620" s="59"/>
      <c r="ET620" s="59"/>
      <c r="EU620" s="59"/>
      <c r="EV620" s="59"/>
      <c r="EW620" s="59"/>
      <c r="EX620" s="59"/>
      <c r="EY620" s="59"/>
      <c r="EZ620" s="59"/>
      <c r="FA620" s="59"/>
      <c r="FB620" s="59"/>
      <c r="FC620" s="59"/>
      <c r="FD620" s="59"/>
      <c r="FE620" s="59"/>
      <c r="FF620" s="59"/>
      <c r="FG620" s="59"/>
      <c r="FH620" s="59"/>
      <c r="FI620" s="59"/>
      <c r="FJ620" s="59"/>
      <c r="FK620" s="59"/>
      <c r="FL620" s="59"/>
      <c r="FM620" s="59"/>
      <c r="FN620" s="59"/>
      <c r="FO620" s="59"/>
      <c r="FP620" s="59"/>
      <c r="FQ620" s="59"/>
      <c r="FR620" s="59"/>
      <c r="FS620" s="59"/>
      <c r="FT620" s="59"/>
      <c r="FU620" s="59"/>
      <c r="FV620" s="59"/>
      <c r="FW620" s="59"/>
      <c r="FX620" s="59"/>
      <c r="FY620" s="59"/>
      <c r="FZ620" s="59"/>
      <c r="GA620" s="59"/>
      <c r="GB620" s="59"/>
      <c r="GC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  <c r="CP621" s="59"/>
      <c r="CQ621" s="59"/>
      <c r="CR621" s="59"/>
      <c r="CS621" s="59"/>
      <c r="CT621" s="59"/>
      <c r="CU621" s="59"/>
      <c r="CV621" s="59"/>
      <c r="CW621" s="59"/>
      <c r="CX621" s="59"/>
      <c r="CY621" s="59"/>
      <c r="CZ621" s="59"/>
      <c r="DA621" s="59"/>
      <c r="DB621" s="59"/>
      <c r="DC621" s="59"/>
      <c r="DD621" s="59"/>
      <c r="DE621" s="59"/>
      <c r="DF621" s="59"/>
      <c r="DG621" s="59"/>
      <c r="DH621" s="59"/>
      <c r="DI621" s="59"/>
      <c r="DJ621" s="59"/>
      <c r="DK621" s="59"/>
      <c r="DL621" s="59"/>
      <c r="DM621" s="59"/>
      <c r="DN621" s="59"/>
      <c r="DO621" s="59"/>
      <c r="DP621" s="59"/>
      <c r="DQ621" s="59"/>
      <c r="DR621" s="59"/>
      <c r="DS621" s="59"/>
      <c r="DT621" s="59"/>
      <c r="DU621" s="59"/>
      <c r="DV621" s="59"/>
      <c r="DW621" s="59"/>
      <c r="DX621" s="59"/>
      <c r="DY621" s="59"/>
      <c r="DZ621" s="59"/>
      <c r="EA621" s="59"/>
      <c r="EB621" s="59"/>
      <c r="EC621" s="59"/>
      <c r="ED621" s="59"/>
      <c r="EE621" s="59"/>
      <c r="EF621" s="59"/>
      <c r="EG621" s="59"/>
      <c r="EH621" s="59"/>
      <c r="EI621" s="59"/>
      <c r="EJ621" s="59"/>
      <c r="EK621" s="59"/>
      <c r="EL621" s="59"/>
      <c r="EM621" s="59"/>
      <c r="EN621" s="59"/>
      <c r="EO621" s="59"/>
      <c r="EP621" s="59"/>
      <c r="EQ621" s="59"/>
      <c r="ER621" s="59"/>
      <c r="ES621" s="59"/>
      <c r="ET621" s="59"/>
      <c r="EU621" s="59"/>
      <c r="EV621" s="59"/>
      <c r="EW621" s="59"/>
      <c r="EX621" s="59"/>
      <c r="EY621" s="59"/>
      <c r="EZ621" s="59"/>
      <c r="FA621" s="59"/>
      <c r="FB621" s="59"/>
      <c r="FC621" s="59"/>
      <c r="FD621" s="59"/>
      <c r="FE621" s="59"/>
      <c r="FF621" s="59"/>
      <c r="FG621" s="59"/>
      <c r="FH621" s="59"/>
      <c r="FI621" s="59"/>
      <c r="FJ621" s="59"/>
      <c r="FK621" s="59"/>
      <c r="FL621" s="59"/>
      <c r="FM621" s="59"/>
      <c r="FN621" s="59"/>
      <c r="FO621" s="59"/>
      <c r="FP621" s="59"/>
      <c r="FQ621" s="59"/>
      <c r="FR621" s="59"/>
      <c r="FS621" s="59"/>
      <c r="FT621" s="59"/>
      <c r="FU621" s="59"/>
      <c r="FV621" s="59"/>
      <c r="FW621" s="59"/>
      <c r="FX621" s="59"/>
      <c r="FY621" s="59"/>
      <c r="FZ621" s="59"/>
      <c r="GA621" s="59"/>
      <c r="GB621" s="59"/>
      <c r="GC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  <c r="CP622" s="59"/>
      <c r="CQ622" s="59"/>
      <c r="CR622" s="59"/>
      <c r="CS622" s="59"/>
      <c r="CT622" s="59"/>
      <c r="CU622" s="59"/>
      <c r="CV622" s="59"/>
      <c r="CW622" s="59"/>
      <c r="CX622" s="59"/>
      <c r="CY622" s="59"/>
      <c r="CZ622" s="59"/>
      <c r="DA622" s="59"/>
      <c r="DB622" s="59"/>
      <c r="DC622" s="59"/>
      <c r="DD622" s="59"/>
      <c r="DE622" s="59"/>
      <c r="DF622" s="59"/>
      <c r="DG622" s="59"/>
      <c r="DH622" s="59"/>
      <c r="DI622" s="59"/>
      <c r="DJ622" s="59"/>
      <c r="DK622" s="59"/>
      <c r="DL622" s="59"/>
      <c r="DM622" s="59"/>
      <c r="DN622" s="59"/>
      <c r="DO622" s="59"/>
      <c r="DP622" s="59"/>
      <c r="DQ622" s="59"/>
      <c r="DR622" s="59"/>
      <c r="DS622" s="59"/>
      <c r="DT622" s="59"/>
      <c r="DU622" s="59"/>
      <c r="DV622" s="59"/>
      <c r="DW622" s="59"/>
      <c r="DX622" s="59"/>
      <c r="DY622" s="59"/>
      <c r="DZ622" s="59"/>
      <c r="EA622" s="59"/>
      <c r="EB622" s="59"/>
      <c r="EC622" s="59"/>
      <c r="ED622" s="59"/>
      <c r="EE622" s="59"/>
      <c r="EF622" s="59"/>
      <c r="EG622" s="59"/>
      <c r="EH622" s="59"/>
      <c r="EI622" s="59"/>
      <c r="EJ622" s="59"/>
      <c r="EK622" s="59"/>
      <c r="EL622" s="59"/>
      <c r="EM622" s="59"/>
      <c r="EN622" s="59"/>
      <c r="EO622" s="59"/>
      <c r="EP622" s="59"/>
      <c r="EQ622" s="59"/>
      <c r="ER622" s="59"/>
      <c r="ES622" s="59"/>
      <c r="ET622" s="59"/>
      <c r="EU622" s="59"/>
      <c r="EV622" s="59"/>
      <c r="EW622" s="59"/>
      <c r="EX622" s="59"/>
      <c r="EY622" s="59"/>
      <c r="EZ622" s="59"/>
      <c r="FA622" s="59"/>
      <c r="FB622" s="59"/>
      <c r="FC622" s="59"/>
      <c r="FD622" s="59"/>
      <c r="FE622" s="59"/>
      <c r="FF622" s="59"/>
      <c r="FG622" s="59"/>
      <c r="FH622" s="59"/>
      <c r="FI622" s="59"/>
      <c r="FJ622" s="59"/>
      <c r="FK622" s="59"/>
      <c r="FL622" s="59"/>
      <c r="FM622" s="59"/>
      <c r="FN622" s="59"/>
      <c r="FO622" s="59"/>
      <c r="FP622" s="59"/>
      <c r="FQ622" s="59"/>
      <c r="FR622" s="59"/>
      <c r="FS622" s="59"/>
      <c r="FT622" s="59"/>
      <c r="FU622" s="59"/>
      <c r="FV622" s="59"/>
      <c r="FW622" s="59"/>
      <c r="FX622" s="59"/>
      <c r="FY622" s="59"/>
      <c r="FZ622" s="59"/>
      <c r="GA622" s="59"/>
      <c r="GB622" s="59"/>
      <c r="GC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  <c r="CP623" s="59"/>
      <c r="CQ623" s="59"/>
      <c r="CR623" s="59"/>
      <c r="CS623" s="59"/>
      <c r="CT623" s="59"/>
      <c r="CU623" s="59"/>
      <c r="CV623" s="59"/>
      <c r="CW623" s="59"/>
      <c r="CX623" s="59"/>
      <c r="CY623" s="59"/>
      <c r="CZ623" s="59"/>
      <c r="DA623" s="59"/>
      <c r="DB623" s="59"/>
      <c r="DC623" s="59"/>
      <c r="DD623" s="59"/>
      <c r="DE623" s="59"/>
      <c r="DF623" s="59"/>
      <c r="DG623" s="59"/>
      <c r="DH623" s="59"/>
      <c r="DI623" s="59"/>
      <c r="DJ623" s="59"/>
      <c r="DK623" s="59"/>
      <c r="DL623" s="59"/>
      <c r="DM623" s="59"/>
      <c r="DN623" s="59"/>
      <c r="DO623" s="59"/>
      <c r="DP623" s="59"/>
      <c r="DQ623" s="59"/>
      <c r="DR623" s="59"/>
      <c r="DS623" s="59"/>
      <c r="DT623" s="59"/>
      <c r="DU623" s="59"/>
      <c r="DV623" s="59"/>
      <c r="DW623" s="59"/>
      <c r="DX623" s="59"/>
      <c r="DY623" s="59"/>
      <c r="DZ623" s="59"/>
      <c r="EA623" s="59"/>
      <c r="EB623" s="59"/>
      <c r="EC623" s="59"/>
      <c r="ED623" s="59"/>
      <c r="EE623" s="59"/>
      <c r="EF623" s="59"/>
      <c r="EG623" s="59"/>
      <c r="EH623" s="59"/>
      <c r="EI623" s="59"/>
      <c r="EJ623" s="59"/>
      <c r="EK623" s="59"/>
      <c r="EL623" s="59"/>
      <c r="EM623" s="59"/>
      <c r="EN623" s="59"/>
      <c r="EO623" s="59"/>
      <c r="EP623" s="59"/>
      <c r="EQ623" s="59"/>
      <c r="ER623" s="59"/>
      <c r="ES623" s="59"/>
      <c r="ET623" s="59"/>
      <c r="EU623" s="59"/>
      <c r="EV623" s="59"/>
      <c r="EW623" s="59"/>
      <c r="EX623" s="59"/>
      <c r="EY623" s="59"/>
      <c r="EZ623" s="59"/>
      <c r="FA623" s="59"/>
      <c r="FB623" s="59"/>
      <c r="FC623" s="59"/>
      <c r="FD623" s="59"/>
      <c r="FE623" s="59"/>
      <c r="FF623" s="59"/>
      <c r="FG623" s="59"/>
      <c r="FH623" s="59"/>
      <c r="FI623" s="59"/>
      <c r="FJ623" s="59"/>
      <c r="FK623" s="59"/>
      <c r="FL623" s="59"/>
      <c r="FM623" s="59"/>
      <c r="FN623" s="59"/>
      <c r="FO623" s="59"/>
      <c r="FP623" s="59"/>
      <c r="FQ623" s="59"/>
      <c r="FR623" s="59"/>
      <c r="FS623" s="59"/>
      <c r="FT623" s="59"/>
      <c r="FU623" s="59"/>
      <c r="FV623" s="59"/>
      <c r="FW623" s="59"/>
      <c r="FX623" s="59"/>
      <c r="FY623" s="59"/>
      <c r="FZ623" s="59"/>
      <c r="GA623" s="59"/>
      <c r="GB623" s="59"/>
      <c r="GC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W624" s="59"/>
      <c r="CX624" s="59"/>
      <c r="CY624" s="59"/>
      <c r="CZ624" s="59"/>
      <c r="DA624" s="59"/>
      <c r="DB624" s="59"/>
      <c r="DC624" s="59"/>
      <c r="DD624" s="59"/>
      <c r="DE624" s="59"/>
      <c r="DF624" s="59"/>
      <c r="DG624" s="59"/>
      <c r="DH624" s="59"/>
      <c r="DI624" s="59"/>
      <c r="DJ624" s="59"/>
      <c r="DK624" s="59"/>
      <c r="DL624" s="59"/>
      <c r="DM624" s="59"/>
      <c r="DN624" s="59"/>
      <c r="DO624" s="59"/>
      <c r="DP624" s="59"/>
      <c r="DQ624" s="59"/>
      <c r="DR624" s="59"/>
      <c r="DS624" s="59"/>
      <c r="DT624" s="59"/>
      <c r="DU624" s="59"/>
      <c r="DV624" s="59"/>
      <c r="DW624" s="59"/>
      <c r="DX624" s="59"/>
      <c r="DY624" s="59"/>
      <c r="DZ624" s="59"/>
      <c r="EA624" s="59"/>
      <c r="EB624" s="59"/>
      <c r="EC624" s="59"/>
      <c r="ED624" s="59"/>
      <c r="EE624" s="59"/>
      <c r="EF624" s="59"/>
      <c r="EG624" s="59"/>
      <c r="EH624" s="59"/>
      <c r="EI624" s="59"/>
      <c r="EJ624" s="59"/>
      <c r="EK624" s="59"/>
      <c r="EL624" s="59"/>
      <c r="EM624" s="59"/>
      <c r="EN624" s="59"/>
      <c r="EO624" s="59"/>
      <c r="EP624" s="59"/>
      <c r="EQ624" s="59"/>
      <c r="ER624" s="59"/>
      <c r="ES624" s="59"/>
      <c r="ET624" s="59"/>
      <c r="EU624" s="59"/>
      <c r="EV624" s="59"/>
      <c r="EW624" s="59"/>
      <c r="EX624" s="59"/>
      <c r="EY624" s="59"/>
      <c r="EZ624" s="59"/>
      <c r="FA624" s="59"/>
      <c r="FB624" s="59"/>
      <c r="FC624" s="59"/>
      <c r="FD624" s="59"/>
      <c r="FE624" s="59"/>
      <c r="FF624" s="59"/>
      <c r="FG624" s="59"/>
      <c r="FH624" s="59"/>
      <c r="FI624" s="59"/>
      <c r="FJ624" s="59"/>
      <c r="FK624" s="59"/>
      <c r="FL624" s="59"/>
      <c r="FM624" s="59"/>
      <c r="FN624" s="59"/>
      <c r="FO624" s="59"/>
      <c r="FP624" s="59"/>
      <c r="FQ624" s="59"/>
      <c r="FR624" s="59"/>
      <c r="FS624" s="59"/>
      <c r="FT624" s="59"/>
      <c r="FU624" s="59"/>
      <c r="FV624" s="59"/>
      <c r="FW624" s="59"/>
      <c r="FX624" s="59"/>
      <c r="FY624" s="59"/>
      <c r="FZ624" s="59"/>
      <c r="GA624" s="59"/>
      <c r="GB624" s="59"/>
      <c r="GC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  <c r="CP625" s="59"/>
      <c r="CQ625" s="59"/>
      <c r="CR625" s="59"/>
      <c r="CS625" s="59"/>
      <c r="CT625" s="59"/>
      <c r="CU625" s="59"/>
      <c r="CV625" s="59"/>
      <c r="CW625" s="59"/>
      <c r="CX625" s="59"/>
      <c r="CY625" s="59"/>
      <c r="CZ625" s="59"/>
      <c r="DA625" s="59"/>
      <c r="DB625" s="59"/>
      <c r="DC625" s="59"/>
      <c r="DD625" s="59"/>
      <c r="DE625" s="59"/>
      <c r="DF625" s="59"/>
      <c r="DG625" s="59"/>
      <c r="DH625" s="59"/>
      <c r="DI625" s="59"/>
      <c r="DJ625" s="59"/>
      <c r="DK625" s="59"/>
      <c r="DL625" s="59"/>
      <c r="DM625" s="59"/>
      <c r="DN625" s="59"/>
      <c r="DO625" s="59"/>
      <c r="DP625" s="59"/>
      <c r="DQ625" s="59"/>
      <c r="DR625" s="59"/>
      <c r="DS625" s="59"/>
      <c r="DT625" s="59"/>
      <c r="DU625" s="59"/>
      <c r="DV625" s="59"/>
      <c r="DW625" s="59"/>
      <c r="DX625" s="59"/>
      <c r="DY625" s="59"/>
      <c r="DZ625" s="59"/>
      <c r="EA625" s="59"/>
      <c r="EB625" s="59"/>
      <c r="EC625" s="59"/>
      <c r="ED625" s="59"/>
      <c r="EE625" s="59"/>
      <c r="EF625" s="59"/>
      <c r="EG625" s="59"/>
      <c r="EH625" s="59"/>
      <c r="EI625" s="59"/>
      <c r="EJ625" s="59"/>
      <c r="EK625" s="59"/>
      <c r="EL625" s="59"/>
      <c r="EM625" s="59"/>
      <c r="EN625" s="59"/>
      <c r="EO625" s="59"/>
      <c r="EP625" s="59"/>
      <c r="EQ625" s="59"/>
      <c r="ER625" s="59"/>
      <c r="ES625" s="59"/>
      <c r="ET625" s="59"/>
      <c r="EU625" s="59"/>
      <c r="EV625" s="59"/>
      <c r="EW625" s="59"/>
      <c r="EX625" s="59"/>
      <c r="EY625" s="59"/>
      <c r="EZ625" s="59"/>
      <c r="FA625" s="59"/>
      <c r="FB625" s="59"/>
      <c r="FC625" s="59"/>
      <c r="FD625" s="59"/>
      <c r="FE625" s="59"/>
      <c r="FF625" s="59"/>
      <c r="FG625" s="59"/>
      <c r="FH625" s="59"/>
      <c r="FI625" s="59"/>
      <c r="FJ625" s="59"/>
      <c r="FK625" s="59"/>
      <c r="FL625" s="59"/>
      <c r="FM625" s="59"/>
      <c r="FN625" s="59"/>
      <c r="FO625" s="59"/>
      <c r="FP625" s="59"/>
      <c r="FQ625" s="59"/>
      <c r="FR625" s="59"/>
      <c r="FS625" s="59"/>
      <c r="FT625" s="59"/>
      <c r="FU625" s="59"/>
      <c r="FV625" s="59"/>
      <c r="FW625" s="59"/>
      <c r="FX625" s="59"/>
      <c r="FY625" s="59"/>
      <c r="FZ625" s="59"/>
      <c r="GA625" s="59"/>
      <c r="GB625" s="59"/>
      <c r="GC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  <c r="CP626" s="59"/>
      <c r="CQ626" s="59"/>
      <c r="CR626" s="59"/>
      <c r="CS626" s="59"/>
      <c r="CT626" s="59"/>
      <c r="CU626" s="59"/>
      <c r="CV626" s="59"/>
      <c r="CW626" s="59"/>
      <c r="CX626" s="59"/>
      <c r="CY626" s="59"/>
      <c r="CZ626" s="59"/>
      <c r="DA626" s="59"/>
      <c r="DB626" s="59"/>
      <c r="DC626" s="59"/>
      <c r="DD626" s="59"/>
      <c r="DE626" s="59"/>
      <c r="DF626" s="59"/>
      <c r="DG626" s="59"/>
      <c r="DH626" s="59"/>
      <c r="DI626" s="59"/>
      <c r="DJ626" s="59"/>
      <c r="DK626" s="59"/>
      <c r="DL626" s="59"/>
      <c r="DM626" s="59"/>
      <c r="DN626" s="59"/>
      <c r="DO626" s="59"/>
      <c r="DP626" s="59"/>
      <c r="DQ626" s="59"/>
      <c r="DR626" s="59"/>
      <c r="DS626" s="59"/>
      <c r="DT626" s="59"/>
      <c r="DU626" s="59"/>
      <c r="DV626" s="59"/>
      <c r="DW626" s="59"/>
      <c r="DX626" s="59"/>
      <c r="DY626" s="59"/>
      <c r="DZ626" s="59"/>
      <c r="EA626" s="59"/>
      <c r="EB626" s="59"/>
      <c r="EC626" s="59"/>
      <c r="ED626" s="59"/>
      <c r="EE626" s="59"/>
      <c r="EF626" s="59"/>
      <c r="EG626" s="59"/>
      <c r="EH626" s="59"/>
      <c r="EI626" s="59"/>
      <c r="EJ626" s="59"/>
      <c r="EK626" s="59"/>
      <c r="EL626" s="59"/>
      <c r="EM626" s="59"/>
      <c r="EN626" s="59"/>
      <c r="EO626" s="59"/>
      <c r="EP626" s="59"/>
      <c r="EQ626" s="59"/>
      <c r="ER626" s="59"/>
      <c r="ES626" s="59"/>
      <c r="ET626" s="59"/>
      <c r="EU626" s="59"/>
      <c r="EV626" s="59"/>
      <c r="EW626" s="59"/>
      <c r="EX626" s="59"/>
      <c r="EY626" s="59"/>
      <c r="EZ626" s="59"/>
      <c r="FA626" s="59"/>
      <c r="FB626" s="59"/>
      <c r="FC626" s="59"/>
      <c r="FD626" s="59"/>
      <c r="FE626" s="59"/>
      <c r="FF626" s="59"/>
      <c r="FG626" s="59"/>
      <c r="FH626" s="59"/>
      <c r="FI626" s="59"/>
      <c r="FJ626" s="59"/>
      <c r="FK626" s="59"/>
      <c r="FL626" s="59"/>
      <c r="FM626" s="59"/>
      <c r="FN626" s="59"/>
      <c r="FO626" s="59"/>
      <c r="FP626" s="59"/>
      <c r="FQ626" s="59"/>
      <c r="FR626" s="59"/>
      <c r="FS626" s="59"/>
      <c r="FT626" s="59"/>
      <c r="FU626" s="59"/>
      <c r="FV626" s="59"/>
      <c r="FW626" s="59"/>
      <c r="FX626" s="59"/>
      <c r="FY626" s="59"/>
      <c r="FZ626" s="59"/>
      <c r="GA626" s="59"/>
      <c r="GB626" s="59"/>
      <c r="GC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  <c r="CP627" s="59"/>
      <c r="CQ627" s="59"/>
      <c r="CR627" s="59"/>
      <c r="CS627" s="59"/>
      <c r="CT627" s="59"/>
      <c r="CU627" s="59"/>
      <c r="CV627" s="59"/>
      <c r="CW627" s="59"/>
      <c r="CX627" s="59"/>
      <c r="CY627" s="59"/>
      <c r="CZ627" s="59"/>
      <c r="DA627" s="59"/>
      <c r="DB627" s="59"/>
      <c r="DC627" s="59"/>
      <c r="DD627" s="59"/>
      <c r="DE627" s="59"/>
      <c r="DF627" s="59"/>
      <c r="DG627" s="59"/>
      <c r="DH627" s="59"/>
      <c r="DI627" s="59"/>
      <c r="DJ627" s="59"/>
      <c r="DK627" s="59"/>
      <c r="DL627" s="59"/>
      <c r="DM627" s="59"/>
      <c r="DN627" s="59"/>
      <c r="DO627" s="59"/>
      <c r="DP627" s="59"/>
      <c r="DQ627" s="59"/>
      <c r="DR627" s="59"/>
      <c r="DS627" s="59"/>
      <c r="DT627" s="59"/>
      <c r="DU627" s="59"/>
      <c r="DV627" s="59"/>
      <c r="DW627" s="59"/>
      <c r="DX627" s="59"/>
      <c r="DY627" s="59"/>
      <c r="DZ627" s="59"/>
      <c r="EA627" s="59"/>
      <c r="EB627" s="59"/>
      <c r="EC627" s="59"/>
      <c r="ED627" s="59"/>
      <c r="EE627" s="59"/>
      <c r="EF627" s="59"/>
      <c r="EG627" s="59"/>
      <c r="EH627" s="59"/>
      <c r="EI627" s="59"/>
      <c r="EJ627" s="59"/>
      <c r="EK627" s="59"/>
      <c r="EL627" s="59"/>
      <c r="EM627" s="59"/>
      <c r="EN627" s="59"/>
      <c r="EO627" s="59"/>
      <c r="EP627" s="59"/>
      <c r="EQ627" s="59"/>
      <c r="ER627" s="59"/>
      <c r="ES627" s="59"/>
      <c r="ET627" s="59"/>
      <c r="EU627" s="59"/>
      <c r="EV627" s="59"/>
      <c r="EW627" s="59"/>
      <c r="EX627" s="59"/>
      <c r="EY627" s="59"/>
      <c r="EZ627" s="59"/>
      <c r="FA627" s="59"/>
      <c r="FB627" s="59"/>
      <c r="FC627" s="59"/>
      <c r="FD627" s="59"/>
      <c r="FE627" s="59"/>
      <c r="FF627" s="59"/>
      <c r="FG627" s="59"/>
      <c r="FH627" s="59"/>
      <c r="FI627" s="59"/>
      <c r="FJ627" s="59"/>
      <c r="FK627" s="59"/>
      <c r="FL627" s="59"/>
      <c r="FM627" s="59"/>
      <c r="FN627" s="59"/>
      <c r="FO627" s="59"/>
      <c r="FP627" s="59"/>
      <c r="FQ627" s="59"/>
      <c r="FR627" s="59"/>
      <c r="FS627" s="59"/>
      <c r="FT627" s="59"/>
      <c r="FU627" s="59"/>
      <c r="FV627" s="59"/>
      <c r="FW627" s="59"/>
      <c r="FX627" s="59"/>
      <c r="FY627" s="59"/>
      <c r="FZ627" s="59"/>
      <c r="GA627" s="59"/>
      <c r="GB627" s="59"/>
      <c r="GC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  <c r="CP628" s="59"/>
      <c r="CQ628" s="59"/>
      <c r="CR628" s="59"/>
      <c r="CS628" s="59"/>
      <c r="CT628" s="59"/>
      <c r="CU628" s="59"/>
      <c r="CV628" s="59"/>
      <c r="CW628" s="59"/>
      <c r="CX628" s="59"/>
      <c r="CY628" s="59"/>
      <c r="CZ628" s="59"/>
      <c r="DA628" s="59"/>
      <c r="DB628" s="59"/>
      <c r="DC628" s="59"/>
      <c r="DD628" s="59"/>
      <c r="DE628" s="59"/>
      <c r="DF628" s="59"/>
      <c r="DG628" s="59"/>
      <c r="DH628" s="59"/>
      <c r="DI628" s="59"/>
      <c r="DJ628" s="59"/>
      <c r="DK628" s="59"/>
      <c r="DL628" s="59"/>
      <c r="DM628" s="59"/>
      <c r="DN628" s="59"/>
      <c r="DO628" s="59"/>
      <c r="DP628" s="59"/>
      <c r="DQ628" s="59"/>
      <c r="DR628" s="59"/>
      <c r="DS628" s="59"/>
      <c r="DT628" s="59"/>
      <c r="DU628" s="59"/>
      <c r="DV628" s="59"/>
      <c r="DW628" s="59"/>
      <c r="DX628" s="59"/>
      <c r="DY628" s="59"/>
      <c r="DZ628" s="59"/>
      <c r="EA628" s="59"/>
      <c r="EB628" s="59"/>
      <c r="EC628" s="59"/>
      <c r="ED628" s="59"/>
      <c r="EE628" s="59"/>
      <c r="EF628" s="59"/>
      <c r="EG628" s="59"/>
      <c r="EH628" s="59"/>
      <c r="EI628" s="59"/>
      <c r="EJ628" s="59"/>
      <c r="EK628" s="59"/>
      <c r="EL628" s="59"/>
      <c r="EM628" s="59"/>
      <c r="EN628" s="59"/>
      <c r="EO628" s="59"/>
      <c r="EP628" s="59"/>
      <c r="EQ628" s="59"/>
      <c r="ER628" s="59"/>
      <c r="ES628" s="59"/>
      <c r="ET628" s="59"/>
      <c r="EU628" s="59"/>
      <c r="EV628" s="59"/>
      <c r="EW628" s="59"/>
      <c r="EX628" s="59"/>
      <c r="EY628" s="59"/>
      <c r="EZ628" s="59"/>
      <c r="FA628" s="59"/>
      <c r="FB628" s="59"/>
      <c r="FC628" s="59"/>
      <c r="FD628" s="59"/>
      <c r="FE628" s="59"/>
      <c r="FF628" s="59"/>
      <c r="FG628" s="59"/>
      <c r="FH628" s="59"/>
      <c r="FI628" s="59"/>
      <c r="FJ628" s="59"/>
      <c r="FK628" s="59"/>
      <c r="FL628" s="59"/>
      <c r="FM628" s="59"/>
      <c r="FN628" s="59"/>
      <c r="FO628" s="59"/>
      <c r="FP628" s="59"/>
      <c r="FQ628" s="59"/>
      <c r="FR628" s="59"/>
      <c r="FS628" s="59"/>
      <c r="FT628" s="59"/>
      <c r="FU628" s="59"/>
      <c r="FV628" s="59"/>
      <c r="FW628" s="59"/>
      <c r="FX628" s="59"/>
      <c r="FY628" s="59"/>
      <c r="FZ628" s="59"/>
      <c r="GA628" s="59"/>
      <c r="GB628" s="59"/>
      <c r="GC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  <c r="CP629" s="59"/>
      <c r="CQ629" s="59"/>
      <c r="CR629" s="59"/>
      <c r="CS629" s="59"/>
      <c r="CT629" s="59"/>
      <c r="CU629" s="59"/>
      <c r="CV629" s="59"/>
      <c r="CW629" s="59"/>
      <c r="CX629" s="59"/>
      <c r="CY629" s="59"/>
      <c r="CZ629" s="59"/>
      <c r="DA629" s="59"/>
      <c r="DB629" s="59"/>
      <c r="DC629" s="59"/>
      <c r="DD629" s="59"/>
      <c r="DE629" s="59"/>
      <c r="DF629" s="59"/>
      <c r="DG629" s="59"/>
      <c r="DH629" s="59"/>
      <c r="DI629" s="59"/>
      <c r="DJ629" s="59"/>
      <c r="DK629" s="59"/>
      <c r="DL629" s="59"/>
      <c r="DM629" s="59"/>
      <c r="DN629" s="59"/>
      <c r="DO629" s="59"/>
      <c r="DP629" s="59"/>
      <c r="DQ629" s="59"/>
      <c r="DR629" s="59"/>
      <c r="DS629" s="59"/>
      <c r="DT629" s="59"/>
      <c r="DU629" s="59"/>
      <c r="DV629" s="59"/>
      <c r="DW629" s="59"/>
      <c r="DX629" s="59"/>
      <c r="DY629" s="59"/>
      <c r="DZ629" s="59"/>
      <c r="EA629" s="59"/>
      <c r="EB629" s="59"/>
      <c r="EC629" s="59"/>
      <c r="ED629" s="59"/>
      <c r="EE629" s="59"/>
      <c r="EF629" s="59"/>
      <c r="EG629" s="59"/>
      <c r="EH629" s="59"/>
      <c r="EI629" s="59"/>
      <c r="EJ629" s="59"/>
      <c r="EK629" s="59"/>
      <c r="EL629" s="59"/>
      <c r="EM629" s="59"/>
      <c r="EN629" s="59"/>
      <c r="EO629" s="59"/>
      <c r="EP629" s="59"/>
      <c r="EQ629" s="59"/>
      <c r="ER629" s="59"/>
      <c r="ES629" s="59"/>
      <c r="ET629" s="59"/>
      <c r="EU629" s="59"/>
      <c r="EV629" s="59"/>
      <c r="EW629" s="59"/>
      <c r="EX629" s="59"/>
      <c r="EY629" s="59"/>
      <c r="EZ629" s="59"/>
      <c r="FA629" s="59"/>
      <c r="FB629" s="59"/>
      <c r="FC629" s="59"/>
      <c r="FD629" s="59"/>
      <c r="FE629" s="59"/>
      <c r="FF629" s="59"/>
      <c r="FG629" s="59"/>
      <c r="FH629" s="59"/>
      <c r="FI629" s="59"/>
      <c r="FJ629" s="59"/>
      <c r="FK629" s="59"/>
      <c r="FL629" s="59"/>
      <c r="FM629" s="59"/>
      <c r="FN629" s="59"/>
      <c r="FO629" s="59"/>
      <c r="FP629" s="59"/>
      <c r="FQ629" s="59"/>
      <c r="FR629" s="59"/>
      <c r="FS629" s="59"/>
      <c r="FT629" s="59"/>
      <c r="FU629" s="59"/>
      <c r="FV629" s="59"/>
      <c r="FW629" s="59"/>
      <c r="FX629" s="59"/>
      <c r="FY629" s="59"/>
      <c r="FZ629" s="59"/>
      <c r="GA629" s="59"/>
      <c r="GB629" s="59"/>
      <c r="GC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  <c r="CP630" s="59"/>
      <c r="CQ630" s="59"/>
      <c r="CR630" s="59"/>
      <c r="CS630" s="59"/>
      <c r="CT630" s="59"/>
      <c r="CU630" s="59"/>
      <c r="CV630" s="59"/>
      <c r="CW630" s="59"/>
      <c r="CX630" s="59"/>
      <c r="CY630" s="59"/>
      <c r="CZ630" s="59"/>
      <c r="DA630" s="59"/>
      <c r="DB630" s="59"/>
      <c r="DC630" s="59"/>
      <c r="DD630" s="59"/>
      <c r="DE630" s="59"/>
      <c r="DF630" s="59"/>
      <c r="DG630" s="59"/>
      <c r="DH630" s="59"/>
      <c r="DI630" s="59"/>
      <c r="DJ630" s="59"/>
      <c r="DK630" s="59"/>
      <c r="DL630" s="59"/>
      <c r="DM630" s="59"/>
      <c r="DN630" s="59"/>
      <c r="DO630" s="59"/>
      <c r="DP630" s="59"/>
      <c r="DQ630" s="59"/>
      <c r="DR630" s="59"/>
      <c r="DS630" s="59"/>
      <c r="DT630" s="59"/>
      <c r="DU630" s="59"/>
      <c r="DV630" s="59"/>
      <c r="DW630" s="59"/>
      <c r="DX630" s="59"/>
      <c r="DY630" s="59"/>
      <c r="DZ630" s="59"/>
      <c r="EA630" s="59"/>
      <c r="EB630" s="59"/>
      <c r="EC630" s="59"/>
      <c r="ED630" s="59"/>
      <c r="EE630" s="59"/>
      <c r="EF630" s="59"/>
      <c r="EG630" s="59"/>
      <c r="EH630" s="59"/>
      <c r="EI630" s="59"/>
      <c r="EJ630" s="59"/>
      <c r="EK630" s="59"/>
      <c r="EL630" s="59"/>
      <c r="EM630" s="59"/>
      <c r="EN630" s="59"/>
      <c r="EO630" s="59"/>
      <c r="EP630" s="59"/>
      <c r="EQ630" s="59"/>
      <c r="ER630" s="59"/>
      <c r="ES630" s="59"/>
      <c r="ET630" s="59"/>
      <c r="EU630" s="59"/>
      <c r="EV630" s="59"/>
      <c r="EW630" s="59"/>
      <c r="EX630" s="59"/>
      <c r="EY630" s="59"/>
      <c r="EZ630" s="59"/>
      <c r="FA630" s="59"/>
      <c r="FB630" s="59"/>
      <c r="FC630" s="59"/>
      <c r="FD630" s="59"/>
      <c r="FE630" s="59"/>
      <c r="FF630" s="59"/>
      <c r="FG630" s="59"/>
      <c r="FH630" s="59"/>
      <c r="FI630" s="59"/>
      <c r="FJ630" s="59"/>
      <c r="FK630" s="59"/>
      <c r="FL630" s="59"/>
      <c r="FM630" s="59"/>
      <c r="FN630" s="59"/>
      <c r="FO630" s="59"/>
      <c r="FP630" s="59"/>
      <c r="FQ630" s="59"/>
      <c r="FR630" s="59"/>
      <c r="FS630" s="59"/>
      <c r="FT630" s="59"/>
      <c r="FU630" s="59"/>
      <c r="FV630" s="59"/>
      <c r="FW630" s="59"/>
      <c r="FX630" s="59"/>
      <c r="FY630" s="59"/>
      <c r="FZ630" s="59"/>
      <c r="GA630" s="59"/>
      <c r="GB630" s="59"/>
      <c r="GC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  <c r="CP631" s="59"/>
      <c r="CQ631" s="59"/>
      <c r="CR631" s="59"/>
      <c r="CS631" s="59"/>
      <c r="CT631" s="59"/>
      <c r="CU631" s="59"/>
      <c r="CV631" s="59"/>
      <c r="CW631" s="59"/>
      <c r="CX631" s="59"/>
      <c r="CY631" s="59"/>
      <c r="CZ631" s="59"/>
      <c r="DA631" s="59"/>
      <c r="DB631" s="59"/>
      <c r="DC631" s="59"/>
      <c r="DD631" s="59"/>
      <c r="DE631" s="59"/>
      <c r="DF631" s="59"/>
      <c r="DG631" s="59"/>
      <c r="DH631" s="59"/>
      <c r="DI631" s="59"/>
      <c r="DJ631" s="59"/>
      <c r="DK631" s="59"/>
      <c r="DL631" s="59"/>
      <c r="DM631" s="59"/>
      <c r="DN631" s="59"/>
      <c r="DO631" s="59"/>
      <c r="DP631" s="59"/>
      <c r="DQ631" s="59"/>
      <c r="DR631" s="59"/>
      <c r="DS631" s="59"/>
      <c r="DT631" s="59"/>
      <c r="DU631" s="59"/>
      <c r="DV631" s="59"/>
      <c r="DW631" s="59"/>
      <c r="DX631" s="59"/>
      <c r="DY631" s="59"/>
      <c r="DZ631" s="59"/>
      <c r="EA631" s="59"/>
      <c r="EB631" s="59"/>
      <c r="EC631" s="59"/>
      <c r="ED631" s="59"/>
      <c r="EE631" s="59"/>
      <c r="EF631" s="59"/>
      <c r="EG631" s="59"/>
      <c r="EH631" s="59"/>
      <c r="EI631" s="59"/>
      <c r="EJ631" s="59"/>
      <c r="EK631" s="59"/>
      <c r="EL631" s="59"/>
      <c r="EM631" s="59"/>
      <c r="EN631" s="59"/>
      <c r="EO631" s="59"/>
      <c r="EP631" s="59"/>
      <c r="EQ631" s="59"/>
      <c r="ER631" s="59"/>
      <c r="ES631" s="59"/>
      <c r="ET631" s="59"/>
      <c r="EU631" s="59"/>
      <c r="EV631" s="59"/>
      <c r="EW631" s="59"/>
      <c r="EX631" s="59"/>
      <c r="EY631" s="59"/>
      <c r="EZ631" s="59"/>
      <c r="FA631" s="59"/>
      <c r="FB631" s="59"/>
      <c r="FC631" s="59"/>
      <c r="FD631" s="59"/>
      <c r="FE631" s="59"/>
      <c r="FF631" s="59"/>
      <c r="FG631" s="59"/>
      <c r="FH631" s="59"/>
      <c r="FI631" s="59"/>
      <c r="FJ631" s="59"/>
      <c r="FK631" s="59"/>
      <c r="FL631" s="59"/>
      <c r="FM631" s="59"/>
      <c r="FN631" s="59"/>
      <c r="FO631" s="59"/>
      <c r="FP631" s="59"/>
      <c r="FQ631" s="59"/>
      <c r="FR631" s="59"/>
      <c r="FS631" s="59"/>
      <c r="FT631" s="59"/>
      <c r="FU631" s="59"/>
      <c r="FV631" s="59"/>
      <c r="FW631" s="59"/>
      <c r="FX631" s="59"/>
      <c r="FY631" s="59"/>
      <c r="FZ631" s="59"/>
      <c r="GA631" s="59"/>
      <c r="GB631" s="59"/>
      <c r="GC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  <c r="CP632" s="59"/>
      <c r="CQ632" s="59"/>
      <c r="CR632" s="59"/>
      <c r="CS632" s="59"/>
      <c r="CT632" s="59"/>
      <c r="CU632" s="59"/>
      <c r="CV632" s="59"/>
      <c r="CW632" s="59"/>
      <c r="CX632" s="59"/>
      <c r="CY632" s="59"/>
      <c r="CZ632" s="59"/>
      <c r="DA632" s="59"/>
      <c r="DB632" s="59"/>
      <c r="DC632" s="59"/>
      <c r="DD632" s="59"/>
      <c r="DE632" s="59"/>
      <c r="DF632" s="59"/>
      <c r="DG632" s="59"/>
      <c r="DH632" s="59"/>
      <c r="DI632" s="59"/>
      <c r="DJ632" s="59"/>
      <c r="DK632" s="59"/>
      <c r="DL632" s="59"/>
      <c r="DM632" s="59"/>
      <c r="DN632" s="59"/>
      <c r="DO632" s="59"/>
      <c r="DP632" s="59"/>
      <c r="DQ632" s="59"/>
      <c r="DR632" s="59"/>
      <c r="DS632" s="59"/>
      <c r="DT632" s="59"/>
      <c r="DU632" s="59"/>
      <c r="DV632" s="59"/>
      <c r="DW632" s="59"/>
      <c r="DX632" s="59"/>
      <c r="DY632" s="59"/>
      <c r="DZ632" s="59"/>
      <c r="EA632" s="59"/>
      <c r="EB632" s="59"/>
      <c r="EC632" s="59"/>
      <c r="ED632" s="59"/>
      <c r="EE632" s="59"/>
      <c r="EF632" s="59"/>
      <c r="EG632" s="59"/>
      <c r="EH632" s="59"/>
      <c r="EI632" s="59"/>
      <c r="EJ632" s="59"/>
      <c r="EK632" s="59"/>
      <c r="EL632" s="59"/>
      <c r="EM632" s="59"/>
      <c r="EN632" s="59"/>
      <c r="EO632" s="59"/>
      <c r="EP632" s="59"/>
      <c r="EQ632" s="59"/>
      <c r="ER632" s="59"/>
      <c r="ES632" s="59"/>
      <c r="ET632" s="59"/>
      <c r="EU632" s="59"/>
      <c r="EV632" s="59"/>
      <c r="EW632" s="59"/>
      <c r="EX632" s="59"/>
      <c r="EY632" s="59"/>
      <c r="EZ632" s="59"/>
      <c r="FA632" s="59"/>
      <c r="FB632" s="59"/>
      <c r="FC632" s="59"/>
      <c r="FD632" s="59"/>
      <c r="FE632" s="59"/>
      <c r="FF632" s="59"/>
      <c r="FG632" s="59"/>
      <c r="FH632" s="59"/>
      <c r="FI632" s="59"/>
      <c r="FJ632" s="59"/>
      <c r="FK632" s="59"/>
      <c r="FL632" s="59"/>
      <c r="FM632" s="59"/>
      <c r="FN632" s="59"/>
      <c r="FO632" s="59"/>
      <c r="FP632" s="59"/>
      <c r="FQ632" s="59"/>
      <c r="FR632" s="59"/>
      <c r="FS632" s="59"/>
      <c r="FT632" s="59"/>
      <c r="FU632" s="59"/>
      <c r="FV632" s="59"/>
      <c r="FW632" s="59"/>
      <c r="FX632" s="59"/>
      <c r="FY632" s="59"/>
      <c r="FZ632" s="59"/>
      <c r="GA632" s="59"/>
      <c r="GB632" s="59"/>
      <c r="GC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  <c r="CP633" s="59"/>
      <c r="CQ633" s="59"/>
      <c r="CR633" s="59"/>
      <c r="CS633" s="59"/>
      <c r="CT633" s="59"/>
      <c r="CU633" s="59"/>
      <c r="CV633" s="59"/>
      <c r="CW633" s="59"/>
      <c r="CX633" s="59"/>
      <c r="CY633" s="59"/>
      <c r="CZ633" s="59"/>
      <c r="DA633" s="59"/>
      <c r="DB633" s="59"/>
      <c r="DC633" s="59"/>
      <c r="DD633" s="59"/>
      <c r="DE633" s="59"/>
      <c r="DF633" s="59"/>
      <c r="DG633" s="59"/>
      <c r="DH633" s="59"/>
      <c r="DI633" s="59"/>
      <c r="DJ633" s="59"/>
      <c r="DK633" s="59"/>
      <c r="DL633" s="59"/>
      <c r="DM633" s="59"/>
      <c r="DN633" s="59"/>
      <c r="DO633" s="59"/>
      <c r="DP633" s="59"/>
      <c r="DQ633" s="59"/>
      <c r="DR633" s="59"/>
      <c r="DS633" s="59"/>
      <c r="DT633" s="59"/>
      <c r="DU633" s="59"/>
      <c r="DV633" s="59"/>
      <c r="DW633" s="59"/>
      <c r="DX633" s="59"/>
      <c r="DY633" s="59"/>
      <c r="DZ633" s="59"/>
      <c r="EA633" s="59"/>
      <c r="EB633" s="59"/>
      <c r="EC633" s="59"/>
      <c r="ED633" s="59"/>
      <c r="EE633" s="59"/>
      <c r="EF633" s="59"/>
      <c r="EG633" s="59"/>
      <c r="EH633" s="59"/>
      <c r="EI633" s="59"/>
      <c r="EJ633" s="59"/>
      <c r="EK633" s="59"/>
      <c r="EL633" s="59"/>
      <c r="EM633" s="59"/>
      <c r="EN633" s="59"/>
      <c r="EO633" s="59"/>
      <c r="EP633" s="59"/>
      <c r="EQ633" s="59"/>
      <c r="ER633" s="59"/>
      <c r="ES633" s="59"/>
      <c r="ET633" s="59"/>
      <c r="EU633" s="59"/>
      <c r="EV633" s="59"/>
      <c r="EW633" s="59"/>
      <c r="EX633" s="59"/>
      <c r="EY633" s="59"/>
      <c r="EZ633" s="59"/>
      <c r="FA633" s="59"/>
      <c r="FB633" s="59"/>
      <c r="FC633" s="59"/>
      <c r="FD633" s="59"/>
      <c r="FE633" s="59"/>
      <c r="FF633" s="59"/>
      <c r="FG633" s="59"/>
      <c r="FH633" s="59"/>
      <c r="FI633" s="59"/>
      <c r="FJ633" s="59"/>
      <c r="FK633" s="59"/>
      <c r="FL633" s="59"/>
      <c r="FM633" s="59"/>
      <c r="FN633" s="59"/>
      <c r="FO633" s="59"/>
      <c r="FP633" s="59"/>
      <c r="FQ633" s="59"/>
      <c r="FR633" s="59"/>
      <c r="FS633" s="59"/>
      <c r="FT633" s="59"/>
      <c r="FU633" s="59"/>
      <c r="FV633" s="59"/>
      <c r="FW633" s="59"/>
      <c r="FX633" s="59"/>
      <c r="FY633" s="59"/>
      <c r="FZ633" s="59"/>
      <c r="GA633" s="59"/>
      <c r="GB633" s="59"/>
      <c r="GC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  <c r="CP634" s="59"/>
      <c r="CQ634" s="59"/>
      <c r="CR634" s="59"/>
      <c r="CS634" s="59"/>
      <c r="CT634" s="59"/>
      <c r="CU634" s="59"/>
      <c r="CV634" s="59"/>
      <c r="CW634" s="59"/>
      <c r="CX634" s="59"/>
      <c r="CY634" s="59"/>
      <c r="CZ634" s="59"/>
      <c r="DA634" s="59"/>
      <c r="DB634" s="59"/>
      <c r="DC634" s="59"/>
      <c r="DD634" s="59"/>
      <c r="DE634" s="59"/>
      <c r="DF634" s="59"/>
      <c r="DG634" s="59"/>
      <c r="DH634" s="59"/>
      <c r="DI634" s="59"/>
      <c r="DJ634" s="59"/>
      <c r="DK634" s="59"/>
      <c r="DL634" s="59"/>
      <c r="DM634" s="59"/>
      <c r="DN634" s="59"/>
      <c r="DO634" s="59"/>
      <c r="DP634" s="59"/>
      <c r="DQ634" s="59"/>
      <c r="DR634" s="59"/>
      <c r="DS634" s="59"/>
      <c r="DT634" s="59"/>
      <c r="DU634" s="59"/>
      <c r="DV634" s="59"/>
      <c r="DW634" s="59"/>
      <c r="DX634" s="59"/>
      <c r="DY634" s="59"/>
      <c r="DZ634" s="59"/>
      <c r="EA634" s="59"/>
      <c r="EB634" s="59"/>
      <c r="EC634" s="59"/>
      <c r="ED634" s="59"/>
      <c r="EE634" s="59"/>
      <c r="EF634" s="59"/>
      <c r="EG634" s="59"/>
      <c r="EH634" s="59"/>
      <c r="EI634" s="59"/>
      <c r="EJ634" s="59"/>
      <c r="EK634" s="59"/>
      <c r="EL634" s="59"/>
      <c r="EM634" s="59"/>
      <c r="EN634" s="59"/>
      <c r="EO634" s="59"/>
      <c r="EP634" s="59"/>
      <c r="EQ634" s="59"/>
      <c r="ER634" s="59"/>
      <c r="ES634" s="59"/>
      <c r="ET634" s="59"/>
      <c r="EU634" s="59"/>
      <c r="EV634" s="59"/>
      <c r="EW634" s="59"/>
      <c r="EX634" s="59"/>
      <c r="EY634" s="59"/>
      <c r="EZ634" s="59"/>
      <c r="FA634" s="59"/>
      <c r="FB634" s="59"/>
      <c r="FC634" s="59"/>
      <c r="FD634" s="59"/>
      <c r="FE634" s="59"/>
      <c r="FF634" s="59"/>
      <c r="FG634" s="59"/>
      <c r="FH634" s="59"/>
      <c r="FI634" s="59"/>
      <c r="FJ634" s="59"/>
      <c r="FK634" s="59"/>
      <c r="FL634" s="59"/>
      <c r="FM634" s="59"/>
      <c r="FN634" s="59"/>
      <c r="FO634" s="59"/>
      <c r="FP634" s="59"/>
      <c r="FQ634" s="59"/>
      <c r="FR634" s="59"/>
      <c r="FS634" s="59"/>
      <c r="FT634" s="59"/>
      <c r="FU634" s="59"/>
      <c r="FV634" s="59"/>
      <c r="FW634" s="59"/>
      <c r="FX634" s="59"/>
      <c r="FY634" s="59"/>
      <c r="FZ634" s="59"/>
      <c r="GA634" s="59"/>
      <c r="GB634" s="59"/>
      <c r="GC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  <c r="CP635" s="59"/>
      <c r="CQ635" s="59"/>
      <c r="CR635" s="59"/>
      <c r="CS635" s="59"/>
      <c r="CT635" s="59"/>
      <c r="CU635" s="59"/>
      <c r="CV635" s="59"/>
      <c r="CW635" s="59"/>
      <c r="CX635" s="59"/>
      <c r="CY635" s="59"/>
      <c r="CZ635" s="59"/>
      <c r="DA635" s="59"/>
      <c r="DB635" s="59"/>
      <c r="DC635" s="59"/>
      <c r="DD635" s="59"/>
      <c r="DE635" s="59"/>
      <c r="DF635" s="59"/>
      <c r="DG635" s="59"/>
      <c r="DH635" s="59"/>
      <c r="DI635" s="59"/>
      <c r="DJ635" s="59"/>
      <c r="DK635" s="59"/>
      <c r="DL635" s="59"/>
      <c r="DM635" s="59"/>
      <c r="DN635" s="59"/>
      <c r="DO635" s="59"/>
      <c r="DP635" s="59"/>
      <c r="DQ635" s="59"/>
      <c r="DR635" s="59"/>
      <c r="DS635" s="59"/>
      <c r="DT635" s="59"/>
      <c r="DU635" s="59"/>
      <c r="DV635" s="59"/>
      <c r="DW635" s="59"/>
      <c r="DX635" s="59"/>
      <c r="DY635" s="59"/>
      <c r="DZ635" s="59"/>
      <c r="EA635" s="59"/>
      <c r="EB635" s="59"/>
      <c r="EC635" s="59"/>
      <c r="ED635" s="59"/>
      <c r="EE635" s="59"/>
      <c r="EF635" s="59"/>
      <c r="EG635" s="59"/>
      <c r="EH635" s="59"/>
      <c r="EI635" s="59"/>
      <c r="EJ635" s="59"/>
      <c r="EK635" s="59"/>
      <c r="EL635" s="59"/>
      <c r="EM635" s="59"/>
      <c r="EN635" s="59"/>
      <c r="EO635" s="59"/>
      <c r="EP635" s="59"/>
      <c r="EQ635" s="59"/>
      <c r="ER635" s="59"/>
      <c r="ES635" s="59"/>
      <c r="ET635" s="59"/>
      <c r="EU635" s="59"/>
      <c r="EV635" s="59"/>
      <c r="EW635" s="59"/>
      <c r="EX635" s="59"/>
      <c r="EY635" s="59"/>
      <c r="EZ635" s="59"/>
      <c r="FA635" s="59"/>
      <c r="FB635" s="59"/>
      <c r="FC635" s="59"/>
      <c r="FD635" s="59"/>
      <c r="FE635" s="59"/>
      <c r="FF635" s="59"/>
      <c r="FG635" s="59"/>
      <c r="FH635" s="59"/>
      <c r="FI635" s="59"/>
      <c r="FJ635" s="59"/>
      <c r="FK635" s="59"/>
      <c r="FL635" s="59"/>
      <c r="FM635" s="59"/>
      <c r="FN635" s="59"/>
      <c r="FO635" s="59"/>
      <c r="FP635" s="59"/>
      <c r="FQ635" s="59"/>
      <c r="FR635" s="59"/>
      <c r="FS635" s="59"/>
      <c r="FT635" s="59"/>
      <c r="FU635" s="59"/>
      <c r="FV635" s="59"/>
      <c r="FW635" s="59"/>
      <c r="FX635" s="59"/>
      <c r="FY635" s="59"/>
      <c r="FZ635" s="59"/>
      <c r="GA635" s="59"/>
      <c r="GB635" s="59"/>
      <c r="GC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  <c r="CP636" s="59"/>
      <c r="CQ636" s="59"/>
      <c r="CR636" s="59"/>
      <c r="CS636" s="59"/>
      <c r="CT636" s="59"/>
      <c r="CU636" s="59"/>
      <c r="CV636" s="59"/>
      <c r="CW636" s="59"/>
      <c r="CX636" s="59"/>
      <c r="CY636" s="59"/>
      <c r="CZ636" s="59"/>
      <c r="DA636" s="59"/>
      <c r="DB636" s="59"/>
      <c r="DC636" s="59"/>
      <c r="DD636" s="59"/>
      <c r="DE636" s="59"/>
      <c r="DF636" s="59"/>
      <c r="DG636" s="59"/>
      <c r="DH636" s="59"/>
      <c r="DI636" s="59"/>
      <c r="DJ636" s="59"/>
      <c r="DK636" s="59"/>
      <c r="DL636" s="59"/>
      <c r="DM636" s="59"/>
      <c r="DN636" s="59"/>
      <c r="DO636" s="59"/>
      <c r="DP636" s="59"/>
      <c r="DQ636" s="59"/>
      <c r="DR636" s="59"/>
      <c r="DS636" s="59"/>
      <c r="DT636" s="59"/>
      <c r="DU636" s="59"/>
      <c r="DV636" s="59"/>
      <c r="DW636" s="59"/>
      <c r="DX636" s="59"/>
      <c r="DY636" s="59"/>
      <c r="DZ636" s="59"/>
      <c r="EA636" s="59"/>
      <c r="EB636" s="59"/>
      <c r="EC636" s="59"/>
      <c r="ED636" s="59"/>
      <c r="EE636" s="59"/>
      <c r="EF636" s="59"/>
      <c r="EG636" s="59"/>
      <c r="EH636" s="59"/>
      <c r="EI636" s="59"/>
      <c r="EJ636" s="59"/>
      <c r="EK636" s="59"/>
      <c r="EL636" s="59"/>
      <c r="EM636" s="59"/>
      <c r="EN636" s="59"/>
      <c r="EO636" s="59"/>
      <c r="EP636" s="59"/>
      <c r="EQ636" s="59"/>
      <c r="ER636" s="59"/>
      <c r="ES636" s="59"/>
      <c r="ET636" s="59"/>
      <c r="EU636" s="59"/>
      <c r="EV636" s="59"/>
      <c r="EW636" s="59"/>
      <c r="EX636" s="59"/>
      <c r="EY636" s="59"/>
      <c r="EZ636" s="59"/>
      <c r="FA636" s="59"/>
      <c r="FB636" s="59"/>
      <c r="FC636" s="59"/>
      <c r="FD636" s="59"/>
      <c r="FE636" s="59"/>
      <c r="FF636" s="59"/>
      <c r="FG636" s="59"/>
      <c r="FH636" s="59"/>
      <c r="FI636" s="59"/>
      <c r="FJ636" s="59"/>
      <c r="FK636" s="59"/>
      <c r="FL636" s="59"/>
      <c r="FM636" s="59"/>
      <c r="FN636" s="59"/>
      <c r="FO636" s="59"/>
      <c r="FP636" s="59"/>
      <c r="FQ636" s="59"/>
      <c r="FR636" s="59"/>
      <c r="FS636" s="59"/>
      <c r="FT636" s="59"/>
      <c r="FU636" s="59"/>
      <c r="FV636" s="59"/>
      <c r="FW636" s="59"/>
      <c r="FX636" s="59"/>
      <c r="FY636" s="59"/>
      <c r="FZ636" s="59"/>
      <c r="GA636" s="59"/>
      <c r="GB636" s="59"/>
      <c r="GC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  <c r="CP637" s="59"/>
      <c r="CQ637" s="59"/>
      <c r="CR637" s="59"/>
      <c r="CS637" s="59"/>
      <c r="CT637" s="59"/>
      <c r="CU637" s="59"/>
      <c r="CV637" s="59"/>
      <c r="CW637" s="59"/>
      <c r="CX637" s="59"/>
      <c r="CY637" s="59"/>
      <c r="CZ637" s="59"/>
      <c r="DA637" s="59"/>
      <c r="DB637" s="59"/>
      <c r="DC637" s="59"/>
      <c r="DD637" s="59"/>
      <c r="DE637" s="59"/>
      <c r="DF637" s="59"/>
      <c r="DG637" s="59"/>
      <c r="DH637" s="59"/>
      <c r="DI637" s="59"/>
      <c r="DJ637" s="59"/>
      <c r="DK637" s="59"/>
      <c r="DL637" s="59"/>
      <c r="DM637" s="59"/>
      <c r="DN637" s="59"/>
      <c r="DO637" s="59"/>
      <c r="DP637" s="59"/>
      <c r="DQ637" s="59"/>
      <c r="DR637" s="59"/>
      <c r="DS637" s="59"/>
      <c r="DT637" s="59"/>
      <c r="DU637" s="59"/>
      <c r="DV637" s="59"/>
      <c r="DW637" s="59"/>
      <c r="DX637" s="59"/>
      <c r="DY637" s="59"/>
      <c r="DZ637" s="59"/>
      <c r="EA637" s="59"/>
      <c r="EB637" s="59"/>
      <c r="EC637" s="59"/>
      <c r="ED637" s="59"/>
      <c r="EE637" s="59"/>
      <c r="EF637" s="59"/>
      <c r="EG637" s="59"/>
      <c r="EH637" s="59"/>
      <c r="EI637" s="59"/>
      <c r="EJ637" s="59"/>
      <c r="EK637" s="59"/>
      <c r="EL637" s="59"/>
      <c r="EM637" s="59"/>
      <c r="EN637" s="59"/>
      <c r="EO637" s="59"/>
      <c r="EP637" s="59"/>
      <c r="EQ637" s="59"/>
      <c r="ER637" s="59"/>
      <c r="ES637" s="59"/>
      <c r="ET637" s="59"/>
      <c r="EU637" s="59"/>
      <c r="EV637" s="59"/>
      <c r="EW637" s="59"/>
      <c r="EX637" s="59"/>
      <c r="EY637" s="59"/>
      <c r="EZ637" s="59"/>
      <c r="FA637" s="59"/>
      <c r="FB637" s="59"/>
      <c r="FC637" s="59"/>
      <c r="FD637" s="59"/>
      <c r="FE637" s="59"/>
      <c r="FF637" s="59"/>
      <c r="FG637" s="59"/>
      <c r="FH637" s="59"/>
      <c r="FI637" s="59"/>
      <c r="FJ637" s="59"/>
      <c r="FK637" s="59"/>
      <c r="FL637" s="59"/>
      <c r="FM637" s="59"/>
      <c r="FN637" s="59"/>
      <c r="FO637" s="59"/>
      <c r="FP637" s="59"/>
      <c r="FQ637" s="59"/>
      <c r="FR637" s="59"/>
      <c r="FS637" s="59"/>
      <c r="FT637" s="59"/>
      <c r="FU637" s="59"/>
      <c r="FV637" s="59"/>
      <c r="FW637" s="59"/>
      <c r="FX637" s="59"/>
      <c r="FY637" s="59"/>
      <c r="FZ637" s="59"/>
      <c r="GA637" s="59"/>
      <c r="GB637" s="59"/>
      <c r="GC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  <c r="CP638" s="59"/>
      <c r="CQ638" s="59"/>
      <c r="CR638" s="59"/>
      <c r="CS638" s="59"/>
      <c r="CT638" s="59"/>
      <c r="CU638" s="59"/>
      <c r="CV638" s="59"/>
      <c r="CW638" s="59"/>
      <c r="CX638" s="59"/>
      <c r="CY638" s="59"/>
      <c r="CZ638" s="59"/>
      <c r="DA638" s="59"/>
      <c r="DB638" s="59"/>
      <c r="DC638" s="59"/>
      <c r="DD638" s="59"/>
      <c r="DE638" s="59"/>
      <c r="DF638" s="59"/>
      <c r="DG638" s="59"/>
      <c r="DH638" s="59"/>
      <c r="DI638" s="59"/>
      <c r="DJ638" s="59"/>
      <c r="DK638" s="59"/>
      <c r="DL638" s="59"/>
      <c r="DM638" s="59"/>
      <c r="DN638" s="59"/>
      <c r="DO638" s="59"/>
      <c r="DP638" s="59"/>
      <c r="DQ638" s="59"/>
      <c r="DR638" s="59"/>
      <c r="DS638" s="59"/>
      <c r="DT638" s="59"/>
      <c r="DU638" s="59"/>
      <c r="DV638" s="59"/>
      <c r="DW638" s="59"/>
      <c r="DX638" s="59"/>
      <c r="DY638" s="59"/>
      <c r="DZ638" s="59"/>
      <c r="EA638" s="59"/>
      <c r="EB638" s="59"/>
      <c r="EC638" s="59"/>
      <c r="ED638" s="59"/>
      <c r="EE638" s="59"/>
      <c r="EF638" s="59"/>
      <c r="EG638" s="59"/>
      <c r="EH638" s="59"/>
      <c r="EI638" s="59"/>
      <c r="EJ638" s="59"/>
      <c r="EK638" s="59"/>
      <c r="EL638" s="59"/>
      <c r="EM638" s="59"/>
      <c r="EN638" s="59"/>
      <c r="EO638" s="59"/>
      <c r="EP638" s="59"/>
      <c r="EQ638" s="59"/>
      <c r="ER638" s="59"/>
      <c r="ES638" s="59"/>
      <c r="ET638" s="59"/>
      <c r="EU638" s="59"/>
      <c r="EV638" s="59"/>
      <c r="EW638" s="59"/>
      <c r="EX638" s="59"/>
      <c r="EY638" s="59"/>
      <c r="EZ638" s="59"/>
      <c r="FA638" s="59"/>
      <c r="FB638" s="59"/>
      <c r="FC638" s="59"/>
      <c r="FD638" s="59"/>
      <c r="FE638" s="59"/>
      <c r="FF638" s="59"/>
      <c r="FG638" s="59"/>
      <c r="FH638" s="59"/>
      <c r="FI638" s="59"/>
      <c r="FJ638" s="59"/>
      <c r="FK638" s="59"/>
      <c r="FL638" s="59"/>
      <c r="FM638" s="59"/>
      <c r="FN638" s="59"/>
      <c r="FO638" s="59"/>
      <c r="FP638" s="59"/>
      <c r="FQ638" s="59"/>
      <c r="FR638" s="59"/>
      <c r="FS638" s="59"/>
      <c r="FT638" s="59"/>
      <c r="FU638" s="59"/>
      <c r="FV638" s="59"/>
      <c r="FW638" s="59"/>
      <c r="FX638" s="59"/>
      <c r="FY638" s="59"/>
      <c r="FZ638" s="59"/>
      <c r="GA638" s="59"/>
      <c r="GB638" s="59"/>
      <c r="GC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  <c r="CP639" s="59"/>
      <c r="CQ639" s="59"/>
      <c r="CR639" s="59"/>
      <c r="CS639" s="59"/>
      <c r="CT639" s="59"/>
      <c r="CU639" s="59"/>
      <c r="CV639" s="59"/>
      <c r="CW639" s="59"/>
      <c r="CX639" s="59"/>
      <c r="CY639" s="59"/>
      <c r="CZ639" s="59"/>
      <c r="DA639" s="59"/>
      <c r="DB639" s="59"/>
      <c r="DC639" s="59"/>
      <c r="DD639" s="59"/>
      <c r="DE639" s="59"/>
      <c r="DF639" s="59"/>
      <c r="DG639" s="59"/>
      <c r="DH639" s="59"/>
      <c r="DI639" s="59"/>
      <c r="DJ639" s="59"/>
      <c r="DK639" s="59"/>
      <c r="DL639" s="59"/>
      <c r="DM639" s="59"/>
      <c r="DN639" s="59"/>
      <c r="DO639" s="59"/>
      <c r="DP639" s="59"/>
      <c r="DQ639" s="59"/>
      <c r="DR639" s="59"/>
      <c r="DS639" s="59"/>
      <c r="DT639" s="59"/>
      <c r="DU639" s="59"/>
      <c r="DV639" s="59"/>
      <c r="DW639" s="59"/>
      <c r="DX639" s="59"/>
      <c r="DY639" s="59"/>
      <c r="DZ639" s="59"/>
      <c r="EA639" s="59"/>
      <c r="EB639" s="59"/>
      <c r="EC639" s="59"/>
      <c r="ED639" s="59"/>
      <c r="EE639" s="59"/>
      <c r="EF639" s="59"/>
      <c r="EG639" s="59"/>
      <c r="EH639" s="59"/>
      <c r="EI639" s="59"/>
      <c r="EJ639" s="59"/>
      <c r="EK639" s="59"/>
      <c r="EL639" s="59"/>
      <c r="EM639" s="59"/>
      <c r="EN639" s="59"/>
      <c r="EO639" s="59"/>
      <c r="EP639" s="59"/>
      <c r="EQ639" s="59"/>
      <c r="ER639" s="59"/>
      <c r="ES639" s="59"/>
      <c r="ET639" s="59"/>
      <c r="EU639" s="59"/>
      <c r="EV639" s="59"/>
      <c r="EW639" s="59"/>
      <c r="EX639" s="59"/>
      <c r="EY639" s="59"/>
      <c r="EZ639" s="59"/>
      <c r="FA639" s="59"/>
      <c r="FB639" s="59"/>
      <c r="FC639" s="59"/>
      <c r="FD639" s="59"/>
      <c r="FE639" s="59"/>
      <c r="FF639" s="59"/>
      <c r="FG639" s="59"/>
      <c r="FH639" s="59"/>
      <c r="FI639" s="59"/>
      <c r="FJ639" s="59"/>
      <c r="FK639" s="59"/>
      <c r="FL639" s="59"/>
      <c r="FM639" s="59"/>
      <c r="FN639" s="59"/>
      <c r="FO639" s="59"/>
      <c r="FP639" s="59"/>
      <c r="FQ639" s="59"/>
      <c r="FR639" s="59"/>
      <c r="FS639" s="59"/>
      <c r="FT639" s="59"/>
      <c r="FU639" s="59"/>
      <c r="FV639" s="59"/>
      <c r="FW639" s="59"/>
      <c r="FX639" s="59"/>
      <c r="FY639" s="59"/>
      <c r="FZ639" s="59"/>
      <c r="GA639" s="59"/>
      <c r="GB639" s="59"/>
      <c r="GC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  <c r="CP640" s="59"/>
      <c r="CQ640" s="59"/>
      <c r="CR640" s="59"/>
      <c r="CS640" s="59"/>
      <c r="CT640" s="59"/>
      <c r="CU640" s="59"/>
      <c r="CV640" s="59"/>
      <c r="CW640" s="59"/>
      <c r="CX640" s="59"/>
      <c r="CY640" s="59"/>
      <c r="CZ640" s="59"/>
      <c r="DA640" s="59"/>
      <c r="DB640" s="59"/>
      <c r="DC640" s="59"/>
      <c r="DD640" s="59"/>
      <c r="DE640" s="59"/>
      <c r="DF640" s="59"/>
      <c r="DG640" s="59"/>
      <c r="DH640" s="59"/>
      <c r="DI640" s="59"/>
      <c r="DJ640" s="59"/>
      <c r="DK640" s="59"/>
      <c r="DL640" s="59"/>
      <c r="DM640" s="59"/>
      <c r="DN640" s="59"/>
      <c r="DO640" s="59"/>
      <c r="DP640" s="59"/>
      <c r="DQ640" s="59"/>
      <c r="DR640" s="59"/>
      <c r="DS640" s="59"/>
      <c r="DT640" s="59"/>
      <c r="DU640" s="59"/>
      <c r="DV640" s="59"/>
      <c r="DW640" s="59"/>
      <c r="DX640" s="59"/>
      <c r="DY640" s="59"/>
      <c r="DZ640" s="59"/>
      <c r="EA640" s="59"/>
      <c r="EB640" s="59"/>
      <c r="EC640" s="59"/>
      <c r="ED640" s="59"/>
      <c r="EE640" s="59"/>
      <c r="EF640" s="59"/>
      <c r="EG640" s="59"/>
      <c r="EH640" s="59"/>
      <c r="EI640" s="59"/>
      <c r="EJ640" s="59"/>
      <c r="EK640" s="59"/>
      <c r="EL640" s="59"/>
      <c r="EM640" s="59"/>
      <c r="EN640" s="59"/>
      <c r="EO640" s="59"/>
      <c r="EP640" s="59"/>
      <c r="EQ640" s="59"/>
      <c r="ER640" s="59"/>
      <c r="ES640" s="59"/>
      <c r="ET640" s="59"/>
      <c r="EU640" s="59"/>
      <c r="EV640" s="59"/>
      <c r="EW640" s="59"/>
      <c r="EX640" s="59"/>
      <c r="EY640" s="59"/>
      <c r="EZ640" s="59"/>
      <c r="FA640" s="59"/>
      <c r="FB640" s="59"/>
      <c r="FC640" s="59"/>
      <c r="FD640" s="59"/>
      <c r="FE640" s="59"/>
      <c r="FF640" s="59"/>
      <c r="FG640" s="59"/>
      <c r="FH640" s="59"/>
      <c r="FI640" s="59"/>
      <c r="FJ640" s="59"/>
      <c r="FK640" s="59"/>
      <c r="FL640" s="59"/>
      <c r="FM640" s="59"/>
      <c r="FN640" s="59"/>
      <c r="FO640" s="59"/>
      <c r="FP640" s="59"/>
      <c r="FQ640" s="59"/>
      <c r="FR640" s="59"/>
      <c r="FS640" s="59"/>
      <c r="FT640" s="59"/>
      <c r="FU640" s="59"/>
      <c r="FV640" s="59"/>
      <c r="FW640" s="59"/>
      <c r="FX640" s="59"/>
      <c r="FY640" s="59"/>
      <c r="FZ640" s="59"/>
      <c r="GA640" s="59"/>
      <c r="GB640" s="59"/>
      <c r="GC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  <c r="CP641" s="59"/>
      <c r="CQ641" s="59"/>
      <c r="CR641" s="59"/>
      <c r="CS641" s="59"/>
      <c r="CT641" s="59"/>
      <c r="CU641" s="59"/>
      <c r="CV641" s="59"/>
      <c r="CW641" s="59"/>
      <c r="CX641" s="59"/>
      <c r="CY641" s="59"/>
      <c r="CZ641" s="59"/>
      <c r="DA641" s="59"/>
      <c r="DB641" s="59"/>
      <c r="DC641" s="59"/>
      <c r="DD641" s="59"/>
      <c r="DE641" s="59"/>
      <c r="DF641" s="59"/>
      <c r="DG641" s="59"/>
      <c r="DH641" s="59"/>
      <c r="DI641" s="59"/>
      <c r="DJ641" s="59"/>
      <c r="DK641" s="59"/>
      <c r="DL641" s="59"/>
      <c r="DM641" s="59"/>
      <c r="DN641" s="59"/>
      <c r="DO641" s="59"/>
      <c r="DP641" s="59"/>
      <c r="DQ641" s="59"/>
      <c r="DR641" s="59"/>
      <c r="DS641" s="59"/>
      <c r="DT641" s="59"/>
      <c r="DU641" s="59"/>
      <c r="DV641" s="59"/>
      <c r="DW641" s="59"/>
      <c r="DX641" s="59"/>
      <c r="DY641" s="59"/>
      <c r="DZ641" s="59"/>
      <c r="EA641" s="59"/>
      <c r="EB641" s="59"/>
      <c r="EC641" s="59"/>
      <c r="ED641" s="59"/>
      <c r="EE641" s="59"/>
      <c r="EF641" s="59"/>
      <c r="EG641" s="59"/>
      <c r="EH641" s="59"/>
      <c r="EI641" s="59"/>
      <c r="EJ641" s="59"/>
      <c r="EK641" s="59"/>
      <c r="EL641" s="59"/>
      <c r="EM641" s="59"/>
      <c r="EN641" s="59"/>
      <c r="EO641" s="59"/>
      <c r="EP641" s="59"/>
      <c r="EQ641" s="59"/>
      <c r="ER641" s="59"/>
      <c r="ES641" s="59"/>
      <c r="ET641" s="59"/>
      <c r="EU641" s="59"/>
      <c r="EV641" s="59"/>
      <c r="EW641" s="59"/>
      <c r="EX641" s="59"/>
      <c r="EY641" s="59"/>
      <c r="EZ641" s="59"/>
      <c r="FA641" s="59"/>
      <c r="FB641" s="59"/>
      <c r="FC641" s="59"/>
      <c r="FD641" s="59"/>
      <c r="FE641" s="59"/>
      <c r="FF641" s="59"/>
      <c r="FG641" s="59"/>
      <c r="FH641" s="59"/>
      <c r="FI641" s="59"/>
      <c r="FJ641" s="59"/>
      <c r="FK641" s="59"/>
      <c r="FL641" s="59"/>
      <c r="FM641" s="59"/>
      <c r="FN641" s="59"/>
      <c r="FO641" s="59"/>
      <c r="FP641" s="59"/>
      <c r="FQ641" s="59"/>
      <c r="FR641" s="59"/>
      <c r="FS641" s="59"/>
      <c r="FT641" s="59"/>
      <c r="FU641" s="59"/>
      <c r="FV641" s="59"/>
      <c r="FW641" s="59"/>
      <c r="FX641" s="59"/>
      <c r="FY641" s="59"/>
      <c r="FZ641" s="59"/>
      <c r="GA641" s="59"/>
      <c r="GB641" s="59"/>
      <c r="GC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  <c r="CP642" s="59"/>
      <c r="CQ642" s="59"/>
      <c r="CR642" s="59"/>
      <c r="CS642" s="59"/>
      <c r="CT642" s="59"/>
      <c r="CU642" s="59"/>
      <c r="CV642" s="59"/>
      <c r="CW642" s="59"/>
      <c r="CX642" s="59"/>
      <c r="CY642" s="59"/>
      <c r="CZ642" s="59"/>
      <c r="DA642" s="59"/>
      <c r="DB642" s="59"/>
      <c r="DC642" s="59"/>
      <c r="DD642" s="59"/>
      <c r="DE642" s="59"/>
      <c r="DF642" s="59"/>
      <c r="DG642" s="59"/>
      <c r="DH642" s="59"/>
      <c r="DI642" s="59"/>
      <c r="DJ642" s="59"/>
      <c r="DK642" s="59"/>
      <c r="DL642" s="59"/>
      <c r="DM642" s="59"/>
      <c r="DN642" s="59"/>
      <c r="DO642" s="59"/>
      <c r="DP642" s="59"/>
      <c r="DQ642" s="59"/>
      <c r="DR642" s="59"/>
      <c r="DS642" s="59"/>
      <c r="DT642" s="59"/>
      <c r="DU642" s="59"/>
      <c r="DV642" s="59"/>
      <c r="DW642" s="59"/>
      <c r="DX642" s="59"/>
      <c r="DY642" s="59"/>
      <c r="DZ642" s="59"/>
      <c r="EA642" s="59"/>
      <c r="EB642" s="59"/>
      <c r="EC642" s="59"/>
      <c r="ED642" s="59"/>
      <c r="EE642" s="59"/>
      <c r="EF642" s="59"/>
      <c r="EG642" s="59"/>
      <c r="EH642" s="59"/>
      <c r="EI642" s="59"/>
      <c r="EJ642" s="59"/>
      <c r="EK642" s="59"/>
      <c r="EL642" s="59"/>
      <c r="EM642" s="59"/>
      <c r="EN642" s="59"/>
      <c r="EO642" s="59"/>
      <c r="EP642" s="59"/>
      <c r="EQ642" s="59"/>
      <c r="ER642" s="59"/>
      <c r="ES642" s="59"/>
      <c r="ET642" s="59"/>
      <c r="EU642" s="59"/>
      <c r="EV642" s="59"/>
      <c r="EW642" s="59"/>
      <c r="EX642" s="59"/>
      <c r="EY642" s="59"/>
      <c r="EZ642" s="59"/>
      <c r="FA642" s="59"/>
      <c r="FB642" s="59"/>
      <c r="FC642" s="59"/>
      <c r="FD642" s="59"/>
      <c r="FE642" s="59"/>
      <c r="FF642" s="59"/>
      <c r="FG642" s="59"/>
      <c r="FH642" s="59"/>
      <c r="FI642" s="59"/>
      <c r="FJ642" s="59"/>
      <c r="FK642" s="59"/>
      <c r="FL642" s="59"/>
      <c r="FM642" s="59"/>
      <c r="FN642" s="59"/>
      <c r="FO642" s="59"/>
      <c r="FP642" s="59"/>
      <c r="FQ642" s="59"/>
      <c r="FR642" s="59"/>
      <c r="FS642" s="59"/>
      <c r="FT642" s="59"/>
      <c r="FU642" s="59"/>
      <c r="FV642" s="59"/>
      <c r="FW642" s="59"/>
      <c r="FX642" s="59"/>
      <c r="FY642" s="59"/>
      <c r="FZ642" s="59"/>
      <c r="GA642" s="59"/>
      <c r="GB642" s="59"/>
      <c r="GC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  <c r="CP643" s="59"/>
      <c r="CQ643" s="59"/>
      <c r="CR643" s="59"/>
      <c r="CS643" s="59"/>
      <c r="CT643" s="59"/>
      <c r="CU643" s="59"/>
      <c r="CV643" s="59"/>
      <c r="CW643" s="59"/>
      <c r="CX643" s="59"/>
      <c r="CY643" s="59"/>
      <c r="CZ643" s="59"/>
      <c r="DA643" s="59"/>
      <c r="DB643" s="59"/>
      <c r="DC643" s="59"/>
      <c r="DD643" s="59"/>
      <c r="DE643" s="59"/>
      <c r="DF643" s="59"/>
      <c r="DG643" s="59"/>
      <c r="DH643" s="59"/>
      <c r="DI643" s="59"/>
      <c r="DJ643" s="59"/>
      <c r="DK643" s="59"/>
      <c r="DL643" s="59"/>
      <c r="DM643" s="59"/>
      <c r="DN643" s="59"/>
      <c r="DO643" s="59"/>
      <c r="DP643" s="59"/>
      <c r="DQ643" s="59"/>
      <c r="DR643" s="59"/>
      <c r="DS643" s="59"/>
      <c r="DT643" s="59"/>
      <c r="DU643" s="59"/>
      <c r="DV643" s="59"/>
      <c r="DW643" s="59"/>
      <c r="DX643" s="59"/>
      <c r="DY643" s="59"/>
      <c r="DZ643" s="59"/>
      <c r="EA643" s="59"/>
      <c r="EB643" s="59"/>
      <c r="EC643" s="59"/>
      <c r="ED643" s="59"/>
      <c r="EE643" s="59"/>
      <c r="EF643" s="59"/>
      <c r="EG643" s="59"/>
      <c r="EH643" s="59"/>
      <c r="EI643" s="59"/>
      <c r="EJ643" s="59"/>
      <c r="EK643" s="59"/>
      <c r="EL643" s="59"/>
      <c r="EM643" s="59"/>
      <c r="EN643" s="59"/>
      <c r="EO643" s="59"/>
      <c r="EP643" s="59"/>
      <c r="EQ643" s="59"/>
      <c r="ER643" s="59"/>
      <c r="ES643" s="59"/>
      <c r="ET643" s="59"/>
      <c r="EU643" s="59"/>
      <c r="EV643" s="59"/>
      <c r="EW643" s="59"/>
      <c r="EX643" s="59"/>
      <c r="EY643" s="59"/>
      <c r="EZ643" s="59"/>
      <c r="FA643" s="59"/>
      <c r="FB643" s="59"/>
      <c r="FC643" s="59"/>
      <c r="FD643" s="59"/>
      <c r="FE643" s="59"/>
      <c r="FF643" s="59"/>
      <c r="FG643" s="59"/>
      <c r="FH643" s="59"/>
      <c r="FI643" s="59"/>
      <c r="FJ643" s="59"/>
      <c r="FK643" s="59"/>
      <c r="FL643" s="59"/>
      <c r="FM643" s="59"/>
      <c r="FN643" s="59"/>
      <c r="FO643" s="59"/>
      <c r="FP643" s="59"/>
      <c r="FQ643" s="59"/>
      <c r="FR643" s="59"/>
      <c r="FS643" s="59"/>
      <c r="FT643" s="59"/>
      <c r="FU643" s="59"/>
      <c r="FV643" s="59"/>
      <c r="FW643" s="59"/>
      <c r="FX643" s="59"/>
      <c r="FY643" s="59"/>
      <c r="FZ643" s="59"/>
      <c r="GA643" s="59"/>
      <c r="GB643" s="59"/>
      <c r="GC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  <c r="CP644" s="59"/>
      <c r="CQ644" s="59"/>
      <c r="CR644" s="59"/>
      <c r="CS644" s="59"/>
      <c r="CT644" s="59"/>
      <c r="CU644" s="59"/>
      <c r="CV644" s="59"/>
      <c r="CW644" s="59"/>
      <c r="CX644" s="59"/>
      <c r="CY644" s="59"/>
      <c r="CZ644" s="59"/>
      <c r="DA644" s="59"/>
      <c r="DB644" s="59"/>
      <c r="DC644" s="59"/>
      <c r="DD644" s="59"/>
      <c r="DE644" s="59"/>
      <c r="DF644" s="59"/>
      <c r="DG644" s="59"/>
      <c r="DH644" s="59"/>
      <c r="DI644" s="59"/>
      <c r="DJ644" s="59"/>
      <c r="DK644" s="59"/>
      <c r="DL644" s="59"/>
      <c r="DM644" s="59"/>
      <c r="DN644" s="59"/>
      <c r="DO644" s="59"/>
      <c r="DP644" s="59"/>
      <c r="DQ644" s="59"/>
      <c r="DR644" s="59"/>
      <c r="DS644" s="59"/>
      <c r="DT644" s="59"/>
      <c r="DU644" s="59"/>
      <c r="DV644" s="59"/>
      <c r="DW644" s="59"/>
      <c r="DX644" s="59"/>
      <c r="DY644" s="59"/>
      <c r="DZ644" s="59"/>
      <c r="EA644" s="59"/>
      <c r="EB644" s="59"/>
      <c r="EC644" s="59"/>
      <c r="ED644" s="59"/>
      <c r="EE644" s="59"/>
      <c r="EF644" s="59"/>
      <c r="EG644" s="59"/>
      <c r="EH644" s="59"/>
      <c r="EI644" s="59"/>
      <c r="EJ644" s="59"/>
      <c r="EK644" s="59"/>
      <c r="EL644" s="59"/>
      <c r="EM644" s="59"/>
      <c r="EN644" s="59"/>
      <c r="EO644" s="59"/>
      <c r="EP644" s="59"/>
      <c r="EQ644" s="59"/>
      <c r="ER644" s="59"/>
      <c r="ES644" s="59"/>
      <c r="ET644" s="59"/>
      <c r="EU644" s="59"/>
      <c r="EV644" s="59"/>
      <c r="EW644" s="59"/>
      <c r="EX644" s="59"/>
      <c r="EY644" s="59"/>
      <c r="EZ644" s="59"/>
      <c r="FA644" s="59"/>
      <c r="FB644" s="59"/>
      <c r="FC644" s="59"/>
      <c r="FD644" s="59"/>
      <c r="FE644" s="59"/>
      <c r="FF644" s="59"/>
      <c r="FG644" s="59"/>
      <c r="FH644" s="59"/>
      <c r="FI644" s="59"/>
      <c r="FJ644" s="59"/>
      <c r="FK644" s="59"/>
      <c r="FL644" s="59"/>
      <c r="FM644" s="59"/>
      <c r="FN644" s="59"/>
      <c r="FO644" s="59"/>
      <c r="FP644" s="59"/>
      <c r="FQ644" s="59"/>
      <c r="FR644" s="59"/>
      <c r="FS644" s="59"/>
      <c r="FT644" s="59"/>
      <c r="FU644" s="59"/>
      <c r="FV644" s="59"/>
      <c r="FW644" s="59"/>
      <c r="FX644" s="59"/>
      <c r="FY644" s="59"/>
      <c r="FZ644" s="59"/>
      <c r="GA644" s="59"/>
      <c r="GB644" s="59"/>
      <c r="GC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  <c r="CP645" s="59"/>
      <c r="CQ645" s="59"/>
      <c r="CR645" s="59"/>
      <c r="CS645" s="59"/>
      <c r="CT645" s="59"/>
      <c r="CU645" s="59"/>
      <c r="CV645" s="59"/>
      <c r="CW645" s="59"/>
      <c r="CX645" s="59"/>
      <c r="CY645" s="59"/>
      <c r="CZ645" s="59"/>
      <c r="DA645" s="59"/>
      <c r="DB645" s="59"/>
      <c r="DC645" s="59"/>
      <c r="DD645" s="59"/>
      <c r="DE645" s="59"/>
      <c r="DF645" s="59"/>
      <c r="DG645" s="59"/>
      <c r="DH645" s="59"/>
      <c r="DI645" s="59"/>
      <c r="DJ645" s="59"/>
      <c r="DK645" s="59"/>
      <c r="DL645" s="59"/>
      <c r="DM645" s="59"/>
      <c r="DN645" s="59"/>
      <c r="DO645" s="59"/>
      <c r="DP645" s="59"/>
      <c r="DQ645" s="59"/>
      <c r="DR645" s="59"/>
      <c r="DS645" s="59"/>
      <c r="DT645" s="59"/>
      <c r="DU645" s="59"/>
      <c r="DV645" s="59"/>
      <c r="DW645" s="59"/>
      <c r="DX645" s="59"/>
      <c r="DY645" s="59"/>
      <c r="DZ645" s="59"/>
      <c r="EA645" s="59"/>
      <c r="EB645" s="59"/>
      <c r="EC645" s="59"/>
      <c r="ED645" s="59"/>
      <c r="EE645" s="59"/>
      <c r="EF645" s="59"/>
      <c r="EG645" s="59"/>
      <c r="EH645" s="59"/>
      <c r="EI645" s="59"/>
      <c r="EJ645" s="59"/>
      <c r="EK645" s="59"/>
      <c r="EL645" s="59"/>
      <c r="EM645" s="59"/>
      <c r="EN645" s="59"/>
      <c r="EO645" s="59"/>
      <c r="EP645" s="59"/>
      <c r="EQ645" s="59"/>
      <c r="ER645" s="59"/>
      <c r="ES645" s="59"/>
      <c r="ET645" s="59"/>
      <c r="EU645" s="59"/>
      <c r="EV645" s="59"/>
      <c r="EW645" s="59"/>
      <c r="EX645" s="59"/>
      <c r="EY645" s="59"/>
      <c r="EZ645" s="59"/>
      <c r="FA645" s="59"/>
      <c r="FB645" s="59"/>
      <c r="FC645" s="59"/>
      <c r="FD645" s="59"/>
      <c r="FE645" s="59"/>
      <c r="FF645" s="59"/>
      <c r="FG645" s="59"/>
      <c r="FH645" s="59"/>
      <c r="FI645" s="59"/>
      <c r="FJ645" s="59"/>
      <c r="FK645" s="59"/>
      <c r="FL645" s="59"/>
      <c r="FM645" s="59"/>
      <c r="FN645" s="59"/>
      <c r="FO645" s="59"/>
      <c r="FP645" s="59"/>
      <c r="FQ645" s="59"/>
      <c r="FR645" s="59"/>
      <c r="FS645" s="59"/>
      <c r="FT645" s="59"/>
      <c r="FU645" s="59"/>
      <c r="FV645" s="59"/>
      <c r="FW645" s="59"/>
      <c r="FX645" s="59"/>
      <c r="FY645" s="59"/>
      <c r="FZ645" s="59"/>
      <c r="GA645" s="59"/>
      <c r="GB645" s="59"/>
      <c r="GC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  <c r="CP646" s="59"/>
      <c r="CQ646" s="59"/>
      <c r="CR646" s="59"/>
      <c r="CS646" s="59"/>
      <c r="CT646" s="59"/>
      <c r="CU646" s="59"/>
      <c r="CV646" s="59"/>
      <c r="CW646" s="59"/>
      <c r="CX646" s="59"/>
      <c r="CY646" s="59"/>
      <c r="CZ646" s="59"/>
      <c r="DA646" s="59"/>
      <c r="DB646" s="59"/>
      <c r="DC646" s="59"/>
      <c r="DD646" s="59"/>
      <c r="DE646" s="59"/>
      <c r="DF646" s="59"/>
      <c r="DG646" s="59"/>
      <c r="DH646" s="59"/>
      <c r="DI646" s="59"/>
      <c r="DJ646" s="59"/>
      <c r="DK646" s="59"/>
      <c r="DL646" s="59"/>
      <c r="DM646" s="59"/>
      <c r="DN646" s="59"/>
      <c r="DO646" s="59"/>
      <c r="DP646" s="59"/>
      <c r="DQ646" s="59"/>
      <c r="DR646" s="59"/>
      <c r="DS646" s="59"/>
      <c r="DT646" s="59"/>
      <c r="DU646" s="59"/>
      <c r="DV646" s="59"/>
      <c r="DW646" s="59"/>
      <c r="DX646" s="59"/>
      <c r="DY646" s="59"/>
      <c r="DZ646" s="59"/>
      <c r="EA646" s="59"/>
      <c r="EB646" s="59"/>
      <c r="EC646" s="59"/>
      <c r="ED646" s="59"/>
      <c r="EE646" s="59"/>
      <c r="EF646" s="59"/>
      <c r="EG646" s="59"/>
      <c r="EH646" s="59"/>
      <c r="EI646" s="59"/>
      <c r="EJ646" s="59"/>
      <c r="EK646" s="59"/>
      <c r="EL646" s="59"/>
      <c r="EM646" s="59"/>
      <c r="EN646" s="59"/>
      <c r="EO646" s="59"/>
      <c r="EP646" s="59"/>
      <c r="EQ646" s="59"/>
      <c r="ER646" s="59"/>
      <c r="ES646" s="59"/>
      <c r="ET646" s="59"/>
      <c r="EU646" s="59"/>
      <c r="EV646" s="59"/>
      <c r="EW646" s="59"/>
      <c r="EX646" s="59"/>
      <c r="EY646" s="59"/>
      <c r="EZ646" s="59"/>
      <c r="FA646" s="59"/>
      <c r="FB646" s="59"/>
      <c r="FC646" s="59"/>
      <c r="FD646" s="59"/>
      <c r="FE646" s="59"/>
      <c r="FF646" s="59"/>
      <c r="FG646" s="59"/>
      <c r="FH646" s="59"/>
      <c r="FI646" s="59"/>
      <c r="FJ646" s="59"/>
      <c r="FK646" s="59"/>
      <c r="FL646" s="59"/>
      <c r="FM646" s="59"/>
      <c r="FN646" s="59"/>
      <c r="FO646" s="59"/>
      <c r="FP646" s="59"/>
      <c r="FQ646" s="59"/>
      <c r="FR646" s="59"/>
      <c r="FS646" s="59"/>
      <c r="FT646" s="59"/>
      <c r="FU646" s="59"/>
      <c r="FV646" s="59"/>
      <c r="FW646" s="59"/>
      <c r="FX646" s="59"/>
      <c r="FY646" s="59"/>
      <c r="FZ646" s="59"/>
      <c r="GA646" s="59"/>
      <c r="GB646" s="59"/>
      <c r="GC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  <c r="CP647" s="59"/>
      <c r="CQ647" s="59"/>
      <c r="CR647" s="59"/>
      <c r="CS647" s="59"/>
      <c r="CT647" s="59"/>
      <c r="CU647" s="59"/>
      <c r="CV647" s="59"/>
      <c r="CW647" s="59"/>
      <c r="CX647" s="59"/>
      <c r="CY647" s="59"/>
      <c r="CZ647" s="59"/>
      <c r="DA647" s="59"/>
      <c r="DB647" s="59"/>
      <c r="DC647" s="59"/>
      <c r="DD647" s="59"/>
      <c r="DE647" s="59"/>
      <c r="DF647" s="59"/>
      <c r="DG647" s="59"/>
      <c r="DH647" s="59"/>
      <c r="DI647" s="59"/>
      <c r="DJ647" s="59"/>
      <c r="DK647" s="59"/>
      <c r="DL647" s="59"/>
      <c r="DM647" s="59"/>
      <c r="DN647" s="59"/>
      <c r="DO647" s="59"/>
      <c r="DP647" s="59"/>
      <c r="DQ647" s="59"/>
      <c r="DR647" s="59"/>
      <c r="DS647" s="59"/>
      <c r="DT647" s="59"/>
      <c r="DU647" s="59"/>
      <c r="DV647" s="59"/>
      <c r="DW647" s="59"/>
      <c r="DX647" s="59"/>
      <c r="DY647" s="59"/>
      <c r="DZ647" s="59"/>
      <c r="EA647" s="59"/>
      <c r="EB647" s="59"/>
      <c r="EC647" s="59"/>
      <c r="ED647" s="59"/>
      <c r="EE647" s="59"/>
      <c r="EF647" s="59"/>
      <c r="EG647" s="59"/>
      <c r="EH647" s="59"/>
      <c r="EI647" s="59"/>
      <c r="EJ647" s="59"/>
      <c r="EK647" s="59"/>
      <c r="EL647" s="59"/>
      <c r="EM647" s="59"/>
      <c r="EN647" s="59"/>
      <c r="EO647" s="59"/>
      <c r="EP647" s="59"/>
      <c r="EQ647" s="59"/>
      <c r="ER647" s="59"/>
      <c r="ES647" s="59"/>
      <c r="ET647" s="59"/>
      <c r="EU647" s="59"/>
      <c r="EV647" s="59"/>
      <c r="EW647" s="59"/>
      <c r="EX647" s="59"/>
      <c r="EY647" s="59"/>
      <c r="EZ647" s="59"/>
      <c r="FA647" s="59"/>
      <c r="FB647" s="59"/>
      <c r="FC647" s="59"/>
      <c r="FD647" s="59"/>
      <c r="FE647" s="59"/>
      <c r="FF647" s="59"/>
      <c r="FG647" s="59"/>
      <c r="FH647" s="59"/>
      <c r="FI647" s="59"/>
      <c r="FJ647" s="59"/>
      <c r="FK647" s="59"/>
      <c r="FL647" s="59"/>
      <c r="FM647" s="59"/>
      <c r="FN647" s="59"/>
      <c r="FO647" s="59"/>
      <c r="FP647" s="59"/>
      <c r="FQ647" s="59"/>
      <c r="FR647" s="59"/>
      <c r="FS647" s="59"/>
      <c r="FT647" s="59"/>
      <c r="FU647" s="59"/>
      <c r="FV647" s="59"/>
      <c r="FW647" s="59"/>
      <c r="FX647" s="59"/>
      <c r="FY647" s="59"/>
      <c r="FZ647" s="59"/>
      <c r="GA647" s="59"/>
      <c r="GB647" s="59"/>
      <c r="GC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  <c r="CP648" s="59"/>
      <c r="CQ648" s="59"/>
      <c r="CR648" s="59"/>
      <c r="CS648" s="59"/>
      <c r="CT648" s="59"/>
      <c r="CU648" s="59"/>
      <c r="CV648" s="59"/>
      <c r="CW648" s="59"/>
      <c r="CX648" s="59"/>
      <c r="CY648" s="59"/>
      <c r="CZ648" s="59"/>
      <c r="DA648" s="59"/>
      <c r="DB648" s="59"/>
      <c r="DC648" s="59"/>
      <c r="DD648" s="59"/>
      <c r="DE648" s="59"/>
      <c r="DF648" s="59"/>
      <c r="DG648" s="59"/>
      <c r="DH648" s="59"/>
      <c r="DI648" s="59"/>
      <c r="DJ648" s="59"/>
      <c r="DK648" s="59"/>
      <c r="DL648" s="59"/>
      <c r="DM648" s="59"/>
      <c r="DN648" s="59"/>
      <c r="DO648" s="59"/>
      <c r="DP648" s="59"/>
      <c r="DQ648" s="59"/>
      <c r="DR648" s="59"/>
      <c r="DS648" s="59"/>
      <c r="DT648" s="59"/>
      <c r="DU648" s="59"/>
      <c r="DV648" s="59"/>
      <c r="DW648" s="59"/>
      <c r="DX648" s="59"/>
      <c r="DY648" s="59"/>
      <c r="DZ648" s="59"/>
      <c r="EA648" s="59"/>
      <c r="EB648" s="59"/>
      <c r="EC648" s="59"/>
      <c r="ED648" s="59"/>
      <c r="EE648" s="59"/>
      <c r="EF648" s="59"/>
      <c r="EG648" s="59"/>
      <c r="EH648" s="59"/>
      <c r="EI648" s="59"/>
      <c r="EJ648" s="59"/>
      <c r="EK648" s="59"/>
      <c r="EL648" s="59"/>
      <c r="EM648" s="59"/>
      <c r="EN648" s="59"/>
      <c r="EO648" s="59"/>
      <c r="EP648" s="59"/>
      <c r="EQ648" s="59"/>
      <c r="ER648" s="59"/>
      <c r="ES648" s="59"/>
      <c r="ET648" s="59"/>
      <c r="EU648" s="59"/>
      <c r="EV648" s="59"/>
      <c r="EW648" s="59"/>
      <c r="EX648" s="59"/>
      <c r="EY648" s="59"/>
      <c r="EZ648" s="59"/>
      <c r="FA648" s="59"/>
      <c r="FB648" s="59"/>
      <c r="FC648" s="59"/>
      <c r="FD648" s="59"/>
      <c r="FE648" s="59"/>
      <c r="FF648" s="59"/>
      <c r="FG648" s="59"/>
      <c r="FH648" s="59"/>
      <c r="FI648" s="59"/>
      <c r="FJ648" s="59"/>
      <c r="FK648" s="59"/>
      <c r="FL648" s="59"/>
      <c r="FM648" s="59"/>
      <c r="FN648" s="59"/>
      <c r="FO648" s="59"/>
      <c r="FP648" s="59"/>
      <c r="FQ648" s="59"/>
      <c r="FR648" s="59"/>
      <c r="FS648" s="59"/>
      <c r="FT648" s="59"/>
      <c r="FU648" s="59"/>
      <c r="FV648" s="59"/>
      <c r="FW648" s="59"/>
      <c r="FX648" s="59"/>
      <c r="FY648" s="59"/>
      <c r="FZ648" s="59"/>
      <c r="GA648" s="59"/>
      <c r="GB648" s="59"/>
      <c r="GC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  <c r="CP649" s="59"/>
      <c r="CQ649" s="59"/>
      <c r="CR649" s="59"/>
      <c r="CS649" s="59"/>
      <c r="CT649" s="59"/>
      <c r="CU649" s="59"/>
      <c r="CV649" s="59"/>
      <c r="CW649" s="59"/>
      <c r="CX649" s="59"/>
      <c r="CY649" s="59"/>
      <c r="CZ649" s="59"/>
      <c r="DA649" s="59"/>
      <c r="DB649" s="59"/>
      <c r="DC649" s="59"/>
      <c r="DD649" s="59"/>
      <c r="DE649" s="59"/>
      <c r="DF649" s="59"/>
      <c r="DG649" s="59"/>
      <c r="DH649" s="59"/>
      <c r="DI649" s="59"/>
      <c r="DJ649" s="59"/>
      <c r="DK649" s="59"/>
      <c r="DL649" s="59"/>
      <c r="DM649" s="59"/>
      <c r="DN649" s="59"/>
      <c r="DO649" s="59"/>
      <c r="DP649" s="59"/>
      <c r="DQ649" s="59"/>
      <c r="DR649" s="59"/>
      <c r="DS649" s="59"/>
      <c r="DT649" s="59"/>
      <c r="DU649" s="59"/>
      <c r="DV649" s="59"/>
      <c r="DW649" s="59"/>
      <c r="DX649" s="59"/>
      <c r="DY649" s="59"/>
      <c r="DZ649" s="59"/>
      <c r="EA649" s="59"/>
      <c r="EB649" s="59"/>
      <c r="EC649" s="59"/>
      <c r="ED649" s="59"/>
      <c r="EE649" s="59"/>
      <c r="EF649" s="59"/>
      <c r="EG649" s="59"/>
      <c r="EH649" s="59"/>
      <c r="EI649" s="59"/>
      <c r="EJ649" s="59"/>
      <c r="EK649" s="59"/>
      <c r="EL649" s="59"/>
      <c r="EM649" s="59"/>
      <c r="EN649" s="59"/>
      <c r="EO649" s="59"/>
      <c r="EP649" s="59"/>
      <c r="EQ649" s="59"/>
      <c r="ER649" s="59"/>
      <c r="ES649" s="59"/>
      <c r="ET649" s="59"/>
      <c r="EU649" s="59"/>
      <c r="EV649" s="59"/>
      <c r="EW649" s="59"/>
      <c r="EX649" s="59"/>
      <c r="EY649" s="59"/>
      <c r="EZ649" s="59"/>
      <c r="FA649" s="59"/>
      <c r="FB649" s="59"/>
      <c r="FC649" s="59"/>
      <c r="FD649" s="59"/>
      <c r="FE649" s="59"/>
      <c r="FF649" s="59"/>
      <c r="FG649" s="59"/>
      <c r="FH649" s="59"/>
      <c r="FI649" s="59"/>
      <c r="FJ649" s="59"/>
      <c r="FK649" s="59"/>
      <c r="FL649" s="59"/>
      <c r="FM649" s="59"/>
      <c r="FN649" s="59"/>
      <c r="FO649" s="59"/>
      <c r="FP649" s="59"/>
      <c r="FQ649" s="59"/>
      <c r="FR649" s="59"/>
      <c r="FS649" s="59"/>
      <c r="FT649" s="59"/>
      <c r="FU649" s="59"/>
      <c r="FV649" s="59"/>
      <c r="FW649" s="59"/>
      <c r="FX649" s="59"/>
      <c r="FY649" s="59"/>
      <c r="FZ649" s="59"/>
      <c r="GA649" s="59"/>
      <c r="GB649" s="59"/>
      <c r="GC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  <c r="CP650" s="59"/>
      <c r="CQ650" s="59"/>
      <c r="CR650" s="59"/>
      <c r="CS650" s="59"/>
      <c r="CT650" s="59"/>
      <c r="CU650" s="59"/>
      <c r="CV650" s="59"/>
      <c r="CW650" s="59"/>
      <c r="CX650" s="59"/>
      <c r="CY650" s="59"/>
      <c r="CZ650" s="59"/>
      <c r="DA650" s="59"/>
      <c r="DB650" s="59"/>
      <c r="DC650" s="59"/>
      <c r="DD650" s="59"/>
      <c r="DE650" s="59"/>
      <c r="DF650" s="59"/>
      <c r="DG650" s="59"/>
      <c r="DH650" s="59"/>
      <c r="DI650" s="59"/>
      <c r="DJ650" s="59"/>
      <c r="DK650" s="59"/>
      <c r="DL650" s="59"/>
      <c r="DM650" s="59"/>
      <c r="DN650" s="59"/>
      <c r="DO650" s="59"/>
      <c r="DP650" s="59"/>
      <c r="DQ650" s="59"/>
      <c r="DR650" s="59"/>
      <c r="DS650" s="59"/>
      <c r="DT650" s="59"/>
      <c r="DU650" s="59"/>
      <c r="DV650" s="59"/>
      <c r="DW650" s="59"/>
      <c r="DX650" s="59"/>
      <c r="DY650" s="59"/>
      <c r="DZ650" s="59"/>
      <c r="EA650" s="59"/>
      <c r="EB650" s="59"/>
      <c r="EC650" s="59"/>
      <c r="ED650" s="59"/>
      <c r="EE650" s="59"/>
      <c r="EF650" s="59"/>
      <c r="EG650" s="59"/>
      <c r="EH650" s="59"/>
      <c r="EI650" s="59"/>
      <c r="EJ650" s="59"/>
      <c r="EK650" s="59"/>
      <c r="EL650" s="59"/>
      <c r="EM650" s="59"/>
      <c r="EN650" s="59"/>
      <c r="EO650" s="59"/>
      <c r="EP650" s="59"/>
      <c r="EQ650" s="59"/>
      <c r="ER650" s="59"/>
      <c r="ES650" s="59"/>
      <c r="ET650" s="59"/>
      <c r="EU650" s="59"/>
      <c r="EV650" s="59"/>
      <c r="EW650" s="59"/>
      <c r="EX650" s="59"/>
      <c r="EY650" s="59"/>
      <c r="EZ650" s="59"/>
      <c r="FA650" s="59"/>
      <c r="FB650" s="59"/>
      <c r="FC650" s="59"/>
      <c r="FD650" s="59"/>
      <c r="FE650" s="59"/>
      <c r="FF650" s="59"/>
      <c r="FG650" s="59"/>
      <c r="FH650" s="59"/>
      <c r="FI650" s="59"/>
      <c r="FJ650" s="59"/>
      <c r="FK650" s="59"/>
      <c r="FL650" s="59"/>
      <c r="FM650" s="59"/>
      <c r="FN650" s="59"/>
      <c r="FO650" s="59"/>
      <c r="FP650" s="59"/>
      <c r="FQ650" s="59"/>
      <c r="FR650" s="59"/>
      <c r="FS650" s="59"/>
      <c r="FT650" s="59"/>
      <c r="FU650" s="59"/>
      <c r="FV650" s="59"/>
      <c r="FW650" s="59"/>
      <c r="FX650" s="59"/>
      <c r="FY650" s="59"/>
      <c r="FZ650" s="59"/>
      <c r="GA650" s="59"/>
      <c r="GB650" s="59"/>
      <c r="GC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  <c r="CP651" s="59"/>
      <c r="CQ651" s="59"/>
      <c r="CR651" s="59"/>
      <c r="CS651" s="59"/>
      <c r="CT651" s="59"/>
      <c r="CU651" s="59"/>
      <c r="CV651" s="59"/>
      <c r="CW651" s="59"/>
      <c r="CX651" s="59"/>
      <c r="CY651" s="59"/>
      <c r="CZ651" s="59"/>
      <c r="DA651" s="59"/>
      <c r="DB651" s="59"/>
      <c r="DC651" s="59"/>
      <c r="DD651" s="59"/>
      <c r="DE651" s="59"/>
      <c r="DF651" s="59"/>
      <c r="DG651" s="59"/>
      <c r="DH651" s="59"/>
      <c r="DI651" s="59"/>
      <c r="DJ651" s="59"/>
      <c r="DK651" s="59"/>
      <c r="DL651" s="59"/>
      <c r="DM651" s="59"/>
      <c r="DN651" s="59"/>
      <c r="DO651" s="59"/>
      <c r="DP651" s="59"/>
      <c r="DQ651" s="59"/>
      <c r="DR651" s="59"/>
      <c r="DS651" s="59"/>
      <c r="DT651" s="59"/>
      <c r="DU651" s="59"/>
      <c r="DV651" s="59"/>
      <c r="DW651" s="59"/>
      <c r="DX651" s="59"/>
      <c r="DY651" s="59"/>
      <c r="DZ651" s="59"/>
      <c r="EA651" s="59"/>
      <c r="EB651" s="59"/>
      <c r="EC651" s="59"/>
      <c r="ED651" s="59"/>
      <c r="EE651" s="59"/>
      <c r="EF651" s="59"/>
      <c r="EG651" s="59"/>
      <c r="EH651" s="59"/>
      <c r="EI651" s="59"/>
      <c r="EJ651" s="59"/>
      <c r="EK651" s="59"/>
      <c r="EL651" s="59"/>
      <c r="EM651" s="59"/>
      <c r="EN651" s="59"/>
      <c r="EO651" s="59"/>
      <c r="EP651" s="59"/>
      <c r="EQ651" s="59"/>
      <c r="ER651" s="59"/>
      <c r="ES651" s="59"/>
      <c r="ET651" s="59"/>
      <c r="EU651" s="59"/>
      <c r="EV651" s="59"/>
      <c r="EW651" s="59"/>
      <c r="EX651" s="59"/>
      <c r="EY651" s="59"/>
      <c r="EZ651" s="59"/>
      <c r="FA651" s="59"/>
      <c r="FB651" s="59"/>
      <c r="FC651" s="59"/>
      <c r="FD651" s="59"/>
      <c r="FE651" s="59"/>
      <c r="FF651" s="59"/>
      <c r="FG651" s="59"/>
      <c r="FH651" s="59"/>
      <c r="FI651" s="59"/>
      <c r="FJ651" s="59"/>
      <c r="FK651" s="59"/>
      <c r="FL651" s="59"/>
      <c r="FM651" s="59"/>
      <c r="FN651" s="59"/>
      <c r="FO651" s="59"/>
      <c r="FP651" s="59"/>
      <c r="FQ651" s="59"/>
      <c r="FR651" s="59"/>
      <c r="FS651" s="59"/>
      <c r="FT651" s="59"/>
      <c r="FU651" s="59"/>
      <c r="FV651" s="59"/>
      <c r="FW651" s="59"/>
      <c r="FX651" s="59"/>
      <c r="FY651" s="59"/>
      <c r="FZ651" s="59"/>
      <c r="GA651" s="59"/>
      <c r="GB651" s="59"/>
      <c r="GC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59"/>
      <c r="CZ652" s="59"/>
      <c r="DA652" s="59"/>
      <c r="DB652" s="59"/>
      <c r="DC652" s="59"/>
      <c r="DD652" s="59"/>
      <c r="DE652" s="59"/>
      <c r="DF652" s="59"/>
      <c r="DG652" s="59"/>
      <c r="DH652" s="59"/>
      <c r="DI652" s="59"/>
      <c r="DJ652" s="59"/>
      <c r="DK652" s="59"/>
      <c r="DL652" s="59"/>
      <c r="DM652" s="59"/>
      <c r="DN652" s="59"/>
      <c r="DO652" s="59"/>
      <c r="DP652" s="59"/>
      <c r="DQ652" s="59"/>
      <c r="DR652" s="59"/>
      <c r="DS652" s="59"/>
      <c r="DT652" s="59"/>
      <c r="DU652" s="59"/>
      <c r="DV652" s="59"/>
      <c r="DW652" s="59"/>
      <c r="DX652" s="59"/>
      <c r="DY652" s="59"/>
      <c r="DZ652" s="59"/>
      <c r="EA652" s="59"/>
      <c r="EB652" s="59"/>
      <c r="EC652" s="59"/>
      <c r="ED652" s="59"/>
      <c r="EE652" s="59"/>
      <c r="EF652" s="59"/>
      <c r="EG652" s="59"/>
      <c r="EH652" s="59"/>
      <c r="EI652" s="59"/>
      <c r="EJ652" s="59"/>
      <c r="EK652" s="59"/>
      <c r="EL652" s="59"/>
      <c r="EM652" s="59"/>
      <c r="EN652" s="59"/>
      <c r="EO652" s="59"/>
      <c r="EP652" s="59"/>
      <c r="EQ652" s="59"/>
      <c r="ER652" s="59"/>
      <c r="ES652" s="59"/>
      <c r="ET652" s="59"/>
      <c r="EU652" s="59"/>
      <c r="EV652" s="59"/>
      <c r="EW652" s="59"/>
      <c r="EX652" s="59"/>
      <c r="EY652" s="59"/>
      <c r="EZ652" s="59"/>
      <c r="FA652" s="59"/>
      <c r="FB652" s="59"/>
      <c r="FC652" s="59"/>
      <c r="FD652" s="59"/>
      <c r="FE652" s="59"/>
      <c r="FF652" s="59"/>
      <c r="FG652" s="59"/>
      <c r="FH652" s="59"/>
      <c r="FI652" s="59"/>
      <c r="FJ652" s="59"/>
      <c r="FK652" s="59"/>
      <c r="FL652" s="59"/>
      <c r="FM652" s="59"/>
      <c r="FN652" s="59"/>
      <c r="FO652" s="59"/>
      <c r="FP652" s="59"/>
      <c r="FQ652" s="59"/>
      <c r="FR652" s="59"/>
      <c r="FS652" s="59"/>
      <c r="FT652" s="59"/>
      <c r="FU652" s="59"/>
      <c r="FV652" s="59"/>
      <c r="FW652" s="59"/>
      <c r="FX652" s="59"/>
      <c r="FY652" s="59"/>
      <c r="FZ652" s="59"/>
      <c r="GA652" s="59"/>
      <c r="GB652" s="59"/>
      <c r="GC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  <c r="CP653" s="59"/>
      <c r="CQ653" s="59"/>
      <c r="CR653" s="59"/>
      <c r="CS653" s="59"/>
      <c r="CT653" s="59"/>
      <c r="CU653" s="59"/>
      <c r="CV653" s="59"/>
      <c r="CW653" s="59"/>
      <c r="CX653" s="59"/>
      <c r="CY653" s="59"/>
      <c r="CZ653" s="59"/>
      <c r="DA653" s="59"/>
      <c r="DB653" s="59"/>
      <c r="DC653" s="59"/>
      <c r="DD653" s="59"/>
      <c r="DE653" s="59"/>
      <c r="DF653" s="59"/>
      <c r="DG653" s="59"/>
      <c r="DH653" s="59"/>
      <c r="DI653" s="59"/>
      <c r="DJ653" s="59"/>
      <c r="DK653" s="59"/>
      <c r="DL653" s="59"/>
      <c r="DM653" s="59"/>
      <c r="DN653" s="59"/>
      <c r="DO653" s="59"/>
      <c r="DP653" s="59"/>
      <c r="DQ653" s="59"/>
      <c r="DR653" s="59"/>
      <c r="DS653" s="59"/>
      <c r="DT653" s="59"/>
      <c r="DU653" s="59"/>
      <c r="DV653" s="59"/>
      <c r="DW653" s="59"/>
      <c r="DX653" s="59"/>
      <c r="DY653" s="59"/>
      <c r="DZ653" s="59"/>
      <c r="EA653" s="59"/>
      <c r="EB653" s="59"/>
      <c r="EC653" s="59"/>
      <c r="ED653" s="59"/>
      <c r="EE653" s="59"/>
      <c r="EF653" s="59"/>
      <c r="EG653" s="59"/>
      <c r="EH653" s="59"/>
      <c r="EI653" s="59"/>
      <c r="EJ653" s="59"/>
      <c r="EK653" s="59"/>
      <c r="EL653" s="59"/>
      <c r="EM653" s="59"/>
      <c r="EN653" s="59"/>
      <c r="EO653" s="59"/>
      <c r="EP653" s="59"/>
      <c r="EQ653" s="59"/>
      <c r="ER653" s="59"/>
      <c r="ES653" s="59"/>
      <c r="ET653" s="59"/>
      <c r="EU653" s="59"/>
      <c r="EV653" s="59"/>
      <c r="EW653" s="59"/>
      <c r="EX653" s="59"/>
      <c r="EY653" s="59"/>
      <c r="EZ653" s="59"/>
      <c r="FA653" s="59"/>
      <c r="FB653" s="59"/>
      <c r="FC653" s="59"/>
      <c r="FD653" s="59"/>
      <c r="FE653" s="59"/>
      <c r="FF653" s="59"/>
      <c r="FG653" s="59"/>
      <c r="FH653" s="59"/>
      <c r="FI653" s="59"/>
      <c r="FJ653" s="59"/>
      <c r="FK653" s="59"/>
      <c r="FL653" s="59"/>
      <c r="FM653" s="59"/>
      <c r="FN653" s="59"/>
      <c r="FO653" s="59"/>
      <c r="FP653" s="59"/>
      <c r="FQ653" s="59"/>
      <c r="FR653" s="59"/>
      <c r="FS653" s="59"/>
      <c r="FT653" s="59"/>
      <c r="FU653" s="59"/>
      <c r="FV653" s="59"/>
      <c r="FW653" s="59"/>
      <c r="FX653" s="59"/>
      <c r="FY653" s="59"/>
      <c r="FZ653" s="59"/>
      <c r="GA653" s="59"/>
      <c r="GB653" s="59"/>
      <c r="GC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  <c r="CP654" s="59"/>
      <c r="CQ654" s="59"/>
      <c r="CR654" s="59"/>
      <c r="CS654" s="59"/>
      <c r="CT654" s="59"/>
      <c r="CU654" s="59"/>
      <c r="CV654" s="59"/>
      <c r="CW654" s="59"/>
      <c r="CX654" s="59"/>
      <c r="CY654" s="59"/>
      <c r="CZ654" s="59"/>
      <c r="DA654" s="59"/>
      <c r="DB654" s="59"/>
      <c r="DC654" s="59"/>
      <c r="DD654" s="59"/>
      <c r="DE654" s="59"/>
      <c r="DF654" s="59"/>
      <c r="DG654" s="59"/>
      <c r="DH654" s="59"/>
      <c r="DI654" s="59"/>
      <c r="DJ654" s="59"/>
      <c r="DK654" s="59"/>
      <c r="DL654" s="59"/>
      <c r="DM654" s="59"/>
      <c r="DN654" s="59"/>
      <c r="DO654" s="59"/>
      <c r="DP654" s="59"/>
      <c r="DQ654" s="59"/>
      <c r="DR654" s="59"/>
      <c r="DS654" s="59"/>
      <c r="DT654" s="59"/>
      <c r="DU654" s="59"/>
      <c r="DV654" s="59"/>
      <c r="DW654" s="59"/>
      <c r="DX654" s="59"/>
      <c r="DY654" s="59"/>
      <c r="DZ654" s="59"/>
      <c r="EA654" s="59"/>
      <c r="EB654" s="59"/>
      <c r="EC654" s="59"/>
      <c r="ED654" s="59"/>
      <c r="EE654" s="59"/>
      <c r="EF654" s="59"/>
      <c r="EG654" s="59"/>
      <c r="EH654" s="59"/>
      <c r="EI654" s="59"/>
      <c r="EJ654" s="59"/>
      <c r="EK654" s="59"/>
      <c r="EL654" s="59"/>
      <c r="EM654" s="59"/>
      <c r="EN654" s="59"/>
      <c r="EO654" s="59"/>
      <c r="EP654" s="59"/>
      <c r="EQ654" s="59"/>
      <c r="ER654" s="59"/>
      <c r="ES654" s="59"/>
      <c r="ET654" s="59"/>
      <c r="EU654" s="59"/>
      <c r="EV654" s="59"/>
      <c r="EW654" s="59"/>
      <c r="EX654" s="59"/>
      <c r="EY654" s="59"/>
      <c r="EZ654" s="59"/>
      <c r="FA654" s="59"/>
      <c r="FB654" s="59"/>
      <c r="FC654" s="59"/>
      <c r="FD654" s="59"/>
      <c r="FE654" s="59"/>
      <c r="FF654" s="59"/>
      <c r="FG654" s="59"/>
      <c r="FH654" s="59"/>
      <c r="FI654" s="59"/>
      <c r="FJ654" s="59"/>
      <c r="FK654" s="59"/>
      <c r="FL654" s="59"/>
      <c r="FM654" s="59"/>
      <c r="FN654" s="59"/>
      <c r="FO654" s="59"/>
      <c r="FP654" s="59"/>
      <c r="FQ654" s="59"/>
      <c r="FR654" s="59"/>
      <c r="FS654" s="59"/>
      <c r="FT654" s="59"/>
      <c r="FU654" s="59"/>
      <c r="FV654" s="59"/>
      <c r="FW654" s="59"/>
      <c r="FX654" s="59"/>
      <c r="FY654" s="59"/>
      <c r="FZ654" s="59"/>
      <c r="GA654" s="59"/>
      <c r="GB654" s="59"/>
      <c r="GC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  <c r="CP655" s="59"/>
      <c r="CQ655" s="59"/>
      <c r="CR655" s="59"/>
      <c r="CS655" s="59"/>
      <c r="CT655" s="59"/>
      <c r="CU655" s="59"/>
      <c r="CV655" s="59"/>
      <c r="CW655" s="59"/>
      <c r="CX655" s="59"/>
      <c r="CY655" s="59"/>
      <c r="CZ655" s="59"/>
      <c r="DA655" s="59"/>
      <c r="DB655" s="59"/>
      <c r="DC655" s="59"/>
      <c r="DD655" s="59"/>
      <c r="DE655" s="59"/>
      <c r="DF655" s="59"/>
      <c r="DG655" s="59"/>
      <c r="DH655" s="59"/>
      <c r="DI655" s="59"/>
      <c r="DJ655" s="59"/>
      <c r="DK655" s="59"/>
      <c r="DL655" s="59"/>
      <c r="DM655" s="59"/>
      <c r="DN655" s="59"/>
      <c r="DO655" s="59"/>
      <c r="DP655" s="59"/>
      <c r="DQ655" s="59"/>
      <c r="DR655" s="59"/>
      <c r="DS655" s="59"/>
      <c r="DT655" s="59"/>
      <c r="DU655" s="59"/>
      <c r="DV655" s="59"/>
      <c r="DW655" s="59"/>
      <c r="DX655" s="59"/>
      <c r="DY655" s="59"/>
      <c r="DZ655" s="59"/>
      <c r="EA655" s="59"/>
      <c r="EB655" s="59"/>
      <c r="EC655" s="59"/>
      <c r="ED655" s="59"/>
      <c r="EE655" s="59"/>
      <c r="EF655" s="59"/>
      <c r="EG655" s="59"/>
      <c r="EH655" s="59"/>
      <c r="EI655" s="59"/>
      <c r="EJ655" s="59"/>
      <c r="EK655" s="59"/>
      <c r="EL655" s="59"/>
      <c r="EM655" s="59"/>
      <c r="EN655" s="59"/>
      <c r="EO655" s="59"/>
      <c r="EP655" s="59"/>
      <c r="EQ655" s="59"/>
      <c r="ER655" s="59"/>
      <c r="ES655" s="59"/>
      <c r="ET655" s="59"/>
      <c r="EU655" s="59"/>
      <c r="EV655" s="59"/>
      <c r="EW655" s="59"/>
      <c r="EX655" s="59"/>
      <c r="EY655" s="59"/>
      <c r="EZ655" s="59"/>
      <c r="FA655" s="59"/>
      <c r="FB655" s="59"/>
      <c r="FC655" s="59"/>
      <c r="FD655" s="59"/>
      <c r="FE655" s="59"/>
      <c r="FF655" s="59"/>
      <c r="FG655" s="59"/>
      <c r="FH655" s="59"/>
      <c r="FI655" s="59"/>
      <c r="FJ655" s="59"/>
      <c r="FK655" s="59"/>
      <c r="FL655" s="59"/>
      <c r="FM655" s="59"/>
      <c r="FN655" s="59"/>
      <c r="FO655" s="59"/>
      <c r="FP655" s="59"/>
      <c r="FQ655" s="59"/>
      <c r="FR655" s="59"/>
      <c r="FS655" s="59"/>
      <c r="FT655" s="59"/>
      <c r="FU655" s="59"/>
      <c r="FV655" s="59"/>
      <c r="FW655" s="59"/>
      <c r="FX655" s="59"/>
      <c r="FY655" s="59"/>
      <c r="FZ655" s="59"/>
      <c r="GA655" s="59"/>
      <c r="GB655" s="59"/>
      <c r="GC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  <c r="CP656" s="59"/>
      <c r="CQ656" s="59"/>
      <c r="CR656" s="59"/>
      <c r="CS656" s="59"/>
      <c r="CT656" s="59"/>
      <c r="CU656" s="59"/>
      <c r="CV656" s="59"/>
      <c r="CW656" s="59"/>
      <c r="CX656" s="59"/>
      <c r="CY656" s="59"/>
      <c r="CZ656" s="59"/>
      <c r="DA656" s="59"/>
      <c r="DB656" s="59"/>
      <c r="DC656" s="59"/>
      <c r="DD656" s="59"/>
      <c r="DE656" s="59"/>
      <c r="DF656" s="59"/>
      <c r="DG656" s="59"/>
      <c r="DH656" s="59"/>
      <c r="DI656" s="59"/>
      <c r="DJ656" s="59"/>
      <c r="DK656" s="59"/>
      <c r="DL656" s="59"/>
      <c r="DM656" s="59"/>
      <c r="DN656" s="59"/>
      <c r="DO656" s="59"/>
      <c r="DP656" s="59"/>
      <c r="DQ656" s="59"/>
      <c r="DR656" s="59"/>
      <c r="DS656" s="59"/>
      <c r="DT656" s="59"/>
      <c r="DU656" s="59"/>
      <c r="DV656" s="59"/>
      <c r="DW656" s="59"/>
      <c r="DX656" s="59"/>
      <c r="DY656" s="59"/>
      <c r="DZ656" s="59"/>
      <c r="EA656" s="59"/>
      <c r="EB656" s="59"/>
      <c r="EC656" s="59"/>
      <c r="ED656" s="59"/>
      <c r="EE656" s="59"/>
      <c r="EF656" s="59"/>
      <c r="EG656" s="59"/>
      <c r="EH656" s="59"/>
      <c r="EI656" s="59"/>
      <c r="EJ656" s="59"/>
      <c r="EK656" s="59"/>
      <c r="EL656" s="59"/>
      <c r="EM656" s="59"/>
      <c r="EN656" s="59"/>
      <c r="EO656" s="59"/>
      <c r="EP656" s="59"/>
      <c r="EQ656" s="59"/>
      <c r="ER656" s="59"/>
      <c r="ES656" s="59"/>
      <c r="ET656" s="59"/>
      <c r="EU656" s="59"/>
      <c r="EV656" s="59"/>
      <c r="EW656" s="59"/>
      <c r="EX656" s="59"/>
      <c r="EY656" s="59"/>
      <c r="EZ656" s="59"/>
      <c r="FA656" s="59"/>
      <c r="FB656" s="59"/>
      <c r="FC656" s="59"/>
      <c r="FD656" s="59"/>
      <c r="FE656" s="59"/>
      <c r="FF656" s="59"/>
      <c r="FG656" s="59"/>
      <c r="FH656" s="59"/>
      <c r="FI656" s="59"/>
      <c r="FJ656" s="59"/>
      <c r="FK656" s="59"/>
      <c r="FL656" s="59"/>
      <c r="FM656" s="59"/>
      <c r="FN656" s="59"/>
      <c r="FO656" s="59"/>
      <c r="FP656" s="59"/>
      <c r="FQ656" s="59"/>
      <c r="FR656" s="59"/>
      <c r="FS656" s="59"/>
      <c r="FT656" s="59"/>
      <c r="FU656" s="59"/>
      <c r="FV656" s="59"/>
      <c r="FW656" s="59"/>
      <c r="FX656" s="59"/>
      <c r="FY656" s="59"/>
      <c r="FZ656" s="59"/>
      <c r="GA656" s="59"/>
      <c r="GB656" s="59"/>
      <c r="GC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  <c r="CP657" s="59"/>
      <c r="CQ657" s="59"/>
      <c r="CR657" s="59"/>
      <c r="CS657" s="59"/>
      <c r="CT657" s="59"/>
      <c r="CU657" s="59"/>
      <c r="CV657" s="59"/>
      <c r="CW657" s="59"/>
      <c r="CX657" s="59"/>
      <c r="CY657" s="59"/>
      <c r="CZ657" s="59"/>
      <c r="DA657" s="59"/>
      <c r="DB657" s="59"/>
      <c r="DC657" s="59"/>
      <c r="DD657" s="59"/>
      <c r="DE657" s="59"/>
      <c r="DF657" s="59"/>
      <c r="DG657" s="59"/>
      <c r="DH657" s="59"/>
      <c r="DI657" s="59"/>
      <c r="DJ657" s="59"/>
      <c r="DK657" s="59"/>
      <c r="DL657" s="59"/>
      <c r="DM657" s="59"/>
      <c r="DN657" s="59"/>
      <c r="DO657" s="59"/>
      <c r="DP657" s="59"/>
      <c r="DQ657" s="59"/>
      <c r="DR657" s="59"/>
      <c r="DS657" s="59"/>
      <c r="DT657" s="59"/>
      <c r="DU657" s="59"/>
      <c r="DV657" s="59"/>
      <c r="DW657" s="59"/>
      <c r="DX657" s="59"/>
      <c r="DY657" s="59"/>
      <c r="DZ657" s="59"/>
      <c r="EA657" s="59"/>
      <c r="EB657" s="59"/>
      <c r="EC657" s="59"/>
      <c r="ED657" s="59"/>
      <c r="EE657" s="59"/>
      <c r="EF657" s="59"/>
      <c r="EG657" s="59"/>
      <c r="EH657" s="59"/>
      <c r="EI657" s="59"/>
      <c r="EJ657" s="59"/>
      <c r="EK657" s="59"/>
      <c r="EL657" s="59"/>
      <c r="EM657" s="59"/>
      <c r="EN657" s="59"/>
      <c r="EO657" s="59"/>
      <c r="EP657" s="59"/>
      <c r="EQ657" s="59"/>
      <c r="ER657" s="59"/>
      <c r="ES657" s="59"/>
      <c r="ET657" s="59"/>
      <c r="EU657" s="59"/>
      <c r="EV657" s="59"/>
      <c r="EW657" s="59"/>
      <c r="EX657" s="59"/>
      <c r="EY657" s="59"/>
      <c r="EZ657" s="59"/>
      <c r="FA657" s="59"/>
      <c r="FB657" s="59"/>
      <c r="FC657" s="59"/>
      <c r="FD657" s="59"/>
      <c r="FE657" s="59"/>
      <c r="FF657" s="59"/>
      <c r="FG657" s="59"/>
      <c r="FH657" s="59"/>
      <c r="FI657" s="59"/>
      <c r="FJ657" s="59"/>
      <c r="FK657" s="59"/>
      <c r="FL657" s="59"/>
      <c r="FM657" s="59"/>
      <c r="FN657" s="59"/>
      <c r="FO657" s="59"/>
      <c r="FP657" s="59"/>
      <c r="FQ657" s="59"/>
      <c r="FR657" s="59"/>
      <c r="FS657" s="59"/>
      <c r="FT657" s="59"/>
      <c r="FU657" s="59"/>
      <c r="FV657" s="59"/>
      <c r="FW657" s="59"/>
      <c r="FX657" s="59"/>
      <c r="FY657" s="59"/>
      <c r="FZ657" s="59"/>
      <c r="GA657" s="59"/>
      <c r="GB657" s="59"/>
      <c r="GC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  <c r="CP658" s="59"/>
      <c r="CQ658" s="59"/>
      <c r="CR658" s="59"/>
      <c r="CS658" s="59"/>
      <c r="CT658" s="59"/>
      <c r="CU658" s="59"/>
      <c r="CV658" s="59"/>
      <c r="CW658" s="59"/>
      <c r="CX658" s="59"/>
      <c r="CY658" s="59"/>
      <c r="CZ658" s="59"/>
      <c r="DA658" s="59"/>
      <c r="DB658" s="59"/>
      <c r="DC658" s="59"/>
      <c r="DD658" s="59"/>
      <c r="DE658" s="59"/>
      <c r="DF658" s="59"/>
      <c r="DG658" s="59"/>
      <c r="DH658" s="59"/>
      <c r="DI658" s="59"/>
      <c r="DJ658" s="59"/>
      <c r="DK658" s="59"/>
      <c r="DL658" s="59"/>
      <c r="DM658" s="59"/>
      <c r="DN658" s="59"/>
      <c r="DO658" s="59"/>
      <c r="DP658" s="59"/>
      <c r="DQ658" s="59"/>
      <c r="DR658" s="59"/>
      <c r="DS658" s="59"/>
      <c r="DT658" s="59"/>
      <c r="DU658" s="59"/>
      <c r="DV658" s="59"/>
      <c r="DW658" s="59"/>
      <c r="DX658" s="59"/>
      <c r="DY658" s="59"/>
      <c r="DZ658" s="59"/>
      <c r="EA658" s="59"/>
      <c r="EB658" s="59"/>
      <c r="EC658" s="59"/>
      <c r="ED658" s="59"/>
      <c r="EE658" s="59"/>
      <c r="EF658" s="59"/>
      <c r="EG658" s="59"/>
      <c r="EH658" s="59"/>
      <c r="EI658" s="59"/>
      <c r="EJ658" s="59"/>
      <c r="EK658" s="59"/>
      <c r="EL658" s="59"/>
      <c r="EM658" s="59"/>
      <c r="EN658" s="59"/>
      <c r="EO658" s="59"/>
      <c r="EP658" s="59"/>
      <c r="EQ658" s="59"/>
      <c r="ER658" s="59"/>
      <c r="ES658" s="59"/>
      <c r="ET658" s="59"/>
      <c r="EU658" s="59"/>
      <c r="EV658" s="59"/>
      <c r="EW658" s="59"/>
      <c r="EX658" s="59"/>
      <c r="EY658" s="59"/>
      <c r="EZ658" s="59"/>
      <c r="FA658" s="59"/>
      <c r="FB658" s="59"/>
      <c r="FC658" s="59"/>
      <c r="FD658" s="59"/>
      <c r="FE658" s="59"/>
      <c r="FF658" s="59"/>
      <c r="FG658" s="59"/>
      <c r="FH658" s="59"/>
      <c r="FI658" s="59"/>
      <c r="FJ658" s="59"/>
      <c r="FK658" s="59"/>
      <c r="FL658" s="59"/>
      <c r="FM658" s="59"/>
      <c r="FN658" s="59"/>
      <c r="FO658" s="59"/>
      <c r="FP658" s="59"/>
      <c r="FQ658" s="59"/>
      <c r="FR658" s="59"/>
      <c r="FS658" s="59"/>
      <c r="FT658" s="59"/>
      <c r="FU658" s="59"/>
      <c r="FV658" s="59"/>
      <c r="FW658" s="59"/>
      <c r="FX658" s="59"/>
      <c r="FY658" s="59"/>
      <c r="FZ658" s="59"/>
      <c r="GA658" s="59"/>
      <c r="GB658" s="59"/>
      <c r="GC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  <c r="CP659" s="59"/>
      <c r="CQ659" s="59"/>
      <c r="CR659" s="59"/>
      <c r="CS659" s="59"/>
      <c r="CT659" s="59"/>
      <c r="CU659" s="59"/>
      <c r="CV659" s="59"/>
      <c r="CW659" s="59"/>
      <c r="CX659" s="59"/>
      <c r="CY659" s="59"/>
      <c r="CZ659" s="59"/>
      <c r="DA659" s="59"/>
      <c r="DB659" s="59"/>
      <c r="DC659" s="59"/>
      <c r="DD659" s="59"/>
      <c r="DE659" s="59"/>
      <c r="DF659" s="59"/>
      <c r="DG659" s="59"/>
      <c r="DH659" s="59"/>
      <c r="DI659" s="59"/>
      <c r="DJ659" s="59"/>
      <c r="DK659" s="59"/>
      <c r="DL659" s="59"/>
      <c r="DM659" s="59"/>
      <c r="DN659" s="59"/>
      <c r="DO659" s="59"/>
      <c r="DP659" s="59"/>
      <c r="DQ659" s="59"/>
      <c r="DR659" s="59"/>
      <c r="DS659" s="59"/>
      <c r="DT659" s="59"/>
      <c r="DU659" s="59"/>
      <c r="DV659" s="59"/>
      <c r="DW659" s="59"/>
      <c r="DX659" s="59"/>
      <c r="DY659" s="59"/>
      <c r="DZ659" s="59"/>
      <c r="EA659" s="59"/>
      <c r="EB659" s="59"/>
      <c r="EC659" s="59"/>
      <c r="ED659" s="59"/>
      <c r="EE659" s="59"/>
      <c r="EF659" s="59"/>
      <c r="EG659" s="59"/>
      <c r="EH659" s="59"/>
      <c r="EI659" s="59"/>
      <c r="EJ659" s="59"/>
      <c r="EK659" s="59"/>
      <c r="EL659" s="59"/>
      <c r="EM659" s="59"/>
      <c r="EN659" s="59"/>
      <c r="EO659" s="59"/>
      <c r="EP659" s="59"/>
      <c r="EQ659" s="59"/>
      <c r="ER659" s="59"/>
      <c r="ES659" s="59"/>
      <c r="ET659" s="59"/>
      <c r="EU659" s="59"/>
      <c r="EV659" s="59"/>
      <c r="EW659" s="59"/>
      <c r="EX659" s="59"/>
      <c r="EY659" s="59"/>
      <c r="EZ659" s="59"/>
      <c r="FA659" s="59"/>
      <c r="FB659" s="59"/>
      <c r="FC659" s="59"/>
      <c r="FD659" s="59"/>
      <c r="FE659" s="59"/>
      <c r="FF659" s="59"/>
      <c r="FG659" s="59"/>
      <c r="FH659" s="59"/>
      <c r="FI659" s="59"/>
      <c r="FJ659" s="59"/>
      <c r="FK659" s="59"/>
      <c r="FL659" s="59"/>
      <c r="FM659" s="59"/>
      <c r="FN659" s="59"/>
      <c r="FO659" s="59"/>
      <c r="FP659" s="59"/>
      <c r="FQ659" s="59"/>
      <c r="FR659" s="59"/>
      <c r="FS659" s="59"/>
      <c r="FT659" s="59"/>
      <c r="FU659" s="59"/>
      <c r="FV659" s="59"/>
      <c r="FW659" s="59"/>
      <c r="FX659" s="59"/>
      <c r="FY659" s="59"/>
      <c r="FZ659" s="59"/>
      <c r="GA659" s="59"/>
      <c r="GB659" s="59"/>
      <c r="GC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  <c r="CP660" s="59"/>
      <c r="CQ660" s="59"/>
      <c r="CR660" s="59"/>
      <c r="CS660" s="59"/>
      <c r="CT660" s="59"/>
      <c r="CU660" s="59"/>
      <c r="CV660" s="59"/>
      <c r="CW660" s="59"/>
      <c r="CX660" s="59"/>
      <c r="CY660" s="59"/>
      <c r="CZ660" s="59"/>
      <c r="DA660" s="59"/>
      <c r="DB660" s="59"/>
      <c r="DC660" s="59"/>
      <c r="DD660" s="59"/>
      <c r="DE660" s="59"/>
      <c r="DF660" s="59"/>
      <c r="DG660" s="59"/>
      <c r="DH660" s="59"/>
      <c r="DI660" s="59"/>
      <c r="DJ660" s="59"/>
      <c r="DK660" s="59"/>
      <c r="DL660" s="59"/>
      <c r="DM660" s="59"/>
      <c r="DN660" s="59"/>
      <c r="DO660" s="59"/>
      <c r="DP660" s="59"/>
      <c r="DQ660" s="59"/>
      <c r="DR660" s="59"/>
      <c r="DS660" s="59"/>
      <c r="DT660" s="59"/>
      <c r="DU660" s="59"/>
      <c r="DV660" s="59"/>
      <c r="DW660" s="59"/>
      <c r="DX660" s="59"/>
      <c r="DY660" s="59"/>
      <c r="DZ660" s="59"/>
      <c r="EA660" s="59"/>
      <c r="EB660" s="59"/>
      <c r="EC660" s="59"/>
      <c r="ED660" s="59"/>
      <c r="EE660" s="59"/>
      <c r="EF660" s="59"/>
      <c r="EG660" s="59"/>
      <c r="EH660" s="59"/>
      <c r="EI660" s="59"/>
      <c r="EJ660" s="59"/>
      <c r="EK660" s="59"/>
      <c r="EL660" s="59"/>
      <c r="EM660" s="59"/>
      <c r="EN660" s="59"/>
      <c r="EO660" s="59"/>
      <c r="EP660" s="59"/>
      <c r="EQ660" s="59"/>
      <c r="ER660" s="59"/>
      <c r="ES660" s="59"/>
      <c r="ET660" s="59"/>
      <c r="EU660" s="59"/>
      <c r="EV660" s="59"/>
      <c r="EW660" s="59"/>
      <c r="EX660" s="59"/>
      <c r="EY660" s="59"/>
      <c r="EZ660" s="59"/>
      <c r="FA660" s="59"/>
      <c r="FB660" s="59"/>
      <c r="FC660" s="59"/>
      <c r="FD660" s="59"/>
      <c r="FE660" s="59"/>
      <c r="FF660" s="59"/>
      <c r="FG660" s="59"/>
      <c r="FH660" s="59"/>
      <c r="FI660" s="59"/>
      <c r="FJ660" s="59"/>
      <c r="FK660" s="59"/>
      <c r="FL660" s="59"/>
      <c r="FM660" s="59"/>
      <c r="FN660" s="59"/>
      <c r="FO660" s="59"/>
      <c r="FP660" s="59"/>
      <c r="FQ660" s="59"/>
      <c r="FR660" s="59"/>
      <c r="FS660" s="59"/>
      <c r="FT660" s="59"/>
      <c r="FU660" s="59"/>
      <c r="FV660" s="59"/>
      <c r="FW660" s="59"/>
      <c r="FX660" s="59"/>
      <c r="FY660" s="59"/>
      <c r="FZ660" s="59"/>
      <c r="GA660" s="59"/>
      <c r="GB660" s="59"/>
      <c r="GC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59"/>
      <c r="BX661" s="59"/>
      <c r="BY661" s="59"/>
      <c r="BZ661" s="59"/>
      <c r="CA661" s="59"/>
      <c r="CB661" s="59"/>
      <c r="CC661" s="59"/>
      <c r="CD661" s="59"/>
      <c r="CE661" s="59"/>
      <c r="CF661" s="59"/>
      <c r="CG661" s="59"/>
      <c r="CH661" s="59"/>
      <c r="CI661" s="59"/>
      <c r="CJ661" s="59"/>
      <c r="CK661" s="59"/>
      <c r="CL661" s="59"/>
      <c r="CM661" s="59"/>
      <c r="CN661" s="59"/>
      <c r="CO661" s="59"/>
      <c r="CP661" s="59"/>
      <c r="CQ661" s="59"/>
      <c r="CR661" s="59"/>
      <c r="CS661" s="59"/>
      <c r="CT661" s="59"/>
      <c r="CU661" s="59"/>
      <c r="CV661" s="59"/>
      <c r="CW661" s="59"/>
      <c r="CX661" s="59"/>
      <c r="CY661" s="59"/>
      <c r="CZ661" s="59"/>
      <c r="DA661" s="59"/>
      <c r="DB661" s="59"/>
      <c r="DC661" s="59"/>
      <c r="DD661" s="59"/>
      <c r="DE661" s="59"/>
      <c r="DF661" s="59"/>
      <c r="DG661" s="59"/>
      <c r="DH661" s="59"/>
      <c r="DI661" s="59"/>
      <c r="DJ661" s="59"/>
      <c r="DK661" s="59"/>
      <c r="DL661" s="59"/>
      <c r="DM661" s="59"/>
      <c r="DN661" s="59"/>
      <c r="DO661" s="59"/>
      <c r="DP661" s="59"/>
      <c r="DQ661" s="59"/>
      <c r="DR661" s="59"/>
      <c r="DS661" s="59"/>
      <c r="DT661" s="59"/>
      <c r="DU661" s="59"/>
      <c r="DV661" s="59"/>
      <c r="DW661" s="59"/>
      <c r="DX661" s="59"/>
      <c r="DY661" s="59"/>
      <c r="DZ661" s="59"/>
      <c r="EA661" s="59"/>
      <c r="EB661" s="59"/>
      <c r="EC661" s="59"/>
      <c r="ED661" s="59"/>
      <c r="EE661" s="59"/>
      <c r="EF661" s="59"/>
      <c r="EG661" s="59"/>
      <c r="EH661" s="59"/>
      <c r="EI661" s="59"/>
      <c r="EJ661" s="59"/>
      <c r="EK661" s="59"/>
      <c r="EL661" s="59"/>
      <c r="EM661" s="59"/>
      <c r="EN661" s="59"/>
      <c r="EO661" s="59"/>
      <c r="EP661" s="59"/>
      <c r="EQ661" s="59"/>
      <c r="ER661" s="59"/>
      <c r="ES661" s="59"/>
      <c r="ET661" s="59"/>
      <c r="EU661" s="59"/>
      <c r="EV661" s="59"/>
      <c r="EW661" s="59"/>
      <c r="EX661" s="59"/>
      <c r="EY661" s="59"/>
      <c r="EZ661" s="59"/>
      <c r="FA661" s="59"/>
      <c r="FB661" s="59"/>
      <c r="FC661" s="59"/>
      <c r="FD661" s="59"/>
      <c r="FE661" s="59"/>
      <c r="FF661" s="59"/>
      <c r="FG661" s="59"/>
      <c r="FH661" s="59"/>
      <c r="FI661" s="59"/>
      <c r="FJ661" s="59"/>
      <c r="FK661" s="59"/>
      <c r="FL661" s="59"/>
      <c r="FM661" s="59"/>
      <c r="FN661" s="59"/>
      <c r="FO661" s="59"/>
      <c r="FP661" s="59"/>
      <c r="FQ661" s="59"/>
      <c r="FR661" s="59"/>
      <c r="FS661" s="59"/>
      <c r="FT661" s="59"/>
      <c r="FU661" s="59"/>
      <c r="FV661" s="59"/>
      <c r="FW661" s="59"/>
      <c r="FX661" s="59"/>
      <c r="FY661" s="59"/>
      <c r="FZ661" s="59"/>
      <c r="GA661" s="59"/>
      <c r="GB661" s="59"/>
      <c r="GC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59"/>
      <c r="CD662" s="59"/>
      <c r="CE662" s="59"/>
      <c r="CF662" s="59"/>
      <c r="CG662" s="59"/>
      <c r="CH662" s="59"/>
      <c r="CI662" s="59"/>
      <c r="CJ662" s="59"/>
      <c r="CK662" s="59"/>
      <c r="CL662" s="59"/>
      <c r="CM662" s="59"/>
      <c r="CN662" s="59"/>
      <c r="CO662" s="59"/>
      <c r="CP662" s="59"/>
      <c r="CQ662" s="59"/>
      <c r="CR662" s="59"/>
      <c r="CS662" s="59"/>
      <c r="CT662" s="59"/>
      <c r="CU662" s="59"/>
      <c r="CV662" s="59"/>
      <c r="CW662" s="59"/>
      <c r="CX662" s="59"/>
      <c r="CY662" s="59"/>
      <c r="CZ662" s="59"/>
      <c r="DA662" s="59"/>
      <c r="DB662" s="59"/>
      <c r="DC662" s="59"/>
      <c r="DD662" s="59"/>
      <c r="DE662" s="59"/>
      <c r="DF662" s="59"/>
      <c r="DG662" s="59"/>
      <c r="DH662" s="59"/>
      <c r="DI662" s="59"/>
      <c r="DJ662" s="59"/>
      <c r="DK662" s="59"/>
      <c r="DL662" s="59"/>
      <c r="DM662" s="59"/>
      <c r="DN662" s="59"/>
      <c r="DO662" s="59"/>
      <c r="DP662" s="59"/>
      <c r="DQ662" s="59"/>
      <c r="DR662" s="59"/>
      <c r="DS662" s="59"/>
      <c r="DT662" s="59"/>
      <c r="DU662" s="59"/>
      <c r="DV662" s="59"/>
      <c r="DW662" s="59"/>
      <c r="DX662" s="59"/>
      <c r="DY662" s="59"/>
      <c r="DZ662" s="59"/>
      <c r="EA662" s="59"/>
      <c r="EB662" s="59"/>
      <c r="EC662" s="59"/>
      <c r="ED662" s="59"/>
      <c r="EE662" s="59"/>
      <c r="EF662" s="59"/>
      <c r="EG662" s="59"/>
      <c r="EH662" s="59"/>
      <c r="EI662" s="59"/>
      <c r="EJ662" s="59"/>
      <c r="EK662" s="59"/>
      <c r="EL662" s="59"/>
      <c r="EM662" s="59"/>
      <c r="EN662" s="59"/>
      <c r="EO662" s="59"/>
      <c r="EP662" s="59"/>
      <c r="EQ662" s="59"/>
      <c r="ER662" s="59"/>
      <c r="ES662" s="59"/>
      <c r="ET662" s="59"/>
      <c r="EU662" s="59"/>
      <c r="EV662" s="59"/>
      <c r="EW662" s="59"/>
      <c r="EX662" s="59"/>
      <c r="EY662" s="59"/>
      <c r="EZ662" s="59"/>
      <c r="FA662" s="59"/>
      <c r="FB662" s="59"/>
      <c r="FC662" s="59"/>
      <c r="FD662" s="59"/>
      <c r="FE662" s="59"/>
      <c r="FF662" s="59"/>
      <c r="FG662" s="59"/>
      <c r="FH662" s="59"/>
      <c r="FI662" s="59"/>
      <c r="FJ662" s="59"/>
      <c r="FK662" s="59"/>
      <c r="FL662" s="59"/>
      <c r="FM662" s="59"/>
      <c r="FN662" s="59"/>
      <c r="FO662" s="59"/>
      <c r="FP662" s="59"/>
      <c r="FQ662" s="59"/>
      <c r="FR662" s="59"/>
      <c r="FS662" s="59"/>
      <c r="FT662" s="59"/>
      <c r="FU662" s="59"/>
      <c r="FV662" s="59"/>
      <c r="FW662" s="59"/>
      <c r="FX662" s="59"/>
      <c r="FY662" s="59"/>
      <c r="FZ662" s="59"/>
      <c r="GA662" s="59"/>
      <c r="GB662" s="59"/>
      <c r="GC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59"/>
      <c r="BX663" s="59"/>
      <c r="BY663" s="59"/>
      <c r="BZ663" s="59"/>
      <c r="CA663" s="59"/>
      <c r="CB663" s="59"/>
      <c r="CC663" s="59"/>
      <c r="CD663" s="59"/>
      <c r="CE663" s="59"/>
      <c r="CF663" s="59"/>
      <c r="CG663" s="59"/>
      <c r="CH663" s="59"/>
      <c r="CI663" s="59"/>
      <c r="CJ663" s="59"/>
      <c r="CK663" s="59"/>
      <c r="CL663" s="59"/>
      <c r="CM663" s="59"/>
      <c r="CN663" s="59"/>
      <c r="CO663" s="59"/>
      <c r="CP663" s="59"/>
      <c r="CQ663" s="59"/>
      <c r="CR663" s="59"/>
      <c r="CS663" s="59"/>
      <c r="CT663" s="59"/>
      <c r="CU663" s="59"/>
      <c r="CV663" s="59"/>
      <c r="CW663" s="59"/>
      <c r="CX663" s="59"/>
      <c r="CY663" s="59"/>
      <c r="CZ663" s="59"/>
      <c r="DA663" s="59"/>
      <c r="DB663" s="59"/>
      <c r="DC663" s="59"/>
      <c r="DD663" s="59"/>
      <c r="DE663" s="59"/>
      <c r="DF663" s="59"/>
      <c r="DG663" s="59"/>
      <c r="DH663" s="59"/>
      <c r="DI663" s="59"/>
      <c r="DJ663" s="59"/>
      <c r="DK663" s="59"/>
      <c r="DL663" s="59"/>
      <c r="DM663" s="59"/>
      <c r="DN663" s="59"/>
      <c r="DO663" s="59"/>
      <c r="DP663" s="59"/>
      <c r="DQ663" s="59"/>
      <c r="DR663" s="59"/>
      <c r="DS663" s="59"/>
      <c r="DT663" s="59"/>
      <c r="DU663" s="59"/>
      <c r="DV663" s="59"/>
      <c r="DW663" s="59"/>
      <c r="DX663" s="59"/>
      <c r="DY663" s="59"/>
      <c r="DZ663" s="59"/>
      <c r="EA663" s="59"/>
      <c r="EB663" s="59"/>
      <c r="EC663" s="59"/>
      <c r="ED663" s="59"/>
      <c r="EE663" s="59"/>
      <c r="EF663" s="59"/>
      <c r="EG663" s="59"/>
      <c r="EH663" s="59"/>
      <c r="EI663" s="59"/>
      <c r="EJ663" s="59"/>
      <c r="EK663" s="59"/>
      <c r="EL663" s="59"/>
      <c r="EM663" s="59"/>
      <c r="EN663" s="59"/>
      <c r="EO663" s="59"/>
      <c r="EP663" s="59"/>
      <c r="EQ663" s="59"/>
      <c r="ER663" s="59"/>
      <c r="ES663" s="59"/>
      <c r="ET663" s="59"/>
      <c r="EU663" s="59"/>
      <c r="EV663" s="59"/>
      <c r="EW663" s="59"/>
      <c r="EX663" s="59"/>
      <c r="EY663" s="59"/>
      <c r="EZ663" s="59"/>
      <c r="FA663" s="59"/>
      <c r="FB663" s="59"/>
      <c r="FC663" s="59"/>
      <c r="FD663" s="59"/>
      <c r="FE663" s="59"/>
      <c r="FF663" s="59"/>
      <c r="FG663" s="59"/>
      <c r="FH663" s="59"/>
      <c r="FI663" s="59"/>
      <c r="FJ663" s="59"/>
      <c r="FK663" s="59"/>
      <c r="FL663" s="59"/>
      <c r="FM663" s="59"/>
      <c r="FN663" s="59"/>
      <c r="FO663" s="59"/>
      <c r="FP663" s="59"/>
      <c r="FQ663" s="59"/>
      <c r="FR663" s="59"/>
      <c r="FS663" s="59"/>
      <c r="FT663" s="59"/>
      <c r="FU663" s="59"/>
      <c r="FV663" s="59"/>
      <c r="FW663" s="59"/>
      <c r="FX663" s="59"/>
      <c r="FY663" s="59"/>
      <c r="FZ663" s="59"/>
      <c r="GA663" s="59"/>
      <c r="GB663" s="59"/>
      <c r="GC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59"/>
      <c r="BX664" s="59"/>
      <c r="BY664" s="59"/>
      <c r="BZ664" s="59"/>
      <c r="CA664" s="59"/>
      <c r="CB664" s="59"/>
      <c r="CC664" s="59"/>
      <c r="CD664" s="59"/>
      <c r="CE664" s="59"/>
      <c r="CF664" s="59"/>
      <c r="CG664" s="59"/>
      <c r="CH664" s="59"/>
      <c r="CI664" s="59"/>
      <c r="CJ664" s="59"/>
      <c r="CK664" s="59"/>
      <c r="CL664" s="59"/>
      <c r="CM664" s="59"/>
      <c r="CN664" s="59"/>
      <c r="CO664" s="59"/>
      <c r="CP664" s="59"/>
      <c r="CQ664" s="59"/>
      <c r="CR664" s="59"/>
      <c r="CS664" s="59"/>
      <c r="CT664" s="59"/>
      <c r="CU664" s="59"/>
      <c r="CV664" s="59"/>
      <c r="CW664" s="59"/>
      <c r="CX664" s="59"/>
      <c r="CY664" s="59"/>
      <c r="CZ664" s="59"/>
      <c r="DA664" s="59"/>
      <c r="DB664" s="59"/>
      <c r="DC664" s="59"/>
      <c r="DD664" s="59"/>
      <c r="DE664" s="59"/>
      <c r="DF664" s="59"/>
      <c r="DG664" s="59"/>
      <c r="DH664" s="59"/>
      <c r="DI664" s="59"/>
      <c r="DJ664" s="59"/>
      <c r="DK664" s="59"/>
      <c r="DL664" s="59"/>
      <c r="DM664" s="59"/>
      <c r="DN664" s="59"/>
      <c r="DO664" s="59"/>
      <c r="DP664" s="59"/>
      <c r="DQ664" s="59"/>
      <c r="DR664" s="59"/>
      <c r="DS664" s="59"/>
      <c r="DT664" s="59"/>
      <c r="DU664" s="59"/>
      <c r="DV664" s="59"/>
      <c r="DW664" s="59"/>
      <c r="DX664" s="59"/>
      <c r="DY664" s="59"/>
      <c r="DZ664" s="59"/>
      <c r="EA664" s="59"/>
      <c r="EB664" s="59"/>
      <c r="EC664" s="59"/>
      <c r="ED664" s="59"/>
      <c r="EE664" s="59"/>
      <c r="EF664" s="59"/>
      <c r="EG664" s="59"/>
      <c r="EH664" s="59"/>
      <c r="EI664" s="59"/>
      <c r="EJ664" s="59"/>
      <c r="EK664" s="59"/>
      <c r="EL664" s="59"/>
      <c r="EM664" s="59"/>
      <c r="EN664" s="59"/>
      <c r="EO664" s="59"/>
      <c r="EP664" s="59"/>
      <c r="EQ664" s="59"/>
      <c r="ER664" s="59"/>
      <c r="ES664" s="59"/>
      <c r="ET664" s="59"/>
      <c r="EU664" s="59"/>
      <c r="EV664" s="59"/>
      <c r="EW664" s="59"/>
      <c r="EX664" s="59"/>
      <c r="EY664" s="59"/>
      <c r="EZ664" s="59"/>
      <c r="FA664" s="59"/>
      <c r="FB664" s="59"/>
      <c r="FC664" s="59"/>
      <c r="FD664" s="59"/>
      <c r="FE664" s="59"/>
      <c r="FF664" s="59"/>
      <c r="FG664" s="59"/>
      <c r="FH664" s="59"/>
      <c r="FI664" s="59"/>
      <c r="FJ664" s="59"/>
      <c r="FK664" s="59"/>
      <c r="FL664" s="59"/>
      <c r="FM664" s="59"/>
      <c r="FN664" s="59"/>
      <c r="FO664" s="59"/>
      <c r="FP664" s="59"/>
      <c r="FQ664" s="59"/>
      <c r="FR664" s="59"/>
      <c r="FS664" s="59"/>
      <c r="FT664" s="59"/>
      <c r="FU664" s="59"/>
      <c r="FV664" s="59"/>
      <c r="FW664" s="59"/>
      <c r="FX664" s="59"/>
      <c r="FY664" s="59"/>
      <c r="FZ664" s="59"/>
      <c r="GA664" s="59"/>
      <c r="GB664" s="59"/>
      <c r="GC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59"/>
      <c r="BX665" s="59"/>
      <c r="BY665" s="59"/>
      <c r="BZ665" s="59"/>
      <c r="CA665" s="59"/>
      <c r="CB665" s="59"/>
      <c r="CC665" s="59"/>
      <c r="CD665" s="59"/>
      <c r="CE665" s="59"/>
      <c r="CF665" s="59"/>
      <c r="CG665" s="59"/>
      <c r="CH665" s="59"/>
      <c r="CI665" s="59"/>
      <c r="CJ665" s="59"/>
      <c r="CK665" s="59"/>
      <c r="CL665" s="59"/>
      <c r="CM665" s="59"/>
      <c r="CN665" s="59"/>
      <c r="CO665" s="59"/>
      <c r="CP665" s="59"/>
      <c r="CQ665" s="59"/>
      <c r="CR665" s="59"/>
      <c r="CS665" s="59"/>
      <c r="CT665" s="59"/>
      <c r="CU665" s="59"/>
      <c r="CV665" s="59"/>
      <c r="CW665" s="59"/>
      <c r="CX665" s="59"/>
      <c r="CY665" s="59"/>
      <c r="CZ665" s="59"/>
      <c r="DA665" s="59"/>
      <c r="DB665" s="59"/>
      <c r="DC665" s="59"/>
      <c r="DD665" s="59"/>
      <c r="DE665" s="59"/>
      <c r="DF665" s="59"/>
      <c r="DG665" s="59"/>
      <c r="DH665" s="59"/>
      <c r="DI665" s="59"/>
      <c r="DJ665" s="59"/>
      <c r="DK665" s="59"/>
      <c r="DL665" s="59"/>
      <c r="DM665" s="59"/>
      <c r="DN665" s="59"/>
      <c r="DO665" s="59"/>
      <c r="DP665" s="59"/>
      <c r="DQ665" s="59"/>
      <c r="DR665" s="59"/>
      <c r="DS665" s="59"/>
      <c r="DT665" s="59"/>
      <c r="DU665" s="59"/>
      <c r="DV665" s="59"/>
      <c r="DW665" s="59"/>
      <c r="DX665" s="59"/>
      <c r="DY665" s="59"/>
      <c r="DZ665" s="59"/>
      <c r="EA665" s="59"/>
      <c r="EB665" s="59"/>
      <c r="EC665" s="59"/>
      <c r="ED665" s="59"/>
      <c r="EE665" s="59"/>
      <c r="EF665" s="59"/>
      <c r="EG665" s="59"/>
      <c r="EH665" s="59"/>
      <c r="EI665" s="59"/>
      <c r="EJ665" s="59"/>
      <c r="EK665" s="59"/>
      <c r="EL665" s="59"/>
      <c r="EM665" s="59"/>
      <c r="EN665" s="59"/>
      <c r="EO665" s="59"/>
      <c r="EP665" s="59"/>
      <c r="EQ665" s="59"/>
      <c r="ER665" s="59"/>
      <c r="ES665" s="59"/>
      <c r="ET665" s="59"/>
      <c r="EU665" s="59"/>
      <c r="EV665" s="59"/>
      <c r="EW665" s="59"/>
      <c r="EX665" s="59"/>
      <c r="EY665" s="59"/>
      <c r="EZ665" s="59"/>
      <c r="FA665" s="59"/>
      <c r="FB665" s="59"/>
      <c r="FC665" s="59"/>
      <c r="FD665" s="59"/>
      <c r="FE665" s="59"/>
      <c r="FF665" s="59"/>
      <c r="FG665" s="59"/>
      <c r="FH665" s="59"/>
      <c r="FI665" s="59"/>
      <c r="FJ665" s="59"/>
      <c r="FK665" s="59"/>
      <c r="FL665" s="59"/>
      <c r="FM665" s="59"/>
      <c r="FN665" s="59"/>
      <c r="FO665" s="59"/>
      <c r="FP665" s="59"/>
      <c r="FQ665" s="59"/>
      <c r="FR665" s="59"/>
      <c r="FS665" s="59"/>
      <c r="FT665" s="59"/>
      <c r="FU665" s="59"/>
      <c r="FV665" s="59"/>
      <c r="FW665" s="59"/>
      <c r="FX665" s="59"/>
      <c r="FY665" s="59"/>
      <c r="FZ665" s="59"/>
      <c r="GA665" s="59"/>
      <c r="GB665" s="59"/>
      <c r="GC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59"/>
      <c r="BX666" s="59"/>
      <c r="BY666" s="59"/>
      <c r="BZ666" s="59"/>
      <c r="CA666" s="59"/>
      <c r="CB666" s="59"/>
      <c r="CC666" s="59"/>
      <c r="CD666" s="59"/>
      <c r="CE666" s="59"/>
      <c r="CF666" s="59"/>
      <c r="CG666" s="59"/>
      <c r="CH666" s="59"/>
      <c r="CI666" s="59"/>
      <c r="CJ666" s="59"/>
      <c r="CK666" s="59"/>
      <c r="CL666" s="59"/>
      <c r="CM666" s="59"/>
      <c r="CN666" s="59"/>
      <c r="CO666" s="59"/>
      <c r="CP666" s="59"/>
      <c r="CQ666" s="59"/>
      <c r="CR666" s="59"/>
      <c r="CS666" s="59"/>
      <c r="CT666" s="59"/>
      <c r="CU666" s="59"/>
      <c r="CV666" s="59"/>
      <c r="CW666" s="59"/>
      <c r="CX666" s="59"/>
      <c r="CY666" s="59"/>
      <c r="CZ666" s="59"/>
      <c r="DA666" s="59"/>
      <c r="DB666" s="59"/>
      <c r="DC666" s="59"/>
      <c r="DD666" s="59"/>
      <c r="DE666" s="59"/>
      <c r="DF666" s="59"/>
      <c r="DG666" s="59"/>
      <c r="DH666" s="59"/>
      <c r="DI666" s="59"/>
      <c r="DJ666" s="59"/>
      <c r="DK666" s="59"/>
      <c r="DL666" s="59"/>
      <c r="DM666" s="59"/>
      <c r="DN666" s="59"/>
      <c r="DO666" s="59"/>
      <c r="DP666" s="59"/>
      <c r="DQ666" s="59"/>
      <c r="DR666" s="59"/>
      <c r="DS666" s="59"/>
      <c r="DT666" s="59"/>
      <c r="DU666" s="59"/>
      <c r="DV666" s="59"/>
      <c r="DW666" s="59"/>
      <c r="DX666" s="59"/>
      <c r="DY666" s="59"/>
      <c r="DZ666" s="59"/>
      <c r="EA666" s="59"/>
      <c r="EB666" s="59"/>
      <c r="EC666" s="59"/>
      <c r="ED666" s="59"/>
      <c r="EE666" s="59"/>
      <c r="EF666" s="59"/>
      <c r="EG666" s="59"/>
      <c r="EH666" s="59"/>
      <c r="EI666" s="59"/>
      <c r="EJ666" s="59"/>
      <c r="EK666" s="59"/>
      <c r="EL666" s="59"/>
      <c r="EM666" s="59"/>
      <c r="EN666" s="59"/>
      <c r="EO666" s="59"/>
      <c r="EP666" s="59"/>
      <c r="EQ666" s="59"/>
      <c r="ER666" s="59"/>
      <c r="ES666" s="59"/>
      <c r="ET666" s="59"/>
      <c r="EU666" s="59"/>
      <c r="EV666" s="59"/>
      <c r="EW666" s="59"/>
      <c r="EX666" s="59"/>
      <c r="EY666" s="59"/>
      <c r="EZ666" s="59"/>
      <c r="FA666" s="59"/>
      <c r="FB666" s="59"/>
      <c r="FC666" s="59"/>
      <c r="FD666" s="59"/>
      <c r="FE666" s="59"/>
      <c r="FF666" s="59"/>
      <c r="FG666" s="59"/>
      <c r="FH666" s="59"/>
      <c r="FI666" s="59"/>
      <c r="FJ666" s="59"/>
      <c r="FK666" s="59"/>
      <c r="FL666" s="59"/>
      <c r="FM666" s="59"/>
      <c r="FN666" s="59"/>
      <c r="FO666" s="59"/>
      <c r="FP666" s="59"/>
      <c r="FQ666" s="59"/>
      <c r="FR666" s="59"/>
      <c r="FS666" s="59"/>
      <c r="FT666" s="59"/>
      <c r="FU666" s="59"/>
      <c r="FV666" s="59"/>
      <c r="FW666" s="59"/>
      <c r="FX666" s="59"/>
      <c r="FY666" s="59"/>
      <c r="FZ666" s="59"/>
      <c r="GA666" s="59"/>
      <c r="GB666" s="59"/>
      <c r="GC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59"/>
      <c r="BX667" s="59"/>
      <c r="BY667" s="59"/>
      <c r="BZ667" s="59"/>
      <c r="CA667" s="59"/>
      <c r="CB667" s="59"/>
      <c r="CC667" s="59"/>
      <c r="CD667" s="59"/>
      <c r="CE667" s="59"/>
      <c r="CF667" s="59"/>
      <c r="CG667" s="59"/>
      <c r="CH667" s="59"/>
      <c r="CI667" s="59"/>
      <c r="CJ667" s="59"/>
      <c r="CK667" s="59"/>
      <c r="CL667" s="59"/>
      <c r="CM667" s="59"/>
      <c r="CN667" s="59"/>
      <c r="CO667" s="59"/>
      <c r="CP667" s="59"/>
      <c r="CQ667" s="59"/>
      <c r="CR667" s="59"/>
      <c r="CS667" s="59"/>
      <c r="CT667" s="59"/>
      <c r="CU667" s="59"/>
      <c r="CV667" s="59"/>
      <c r="CW667" s="59"/>
      <c r="CX667" s="59"/>
      <c r="CY667" s="59"/>
      <c r="CZ667" s="59"/>
      <c r="DA667" s="59"/>
      <c r="DB667" s="59"/>
      <c r="DC667" s="59"/>
      <c r="DD667" s="59"/>
      <c r="DE667" s="59"/>
      <c r="DF667" s="59"/>
      <c r="DG667" s="59"/>
      <c r="DH667" s="59"/>
      <c r="DI667" s="59"/>
      <c r="DJ667" s="59"/>
      <c r="DK667" s="59"/>
      <c r="DL667" s="59"/>
      <c r="DM667" s="59"/>
      <c r="DN667" s="59"/>
      <c r="DO667" s="59"/>
      <c r="DP667" s="59"/>
      <c r="DQ667" s="59"/>
      <c r="DR667" s="59"/>
      <c r="DS667" s="59"/>
      <c r="DT667" s="59"/>
      <c r="DU667" s="59"/>
      <c r="DV667" s="59"/>
      <c r="DW667" s="59"/>
      <c r="DX667" s="59"/>
      <c r="DY667" s="59"/>
      <c r="DZ667" s="59"/>
      <c r="EA667" s="59"/>
      <c r="EB667" s="59"/>
      <c r="EC667" s="59"/>
      <c r="ED667" s="59"/>
      <c r="EE667" s="59"/>
      <c r="EF667" s="59"/>
      <c r="EG667" s="59"/>
      <c r="EH667" s="59"/>
      <c r="EI667" s="59"/>
      <c r="EJ667" s="59"/>
      <c r="EK667" s="59"/>
      <c r="EL667" s="59"/>
      <c r="EM667" s="59"/>
      <c r="EN667" s="59"/>
      <c r="EO667" s="59"/>
      <c r="EP667" s="59"/>
      <c r="EQ667" s="59"/>
      <c r="ER667" s="59"/>
      <c r="ES667" s="59"/>
      <c r="ET667" s="59"/>
      <c r="EU667" s="59"/>
      <c r="EV667" s="59"/>
      <c r="EW667" s="59"/>
      <c r="EX667" s="59"/>
      <c r="EY667" s="59"/>
      <c r="EZ667" s="59"/>
      <c r="FA667" s="59"/>
      <c r="FB667" s="59"/>
      <c r="FC667" s="59"/>
      <c r="FD667" s="59"/>
      <c r="FE667" s="59"/>
      <c r="FF667" s="59"/>
      <c r="FG667" s="59"/>
      <c r="FH667" s="59"/>
      <c r="FI667" s="59"/>
      <c r="FJ667" s="59"/>
      <c r="FK667" s="59"/>
      <c r="FL667" s="59"/>
      <c r="FM667" s="59"/>
      <c r="FN667" s="59"/>
      <c r="FO667" s="59"/>
      <c r="FP667" s="59"/>
      <c r="FQ667" s="59"/>
      <c r="FR667" s="59"/>
      <c r="FS667" s="59"/>
      <c r="FT667" s="59"/>
      <c r="FU667" s="59"/>
      <c r="FV667" s="59"/>
      <c r="FW667" s="59"/>
      <c r="FX667" s="59"/>
      <c r="FY667" s="59"/>
      <c r="FZ667" s="59"/>
      <c r="GA667" s="59"/>
      <c r="GB667" s="59"/>
      <c r="GC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59"/>
      <c r="BX668" s="59"/>
      <c r="BY668" s="59"/>
      <c r="BZ668" s="59"/>
      <c r="CA668" s="59"/>
      <c r="CB668" s="59"/>
      <c r="CC668" s="59"/>
      <c r="CD668" s="59"/>
      <c r="CE668" s="59"/>
      <c r="CF668" s="59"/>
      <c r="CG668" s="59"/>
      <c r="CH668" s="59"/>
      <c r="CI668" s="59"/>
      <c r="CJ668" s="59"/>
      <c r="CK668" s="59"/>
      <c r="CL668" s="59"/>
      <c r="CM668" s="59"/>
      <c r="CN668" s="59"/>
      <c r="CO668" s="59"/>
      <c r="CP668" s="59"/>
      <c r="CQ668" s="59"/>
      <c r="CR668" s="59"/>
      <c r="CS668" s="59"/>
      <c r="CT668" s="59"/>
      <c r="CU668" s="59"/>
      <c r="CV668" s="59"/>
      <c r="CW668" s="59"/>
      <c r="CX668" s="59"/>
      <c r="CY668" s="59"/>
      <c r="CZ668" s="59"/>
      <c r="DA668" s="59"/>
      <c r="DB668" s="59"/>
      <c r="DC668" s="59"/>
      <c r="DD668" s="59"/>
      <c r="DE668" s="59"/>
      <c r="DF668" s="59"/>
      <c r="DG668" s="59"/>
      <c r="DH668" s="59"/>
      <c r="DI668" s="59"/>
      <c r="DJ668" s="59"/>
      <c r="DK668" s="59"/>
      <c r="DL668" s="59"/>
      <c r="DM668" s="59"/>
      <c r="DN668" s="59"/>
      <c r="DO668" s="59"/>
      <c r="DP668" s="59"/>
      <c r="DQ668" s="59"/>
      <c r="DR668" s="59"/>
      <c r="DS668" s="59"/>
      <c r="DT668" s="59"/>
      <c r="DU668" s="59"/>
      <c r="DV668" s="59"/>
      <c r="DW668" s="59"/>
      <c r="DX668" s="59"/>
      <c r="DY668" s="59"/>
      <c r="DZ668" s="59"/>
      <c r="EA668" s="59"/>
      <c r="EB668" s="59"/>
      <c r="EC668" s="59"/>
      <c r="ED668" s="59"/>
      <c r="EE668" s="59"/>
      <c r="EF668" s="59"/>
      <c r="EG668" s="59"/>
      <c r="EH668" s="59"/>
      <c r="EI668" s="59"/>
      <c r="EJ668" s="59"/>
      <c r="EK668" s="59"/>
      <c r="EL668" s="59"/>
      <c r="EM668" s="59"/>
      <c r="EN668" s="59"/>
      <c r="EO668" s="59"/>
      <c r="EP668" s="59"/>
      <c r="EQ668" s="59"/>
      <c r="ER668" s="59"/>
      <c r="ES668" s="59"/>
      <c r="ET668" s="59"/>
      <c r="EU668" s="59"/>
      <c r="EV668" s="59"/>
      <c r="EW668" s="59"/>
      <c r="EX668" s="59"/>
      <c r="EY668" s="59"/>
      <c r="EZ668" s="59"/>
      <c r="FA668" s="59"/>
      <c r="FB668" s="59"/>
      <c r="FC668" s="59"/>
      <c r="FD668" s="59"/>
      <c r="FE668" s="59"/>
      <c r="FF668" s="59"/>
      <c r="FG668" s="59"/>
      <c r="FH668" s="59"/>
      <c r="FI668" s="59"/>
      <c r="FJ668" s="59"/>
      <c r="FK668" s="59"/>
      <c r="FL668" s="59"/>
      <c r="FM668" s="59"/>
      <c r="FN668" s="59"/>
      <c r="FO668" s="59"/>
      <c r="FP668" s="59"/>
      <c r="FQ668" s="59"/>
      <c r="FR668" s="59"/>
      <c r="FS668" s="59"/>
      <c r="FT668" s="59"/>
      <c r="FU668" s="59"/>
      <c r="FV668" s="59"/>
      <c r="FW668" s="59"/>
      <c r="FX668" s="59"/>
      <c r="FY668" s="59"/>
      <c r="FZ668" s="59"/>
      <c r="GA668" s="59"/>
      <c r="GB668" s="59"/>
      <c r="GC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59"/>
      <c r="BX669" s="59"/>
      <c r="BY669" s="59"/>
      <c r="BZ669" s="59"/>
      <c r="CA669" s="59"/>
      <c r="CB669" s="59"/>
      <c r="CC669" s="59"/>
      <c r="CD669" s="59"/>
      <c r="CE669" s="59"/>
      <c r="CF669" s="59"/>
      <c r="CG669" s="59"/>
      <c r="CH669" s="59"/>
      <c r="CI669" s="59"/>
      <c r="CJ669" s="59"/>
      <c r="CK669" s="59"/>
      <c r="CL669" s="59"/>
      <c r="CM669" s="59"/>
      <c r="CN669" s="59"/>
      <c r="CO669" s="59"/>
      <c r="CP669" s="59"/>
      <c r="CQ669" s="59"/>
      <c r="CR669" s="59"/>
      <c r="CS669" s="59"/>
      <c r="CT669" s="59"/>
      <c r="CU669" s="59"/>
      <c r="CV669" s="59"/>
      <c r="CW669" s="59"/>
      <c r="CX669" s="59"/>
      <c r="CY669" s="59"/>
      <c r="CZ669" s="59"/>
      <c r="DA669" s="59"/>
      <c r="DB669" s="59"/>
      <c r="DC669" s="59"/>
      <c r="DD669" s="59"/>
      <c r="DE669" s="59"/>
      <c r="DF669" s="59"/>
      <c r="DG669" s="59"/>
      <c r="DH669" s="59"/>
      <c r="DI669" s="59"/>
      <c r="DJ669" s="59"/>
      <c r="DK669" s="59"/>
      <c r="DL669" s="59"/>
      <c r="DM669" s="59"/>
      <c r="DN669" s="59"/>
      <c r="DO669" s="59"/>
      <c r="DP669" s="59"/>
      <c r="DQ669" s="59"/>
      <c r="DR669" s="59"/>
      <c r="DS669" s="59"/>
      <c r="DT669" s="59"/>
      <c r="DU669" s="59"/>
      <c r="DV669" s="59"/>
      <c r="DW669" s="59"/>
      <c r="DX669" s="59"/>
      <c r="DY669" s="59"/>
      <c r="DZ669" s="59"/>
      <c r="EA669" s="59"/>
      <c r="EB669" s="59"/>
      <c r="EC669" s="59"/>
      <c r="ED669" s="59"/>
      <c r="EE669" s="59"/>
      <c r="EF669" s="59"/>
      <c r="EG669" s="59"/>
      <c r="EH669" s="59"/>
      <c r="EI669" s="59"/>
      <c r="EJ669" s="59"/>
      <c r="EK669" s="59"/>
      <c r="EL669" s="59"/>
      <c r="EM669" s="59"/>
      <c r="EN669" s="59"/>
      <c r="EO669" s="59"/>
      <c r="EP669" s="59"/>
      <c r="EQ669" s="59"/>
      <c r="ER669" s="59"/>
      <c r="ES669" s="59"/>
      <c r="ET669" s="59"/>
      <c r="EU669" s="59"/>
      <c r="EV669" s="59"/>
      <c r="EW669" s="59"/>
      <c r="EX669" s="59"/>
      <c r="EY669" s="59"/>
      <c r="EZ669" s="59"/>
      <c r="FA669" s="59"/>
      <c r="FB669" s="59"/>
      <c r="FC669" s="59"/>
      <c r="FD669" s="59"/>
      <c r="FE669" s="59"/>
      <c r="FF669" s="59"/>
      <c r="FG669" s="59"/>
      <c r="FH669" s="59"/>
      <c r="FI669" s="59"/>
      <c r="FJ669" s="59"/>
      <c r="FK669" s="59"/>
      <c r="FL669" s="59"/>
      <c r="FM669" s="59"/>
      <c r="FN669" s="59"/>
      <c r="FO669" s="59"/>
      <c r="FP669" s="59"/>
      <c r="FQ669" s="59"/>
      <c r="FR669" s="59"/>
      <c r="FS669" s="59"/>
      <c r="FT669" s="59"/>
      <c r="FU669" s="59"/>
      <c r="FV669" s="59"/>
      <c r="FW669" s="59"/>
      <c r="FX669" s="59"/>
      <c r="FY669" s="59"/>
      <c r="FZ669" s="59"/>
      <c r="GA669" s="59"/>
      <c r="GB669" s="59"/>
      <c r="GC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59"/>
      <c r="BX670" s="59"/>
      <c r="BY670" s="59"/>
      <c r="BZ670" s="59"/>
      <c r="CA670" s="59"/>
      <c r="CB670" s="59"/>
      <c r="CC670" s="59"/>
      <c r="CD670" s="59"/>
      <c r="CE670" s="59"/>
      <c r="CF670" s="59"/>
      <c r="CG670" s="59"/>
      <c r="CH670" s="59"/>
      <c r="CI670" s="59"/>
      <c r="CJ670" s="59"/>
      <c r="CK670" s="59"/>
      <c r="CL670" s="59"/>
      <c r="CM670" s="59"/>
      <c r="CN670" s="59"/>
      <c r="CO670" s="59"/>
      <c r="CP670" s="59"/>
      <c r="CQ670" s="59"/>
      <c r="CR670" s="59"/>
      <c r="CS670" s="59"/>
      <c r="CT670" s="59"/>
      <c r="CU670" s="59"/>
      <c r="CV670" s="59"/>
      <c r="CW670" s="59"/>
      <c r="CX670" s="59"/>
      <c r="CY670" s="59"/>
      <c r="CZ670" s="59"/>
      <c r="DA670" s="59"/>
      <c r="DB670" s="59"/>
      <c r="DC670" s="59"/>
      <c r="DD670" s="59"/>
      <c r="DE670" s="59"/>
      <c r="DF670" s="59"/>
      <c r="DG670" s="59"/>
      <c r="DH670" s="59"/>
      <c r="DI670" s="59"/>
      <c r="DJ670" s="59"/>
      <c r="DK670" s="59"/>
      <c r="DL670" s="59"/>
      <c r="DM670" s="59"/>
      <c r="DN670" s="59"/>
      <c r="DO670" s="59"/>
      <c r="DP670" s="59"/>
      <c r="DQ670" s="59"/>
      <c r="DR670" s="59"/>
      <c r="DS670" s="59"/>
      <c r="DT670" s="59"/>
      <c r="DU670" s="59"/>
      <c r="DV670" s="59"/>
      <c r="DW670" s="59"/>
      <c r="DX670" s="59"/>
      <c r="DY670" s="59"/>
      <c r="DZ670" s="59"/>
      <c r="EA670" s="59"/>
      <c r="EB670" s="59"/>
      <c r="EC670" s="59"/>
      <c r="ED670" s="59"/>
      <c r="EE670" s="59"/>
      <c r="EF670" s="59"/>
      <c r="EG670" s="59"/>
      <c r="EH670" s="59"/>
      <c r="EI670" s="59"/>
      <c r="EJ670" s="59"/>
      <c r="EK670" s="59"/>
      <c r="EL670" s="59"/>
      <c r="EM670" s="59"/>
      <c r="EN670" s="59"/>
      <c r="EO670" s="59"/>
      <c r="EP670" s="59"/>
      <c r="EQ670" s="59"/>
      <c r="ER670" s="59"/>
      <c r="ES670" s="59"/>
      <c r="ET670" s="59"/>
      <c r="EU670" s="59"/>
      <c r="EV670" s="59"/>
      <c r="EW670" s="59"/>
      <c r="EX670" s="59"/>
      <c r="EY670" s="59"/>
      <c r="EZ670" s="59"/>
      <c r="FA670" s="59"/>
      <c r="FB670" s="59"/>
      <c r="FC670" s="59"/>
      <c r="FD670" s="59"/>
      <c r="FE670" s="59"/>
      <c r="FF670" s="59"/>
      <c r="FG670" s="59"/>
      <c r="FH670" s="59"/>
      <c r="FI670" s="59"/>
      <c r="FJ670" s="59"/>
      <c r="FK670" s="59"/>
      <c r="FL670" s="59"/>
      <c r="FM670" s="59"/>
      <c r="FN670" s="59"/>
      <c r="FO670" s="59"/>
      <c r="FP670" s="59"/>
      <c r="FQ670" s="59"/>
      <c r="FR670" s="59"/>
      <c r="FS670" s="59"/>
      <c r="FT670" s="59"/>
      <c r="FU670" s="59"/>
      <c r="FV670" s="59"/>
      <c r="FW670" s="59"/>
      <c r="FX670" s="59"/>
      <c r="FY670" s="59"/>
      <c r="FZ670" s="59"/>
      <c r="GA670" s="59"/>
      <c r="GB670" s="59"/>
      <c r="GC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59"/>
      <c r="BX671" s="59"/>
      <c r="BY671" s="59"/>
      <c r="BZ671" s="59"/>
      <c r="CA671" s="59"/>
      <c r="CB671" s="59"/>
      <c r="CC671" s="59"/>
      <c r="CD671" s="59"/>
      <c r="CE671" s="59"/>
      <c r="CF671" s="59"/>
      <c r="CG671" s="59"/>
      <c r="CH671" s="59"/>
      <c r="CI671" s="59"/>
      <c r="CJ671" s="59"/>
      <c r="CK671" s="59"/>
      <c r="CL671" s="59"/>
      <c r="CM671" s="59"/>
      <c r="CN671" s="59"/>
      <c r="CO671" s="59"/>
      <c r="CP671" s="59"/>
      <c r="CQ671" s="59"/>
      <c r="CR671" s="59"/>
      <c r="CS671" s="59"/>
      <c r="CT671" s="59"/>
      <c r="CU671" s="59"/>
      <c r="CV671" s="59"/>
      <c r="CW671" s="59"/>
      <c r="CX671" s="59"/>
      <c r="CY671" s="59"/>
      <c r="CZ671" s="59"/>
      <c r="DA671" s="59"/>
      <c r="DB671" s="59"/>
      <c r="DC671" s="59"/>
      <c r="DD671" s="59"/>
      <c r="DE671" s="59"/>
      <c r="DF671" s="59"/>
      <c r="DG671" s="59"/>
      <c r="DH671" s="59"/>
      <c r="DI671" s="59"/>
      <c r="DJ671" s="59"/>
      <c r="DK671" s="59"/>
      <c r="DL671" s="59"/>
      <c r="DM671" s="59"/>
      <c r="DN671" s="59"/>
      <c r="DO671" s="59"/>
      <c r="DP671" s="59"/>
      <c r="DQ671" s="59"/>
      <c r="DR671" s="59"/>
      <c r="DS671" s="59"/>
      <c r="DT671" s="59"/>
      <c r="DU671" s="59"/>
      <c r="DV671" s="59"/>
      <c r="DW671" s="59"/>
      <c r="DX671" s="59"/>
      <c r="DY671" s="59"/>
      <c r="DZ671" s="59"/>
      <c r="EA671" s="59"/>
      <c r="EB671" s="59"/>
      <c r="EC671" s="59"/>
      <c r="ED671" s="59"/>
      <c r="EE671" s="59"/>
      <c r="EF671" s="59"/>
      <c r="EG671" s="59"/>
      <c r="EH671" s="59"/>
      <c r="EI671" s="59"/>
      <c r="EJ671" s="59"/>
      <c r="EK671" s="59"/>
      <c r="EL671" s="59"/>
      <c r="EM671" s="59"/>
      <c r="EN671" s="59"/>
      <c r="EO671" s="59"/>
      <c r="EP671" s="59"/>
      <c r="EQ671" s="59"/>
      <c r="ER671" s="59"/>
      <c r="ES671" s="59"/>
      <c r="ET671" s="59"/>
      <c r="EU671" s="59"/>
      <c r="EV671" s="59"/>
      <c r="EW671" s="59"/>
      <c r="EX671" s="59"/>
      <c r="EY671" s="59"/>
      <c r="EZ671" s="59"/>
      <c r="FA671" s="59"/>
      <c r="FB671" s="59"/>
      <c r="FC671" s="59"/>
      <c r="FD671" s="59"/>
      <c r="FE671" s="59"/>
      <c r="FF671" s="59"/>
      <c r="FG671" s="59"/>
      <c r="FH671" s="59"/>
      <c r="FI671" s="59"/>
      <c r="FJ671" s="59"/>
      <c r="FK671" s="59"/>
      <c r="FL671" s="59"/>
      <c r="FM671" s="59"/>
      <c r="FN671" s="59"/>
      <c r="FO671" s="59"/>
      <c r="FP671" s="59"/>
      <c r="FQ671" s="59"/>
      <c r="FR671" s="59"/>
      <c r="FS671" s="59"/>
      <c r="FT671" s="59"/>
      <c r="FU671" s="59"/>
      <c r="FV671" s="59"/>
      <c r="FW671" s="59"/>
      <c r="FX671" s="59"/>
      <c r="FY671" s="59"/>
      <c r="FZ671" s="59"/>
      <c r="GA671" s="59"/>
      <c r="GB671" s="59"/>
      <c r="GC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59"/>
      <c r="BX672" s="59"/>
      <c r="BY672" s="59"/>
      <c r="BZ672" s="59"/>
      <c r="CA672" s="59"/>
      <c r="CB672" s="59"/>
      <c r="CC672" s="59"/>
      <c r="CD672" s="59"/>
      <c r="CE672" s="59"/>
      <c r="CF672" s="59"/>
      <c r="CG672" s="59"/>
      <c r="CH672" s="59"/>
      <c r="CI672" s="59"/>
      <c r="CJ672" s="59"/>
      <c r="CK672" s="59"/>
      <c r="CL672" s="59"/>
      <c r="CM672" s="59"/>
      <c r="CN672" s="59"/>
      <c r="CO672" s="59"/>
      <c r="CP672" s="59"/>
      <c r="CQ672" s="59"/>
      <c r="CR672" s="59"/>
      <c r="CS672" s="59"/>
      <c r="CT672" s="59"/>
      <c r="CU672" s="59"/>
      <c r="CV672" s="59"/>
      <c r="CW672" s="59"/>
      <c r="CX672" s="59"/>
      <c r="CY672" s="59"/>
      <c r="CZ672" s="59"/>
      <c r="DA672" s="59"/>
      <c r="DB672" s="59"/>
      <c r="DC672" s="59"/>
      <c r="DD672" s="59"/>
      <c r="DE672" s="59"/>
      <c r="DF672" s="59"/>
      <c r="DG672" s="59"/>
      <c r="DH672" s="59"/>
      <c r="DI672" s="59"/>
      <c r="DJ672" s="59"/>
      <c r="DK672" s="59"/>
      <c r="DL672" s="59"/>
      <c r="DM672" s="59"/>
      <c r="DN672" s="59"/>
      <c r="DO672" s="59"/>
      <c r="DP672" s="59"/>
      <c r="DQ672" s="59"/>
      <c r="DR672" s="59"/>
      <c r="DS672" s="59"/>
      <c r="DT672" s="59"/>
      <c r="DU672" s="59"/>
      <c r="DV672" s="59"/>
      <c r="DW672" s="59"/>
      <c r="DX672" s="59"/>
      <c r="DY672" s="59"/>
      <c r="DZ672" s="59"/>
      <c r="EA672" s="59"/>
      <c r="EB672" s="59"/>
      <c r="EC672" s="59"/>
      <c r="ED672" s="59"/>
      <c r="EE672" s="59"/>
      <c r="EF672" s="59"/>
      <c r="EG672" s="59"/>
      <c r="EH672" s="59"/>
      <c r="EI672" s="59"/>
      <c r="EJ672" s="59"/>
      <c r="EK672" s="59"/>
      <c r="EL672" s="59"/>
      <c r="EM672" s="59"/>
      <c r="EN672" s="59"/>
      <c r="EO672" s="59"/>
      <c r="EP672" s="59"/>
      <c r="EQ672" s="59"/>
      <c r="ER672" s="59"/>
      <c r="ES672" s="59"/>
      <c r="ET672" s="59"/>
      <c r="EU672" s="59"/>
      <c r="EV672" s="59"/>
      <c r="EW672" s="59"/>
      <c r="EX672" s="59"/>
      <c r="EY672" s="59"/>
      <c r="EZ672" s="59"/>
      <c r="FA672" s="59"/>
      <c r="FB672" s="59"/>
      <c r="FC672" s="59"/>
      <c r="FD672" s="59"/>
      <c r="FE672" s="59"/>
      <c r="FF672" s="59"/>
      <c r="FG672" s="59"/>
      <c r="FH672" s="59"/>
      <c r="FI672" s="59"/>
      <c r="FJ672" s="59"/>
      <c r="FK672" s="59"/>
      <c r="FL672" s="59"/>
      <c r="FM672" s="59"/>
      <c r="FN672" s="59"/>
      <c r="FO672" s="59"/>
      <c r="FP672" s="59"/>
      <c r="FQ672" s="59"/>
      <c r="FR672" s="59"/>
      <c r="FS672" s="59"/>
      <c r="FT672" s="59"/>
      <c r="FU672" s="59"/>
      <c r="FV672" s="59"/>
      <c r="FW672" s="59"/>
      <c r="FX672" s="59"/>
      <c r="FY672" s="59"/>
      <c r="FZ672" s="59"/>
      <c r="GA672" s="59"/>
      <c r="GB672" s="59"/>
      <c r="GC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59"/>
      <c r="BX673" s="59"/>
      <c r="BY673" s="59"/>
      <c r="BZ673" s="59"/>
      <c r="CA673" s="59"/>
      <c r="CB673" s="59"/>
      <c r="CC673" s="59"/>
      <c r="CD673" s="59"/>
      <c r="CE673" s="59"/>
      <c r="CF673" s="59"/>
      <c r="CG673" s="59"/>
      <c r="CH673" s="59"/>
      <c r="CI673" s="59"/>
      <c r="CJ673" s="59"/>
      <c r="CK673" s="59"/>
      <c r="CL673" s="59"/>
      <c r="CM673" s="59"/>
      <c r="CN673" s="59"/>
      <c r="CO673" s="59"/>
      <c r="CP673" s="59"/>
      <c r="CQ673" s="59"/>
      <c r="CR673" s="59"/>
      <c r="CS673" s="59"/>
      <c r="CT673" s="59"/>
      <c r="CU673" s="59"/>
      <c r="CV673" s="59"/>
      <c r="CW673" s="59"/>
      <c r="CX673" s="59"/>
      <c r="CY673" s="59"/>
      <c r="CZ673" s="59"/>
      <c r="DA673" s="59"/>
      <c r="DB673" s="59"/>
      <c r="DC673" s="59"/>
      <c r="DD673" s="59"/>
      <c r="DE673" s="59"/>
      <c r="DF673" s="59"/>
      <c r="DG673" s="59"/>
      <c r="DH673" s="59"/>
      <c r="DI673" s="59"/>
      <c r="DJ673" s="59"/>
      <c r="DK673" s="59"/>
      <c r="DL673" s="59"/>
      <c r="DM673" s="59"/>
      <c r="DN673" s="59"/>
      <c r="DO673" s="59"/>
      <c r="DP673" s="59"/>
      <c r="DQ673" s="59"/>
      <c r="DR673" s="59"/>
      <c r="DS673" s="59"/>
      <c r="DT673" s="59"/>
      <c r="DU673" s="59"/>
      <c r="DV673" s="59"/>
      <c r="DW673" s="59"/>
      <c r="DX673" s="59"/>
      <c r="DY673" s="59"/>
      <c r="DZ673" s="59"/>
      <c r="EA673" s="59"/>
      <c r="EB673" s="59"/>
      <c r="EC673" s="59"/>
      <c r="ED673" s="59"/>
      <c r="EE673" s="59"/>
      <c r="EF673" s="59"/>
      <c r="EG673" s="59"/>
      <c r="EH673" s="59"/>
      <c r="EI673" s="59"/>
      <c r="EJ673" s="59"/>
      <c r="EK673" s="59"/>
      <c r="EL673" s="59"/>
      <c r="EM673" s="59"/>
      <c r="EN673" s="59"/>
      <c r="EO673" s="59"/>
      <c r="EP673" s="59"/>
      <c r="EQ673" s="59"/>
      <c r="ER673" s="59"/>
      <c r="ES673" s="59"/>
      <c r="ET673" s="59"/>
      <c r="EU673" s="59"/>
      <c r="EV673" s="59"/>
      <c r="EW673" s="59"/>
      <c r="EX673" s="59"/>
      <c r="EY673" s="59"/>
      <c r="EZ673" s="59"/>
      <c r="FA673" s="59"/>
      <c r="FB673" s="59"/>
      <c r="FC673" s="59"/>
      <c r="FD673" s="59"/>
      <c r="FE673" s="59"/>
      <c r="FF673" s="59"/>
      <c r="FG673" s="59"/>
      <c r="FH673" s="59"/>
      <c r="FI673" s="59"/>
      <c r="FJ673" s="59"/>
      <c r="FK673" s="59"/>
      <c r="FL673" s="59"/>
      <c r="FM673" s="59"/>
      <c r="FN673" s="59"/>
      <c r="FO673" s="59"/>
      <c r="FP673" s="59"/>
      <c r="FQ673" s="59"/>
      <c r="FR673" s="59"/>
      <c r="FS673" s="59"/>
      <c r="FT673" s="59"/>
      <c r="FU673" s="59"/>
      <c r="FV673" s="59"/>
      <c r="FW673" s="59"/>
      <c r="FX673" s="59"/>
      <c r="FY673" s="59"/>
      <c r="FZ673" s="59"/>
      <c r="GA673" s="59"/>
      <c r="GB673" s="59"/>
      <c r="GC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59"/>
      <c r="BX674" s="59"/>
      <c r="BY674" s="59"/>
      <c r="BZ674" s="59"/>
      <c r="CA674" s="59"/>
      <c r="CB674" s="59"/>
      <c r="CC674" s="59"/>
      <c r="CD674" s="59"/>
      <c r="CE674" s="59"/>
      <c r="CF674" s="59"/>
      <c r="CG674" s="59"/>
      <c r="CH674" s="59"/>
      <c r="CI674" s="59"/>
      <c r="CJ674" s="59"/>
      <c r="CK674" s="59"/>
      <c r="CL674" s="59"/>
      <c r="CM674" s="59"/>
      <c r="CN674" s="59"/>
      <c r="CO674" s="59"/>
      <c r="CP674" s="59"/>
      <c r="CQ674" s="59"/>
      <c r="CR674" s="59"/>
      <c r="CS674" s="59"/>
      <c r="CT674" s="59"/>
      <c r="CU674" s="59"/>
      <c r="CV674" s="59"/>
      <c r="CW674" s="59"/>
      <c r="CX674" s="59"/>
      <c r="CY674" s="59"/>
      <c r="CZ674" s="59"/>
      <c r="DA674" s="59"/>
      <c r="DB674" s="59"/>
      <c r="DC674" s="59"/>
      <c r="DD674" s="59"/>
      <c r="DE674" s="59"/>
      <c r="DF674" s="59"/>
      <c r="DG674" s="59"/>
      <c r="DH674" s="59"/>
      <c r="DI674" s="59"/>
      <c r="DJ674" s="59"/>
      <c r="DK674" s="59"/>
      <c r="DL674" s="59"/>
      <c r="DM674" s="59"/>
      <c r="DN674" s="59"/>
      <c r="DO674" s="59"/>
      <c r="DP674" s="59"/>
      <c r="DQ674" s="59"/>
      <c r="DR674" s="59"/>
      <c r="DS674" s="59"/>
      <c r="DT674" s="59"/>
      <c r="DU674" s="59"/>
      <c r="DV674" s="59"/>
      <c r="DW674" s="59"/>
      <c r="DX674" s="59"/>
      <c r="DY674" s="59"/>
      <c r="DZ674" s="59"/>
      <c r="EA674" s="59"/>
      <c r="EB674" s="59"/>
      <c r="EC674" s="59"/>
      <c r="ED674" s="59"/>
      <c r="EE674" s="59"/>
      <c r="EF674" s="59"/>
      <c r="EG674" s="59"/>
      <c r="EH674" s="59"/>
      <c r="EI674" s="59"/>
      <c r="EJ674" s="59"/>
      <c r="EK674" s="59"/>
      <c r="EL674" s="59"/>
      <c r="EM674" s="59"/>
      <c r="EN674" s="59"/>
      <c r="EO674" s="59"/>
      <c r="EP674" s="59"/>
      <c r="EQ674" s="59"/>
      <c r="ER674" s="59"/>
      <c r="ES674" s="59"/>
      <c r="ET674" s="59"/>
      <c r="EU674" s="59"/>
      <c r="EV674" s="59"/>
      <c r="EW674" s="59"/>
      <c r="EX674" s="59"/>
      <c r="EY674" s="59"/>
      <c r="EZ674" s="59"/>
      <c r="FA674" s="59"/>
      <c r="FB674" s="59"/>
      <c r="FC674" s="59"/>
      <c r="FD674" s="59"/>
      <c r="FE674" s="59"/>
      <c r="FF674" s="59"/>
      <c r="FG674" s="59"/>
      <c r="FH674" s="59"/>
      <c r="FI674" s="59"/>
      <c r="FJ674" s="59"/>
      <c r="FK674" s="59"/>
      <c r="FL674" s="59"/>
      <c r="FM674" s="59"/>
      <c r="FN674" s="59"/>
      <c r="FO674" s="59"/>
      <c r="FP674" s="59"/>
      <c r="FQ674" s="59"/>
      <c r="FR674" s="59"/>
      <c r="FS674" s="59"/>
      <c r="FT674" s="59"/>
      <c r="FU674" s="59"/>
      <c r="FV674" s="59"/>
      <c r="FW674" s="59"/>
      <c r="FX674" s="59"/>
      <c r="FY674" s="59"/>
      <c r="FZ674" s="59"/>
      <c r="GA674" s="59"/>
      <c r="GB674" s="59"/>
      <c r="GC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59"/>
      <c r="BX675" s="59"/>
      <c r="BY675" s="59"/>
      <c r="BZ675" s="59"/>
      <c r="CA675" s="59"/>
      <c r="CB675" s="59"/>
      <c r="CC675" s="59"/>
      <c r="CD675" s="59"/>
      <c r="CE675" s="59"/>
      <c r="CF675" s="59"/>
      <c r="CG675" s="59"/>
      <c r="CH675" s="59"/>
      <c r="CI675" s="59"/>
      <c r="CJ675" s="59"/>
      <c r="CK675" s="59"/>
      <c r="CL675" s="59"/>
      <c r="CM675" s="59"/>
      <c r="CN675" s="59"/>
      <c r="CO675" s="59"/>
      <c r="CP675" s="59"/>
      <c r="CQ675" s="59"/>
      <c r="CR675" s="59"/>
      <c r="CS675" s="59"/>
      <c r="CT675" s="59"/>
      <c r="CU675" s="59"/>
      <c r="CV675" s="59"/>
      <c r="CW675" s="59"/>
      <c r="CX675" s="59"/>
      <c r="CY675" s="59"/>
      <c r="CZ675" s="59"/>
      <c r="DA675" s="59"/>
      <c r="DB675" s="59"/>
      <c r="DC675" s="59"/>
      <c r="DD675" s="59"/>
      <c r="DE675" s="59"/>
      <c r="DF675" s="59"/>
      <c r="DG675" s="59"/>
      <c r="DH675" s="59"/>
      <c r="DI675" s="59"/>
      <c r="DJ675" s="59"/>
      <c r="DK675" s="59"/>
      <c r="DL675" s="59"/>
      <c r="DM675" s="59"/>
      <c r="DN675" s="59"/>
      <c r="DO675" s="59"/>
      <c r="DP675" s="59"/>
      <c r="DQ675" s="59"/>
      <c r="DR675" s="59"/>
      <c r="DS675" s="59"/>
      <c r="DT675" s="59"/>
      <c r="DU675" s="59"/>
      <c r="DV675" s="59"/>
      <c r="DW675" s="59"/>
      <c r="DX675" s="59"/>
      <c r="DY675" s="59"/>
      <c r="DZ675" s="59"/>
      <c r="EA675" s="59"/>
      <c r="EB675" s="59"/>
      <c r="EC675" s="59"/>
      <c r="ED675" s="59"/>
      <c r="EE675" s="59"/>
      <c r="EF675" s="59"/>
      <c r="EG675" s="59"/>
      <c r="EH675" s="59"/>
      <c r="EI675" s="59"/>
      <c r="EJ675" s="59"/>
      <c r="EK675" s="59"/>
      <c r="EL675" s="59"/>
      <c r="EM675" s="59"/>
      <c r="EN675" s="59"/>
      <c r="EO675" s="59"/>
      <c r="EP675" s="59"/>
      <c r="EQ675" s="59"/>
      <c r="ER675" s="59"/>
      <c r="ES675" s="59"/>
      <c r="ET675" s="59"/>
      <c r="EU675" s="59"/>
      <c r="EV675" s="59"/>
      <c r="EW675" s="59"/>
      <c r="EX675" s="59"/>
      <c r="EY675" s="59"/>
      <c r="EZ675" s="59"/>
      <c r="FA675" s="59"/>
      <c r="FB675" s="59"/>
      <c r="FC675" s="59"/>
      <c r="FD675" s="59"/>
      <c r="FE675" s="59"/>
      <c r="FF675" s="59"/>
      <c r="FG675" s="59"/>
      <c r="FH675" s="59"/>
      <c r="FI675" s="59"/>
      <c r="FJ675" s="59"/>
      <c r="FK675" s="59"/>
      <c r="FL675" s="59"/>
      <c r="FM675" s="59"/>
      <c r="FN675" s="59"/>
      <c r="FO675" s="59"/>
      <c r="FP675" s="59"/>
      <c r="FQ675" s="59"/>
      <c r="FR675" s="59"/>
      <c r="FS675" s="59"/>
      <c r="FT675" s="59"/>
      <c r="FU675" s="59"/>
      <c r="FV675" s="59"/>
      <c r="FW675" s="59"/>
      <c r="FX675" s="59"/>
      <c r="FY675" s="59"/>
      <c r="FZ675" s="59"/>
      <c r="GA675" s="59"/>
      <c r="GB675" s="59"/>
      <c r="GC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59"/>
      <c r="BX676" s="59"/>
      <c r="BY676" s="59"/>
      <c r="BZ676" s="59"/>
      <c r="CA676" s="59"/>
      <c r="CB676" s="59"/>
      <c r="CC676" s="59"/>
      <c r="CD676" s="59"/>
      <c r="CE676" s="59"/>
      <c r="CF676" s="59"/>
      <c r="CG676" s="59"/>
      <c r="CH676" s="59"/>
      <c r="CI676" s="59"/>
      <c r="CJ676" s="59"/>
      <c r="CK676" s="59"/>
      <c r="CL676" s="59"/>
      <c r="CM676" s="59"/>
      <c r="CN676" s="59"/>
      <c r="CO676" s="59"/>
      <c r="CP676" s="59"/>
      <c r="CQ676" s="59"/>
      <c r="CR676" s="59"/>
      <c r="CS676" s="59"/>
      <c r="CT676" s="59"/>
      <c r="CU676" s="59"/>
      <c r="CV676" s="59"/>
      <c r="CW676" s="59"/>
      <c r="CX676" s="59"/>
      <c r="CY676" s="59"/>
      <c r="CZ676" s="59"/>
      <c r="DA676" s="59"/>
      <c r="DB676" s="59"/>
      <c r="DC676" s="59"/>
      <c r="DD676" s="59"/>
      <c r="DE676" s="59"/>
      <c r="DF676" s="59"/>
      <c r="DG676" s="59"/>
      <c r="DH676" s="59"/>
      <c r="DI676" s="59"/>
      <c r="DJ676" s="59"/>
      <c r="DK676" s="59"/>
      <c r="DL676" s="59"/>
      <c r="DM676" s="59"/>
      <c r="DN676" s="59"/>
      <c r="DO676" s="59"/>
      <c r="DP676" s="59"/>
      <c r="DQ676" s="59"/>
      <c r="DR676" s="59"/>
      <c r="DS676" s="59"/>
      <c r="DT676" s="59"/>
      <c r="DU676" s="59"/>
      <c r="DV676" s="59"/>
      <c r="DW676" s="59"/>
      <c r="DX676" s="59"/>
      <c r="DY676" s="59"/>
      <c r="DZ676" s="59"/>
      <c r="EA676" s="59"/>
      <c r="EB676" s="59"/>
      <c r="EC676" s="59"/>
      <c r="ED676" s="59"/>
      <c r="EE676" s="59"/>
      <c r="EF676" s="59"/>
      <c r="EG676" s="59"/>
      <c r="EH676" s="59"/>
      <c r="EI676" s="59"/>
      <c r="EJ676" s="59"/>
      <c r="EK676" s="59"/>
      <c r="EL676" s="59"/>
      <c r="EM676" s="59"/>
      <c r="EN676" s="59"/>
      <c r="EO676" s="59"/>
      <c r="EP676" s="59"/>
      <c r="EQ676" s="59"/>
      <c r="ER676" s="59"/>
      <c r="ES676" s="59"/>
      <c r="ET676" s="59"/>
      <c r="EU676" s="59"/>
      <c r="EV676" s="59"/>
      <c r="EW676" s="59"/>
      <c r="EX676" s="59"/>
      <c r="EY676" s="59"/>
      <c r="EZ676" s="59"/>
      <c r="FA676" s="59"/>
      <c r="FB676" s="59"/>
      <c r="FC676" s="59"/>
      <c r="FD676" s="59"/>
      <c r="FE676" s="59"/>
      <c r="FF676" s="59"/>
      <c r="FG676" s="59"/>
      <c r="FH676" s="59"/>
      <c r="FI676" s="59"/>
      <c r="FJ676" s="59"/>
      <c r="FK676" s="59"/>
      <c r="FL676" s="59"/>
      <c r="FM676" s="59"/>
      <c r="FN676" s="59"/>
      <c r="FO676" s="59"/>
      <c r="FP676" s="59"/>
      <c r="FQ676" s="59"/>
      <c r="FR676" s="59"/>
      <c r="FS676" s="59"/>
      <c r="FT676" s="59"/>
      <c r="FU676" s="59"/>
      <c r="FV676" s="59"/>
      <c r="FW676" s="59"/>
      <c r="FX676" s="59"/>
      <c r="FY676" s="59"/>
      <c r="FZ676" s="59"/>
      <c r="GA676" s="59"/>
      <c r="GB676" s="59"/>
      <c r="GC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59"/>
      <c r="BX677" s="59"/>
      <c r="BY677" s="59"/>
      <c r="BZ677" s="59"/>
      <c r="CA677" s="59"/>
      <c r="CB677" s="59"/>
      <c r="CC677" s="59"/>
      <c r="CD677" s="59"/>
      <c r="CE677" s="59"/>
      <c r="CF677" s="59"/>
      <c r="CG677" s="59"/>
      <c r="CH677" s="59"/>
      <c r="CI677" s="59"/>
      <c r="CJ677" s="59"/>
      <c r="CK677" s="59"/>
      <c r="CL677" s="59"/>
      <c r="CM677" s="59"/>
      <c r="CN677" s="59"/>
      <c r="CO677" s="59"/>
      <c r="CP677" s="59"/>
      <c r="CQ677" s="59"/>
      <c r="CR677" s="59"/>
      <c r="CS677" s="59"/>
      <c r="CT677" s="59"/>
      <c r="CU677" s="59"/>
      <c r="CV677" s="59"/>
      <c r="CW677" s="59"/>
      <c r="CX677" s="59"/>
      <c r="CY677" s="59"/>
      <c r="CZ677" s="59"/>
      <c r="DA677" s="59"/>
      <c r="DB677" s="59"/>
      <c r="DC677" s="59"/>
      <c r="DD677" s="59"/>
      <c r="DE677" s="59"/>
      <c r="DF677" s="59"/>
      <c r="DG677" s="59"/>
      <c r="DH677" s="59"/>
      <c r="DI677" s="59"/>
      <c r="DJ677" s="59"/>
      <c r="DK677" s="59"/>
      <c r="DL677" s="59"/>
      <c r="DM677" s="59"/>
      <c r="DN677" s="59"/>
      <c r="DO677" s="59"/>
      <c r="DP677" s="59"/>
      <c r="DQ677" s="59"/>
      <c r="DR677" s="59"/>
      <c r="DS677" s="59"/>
      <c r="DT677" s="59"/>
      <c r="DU677" s="59"/>
      <c r="DV677" s="59"/>
      <c r="DW677" s="59"/>
      <c r="DX677" s="59"/>
      <c r="DY677" s="59"/>
      <c r="DZ677" s="59"/>
      <c r="EA677" s="59"/>
      <c r="EB677" s="59"/>
      <c r="EC677" s="59"/>
      <c r="ED677" s="59"/>
      <c r="EE677" s="59"/>
      <c r="EF677" s="59"/>
      <c r="EG677" s="59"/>
      <c r="EH677" s="59"/>
      <c r="EI677" s="59"/>
      <c r="EJ677" s="59"/>
      <c r="EK677" s="59"/>
      <c r="EL677" s="59"/>
      <c r="EM677" s="59"/>
      <c r="EN677" s="59"/>
      <c r="EO677" s="59"/>
      <c r="EP677" s="59"/>
      <c r="EQ677" s="59"/>
      <c r="ER677" s="59"/>
      <c r="ES677" s="59"/>
      <c r="ET677" s="59"/>
      <c r="EU677" s="59"/>
      <c r="EV677" s="59"/>
      <c r="EW677" s="59"/>
      <c r="EX677" s="59"/>
      <c r="EY677" s="59"/>
      <c r="EZ677" s="59"/>
      <c r="FA677" s="59"/>
      <c r="FB677" s="59"/>
      <c r="FC677" s="59"/>
      <c r="FD677" s="59"/>
      <c r="FE677" s="59"/>
      <c r="FF677" s="59"/>
      <c r="FG677" s="59"/>
      <c r="FH677" s="59"/>
      <c r="FI677" s="59"/>
      <c r="FJ677" s="59"/>
      <c r="FK677" s="59"/>
      <c r="FL677" s="59"/>
      <c r="FM677" s="59"/>
      <c r="FN677" s="59"/>
      <c r="FO677" s="59"/>
      <c r="FP677" s="59"/>
      <c r="FQ677" s="59"/>
      <c r="FR677" s="59"/>
      <c r="FS677" s="59"/>
      <c r="FT677" s="59"/>
      <c r="FU677" s="59"/>
      <c r="FV677" s="59"/>
      <c r="FW677" s="59"/>
      <c r="FX677" s="59"/>
      <c r="FY677" s="59"/>
      <c r="FZ677" s="59"/>
      <c r="GA677" s="59"/>
      <c r="GB677" s="59"/>
      <c r="GC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59"/>
      <c r="CB678" s="59"/>
      <c r="CC678" s="59"/>
      <c r="CD678" s="59"/>
      <c r="CE678" s="59"/>
      <c r="CF678" s="59"/>
      <c r="CG678" s="59"/>
      <c r="CH678" s="59"/>
      <c r="CI678" s="59"/>
      <c r="CJ678" s="59"/>
      <c r="CK678" s="59"/>
      <c r="CL678" s="59"/>
      <c r="CM678" s="59"/>
      <c r="CN678" s="59"/>
      <c r="CO678" s="59"/>
      <c r="CP678" s="59"/>
      <c r="CQ678" s="59"/>
      <c r="CR678" s="59"/>
      <c r="CS678" s="59"/>
      <c r="CT678" s="59"/>
      <c r="CU678" s="59"/>
      <c r="CV678" s="59"/>
      <c r="CW678" s="59"/>
      <c r="CX678" s="59"/>
      <c r="CY678" s="59"/>
      <c r="CZ678" s="59"/>
      <c r="DA678" s="59"/>
      <c r="DB678" s="59"/>
      <c r="DC678" s="59"/>
      <c r="DD678" s="59"/>
      <c r="DE678" s="59"/>
      <c r="DF678" s="59"/>
      <c r="DG678" s="59"/>
      <c r="DH678" s="59"/>
      <c r="DI678" s="59"/>
      <c r="DJ678" s="59"/>
      <c r="DK678" s="59"/>
      <c r="DL678" s="59"/>
      <c r="DM678" s="59"/>
      <c r="DN678" s="59"/>
      <c r="DO678" s="59"/>
      <c r="DP678" s="59"/>
      <c r="DQ678" s="59"/>
      <c r="DR678" s="59"/>
      <c r="DS678" s="59"/>
      <c r="DT678" s="59"/>
      <c r="DU678" s="59"/>
      <c r="DV678" s="59"/>
      <c r="DW678" s="59"/>
      <c r="DX678" s="59"/>
      <c r="DY678" s="59"/>
      <c r="DZ678" s="59"/>
      <c r="EA678" s="59"/>
      <c r="EB678" s="59"/>
      <c r="EC678" s="59"/>
      <c r="ED678" s="59"/>
      <c r="EE678" s="59"/>
      <c r="EF678" s="59"/>
      <c r="EG678" s="59"/>
      <c r="EH678" s="59"/>
      <c r="EI678" s="59"/>
      <c r="EJ678" s="59"/>
      <c r="EK678" s="59"/>
      <c r="EL678" s="59"/>
      <c r="EM678" s="59"/>
      <c r="EN678" s="59"/>
      <c r="EO678" s="59"/>
      <c r="EP678" s="59"/>
      <c r="EQ678" s="59"/>
      <c r="ER678" s="59"/>
      <c r="ES678" s="59"/>
      <c r="ET678" s="59"/>
      <c r="EU678" s="59"/>
      <c r="EV678" s="59"/>
      <c r="EW678" s="59"/>
      <c r="EX678" s="59"/>
      <c r="EY678" s="59"/>
      <c r="EZ678" s="59"/>
      <c r="FA678" s="59"/>
      <c r="FB678" s="59"/>
      <c r="FC678" s="59"/>
      <c r="FD678" s="59"/>
      <c r="FE678" s="59"/>
      <c r="FF678" s="59"/>
      <c r="FG678" s="59"/>
      <c r="FH678" s="59"/>
      <c r="FI678" s="59"/>
      <c r="FJ678" s="59"/>
      <c r="FK678" s="59"/>
      <c r="FL678" s="59"/>
      <c r="FM678" s="59"/>
      <c r="FN678" s="59"/>
      <c r="FO678" s="59"/>
      <c r="FP678" s="59"/>
      <c r="FQ678" s="59"/>
      <c r="FR678" s="59"/>
      <c r="FS678" s="59"/>
      <c r="FT678" s="59"/>
      <c r="FU678" s="59"/>
      <c r="FV678" s="59"/>
      <c r="FW678" s="59"/>
      <c r="FX678" s="59"/>
      <c r="FY678" s="59"/>
      <c r="FZ678" s="59"/>
      <c r="GA678" s="59"/>
      <c r="GB678" s="59"/>
      <c r="GC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59"/>
      <c r="BX679" s="59"/>
      <c r="BY679" s="59"/>
      <c r="BZ679" s="59"/>
      <c r="CA679" s="59"/>
      <c r="CB679" s="59"/>
      <c r="CC679" s="59"/>
      <c r="CD679" s="59"/>
      <c r="CE679" s="59"/>
      <c r="CF679" s="59"/>
      <c r="CG679" s="59"/>
      <c r="CH679" s="59"/>
      <c r="CI679" s="59"/>
      <c r="CJ679" s="59"/>
      <c r="CK679" s="59"/>
      <c r="CL679" s="59"/>
      <c r="CM679" s="59"/>
      <c r="CN679" s="59"/>
      <c r="CO679" s="59"/>
      <c r="CP679" s="59"/>
      <c r="CQ679" s="59"/>
      <c r="CR679" s="59"/>
      <c r="CS679" s="59"/>
      <c r="CT679" s="59"/>
      <c r="CU679" s="59"/>
      <c r="CV679" s="59"/>
      <c r="CW679" s="59"/>
      <c r="CX679" s="59"/>
      <c r="CY679" s="59"/>
      <c r="CZ679" s="59"/>
      <c r="DA679" s="59"/>
      <c r="DB679" s="59"/>
      <c r="DC679" s="59"/>
      <c r="DD679" s="59"/>
      <c r="DE679" s="59"/>
      <c r="DF679" s="59"/>
      <c r="DG679" s="59"/>
      <c r="DH679" s="59"/>
      <c r="DI679" s="59"/>
      <c r="DJ679" s="59"/>
      <c r="DK679" s="59"/>
      <c r="DL679" s="59"/>
      <c r="DM679" s="59"/>
      <c r="DN679" s="59"/>
      <c r="DO679" s="59"/>
      <c r="DP679" s="59"/>
      <c r="DQ679" s="59"/>
      <c r="DR679" s="59"/>
      <c r="DS679" s="59"/>
      <c r="DT679" s="59"/>
      <c r="DU679" s="59"/>
      <c r="DV679" s="59"/>
      <c r="DW679" s="59"/>
      <c r="DX679" s="59"/>
      <c r="DY679" s="59"/>
      <c r="DZ679" s="59"/>
      <c r="EA679" s="59"/>
      <c r="EB679" s="59"/>
      <c r="EC679" s="59"/>
      <c r="ED679" s="59"/>
      <c r="EE679" s="59"/>
      <c r="EF679" s="59"/>
      <c r="EG679" s="59"/>
      <c r="EH679" s="59"/>
      <c r="EI679" s="59"/>
      <c r="EJ679" s="59"/>
      <c r="EK679" s="59"/>
      <c r="EL679" s="59"/>
      <c r="EM679" s="59"/>
      <c r="EN679" s="59"/>
      <c r="EO679" s="59"/>
      <c r="EP679" s="59"/>
      <c r="EQ679" s="59"/>
      <c r="ER679" s="59"/>
      <c r="ES679" s="59"/>
      <c r="ET679" s="59"/>
      <c r="EU679" s="59"/>
      <c r="EV679" s="59"/>
      <c r="EW679" s="59"/>
      <c r="EX679" s="59"/>
      <c r="EY679" s="59"/>
      <c r="EZ679" s="59"/>
      <c r="FA679" s="59"/>
      <c r="FB679" s="59"/>
      <c r="FC679" s="59"/>
      <c r="FD679" s="59"/>
      <c r="FE679" s="59"/>
      <c r="FF679" s="59"/>
      <c r="FG679" s="59"/>
      <c r="FH679" s="59"/>
      <c r="FI679" s="59"/>
      <c r="FJ679" s="59"/>
      <c r="FK679" s="59"/>
      <c r="FL679" s="59"/>
      <c r="FM679" s="59"/>
      <c r="FN679" s="59"/>
      <c r="FO679" s="59"/>
      <c r="FP679" s="59"/>
      <c r="FQ679" s="59"/>
      <c r="FR679" s="59"/>
      <c r="FS679" s="59"/>
      <c r="FT679" s="59"/>
      <c r="FU679" s="59"/>
      <c r="FV679" s="59"/>
      <c r="FW679" s="59"/>
      <c r="FX679" s="59"/>
      <c r="FY679" s="59"/>
      <c r="FZ679" s="59"/>
      <c r="GA679" s="59"/>
      <c r="GB679" s="59"/>
      <c r="GC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  <c r="BW680" s="59"/>
      <c r="BX680" s="59"/>
      <c r="BY680" s="59"/>
      <c r="BZ680" s="59"/>
      <c r="CA680" s="59"/>
      <c r="CB680" s="59"/>
      <c r="CC680" s="59"/>
      <c r="CD680" s="59"/>
      <c r="CE680" s="59"/>
      <c r="CF680" s="59"/>
      <c r="CG680" s="59"/>
      <c r="CH680" s="59"/>
      <c r="CI680" s="59"/>
      <c r="CJ680" s="59"/>
      <c r="CK680" s="59"/>
      <c r="CL680" s="59"/>
      <c r="CM680" s="59"/>
      <c r="CN680" s="59"/>
      <c r="CO680" s="59"/>
      <c r="CP680" s="59"/>
      <c r="CQ680" s="59"/>
      <c r="CR680" s="59"/>
      <c r="CS680" s="59"/>
      <c r="CT680" s="59"/>
      <c r="CU680" s="59"/>
      <c r="CV680" s="59"/>
      <c r="CW680" s="59"/>
      <c r="CX680" s="59"/>
      <c r="CY680" s="59"/>
      <c r="CZ680" s="59"/>
      <c r="DA680" s="59"/>
      <c r="DB680" s="59"/>
      <c r="DC680" s="59"/>
      <c r="DD680" s="59"/>
      <c r="DE680" s="59"/>
      <c r="DF680" s="59"/>
      <c r="DG680" s="59"/>
      <c r="DH680" s="59"/>
      <c r="DI680" s="59"/>
      <c r="DJ680" s="59"/>
      <c r="DK680" s="59"/>
      <c r="DL680" s="59"/>
      <c r="DM680" s="59"/>
      <c r="DN680" s="59"/>
      <c r="DO680" s="59"/>
      <c r="DP680" s="59"/>
      <c r="DQ680" s="59"/>
      <c r="DR680" s="59"/>
      <c r="DS680" s="59"/>
      <c r="DT680" s="59"/>
      <c r="DU680" s="59"/>
      <c r="DV680" s="59"/>
      <c r="DW680" s="59"/>
      <c r="DX680" s="59"/>
      <c r="DY680" s="59"/>
      <c r="DZ680" s="59"/>
      <c r="EA680" s="59"/>
      <c r="EB680" s="59"/>
      <c r="EC680" s="59"/>
      <c r="ED680" s="59"/>
      <c r="EE680" s="59"/>
      <c r="EF680" s="59"/>
      <c r="EG680" s="59"/>
      <c r="EH680" s="59"/>
      <c r="EI680" s="59"/>
      <c r="EJ680" s="59"/>
      <c r="EK680" s="59"/>
      <c r="EL680" s="59"/>
      <c r="EM680" s="59"/>
      <c r="EN680" s="59"/>
      <c r="EO680" s="59"/>
      <c r="EP680" s="59"/>
      <c r="EQ680" s="59"/>
      <c r="ER680" s="59"/>
      <c r="ES680" s="59"/>
      <c r="ET680" s="59"/>
      <c r="EU680" s="59"/>
      <c r="EV680" s="59"/>
      <c r="EW680" s="59"/>
      <c r="EX680" s="59"/>
      <c r="EY680" s="59"/>
      <c r="EZ680" s="59"/>
      <c r="FA680" s="59"/>
      <c r="FB680" s="59"/>
      <c r="FC680" s="59"/>
      <c r="FD680" s="59"/>
      <c r="FE680" s="59"/>
      <c r="FF680" s="59"/>
      <c r="FG680" s="59"/>
      <c r="FH680" s="59"/>
      <c r="FI680" s="59"/>
      <c r="FJ680" s="59"/>
      <c r="FK680" s="59"/>
      <c r="FL680" s="59"/>
      <c r="FM680" s="59"/>
      <c r="FN680" s="59"/>
      <c r="FO680" s="59"/>
      <c r="FP680" s="59"/>
      <c r="FQ680" s="59"/>
      <c r="FR680" s="59"/>
      <c r="FS680" s="59"/>
      <c r="FT680" s="59"/>
      <c r="FU680" s="59"/>
      <c r="FV680" s="59"/>
      <c r="FW680" s="59"/>
      <c r="FX680" s="59"/>
      <c r="FY680" s="59"/>
      <c r="FZ680" s="59"/>
      <c r="GA680" s="59"/>
      <c r="GB680" s="59"/>
      <c r="GC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  <c r="BW681" s="59"/>
      <c r="BX681" s="59"/>
      <c r="BY681" s="59"/>
      <c r="BZ681" s="59"/>
      <c r="CA681" s="59"/>
      <c r="CB681" s="59"/>
      <c r="CC681" s="59"/>
      <c r="CD681" s="59"/>
      <c r="CE681" s="59"/>
      <c r="CF681" s="59"/>
      <c r="CG681" s="59"/>
      <c r="CH681" s="59"/>
      <c r="CI681" s="59"/>
      <c r="CJ681" s="59"/>
      <c r="CK681" s="59"/>
      <c r="CL681" s="59"/>
      <c r="CM681" s="59"/>
      <c r="CN681" s="59"/>
      <c r="CO681" s="59"/>
      <c r="CP681" s="59"/>
      <c r="CQ681" s="59"/>
      <c r="CR681" s="59"/>
      <c r="CS681" s="59"/>
      <c r="CT681" s="59"/>
      <c r="CU681" s="59"/>
      <c r="CV681" s="59"/>
      <c r="CW681" s="59"/>
      <c r="CX681" s="59"/>
      <c r="CY681" s="59"/>
      <c r="CZ681" s="59"/>
      <c r="DA681" s="59"/>
      <c r="DB681" s="59"/>
      <c r="DC681" s="59"/>
      <c r="DD681" s="59"/>
      <c r="DE681" s="59"/>
      <c r="DF681" s="59"/>
      <c r="DG681" s="59"/>
      <c r="DH681" s="59"/>
      <c r="DI681" s="59"/>
      <c r="DJ681" s="59"/>
      <c r="DK681" s="59"/>
      <c r="DL681" s="59"/>
      <c r="DM681" s="59"/>
      <c r="DN681" s="59"/>
      <c r="DO681" s="59"/>
      <c r="DP681" s="59"/>
      <c r="DQ681" s="59"/>
      <c r="DR681" s="59"/>
      <c r="DS681" s="59"/>
      <c r="DT681" s="59"/>
      <c r="DU681" s="59"/>
      <c r="DV681" s="59"/>
      <c r="DW681" s="59"/>
      <c r="DX681" s="59"/>
      <c r="DY681" s="59"/>
      <c r="DZ681" s="59"/>
      <c r="EA681" s="59"/>
      <c r="EB681" s="59"/>
      <c r="EC681" s="59"/>
      <c r="ED681" s="59"/>
      <c r="EE681" s="59"/>
      <c r="EF681" s="59"/>
      <c r="EG681" s="59"/>
      <c r="EH681" s="59"/>
      <c r="EI681" s="59"/>
      <c r="EJ681" s="59"/>
      <c r="EK681" s="59"/>
      <c r="EL681" s="59"/>
      <c r="EM681" s="59"/>
      <c r="EN681" s="59"/>
      <c r="EO681" s="59"/>
      <c r="EP681" s="59"/>
      <c r="EQ681" s="59"/>
      <c r="ER681" s="59"/>
      <c r="ES681" s="59"/>
      <c r="ET681" s="59"/>
      <c r="EU681" s="59"/>
      <c r="EV681" s="59"/>
      <c r="EW681" s="59"/>
      <c r="EX681" s="59"/>
      <c r="EY681" s="59"/>
      <c r="EZ681" s="59"/>
      <c r="FA681" s="59"/>
      <c r="FB681" s="59"/>
      <c r="FC681" s="59"/>
      <c r="FD681" s="59"/>
      <c r="FE681" s="59"/>
      <c r="FF681" s="59"/>
      <c r="FG681" s="59"/>
      <c r="FH681" s="59"/>
      <c r="FI681" s="59"/>
      <c r="FJ681" s="59"/>
      <c r="FK681" s="59"/>
      <c r="FL681" s="59"/>
      <c r="FM681" s="59"/>
      <c r="FN681" s="59"/>
      <c r="FO681" s="59"/>
      <c r="FP681" s="59"/>
      <c r="FQ681" s="59"/>
      <c r="FR681" s="59"/>
      <c r="FS681" s="59"/>
      <c r="FT681" s="59"/>
      <c r="FU681" s="59"/>
      <c r="FV681" s="59"/>
      <c r="FW681" s="59"/>
      <c r="FX681" s="59"/>
      <c r="FY681" s="59"/>
      <c r="FZ681" s="59"/>
      <c r="GA681" s="59"/>
      <c r="GB681" s="59"/>
      <c r="GC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  <c r="BW682" s="59"/>
      <c r="BX682" s="59"/>
      <c r="BY682" s="59"/>
      <c r="BZ682" s="59"/>
      <c r="CA682" s="59"/>
      <c r="CB682" s="59"/>
      <c r="CC682" s="59"/>
      <c r="CD682" s="59"/>
      <c r="CE682" s="59"/>
      <c r="CF682" s="59"/>
      <c r="CG682" s="59"/>
      <c r="CH682" s="59"/>
      <c r="CI682" s="59"/>
      <c r="CJ682" s="59"/>
      <c r="CK682" s="59"/>
      <c r="CL682" s="59"/>
      <c r="CM682" s="59"/>
      <c r="CN682" s="59"/>
      <c r="CO682" s="59"/>
      <c r="CP682" s="59"/>
      <c r="CQ682" s="59"/>
      <c r="CR682" s="59"/>
      <c r="CS682" s="59"/>
      <c r="CT682" s="59"/>
      <c r="CU682" s="59"/>
      <c r="CV682" s="59"/>
      <c r="CW682" s="59"/>
      <c r="CX682" s="59"/>
      <c r="CY682" s="59"/>
      <c r="CZ682" s="59"/>
      <c r="DA682" s="59"/>
      <c r="DB682" s="59"/>
      <c r="DC682" s="59"/>
      <c r="DD682" s="59"/>
      <c r="DE682" s="59"/>
      <c r="DF682" s="59"/>
      <c r="DG682" s="59"/>
      <c r="DH682" s="59"/>
      <c r="DI682" s="59"/>
      <c r="DJ682" s="59"/>
      <c r="DK682" s="59"/>
      <c r="DL682" s="59"/>
      <c r="DM682" s="59"/>
      <c r="DN682" s="59"/>
      <c r="DO682" s="59"/>
      <c r="DP682" s="59"/>
      <c r="DQ682" s="59"/>
      <c r="DR682" s="59"/>
      <c r="DS682" s="59"/>
      <c r="DT682" s="59"/>
      <c r="DU682" s="59"/>
      <c r="DV682" s="59"/>
      <c r="DW682" s="59"/>
      <c r="DX682" s="59"/>
      <c r="DY682" s="59"/>
      <c r="DZ682" s="59"/>
      <c r="EA682" s="59"/>
      <c r="EB682" s="59"/>
      <c r="EC682" s="59"/>
      <c r="ED682" s="59"/>
      <c r="EE682" s="59"/>
      <c r="EF682" s="59"/>
      <c r="EG682" s="59"/>
      <c r="EH682" s="59"/>
      <c r="EI682" s="59"/>
      <c r="EJ682" s="59"/>
      <c r="EK682" s="59"/>
      <c r="EL682" s="59"/>
      <c r="EM682" s="59"/>
      <c r="EN682" s="59"/>
      <c r="EO682" s="59"/>
      <c r="EP682" s="59"/>
      <c r="EQ682" s="59"/>
      <c r="ER682" s="59"/>
      <c r="ES682" s="59"/>
      <c r="ET682" s="59"/>
      <c r="EU682" s="59"/>
      <c r="EV682" s="59"/>
      <c r="EW682" s="59"/>
      <c r="EX682" s="59"/>
      <c r="EY682" s="59"/>
      <c r="EZ682" s="59"/>
      <c r="FA682" s="59"/>
      <c r="FB682" s="59"/>
      <c r="FC682" s="59"/>
      <c r="FD682" s="59"/>
      <c r="FE682" s="59"/>
      <c r="FF682" s="59"/>
      <c r="FG682" s="59"/>
      <c r="FH682" s="59"/>
      <c r="FI682" s="59"/>
      <c r="FJ682" s="59"/>
      <c r="FK682" s="59"/>
      <c r="FL682" s="59"/>
      <c r="FM682" s="59"/>
      <c r="FN682" s="59"/>
      <c r="FO682" s="59"/>
      <c r="FP682" s="59"/>
      <c r="FQ682" s="59"/>
      <c r="FR682" s="59"/>
      <c r="FS682" s="59"/>
      <c r="FT682" s="59"/>
      <c r="FU682" s="59"/>
      <c r="FV682" s="59"/>
      <c r="FW682" s="59"/>
      <c r="FX682" s="59"/>
      <c r="FY682" s="59"/>
      <c r="FZ682" s="59"/>
      <c r="GA682" s="59"/>
      <c r="GB682" s="59"/>
      <c r="GC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  <c r="BW683" s="59"/>
      <c r="BX683" s="59"/>
      <c r="BY683" s="59"/>
      <c r="BZ683" s="59"/>
      <c r="CA683" s="59"/>
      <c r="CB683" s="59"/>
      <c r="CC683" s="59"/>
      <c r="CD683" s="59"/>
      <c r="CE683" s="59"/>
      <c r="CF683" s="59"/>
      <c r="CG683" s="59"/>
      <c r="CH683" s="59"/>
      <c r="CI683" s="59"/>
      <c r="CJ683" s="59"/>
      <c r="CK683" s="59"/>
      <c r="CL683" s="59"/>
      <c r="CM683" s="59"/>
      <c r="CN683" s="59"/>
      <c r="CO683" s="59"/>
      <c r="CP683" s="59"/>
      <c r="CQ683" s="59"/>
      <c r="CR683" s="59"/>
      <c r="CS683" s="59"/>
      <c r="CT683" s="59"/>
      <c r="CU683" s="59"/>
      <c r="CV683" s="59"/>
      <c r="CW683" s="59"/>
      <c r="CX683" s="59"/>
      <c r="CY683" s="59"/>
      <c r="CZ683" s="59"/>
      <c r="DA683" s="59"/>
      <c r="DB683" s="59"/>
      <c r="DC683" s="59"/>
      <c r="DD683" s="59"/>
      <c r="DE683" s="59"/>
      <c r="DF683" s="59"/>
      <c r="DG683" s="59"/>
      <c r="DH683" s="59"/>
      <c r="DI683" s="59"/>
      <c r="DJ683" s="59"/>
      <c r="DK683" s="59"/>
      <c r="DL683" s="59"/>
      <c r="DM683" s="59"/>
      <c r="DN683" s="59"/>
      <c r="DO683" s="59"/>
      <c r="DP683" s="59"/>
      <c r="DQ683" s="59"/>
      <c r="DR683" s="59"/>
      <c r="DS683" s="59"/>
      <c r="DT683" s="59"/>
      <c r="DU683" s="59"/>
      <c r="DV683" s="59"/>
      <c r="DW683" s="59"/>
      <c r="DX683" s="59"/>
      <c r="DY683" s="59"/>
      <c r="DZ683" s="59"/>
      <c r="EA683" s="59"/>
      <c r="EB683" s="59"/>
      <c r="EC683" s="59"/>
      <c r="ED683" s="59"/>
      <c r="EE683" s="59"/>
      <c r="EF683" s="59"/>
      <c r="EG683" s="59"/>
      <c r="EH683" s="59"/>
      <c r="EI683" s="59"/>
      <c r="EJ683" s="59"/>
      <c r="EK683" s="59"/>
      <c r="EL683" s="59"/>
      <c r="EM683" s="59"/>
      <c r="EN683" s="59"/>
      <c r="EO683" s="59"/>
      <c r="EP683" s="59"/>
      <c r="EQ683" s="59"/>
      <c r="ER683" s="59"/>
      <c r="ES683" s="59"/>
      <c r="ET683" s="59"/>
      <c r="EU683" s="59"/>
      <c r="EV683" s="59"/>
      <c r="EW683" s="59"/>
      <c r="EX683" s="59"/>
      <c r="EY683" s="59"/>
      <c r="EZ683" s="59"/>
      <c r="FA683" s="59"/>
      <c r="FB683" s="59"/>
      <c r="FC683" s="59"/>
      <c r="FD683" s="59"/>
      <c r="FE683" s="59"/>
      <c r="FF683" s="59"/>
      <c r="FG683" s="59"/>
      <c r="FH683" s="59"/>
      <c r="FI683" s="59"/>
      <c r="FJ683" s="59"/>
      <c r="FK683" s="59"/>
      <c r="FL683" s="59"/>
      <c r="FM683" s="59"/>
      <c r="FN683" s="59"/>
      <c r="FO683" s="59"/>
      <c r="FP683" s="59"/>
      <c r="FQ683" s="59"/>
      <c r="FR683" s="59"/>
      <c r="FS683" s="59"/>
      <c r="FT683" s="59"/>
      <c r="FU683" s="59"/>
      <c r="FV683" s="59"/>
      <c r="FW683" s="59"/>
      <c r="FX683" s="59"/>
      <c r="FY683" s="59"/>
      <c r="FZ683" s="59"/>
      <c r="GA683" s="59"/>
      <c r="GB683" s="59"/>
      <c r="GC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  <c r="BV684" s="59"/>
      <c r="BW684" s="59"/>
      <c r="BX684" s="59"/>
      <c r="BY684" s="59"/>
      <c r="BZ684" s="59"/>
      <c r="CA684" s="59"/>
      <c r="CB684" s="59"/>
      <c r="CC684" s="59"/>
      <c r="CD684" s="59"/>
      <c r="CE684" s="59"/>
      <c r="CF684" s="59"/>
      <c r="CG684" s="59"/>
      <c r="CH684" s="59"/>
      <c r="CI684" s="59"/>
      <c r="CJ684" s="59"/>
      <c r="CK684" s="59"/>
      <c r="CL684" s="59"/>
      <c r="CM684" s="59"/>
      <c r="CN684" s="59"/>
      <c r="CO684" s="59"/>
      <c r="CP684" s="59"/>
      <c r="CQ684" s="59"/>
      <c r="CR684" s="59"/>
      <c r="CS684" s="59"/>
      <c r="CT684" s="59"/>
      <c r="CU684" s="59"/>
      <c r="CV684" s="59"/>
      <c r="CW684" s="59"/>
      <c r="CX684" s="59"/>
      <c r="CY684" s="59"/>
      <c r="CZ684" s="59"/>
      <c r="DA684" s="59"/>
      <c r="DB684" s="59"/>
      <c r="DC684" s="59"/>
      <c r="DD684" s="59"/>
      <c r="DE684" s="59"/>
      <c r="DF684" s="59"/>
      <c r="DG684" s="59"/>
      <c r="DH684" s="59"/>
      <c r="DI684" s="59"/>
      <c r="DJ684" s="59"/>
      <c r="DK684" s="59"/>
      <c r="DL684" s="59"/>
      <c r="DM684" s="59"/>
      <c r="DN684" s="59"/>
      <c r="DO684" s="59"/>
      <c r="DP684" s="59"/>
      <c r="DQ684" s="59"/>
      <c r="DR684" s="59"/>
      <c r="DS684" s="59"/>
      <c r="DT684" s="59"/>
      <c r="DU684" s="59"/>
      <c r="DV684" s="59"/>
      <c r="DW684" s="59"/>
      <c r="DX684" s="59"/>
      <c r="DY684" s="59"/>
      <c r="DZ684" s="59"/>
      <c r="EA684" s="59"/>
      <c r="EB684" s="59"/>
      <c r="EC684" s="59"/>
      <c r="ED684" s="59"/>
      <c r="EE684" s="59"/>
      <c r="EF684" s="59"/>
      <c r="EG684" s="59"/>
      <c r="EH684" s="59"/>
      <c r="EI684" s="59"/>
      <c r="EJ684" s="59"/>
      <c r="EK684" s="59"/>
      <c r="EL684" s="59"/>
      <c r="EM684" s="59"/>
      <c r="EN684" s="59"/>
      <c r="EO684" s="59"/>
      <c r="EP684" s="59"/>
      <c r="EQ684" s="59"/>
      <c r="ER684" s="59"/>
      <c r="ES684" s="59"/>
      <c r="ET684" s="59"/>
      <c r="EU684" s="59"/>
      <c r="EV684" s="59"/>
      <c r="EW684" s="59"/>
      <c r="EX684" s="59"/>
      <c r="EY684" s="59"/>
      <c r="EZ684" s="59"/>
      <c r="FA684" s="59"/>
      <c r="FB684" s="59"/>
      <c r="FC684" s="59"/>
      <c r="FD684" s="59"/>
      <c r="FE684" s="59"/>
      <c r="FF684" s="59"/>
      <c r="FG684" s="59"/>
      <c r="FH684" s="59"/>
      <c r="FI684" s="59"/>
      <c r="FJ684" s="59"/>
      <c r="FK684" s="59"/>
      <c r="FL684" s="59"/>
      <c r="FM684" s="59"/>
      <c r="FN684" s="59"/>
      <c r="FO684" s="59"/>
      <c r="FP684" s="59"/>
      <c r="FQ684" s="59"/>
      <c r="FR684" s="59"/>
      <c r="FS684" s="59"/>
      <c r="FT684" s="59"/>
      <c r="FU684" s="59"/>
      <c r="FV684" s="59"/>
      <c r="FW684" s="59"/>
      <c r="FX684" s="59"/>
      <c r="FY684" s="59"/>
      <c r="FZ684" s="59"/>
      <c r="GA684" s="59"/>
      <c r="GB684" s="59"/>
      <c r="GC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  <c r="BV685" s="59"/>
      <c r="BW685" s="59"/>
      <c r="BX685" s="59"/>
      <c r="BY685" s="59"/>
      <c r="BZ685" s="59"/>
      <c r="CA685" s="59"/>
      <c r="CB685" s="59"/>
      <c r="CC685" s="59"/>
      <c r="CD685" s="59"/>
      <c r="CE685" s="59"/>
      <c r="CF685" s="59"/>
      <c r="CG685" s="59"/>
      <c r="CH685" s="59"/>
      <c r="CI685" s="59"/>
      <c r="CJ685" s="59"/>
      <c r="CK685" s="59"/>
      <c r="CL685" s="59"/>
      <c r="CM685" s="59"/>
      <c r="CN685" s="59"/>
      <c r="CO685" s="59"/>
      <c r="CP685" s="59"/>
      <c r="CQ685" s="59"/>
      <c r="CR685" s="59"/>
      <c r="CS685" s="59"/>
      <c r="CT685" s="59"/>
      <c r="CU685" s="59"/>
      <c r="CV685" s="59"/>
      <c r="CW685" s="59"/>
      <c r="CX685" s="59"/>
      <c r="CY685" s="59"/>
      <c r="CZ685" s="59"/>
      <c r="DA685" s="59"/>
      <c r="DB685" s="59"/>
      <c r="DC685" s="59"/>
      <c r="DD685" s="59"/>
      <c r="DE685" s="59"/>
      <c r="DF685" s="59"/>
      <c r="DG685" s="59"/>
      <c r="DH685" s="59"/>
      <c r="DI685" s="59"/>
      <c r="DJ685" s="59"/>
      <c r="DK685" s="59"/>
      <c r="DL685" s="59"/>
      <c r="DM685" s="59"/>
      <c r="DN685" s="59"/>
      <c r="DO685" s="59"/>
      <c r="DP685" s="59"/>
      <c r="DQ685" s="59"/>
      <c r="DR685" s="59"/>
      <c r="DS685" s="59"/>
      <c r="DT685" s="59"/>
      <c r="DU685" s="59"/>
      <c r="DV685" s="59"/>
      <c r="DW685" s="59"/>
      <c r="DX685" s="59"/>
      <c r="DY685" s="59"/>
      <c r="DZ685" s="59"/>
      <c r="EA685" s="59"/>
      <c r="EB685" s="59"/>
      <c r="EC685" s="59"/>
      <c r="ED685" s="59"/>
      <c r="EE685" s="59"/>
      <c r="EF685" s="59"/>
      <c r="EG685" s="59"/>
      <c r="EH685" s="59"/>
      <c r="EI685" s="59"/>
      <c r="EJ685" s="59"/>
      <c r="EK685" s="59"/>
      <c r="EL685" s="59"/>
      <c r="EM685" s="59"/>
      <c r="EN685" s="59"/>
      <c r="EO685" s="59"/>
      <c r="EP685" s="59"/>
      <c r="EQ685" s="59"/>
      <c r="ER685" s="59"/>
      <c r="ES685" s="59"/>
      <c r="ET685" s="59"/>
      <c r="EU685" s="59"/>
      <c r="EV685" s="59"/>
      <c r="EW685" s="59"/>
      <c r="EX685" s="59"/>
      <c r="EY685" s="59"/>
      <c r="EZ685" s="59"/>
      <c r="FA685" s="59"/>
      <c r="FB685" s="59"/>
      <c r="FC685" s="59"/>
      <c r="FD685" s="59"/>
      <c r="FE685" s="59"/>
      <c r="FF685" s="59"/>
      <c r="FG685" s="59"/>
      <c r="FH685" s="59"/>
      <c r="FI685" s="59"/>
      <c r="FJ685" s="59"/>
      <c r="FK685" s="59"/>
      <c r="FL685" s="59"/>
      <c r="FM685" s="59"/>
      <c r="FN685" s="59"/>
      <c r="FO685" s="59"/>
      <c r="FP685" s="59"/>
      <c r="FQ685" s="59"/>
      <c r="FR685" s="59"/>
      <c r="FS685" s="59"/>
      <c r="FT685" s="59"/>
      <c r="FU685" s="59"/>
      <c r="FV685" s="59"/>
      <c r="FW685" s="59"/>
      <c r="FX685" s="59"/>
      <c r="FY685" s="59"/>
      <c r="FZ685" s="59"/>
      <c r="GA685" s="59"/>
      <c r="GB685" s="59"/>
      <c r="GC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  <c r="BV686" s="59"/>
      <c r="BW686" s="59"/>
      <c r="BX686" s="59"/>
      <c r="BY686" s="59"/>
      <c r="BZ686" s="59"/>
      <c r="CA686" s="59"/>
      <c r="CB686" s="59"/>
      <c r="CC686" s="59"/>
      <c r="CD686" s="59"/>
      <c r="CE686" s="59"/>
      <c r="CF686" s="59"/>
      <c r="CG686" s="59"/>
      <c r="CH686" s="59"/>
      <c r="CI686" s="59"/>
      <c r="CJ686" s="59"/>
      <c r="CK686" s="59"/>
      <c r="CL686" s="59"/>
      <c r="CM686" s="59"/>
      <c r="CN686" s="59"/>
      <c r="CO686" s="59"/>
      <c r="CP686" s="59"/>
      <c r="CQ686" s="59"/>
      <c r="CR686" s="59"/>
      <c r="CS686" s="59"/>
      <c r="CT686" s="59"/>
      <c r="CU686" s="59"/>
      <c r="CV686" s="59"/>
      <c r="CW686" s="59"/>
      <c r="CX686" s="59"/>
      <c r="CY686" s="59"/>
      <c r="CZ686" s="59"/>
      <c r="DA686" s="59"/>
      <c r="DB686" s="59"/>
      <c r="DC686" s="59"/>
      <c r="DD686" s="59"/>
      <c r="DE686" s="59"/>
      <c r="DF686" s="59"/>
      <c r="DG686" s="59"/>
      <c r="DH686" s="59"/>
      <c r="DI686" s="59"/>
      <c r="DJ686" s="59"/>
      <c r="DK686" s="59"/>
      <c r="DL686" s="59"/>
      <c r="DM686" s="59"/>
      <c r="DN686" s="59"/>
      <c r="DO686" s="59"/>
      <c r="DP686" s="59"/>
      <c r="DQ686" s="59"/>
      <c r="DR686" s="59"/>
      <c r="DS686" s="59"/>
      <c r="DT686" s="59"/>
      <c r="DU686" s="59"/>
      <c r="DV686" s="59"/>
      <c r="DW686" s="59"/>
      <c r="DX686" s="59"/>
      <c r="DY686" s="59"/>
      <c r="DZ686" s="59"/>
      <c r="EA686" s="59"/>
      <c r="EB686" s="59"/>
      <c r="EC686" s="59"/>
      <c r="ED686" s="59"/>
      <c r="EE686" s="59"/>
      <c r="EF686" s="59"/>
      <c r="EG686" s="59"/>
      <c r="EH686" s="59"/>
      <c r="EI686" s="59"/>
      <c r="EJ686" s="59"/>
      <c r="EK686" s="59"/>
      <c r="EL686" s="59"/>
      <c r="EM686" s="59"/>
      <c r="EN686" s="59"/>
      <c r="EO686" s="59"/>
      <c r="EP686" s="59"/>
      <c r="EQ686" s="59"/>
      <c r="ER686" s="59"/>
      <c r="ES686" s="59"/>
      <c r="ET686" s="59"/>
      <c r="EU686" s="59"/>
      <c r="EV686" s="59"/>
      <c r="EW686" s="59"/>
      <c r="EX686" s="59"/>
      <c r="EY686" s="59"/>
      <c r="EZ686" s="59"/>
      <c r="FA686" s="59"/>
      <c r="FB686" s="59"/>
      <c r="FC686" s="59"/>
      <c r="FD686" s="59"/>
      <c r="FE686" s="59"/>
      <c r="FF686" s="59"/>
      <c r="FG686" s="59"/>
      <c r="FH686" s="59"/>
      <c r="FI686" s="59"/>
      <c r="FJ686" s="59"/>
      <c r="FK686" s="59"/>
      <c r="FL686" s="59"/>
      <c r="FM686" s="59"/>
      <c r="FN686" s="59"/>
      <c r="FO686" s="59"/>
      <c r="FP686" s="59"/>
      <c r="FQ686" s="59"/>
      <c r="FR686" s="59"/>
      <c r="FS686" s="59"/>
      <c r="FT686" s="59"/>
      <c r="FU686" s="59"/>
      <c r="FV686" s="59"/>
      <c r="FW686" s="59"/>
      <c r="FX686" s="59"/>
      <c r="FY686" s="59"/>
      <c r="FZ686" s="59"/>
      <c r="GA686" s="59"/>
      <c r="GB686" s="59"/>
      <c r="GC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  <c r="BV687" s="59"/>
      <c r="BW687" s="59"/>
      <c r="BX687" s="59"/>
      <c r="BY687" s="59"/>
      <c r="BZ687" s="59"/>
      <c r="CA687" s="59"/>
      <c r="CB687" s="59"/>
      <c r="CC687" s="59"/>
      <c r="CD687" s="59"/>
      <c r="CE687" s="59"/>
      <c r="CF687" s="59"/>
      <c r="CG687" s="59"/>
      <c r="CH687" s="59"/>
      <c r="CI687" s="59"/>
      <c r="CJ687" s="59"/>
      <c r="CK687" s="59"/>
      <c r="CL687" s="59"/>
      <c r="CM687" s="59"/>
      <c r="CN687" s="59"/>
      <c r="CO687" s="59"/>
      <c r="CP687" s="59"/>
      <c r="CQ687" s="59"/>
      <c r="CR687" s="59"/>
      <c r="CS687" s="59"/>
      <c r="CT687" s="59"/>
      <c r="CU687" s="59"/>
      <c r="CV687" s="59"/>
      <c r="CW687" s="59"/>
      <c r="CX687" s="59"/>
      <c r="CY687" s="59"/>
      <c r="CZ687" s="59"/>
      <c r="DA687" s="59"/>
      <c r="DB687" s="59"/>
      <c r="DC687" s="59"/>
      <c r="DD687" s="59"/>
      <c r="DE687" s="59"/>
      <c r="DF687" s="59"/>
      <c r="DG687" s="59"/>
      <c r="DH687" s="59"/>
      <c r="DI687" s="59"/>
      <c r="DJ687" s="59"/>
      <c r="DK687" s="59"/>
      <c r="DL687" s="59"/>
      <c r="DM687" s="59"/>
      <c r="DN687" s="59"/>
      <c r="DO687" s="59"/>
      <c r="DP687" s="59"/>
      <c r="DQ687" s="59"/>
      <c r="DR687" s="59"/>
      <c r="DS687" s="59"/>
      <c r="DT687" s="59"/>
      <c r="DU687" s="59"/>
      <c r="DV687" s="59"/>
      <c r="DW687" s="59"/>
      <c r="DX687" s="59"/>
      <c r="DY687" s="59"/>
      <c r="DZ687" s="59"/>
      <c r="EA687" s="59"/>
      <c r="EB687" s="59"/>
      <c r="EC687" s="59"/>
      <c r="ED687" s="59"/>
      <c r="EE687" s="59"/>
      <c r="EF687" s="59"/>
      <c r="EG687" s="59"/>
      <c r="EH687" s="59"/>
      <c r="EI687" s="59"/>
      <c r="EJ687" s="59"/>
      <c r="EK687" s="59"/>
      <c r="EL687" s="59"/>
      <c r="EM687" s="59"/>
      <c r="EN687" s="59"/>
      <c r="EO687" s="59"/>
      <c r="EP687" s="59"/>
      <c r="EQ687" s="59"/>
      <c r="ER687" s="59"/>
      <c r="ES687" s="59"/>
      <c r="ET687" s="59"/>
      <c r="EU687" s="59"/>
      <c r="EV687" s="59"/>
      <c r="EW687" s="59"/>
      <c r="EX687" s="59"/>
      <c r="EY687" s="59"/>
      <c r="EZ687" s="59"/>
      <c r="FA687" s="59"/>
      <c r="FB687" s="59"/>
      <c r="FC687" s="59"/>
      <c r="FD687" s="59"/>
      <c r="FE687" s="59"/>
      <c r="FF687" s="59"/>
      <c r="FG687" s="59"/>
      <c r="FH687" s="59"/>
      <c r="FI687" s="59"/>
      <c r="FJ687" s="59"/>
      <c r="FK687" s="59"/>
      <c r="FL687" s="59"/>
      <c r="FM687" s="59"/>
      <c r="FN687" s="59"/>
      <c r="FO687" s="59"/>
      <c r="FP687" s="59"/>
      <c r="FQ687" s="59"/>
      <c r="FR687" s="59"/>
      <c r="FS687" s="59"/>
      <c r="FT687" s="59"/>
      <c r="FU687" s="59"/>
      <c r="FV687" s="59"/>
      <c r="FW687" s="59"/>
      <c r="FX687" s="59"/>
      <c r="FY687" s="59"/>
      <c r="FZ687" s="59"/>
      <c r="GA687" s="59"/>
      <c r="GB687" s="59"/>
      <c r="GC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  <c r="BV688" s="59"/>
      <c r="BW688" s="59"/>
      <c r="BX688" s="59"/>
      <c r="BY688" s="59"/>
      <c r="BZ688" s="59"/>
      <c r="CA688" s="59"/>
      <c r="CB688" s="59"/>
      <c r="CC688" s="59"/>
      <c r="CD688" s="59"/>
      <c r="CE688" s="59"/>
      <c r="CF688" s="59"/>
      <c r="CG688" s="59"/>
      <c r="CH688" s="59"/>
      <c r="CI688" s="59"/>
      <c r="CJ688" s="59"/>
      <c r="CK688" s="59"/>
      <c r="CL688" s="59"/>
      <c r="CM688" s="59"/>
      <c r="CN688" s="59"/>
      <c r="CO688" s="59"/>
      <c r="CP688" s="59"/>
      <c r="CQ688" s="59"/>
      <c r="CR688" s="59"/>
      <c r="CS688" s="59"/>
      <c r="CT688" s="59"/>
      <c r="CU688" s="59"/>
      <c r="CV688" s="59"/>
      <c r="CW688" s="59"/>
      <c r="CX688" s="59"/>
      <c r="CY688" s="59"/>
      <c r="CZ688" s="59"/>
      <c r="DA688" s="59"/>
      <c r="DB688" s="59"/>
      <c r="DC688" s="59"/>
      <c r="DD688" s="59"/>
      <c r="DE688" s="59"/>
      <c r="DF688" s="59"/>
      <c r="DG688" s="59"/>
      <c r="DH688" s="59"/>
      <c r="DI688" s="59"/>
      <c r="DJ688" s="59"/>
      <c r="DK688" s="59"/>
      <c r="DL688" s="59"/>
      <c r="DM688" s="59"/>
      <c r="DN688" s="59"/>
      <c r="DO688" s="59"/>
      <c r="DP688" s="59"/>
      <c r="DQ688" s="59"/>
      <c r="DR688" s="59"/>
      <c r="DS688" s="59"/>
      <c r="DT688" s="59"/>
      <c r="DU688" s="59"/>
      <c r="DV688" s="59"/>
      <c r="DW688" s="59"/>
      <c r="DX688" s="59"/>
      <c r="DY688" s="59"/>
      <c r="DZ688" s="59"/>
      <c r="EA688" s="59"/>
      <c r="EB688" s="59"/>
      <c r="EC688" s="59"/>
      <c r="ED688" s="59"/>
      <c r="EE688" s="59"/>
      <c r="EF688" s="59"/>
      <c r="EG688" s="59"/>
      <c r="EH688" s="59"/>
      <c r="EI688" s="59"/>
      <c r="EJ688" s="59"/>
      <c r="EK688" s="59"/>
      <c r="EL688" s="59"/>
      <c r="EM688" s="59"/>
      <c r="EN688" s="59"/>
      <c r="EO688" s="59"/>
      <c r="EP688" s="59"/>
      <c r="EQ688" s="59"/>
      <c r="ER688" s="59"/>
      <c r="ES688" s="59"/>
      <c r="ET688" s="59"/>
      <c r="EU688" s="59"/>
      <c r="EV688" s="59"/>
      <c r="EW688" s="59"/>
      <c r="EX688" s="59"/>
      <c r="EY688" s="59"/>
      <c r="EZ688" s="59"/>
      <c r="FA688" s="59"/>
      <c r="FB688" s="59"/>
      <c r="FC688" s="59"/>
      <c r="FD688" s="59"/>
      <c r="FE688" s="59"/>
      <c r="FF688" s="59"/>
      <c r="FG688" s="59"/>
      <c r="FH688" s="59"/>
      <c r="FI688" s="59"/>
      <c r="FJ688" s="59"/>
      <c r="FK688" s="59"/>
      <c r="FL688" s="59"/>
      <c r="FM688" s="59"/>
      <c r="FN688" s="59"/>
      <c r="FO688" s="59"/>
      <c r="FP688" s="59"/>
      <c r="FQ688" s="59"/>
      <c r="FR688" s="59"/>
      <c r="FS688" s="59"/>
      <c r="FT688" s="59"/>
      <c r="FU688" s="59"/>
      <c r="FV688" s="59"/>
      <c r="FW688" s="59"/>
      <c r="FX688" s="59"/>
      <c r="FY688" s="59"/>
      <c r="FZ688" s="59"/>
      <c r="GA688" s="59"/>
      <c r="GB688" s="59"/>
      <c r="GC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  <c r="BV689" s="59"/>
      <c r="BW689" s="59"/>
      <c r="BX689" s="59"/>
      <c r="BY689" s="59"/>
      <c r="BZ689" s="59"/>
      <c r="CA689" s="59"/>
      <c r="CB689" s="59"/>
      <c r="CC689" s="59"/>
      <c r="CD689" s="59"/>
      <c r="CE689" s="59"/>
      <c r="CF689" s="59"/>
      <c r="CG689" s="59"/>
      <c r="CH689" s="59"/>
      <c r="CI689" s="59"/>
      <c r="CJ689" s="59"/>
      <c r="CK689" s="59"/>
      <c r="CL689" s="59"/>
      <c r="CM689" s="59"/>
      <c r="CN689" s="59"/>
      <c r="CO689" s="59"/>
      <c r="CP689" s="59"/>
      <c r="CQ689" s="59"/>
      <c r="CR689" s="59"/>
      <c r="CS689" s="59"/>
      <c r="CT689" s="59"/>
      <c r="CU689" s="59"/>
      <c r="CV689" s="59"/>
      <c r="CW689" s="59"/>
      <c r="CX689" s="59"/>
      <c r="CY689" s="59"/>
      <c r="CZ689" s="59"/>
      <c r="DA689" s="59"/>
      <c r="DB689" s="59"/>
      <c r="DC689" s="59"/>
      <c r="DD689" s="59"/>
      <c r="DE689" s="59"/>
      <c r="DF689" s="59"/>
      <c r="DG689" s="59"/>
      <c r="DH689" s="59"/>
      <c r="DI689" s="59"/>
      <c r="DJ689" s="59"/>
      <c r="DK689" s="59"/>
      <c r="DL689" s="59"/>
      <c r="DM689" s="59"/>
      <c r="DN689" s="59"/>
      <c r="DO689" s="59"/>
      <c r="DP689" s="59"/>
      <c r="DQ689" s="59"/>
      <c r="DR689" s="59"/>
      <c r="DS689" s="59"/>
      <c r="DT689" s="59"/>
      <c r="DU689" s="59"/>
      <c r="DV689" s="59"/>
      <c r="DW689" s="59"/>
      <c r="DX689" s="59"/>
      <c r="DY689" s="59"/>
      <c r="DZ689" s="59"/>
      <c r="EA689" s="59"/>
      <c r="EB689" s="59"/>
      <c r="EC689" s="59"/>
      <c r="ED689" s="59"/>
      <c r="EE689" s="59"/>
      <c r="EF689" s="59"/>
      <c r="EG689" s="59"/>
      <c r="EH689" s="59"/>
      <c r="EI689" s="59"/>
      <c r="EJ689" s="59"/>
      <c r="EK689" s="59"/>
      <c r="EL689" s="59"/>
      <c r="EM689" s="59"/>
      <c r="EN689" s="59"/>
      <c r="EO689" s="59"/>
      <c r="EP689" s="59"/>
      <c r="EQ689" s="59"/>
      <c r="ER689" s="59"/>
      <c r="ES689" s="59"/>
      <c r="ET689" s="59"/>
      <c r="EU689" s="59"/>
      <c r="EV689" s="59"/>
      <c r="EW689" s="59"/>
      <c r="EX689" s="59"/>
      <c r="EY689" s="59"/>
      <c r="EZ689" s="59"/>
      <c r="FA689" s="59"/>
      <c r="FB689" s="59"/>
      <c r="FC689" s="59"/>
      <c r="FD689" s="59"/>
      <c r="FE689" s="59"/>
      <c r="FF689" s="59"/>
      <c r="FG689" s="59"/>
      <c r="FH689" s="59"/>
      <c r="FI689" s="59"/>
      <c r="FJ689" s="59"/>
      <c r="FK689" s="59"/>
      <c r="FL689" s="59"/>
      <c r="FM689" s="59"/>
      <c r="FN689" s="59"/>
      <c r="FO689" s="59"/>
      <c r="FP689" s="59"/>
      <c r="FQ689" s="59"/>
      <c r="FR689" s="59"/>
      <c r="FS689" s="59"/>
      <c r="FT689" s="59"/>
      <c r="FU689" s="59"/>
      <c r="FV689" s="59"/>
      <c r="FW689" s="59"/>
      <c r="FX689" s="59"/>
      <c r="FY689" s="59"/>
      <c r="FZ689" s="59"/>
      <c r="GA689" s="59"/>
      <c r="GB689" s="59"/>
      <c r="GC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  <c r="BV690" s="59"/>
      <c r="BW690" s="59"/>
      <c r="BX690" s="59"/>
      <c r="BY690" s="59"/>
      <c r="BZ690" s="59"/>
      <c r="CA690" s="59"/>
      <c r="CB690" s="59"/>
      <c r="CC690" s="59"/>
      <c r="CD690" s="59"/>
      <c r="CE690" s="59"/>
      <c r="CF690" s="59"/>
      <c r="CG690" s="59"/>
      <c r="CH690" s="59"/>
      <c r="CI690" s="59"/>
      <c r="CJ690" s="59"/>
      <c r="CK690" s="59"/>
      <c r="CL690" s="59"/>
      <c r="CM690" s="59"/>
      <c r="CN690" s="59"/>
      <c r="CO690" s="59"/>
      <c r="CP690" s="59"/>
      <c r="CQ690" s="59"/>
      <c r="CR690" s="59"/>
      <c r="CS690" s="59"/>
      <c r="CT690" s="59"/>
      <c r="CU690" s="59"/>
      <c r="CV690" s="59"/>
      <c r="CW690" s="59"/>
      <c r="CX690" s="59"/>
      <c r="CY690" s="59"/>
      <c r="CZ690" s="59"/>
      <c r="DA690" s="59"/>
      <c r="DB690" s="59"/>
      <c r="DC690" s="59"/>
      <c r="DD690" s="59"/>
      <c r="DE690" s="59"/>
      <c r="DF690" s="59"/>
      <c r="DG690" s="59"/>
      <c r="DH690" s="59"/>
      <c r="DI690" s="59"/>
      <c r="DJ690" s="59"/>
      <c r="DK690" s="59"/>
      <c r="DL690" s="59"/>
      <c r="DM690" s="59"/>
      <c r="DN690" s="59"/>
      <c r="DO690" s="59"/>
      <c r="DP690" s="59"/>
      <c r="DQ690" s="59"/>
      <c r="DR690" s="59"/>
      <c r="DS690" s="59"/>
      <c r="DT690" s="59"/>
      <c r="DU690" s="59"/>
      <c r="DV690" s="59"/>
      <c r="DW690" s="59"/>
      <c r="DX690" s="59"/>
      <c r="DY690" s="59"/>
      <c r="DZ690" s="59"/>
      <c r="EA690" s="59"/>
      <c r="EB690" s="59"/>
      <c r="EC690" s="59"/>
      <c r="ED690" s="59"/>
      <c r="EE690" s="59"/>
      <c r="EF690" s="59"/>
      <c r="EG690" s="59"/>
      <c r="EH690" s="59"/>
      <c r="EI690" s="59"/>
      <c r="EJ690" s="59"/>
      <c r="EK690" s="59"/>
      <c r="EL690" s="59"/>
      <c r="EM690" s="59"/>
      <c r="EN690" s="59"/>
      <c r="EO690" s="59"/>
      <c r="EP690" s="59"/>
      <c r="EQ690" s="59"/>
      <c r="ER690" s="59"/>
      <c r="ES690" s="59"/>
      <c r="ET690" s="59"/>
      <c r="EU690" s="59"/>
      <c r="EV690" s="59"/>
      <c r="EW690" s="59"/>
      <c r="EX690" s="59"/>
      <c r="EY690" s="59"/>
      <c r="EZ690" s="59"/>
      <c r="FA690" s="59"/>
      <c r="FB690" s="59"/>
      <c r="FC690" s="59"/>
      <c r="FD690" s="59"/>
      <c r="FE690" s="59"/>
      <c r="FF690" s="59"/>
      <c r="FG690" s="59"/>
      <c r="FH690" s="59"/>
      <c r="FI690" s="59"/>
      <c r="FJ690" s="59"/>
      <c r="FK690" s="59"/>
      <c r="FL690" s="59"/>
      <c r="FM690" s="59"/>
      <c r="FN690" s="59"/>
      <c r="FO690" s="59"/>
      <c r="FP690" s="59"/>
      <c r="FQ690" s="59"/>
      <c r="FR690" s="59"/>
      <c r="FS690" s="59"/>
      <c r="FT690" s="59"/>
      <c r="FU690" s="59"/>
      <c r="FV690" s="59"/>
      <c r="FW690" s="59"/>
      <c r="FX690" s="59"/>
      <c r="FY690" s="59"/>
      <c r="FZ690" s="59"/>
      <c r="GA690" s="59"/>
      <c r="GB690" s="59"/>
      <c r="GC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  <c r="BV691" s="59"/>
      <c r="BW691" s="59"/>
      <c r="BX691" s="59"/>
      <c r="BY691" s="59"/>
      <c r="BZ691" s="59"/>
      <c r="CA691" s="59"/>
      <c r="CB691" s="59"/>
      <c r="CC691" s="59"/>
      <c r="CD691" s="59"/>
      <c r="CE691" s="59"/>
      <c r="CF691" s="59"/>
      <c r="CG691" s="59"/>
      <c r="CH691" s="59"/>
      <c r="CI691" s="59"/>
      <c r="CJ691" s="59"/>
      <c r="CK691" s="59"/>
      <c r="CL691" s="59"/>
      <c r="CM691" s="59"/>
      <c r="CN691" s="59"/>
      <c r="CO691" s="59"/>
      <c r="CP691" s="59"/>
      <c r="CQ691" s="59"/>
      <c r="CR691" s="59"/>
      <c r="CS691" s="59"/>
      <c r="CT691" s="59"/>
      <c r="CU691" s="59"/>
      <c r="CV691" s="59"/>
      <c r="CW691" s="59"/>
      <c r="CX691" s="59"/>
      <c r="CY691" s="59"/>
      <c r="CZ691" s="59"/>
      <c r="DA691" s="59"/>
      <c r="DB691" s="59"/>
      <c r="DC691" s="59"/>
      <c r="DD691" s="59"/>
      <c r="DE691" s="59"/>
      <c r="DF691" s="59"/>
      <c r="DG691" s="59"/>
      <c r="DH691" s="59"/>
      <c r="DI691" s="59"/>
      <c r="DJ691" s="59"/>
      <c r="DK691" s="59"/>
      <c r="DL691" s="59"/>
      <c r="DM691" s="59"/>
      <c r="DN691" s="59"/>
      <c r="DO691" s="59"/>
      <c r="DP691" s="59"/>
      <c r="DQ691" s="59"/>
      <c r="DR691" s="59"/>
      <c r="DS691" s="59"/>
      <c r="DT691" s="59"/>
      <c r="DU691" s="59"/>
      <c r="DV691" s="59"/>
      <c r="DW691" s="59"/>
      <c r="DX691" s="59"/>
      <c r="DY691" s="59"/>
      <c r="DZ691" s="59"/>
      <c r="EA691" s="59"/>
      <c r="EB691" s="59"/>
      <c r="EC691" s="59"/>
      <c r="ED691" s="59"/>
      <c r="EE691" s="59"/>
      <c r="EF691" s="59"/>
      <c r="EG691" s="59"/>
      <c r="EH691" s="59"/>
      <c r="EI691" s="59"/>
      <c r="EJ691" s="59"/>
      <c r="EK691" s="59"/>
      <c r="EL691" s="59"/>
      <c r="EM691" s="59"/>
      <c r="EN691" s="59"/>
      <c r="EO691" s="59"/>
      <c r="EP691" s="59"/>
      <c r="EQ691" s="59"/>
      <c r="ER691" s="59"/>
      <c r="ES691" s="59"/>
      <c r="ET691" s="59"/>
      <c r="EU691" s="59"/>
      <c r="EV691" s="59"/>
      <c r="EW691" s="59"/>
      <c r="EX691" s="59"/>
      <c r="EY691" s="59"/>
      <c r="EZ691" s="59"/>
      <c r="FA691" s="59"/>
      <c r="FB691" s="59"/>
      <c r="FC691" s="59"/>
      <c r="FD691" s="59"/>
      <c r="FE691" s="59"/>
      <c r="FF691" s="59"/>
      <c r="FG691" s="59"/>
      <c r="FH691" s="59"/>
      <c r="FI691" s="59"/>
      <c r="FJ691" s="59"/>
      <c r="FK691" s="59"/>
      <c r="FL691" s="59"/>
      <c r="FM691" s="59"/>
      <c r="FN691" s="59"/>
      <c r="FO691" s="59"/>
      <c r="FP691" s="59"/>
      <c r="FQ691" s="59"/>
      <c r="FR691" s="59"/>
      <c r="FS691" s="59"/>
      <c r="FT691" s="59"/>
      <c r="FU691" s="59"/>
      <c r="FV691" s="59"/>
      <c r="FW691" s="59"/>
      <c r="FX691" s="59"/>
      <c r="FY691" s="59"/>
      <c r="FZ691" s="59"/>
      <c r="GA691" s="59"/>
      <c r="GB691" s="59"/>
      <c r="GC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  <c r="BV692" s="59"/>
      <c r="BW692" s="59"/>
      <c r="BX692" s="59"/>
      <c r="BY692" s="59"/>
      <c r="BZ692" s="59"/>
      <c r="CA692" s="59"/>
      <c r="CB692" s="59"/>
      <c r="CC692" s="59"/>
      <c r="CD692" s="59"/>
      <c r="CE692" s="59"/>
      <c r="CF692" s="59"/>
      <c r="CG692" s="59"/>
      <c r="CH692" s="59"/>
      <c r="CI692" s="59"/>
      <c r="CJ692" s="59"/>
      <c r="CK692" s="59"/>
      <c r="CL692" s="59"/>
      <c r="CM692" s="59"/>
      <c r="CN692" s="59"/>
      <c r="CO692" s="59"/>
      <c r="CP692" s="59"/>
      <c r="CQ692" s="59"/>
      <c r="CR692" s="59"/>
      <c r="CS692" s="59"/>
      <c r="CT692" s="59"/>
      <c r="CU692" s="59"/>
      <c r="CV692" s="59"/>
      <c r="CW692" s="59"/>
      <c r="CX692" s="59"/>
      <c r="CY692" s="59"/>
      <c r="CZ692" s="59"/>
      <c r="DA692" s="59"/>
      <c r="DB692" s="59"/>
      <c r="DC692" s="59"/>
      <c r="DD692" s="59"/>
      <c r="DE692" s="59"/>
      <c r="DF692" s="59"/>
      <c r="DG692" s="59"/>
      <c r="DH692" s="59"/>
      <c r="DI692" s="59"/>
      <c r="DJ692" s="59"/>
      <c r="DK692" s="59"/>
      <c r="DL692" s="59"/>
      <c r="DM692" s="59"/>
      <c r="DN692" s="59"/>
      <c r="DO692" s="59"/>
      <c r="DP692" s="59"/>
      <c r="DQ692" s="59"/>
      <c r="DR692" s="59"/>
      <c r="DS692" s="59"/>
      <c r="DT692" s="59"/>
      <c r="DU692" s="59"/>
      <c r="DV692" s="59"/>
      <c r="DW692" s="59"/>
      <c r="DX692" s="59"/>
      <c r="DY692" s="59"/>
      <c r="DZ692" s="59"/>
      <c r="EA692" s="59"/>
      <c r="EB692" s="59"/>
      <c r="EC692" s="59"/>
      <c r="ED692" s="59"/>
      <c r="EE692" s="59"/>
      <c r="EF692" s="59"/>
      <c r="EG692" s="59"/>
      <c r="EH692" s="59"/>
      <c r="EI692" s="59"/>
      <c r="EJ692" s="59"/>
      <c r="EK692" s="59"/>
      <c r="EL692" s="59"/>
      <c r="EM692" s="59"/>
      <c r="EN692" s="59"/>
      <c r="EO692" s="59"/>
      <c r="EP692" s="59"/>
      <c r="EQ692" s="59"/>
      <c r="ER692" s="59"/>
      <c r="ES692" s="59"/>
      <c r="ET692" s="59"/>
      <c r="EU692" s="59"/>
      <c r="EV692" s="59"/>
      <c r="EW692" s="59"/>
      <c r="EX692" s="59"/>
      <c r="EY692" s="59"/>
      <c r="EZ692" s="59"/>
      <c r="FA692" s="59"/>
      <c r="FB692" s="59"/>
      <c r="FC692" s="59"/>
      <c r="FD692" s="59"/>
      <c r="FE692" s="59"/>
      <c r="FF692" s="59"/>
      <c r="FG692" s="59"/>
      <c r="FH692" s="59"/>
      <c r="FI692" s="59"/>
      <c r="FJ692" s="59"/>
      <c r="FK692" s="59"/>
      <c r="FL692" s="59"/>
      <c r="FM692" s="59"/>
      <c r="FN692" s="59"/>
      <c r="FO692" s="59"/>
      <c r="FP692" s="59"/>
      <c r="FQ692" s="59"/>
      <c r="FR692" s="59"/>
      <c r="FS692" s="59"/>
      <c r="FT692" s="59"/>
      <c r="FU692" s="59"/>
      <c r="FV692" s="59"/>
      <c r="FW692" s="59"/>
      <c r="FX692" s="59"/>
      <c r="FY692" s="59"/>
      <c r="FZ692" s="59"/>
      <c r="GA692" s="59"/>
      <c r="GB692" s="59"/>
      <c r="GC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  <c r="BV693" s="59"/>
      <c r="BW693" s="59"/>
      <c r="BX693" s="59"/>
      <c r="BY693" s="59"/>
      <c r="BZ693" s="59"/>
      <c r="CA693" s="59"/>
      <c r="CB693" s="59"/>
      <c r="CC693" s="59"/>
      <c r="CD693" s="59"/>
      <c r="CE693" s="59"/>
      <c r="CF693" s="59"/>
      <c r="CG693" s="59"/>
      <c r="CH693" s="59"/>
      <c r="CI693" s="59"/>
      <c r="CJ693" s="59"/>
      <c r="CK693" s="59"/>
      <c r="CL693" s="59"/>
      <c r="CM693" s="59"/>
      <c r="CN693" s="59"/>
      <c r="CO693" s="59"/>
      <c r="CP693" s="59"/>
      <c r="CQ693" s="59"/>
      <c r="CR693" s="59"/>
      <c r="CS693" s="59"/>
      <c r="CT693" s="59"/>
      <c r="CU693" s="59"/>
      <c r="CV693" s="59"/>
      <c r="CW693" s="59"/>
      <c r="CX693" s="59"/>
      <c r="CY693" s="59"/>
      <c r="CZ693" s="59"/>
      <c r="DA693" s="59"/>
      <c r="DB693" s="59"/>
      <c r="DC693" s="59"/>
      <c r="DD693" s="59"/>
      <c r="DE693" s="59"/>
      <c r="DF693" s="59"/>
      <c r="DG693" s="59"/>
      <c r="DH693" s="59"/>
      <c r="DI693" s="59"/>
      <c r="DJ693" s="59"/>
      <c r="DK693" s="59"/>
      <c r="DL693" s="59"/>
      <c r="DM693" s="59"/>
      <c r="DN693" s="59"/>
      <c r="DO693" s="59"/>
      <c r="DP693" s="59"/>
      <c r="DQ693" s="59"/>
      <c r="DR693" s="59"/>
      <c r="DS693" s="59"/>
      <c r="DT693" s="59"/>
      <c r="DU693" s="59"/>
      <c r="DV693" s="59"/>
      <c r="DW693" s="59"/>
      <c r="DX693" s="59"/>
      <c r="DY693" s="59"/>
      <c r="DZ693" s="59"/>
      <c r="EA693" s="59"/>
      <c r="EB693" s="59"/>
      <c r="EC693" s="59"/>
      <c r="ED693" s="59"/>
      <c r="EE693" s="59"/>
      <c r="EF693" s="59"/>
      <c r="EG693" s="59"/>
      <c r="EH693" s="59"/>
      <c r="EI693" s="59"/>
      <c r="EJ693" s="59"/>
      <c r="EK693" s="59"/>
      <c r="EL693" s="59"/>
      <c r="EM693" s="59"/>
      <c r="EN693" s="59"/>
      <c r="EO693" s="59"/>
      <c r="EP693" s="59"/>
      <c r="EQ693" s="59"/>
      <c r="ER693" s="59"/>
      <c r="ES693" s="59"/>
      <c r="ET693" s="59"/>
      <c r="EU693" s="59"/>
      <c r="EV693" s="59"/>
      <c r="EW693" s="59"/>
      <c r="EX693" s="59"/>
      <c r="EY693" s="59"/>
      <c r="EZ693" s="59"/>
      <c r="FA693" s="59"/>
      <c r="FB693" s="59"/>
      <c r="FC693" s="59"/>
      <c r="FD693" s="59"/>
      <c r="FE693" s="59"/>
      <c r="FF693" s="59"/>
      <c r="FG693" s="59"/>
      <c r="FH693" s="59"/>
      <c r="FI693" s="59"/>
      <c r="FJ693" s="59"/>
      <c r="FK693" s="59"/>
      <c r="FL693" s="59"/>
      <c r="FM693" s="59"/>
      <c r="FN693" s="59"/>
      <c r="FO693" s="59"/>
      <c r="FP693" s="59"/>
      <c r="FQ693" s="59"/>
      <c r="FR693" s="59"/>
      <c r="FS693" s="59"/>
      <c r="FT693" s="59"/>
      <c r="FU693" s="59"/>
      <c r="FV693" s="59"/>
      <c r="FW693" s="59"/>
      <c r="FX693" s="59"/>
      <c r="FY693" s="59"/>
      <c r="FZ693" s="59"/>
      <c r="GA693" s="59"/>
      <c r="GB693" s="59"/>
      <c r="GC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  <c r="BV694" s="59"/>
      <c r="BW694" s="59"/>
      <c r="BX694" s="59"/>
      <c r="BY694" s="59"/>
      <c r="BZ694" s="59"/>
      <c r="CA694" s="59"/>
      <c r="CB694" s="59"/>
      <c r="CC694" s="59"/>
      <c r="CD694" s="59"/>
      <c r="CE694" s="59"/>
      <c r="CF694" s="59"/>
      <c r="CG694" s="59"/>
      <c r="CH694" s="59"/>
      <c r="CI694" s="59"/>
      <c r="CJ694" s="59"/>
      <c r="CK694" s="59"/>
      <c r="CL694" s="59"/>
      <c r="CM694" s="59"/>
      <c r="CN694" s="59"/>
      <c r="CO694" s="59"/>
      <c r="CP694" s="59"/>
      <c r="CQ694" s="59"/>
      <c r="CR694" s="59"/>
      <c r="CS694" s="59"/>
      <c r="CT694" s="59"/>
      <c r="CU694" s="59"/>
      <c r="CV694" s="59"/>
      <c r="CW694" s="59"/>
      <c r="CX694" s="59"/>
      <c r="CY694" s="59"/>
      <c r="CZ694" s="59"/>
      <c r="DA694" s="59"/>
      <c r="DB694" s="59"/>
      <c r="DC694" s="59"/>
      <c r="DD694" s="59"/>
      <c r="DE694" s="59"/>
      <c r="DF694" s="59"/>
      <c r="DG694" s="59"/>
      <c r="DH694" s="59"/>
      <c r="DI694" s="59"/>
      <c r="DJ694" s="59"/>
      <c r="DK694" s="59"/>
      <c r="DL694" s="59"/>
      <c r="DM694" s="59"/>
      <c r="DN694" s="59"/>
      <c r="DO694" s="59"/>
      <c r="DP694" s="59"/>
      <c r="DQ694" s="59"/>
      <c r="DR694" s="59"/>
      <c r="DS694" s="59"/>
      <c r="DT694" s="59"/>
      <c r="DU694" s="59"/>
      <c r="DV694" s="59"/>
      <c r="DW694" s="59"/>
      <c r="DX694" s="59"/>
      <c r="DY694" s="59"/>
      <c r="DZ694" s="59"/>
      <c r="EA694" s="59"/>
      <c r="EB694" s="59"/>
      <c r="EC694" s="59"/>
      <c r="ED694" s="59"/>
      <c r="EE694" s="59"/>
      <c r="EF694" s="59"/>
      <c r="EG694" s="59"/>
      <c r="EH694" s="59"/>
      <c r="EI694" s="59"/>
      <c r="EJ694" s="59"/>
      <c r="EK694" s="59"/>
      <c r="EL694" s="59"/>
      <c r="EM694" s="59"/>
      <c r="EN694" s="59"/>
      <c r="EO694" s="59"/>
      <c r="EP694" s="59"/>
      <c r="EQ694" s="59"/>
      <c r="ER694" s="59"/>
      <c r="ES694" s="59"/>
      <c r="ET694" s="59"/>
      <c r="EU694" s="59"/>
      <c r="EV694" s="59"/>
      <c r="EW694" s="59"/>
      <c r="EX694" s="59"/>
      <c r="EY694" s="59"/>
      <c r="EZ694" s="59"/>
      <c r="FA694" s="59"/>
      <c r="FB694" s="59"/>
      <c r="FC694" s="59"/>
      <c r="FD694" s="59"/>
      <c r="FE694" s="59"/>
      <c r="FF694" s="59"/>
      <c r="FG694" s="59"/>
      <c r="FH694" s="59"/>
      <c r="FI694" s="59"/>
      <c r="FJ694" s="59"/>
      <c r="FK694" s="59"/>
      <c r="FL694" s="59"/>
      <c r="FM694" s="59"/>
      <c r="FN694" s="59"/>
      <c r="FO694" s="59"/>
      <c r="FP694" s="59"/>
      <c r="FQ694" s="59"/>
      <c r="FR694" s="59"/>
      <c r="FS694" s="59"/>
      <c r="FT694" s="59"/>
      <c r="FU694" s="59"/>
      <c r="FV694" s="59"/>
      <c r="FW694" s="59"/>
      <c r="FX694" s="59"/>
      <c r="FY694" s="59"/>
      <c r="FZ694" s="59"/>
      <c r="GA694" s="59"/>
      <c r="GB694" s="59"/>
      <c r="GC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  <c r="BV695" s="59"/>
      <c r="BW695" s="59"/>
      <c r="BX695" s="59"/>
      <c r="BY695" s="59"/>
      <c r="BZ695" s="59"/>
      <c r="CA695" s="59"/>
      <c r="CB695" s="59"/>
      <c r="CC695" s="59"/>
      <c r="CD695" s="59"/>
      <c r="CE695" s="59"/>
      <c r="CF695" s="59"/>
      <c r="CG695" s="59"/>
      <c r="CH695" s="59"/>
      <c r="CI695" s="59"/>
      <c r="CJ695" s="59"/>
      <c r="CK695" s="59"/>
      <c r="CL695" s="59"/>
      <c r="CM695" s="59"/>
      <c r="CN695" s="59"/>
      <c r="CO695" s="59"/>
      <c r="CP695" s="59"/>
      <c r="CQ695" s="59"/>
      <c r="CR695" s="59"/>
      <c r="CS695" s="59"/>
      <c r="CT695" s="59"/>
      <c r="CU695" s="59"/>
      <c r="CV695" s="59"/>
      <c r="CW695" s="59"/>
      <c r="CX695" s="59"/>
      <c r="CY695" s="59"/>
      <c r="CZ695" s="59"/>
      <c r="DA695" s="59"/>
      <c r="DB695" s="59"/>
      <c r="DC695" s="59"/>
      <c r="DD695" s="59"/>
      <c r="DE695" s="59"/>
      <c r="DF695" s="59"/>
      <c r="DG695" s="59"/>
      <c r="DH695" s="59"/>
      <c r="DI695" s="59"/>
      <c r="DJ695" s="59"/>
      <c r="DK695" s="59"/>
      <c r="DL695" s="59"/>
      <c r="DM695" s="59"/>
      <c r="DN695" s="59"/>
      <c r="DO695" s="59"/>
      <c r="DP695" s="59"/>
      <c r="DQ695" s="59"/>
      <c r="DR695" s="59"/>
      <c r="DS695" s="59"/>
      <c r="DT695" s="59"/>
      <c r="DU695" s="59"/>
      <c r="DV695" s="59"/>
      <c r="DW695" s="59"/>
      <c r="DX695" s="59"/>
      <c r="DY695" s="59"/>
      <c r="DZ695" s="59"/>
      <c r="EA695" s="59"/>
      <c r="EB695" s="59"/>
      <c r="EC695" s="59"/>
      <c r="ED695" s="59"/>
      <c r="EE695" s="59"/>
      <c r="EF695" s="59"/>
      <c r="EG695" s="59"/>
      <c r="EH695" s="59"/>
      <c r="EI695" s="59"/>
      <c r="EJ695" s="59"/>
      <c r="EK695" s="59"/>
      <c r="EL695" s="59"/>
      <c r="EM695" s="59"/>
      <c r="EN695" s="59"/>
      <c r="EO695" s="59"/>
      <c r="EP695" s="59"/>
      <c r="EQ695" s="59"/>
      <c r="ER695" s="59"/>
      <c r="ES695" s="59"/>
      <c r="ET695" s="59"/>
      <c r="EU695" s="59"/>
      <c r="EV695" s="59"/>
      <c r="EW695" s="59"/>
      <c r="EX695" s="59"/>
      <c r="EY695" s="59"/>
      <c r="EZ695" s="59"/>
      <c r="FA695" s="59"/>
      <c r="FB695" s="59"/>
      <c r="FC695" s="59"/>
      <c r="FD695" s="59"/>
      <c r="FE695" s="59"/>
      <c r="FF695" s="59"/>
      <c r="FG695" s="59"/>
      <c r="FH695" s="59"/>
      <c r="FI695" s="59"/>
      <c r="FJ695" s="59"/>
      <c r="FK695" s="59"/>
      <c r="FL695" s="59"/>
      <c r="FM695" s="59"/>
      <c r="FN695" s="59"/>
      <c r="FO695" s="59"/>
      <c r="FP695" s="59"/>
      <c r="FQ695" s="59"/>
      <c r="FR695" s="59"/>
      <c r="FS695" s="59"/>
      <c r="FT695" s="59"/>
      <c r="FU695" s="59"/>
      <c r="FV695" s="59"/>
      <c r="FW695" s="59"/>
      <c r="FX695" s="59"/>
      <c r="FY695" s="59"/>
      <c r="FZ695" s="59"/>
      <c r="GA695" s="59"/>
      <c r="GB695" s="59"/>
      <c r="GC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  <c r="BV696" s="59"/>
      <c r="BW696" s="59"/>
      <c r="BX696" s="59"/>
      <c r="BY696" s="59"/>
      <c r="BZ696" s="59"/>
      <c r="CA696" s="59"/>
      <c r="CB696" s="59"/>
      <c r="CC696" s="59"/>
      <c r="CD696" s="59"/>
      <c r="CE696" s="59"/>
      <c r="CF696" s="59"/>
      <c r="CG696" s="59"/>
      <c r="CH696" s="59"/>
      <c r="CI696" s="59"/>
      <c r="CJ696" s="59"/>
      <c r="CK696" s="59"/>
      <c r="CL696" s="59"/>
      <c r="CM696" s="59"/>
      <c r="CN696" s="59"/>
      <c r="CO696" s="59"/>
      <c r="CP696" s="59"/>
      <c r="CQ696" s="59"/>
      <c r="CR696" s="59"/>
      <c r="CS696" s="59"/>
      <c r="CT696" s="59"/>
      <c r="CU696" s="59"/>
      <c r="CV696" s="59"/>
      <c r="CW696" s="59"/>
      <c r="CX696" s="59"/>
      <c r="CY696" s="59"/>
      <c r="CZ696" s="59"/>
      <c r="DA696" s="59"/>
      <c r="DB696" s="59"/>
      <c r="DC696" s="59"/>
      <c r="DD696" s="59"/>
      <c r="DE696" s="59"/>
      <c r="DF696" s="59"/>
      <c r="DG696" s="59"/>
      <c r="DH696" s="59"/>
      <c r="DI696" s="59"/>
      <c r="DJ696" s="59"/>
      <c r="DK696" s="59"/>
      <c r="DL696" s="59"/>
      <c r="DM696" s="59"/>
      <c r="DN696" s="59"/>
      <c r="DO696" s="59"/>
      <c r="DP696" s="59"/>
      <c r="DQ696" s="59"/>
      <c r="DR696" s="59"/>
      <c r="DS696" s="59"/>
      <c r="DT696" s="59"/>
      <c r="DU696" s="59"/>
      <c r="DV696" s="59"/>
      <c r="DW696" s="59"/>
      <c r="DX696" s="59"/>
      <c r="DY696" s="59"/>
      <c r="DZ696" s="59"/>
      <c r="EA696" s="59"/>
      <c r="EB696" s="59"/>
      <c r="EC696" s="59"/>
      <c r="ED696" s="59"/>
      <c r="EE696" s="59"/>
      <c r="EF696" s="59"/>
      <c r="EG696" s="59"/>
      <c r="EH696" s="59"/>
      <c r="EI696" s="59"/>
      <c r="EJ696" s="59"/>
      <c r="EK696" s="59"/>
      <c r="EL696" s="59"/>
      <c r="EM696" s="59"/>
      <c r="EN696" s="59"/>
      <c r="EO696" s="59"/>
      <c r="EP696" s="59"/>
      <c r="EQ696" s="59"/>
      <c r="ER696" s="59"/>
      <c r="ES696" s="59"/>
      <c r="ET696" s="59"/>
      <c r="EU696" s="59"/>
      <c r="EV696" s="59"/>
      <c r="EW696" s="59"/>
      <c r="EX696" s="59"/>
      <c r="EY696" s="59"/>
      <c r="EZ696" s="59"/>
      <c r="FA696" s="59"/>
      <c r="FB696" s="59"/>
      <c r="FC696" s="59"/>
      <c r="FD696" s="59"/>
      <c r="FE696" s="59"/>
      <c r="FF696" s="59"/>
      <c r="FG696" s="59"/>
      <c r="FH696" s="59"/>
      <c r="FI696" s="59"/>
      <c r="FJ696" s="59"/>
      <c r="FK696" s="59"/>
      <c r="FL696" s="59"/>
      <c r="FM696" s="59"/>
      <c r="FN696" s="59"/>
      <c r="FO696" s="59"/>
      <c r="FP696" s="59"/>
      <c r="FQ696" s="59"/>
      <c r="FR696" s="59"/>
      <c r="FS696" s="59"/>
      <c r="FT696" s="59"/>
      <c r="FU696" s="59"/>
      <c r="FV696" s="59"/>
      <c r="FW696" s="59"/>
      <c r="FX696" s="59"/>
      <c r="FY696" s="59"/>
      <c r="FZ696" s="59"/>
      <c r="GA696" s="59"/>
      <c r="GB696" s="59"/>
      <c r="GC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  <c r="BV697" s="59"/>
      <c r="BW697" s="59"/>
      <c r="BX697" s="59"/>
      <c r="BY697" s="59"/>
      <c r="BZ697" s="59"/>
      <c r="CA697" s="59"/>
      <c r="CB697" s="59"/>
      <c r="CC697" s="59"/>
      <c r="CD697" s="59"/>
      <c r="CE697" s="59"/>
      <c r="CF697" s="59"/>
      <c r="CG697" s="59"/>
      <c r="CH697" s="59"/>
      <c r="CI697" s="59"/>
      <c r="CJ697" s="59"/>
      <c r="CK697" s="59"/>
      <c r="CL697" s="59"/>
      <c r="CM697" s="59"/>
      <c r="CN697" s="59"/>
      <c r="CO697" s="59"/>
      <c r="CP697" s="59"/>
      <c r="CQ697" s="59"/>
      <c r="CR697" s="59"/>
      <c r="CS697" s="59"/>
      <c r="CT697" s="59"/>
      <c r="CU697" s="59"/>
      <c r="CV697" s="59"/>
      <c r="CW697" s="59"/>
      <c r="CX697" s="59"/>
      <c r="CY697" s="59"/>
      <c r="CZ697" s="59"/>
      <c r="DA697" s="59"/>
      <c r="DB697" s="59"/>
      <c r="DC697" s="59"/>
      <c r="DD697" s="59"/>
      <c r="DE697" s="59"/>
      <c r="DF697" s="59"/>
      <c r="DG697" s="59"/>
      <c r="DH697" s="59"/>
      <c r="DI697" s="59"/>
      <c r="DJ697" s="59"/>
      <c r="DK697" s="59"/>
      <c r="DL697" s="59"/>
      <c r="DM697" s="59"/>
      <c r="DN697" s="59"/>
      <c r="DO697" s="59"/>
      <c r="DP697" s="59"/>
      <c r="DQ697" s="59"/>
      <c r="DR697" s="59"/>
      <c r="DS697" s="59"/>
      <c r="DT697" s="59"/>
      <c r="DU697" s="59"/>
      <c r="DV697" s="59"/>
      <c r="DW697" s="59"/>
      <c r="DX697" s="59"/>
      <c r="DY697" s="59"/>
      <c r="DZ697" s="59"/>
      <c r="EA697" s="59"/>
      <c r="EB697" s="59"/>
      <c r="EC697" s="59"/>
      <c r="ED697" s="59"/>
      <c r="EE697" s="59"/>
      <c r="EF697" s="59"/>
      <c r="EG697" s="59"/>
      <c r="EH697" s="59"/>
      <c r="EI697" s="59"/>
      <c r="EJ697" s="59"/>
      <c r="EK697" s="59"/>
      <c r="EL697" s="59"/>
      <c r="EM697" s="59"/>
      <c r="EN697" s="59"/>
      <c r="EO697" s="59"/>
      <c r="EP697" s="59"/>
      <c r="EQ697" s="59"/>
      <c r="ER697" s="59"/>
      <c r="ES697" s="59"/>
      <c r="ET697" s="59"/>
      <c r="EU697" s="59"/>
      <c r="EV697" s="59"/>
      <c r="EW697" s="59"/>
      <c r="EX697" s="59"/>
      <c r="EY697" s="59"/>
      <c r="EZ697" s="59"/>
      <c r="FA697" s="59"/>
      <c r="FB697" s="59"/>
      <c r="FC697" s="59"/>
      <c r="FD697" s="59"/>
      <c r="FE697" s="59"/>
      <c r="FF697" s="59"/>
      <c r="FG697" s="59"/>
      <c r="FH697" s="59"/>
      <c r="FI697" s="59"/>
      <c r="FJ697" s="59"/>
      <c r="FK697" s="59"/>
      <c r="FL697" s="59"/>
      <c r="FM697" s="59"/>
      <c r="FN697" s="59"/>
      <c r="FO697" s="59"/>
      <c r="FP697" s="59"/>
      <c r="FQ697" s="59"/>
      <c r="FR697" s="59"/>
      <c r="FS697" s="59"/>
      <c r="FT697" s="59"/>
      <c r="FU697" s="59"/>
      <c r="FV697" s="59"/>
      <c r="FW697" s="59"/>
      <c r="FX697" s="59"/>
      <c r="FY697" s="59"/>
      <c r="FZ697" s="59"/>
      <c r="GA697" s="59"/>
      <c r="GB697" s="59"/>
      <c r="GC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  <c r="BV698" s="59"/>
      <c r="BW698" s="59"/>
      <c r="BX698" s="59"/>
      <c r="BY698" s="59"/>
      <c r="BZ698" s="59"/>
      <c r="CA698" s="59"/>
      <c r="CB698" s="59"/>
      <c r="CC698" s="59"/>
      <c r="CD698" s="59"/>
      <c r="CE698" s="59"/>
      <c r="CF698" s="59"/>
      <c r="CG698" s="59"/>
      <c r="CH698" s="59"/>
      <c r="CI698" s="59"/>
      <c r="CJ698" s="59"/>
      <c r="CK698" s="59"/>
      <c r="CL698" s="59"/>
      <c r="CM698" s="59"/>
      <c r="CN698" s="59"/>
      <c r="CO698" s="59"/>
      <c r="CP698" s="59"/>
      <c r="CQ698" s="59"/>
      <c r="CR698" s="59"/>
      <c r="CS698" s="59"/>
      <c r="CT698" s="59"/>
      <c r="CU698" s="59"/>
      <c r="CV698" s="59"/>
      <c r="CW698" s="59"/>
      <c r="CX698" s="59"/>
      <c r="CY698" s="59"/>
      <c r="CZ698" s="59"/>
      <c r="DA698" s="59"/>
      <c r="DB698" s="59"/>
      <c r="DC698" s="59"/>
      <c r="DD698" s="59"/>
      <c r="DE698" s="59"/>
      <c r="DF698" s="59"/>
      <c r="DG698" s="59"/>
      <c r="DH698" s="59"/>
      <c r="DI698" s="59"/>
      <c r="DJ698" s="59"/>
      <c r="DK698" s="59"/>
      <c r="DL698" s="59"/>
      <c r="DM698" s="59"/>
      <c r="DN698" s="59"/>
      <c r="DO698" s="59"/>
      <c r="DP698" s="59"/>
      <c r="DQ698" s="59"/>
      <c r="DR698" s="59"/>
      <c r="DS698" s="59"/>
      <c r="DT698" s="59"/>
      <c r="DU698" s="59"/>
      <c r="DV698" s="59"/>
      <c r="DW698" s="59"/>
      <c r="DX698" s="59"/>
      <c r="DY698" s="59"/>
      <c r="DZ698" s="59"/>
      <c r="EA698" s="59"/>
      <c r="EB698" s="59"/>
      <c r="EC698" s="59"/>
      <c r="ED698" s="59"/>
      <c r="EE698" s="59"/>
      <c r="EF698" s="59"/>
      <c r="EG698" s="59"/>
      <c r="EH698" s="59"/>
      <c r="EI698" s="59"/>
      <c r="EJ698" s="59"/>
      <c r="EK698" s="59"/>
      <c r="EL698" s="59"/>
      <c r="EM698" s="59"/>
      <c r="EN698" s="59"/>
      <c r="EO698" s="59"/>
      <c r="EP698" s="59"/>
      <c r="EQ698" s="59"/>
      <c r="ER698" s="59"/>
      <c r="ES698" s="59"/>
      <c r="ET698" s="59"/>
      <c r="EU698" s="59"/>
      <c r="EV698" s="59"/>
      <c r="EW698" s="59"/>
      <c r="EX698" s="59"/>
      <c r="EY698" s="59"/>
      <c r="EZ698" s="59"/>
      <c r="FA698" s="59"/>
      <c r="FB698" s="59"/>
      <c r="FC698" s="59"/>
      <c r="FD698" s="59"/>
      <c r="FE698" s="59"/>
      <c r="FF698" s="59"/>
      <c r="FG698" s="59"/>
      <c r="FH698" s="59"/>
      <c r="FI698" s="59"/>
      <c r="FJ698" s="59"/>
      <c r="FK698" s="59"/>
      <c r="FL698" s="59"/>
      <c r="FM698" s="59"/>
      <c r="FN698" s="59"/>
      <c r="FO698" s="59"/>
      <c r="FP698" s="59"/>
      <c r="FQ698" s="59"/>
      <c r="FR698" s="59"/>
      <c r="FS698" s="59"/>
      <c r="FT698" s="59"/>
      <c r="FU698" s="59"/>
      <c r="FV698" s="59"/>
      <c r="FW698" s="59"/>
      <c r="FX698" s="59"/>
      <c r="FY698" s="59"/>
      <c r="FZ698" s="59"/>
      <c r="GA698" s="59"/>
      <c r="GB698" s="59"/>
      <c r="GC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  <c r="BW699" s="59"/>
      <c r="BX699" s="59"/>
      <c r="BY699" s="59"/>
      <c r="BZ699" s="59"/>
      <c r="CA699" s="59"/>
      <c r="CB699" s="59"/>
      <c r="CC699" s="59"/>
      <c r="CD699" s="59"/>
      <c r="CE699" s="59"/>
      <c r="CF699" s="59"/>
      <c r="CG699" s="59"/>
      <c r="CH699" s="59"/>
      <c r="CI699" s="59"/>
      <c r="CJ699" s="59"/>
      <c r="CK699" s="59"/>
      <c r="CL699" s="59"/>
      <c r="CM699" s="59"/>
      <c r="CN699" s="59"/>
      <c r="CO699" s="59"/>
      <c r="CP699" s="59"/>
      <c r="CQ699" s="59"/>
      <c r="CR699" s="59"/>
      <c r="CS699" s="59"/>
      <c r="CT699" s="59"/>
      <c r="CU699" s="59"/>
      <c r="CV699" s="59"/>
      <c r="CW699" s="59"/>
      <c r="CX699" s="59"/>
      <c r="CY699" s="59"/>
      <c r="CZ699" s="59"/>
      <c r="DA699" s="59"/>
      <c r="DB699" s="59"/>
      <c r="DC699" s="59"/>
      <c r="DD699" s="59"/>
      <c r="DE699" s="59"/>
      <c r="DF699" s="59"/>
      <c r="DG699" s="59"/>
      <c r="DH699" s="59"/>
      <c r="DI699" s="59"/>
      <c r="DJ699" s="59"/>
      <c r="DK699" s="59"/>
      <c r="DL699" s="59"/>
      <c r="DM699" s="59"/>
      <c r="DN699" s="59"/>
      <c r="DO699" s="59"/>
      <c r="DP699" s="59"/>
      <c r="DQ699" s="59"/>
      <c r="DR699" s="59"/>
      <c r="DS699" s="59"/>
      <c r="DT699" s="59"/>
      <c r="DU699" s="59"/>
      <c r="DV699" s="59"/>
      <c r="DW699" s="59"/>
      <c r="DX699" s="59"/>
      <c r="DY699" s="59"/>
      <c r="DZ699" s="59"/>
      <c r="EA699" s="59"/>
      <c r="EB699" s="59"/>
      <c r="EC699" s="59"/>
      <c r="ED699" s="59"/>
      <c r="EE699" s="59"/>
      <c r="EF699" s="59"/>
      <c r="EG699" s="59"/>
      <c r="EH699" s="59"/>
      <c r="EI699" s="59"/>
      <c r="EJ699" s="59"/>
      <c r="EK699" s="59"/>
      <c r="EL699" s="59"/>
      <c r="EM699" s="59"/>
      <c r="EN699" s="59"/>
      <c r="EO699" s="59"/>
      <c r="EP699" s="59"/>
      <c r="EQ699" s="59"/>
      <c r="ER699" s="59"/>
      <c r="ES699" s="59"/>
      <c r="ET699" s="59"/>
      <c r="EU699" s="59"/>
      <c r="EV699" s="59"/>
      <c r="EW699" s="59"/>
      <c r="EX699" s="59"/>
      <c r="EY699" s="59"/>
      <c r="EZ699" s="59"/>
      <c r="FA699" s="59"/>
      <c r="FB699" s="59"/>
      <c r="FC699" s="59"/>
      <c r="FD699" s="59"/>
      <c r="FE699" s="59"/>
      <c r="FF699" s="59"/>
      <c r="FG699" s="59"/>
      <c r="FH699" s="59"/>
      <c r="FI699" s="59"/>
      <c r="FJ699" s="59"/>
      <c r="FK699" s="59"/>
      <c r="FL699" s="59"/>
      <c r="FM699" s="59"/>
      <c r="FN699" s="59"/>
      <c r="FO699" s="59"/>
      <c r="FP699" s="59"/>
      <c r="FQ699" s="59"/>
      <c r="FR699" s="59"/>
      <c r="FS699" s="59"/>
      <c r="FT699" s="59"/>
      <c r="FU699" s="59"/>
      <c r="FV699" s="59"/>
      <c r="FW699" s="59"/>
      <c r="FX699" s="59"/>
      <c r="FY699" s="59"/>
      <c r="FZ699" s="59"/>
      <c r="GA699" s="59"/>
      <c r="GB699" s="59"/>
      <c r="GC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  <c r="BW700" s="59"/>
      <c r="BX700" s="59"/>
      <c r="BY700" s="59"/>
      <c r="BZ700" s="59"/>
      <c r="CA700" s="59"/>
      <c r="CB700" s="59"/>
      <c r="CC700" s="59"/>
      <c r="CD700" s="59"/>
      <c r="CE700" s="59"/>
      <c r="CF700" s="59"/>
      <c r="CG700" s="59"/>
      <c r="CH700" s="59"/>
      <c r="CI700" s="59"/>
      <c r="CJ700" s="59"/>
      <c r="CK700" s="59"/>
      <c r="CL700" s="59"/>
      <c r="CM700" s="59"/>
      <c r="CN700" s="59"/>
      <c r="CO700" s="59"/>
      <c r="CP700" s="59"/>
      <c r="CQ700" s="59"/>
      <c r="CR700" s="59"/>
      <c r="CS700" s="59"/>
      <c r="CT700" s="59"/>
      <c r="CU700" s="59"/>
      <c r="CV700" s="59"/>
      <c r="CW700" s="59"/>
      <c r="CX700" s="59"/>
      <c r="CY700" s="59"/>
      <c r="CZ700" s="59"/>
      <c r="DA700" s="59"/>
      <c r="DB700" s="59"/>
      <c r="DC700" s="59"/>
      <c r="DD700" s="59"/>
      <c r="DE700" s="59"/>
      <c r="DF700" s="59"/>
      <c r="DG700" s="59"/>
      <c r="DH700" s="59"/>
      <c r="DI700" s="59"/>
      <c r="DJ700" s="59"/>
      <c r="DK700" s="59"/>
      <c r="DL700" s="59"/>
      <c r="DM700" s="59"/>
      <c r="DN700" s="59"/>
      <c r="DO700" s="59"/>
      <c r="DP700" s="59"/>
      <c r="DQ700" s="59"/>
      <c r="DR700" s="59"/>
      <c r="DS700" s="59"/>
      <c r="DT700" s="59"/>
      <c r="DU700" s="59"/>
      <c r="DV700" s="59"/>
      <c r="DW700" s="59"/>
      <c r="DX700" s="59"/>
      <c r="DY700" s="59"/>
      <c r="DZ700" s="59"/>
      <c r="EA700" s="59"/>
      <c r="EB700" s="59"/>
      <c r="EC700" s="59"/>
      <c r="ED700" s="59"/>
      <c r="EE700" s="59"/>
      <c r="EF700" s="59"/>
      <c r="EG700" s="59"/>
      <c r="EH700" s="59"/>
      <c r="EI700" s="59"/>
      <c r="EJ700" s="59"/>
      <c r="EK700" s="59"/>
      <c r="EL700" s="59"/>
      <c r="EM700" s="59"/>
      <c r="EN700" s="59"/>
      <c r="EO700" s="59"/>
      <c r="EP700" s="59"/>
      <c r="EQ700" s="59"/>
      <c r="ER700" s="59"/>
      <c r="ES700" s="59"/>
      <c r="ET700" s="59"/>
      <c r="EU700" s="59"/>
      <c r="EV700" s="59"/>
      <c r="EW700" s="59"/>
      <c r="EX700" s="59"/>
      <c r="EY700" s="59"/>
      <c r="EZ700" s="59"/>
      <c r="FA700" s="59"/>
      <c r="FB700" s="59"/>
      <c r="FC700" s="59"/>
      <c r="FD700" s="59"/>
      <c r="FE700" s="59"/>
      <c r="FF700" s="59"/>
      <c r="FG700" s="59"/>
      <c r="FH700" s="59"/>
      <c r="FI700" s="59"/>
      <c r="FJ700" s="59"/>
      <c r="FK700" s="59"/>
      <c r="FL700" s="59"/>
      <c r="FM700" s="59"/>
      <c r="FN700" s="59"/>
      <c r="FO700" s="59"/>
      <c r="FP700" s="59"/>
      <c r="FQ700" s="59"/>
      <c r="FR700" s="59"/>
      <c r="FS700" s="59"/>
      <c r="FT700" s="59"/>
      <c r="FU700" s="59"/>
      <c r="FV700" s="59"/>
      <c r="FW700" s="59"/>
      <c r="FX700" s="59"/>
      <c r="FY700" s="59"/>
      <c r="FZ700" s="59"/>
      <c r="GA700" s="59"/>
      <c r="GB700" s="59"/>
      <c r="GC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  <c r="BV701" s="59"/>
      <c r="BW701" s="59"/>
      <c r="BX701" s="59"/>
      <c r="BY701" s="59"/>
      <c r="BZ701" s="59"/>
      <c r="CA701" s="59"/>
      <c r="CB701" s="59"/>
      <c r="CC701" s="59"/>
      <c r="CD701" s="59"/>
      <c r="CE701" s="59"/>
      <c r="CF701" s="59"/>
      <c r="CG701" s="59"/>
      <c r="CH701" s="59"/>
      <c r="CI701" s="59"/>
      <c r="CJ701" s="59"/>
      <c r="CK701" s="59"/>
      <c r="CL701" s="59"/>
      <c r="CM701" s="59"/>
      <c r="CN701" s="59"/>
      <c r="CO701" s="59"/>
      <c r="CP701" s="59"/>
      <c r="CQ701" s="59"/>
      <c r="CR701" s="59"/>
      <c r="CS701" s="59"/>
      <c r="CT701" s="59"/>
      <c r="CU701" s="59"/>
      <c r="CV701" s="59"/>
      <c r="CW701" s="59"/>
      <c r="CX701" s="59"/>
      <c r="CY701" s="59"/>
      <c r="CZ701" s="59"/>
      <c r="DA701" s="59"/>
      <c r="DB701" s="59"/>
      <c r="DC701" s="59"/>
      <c r="DD701" s="59"/>
      <c r="DE701" s="59"/>
      <c r="DF701" s="59"/>
      <c r="DG701" s="59"/>
      <c r="DH701" s="59"/>
      <c r="DI701" s="59"/>
      <c r="DJ701" s="59"/>
      <c r="DK701" s="59"/>
      <c r="DL701" s="59"/>
      <c r="DM701" s="59"/>
      <c r="DN701" s="59"/>
      <c r="DO701" s="59"/>
      <c r="DP701" s="59"/>
      <c r="DQ701" s="59"/>
      <c r="DR701" s="59"/>
      <c r="DS701" s="59"/>
      <c r="DT701" s="59"/>
      <c r="DU701" s="59"/>
      <c r="DV701" s="59"/>
      <c r="DW701" s="59"/>
      <c r="DX701" s="59"/>
      <c r="DY701" s="59"/>
      <c r="DZ701" s="59"/>
      <c r="EA701" s="59"/>
      <c r="EB701" s="59"/>
      <c r="EC701" s="59"/>
      <c r="ED701" s="59"/>
      <c r="EE701" s="59"/>
      <c r="EF701" s="59"/>
      <c r="EG701" s="59"/>
      <c r="EH701" s="59"/>
      <c r="EI701" s="59"/>
      <c r="EJ701" s="59"/>
      <c r="EK701" s="59"/>
      <c r="EL701" s="59"/>
      <c r="EM701" s="59"/>
      <c r="EN701" s="59"/>
      <c r="EO701" s="59"/>
      <c r="EP701" s="59"/>
      <c r="EQ701" s="59"/>
      <c r="ER701" s="59"/>
      <c r="ES701" s="59"/>
      <c r="ET701" s="59"/>
      <c r="EU701" s="59"/>
      <c r="EV701" s="59"/>
      <c r="EW701" s="59"/>
      <c r="EX701" s="59"/>
      <c r="EY701" s="59"/>
      <c r="EZ701" s="59"/>
      <c r="FA701" s="59"/>
      <c r="FB701" s="59"/>
      <c r="FC701" s="59"/>
      <c r="FD701" s="59"/>
      <c r="FE701" s="59"/>
      <c r="FF701" s="59"/>
      <c r="FG701" s="59"/>
      <c r="FH701" s="59"/>
      <c r="FI701" s="59"/>
      <c r="FJ701" s="59"/>
      <c r="FK701" s="59"/>
      <c r="FL701" s="59"/>
      <c r="FM701" s="59"/>
      <c r="FN701" s="59"/>
      <c r="FO701" s="59"/>
      <c r="FP701" s="59"/>
      <c r="FQ701" s="59"/>
      <c r="FR701" s="59"/>
      <c r="FS701" s="59"/>
      <c r="FT701" s="59"/>
      <c r="FU701" s="59"/>
      <c r="FV701" s="59"/>
      <c r="FW701" s="59"/>
      <c r="FX701" s="59"/>
      <c r="FY701" s="59"/>
      <c r="FZ701" s="59"/>
      <c r="GA701" s="59"/>
      <c r="GB701" s="59"/>
      <c r="GC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  <c r="BV702" s="59"/>
      <c r="BW702" s="59"/>
      <c r="BX702" s="59"/>
      <c r="BY702" s="59"/>
      <c r="BZ702" s="59"/>
      <c r="CA702" s="59"/>
      <c r="CB702" s="59"/>
      <c r="CC702" s="59"/>
      <c r="CD702" s="59"/>
      <c r="CE702" s="59"/>
      <c r="CF702" s="59"/>
      <c r="CG702" s="59"/>
      <c r="CH702" s="59"/>
      <c r="CI702" s="59"/>
      <c r="CJ702" s="59"/>
      <c r="CK702" s="59"/>
      <c r="CL702" s="59"/>
      <c r="CM702" s="59"/>
      <c r="CN702" s="59"/>
      <c r="CO702" s="59"/>
      <c r="CP702" s="59"/>
      <c r="CQ702" s="59"/>
      <c r="CR702" s="59"/>
      <c r="CS702" s="59"/>
      <c r="CT702" s="59"/>
      <c r="CU702" s="59"/>
      <c r="CV702" s="59"/>
      <c r="CW702" s="59"/>
      <c r="CX702" s="59"/>
      <c r="CY702" s="59"/>
      <c r="CZ702" s="59"/>
      <c r="DA702" s="59"/>
      <c r="DB702" s="59"/>
      <c r="DC702" s="59"/>
      <c r="DD702" s="59"/>
      <c r="DE702" s="59"/>
      <c r="DF702" s="59"/>
      <c r="DG702" s="59"/>
      <c r="DH702" s="59"/>
      <c r="DI702" s="59"/>
      <c r="DJ702" s="59"/>
      <c r="DK702" s="59"/>
      <c r="DL702" s="59"/>
      <c r="DM702" s="59"/>
      <c r="DN702" s="59"/>
      <c r="DO702" s="59"/>
      <c r="DP702" s="59"/>
      <c r="DQ702" s="59"/>
      <c r="DR702" s="59"/>
      <c r="DS702" s="59"/>
      <c r="DT702" s="59"/>
      <c r="DU702" s="59"/>
      <c r="DV702" s="59"/>
      <c r="DW702" s="59"/>
      <c r="DX702" s="59"/>
      <c r="DY702" s="59"/>
      <c r="DZ702" s="59"/>
      <c r="EA702" s="59"/>
      <c r="EB702" s="59"/>
      <c r="EC702" s="59"/>
      <c r="ED702" s="59"/>
      <c r="EE702" s="59"/>
      <c r="EF702" s="59"/>
      <c r="EG702" s="59"/>
      <c r="EH702" s="59"/>
      <c r="EI702" s="59"/>
      <c r="EJ702" s="59"/>
      <c r="EK702" s="59"/>
      <c r="EL702" s="59"/>
      <c r="EM702" s="59"/>
      <c r="EN702" s="59"/>
      <c r="EO702" s="59"/>
      <c r="EP702" s="59"/>
      <c r="EQ702" s="59"/>
      <c r="ER702" s="59"/>
      <c r="ES702" s="59"/>
      <c r="ET702" s="59"/>
      <c r="EU702" s="59"/>
      <c r="EV702" s="59"/>
      <c r="EW702" s="59"/>
      <c r="EX702" s="59"/>
      <c r="EY702" s="59"/>
      <c r="EZ702" s="59"/>
      <c r="FA702" s="59"/>
      <c r="FB702" s="59"/>
      <c r="FC702" s="59"/>
      <c r="FD702" s="59"/>
      <c r="FE702" s="59"/>
      <c r="FF702" s="59"/>
      <c r="FG702" s="59"/>
      <c r="FH702" s="59"/>
      <c r="FI702" s="59"/>
      <c r="FJ702" s="59"/>
      <c r="FK702" s="59"/>
      <c r="FL702" s="59"/>
      <c r="FM702" s="59"/>
      <c r="FN702" s="59"/>
      <c r="FO702" s="59"/>
      <c r="FP702" s="59"/>
      <c r="FQ702" s="59"/>
      <c r="FR702" s="59"/>
      <c r="FS702" s="59"/>
      <c r="FT702" s="59"/>
      <c r="FU702" s="59"/>
      <c r="FV702" s="59"/>
      <c r="FW702" s="59"/>
      <c r="FX702" s="59"/>
      <c r="FY702" s="59"/>
      <c r="FZ702" s="59"/>
      <c r="GA702" s="59"/>
      <c r="GB702" s="59"/>
      <c r="GC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  <c r="BV703" s="59"/>
      <c r="BW703" s="59"/>
      <c r="BX703" s="59"/>
      <c r="BY703" s="59"/>
      <c r="BZ703" s="59"/>
      <c r="CA703" s="59"/>
      <c r="CB703" s="59"/>
      <c r="CC703" s="59"/>
      <c r="CD703" s="59"/>
      <c r="CE703" s="59"/>
      <c r="CF703" s="59"/>
      <c r="CG703" s="59"/>
      <c r="CH703" s="59"/>
      <c r="CI703" s="59"/>
      <c r="CJ703" s="59"/>
      <c r="CK703" s="59"/>
      <c r="CL703" s="59"/>
      <c r="CM703" s="59"/>
      <c r="CN703" s="59"/>
      <c r="CO703" s="59"/>
      <c r="CP703" s="59"/>
      <c r="CQ703" s="59"/>
      <c r="CR703" s="59"/>
      <c r="CS703" s="59"/>
      <c r="CT703" s="59"/>
      <c r="CU703" s="59"/>
      <c r="CV703" s="59"/>
      <c r="CW703" s="59"/>
      <c r="CX703" s="59"/>
      <c r="CY703" s="59"/>
      <c r="CZ703" s="59"/>
      <c r="DA703" s="59"/>
      <c r="DB703" s="59"/>
      <c r="DC703" s="59"/>
      <c r="DD703" s="59"/>
      <c r="DE703" s="59"/>
      <c r="DF703" s="59"/>
      <c r="DG703" s="59"/>
      <c r="DH703" s="59"/>
      <c r="DI703" s="59"/>
      <c r="DJ703" s="59"/>
      <c r="DK703" s="59"/>
      <c r="DL703" s="59"/>
      <c r="DM703" s="59"/>
      <c r="DN703" s="59"/>
      <c r="DO703" s="59"/>
      <c r="DP703" s="59"/>
      <c r="DQ703" s="59"/>
      <c r="DR703" s="59"/>
      <c r="DS703" s="59"/>
      <c r="DT703" s="59"/>
      <c r="DU703" s="59"/>
      <c r="DV703" s="59"/>
      <c r="DW703" s="59"/>
      <c r="DX703" s="59"/>
      <c r="DY703" s="59"/>
      <c r="DZ703" s="59"/>
      <c r="EA703" s="59"/>
      <c r="EB703" s="59"/>
      <c r="EC703" s="59"/>
      <c r="ED703" s="59"/>
      <c r="EE703" s="59"/>
      <c r="EF703" s="59"/>
      <c r="EG703" s="59"/>
      <c r="EH703" s="59"/>
      <c r="EI703" s="59"/>
      <c r="EJ703" s="59"/>
      <c r="EK703" s="59"/>
      <c r="EL703" s="59"/>
      <c r="EM703" s="59"/>
      <c r="EN703" s="59"/>
      <c r="EO703" s="59"/>
      <c r="EP703" s="59"/>
      <c r="EQ703" s="59"/>
      <c r="ER703" s="59"/>
      <c r="ES703" s="59"/>
      <c r="ET703" s="59"/>
      <c r="EU703" s="59"/>
      <c r="EV703" s="59"/>
      <c r="EW703" s="59"/>
      <c r="EX703" s="59"/>
      <c r="EY703" s="59"/>
      <c r="EZ703" s="59"/>
      <c r="FA703" s="59"/>
      <c r="FB703" s="59"/>
      <c r="FC703" s="59"/>
      <c r="FD703" s="59"/>
      <c r="FE703" s="59"/>
      <c r="FF703" s="59"/>
      <c r="FG703" s="59"/>
      <c r="FH703" s="59"/>
      <c r="FI703" s="59"/>
      <c r="FJ703" s="59"/>
      <c r="FK703" s="59"/>
      <c r="FL703" s="59"/>
      <c r="FM703" s="59"/>
      <c r="FN703" s="59"/>
      <c r="FO703" s="59"/>
      <c r="FP703" s="59"/>
      <c r="FQ703" s="59"/>
      <c r="FR703" s="59"/>
      <c r="FS703" s="59"/>
      <c r="FT703" s="59"/>
      <c r="FU703" s="59"/>
      <c r="FV703" s="59"/>
      <c r="FW703" s="59"/>
      <c r="FX703" s="59"/>
      <c r="FY703" s="59"/>
      <c r="FZ703" s="59"/>
      <c r="GA703" s="59"/>
      <c r="GB703" s="59"/>
      <c r="GC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  <c r="BV704" s="59"/>
      <c r="BW704" s="59"/>
      <c r="BX704" s="59"/>
      <c r="BY704" s="59"/>
      <c r="BZ704" s="59"/>
      <c r="CA704" s="59"/>
      <c r="CB704" s="59"/>
      <c r="CC704" s="59"/>
      <c r="CD704" s="59"/>
      <c r="CE704" s="59"/>
      <c r="CF704" s="59"/>
      <c r="CG704" s="59"/>
      <c r="CH704" s="59"/>
      <c r="CI704" s="59"/>
      <c r="CJ704" s="59"/>
      <c r="CK704" s="59"/>
      <c r="CL704" s="59"/>
      <c r="CM704" s="59"/>
      <c r="CN704" s="59"/>
      <c r="CO704" s="59"/>
      <c r="CP704" s="59"/>
      <c r="CQ704" s="59"/>
      <c r="CR704" s="59"/>
      <c r="CS704" s="59"/>
      <c r="CT704" s="59"/>
      <c r="CU704" s="59"/>
      <c r="CV704" s="59"/>
      <c r="CW704" s="59"/>
      <c r="CX704" s="59"/>
      <c r="CY704" s="59"/>
      <c r="CZ704" s="59"/>
      <c r="DA704" s="59"/>
      <c r="DB704" s="59"/>
      <c r="DC704" s="59"/>
      <c r="DD704" s="59"/>
      <c r="DE704" s="59"/>
      <c r="DF704" s="59"/>
      <c r="DG704" s="59"/>
      <c r="DH704" s="59"/>
      <c r="DI704" s="59"/>
      <c r="DJ704" s="59"/>
      <c r="DK704" s="59"/>
      <c r="DL704" s="59"/>
      <c r="DM704" s="59"/>
      <c r="DN704" s="59"/>
      <c r="DO704" s="59"/>
      <c r="DP704" s="59"/>
      <c r="DQ704" s="59"/>
      <c r="DR704" s="59"/>
      <c r="DS704" s="59"/>
      <c r="DT704" s="59"/>
      <c r="DU704" s="59"/>
      <c r="DV704" s="59"/>
      <c r="DW704" s="59"/>
      <c r="DX704" s="59"/>
      <c r="DY704" s="59"/>
      <c r="DZ704" s="59"/>
      <c r="EA704" s="59"/>
      <c r="EB704" s="59"/>
      <c r="EC704" s="59"/>
      <c r="ED704" s="59"/>
      <c r="EE704" s="59"/>
      <c r="EF704" s="59"/>
      <c r="EG704" s="59"/>
      <c r="EH704" s="59"/>
      <c r="EI704" s="59"/>
      <c r="EJ704" s="59"/>
      <c r="EK704" s="59"/>
      <c r="EL704" s="59"/>
      <c r="EM704" s="59"/>
      <c r="EN704" s="59"/>
      <c r="EO704" s="59"/>
      <c r="EP704" s="59"/>
      <c r="EQ704" s="59"/>
      <c r="ER704" s="59"/>
      <c r="ES704" s="59"/>
      <c r="ET704" s="59"/>
      <c r="EU704" s="59"/>
      <c r="EV704" s="59"/>
      <c r="EW704" s="59"/>
      <c r="EX704" s="59"/>
      <c r="EY704" s="59"/>
      <c r="EZ704" s="59"/>
      <c r="FA704" s="59"/>
      <c r="FB704" s="59"/>
      <c r="FC704" s="59"/>
      <c r="FD704" s="59"/>
      <c r="FE704" s="59"/>
      <c r="FF704" s="59"/>
      <c r="FG704" s="59"/>
      <c r="FH704" s="59"/>
      <c r="FI704" s="59"/>
      <c r="FJ704" s="59"/>
      <c r="FK704" s="59"/>
      <c r="FL704" s="59"/>
      <c r="FM704" s="59"/>
      <c r="FN704" s="59"/>
      <c r="FO704" s="59"/>
      <c r="FP704" s="59"/>
      <c r="FQ704" s="59"/>
      <c r="FR704" s="59"/>
      <c r="FS704" s="59"/>
      <c r="FT704" s="59"/>
      <c r="FU704" s="59"/>
      <c r="FV704" s="59"/>
      <c r="FW704" s="59"/>
      <c r="FX704" s="59"/>
      <c r="FY704" s="59"/>
      <c r="FZ704" s="59"/>
      <c r="GA704" s="59"/>
      <c r="GB704" s="59"/>
      <c r="GC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59"/>
      <c r="BX705" s="59"/>
      <c r="BY705" s="59"/>
      <c r="BZ705" s="59"/>
      <c r="CA705" s="59"/>
      <c r="CB705" s="59"/>
      <c r="CC705" s="59"/>
      <c r="CD705" s="59"/>
      <c r="CE705" s="59"/>
      <c r="CF705" s="59"/>
      <c r="CG705" s="59"/>
      <c r="CH705" s="59"/>
      <c r="CI705" s="59"/>
      <c r="CJ705" s="59"/>
      <c r="CK705" s="59"/>
      <c r="CL705" s="59"/>
      <c r="CM705" s="59"/>
      <c r="CN705" s="59"/>
      <c r="CO705" s="59"/>
      <c r="CP705" s="59"/>
      <c r="CQ705" s="59"/>
      <c r="CR705" s="59"/>
      <c r="CS705" s="59"/>
      <c r="CT705" s="59"/>
      <c r="CU705" s="59"/>
      <c r="CV705" s="59"/>
      <c r="CW705" s="59"/>
      <c r="CX705" s="59"/>
      <c r="CY705" s="59"/>
      <c r="CZ705" s="59"/>
      <c r="DA705" s="59"/>
      <c r="DB705" s="59"/>
      <c r="DC705" s="59"/>
      <c r="DD705" s="59"/>
      <c r="DE705" s="59"/>
      <c r="DF705" s="59"/>
      <c r="DG705" s="59"/>
      <c r="DH705" s="59"/>
      <c r="DI705" s="59"/>
      <c r="DJ705" s="59"/>
      <c r="DK705" s="59"/>
      <c r="DL705" s="59"/>
      <c r="DM705" s="59"/>
      <c r="DN705" s="59"/>
      <c r="DO705" s="59"/>
      <c r="DP705" s="59"/>
      <c r="DQ705" s="59"/>
      <c r="DR705" s="59"/>
      <c r="DS705" s="59"/>
      <c r="DT705" s="59"/>
      <c r="DU705" s="59"/>
      <c r="DV705" s="59"/>
      <c r="DW705" s="59"/>
      <c r="DX705" s="59"/>
      <c r="DY705" s="59"/>
      <c r="DZ705" s="59"/>
      <c r="EA705" s="59"/>
      <c r="EB705" s="59"/>
      <c r="EC705" s="59"/>
      <c r="ED705" s="59"/>
      <c r="EE705" s="59"/>
      <c r="EF705" s="59"/>
      <c r="EG705" s="59"/>
      <c r="EH705" s="59"/>
      <c r="EI705" s="59"/>
      <c r="EJ705" s="59"/>
      <c r="EK705" s="59"/>
      <c r="EL705" s="59"/>
      <c r="EM705" s="59"/>
      <c r="EN705" s="59"/>
      <c r="EO705" s="59"/>
      <c r="EP705" s="59"/>
      <c r="EQ705" s="59"/>
      <c r="ER705" s="59"/>
      <c r="ES705" s="59"/>
      <c r="ET705" s="59"/>
      <c r="EU705" s="59"/>
      <c r="EV705" s="59"/>
      <c r="EW705" s="59"/>
      <c r="EX705" s="59"/>
      <c r="EY705" s="59"/>
      <c r="EZ705" s="59"/>
      <c r="FA705" s="59"/>
      <c r="FB705" s="59"/>
      <c r="FC705" s="59"/>
      <c r="FD705" s="59"/>
      <c r="FE705" s="59"/>
      <c r="FF705" s="59"/>
      <c r="FG705" s="59"/>
      <c r="FH705" s="59"/>
      <c r="FI705" s="59"/>
      <c r="FJ705" s="59"/>
      <c r="FK705" s="59"/>
      <c r="FL705" s="59"/>
      <c r="FM705" s="59"/>
      <c r="FN705" s="59"/>
      <c r="FO705" s="59"/>
      <c r="FP705" s="59"/>
      <c r="FQ705" s="59"/>
      <c r="FR705" s="59"/>
      <c r="FS705" s="59"/>
      <c r="FT705" s="59"/>
      <c r="FU705" s="59"/>
      <c r="FV705" s="59"/>
      <c r="FW705" s="59"/>
      <c r="FX705" s="59"/>
      <c r="FY705" s="59"/>
      <c r="FZ705" s="59"/>
      <c r="GA705" s="59"/>
      <c r="GB705" s="59"/>
      <c r="GC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  <c r="BV706" s="59"/>
      <c r="BW706" s="59"/>
      <c r="BX706" s="59"/>
      <c r="BY706" s="59"/>
      <c r="BZ706" s="59"/>
      <c r="CA706" s="59"/>
      <c r="CB706" s="59"/>
      <c r="CC706" s="59"/>
      <c r="CD706" s="59"/>
      <c r="CE706" s="59"/>
      <c r="CF706" s="59"/>
      <c r="CG706" s="59"/>
      <c r="CH706" s="59"/>
      <c r="CI706" s="59"/>
      <c r="CJ706" s="59"/>
      <c r="CK706" s="59"/>
      <c r="CL706" s="59"/>
      <c r="CM706" s="59"/>
      <c r="CN706" s="59"/>
      <c r="CO706" s="59"/>
      <c r="CP706" s="59"/>
      <c r="CQ706" s="59"/>
      <c r="CR706" s="59"/>
      <c r="CS706" s="59"/>
      <c r="CT706" s="59"/>
      <c r="CU706" s="59"/>
      <c r="CV706" s="59"/>
      <c r="CW706" s="59"/>
      <c r="CX706" s="59"/>
      <c r="CY706" s="59"/>
      <c r="CZ706" s="59"/>
      <c r="DA706" s="59"/>
      <c r="DB706" s="59"/>
      <c r="DC706" s="59"/>
      <c r="DD706" s="59"/>
      <c r="DE706" s="59"/>
      <c r="DF706" s="59"/>
      <c r="DG706" s="59"/>
      <c r="DH706" s="59"/>
      <c r="DI706" s="59"/>
      <c r="DJ706" s="59"/>
      <c r="DK706" s="59"/>
      <c r="DL706" s="59"/>
      <c r="DM706" s="59"/>
      <c r="DN706" s="59"/>
      <c r="DO706" s="59"/>
      <c r="DP706" s="59"/>
      <c r="DQ706" s="59"/>
      <c r="DR706" s="59"/>
      <c r="DS706" s="59"/>
      <c r="DT706" s="59"/>
      <c r="DU706" s="59"/>
      <c r="DV706" s="59"/>
      <c r="DW706" s="59"/>
      <c r="DX706" s="59"/>
      <c r="DY706" s="59"/>
      <c r="DZ706" s="59"/>
      <c r="EA706" s="59"/>
      <c r="EB706" s="59"/>
      <c r="EC706" s="59"/>
      <c r="ED706" s="59"/>
      <c r="EE706" s="59"/>
      <c r="EF706" s="59"/>
      <c r="EG706" s="59"/>
      <c r="EH706" s="59"/>
      <c r="EI706" s="59"/>
      <c r="EJ706" s="59"/>
      <c r="EK706" s="59"/>
      <c r="EL706" s="59"/>
      <c r="EM706" s="59"/>
      <c r="EN706" s="59"/>
      <c r="EO706" s="59"/>
      <c r="EP706" s="59"/>
      <c r="EQ706" s="59"/>
      <c r="ER706" s="59"/>
      <c r="ES706" s="59"/>
      <c r="ET706" s="59"/>
      <c r="EU706" s="59"/>
      <c r="EV706" s="59"/>
      <c r="EW706" s="59"/>
      <c r="EX706" s="59"/>
      <c r="EY706" s="59"/>
      <c r="EZ706" s="59"/>
      <c r="FA706" s="59"/>
      <c r="FB706" s="59"/>
      <c r="FC706" s="59"/>
      <c r="FD706" s="59"/>
      <c r="FE706" s="59"/>
      <c r="FF706" s="59"/>
      <c r="FG706" s="59"/>
      <c r="FH706" s="59"/>
      <c r="FI706" s="59"/>
      <c r="FJ706" s="59"/>
      <c r="FK706" s="59"/>
      <c r="FL706" s="59"/>
      <c r="FM706" s="59"/>
      <c r="FN706" s="59"/>
      <c r="FO706" s="59"/>
      <c r="FP706" s="59"/>
      <c r="FQ706" s="59"/>
      <c r="FR706" s="59"/>
      <c r="FS706" s="59"/>
      <c r="FT706" s="59"/>
      <c r="FU706" s="59"/>
      <c r="FV706" s="59"/>
      <c r="FW706" s="59"/>
      <c r="FX706" s="59"/>
      <c r="FY706" s="59"/>
      <c r="FZ706" s="59"/>
      <c r="GA706" s="59"/>
      <c r="GB706" s="59"/>
      <c r="GC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  <c r="BV707" s="59"/>
      <c r="BW707" s="59"/>
      <c r="BX707" s="59"/>
      <c r="BY707" s="59"/>
      <c r="BZ707" s="59"/>
      <c r="CA707" s="59"/>
      <c r="CB707" s="59"/>
      <c r="CC707" s="59"/>
      <c r="CD707" s="59"/>
      <c r="CE707" s="59"/>
      <c r="CF707" s="59"/>
      <c r="CG707" s="59"/>
      <c r="CH707" s="59"/>
      <c r="CI707" s="59"/>
      <c r="CJ707" s="59"/>
      <c r="CK707" s="59"/>
      <c r="CL707" s="59"/>
      <c r="CM707" s="59"/>
      <c r="CN707" s="59"/>
      <c r="CO707" s="59"/>
      <c r="CP707" s="59"/>
      <c r="CQ707" s="59"/>
      <c r="CR707" s="59"/>
      <c r="CS707" s="59"/>
      <c r="CT707" s="59"/>
      <c r="CU707" s="59"/>
      <c r="CV707" s="59"/>
      <c r="CW707" s="59"/>
      <c r="CX707" s="59"/>
      <c r="CY707" s="59"/>
      <c r="CZ707" s="59"/>
      <c r="DA707" s="59"/>
      <c r="DB707" s="59"/>
      <c r="DC707" s="59"/>
      <c r="DD707" s="59"/>
      <c r="DE707" s="59"/>
      <c r="DF707" s="59"/>
      <c r="DG707" s="59"/>
      <c r="DH707" s="59"/>
      <c r="DI707" s="59"/>
      <c r="DJ707" s="59"/>
      <c r="DK707" s="59"/>
      <c r="DL707" s="59"/>
      <c r="DM707" s="59"/>
      <c r="DN707" s="59"/>
      <c r="DO707" s="59"/>
      <c r="DP707" s="59"/>
      <c r="DQ707" s="59"/>
      <c r="DR707" s="59"/>
      <c r="DS707" s="59"/>
      <c r="DT707" s="59"/>
      <c r="DU707" s="59"/>
      <c r="DV707" s="59"/>
      <c r="DW707" s="59"/>
      <c r="DX707" s="59"/>
      <c r="DY707" s="59"/>
      <c r="DZ707" s="59"/>
      <c r="EA707" s="59"/>
      <c r="EB707" s="59"/>
      <c r="EC707" s="59"/>
      <c r="ED707" s="59"/>
      <c r="EE707" s="59"/>
      <c r="EF707" s="59"/>
      <c r="EG707" s="59"/>
      <c r="EH707" s="59"/>
      <c r="EI707" s="59"/>
      <c r="EJ707" s="59"/>
      <c r="EK707" s="59"/>
      <c r="EL707" s="59"/>
      <c r="EM707" s="59"/>
      <c r="EN707" s="59"/>
      <c r="EO707" s="59"/>
      <c r="EP707" s="59"/>
      <c r="EQ707" s="59"/>
      <c r="ER707" s="59"/>
      <c r="ES707" s="59"/>
      <c r="ET707" s="59"/>
      <c r="EU707" s="59"/>
      <c r="EV707" s="59"/>
      <c r="EW707" s="59"/>
      <c r="EX707" s="59"/>
      <c r="EY707" s="59"/>
      <c r="EZ707" s="59"/>
      <c r="FA707" s="59"/>
      <c r="FB707" s="59"/>
      <c r="FC707" s="59"/>
      <c r="FD707" s="59"/>
      <c r="FE707" s="59"/>
      <c r="FF707" s="59"/>
      <c r="FG707" s="59"/>
      <c r="FH707" s="59"/>
      <c r="FI707" s="59"/>
      <c r="FJ707" s="59"/>
      <c r="FK707" s="59"/>
      <c r="FL707" s="59"/>
      <c r="FM707" s="59"/>
      <c r="FN707" s="59"/>
      <c r="FO707" s="59"/>
      <c r="FP707" s="59"/>
      <c r="FQ707" s="59"/>
      <c r="FR707" s="59"/>
      <c r="FS707" s="59"/>
      <c r="FT707" s="59"/>
      <c r="FU707" s="59"/>
      <c r="FV707" s="59"/>
      <c r="FW707" s="59"/>
      <c r="FX707" s="59"/>
      <c r="FY707" s="59"/>
      <c r="FZ707" s="59"/>
      <c r="GA707" s="59"/>
      <c r="GB707" s="59"/>
      <c r="GC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59"/>
      <c r="BX708" s="59"/>
      <c r="BY708" s="59"/>
      <c r="BZ708" s="59"/>
      <c r="CA708" s="59"/>
      <c r="CB708" s="59"/>
      <c r="CC708" s="59"/>
      <c r="CD708" s="59"/>
      <c r="CE708" s="59"/>
      <c r="CF708" s="59"/>
      <c r="CG708" s="59"/>
      <c r="CH708" s="59"/>
      <c r="CI708" s="59"/>
      <c r="CJ708" s="59"/>
      <c r="CK708" s="59"/>
      <c r="CL708" s="59"/>
      <c r="CM708" s="59"/>
      <c r="CN708" s="59"/>
      <c r="CO708" s="59"/>
      <c r="CP708" s="59"/>
      <c r="CQ708" s="59"/>
      <c r="CR708" s="59"/>
      <c r="CS708" s="59"/>
      <c r="CT708" s="59"/>
      <c r="CU708" s="59"/>
      <c r="CV708" s="59"/>
      <c r="CW708" s="59"/>
      <c r="CX708" s="59"/>
      <c r="CY708" s="59"/>
      <c r="CZ708" s="59"/>
      <c r="DA708" s="59"/>
      <c r="DB708" s="59"/>
      <c r="DC708" s="59"/>
      <c r="DD708" s="59"/>
      <c r="DE708" s="59"/>
      <c r="DF708" s="59"/>
      <c r="DG708" s="59"/>
      <c r="DH708" s="59"/>
      <c r="DI708" s="59"/>
      <c r="DJ708" s="59"/>
      <c r="DK708" s="59"/>
      <c r="DL708" s="59"/>
      <c r="DM708" s="59"/>
      <c r="DN708" s="59"/>
      <c r="DO708" s="59"/>
      <c r="DP708" s="59"/>
      <c r="DQ708" s="59"/>
      <c r="DR708" s="59"/>
      <c r="DS708" s="59"/>
      <c r="DT708" s="59"/>
      <c r="DU708" s="59"/>
      <c r="DV708" s="59"/>
      <c r="DW708" s="59"/>
      <c r="DX708" s="59"/>
      <c r="DY708" s="59"/>
      <c r="DZ708" s="59"/>
      <c r="EA708" s="59"/>
      <c r="EB708" s="59"/>
      <c r="EC708" s="59"/>
      <c r="ED708" s="59"/>
      <c r="EE708" s="59"/>
      <c r="EF708" s="59"/>
      <c r="EG708" s="59"/>
      <c r="EH708" s="59"/>
      <c r="EI708" s="59"/>
      <c r="EJ708" s="59"/>
      <c r="EK708" s="59"/>
      <c r="EL708" s="59"/>
      <c r="EM708" s="59"/>
      <c r="EN708" s="59"/>
      <c r="EO708" s="59"/>
      <c r="EP708" s="59"/>
      <c r="EQ708" s="59"/>
      <c r="ER708" s="59"/>
      <c r="ES708" s="59"/>
      <c r="ET708" s="59"/>
      <c r="EU708" s="59"/>
      <c r="EV708" s="59"/>
      <c r="EW708" s="59"/>
      <c r="EX708" s="59"/>
      <c r="EY708" s="59"/>
      <c r="EZ708" s="59"/>
      <c r="FA708" s="59"/>
      <c r="FB708" s="59"/>
      <c r="FC708" s="59"/>
      <c r="FD708" s="59"/>
      <c r="FE708" s="59"/>
      <c r="FF708" s="59"/>
      <c r="FG708" s="59"/>
      <c r="FH708" s="59"/>
      <c r="FI708" s="59"/>
      <c r="FJ708" s="59"/>
      <c r="FK708" s="59"/>
      <c r="FL708" s="59"/>
      <c r="FM708" s="59"/>
      <c r="FN708" s="59"/>
      <c r="FO708" s="59"/>
      <c r="FP708" s="59"/>
      <c r="FQ708" s="59"/>
      <c r="FR708" s="59"/>
      <c r="FS708" s="59"/>
      <c r="FT708" s="59"/>
      <c r="FU708" s="59"/>
      <c r="FV708" s="59"/>
      <c r="FW708" s="59"/>
      <c r="FX708" s="59"/>
      <c r="FY708" s="59"/>
      <c r="FZ708" s="59"/>
      <c r="GA708" s="59"/>
      <c r="GB708" s="59"/>
      <c r="GC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  <c r="BV709" s="59"/>
      <c r="BW709" s="59"/>
      <c r="BX709" s="59"/>
      <c r="BY709" s="59"/>
      <c r="BZ709" s="59"/>
      <c r="CA709" s="59"/>
      <c r="CB709" s="59"/>
      <c r="CC709" s="59"/>
      <c r="CD709" s="59"/>
      <c r="CE709" s="59"/>
      <c r="CF709" s="59"/>
      <c r="CG709" s="59"/>
      <c r="CH709" s="59"/>
      <c r="CI709" s="59"/>
      <c r="CJ709" s="59"/>
      <c r="CK709" s="59"/>
      <c r="CL709" s="59"/>
      <c r="CM709" s="59"/>
      <c r="CN709" s="59"/>
      <c r="CO709" s="59"/>
      <c r="CP709" s="59"/>
      <c r="CQ709" s="59"/>
      <c r="CR709" s="59"/>
      <c r="CS709" s="59"/>
      <c r="CT709" s="59"/>
      <c r="CU709" s="59"/>
      <c r="CV709" s="59"/>
      <c r="CW709" s="59"/>
      <c r="CX709" s="59"/>
      <c r="CY709" s="59"/>
      <c r="CZ709" s="59"/>
      <c r="DA709" s="59"/>
      <c r="DB709" s="59"/>
      <c r="DC709" s="59"/>
      <c r="DD709" s="59"/>
      <c r="DE709" s="59"/>
      <c r="DF709" s="59"/>
      <c r="DG709" s="59"/>
      <c r="DH709" s="59"/>
      <c r="DI709" s="59"/>
      <c r="DJ709" s="59"/>
      <c r="DK709" s="59"/>
      <c r="DL709" s="59"/>
      <c r="DM709" s="59"/>
      <c r="DN709" s="59"/>
      <c r="DO709" s="59"/>
      <c r="DP709" s="59"/>
      <c r="DQ709" s="59"/>
      <c r="DR709" s="59"/>
      <c r="DS709" s="59"/>
      <c r="DT709" s="59"/>
      <c r="DU709" s="59"/>
      <c r="DV709" s="59"/>
      <c r="DW709" s="59"/>
      <c r="DX709" s="59"/>
      <c r="DY709" s="59"/>
      <c r="DZ709" s="59"/>
      <c r="EA709" s="59"/>
      <c r="EB709" s="59"/>
      <c r="EC709" s="59"/>
      <c r="ED709" s="59"/>
      <c r="EE709" s="59"/>
      <c r="EF709" s="59"/>
      <c r="EG709" s="59"/>
      <c r="EH709" s="59"/>
      <c r="EI709" s="59"/>
      <c r="EJ709" s="59"/>
      <c r="EK709" s="59"/>
      <c r="EL709" s="59"/>
      <c r="EM709" s="59"/>
      <c r="EN709" s="59"/>
      <c r="EO709" s="59"/>
      <c r="EP709" s="59"/>
      <c r="EQ709" s="59"/>
      <c r="ER709" s="59"/>
      <c r="ES709" s="59"/>
      <c r="ET709" s="59"/>
      <c r="EU709" s="59"/>
      <c r="EV709" s="59"/>
      <c r="EW709" s="59"/>
      <c r="EX709" s="59"/>
      <c r="EY709" s="59"/>
      <c r="EZ709" s="59"/>
      <c r="FA709" s="59"/>
      <c r="FB709" s="59"/>
      <c r="FC709" s="59"/>
      <c r="FD709" s="59"/>
      <c r="FE709" s="59"/>
      <c r="FF709" s="59"/>
      <c r="FG709" s="59"/>
      <c r="FH709" s="59"/>
      <c r="FI709" s="59"/>
      <c r="FJ709" s="59"/>
      <c r="FK709" s="59"/>
      <c r="FL709" s="59"/>
      <c r="FM709" s="59"/>
      <c r="FN709" s="59"/>
      <c r="FO709" s="59"/>
      <c r="FP709" s="59"/>
      <c r="FQ709" s="59"/>
      <c r="FR709" s="59"/>
      <c r="FS709" s="59"/>
      <c r="FT709" s="59"/>
      <c r="FU709" s="59"/>
      <c r="FV709" s="59"/>
      <c r="FW709" s="59"/>
      <c r="FX709" s="59"/>
      <c r="FY709" s="59"/>
      <c r="FZ709" s="59"/>
      <c r="GA709" s="59"/>
      <c r="GB709" s="59"/>
      <c r="GC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59"/>
      <c r="BX710" s="59"/>
      <c r="BY710" s="59"/>
      <c r="BZ710" s="59"/>
      <c r="CA710" s="59"/>
      <c r="CB710" s="59"/>
      <c r="CC710" s="59"/>
      <c r="CD710" s="59"/>
      <c r="CE710" s="59"/>
      <c r="CF710" s="59"/>
      <c r="CG710" s="59"/>
      <c r="CH710" s="59"/>
      <c r="CI710" s="59"/>
      <c r="CJ710" s="59"/>
      <c r="CK710" s="59"/>
      <c r="CL710" s="59"/>
      <c r="CM710" s="59"/>
      <c r="CN710" s="59"/>
      <c r="CO710" s="59"/>
      <c r="CP710" s="59"/>
      <c r="CQ710" s="59"/>
      <c r="CR710" s="59"/>
      <c r="CS710" s="59"/>
      <c r="CT710" s="59"/>
      <c r="CU710" s="59"/>
      <c r="CV710" s="59"/>
      <c r="CW710" s="59"/>
      <c r="CX710" s="59"/>
      <c r="CY710" s="59"/>
      <c r="CZ710" s="59"/>
      <c r="DA710" s="59"/>
      <c r="DB710" s="59"/>
      <c r="DC710" s="59"/>
      <c r="DD710" s="59"/>
      <c r="DE710" s="59"/>
      <c r="DF710" s="59"/>
      <c r="DG710" s="59"/>
      <c r="DH710" s="59"/>
      <c r="DI710" s="59"/>
      <c r="DJ710" s="59"/>
      <c r="DK710" s="59"/>
      <c r="DL710" s="59"/>
      <c r="DM710" s="59"/>
      <c r="DN710" s="59"/>
      <c r="DO710" s="59"/>
      <c r="DP710" s="59"/>
      <c r="DQ710" s="59"/>
      <c r="DR710" s="59"/>
      <c r="DS710" s="59"/>
      <c r="DT710" s="59"/>
      <c r="DU710" s="59"/>
      <c r="DV710" s="59"/>
      <c r="DW710" s="59"/>
      <c r="DX710" s="59"/>
      <c r="DY710" s="59"/>
      <c r="DZ710" s="59"/>
      <c r="EA710" s="59"/>
      <c r="EB710" s="59"/>
      <c r="EC710" s="59"/>
      <c r="ED710" s="59"/>
      <c r="EE710" s="59"/>
      <c r="EF710" s="59"/>
      <c r="EG710" s="59"/>
      <c r="EH710" s="59"/>
      <c r="EI710" s="59"/>
      <c r="EJ710" s="59"/>
      <c r="EK710" s="59"/>
      <c r="EL710" s="59"/>
      <c r="EM710" s="59"/>
      <c r="EN710" s="59"/>
      <c r="EO710" s="59"/>
      <c r="EP710" s="59"/>
      <c r="EQ710" s="59"/>
      <c r="ER710" s="59"/>
      <c r="ES710" s="59"/>
      <c r="ET710" s="59"/>
      <c r="EU710" s="59"/>
      <c r="EV710" s="59"/>
      <c r="EW710" s="59"/>
      <c r="EX710" s="59"/>
      <c r="EY710" s="59"/>
      <c r="EZ710" s="59"/>
      <c r="FA710" s="59"/>
      <c r="FB710" s="59"/>
      <c r="FC710" s="59"/>
      <c r="FD710" s="59"/>
      <c r="FE710" s="59"/>
      <c r="FF710" s="59"/>
      <c r="FG710" s="59"/>
      <c r="FH710" s="59"/>
      <c r="FI710" s="59"/>
      <c r="FJ710" s="59"/>
      <c r="FK710" s="59"/>
      <c r="FL710" s="59"/>
      <c r="FM710" s="59"/>
      <c r="FN710" s="59"/>
      <c r="FO710" s="59"/>
      <c r="FP710" s="59"/>
      <c r="FQ710" s="59"/>
      <c r="FR710" s="59"/>
      <c r="FS710" s="59"/>
      <c r="FT710" s="59"/>
      <c r="FU710" s="59"/>
      <c r="FV710" s="59"/>
      <c r="FW710" s="59"/>
      <c r="FX710" s="59"/>
      <c r="FY710" s="59"/>
      <c r="FZ710" s="59"/>
      <c r="GA710" s="59"/>
      <c r="GB710" s="59"/>
      <c r="GC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  <c r="BV711" s="59"/>
      <c r="BW711" s="59"/>
      <c r="BX711" s="59"/>
      <c r="BY711" s="59"/>
      <c r="BZ711" s="59"/>
      <c r="CA711" s="59"/>
      <c r="CB711" s="59"/>
      <c r="CC711" s="59"/>
      <c r="CD711" s="59"/>
      <c r="CE711" s="59"/>
      <c r="CF711" s="59"/>
      <c r="CG711" s="59"/>
      <c r="CH711" s="59"/>
      <c r="CI711" s="59"/>
      <c r="CJ711" s="59"/>
      <c r="CK711" s="59"/>
      <c r="CL711" s="59"/>
      <c r="CM711" s="59"/>
      <c r="CN711" s="59"/>
      <c r="CO711" s="59"/>
      <c r="CP711" s="59"/>
      <c r="CQ711" s="59"/>
      <c r="CR711" s="59"/>
      <c r="CS711" s="59"/>
      <c r="CT711" s="59"/>
      <c r="CU711" s="59"/>
      <c r="CV711" s="59"/>
      <c r="CW711" s="59"/>
      <c r="CX711" s="59"/>
      <c r="CY711" s="59"/>
      <c r="CZ711" s="59"/>
      <c r="DA711" s="59"/>
      <c r="DB711" s="59"/>
      <c r="DC711" s="59"/>
      <c r="DD711" s="59"/>
      <c r="DE711" s="59"/>
      <c r="DF711" s="59"/>
      <c r="DG711" s="59"/>
      <c r="DH711" s="59"/>
      <c r="DI711" s="59"/>
      <c r="DJ711" s="59"/>
      <c r="DK711" s="59"/>
      <c r="DL711" s="59"/>
      <c r="DM711" s="59"/>
      <c r="DN711" s="59"/>
      <c r="DO711" s="59"/>
      <c r="DP711" s="59"/>
      <c r="DQ711" s="59"/>
      <c r="DR711" s="59"/>
      <c r="DS711" s="59"/>
      <c r="DT711" s="59"/>
      <c r="DU711" s="59"/>
      <c r="DV711" s="59"/>
      <c r="DW711" s="59"/>
      <c r="DX711" s="59"/>
      <c r="DY711" s="59"/>
      <c r="DZ711" s="59"/>
      <c r="EA711" s="59"/>
      <c r="EB711" s="59"/>
      <c r="EC711" s="59"/>
      <c r="ED711" s="59"/>
      <c r="EE711" s="59"/>
      <c r="EF711" s="59"/>
      <c r="EG711" s="59"/>
      <c r="EH711" s="59"/>
      <c r="EI711" s="59"/>
      <c r="EJ711" s="59"/>
      <c r="EK711" s="59"/>
      <c r="EL711" s="59"/>
      <c r="EM711" s="59"/>
      <c r="EN711" s="59"/>
      <c r="EO711" s="59"/>
      <c r="EP711" s="59"/>
      <c r="EQ711" s="59"/>
      <c r="ER711" s="59"/>
      <c r="ES711" s="59"/>
      <c r="ET711" s="59"/>
      <c r="EU711" s="59"/>
      <c r="EV711" s="59"/>
      <c r="EW711" s="59"/>
      <c r="EX711" s="59"/>
      <c r="EY711" s="59"/>
      <c r="EZ711" s="59"/>
      <c r="FA711" s="59"/>
      <c r="FB711" s="59"/>
      <c r="FC711" s="59"/>
      <c r="FD711" s="59"/>
      <c r="FE711" s="59"/>
      <c r="FF711" s="59"/>
      <c r="FG711" s="59"/>
      <c r="FH711" s="59"/>
      <c r="FI711" s="59"/>
      <c r="FJ711" s="59"/>
      <c r="FK711" s="59"/>
      <c r="FL711" s="59"/>
      <c r="FM711" s="59"/>
      <c r="FN711" s="59"/>
      <c r="FO711" s="59"/>
      <c r="FP711" s="59"/>
      <c r="FQ711" s="59"/>
      <c r="FR711" s="59"/>
      <c r="FS711" s="59"/>
      <c r="FT711" s="59"/>
      <c r="FU711" s="59"/>
      <c r="FV711" s="59"/>
      <c r="FW711" s="59"/>
      <c r="FX711" s="59"/>
      <c r="FY711" s="59"/>
      <c r="FZ711" s="59"/>
      <c r="GA711" s="59"/>
      <c r="GB711" s="59"/>
      <c r="GC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  <c r="BV712" s="59"/>
      <c r="BW712" s="59"/>
      <c r="BX712" s="59"/>
      <c r="BY712" s="59"/>
      <c r="BZ712" s="59"/>
      <c r="CA712" s="59"/>
      <c r="CB712" s="59"/>
      <c r="CC712" s="59"/>
      <c r="CD712" s="59"/>
      <c r="CE712" s="59"/>
      <c r="CF712" s="59"/>
      <c r="CG712" s="59"/>
      <c r="CH712" s="59"/>
      <c r="CI712" s="59"/>
      <c r="CJ712" s="59"/>
      <c r="CK712" s="59"/>
      <c r="CL712" s="59"/>
      <c r="CM712" s="59"/>
      <c r="CN712" s="59"/>
      <c r="CO712" s="59"/>
      <c r="CP712" s="59"/>
      <c r="CQ712" s="59"/>
      <c r="CR712" s="59"/>
      <c r="CS712" s="59"/>
      <c r="CT712" s="59"/>
      <c r="CU712" s="59"/>
      <c r="CV712" s="59"/>
      <c r="CW712" s="59"/>
      <c r="CX712" s="59"/>
      <c r="CY712" s="59"/>
      <c r="CZ712" s="59"/>
      <c r="DA712" s="59"/>
      <c r="DB712" s="59"/>
      <c r="DC712" s="59"/>
      <c r="DD712" s="59"/>
      <c r="DE712" s="59"/>
      <c r="DF712" s="59"/>
      <c r="DG712" s="59"/>
      <c r="DH712" s="59"/>
      <c r="DI712" s="59"/>
      <c r="DJ712" s="59"/>
      <c r="DK712" s="59"/>
      <c r="DL712" s="59"/>
      <c r="DM712" s="59"/>
      <c r="DN712" s="59"/>
      <c r="DO712" s="59"/>
      <c r="DP712" s="59"/>
      <c r="DQ712" s="59"/>
      <c r="DR712" s="59"/>
      <c r="DS712" s="59"/>
      <c r="DT712" s="59"/>
      <c r="DU712" s="59"/>
      <c r="DV712" s="59"/>
      <c r="DW712" s="59"/>
      <c r="DX712" s="59"/>
      <c r="DY712" s="59"/>
      <c r="DZ712" s="59"/>
      <c r="EA712" s="59"/>
      <c r="EB712" s="59"/>
      <c r="EC712" s="59"/>
      <c r="ED712" s="59"/>
      <c r="EE712" s="59"/>
      <c r="EF712" s="59"/>
      <c r="EG712" s="59"/>
      <c r="EH712" s="59"/>
      <c r="EI712" s="59"/>
      <c r="EJ712" s="59"/>
      <c r="EK712" s="59"/>
      <c r="EL712" s="59"/>
      <c r="EM712" s="59"/>
      <c r="EN712" s="59"/>
      <c r="EO712" s="59"/>
      <c r="EP712" s="59"/>
      <c r="EQ712" s="59"/>
      <c r="ER712" s="59"/>
      <c r="ES712" s="59"/>
      <c r="ET712" s="59"/>
      <c r="EU712" s="59"/>
      <c r="EV712" s="59"/>
      <c r="EW712" s="59"/>
      <c r="EX712" s="59"/>
      <c r="EY712" s="59"/>
      <c r="EZ712" s="59"/>
      <c r="FA712" s="59"/>
      <c r="FB712" s="59"/>
      <c r="FC712" s="59"/>
      <c r="FD712" s="59"/>
      <c r="FE712" s="59"/>
      <c r="FF712" s="59"/>
      <c r="FG712" s="59"/>
      <c r="FH712" s="59"/>
      <c r="FI712" s="59"/>
      <c r="FJ712" s="59"/>
      <c r="FK712" s="59"/>
      <c r="FL712" s="59"/>
      <c r="FM712" s="59"/>
      <c r="FN712" s="59"/>
      <c r="FO712" s="59"/>
      <c r="FP712" s="59"/>
      <c r="FQ712" s="59"/>
      <c r="FR712" s="59"/>
      <c r="FS712" s="59"/>
      <c r="FT712" s="59"/>
      <c r="FU712" s="59"/>
      <c r="FV712" s="59"/>
      <c r="FW712" s="59"/>
      <c r="FX712" s="59"/>
      <c r="FY712" s="59"/>
      <c r="FZ712" s="59"/>
      <c r="GA712" s="59"/>
      <c r="GB712" s="59"/>
      <c r="GC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  <c r="BV713" s="59"/>
      <c r="BW713" s="59"/>
      <c r="BX713" s="59"/>
      <c r="BY713" s="59"/>
      <c r="BZ713" s="59"/>
      <c r="CA713" s="59"/>
      <c r="CB713" s="59"/>
      <c r="CC713" s="59"/>
      <c r="CD713" s="59"/>
      <c r="CE713" s="59"/>
      <c r="CF713" s="59"/>
      <c r="CG713" s="59"/>
      <c r="CH713" s="59"/>
      <c r="CI713" s="59"/>
      <c r="CJ713" s="59"/>
      <c r="CK713" s="59"/>
      <c r="CL713" s="59"/>
      <c r="CM713" s="59"/>
      <c r="CN713" s="59"/>
      <c r="CO713" s="59"/>
      <c r="CP713" s="59"/>
      <c r="CQ713" s="59"/>
      <c r="CR713" s="59"/>
      <c r="CS713" s="59"/>
      <c r="CT713" s="59"/>
      <c r="CU713" s="59"/>
      <c r="CV713" s="59"/>
      <c r="CW713" s="59"/>
      <c r="CX713" s="59"/>
      <c r="CY713" s="59"/>
      <c r="CZ713" s="59"/>
      <c r="DA713" s="59"/>
      <c r="DB713" s="59"/>
      <c r="DC713" s="59"/>
      <c r="DD713" s="59"/>
      <c r="DE713" s="59"/>
      <c r="DF713" s="59"/>
      <c r="DG713" s="59"/>
      <c r="DH713" s="59"/>
      <c r="DI713" s="59"/>
      <c r="DJ713" s="59"/>
      <c r="DK713" s="59"/>
      <c r="DL713" s="59"/>
      <c r="DM713" s="59"/>
      <c r="DN713" s="59"/>
      <c r="DO713" s="59"/>
      <c r="DP713" s="59"/>
      <c r="DQ713" s="59"/>
      <c r="DR713" s="59"/>
      <c r="DS713" s="59"/>
      <c r="DT713" s="59"/>
      <c r="DU713" s="59"/>
      <c r="DV713" s="59"/>
      <c r="DW713" s="59"/>
      <c r="DX713" s="59"/>
      <c r="DY713" s="59"/>
      <c r="DZ713" s="59"/>
      <c r="EA713" s="59"/>
      <c r="EB713" s="59"/>
      <c r="EC713" s="59"/>
      <c r="ED713" s="59"/>
      <c r="EE713" s="59"/>
      <c r="EF713" s="59"/>
      <c r="EG713" s="59"/>
      <c r="EH713" s="59"/>
      <c r="EI713" s="59"/>
      <c r="EJ713" s="59"/>
      <c r="EK713" s="59"/>
      <c r="EL713" s="59"/>
      <c r="EM713" s="59"/>
      <c r="EN713" s="59"/>
      <c r="EO713" s="59"/>
      <c r="EP713" s="59"/>
      <c r="EQ713" s="59"/>
      <c r="ER713" s="59"/>
      <c r="ES713" s="59"/>
      <c r="ET713" s="59"/>
      <c r="EU713" s="59"/>
      <c r="EV713" s="59"/>
      <c r="EW713" s="59"/>
      <c r="EX713" s="59"/>
      <c r="EY713" s="59"/>
      <c r="EZ713" s="59"/>
      <c r="FA713" s="59"/>
      <c r="FB713" s="59"/>
      <c r="FC713" s="59"/>
      <c r="FD713" s="59"/>
      <c r="FE713" s="59"/>
      <c r="FF713" s="59"/>
      <c r="FG713" s="59"/>
      <c r="FH713" s="59"/>
      <c r="FI713" s="59"/>
      <c r="FJ713" s="59"/>
      <c r="FK713" s="59"/>
      <c r="FL713" s="59"/>
      <c r="FM713" s="59"/>
      <c r="FN713" s="59"/>
      <c r="FO713" s="59"/>
      <c r="FP713" s="59"/>
      <c r="FQ713" s="59"/>
      <c r="FR713" s="59"/>
      <c r="FS713" s="59"/>
      <c r="FT713" s="59"/>
      <c r="FU713" s="59"/>
      <c r="FV713" s="59"/>
      <c r="FW713" s="59"/>
      <c r="FX713" s="59"/>
      <c r="FY713" s="59"/>
      <c r="FZ713" s="59"/>
      <c r="GA713" s="59"/>
      <c r="GB713" s="59"/>
      <c r="GC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  <c r="BV714" s="59"/>
      <c r="BW714" s="59"/>
      <c r="BX714" s="59"/>
      <c r="BY714" s="59"/>
      <c r="BZ714" s="59"/>
      <c r="CA714" s="59"/>
      <c r="CB714" s="59"/>
      <c r="CC714" s="59"/>
      <c r="CD714" s="59"/>
      <c r="CE714" s="59"/>
      <c r="CF714" s="59"/>
      <c r="CG714" s="59"/>
      <c r="CH714" s="59"/>
      <c r="CI714" s="59"/>
      <c r="CJ714" s="59"/>
      <c r="CK714" s="59"/>
      <c r="CL714" s="59"/>
      <c r="CM714" s="59"/>
      <c r="CN714" s="59"/>
      <c r="CO714" s="59"/>
      <c r="CP714" s="59"/>
      <c r="CQ714" s="59"/>
      <c r="CR714" s="59"/>
      <c r="CS714" s="59"/>
      <c r="CT714" s="59"/>
      <c r="CU714" s="59"/>
      <c r="CV714" s="59"/>
      <c r="CW714" s="59"/>
      <c r="CX714" s="59"/>
      <c r="CY714" s="59"/>
      <c r="CZ714" s="59"/>
      <c r="DA714" s="59"/>
      <c r="DB714" s="59"/>
      <c r="DC714" s="59"/>
      <c r="DD714" s="59"/>
      <c r="DE714" s="59"/>
      <c r="DF714" s="59"/>
      <c r="DG714" s="59"/>
      <c r="DH714" s="59"/>
      <c r="DI714" s="59"/>
      <c r="DJ714" s="59"/>
      <c r="DK714" s="59"/>
      <c r="DL714" s="59"/>
      <c r="DM714" s="59"/>
      <c r="DN714" s="59"/>
      <c r="DO714" s="59"/>
      <c r="DP714" s="59"/>
      <c r="DQ714" s="59"/>
      <c r="DR714" s="59"/>
      <c r="DS714" s="59"/>
      <c r="DT714" s="59"/>
      <c r="DU714" s="59"/>
      <c r="DV714" s="59"/>
      <c r="DW714" s="59"/>
      <c r="DX714" s="59"/>
      <c r="DY714" s="59"/>
      <c r="DZ714" s="59"/>
      <c r="EA714" s="59"/>
      <c r="EB714" s="59"/>
      <c r="EC714" s="59"/>
      <c r="ED714" s="59"/>
      <c r="EE714" s="59"/>
      <c r="EF714" s="59"/>
      <c r="EG714" s="59"/>
      <c r="EH714" s="59"/>
      <c r="EI714" s="59"/>
      <c r="EJ714" s="59"/>
      <c r="EK714" s="59"/>
      <c r="EL714" s="59"/>
      <c r="EM714" s="59"/>
      <c r="EN714" s="59"/>
      <c r="EO714" s="59"/>
      <c r="EP714" s="59"/>
      <c r="EQ714" s="59"/>
      <c r="ER714" s="59"/>
      <c r="ES714" s="59"/>
      <c r="ET714" s="59"/>
      <c r="EU714" s="59"/>
      <c r="EV714" s="59"/>
      <c r="EW714" s="59"/>
      <c r="EX714" s="59"/>
      <c r="EY714" s="59"/>
      <c r="EZ714" s="59"/>
      <c r="FA714" s="59"/>
      <c r="FB714" s="59"/>
      <c r="FC714" s="59"/>
      <c r="FD714" s="59"/>
      <c r="FE714" s="59"/>
      <c r="FF714" s="59"/>
      <c r="FG714" s="59"/>
      <c r="FH714" s="59"/>
      <c r="FI714" s="59"/>
      <c r="FJ714" s="59"/>
      <c r="FK714" s="59"/>
      <c r="FL714" s="59"/>
      <c r="FM714" s="59"/>
      <c r="FN714" s="59"/>
      <c r="FO714" s="59"/>
      <c r="FP714" s="59"/>
      <c r="FQ714" s="59"/>
      <c r="FR714" s="59"/>
      <c r="FS714" s="59"/>
      <c r="FT714" s="59"/>
      <c r="FU714" s="59"/>
      <c r="FV714" s="59"/>
      <c r="FW714" s="59"/>
      <c r="FX714" s="59"/>
      <c r="FY714" s="59"/>
      <c r="FZ714" s="59"/>
      <c r="GA714" s="59"/>
      <c r="GB714" s="59"/>
      <c r="GC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  <c r="BV715" s="59"/>
      <c r="BW715" s="59"/>
      <c r="BX715" s="59"/>
      <c r="BY715" s="59"/>
      <c r="BZ715" s="59"/>
      <c r="CA715" s="59"/>
      <c r="CB715" s="59"/>
      <c r="CC715" s="59"/>
      <c r="CD715" s="59"/>
      <c r="CE715" s="59"/>
      <c r="CF715" s="59"/>
      <c r="CG715" s="59"/>
      <c r="CH715" s="59"/>
      <c r="CI715" s="59"/>
      <c r="CJ715" s="59"/>
      <c r="CK715" s="59"/>
      <c r="CL715" s="59"/>
      <c r="CM715" s="59"/>
      <c r="CN715" s="59"/>
      <c r="CO715" s="59"/>
      <c r="CP715" s="59"/>
      <c r="CQ715" s="59"/>
      <c r="CR715" s="59"/>
      <c r="CS715" s="59"/>
      <c r="CT715" s="59"/>
      <c r="CU715" s="59"/>
      <c r="CV715" s="59"/>
      <c r="CW715" s="59"/>
      <c r="CX715" s="59"/>
      <c r="CY715" s="59"/>
      <c r="CZ715" s="59"/>
      <c r="DA715" s="59"/>
      <c r="DB715" s="59"/>
      <c r="DC715" s="59"/>
      <c r="DD715" s="59"/>
      <c r="DE715" s="59"/>
      <c r="DF715" s="59"/>
      <c r="DG715" s="59"/>
      <c r="DH715" s="59"/>
      <c r="DI715" s="59"/>
      <c r="DJ715" s="59"/>
      <c r="DK715" s="59"/>
      <c r="DL715" s="59"/>
      <c r="DM715" s="59"/>
      <c r="DN715" s="59"/>
      <c r="DO715" s="59"/>
      <c r="DP715" s="59"/>
      <c r="DQ715" s="59"/>
      <c r="DR715" s="59"/>
      <c r="DS715" s="59"/>
      <c r="DT715" s="59"/>
      <c r="DU715" s="59"/>
      <c r="DV715" s="59"/>
      <c r="DW715" s="59"/>
      <c r="DX715" s="59"/>
      <c r="DY715" s="59"/>
      <c r="DZ715" s="59"/>
      <c r="EA715" s="59"/>
      <c r="EB715" s="59"/>
      <c r="EC715" s="59"/>
      <c r="ED715" s="59"/>
      <c r="EE715" s="59"/>
      <c r="EF715" s="59"/>
      <c r="EG715" s="59"/>
      <c r="EH715" s="59"/>
      <c r="EI715" s="59"/>
      <c r="EJ715" s="59"/>
      <c r="EK715" s="59"/>
      <c r="EL715" s="59"/>
      <c r="EM715" s="59"/>
      <c r="EN715" s="59"/>
      <c r="EO715" s="59"/>
      <c r="EP715" s="59"/>
      <c r="EQ715" s="59"/>
      <c r="ER715" s="59"/>
      <c r="ES715" s="59"/>
      <c r="ET715" s="59"/>
      <c r="EU715" s="59"/>
      <c r="EV715" s="59"/>
      <c r="EW715" s="59"/>
      <c r="EX715" s="59"/>
      <c r="EY715" s="59"/>
      <c r="EZ715" s="59"/>
      <c r="FA715" s="59"/>
      <c r="FB715" s="59"/>
      <c r="FC715" s="59"/>
      <c r="FD715" s="59"/>
      <c r="FE715" s="59"/>
      <c r="FF715" s="59"/>
      <c r="FG715" s="59"/>
      <c r="FH715" s="59"/>
      <c r="FI715" s="59"/>
      <c r="FJ715" s="59"/>
      <c r="FK715" s="59"/>
      <c r="FL715" s="59"/>
      <c r="FM715" s="59"/>
      <c r="FN715" s="59"/>
      <c r="FO715" s="59"/>
      <c r="FP715" s="59"/>
      <c r="FQ715" s="59"/>
      <c r="FR715" s="59"/>
      <c r="FS715" s="59"/>
      <c r="FT715" s="59"/>
      <c r="FU715" s="59"/>
      <c r="FV715" s="59"/>
      <c r="FW715" s="59"/>
      <c r="FX715" s="59"/>
      <c r="FY715" s="59"/>
      <c r="FZ715" s="59"/>
      <c r="GA715" s="59"/>
      <c r="GB715" s="59"/>
      <c r="GC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  <c r="BV716" s="59"/>
      <c r="BW716" s="59"/>
      <c r="BX716" s="59"/>
      <c r="BY716" s="59"/>
      <c r="BZ716" s="59"/>
      <c r="CA716" s="59"/>
      <c r="CB716" s="59"/>
      <c r="CC716" s="59"/>
      <c r="CD716" s="59"/>
      <c r="CE716" s="59"/>
      <c r="CF716" s="59"/>
      <c r="CG716" s="59"/>
      <c r="CH716" s="59"/>
      <c r="CI716" s="59"/>
      <c r="CJ716" s="59"/>
      <c r="CK716" s="59"/>
      <c r="CL716" s="59"/>
      <c r="CM716" s="59"/>
      <c r="CN716" s="59"/>
      <c r="CO716" s="59"/>
      <c r="CP716" s="59"/>
      <c r="CQ716" s="59"/>
      <c r="CR716" s="59"/>
      <c r="CS716" s="59"/>
      <c r="CT716" s="59"/>
      <c r="CU716" s="59"/>
      <c r="CV716" s="59"/>
      <c r="CW716" s="59"/>
      <c r="CX716" s="59"/>
      <c r="CY716" s="59"/>
      <c r="CZ716" s="59"/>
      <c r="DA716" s="59"/>
      <c r="DB716" s="59"/>
      <c r="DC716" s="59"/>
      <c r="DD716" s="59"/>
      <c r="DE716" s="59"/>
      <c r="DF716" s="59"/>
      <c r="DG716" s="59"/>
      <c r="DH716" s="59"/>
      <c r="DI716" s="59"/>
      <c r="DJ716" s="59"/>
      <c r="DK716" s="59"/>
      <c r="DL716" s="59"/>
      <c r="DM716" s="59"/>
      <c r="DN716" s="59"/>
      <c r="DO716" s="59"/>
      <c r="DP716" s="59"/>
      <c r="DQ716" s="59"/>
      <c r="DR716" s="59"/>
      <c r="DS716" s="59"/>
      <c r="DT716" s="59"/>
      <c r="DU716" s="59"/>
      <c r="DV716" s="59"/>
      <c r="DW716" s="59"/>
      <c r="DX716" s="59"/>
      <c r="DY716" s="59"/>
      <c r="DZ716" s="59"/>
      <c r="EA716" s="59"/>
      <c r="EB716" s="59"/>
      <c r="EC716" s="59"/>
      <c r="ED716" s="59"/>
      <c r="EE716" s="59"/>
      <c r="EF716" s="59"/>
      <c r="EG716" s="59"/>
      <c r="EH716" s="59"/>
      <c r="EI716" s="59"/>
      <c r="EJ716" s="59"/>
      <c r="EK716" s="59"/>
      <c r="EL716" s="59"/>
      <c r="EM716" s="59"/>
      <c r="EN716" s="59"/>
      <c r="EO716" s="59"/>
      <c r="EP716" s="59"/>
      <c r="EQ716" s="59"/>
      <c r="ER716" s="59"/>
      <c r="ES716" s="59"/>
      <c r="ET716" s="59"/>
      <c r="EU716" s="59"/>
      <c r="EV716" s="59"/>
      <c r="EW716" s="59"/>
      <c r="EX716" s="59"/>
      <c r="EY716" s="59"/>
      <c r="EZ716" s="59"/>
      <c r="FA716" s="59"/>
      <c r="FB716" s="59"/>
      <c r="FC716" s="59"/>
      <c r="FD716" s="59"/>
      <c r="FE716" s="59"/>
      <c r="FF716" s="59"/>
      <c r="FG716" s="59"/>
      <c r="FH716" s="59"/>
      <c r="FI716" s="59"/>
      <c r="FJ716" s="59"/>
      <c r="FK716" s="59"/>
      <c r="FL716" s="59"/>
      <c r="FM716" s="59"/>
      <c r="FN716" s="59"/>
      <c r="FO716" s="59"/>
      <c r="FP716" s="59"/>
      <c r="FQ716" s="59"/>
      <c r="FR716" s="59"/>
      <c r="FS716" s="59"/>
      <c r="FT716" s="59"/>
      <c r="FU716" s="59"/>
      <c r="FV716" s="59"/>
      <c r="FW716" s="59"/>
      <c r="FX716" s="59"/>
      <c r="FY716" s="59"/>
      <c r="FZ716" s="59"/>
      <c r="GA716" s="59"/>
      <c r="GB716" s="59"/>
      <c r="GC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  <c r="BV717" s="59"/>
      <c r="BW717" s="59"/>
      <c r="BX717" s="59"/>
      <c r="BY717" s="59"/>
      <c r="BZ717" s="59"/>
      <c r="CA717" s="59"/>
      <c r="CB717" s="59"/>
      <c r="CC717" s="59"/>
      <c r="CD717" s="59"/>
      <c r="CE717" s="59"/>
      <c r="CF717" s="59"/>
      <c r="CG717" s="59"/>
      <c r="CH717" s="59"/>
      <c r="CI717" s="59"/>
      <c r="CJ717" s="59"/>
      <c r="CK717" s="59"/>
      <c r="CL717" s="59"/>
      <c r="CM717" s="59"/>
      <c r="CN717" s="59"/>
      <c r="CO717" s="59"/>
      <c r="CP717" s="59"/>
      <c r="CQ717" s="59"/>
      <c r="CR717" s="59"/>
      <c r="CS717" s="59"/>
      <c r="CT717" s="59"/>
      <c r="CU717" s="59"/>
      <c r="CV717" s="59"/>
      <c r="CW717" s="59"/>
      <c r="CX717" s="59"/>
      <c r="CY717" s="59"/>
      <c r="CZ717" s="59"/>
      <c r="DA717" s="59"/>
      <c r="DB717" s="59"/>
      <c r="DC717" s="59"/>
      <c r="DD717" s="59"/>
      <c r="DE717" s="59"/>
      <c r="DF717" s="59"/>
      <c r="DG717" s="59"/>
      <c r="DH717" s="59"/>
      <c r="DI717" s="59"/>
      <c r="DJ717" s="59"/>
      <c r="DK717" s="59"/>
      <c r="DL717" s="59"/>
      <c r="DM717" s="59"/>
      <c r="DN717" s="59"/>
      <c r="DO717" s="59"/>
      <c r="DP717" s="59"/>
      <c r="DQ717" s="59"/>
      <c r="DR717" s="59"/>
      <c r="DS717" s="59"/>
      <c r="DT717" s="59"/>
      <c r="DU717" s="59"/>
      <c r="DV717" s="59"/>
      <c r="DW717" s="59"/>
      <c r="DX717" s="59"/>
      <c r="DY717" s="59"/>
      <c r="DZ717" s="59"/>
      <c r="EA717" s="59"/>
      <c r="EB717" s="59"/>
      <c r="EC717" s="59"/>
      <c r="ED717" s="59"/>
      <c r="EE717" s="59"/>
      <c r="EF717" s="59"/>
      <c r="EG717" s="59"/>
      <c r="EH717" s="59"/>
      <c r="EI717" s="59"/>
      <c r="EJ717" s="59"/>
      <c r="EK717" s="59"/>
      <c r="EL717" s="59"/>
      <c r="EM717" s="59"/>
      <c r="EN717" s="59"/>
      <c r="EO717" s="59"/>
      <c r="EP717" s="59"/>
      <c r="EQ717" s="59"/>
      <c r="ER717" s="59"/>
      <c r="ES717" s="59"/>
      <c r="ET717" s="59"/>
      <c r="EU717" s="59"/>
      <c r="EV717" s="59"/>
      <c r="EW717" s="59"/>
      <c r="EX717" s="59"/>
      <c r="EY717" s="59"/>
      <c r="EZ717" s="59"/>
      <c r="FA717" s="59"/>
      <c r="FB717" s="59"/>
      <c r="FC717" s="59"/>
      <c r="FD717" s="59"/>
      <c r="FE717" s="59"/>
      <c r="FF717" s="59"/>
      <c r="FG717" s="59"/>
      <c r="FH717" s="59"/>
      <c r="FI717" s="59"/>
      <c r="FJ717" s="59"/>
      <c r="FK717" s="59"/>
      <c r="FL717" s="59"/>
      <c r="FM717" s="59"/>
      <c r="FN717" s="59"/>
      <c r="FO717" s="59"/>
      <c r="FP717" s="59"/>
      <c r="FQ717" s="59"/>
      <c r="FR717" s="59"/>
      <c r="FS717" s="59"/>
      <c r="FT717" s="59"/>
      <c r="FU717" s="59"/>
      <c r="FV717" s="59"/>
      <c r="FW717" s="59"/>
      <c r="FX717" s="59"/>
      <c r="FY717" s="59"/>
      <c r="FZ717" s="59"/>
      <c r="GA717" s="59"/>
      <c r="GB717" s="59"/>
      <c r="GC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  <c r="BV718" s="59"/>
      <c r="BW718" s="59"/>
      <c r="BX718" s="59"/>
      <c r="BY718" s="59"/>
      <c r="BZ718" s="59"/>
      <c r="CA718" s="59"/>
      <c r="CB718" s="59"/>
      <c r="CC718" s="59"/>
      <c r="CD718" s="59"/>
      <c r="CE718" s="59"/>
      <c r="CF718" s="59"/>
      <c r="CG718" s="59"/>
      <c r="CH718" s="59"/>
      <c r="CI718" s="59"/>
      <c r="CJ718" s="59"/>
      <c r="CK718" s="59"/>
      <c r="CL718" s="59"/>
      <c r="CM718" s="59"/>
      <c r="CN718" s="59"/>
      <c r="CO718" s="59"/>
      <c r="CP718" s="59"/>
      <c r="CQ718" s="59"/>
      <c r="CR718" s="59"/>
      <c r="CS718" s="59"/>
      <c r="CT718" s="59"/>
      <c r="CU718" s="59"/>
      <c r="CV718" s="59"/>
      <c r="CW718" s="59"/>
      <c r="CX718" s="59"/>
      <c r="CY718" s="59"/>
      <c r="CZ718" s="59"/>
      <c r="DA718" s="59"/>
      <c r="DB718" s="59"/>
      <c r="DC718" s="59"/>
      <c r="DD718" s="59"/>
      <c r="DE718" s="59"/>
      <c r="DF718" s="59"/>
      <c r="DG718" s="59"/>
      <c r="DH718" s="59"/>
      <c r="DI718" s="59"/>
      <c r="DJ718" s="59"/>
      <c r="DK718" s="59"/>
      <c r="DL718" s="59"/>
      <c r="DM718" s="59"/>
      <c r="DN718" s="59"/>
      <c r="DO718" s="59"/>
      <c r="DP718" s="59"/>
      <c r="DQ718" s="59"/>
      <c r="DR718" s="59"/>
      <c r="DS718" s="59"/>
      <c r="DT718" s="59"/>
      <c r="DU718" s="59"/>
      <c r="DV718" s="59"/>
      <c r="DW718" s="59"/>
      <c r="DX718" s="59"/>
      <c r="DY718" s="59"/>
      <c r="DZ718" s="59"/>
      <c r="EA718" s="59"/>
      <c r="EB718" s="59"/>
      <c r="EC718" s="59"/>
      <c r="ED718" s="59"/>
      <c r="EE718" s="59"/>
      <c r="EF718" s="59"/>
      <c r="EG718" s="59"/>
      <c r="EH718" s="59"/>
      <c r="EI718" s="59"/>
      <c r="EJ718" s="59"/>
      <c r="EK718" s="59"/>
      <c r="EL718" s="59"/>
      <c r="EM718" s="59"/>
      <c r="EN718" s="59"/>
      <c r="EO718" s="59"/>
      <c r="EP718" s="59"/>
      <c r="EQ718" s="59"/>
      <c r="ER718" s="59"/>
      <c r="ES718" s="59"/>
      <c r="ET718" s="59"/>
      <c r="EU718" s="59"/>
      <c r="EV718" s="59"/>
      <c r="EW718" s="59"/>
      <c r="EX718" s="59"/>
      <c r="EY718" s="59"/>
      <c r="EZ718" s="59"/>
      <c r="FA718" s="59"/>
      <c r="FB718" s="59"/>
      <c r="FC718" s="59"/>
      <c r="FD718" s="59"/>
      <c r="FE718" s="59"/>
      <c r="FF718" s="59"/>
      <c r="FG718" s="59"/>
      <c r="FH718" s="59"/>
      <c r="FI718" s="59"/>
      <c r="FJ718" s="59"/>
      <c r="FK718" s="59"/>
      <c r="FL718" s="59"/>
      <c r="FM718" s="59"/>
      <c r="FN718" s="59"/>
      <c r="FO718" s="59"/>
      <c r="FP718" s="59"/>
      <c r="FQ718" s="59"/>
      <c r="FR718" s="59"/>
      <c r="FS718" s="59"/>
      <c r="FT718" s="59"/>
      <c r="FU718" s="59"/>
      <c r="FV718" s="59"/>
      <c r="FW718" s="59"/>
      <c r="FX718" s="59"/>
      <c r="FY718" s="59"/>
      <c r="FZ718" s="59"/>
      <c r="GA718" s="59"/>
      <c r="GB718" s="59"/>
      <c r="GC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  <c r="BV719" s="59"/>
      <c r="BW719" s="59"/>
      <c r="BX719" s="59"/>
      <c r="BY719" s="59"/>
      <c r="BZ719" s="59"/>
      <c r="CA719" s="59"/>
      <c r="CB719" s="59"/>
      <c r="CC719" s="59"/>
      <c r="CD719" s="59"/>
      <c r="CE719" s="59"/>
      <c r="CF719" s="59"/>
      <c r="CG719" s="59"/>
      <c r="CH719" s="59"/>
      <c r="CI719" s="59"/>
      <c r="CJ719" s="59"/>
      <c r="CK719" s="59"/>
      <c r="CL719" s="59"/>
      <c r="CM719" s="59"/>
      <c r="CN719" s="59"/>
      <c r="CO719" s="59"/>
      <c r="CP719" s="59"/>
      <c r="CQ719" s="59"/>
      <c r="CR719" s="59"/>
      <c r="CS719" s="59"/>
      <c r="CT719" s="59"/>
      <c r="CU719" s="59"/>
      <c r="CV719" s="59"/>
      <c r="CW719" s="59"/>
      <c r="CX719" s="59"/>
      <c r="CY719" s="59"/>
      <c r="CZ719" s="59"/>
      <c r="DA719" s="59"/>
      <c r="DB719" s="59"/>
      <c r="DC719" s="59"/>
      <c r="DD719" s="59"/>
      <c r="DE719" s="59"/>
      <c r="DF719" s="59"/>
      <c r="DG719" s="59"/>
      <c r="DH719" s="59"/>
      <c r="DI719" s="59"/>
      <c r="DJ719" s="59"/>
      <c r="DK719" s="59"/>
      <c r="DL719" s="59"/>
      <c r="DM719" s="59"/>
      <c r="DN719" s="59"/>
      <c r="DO719" s="59"/>
      <c r="DP719" s="59"/>
      <c r="DQ719" s="59"/>
      <c r="DR719" s="59"/>
      <c r="DS719" s="59"/>
      <c r="DT719" s="59"/>
      <c r="DU719" s="59"/>
      <c r="DV719" s="59"/>
      <c r="DW719" s="59"/>
      <c r="DX719" s="59"/>
      <c r="DY719" s="59"/>
      <c r="DZ719" s="59"/>
      <c r="EA719" s="59"/>
      <c r="EB719" s="59"/>
      <c r="EC719" s="59"/>
      <c r="ED719" s="59"/>
      <c r="EE719" s="59"/>
      <c r="EF719" s="59"/>
      <c r="EG719" s="59"/>
      <c r="EH719" s="59"/>
      <c r="EI719" s="59"/>
      <c r="EJ719" s="59"/>
      <c r="EK719" s="59"/>
      <c r="EL719" s="59"/>
      <c r="EM719" s="59"/>
      <c r="EN719" s="59"/>
      <c r="EO719" s="59"/>
      <c r="EP719" s="59"/>
      <c r="EQ719" s="59"/>
      <c r="ER719" s="59"/>
      <c r="ES719" s="59"/>
      <c r="ET719" s="59"/>
      <c r="EU719" s="59"/>
      <c r="EV719" s="59"/>
      <c r="EW719" s="59"/>
      <c r="EX719" s="59"/>
      <c r="EY719" s="59"/>
      <c r="EZ719" s="59"/>
      <c r="FA719" s="59"/>
      <c r="FB719" s="59"/>
      <c r="FC719" s="59"/>
      <c r="FD719" s="59"/>
      <c r="FE719" s="59"/>
      <c r="FF719" s="59"/>
      <c r="FG719" s="59"/>
      <c r="FH719" s="59"/>
      <c r="FI719" s="59"/>
      <c r="FJ719" s="59"/>
      <c r="FK719" s="59"/>
      <c r="FL719" s="59"/>
      <c r="FM719" s="59"/>
      <c r="FN719" s="59"/>
      <c r="FO719" s="59"/>
      <c r="FP719" s="59"/>
      <c r="FQ719" s="59"/>
      <c r="FR719" s="59"/>
      <c r="FS719" s="59"/>
      <c r="FT719" s="59"/>
      <c r="FU719" s="59"/>
      <c r="FV719" s="59"/>
      <c r="FW719" s="59"/>
      <c r="FX719" s="59"/>
      <c r="FY719" s="59"/>
      <c r="FZ719" s="59"/>
      <c r="GA719" s="59"/>
      <c r="GB719" s="59"/>
      <c r="GC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  <c r="BV720" s="59"/>
      <c r="BW720" s="59"/>
      <c r="BX720" s="59"/>
      <c r="BY720" s="59"/>
      <c r="BZ720" s="59"/>
      <c r="CA720" s="59"/>
      <c r="CB720" s="59"/>
      <c r="CC720" s="59"/>
      <c r="CD720" s="59"/>
      <c r="CE720" s="59"/>
      <c r="CF720" s="59"/>
      <c r="CG720" s="59"/>
      <c r="CH720" s="59"/>
      <c r="CI720" s="59"/>
      <c r="CJ720" s="59"/>
      <c r="CK720" s="59"/>
      <c r="CL720" s="59"/>
      <c r="CM720" s="59"/>
      <c r="CN720" s="59"/>
      <c r="CO720" s="59"/>
      <c r="CP720" s="59"/>
      <c r="CQ720" s="59"/>
      <c r="CR720" s="59"/>
      <c r="CS720" s="59"/>
      <c r="CT720" s="59"/>
      <c r="CU720" s="59"/>
      <c r="CV720" s="59"/>
      <c r="CW720" s="59"/>
      <c r="CX720" s="59"/>
      <c r="CY720" s="59"/>
      <c r="CZ720" s="59"/>
      <c r="DA720" s="59"/>
      <c r="DB720" s="59"/>
      <c r="DC720" s="59"/>
      <c r="DD720" s="59"/>
      <c r="DE720" s="59"/>
      <c r="DF720" s="59"/>
      <c r="DG720" s="59"/>
      <c r="DH720" s="59"/>
      <c r="DI720" s="59"/>
      <c r="DJ720" s="59"/>
      <c r="DK720" s="59"/>
      <c r="DL720" s="59"/>
      <c r="DM720" s="59"/>
      <c r="DN720" s="59"/>
      <c r="DO720" s="59"/>
      <c r="DP720" s="59"/>
      <c r="DQ720" s="59"/>
      <c r="DR720" s="59"/>
      <c r="DS720" s="59"/>
      <c r="DT720" s="59"/>
      <c r="DU720" s="59"/>
      <c r="DV720" s="59"/>
      <c r="DW720" s="59"/>
      <c r="DX720" s="59"/>
      <c r="DY720" s="59"/>
      <c r="DZ720" s="59"/>
      <c r="EA720" s="59"/>
      <c r="EB720" s="59"/>
      <c r="EC720" s="59"/>
      <c r="ED720" s="59"/>
      <c r="EE720" s="59"/>
      <c r="EF720" s="59"/>
      <c r="EG720" s="59"/>
      <c r="EH720" s="59"/>
      <c r="EI720" s="59"/>
      <c r="EJ720" s="59"/>
      <c r="EK720" s="59"/>
      <c r="EL720" s="59"/>
      <c r="EM720" s="59"/>
      <c r="EN720" s="59"/>
      <c r="EO720" s="59"/>
      <c r="EP720" s="59"/>
      <c r="EQ720" s="59"/>
      <c r="ER720" s="59"/>
      <c r="ES720" s="59"/>
      <c r="ET720" s="59"/>
      <c r="EU720" s="59"/>
      <c r="EV720" s="59"/>
      <c r="EW720" s="59"/>
      <c r="EX720" s="59"/>
      <c r="EY720" s="59"/>
      <c r="EZ720" s="59"/>
      <c r="FA720" s="59"/>
      <c r="FB720" s="59"/>
      <c r="FC720" s="59"/>
      <c r="FD720" s="59"/>
      <c r="FE720" s="59"/>
      <c r="FF720" s="59"/>
      <c r="FG720" s="59"/>
      <c r="FH720" s="59"/>
      <c r="FI720" s="59"/>
      <c r="FJ720" s="59"/>
      <c r="FK720" s="59"/>
      <c r="FL720" s="59"/>
      <c r="FM720" s="59"/>
      <c r="FN720" s="59"/>
      <c r="FO720" s="59"/>
      <c r="FP720" s="59"/>
      <c r="FQ720" s="59"/>
      <c r="FR720" s="59"/>
      <c r="FS720" s="59"/>
      <c r="FT720" s="59"/>
      <c r="FU720" s="59"/>
      <c r="FV720" s="59"/>
      <c r="FW720" s="59"/>
      <c r="FX720" s="59"/>
      <c r="FY720" s="59"/>
      <c r="FZ720" s="59"/>
      <c r="GA720" s="59"/>
      <c r="GB720" s="59"/>
      <c r="GC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  <c r="BV721" s="59"/>
      <c r="BW721" s="59"/>
      <c r="BX721" s="59"/>
      <c r="BY721" s="59"/>
      <c r="BZ721" s="59"/>
      <c r="CA721" s="59"/>
      <c r="CB721" s="59"/>
      <c r="CC721" s="59"/>
      <c r="CD721" s="59"/>
      <c r="CE721" s="59"/>
      <c r="CF721" s="59"/>
      <c r="CG721" s="59"/>
      <c r="CH721" s="59"/>
      <c r="CI721" s="59"/>
      <c r="CJ721" s="59"/>
      <c r="CK721" s="59"/>
      <c r="CL721" s="59"/>
      <c r="CM721" s="59"/>
      <c r="CN721" s="59"/>
      <c r="CO721" s="59"/>
      <c r="CP721" s="59"/>
      <c r="CQ721" s="59"/>
      <c r="CR721" s="59"/>
      <c r="CS721" s="59"/>
      <c r="CT721" s="59"/>
      <c r="CU721" s="59"/>
      <c r="CV721" s="59"/>
      <c r="CW721" s="59"/>
      <c r="CX721" s="59"/>
      <c r="CY721" s="59"/>
      <c r="CZ721" s="59"/>
      <c r="DA721" s="59"/>
      <c r="DB721" s="59"/>
      <c r="DC721" s="59"/>
      <c r="DD721" s="59"/>
      <c r="DE721" s="59"/>
      <c r="DF721" s="59"/>
      <c r="DG721" s="59"/>
      <c r="DH721" s="59"/>
      <c r="DI721" s="59"/>
      <c r="DJ721" s="59"/>
      <c r="DK721" s="59"/>
      <c r="DL721" s="59"/>
      <c r="DM721" s="59"/>
      <c r="DN721" s="59"/>
      <c r="DO721" s="59"/>
      <c r="DP721" s="59"/>
      <c r="DQ721" s="59"/>
      <c r="DR721" s="59"/>
      <c r="DS721" s="59"/>
      <c r="DT721" s="59"/>
      <c r="DU721" s="59"/>
      <c r="DV721" s="59"/>
      <c r="DW721" s="59"/>
      <c r="DX721" s="59"/>
      <c r="DY721" s="59"/>
      <c r="DZ721" s="59"/>
      <c r="EA721" s="59"/>
      <c r="EB721" s="59"/>
      <c r="EC721" s="59"/>
      <c r="ED721" s="59"/>
      <c r="EE721" s="59"/>
      <c r="EF721" s="59"/>
      <c r="EG721" s="59"/>
      <c r="EH721" s="59"/>
      <c r="EI721" s="59"/>
      <c r="EJ721" s="59"/>
      <c r="EK721" s="59"/>
      <c r="EL721" s="59"/>
      <c r="EM721" s="59"/>
      <c r="EN721" s="59"/>
      <c r="EO721" s="59"/>
      <c r="EP721" s="59"/>
      <c r="EQ721" s="59"/>
      <c r="ER721" s="59"/>
      <c r="ES721" s="59"/>
      <c r="ET721" s="59"/>
      <c r="EU721" s="59"/>
      <c r="EV721" s="59"/>
      <c r="EW721" s="59"/>
      <c r="EX721" s="59"/>
      <c r="EY721" s="59"/>
      <c r="EZ721" s="59"/>
      <c r="FA721" s="59"/>
      <c r="FB721" s="59"/>
      <c r="FC721" s="59"/>
      <c r="FD721" s="59"/>
      <c r="FE721" s="59"/>
      <c r="FF721" s="59"/>
      <c r="FG721" s="59"/>
      <c r="FH721" s="59"/>
      <c r="FI721" s="59"/>
      <c r="FJ721" s="59"/>
      <c r="FK721" s="59"/>
      <c r="FL721" s="59"/>
      <c r="FM721" s="59"/>
      <c r="FN721" s="59"/>
      <c r="FO721" s="59"/>
      <c r="FP721" s="59"/>
      <c r="FQ721" s="59"/>
      <c r="FR721" s="59"/>
      <c r="FS721" s="59"/>
      <c r="FT721" s="59"/>
      <c r="FU721" s="59"/>
      <c r="FV721" s="59"/>
      <c r="FW721" s="59"/>
      <c r="FX721" s="59"/>
      <c r="FY721" s="59"/>
      <c r="FZ721" s="59"/>
      <c r="GA721" s="59"/>
      <c r="GB721" s="59"/>
      <c r="GC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  <c r="BV722" s="59"/>
      <c r="BW722" s="59"/>
      <c r="BX722" s="59"/>
      <c r="BY722" s="59"/>
      <c r="BZ722" s="59"/>
      <c r="CA722" s="59"/>
      <c r="CB722" s="59"/>
      <c r="CC722" s="59"/>
      <c r="CD722" s="59"/>
      <c r="CE722" s="59"/>
      <c r="CF722" s="59"/>
      <c r="CG722" s="59"/>
      <c r="CH722" s="59"/>
      <c r="CI722" s="59"/>
      <c r="CJ722" s="59"/>
      <c r="CK722" s="59"/>
      <c r="CL722" s="59"/>
      <c r="CM722" s="59"/>
      <c r="CN722" s="59"/>
      <c r="CO722" s="59"/>
      <c r="CP722" s="59"/>
      <c r="CQ722" s="59"/>
      <c r="CR722" s="59"/>
      <c r="CS722" s="59"/>
      <c r="CT722" s="59"/>
      <c r="CU722" s="59"/>
      <c r="CV722" s="59"/>
      <c r="CW722" s="59"/>
      <c r="CX722" s="59"/>
      <c r="CY722" s="59"/>
      <c r="CZ722" s="59"/>
      <c r="DA722" s="59"/>
      <c r="DB722" s="59"/>
      <c r="DC722" s="59"/>
      <c r="DD722" s="59"/>
      <c r="DE722" s="59"/>
      <c r="DF722" s="59"/>
      <c r="DG722" s="59"/>
      <c r="DH722" s="59"/>
      <c r="DI722" s="59"/>
      <c r="DJ722" s="59"/>
      <c r="DK722" s="59"/>
      <c r="DL722" s="59"/>
      <c r="DM722" s="59"/>
      <c r="DN722" s="59"/>
      <c r="DO722" s="59"/>
      <c r="DP722" s="59"/>
      <c r="DQ722" s="59"/>
      <c r="DR722" s="59"/>
      <c r="DS722" s="59"/>
      <c r="DT722" s="59"/>
      <c r="DU722" s="59"/>
      <c r="DV722" s="59"/>
      <c r="DW722" s="59"/>
      <c r="DX722" s="59"/>
      <c r="DY722" s="59"/>
      <c r="DZ722" s="59"/>
      <c r="EA722" s="59"/>
      <c r="EB722" s="59"/>
      <c r="EC722" s="59"/>
      <c r="ED722" s="59"/>
      <c r="EE722" s="59"/>
      <c r="EF722" s="59"/>
      <c r="EG722" s="59"/>
      <c r="EH722" s="59"/>
      <c r="EI722" s="59"/>
      <c r="EJ722" s="59"/>
      <c r="EK722" s="59"/>
      <c r="EL722" s="59"/>
      <c r="EM722" s="59"/>
      <c r="EN722" s="59"/>
      <c r="EO722" s="59"/>
      <c r="EP722" s="59"/>
      <c r="EQ722" s="59"/>
      <c r="ER722" s="59"/>
      <c r="ES722" s="59"/>
      <c r="ET722" s="59"/>
      <c r="EU722" s="59"/>
      <c r="EV722" s="59"/>
      <c r="EW722" s="59"/>
      <c r="EX722" s="59"/>
      <c r="EY722" s="59"/>
      <c r="EZ722" s="59"/>
      <c r="FA722" s="59"/>
      <c r="FB722" s="59"/>
      <c r="FC722" s="59"/>
      <c r="FD722" s="59"/>
      <c r="FE722" s="59"/>
      <c r="FF722" s="59"/>
      <c r="FG722" s="59"/>
      <c r="FH722" s="59"/>
      <c r="FI722" s="59"/>
      <c r="FJ722" s="59"/>
      <c r="FK722" s="59"/>
      <c r="FL722" s="59"/>
      <c r="FM722" s="59"/>
      <c r="FN722" s="59"/>
      <c r="FO722" s="59"/>
      <c r="FP722" s="59"/>
      <c r="FQ722" s="59"/>
      <c r="FR722" s="59"/>
      <c r="FS722" s="59"/>
      <c r="FT722" s="59"/>
      <c r="FU722" s="59"/>
      <c r="FV722" s="59"/>
      <c r="FW722" s="59"/>
      <c r="FX722" s="59"/>
      <c r="FY722" s="59"/>
      <c r="FZ722" s="59"/>
      <c r="GA722" s="59"/>
      <c r="GB722" s="59"/>
      <c r="GC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59"/>
      <c r="BX723" s="59"/>
      <c r="BY723" s="59"/>
      <c r="BZ723" s="59"/>
      <c r="CA723" s="59"/>
      <c r="CB723" s="59"/>
      <c r="CC723" s="59"/>
      <c r="CD723" s="59"/>
      <c r="CE723" s="59"/>
      <c r="CF723" s="59"/>
      <c r="CG723" s="59"/>
      <c r="CH723" s="59"/>
      <c r="CI723" s="59"/>
      <c r="CJ723" s="59"/>
      <c r="CK723" s="59"/>
      <c r="CL723" s="59"/>
      <c r="CM723" s="59"/>
      <c r="CN723" s="59"/>
      <c r="CO723" s="59"/>
      <c r="CP723" s="59"/>
      <c r="CQ723" s="59"/>
      <c r="CR723" s="59"/>
      <c r="CS723" s="59"/>
      <c r="CT723" s="59"/>
      <c r="CU723" s="59"/>
      <c r="CV723" s="59"/>
      <c r="CW723" s="59"/>
      <c r="CX723" s="59"/>
      <c r="CY723" s="59"/>
      <c r="CZ723" s="59"/>
      <c r="DA723" s="59"/>
      <c r="DB723" s="59"/>
      <c r="DC723" s="59"/>
      <c r="DD723" s="59"/>
      <c r="DE723" s="59"/>
      <c r="DF723" s="59"/>
      <c r="DG723" s="59"/>
      <c r="DH723" s="59"/>
      <c r="DI723" s="59"/>
      <c r="DJ723" s="59"/>
      <c r="DK723" s="59"/>
      <c r="DL723" s="59"/>
      <c r="DM723" s="59"/>
      <c r="DN723" s="59"/>
      <c r="DO723" s="59"/>
      <c r="DP723" s="59"/>
      <c r="DQ723" s="59"/>
      <c r="DR723" s="59"/>
      <c r="DS723" s="59"/>
      <c r="DT723" s="59"/>
      <c r="DU723" s="59"/>
      <c r="DV723" s="59"/>
      <c r="DW723" s="59"/>
      <c r="DX723" s="59"/>
      <c r="DY723" s="59"/>
      <c r="DZ723" s="59"/>
      <c r="EA723" s="59"/>
      <c r="EB723" s="59"/>
      <c r="EC723" s="59"/>
      <c r="ED723" s="59"/>
      <c r="EE723" s="59"/>
      <c r="EF723" s="59"/>
      <c r="EG723" s="59"/>
      <c r="EH723" s="59"/>
      <c r="EI723" s="59"/>
      <c r="EJ723" s="59"/>
      <c r="EK723" s="59"/>
      <c r="EL723" s="59"/>
      <c r="EM723" s="59"/>
      <c r="EN723" s="59"/>
      <c r="EO723" s="59"/>
      <c r="EP723" s="59"/>
      <c r="EQ723" s="59"/>
      <c r="ER723" s="59"/>
      <c r="ES723" s="59"/>
      <c r="ET723" s="59"/>
      <c r="EU723" s="59"/>
      <c r="EV723" s="59"/>
      <c r="EW723" s="59"/>
      <c r="EX723" s="59"/>
      <c r="EY723" s="59"/>
      <c r="EZ723" s="59"/>
      <c r="FA723" s="59"/>
      <c r="FB723" s="59"/>
      <c r="FC723" s="59"/>
      <c r="FD723" s="59"/>
      <c r="FE723" s="59"/>
      <c r="FF723" s="59"/>
      <c r="FG723" s="59"/>
      <c r="FH723" s="59"/>
      <c r="FI723" s="59"/>
      <c r="FJ723" s="59"/>
      <c r="FK723" s="59"/>
      <c r="FL723" s="59"/>
      <c r="FM723" s="59"/>
      <c r="FN723" s="59"/>
      <c r="FO723" s="59"/>
      <c r="FP723" s="59"/>
      <c r="FQ723" s="59"/>
      <c r="FR723" s="59"/>
      <c r="FS723" s="59"/>
      <c r="FT723" s="59"/>
      <c r="FU723" s="59"/>
      <c r="FV723" s="59"/>
      <c r="FW723" s="59"/>
      <c r="FX723" s="59"/>
      <c r="FY723" s="59"/>
      <c r="FZ723" s="59"/>
      <c r="GA723" s="59"/>
      <c r="GB723" s="59"/>
      <c r="GC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  <c r="BV724" s="59"/>
      <c r="BW724" s="59"/>
      <c r="BX724" s="59"/>
      <c r="BY724" s="59"/>
      <c r="BZ724" s="59"/>
      <c r="CA724" s="59"/>
      <c r="CB724" s="59"/>
      <c r="CC724" s="59"/>
      <c r="CD724" s="59"/>
      <c r="CE724" s="59"/>
      <c r="CF724" s="59"/>
      <c r="CG724" s="59"/>
      <c r="CH724" s="59"/>
      <c r="CI724" s="59"/>
      <c r="CJ724" s="59"/>
      <c r="CK724" s="59"/>
      <c r="CL724" s="59"/>
      <c r="CM724" s="59"/>
      <c r="CN724" s="59"/>
      <c r="CO724" s="59"/>
      <c r="CP724" s="59"/>
      <c r="CQ724" s="59"/>
      <c r="CR724" s="59"/>
      <c r="CS724" s="59"/>
      <c r="CT724" s="59"/>
      <c r="CU724" s="59"/>
      <c r="CV724" s="59"/>
      <c r="CW724" s="59"/>
      <c r="CX724" s="59"/>
      <c r="CY724" s="59"/>
      <c r="CZ724" s="59"/>
      <c r="DA724" s="59"/>
      <c r="DB724" s="59"/>
      <c r="DC724" s="59"/>
      <c r="DD724" s="59"/>
      <c r="DE724" s="59"/>
      <c r="DF724" s="59"/>
      <c r="DG724" s="59"/>
      <c r="DH724" s="59"/>
      <c r="DI724" s="59"/>
      <c r="DJ724" s="59"/>
      <c r="DK724" s="59"/>
      <c r="DL724" s="59"/>
      <c r="DM724" s="59"/>
      <c r="DN724" s="59"/>
      <c r="DO724" s="59"/>
      <c r="DP724" s="59"/>
      <c r="DQ724" s="59"/>
      <c r="DR724" s="59"/>
      <c r="DS724" s="59"/>
      <c r="DT724" s="59"/>
      <c r="DU724" s="59"/>
      <c r="DV724" s="59"/>
      <c r="DW724" s="59"/>
      <c r="DX724" s="59"/>
      <c r="DY724" s="59"/>
      <c r="DZ724" s="59"/>
      <c r="EA724" s="59"/>
      <c r="EB724" s="59"/>
      <c r="EC724" s="59"/>
      <c r="ED724" s="59"/>
      <c r="EE724" s="59"/>
      <c r="EF724" s="59"/>
      <c r="EG724" s="59"/>
      <c r="EH724" s="59"/>
      <c r="EI724" s="59"/>
      <c r="EJ724" s="59"/>
      <c r="EK724" s="59"/>
      <c r="EL724" s="59"/>
      <c r="EM724" s="59"/>
      <c r="EN724" s="59"/>
      <c r="EO724" s="59"/>
      <c r="EP724" s="59"/>
      <c r="EQ724" s="59"/>
      <c r="ER724" s="59"/>
      <c r="ES724" s="59"/>
      <c r="ET724" s="59"/>
      <c r="EU724" s="59"/>
      <c r="EV724" s="59"/>
      <c r="EW724" s="59"/>
      <c r="EX724" s="59"/>
      <c r="EY724" s="59"/>
      <c r="EZ724" s="59"/>
      <c r="FA724" s="59"/>
      <c r="FB724" s="59"/>
      <c r="FC724" s="59"/>
      <c r="FD724" s="59"/>
      <c r="FE724" s="59"/>
      <c r="FF724" s="59"/>
      <c r="FG724" s="59"/>
      <c r="FH724" s="59"/>
      <c r="FI724" s="59"/>
      <c r="FJ724" s="59"/>
      <c r="FK724" s="59"/>
      <c r="FL724" s="59"/>
      <c r="FM724" s="59"/>
      <c r="FN724" s="59"/>
      <c r="FO724" s="59"/>
      <c r="FP724" s="59"/>
      <c r="FQ724" s="59"/>
      <c r="FR724" s="59"/>
      <c r="FS724" s="59"/>
      <c r="FT724" s="59"/>
      <c r="FU724" s="59"/>
      <c r="FV724" s="59"/>
      <c r="FW724" s="59"/>
      <c r="FX724" s="59"/>
      <c r="FY724" s="59"/>
      <c r="FZ724" s="59"/>
      <c r="GA724" s="59"/>
      <c r="GB724" s="59"/>
      <c r="GC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  <c r="BV725" s="59"/>
      <c r="BW725" s="59"/>
      <c r="BX725" s="59"/>
      <c r="BY725" s="59"/>
      <c r="BZ725" s="59"/>
      <c r="CA725" s="59"/>
      <c r="CB725" s="59"/>
      <c r="CC725" s="59"/>
      <c r="CD725" s="59"/>
      <c r="CE725" s="59"/>
      <c r="CF725" s="59"/>
      <c r="CG725" s="59"/>
      <c r="CH725" s="59"/>
      <c r="CI725" s="59"/>
      <c r="CJ725" s="59"/>
      <c r="CK725" s="59"/>
      <c r="CL725" s="59"/>
      <c r="CM725" s="59"/>
      <c r="CN725" s="59"/>
      <c r="CO725" s="59"/>
      <c r="CP725" s="59"/>
      <c r="CQ725" s="59"/>
      <c r="CR725" s="59"/>
      <c r="CS725" s="59"/>
      <c r="CT725" s="59"/>
      <c r="CU725" s="59"/>
      <c r="CV725" s="59"/>
      <c r="CW725" s="59"/>
      <c r="CX725" s="59"/>
      <c r="CY725" s="59"/>
      <c r="CZ725" s="59"/>
      <c r="DA725" s="59"/>
      <c r="DB725" s="59"/>
      <c r="DC725" s="59"/>
      <c r="DD725" s="59"/>
      <c r="DE725" s="59"/>
      <c r="DF725" s="59"/>
      <c r="DG725" s="59"/>
      <c r="DH725" s="59"/>
      <c r="DI725" s="59"/>
      <c r="DJ725" s="59"/>
      <c r="DK725" s="59"/>
      <c r="DL725" s="59"/>
      <c r="DM725" s="59"/>
      <c r="DN725" s="59"/>
      <c r="DO725" s="59"/>
      <c r="DP725" s="59"/>
      <c r="DQ725" s="59"/>
      <c r="DR725" s="59"/>
      <c r="DS725" s="59"/>
      <c r="DT725" s="59"/>
      <c r="DU725" s="59"/>
      <c r="DV725" s="59"/>
      <c r="DW725" s="59"/>
      <c r="DX725" s="59"/>
      <c r="DY725" s="59"/>
      <c r="DZ725" s="59"/>
      <c r="EA725" s="59"/>
      <c r="EB725" s="59"/>
      <c r="EC725" s="59"/>
      <c r="ED725" s="59"/>
      <c r="EE725" s="59"/>
      <c r="EF725" s="59"/>
      <c r="EG725" s="59"/>
      <c r="EH725" s="59"/>
      <c r="EI725" s="59"/>
      <c r="EJ725" s="59"/>
      <c r="EK725" s="59"/>
      <c r="EL725" s="59"/>
      <c r="EM725" s="59"/>
      <c r="EN725" s="59"/>
      <c r="EO725" s="59"/>
      <c r="EP725" s="59"/>
      <c r="EQ725" s="59"/>
      <c r="ER725" s="59"/>
      <c r="ES725" s="59"/>
      <c r="ET725" s="59"/>
      <c r="EU725" s="59"/>
      <c r="EV725" s="59"/>
      <c r="EW725" s="59"/>
      <c r="EX725" s="59"/>
      <c r="EY725" s="59"/>
      <c r="EZ725" s="59"/>
      <c r="FA725" s="59"/>
      <c r="FB725" s="59"/>
      <c r="FC725" s="59"/>
      <c r="FD725" s="59"/>
      <c r="FE725" s="59"/>
      <c r="FF725" s="59"/>
      <c r="FG725" s="59"/>
      <c r="FH725" s="59"/>
      <c r="FI725" s="59"/>
      <c r="FJ725" s="59"/>
      <c r="FK725" s="59"/>
      <c r="FL725" s="59"/>
      <c r="FM725" s="59"/>
      <c r="FN725" s="59"/>
      <c r="FO725" s="59"/>
      <c r="FP725" s="59"/>
      <c r="FQ725" s="59"/>
      <c r="FR725" s="59"/>
      <c r="FS725" s="59"/>
      <c r="FT725" s="59"/>
      <c r="FU725" s="59"/>
      <c r="FV725" s="59"/>
      <c r="FW725" s="59"/>
      <c r="FX725" s="59"/>
      <c r="FY725" s="59"/>
      <c r="FZ725" s="59"/>
      <c r="GA725" s="59"/>
      <c r="GB725" s="59"/>
      <c r="GC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  <c r="BV726" s="59"/>
      <c r="BW726" s="59"/>
      <c r="BX726" s="59"/>
      <c r="BY726" s="59"/>
      <c r="BZ726" s="59"/>
      <c r="CA726" s="59"/>
      <c r="CB726" s="59"/>
      <c r="CC726" s="59"/>
      <c r="CD726" s="59"/>
      <c r="CE726" s="59"/>
      <c r="CF726" s="59"/>
      <c r="CG726" s="59"/>
      <c r="CH726" s="59"/>
      <c r="CI726" s="59"/>
      <c r="CJ726" s="59"/>
      <c r="CK726" s="59"/>
      <c r="CL726" s="59"/>
      <c r="CM726" s="59"/>
      <c r="CN726" s="59"/>
      <c r="CO726" s="59"/>
      <c r="CP726" s="59"/>
      <c r="CQ726" s="59"/>
      <c r="CR726" s="59"/>
      <c r="CS726" s="59"/>
      <c r="CT726" s="59"/>
      <c r="CU726" s="59"/>
      <c r="CV726" s="59"/>
      <c r="CW726" s="59"/>
      <c r="CX726" s="59"/>
      <c r="CY726" s="59"/>
      <c r="CZ726" s="59"/>
      <c r="DA726" s="59"/>
      <c r="DB726" s="59"/>
      <c r="DC726" s="59"/>
      <c r="DD726" s="59"/>
      <c r="DE726" s="59"/>
      <c r="DF726" s="59"/>
      <c r="DG726" s="59"/>
      <c r="DH726" s="59"/>
      <c r="DI726" s="59"/>
      <c r="DJ726" s="59"/>
      <c r="DK726" s="59"/>
      <c r="DL726" s="59"/>
      <c r="DM726" s="59"/>
      <c r="DN726" s="59"/>
      <c r="DO726" s="59"/>
      <c r="DP726" s="59"/>
      <c r="DQ726" s="59"/>
      <c r="DR726" s="59"/>
      <c r="DS726" s="59"/>
      <c r="DT726" s="59"/>
      <c r="DU726" s="59"/>
      <c r="DV726" s="59"/>
      <c r="DW726" s="59"/>
      <c r="DX726" s="59"/>
      <c r="DY726" s="59"/>
      <c r="DZ726" s="59"/>
      <c r="EA726" s="59"/>
      <c r="EB726" s="59"/>
      <c r="EC726" s="59"/>
      <c r="ED726" s="59"/>
      <c r="EE726" s="59"/>
      <c r="EF726" s="59"/>
      <c r="EG726" s="59"/>
      <c r="EH726" s="59"/>
      <c r="EI726" s="59"/>
      <c r="EJ726" s="59"/>
      <c r="EK726" s="59"/>
      <c r="EL726" s="59"/>
      <c r="EM726" s="59"/>
      <c r="EN726" s="59"/>
      <c r="EO726" s="59"/>
      <c r="EP726" s="59"/>
      <c r="EQ726" s="59"/>
      <c r="ER726" s="59"/>
      <c r="ES726" s="59"/>
      <c r="ET726" s="59"/>
      <c r="EU726" s="59"/>
      <c r="EV726" s="59"/>
      <c r="EW726" s="59"/>
      <c r="EX726" s="59"/>
      <c r="EY726" s="59"/>
      <c r="EZ726" s="59"/>
      <c r="FA726" s="59"/>
      <c r="FB726" s="59"/>
      <c r="FC726" s="59"/>
      <c r="FD726" s="59"/>
      <c r="FE726" s="59"/>
      <c r="FF726" s="59"/>
      <c r="FG726" s="59"/>
      <c r="FH726" s="59"/>
      <c r="FI726" s="59"/>
      <c r="FJ726" s="59"/>
      <c r="FK726" s="59"/>
      <c r="FL726" s="59"/>
      <c r="FM726" s="59"/>
      <c r="FN726" s="59"/>
      <c r="FO726" s="59"/>
      <c r="FP726" s="59"/>
      <c r="FQ726" s="59"/>
      <c r="FR726" s="59"/>
      <c r="FS726" s="59"/>
      <c r="FT726" s="59"/>
      <c r="FU726" s="59"/>
      <c r="FV726" s="59"/>
      <c r="FW726" s="59"/>
      <c r="FX726" s="59"/>
      <c r="FY726" s="59"/>
      <c r="FZ726" s="59"/>
      <c r="GA726" s="59"/>
      <c r="GB726" s="59"/>
      <c r="GC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  <c r="BW727" s="59"/>
      <c r="BX727" s="59"/>
      <c r="BY727" s="59"/>
      <c r="BZ727" s="59"/>
      <c r="CA727" s="59"/>
      <c r="CB727" s="59"/>
      <c r="CC727" s="59"/>
      <c r="CD727" s="59"/>
      <c r="CE727" s="59"/>
      <c r="CF727" s="59"/>
      <c r="CG727" s="59"/>
      <c r="CH727" s="59"/>
      <c r="CI727" s="59"/>
      <c r="CJ727" s="59"/>
      <c r="CK727" s="59"/>
      <c r="CL727" s="59"/>
      <c r="CM727" s="59"/>
      <c r="CN727" s="59"/>
      <c r="CO727" s="59"/>
      <c r="CP727" s="59"/>
      <c r="CQ727" s="59"/>
      <c r="CR727" s="59"/>
      <c r="CS727" s="59"/>
      <c r="CT727" s="59"/>
      <c r="CU727" s="59"/>
      <c r="CV727" s="59"/>
      <c r="CW727" s="59"/>
      <c r="CX727" s="59"/>
      <c r="CY727" s="59"/>
      <c r="CZ727" s="59"/>
      <c r="DA727" s="59"/>
      <c r="DB727" s="59"/>
      <c r="DC727" s="59"/>
      <c r="DD727" s="59"/>
      <c r="DE727" s="59"/>
      <c r="DF727" s="59"/>
      <c r="DG727" s="59"/>
      <c r="DH727" s="59"/>
      <c r="DI727" s="59"/>
      <c r="DJ727" s="59"/>
      <c r="DK727" s="59"/>
      <c r="DL727" s="59"/>
      <c r="DM727" s="59"/>
      <c r="DN727" s="59"/>
      <c r="DO727" s="59"/>
      <c r="DP727" s="59"/>
      <c r="DQ727" s="59"/>
      <c r="DR727" s="59"/>
      <c r="DS727" s="59"/>
      <c r="DT727" s="59"/>
      <c r="DU727" s="59"/>
      <c r="DV727" s="59"/>
      <c r="DW727" s="59"/>
      <c r="DX727" s="59"/>
      <c r="DY727" s="59"/>
      <c r="DZ727" s="59"/>
      <c r="EA727" s="59"/>
      <c r="EB727" s="59"/>
      <c r="EC727" s="59"/>
      <c r="ED727" s="59"/>
      <c r="EE727" s="59"/>
      <c r="EF727" s="59"/>
      <c r="EG727" s="59"/>
      <c r="EH727" s="59"/>
      <c r="EI727" s="59"/>
      <c r="EJ727" s="59"/>
      <c r="EK727" s="59"/>
      <c r="EL727" s="59"/>
      <c r="EM727" s="59"/>
      <c r="EN727" s="59"/>
      <c r="EO727" s="59"/>
      <c r="EP727" s="59"/>
      <c r="EQ727" s="59"/>
      <c r="ER727" s="59"/>
      <c r="ES727" s="59"/>
      <c r="ET727" s="59"/>
      <c r="EU727" s="59"/>
      <c r="EV727" s="59"/>
      <c r="EW727" s="59"/>
      <c r="EX727" s="59"/>
      <c r="EY727" s="59"/>
      <c r="EZ727" s="59"/>
      <c r="FA727" s="59"/>
      <c r="FB727" s="59"/>
      <c r="FC727" s="59"/>
      <c r="FD727" s="59"/>
      <c r="FE727" s="59"/>
      <c r="FF727" s="59"/>
      <c r="FG727" s="59"/>
      <c r="FH727" s="59"/>
      <c r="FI727" s="59"/>
      <c r="FJ727" s="59"/>
      <c r="FK727" s="59"/>
      <c r="FL727" s="59"/>
      <c r="FM727" s="59"/>
      <c r="FN727" s="59"/>
      <c r="FO727" s="59"/>
      <c r="FP727" s="59"/>
      <c r="FQ727" s="59"/>
      <c r="FR727" s="59"/>
      <c r="FS727" s="59"/>
      <c r="FT727" s="59"/>
      <c r="FU727" s="59"/>
      <c r="FV727" s="59"/>
      <c r="FW727" s="59"/>
      <c r="FX727" s="59"/>
      <c r="FY727" s="59"/>
      <c r="FZ727" s="59"/>
      <c r="GA727" s="59"/>
      <c r="GB727" s="59"/>
      <c r="GC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  <c r="BW728" s="59"/>
      <c r="BX728" s="59"/>
      <c r="BY728" s="59"/>
      <c r="BZ728" s="59"/>
      <c r="CA728" s="59"/>
      <c r="CB728" s="59"/>
      <c r="CC728" s="59"/>
      <c r="CD728" s="59"/>
      <c r="CE728" s="59"/>
      <c r="CF728" s="59"/>
      <c r="CG728" s="59"/>
      <c r="CH728" s="59"/>
      <c r="CI728" s="59"/>
      <c r="CJ728" s="59"/>
      <c r="CK728" s="59"/>
      <c r="CL728" s="59"/>
      <c r="CM728" s="59"/>
      <c r="CN728" s="59"/>
      <c r="CO728" s="59"/>
      <c r="CP728" s="59"/>
      <c r="CQ728" s="59"/>
      <c r="CR728" s="59"/>
      <c r="CS728" s="59"/>
      <c r="CT728" s="59"/>
      <c r="CU728" s="59"/>
      <c r="CV728" s="59"/>
      <c r="CW728" s="59"/>
      <c r="CX728" s="59"/>
      <c r="CY728" s="59"/>
      <c r="CZ728" s="59"/>
      <c r="DA728" s="59"/>
      <c r="DB728" s="59"/>
      <c r="DC728" s="59"/>
      <c r="DD728" s="59"/>
      <c r="DE728" s="59"/>
      <c r="DF728" s="59"/>
      <c r="DG728" s="59"/>
      <c r="DH728" s="59"/>
      <c r="DI728" s="59"/>
      <c r="DJ728" s="59"/>
      <c r="DK728" s="59"/>
      <c r="DL728" s="59"/>
      <c r="DM728" s="59"/>
      <c r="DN728" s="59"/>
      <c r="DO728" s="59"/>
      <c r="DP728" s="59"/>
      <c r="DQ728" s="59"/>
      <c r="DR728" s="59"/>
      <c r="DS728" s="59"/>
      <c r="DT728" s="59"/>
      <c r="DU728" s="59"/>
      <c r="DV728" s="59"/>
      <c r="DW728" s="59"/>
      <c r="DX728" s="59"/>
      <c r="DY728" s="59"/>
      <c r="DZ728" s="59"/>
      <c r="EA728" s="59"/>
      <c r="EB728" s="59"/>
      <c r="EC728" s="59"/>
      <c r="ED728" s="59"/>
      <c r="EE728" s="59"/>
      <c r="EF728" s="59"/>
      <c r="EG728" s="59"/>
      <c r="EH728" s="59"/>
      <c r="EI728" s="59"/>
      <c r="EJ728" s="59"/>
      <c r="EK728" s="59"/>
      <c r="EL728" s="59"/>
      <c r="EM728" s="59"/>
      <c r="EN728" s="59"/>
      <c r="EO728" s="59"/>
      <c r="EP728" s="59"/>
      <c r="EQ728" s="59"/>
      <c r="ER728" s="59"/>
      <c r="ES728" s="59"/>
      <c r="ET728" s="59"/>
      <c r="EU728" s="59"/>
      <c r="EV728" s="59"/>
      <c r="EW728" s="59"/>
      <c r="EX728" s="59"/>
      <c r="EY728" s="59"/>
      <c r="EZ728" s="59"/>
      <c r="FA728" s="59"/>
      <c r="FB728" s="59"/>
      <c r="FC728" s="59"/>
      <c r="FD728" s="59"/>
      <c r="FE728" s="59"/>
      <c r="FF728" s="59"/>
      <c r="FG728" s="59"/>
      <c r="FH728" s="59"/>
      <c r="FI728" s="59"/>
      <c r="FJ728" s="59"/>
      <c r="FK728" s="59"/>
      <c r="FL728" s="59"/>
      <c r="FM728" s="59"/>
      <c r="FN728" s="59"/>
      <c r="FO728" s="59"/>
      <c r="FP728" s="59"/>
      <c r="FQ728" s="59"/>
      <c r="FR728" s="59"/>
      <c r="FS728" s="59"/>
      <c r="FT728" s="59"/>
      <c r="FU728" s="59"/>
      <c r="FV728" s="59"/>
      <c r="FW728" s="59"/>
      <c r="FX728" s="59"/>
      <c r="FY728" s="59"/>
      <c r="FZ728" s="59"/>
      <c r="GA728" s="59"/>
      <c r="GB728" s="59"/>
      <c r="GC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  <c r="BW729" s="59"/>
      <c r="BX729" s="59"/>
      <c r="BY729" s="59"/>
      <c r="BZ729" s="59"/>
      <c r="CA729" s="59"/>
      <c r="CB729" s="59"/>
      <c r="CC729" s="59"/>
      <c r="CD729" s="59"/>
      <c r="CE729" s="59"/>
      <c r="CF729" s="59"/>
      <c r="CG729" s="59"/>
      <c r="CH729" s="59"/>
      <c r="CI729" s="59"/>
      <c r="CJ729" s="59"/>
      <c r="CK729" s="59"/>
      <c r="CL729" s="59"/>
      <c r="CM729" s="59"/>
      <c r="CN729" s="59"/>
      <c r="CO729" s="59"/>
      <c r="CP729" s="59"/>
      <c r="CQ729" s="59"/>
      <c r="CR729" s="59"/>
      <c r="CS729" s="59"/>
      <c r="CT729" s="59"/>
      <c r="CU729" s="59"/>
      <c r="CV729" s="59"/>
      <c r="CW729" s="59"/>
      <c r="CX729" s="59"/>
      <c r="CY729" s="59"/>
      <c r="CZ729" s="59"/>
      <c r="DA729" s="59"/>
      <c r="DB729" s="59"/>
      <c r="DC729" s="59"/>
      <c r="DD729" s="59"/>
      <c r="DE729" s="59"/>
      <c r="DF729" s="59"/>
      <c r="DG729" s="59"/>
      <c r="DH729" s="59"/>
      <c r="DI729" s="59"/>
      <c r="DJ729" s="59"/>
      <c r="DK729" s="59"/>
      <c r="DL729" s="59"/>
      <c r="DM729" s="59"/>
      <c r="DN729" s="59"/>
      <c r="DO729" s="59"/>
      <c r="DP729" s="59"/>
      <c r="DQ729" s="59"/>
      <c r="DR729" s="59"/>
      <c r="DS729" s="59"/>
      <c r="DT729" s="59"/>
      <c r="DU729" s="59"/>
      <c r="DV729" s="59"/>
      <c r="DW729" s="59"/>
      <c r="DX729" s="59"/>
      <c r="DY729" s="59"/>
      <c r="DZ729" s="59"/>
      <c r="EA729" s="59"/>
      <c r="EB729" s="59"/>
      <c r="EC729" s="59"/>
      <c r="ED729" s="59"/>
      <c r="EE729" s="59"/>
      <c r="EF729" s="59"/>
      <c r="EG729" s="59"/>
      <c r="EH729" s="59"/>
      <c r="EI729" s="59"/>
      <c r="EJ729" s="59"/>
      <c r="EK729" s="59"/>
      <c r="EL729" s="59"/>
      <c r="EM729" s="59"/>
      <c r="EN729" s="59"/>
      <c r="EO729" s="59"/>
      <c r="EP729" s="59"/>
      <c r="EQ729" s="59"/>
      <c r="ER729" s="59"/>
      <c r="ES729" s="59"/>
      <c r="ET729" s="59"/>
      <c r="EU729" s="59"/>
      <c r="EV729" s="59"/>
      <c r="EW729" s="59"/>
      <c r="EX729" s="59"/>
      <c r="EY729" s="59"/>
      <c r="EZ729" s="59"/>
      <c r="FA729" s="59"/>
      <c r="FB729" s="59"/>
      <c r="FC729" s="59"/>
      <c r="FD729" s="59"/>
      <c r="FE729" s="59"/>
      <c r="FF729" s="59"/>
      <c r="FG729" s="59"/>
      <c r="FH729" s="59"/>
      <c r="FI729" s="59"/>
      <c r="FJ729" s="59"/>
      <c r="FK729" s="59"/>
      <c r="FL729" s="59"/>
      <c r="FM729" s="59"/>
      <c r="FN729" s="59"/>
      <c r="FO729" s="59"/>
      <c r="FP729" s="59"/>
      <c r="FQ729" s="59"/>
      <c r="FR729" s="59"/>
      <c r="FS729" s="59"/>
      <c r="FT729" s="59"/>
      <c r="FU729" s="59"/>
      <c r="FV729" s="59"/>
      <c r="FW729" s="59"/>
      <c r="FX729" s="59"/>
      <c r="FY729" s="59"/>
      <c r="FZ729" s="59"/>
      <c r="GA729" s="59"/>
      <c r="GB729" s="59"/>
      <c r="GC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  <c r="BV730" s="59"/>
      <c r="BW730" s="59"/>
      <c r="BX730" s="59"/>
      <c r="BY730" s="59"/>
      <c r="BZ730" s="59"/>
      <c r="CA730" s="59"/>
      <c r="CB730" s="59"/>
      <c r="CC730" s="59"/>
      <c r="CD730" s="59"/>
      <c r="CE730" s="59"/>
      <c r="CF730" s="59"/>
      <c r="CG730" s="59"/>
      <c r="CH730" s="59"/>
      <c r="CI730" s="59"/>
      <c r="CJ730" s="59"/>
      <c r="CK730" s="59"/>
      <c r="CL730" s="59"/>
      <c r="CM730" s="59"/>
      <c r="CN730" s="59"/>
      <c r="CO730" s="59"/>
      <c r="CP730" s="59"/>
      <c r="CQ730" s="59"/>
      <c r="CR730" s="59"/>
      <c r="CS730" s="59"/>
      <c r="CT730" s="59"/>
      <c r="CU730" s="59"/>
      <c r="CV730" s="59"/>
      <c r="CW730" s="59"/>
      <c r="CX730" s="59"/>
      <c r="CY730" s="59"/>
      <c r="CZ730" s="59"/>
      <c r="DA730" s="59"/>
      <c r="DB730" s="59"/>
      <c r="DC730" s="59"/>
      <c r="DD730" s="59"/>
      <c r="DE730" s="59"/>
      <c r="DF730" s="59"/>
      <c r="DG730" s="59"/>
      <c r="DH730" s="59"/>
      <c r="DI730" s="59"/>
      <c r="DJ730" s="59"/>
      <c r="DK730" s="59"/>
      <c r="DL730" s="59"/>
      <c r="DM730" s="59"/>
      <c r="DN730" s="59"/>
      <c r="DO730" s="59"/>
      <c r="DP730" s="59"/>
      <c r="DQ730" s="59"/>
      <c r="DR730" s="59"/>
      <c r="DS730" s="59"/>
      <c r="DT730" s="59"/>
      <c r="DU730" s="59"/>
      <c r="DV730" s="59"/>
      <c r="DW730" s="59"/>
      <c r="DX730" s="59"/>
      <c r="DY730" s="59"/>
      <c r="DZ730" s="59"/>
      <c r="EA730" s="59"/>
      <c r="EB730" s="59"/>
      <c r="EC730" s="59"/>
      <c r="ED730" s="59"/>
      <c r="EE730" s="59"/>
      <c r="EF730" s="59"/>
      <c r="EG730" s="59"/>
      <c r="EH730" s="59"/>
      <c r="EI730" s="59"/>
      <c r="EJ730" s="59"/>
      <c r="EK730" s="59"/>
      <c r="EL730" s="59"/>
      <c r="EM730" s="59"/>
      <c r="EN730" s="59"/>
      <c r="EO730" s="59"/>
      <c r="EP730" s="59"/>
      <c r="EQ730" s="59"/>
      <c r="ER730" s="59"/>
      <c r="ES730" s="59"/>
      <c r="ET730" s="59"/>
      <c r="EU730" s="59"/>
      <c r="EV730" s="59"/>
      <c r="EW730" s="59"/>
      <c r="EX730" s="59"/>
      <c r="EY730" s="59"/>
      <c r="EZ730" s="59"/>
      <c r="FA730" s="59"/>
      <c r="FB730" s="59"/>
      <c r="FC730" s="59"/>
      <c r="FD730" s="59"/>
      <c r="FE730" s="59"/>
      <c r="FF730" s="59"/>
      <c r="FG730" s="59"/>
      <c r="FH730" s="59"/>
      <c r="FI730" s="59"/>
      <c r="FJ730" s="59"/>
      <c r="FK730" s="59"/>
      <c r="FL730" s="59"/>
      <c r="FM730" s="59"/>
      <c r="FN730" s="59"/>
      <c r="FO730" s="59"/>
      <c r="FP730" s="59"/>
      <c r="FQ730" s="59"/>
      <c r="FR730" s="59"/>
      <c r="FS730" s="59"/>
      <c r="FT730" s="59"/>
      <c r="FU730" s="59"/>
      <c r="FV730" s="59"/>
      <c r="FW730" s="59"/>
      <c r="FX730" s="59"/>
      <c r="FY730" s="59"/>
      <c r="FZ730" s="59"/>
      <c r="GA730" s="59"/>
      <c r="GB730" s="59"/>
      <c r="GC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  <c r="BW731" s="59"/>
      <c r="BX731" s="59"/>
      <c r="BY731" s="59"/>
      <c r="BZ731" s="59"/>
      <c r="CA731" s="59"/>
      <c r="CB731" s="59"/>
      <c r="CC731" s="59"/>
      <c r="CD731" s="59"/>
      <c r="CE731" s="59"/>
      <c r="CF731" s="59"/>
      <c r="CG731" s="59"/>
      <c r="CH731" s="59"/>
      <c r="CI731" s="59"/>
      <c r="CJ731" s="59"/>
      <c r="CK731" s="59"/>
      <c r="CL731" s="59"/>
      <c r="CM731" s="59"/>
      <c r="CN731" s="59"/>
      <c r="CO731" s="59"/>
      <c r="CP731" s="59"/>
      <c r="CQ731" s="59"/>
      <c r="CR731" s="59"/>
      <c r="CS731" s="59"/>
      <c r="CT731" s="59"/>
      <c r="CU731" s="59"/>
      <c r="CV731" s="59"/>
      <c r="CW731" s="59"/>
      <c r="CX731" s="59"/>
      <c r="CY731" s="59"/>
      <c r="CZ731" s="59"/>
      <c r="DA731" s="59"/>
      <c r="DB731" s="59"/>
      <c r="DC731" s="59"/>
      <c r="DD731" s="59"/>
      <c r="DE731" s="59"/>
      <c r="DF731" s="59"/>
      <c r="DG731" s="59"/>
      <c r="DH731" s="59"/>
      <c r="DI731" s="59"/>
      <c r="DJ731" s="59"/>
      <c r="DK731" s="59"/>
      <c r="DL731" s="59"/>
      <c r="DM731" s="59"/>
      <c r="DN731" s="59"/>
      <c r="DO731" s="59"/>
      <c r="DP731" s="59"/>
      <c r="DQ731" s="59"/>
      <c r="DR731" s="59"/>
      <c r="DS731" s="59"/>
      <c r="DT731" s="59"/>
      <c r="DU731" s="59"/>
      <c r="DV731" s="59"/>
      <c r="DW731" s="59"/>
      <c r="DX731" s="59"/>
      <c r="DY731" s="59"/>
      <c r="DZ731" s="59"/>
      <c r="EA731" s="59"/>
      <c r="EB731" s="59"/>
      <c r="EC731" s="59"/>
      <c r="ED731" s="59"/>
      <c r="EE731" s="59"/>
      <c r="EF731" s="59"/>
      <c r="EG731" s="59"/>
      <c r="EH731" s="59"/>
      <c r="EI731" s="59"/>
      <c r="EJ731" s="59"/>
      <c r="EK731" s="59"/>
      <c r="EL731" s="59"/>
      <c r="EM731" s="59"/>
      <c r="EN731" s="59"/>
      <c r="EO731" s="59"/>
      <c r="EP731" s="59"/>
      <c r="EQ731" s="59"/>
      <c r="ER731" s="59"/>
      <c r="ES731" s="59"/>
      <c r="ET731" s="59"/>
      <c r="EU731" s="59"/>
      <c r="EV731" s="59"/>
      <c r="EW731" s="59"/>
      <c r="EX731" s="59"/>
      <c r="EY731" s="59"/>
      <c r="EZ731" s="59"/>
      <c r="FA731" s="59"/>
      <c r="FB731" s="59"/>
      <c r="FC731" s="59"/>
      <c r="FD731" s="59"/>
      <c r="FE731" s="59"/>
      <c r="FF731" s="59"/>
      <c r="FG731" s="59"/>
      <c r="FH731" s="59"/>
      <c r="FI731" s="59"/>
      <c r="FJ731" s="59"/>
      <c r="FK731" s="59"/>
      <c r="FL731" s="59"/>
      <c r="FM731" s="59"/>
      <c r="FN731" s="59"/>
      <c r="FO731" s="59"/>
      <c r="FP731" s="59"/>
      <c r="FQ731" s="59"/>
      <c r="FR731" s="59"/>
      <c r="FS731" s="59"/>
      <c r="FT731" s="59"/>
      <c r="FU731" s="59"/>
      <c r="FV731" s="59"/>
      <c r="FW731" s="59"/>
      <c r="FX731" s="59"/>
      <c r="FY731" s="59"/>
      <c r="FZ731" s="59"/>
      <c r="GA731" s="59"/>
      <c r="GB731" s="59"/>
      <c r="GC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  <c r="BW732" s="59"/>
      <c r="BX732" s="59"/>
      <c r="BY732" s="59"/>
      <c r="BZ732" s="59"/>
      <c r="CA732" s="59"/>
      <c r="CB732" s="59"/>
      <c r="CC732" s="59"/>
      <c r="CD732" s="59"/>
      <c r="CE732" s="59"/>
      <c r="CF732" s="59"/>
      <c r="CG732" s="59"/>
      <c r="CH732" s="59"/>
      <c r="CI732" s="59"/>
      <c r="CJ732" s="59"/>
      <c r="CK732" s="59"/>
      <c r="CL732" s="59"/>
      <c r="CM732" s="59"/>
      <c r="CN732" s="59"/>
      <c r="CO732" s="59"/>
      <c r="CP732" s="59"/>
      <c r="CQ732" s="59"/>
      <c r="CR732" s="59"/>
      <c r="CS732" s="59"/>
      <c r="CT732" s="59"/>
      <c r="CU732" s="59"/>
      <c r="CV732" s="59"/>
      <c r="CW732" s="59"/>
      <c r="CX732" s="59"/>
      <c r="CY732" s="59"/>
      <c r="CZ732" s="59"/>
      <c r="DA732" s="59"/>
      <c r="DB732" s="59"/>
      <c r="DC732" s="59"/>
      <c r="DD732" s="59"/>
      <c r="DE732" s="59"/>
      <c r="DF732" s="59"/>
      <c r="DG732" s="59"/>
      <c r="DH732" s="59"/>
      <c r="DI732" s="59"/>
      <c r="DJ732" s="59"/>
      <c r="DK732" s="59"/>
      <c r="DL732" s="59"/>
      <c r="DM732" s="59"/>
      <c r="DN732" s="59"/>
      <c r="DO732" s="59"/>
      <c r="DP732" s="59"/>
      <c r="DQ732" s="59"/>
      <c r="DR732" s="59"/>
      <c r="DS732" s="59"/>
      <c r="DT732" s="59"/>
      <c r="DU732" s="59"/>
      <c r="DV732" s="59"/>
      <c r="DW732" s="59"/>
      <c r="DX732" s="59"/>
      <c r="DY732" s="59"/>
      <c r="DZ732" s="59"/>
      <c r="EA732" s="59"/>
      <c r="EB732" s="59"/>
      <c r="EC732" s="59"/>
      <c r="ED732" s="59"/>
      <c r="EE732" s="59"/>
      <c r="EF732" s="59"/>
      <c r="EG732" s="59"/>
      <c r="EH732" s="59"/>
      <c r="EI732" s="59"/>
      <c r="EJ732" s="59"/>
      <c r="EK732" s="59"/>
      <c r="EL732" s="59"/>
      <c r="EM732" s="59"/>
      <c r="EN732" s="59"/>
      <c r="EO732" s="59"/>
      <c r="EP732" s="59"/>
      <c r="EQ732" s="59"/>
      <c r="ER732" s="59"/>
      <c r="ES732" s="59"/>
      <c r="ET732" s="59"/>
      <c r="EU732" s="59"/>
      <c r="EV732" s="59"/>
      <c r="EW732" s="59"/>
      <c r="EX732" s="59"/>
      <c r="EY732" s="59"/>
      <c r="EZ732" s="59"/>
      <c r="FA732" s="59"/>
      <c r="FB732" s="59"/>
      <c r="FC732" s="59"/>
      <c r="FD732" s="59"/>
      <c r="FE732" s="59"/>
      <c r="FF732" s="59"/>
      <c r="FG732" s="59"/>
      <c r="FH732" s="59"/>
      <c r="FI732" s="59"/>
      <c r="FJ732" s="59"/>
      <c r="FK732" s="59"/>
      <c r="FL732" s="59"/>
      <c r="FM732" s="59"/>
      <c r="FN732" s="59"/>
      <c r="FO732" s="59"/>
      <c r="FP732" s="59"/>
      <c r="FQ732" s="59"/>
      <c r="FR732" s="59"/>
      <c r="FS732" s="59"/>
      <c r="FT732" s="59"/>
      <c r="FU732" s="59"/>
      <c r="FV732" s="59"/>
      <c r="FW732" s="59"/>
      <c r="FX732" s="59"/>
      <c r="FY732" s="59"/>
      <c r="FZ732" s="59"/>
      <c r="GA732" s="59"/>
      <c r="GB732" s="59"/>
      <c r="GC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  <c r="BW733" s="59"/>
      <c r="BX733" s="59"/>
      <c r="BY733" s="59"/>
      <c r="BZ733" s="59"/>
      <c r="CA733" s="59"/>
      <c r="CB733" s="59"/>
      <c r="CC733" s="59"/>
      <c r="CD733" s="59"/>
      <c r="CE733" s="59"/>
      <c r="CF733" s="59"/>
      <c r="CG733" s="59"/>
      <c r="CH733" s="59"/>
      <c r="CI733" s="59"/>
      <c r="CJ733" s="59"/>
      <c r="CK733" s="59"/>
      <c r="CL733" s="59"/>
      <c r="CM733" s="59"/>
      <c r="CN733" s="59"/>
      <c r="CO733" s="59"/>
      <c r="CP733" s="59"/>
      <c r="CQ733" s="59"/>
      <c r="CR733" s="59"/>
      <c r="CS733" s="59"/>
      <c r="CT733" s="59"/>
      <c r="CU733" s="59"/>
      <c r="CV733" s="59"/>
      <c r="CW733" s="59"/>
      <c r="CX733" s="59"/>
      <c r="CY733" s="59"/>
      <c r="CZ733" s="59"/>
      <c r="DA733" s="59"/>
      <c r="DB733" s="59"/>
      <c r="DC733" s="59"/>
      <c r="DD733" s="59"/>
      <c r="DE733" s="59"/>
      <c r="DF733" s="59"/>
      <c r="DG733" s="59"/>
      <c r="DH733" s="59"/>
      <c r="DI733" s="59"/>
      <c r="DJ733" s="59"/>
      <c r="DK733" s="59"/>
      <c r="DL733" s="59"/>
      <c r="DM733" s="59"/>
      <c r="DN733" s="59"/>
      <c r="DO733" s="59"/>
      <c r="DP733" s="59"/>
      <c r="DQ733" s="59"/>
      <c r="DR733" s="59"/>
      <c r="DS733" s="59"/>
      <c r="DT733" s="59"/>
      <c r="DU733" s="59"/>
      <c r="DV733" s="59"/>
      <c r="DW733" s="59"/>
      <c r="DX733" s="59"/>
      <c r="DY733" s="59"/>
      <c r="DZ733" s="59"/>
      <c r="EA733" s="59"/>
      <c r="EB733" s="59"/>
      <c r="EC733" s="59"/>
      <c r="ED733" s="59"/>
      <c r="EE733" s="59"/>
      <c r="EF733" s="59"/>
      <c r="EG733" s="59"/>
      <c r="EH733" s="59"/>
      <c r="EI733" s="59"/>
      <c r="EJ733" s="59"/>
      <c r="EK733" s="59"/>
      <c r="EL733" s="59"/>
      <c r="EM733" s="59"/>
      <c r="EN733" s="59"/>
      <c r="EO733" s="59"/>
      <c r="EP733" s="59"/>
      <c r="EQ733" s="59"/>
      <c r="ER733" s="59"/>
      <c r="ES733" s="59"/>
      <c r="ET733" s="59"/>
      <c r="EU733" s="59"/>
      <c r="EV733" s="59"/>
      <c r="EW733" s="59"/>
      <c r="EX733" s="59"/>
      <c r="EY733" s="59"/>
      <c r="EZ733" s="59"/>
      <c r="FA733" s="59"/>
      <c r="FB733" s="59"/>
      <c r="FC733" s="59"/>
      <c r="FD733" s="59"/>
      <c r="FE733" s="59"/>
      <c r="FF733" s="59"/>
      <c r="FG733" s="59"/>
      <c r="FH733" s="59"/>
      <c r="FI733" s="59"/>
      <c r="FJ733" s="59"/>
      <c r="FK733" s="59"/>
      <c r="FL733" s="59"/>
      <c r="FM733" s="59"/>
      <c r="FN733" s="59"/>
      <c r="FO733" s="59"/>
      <c r="FP733" s="59"/>
      <c r="FQ733" s="59"/>
      <c r="FR733" s="59"/>
      <c r="FS733" s="59"/>
      <c r="FT733" s="59"/>
      <c r="FU733" s="59"/>
      <c r="FV733" s="59"/>
      <c r="FW733" s="59"/>
      <c r="FX733" s="59"/>
      <c r="FY733" s="59"/>
      <c r="FZ733" s="59"/>
      <c r="GA733" s="59"/>
      <c r="GB733" s="59"/>
      <c r="GC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  <c r="BV734" s="59"/>
      <c r="BW734" s="59"/>
      <c r="BX734" s="59"/>
      <c r="BY734" s="59"/>
      <c r="BZ734" s="59"/>
      <c r="CA734" s="59"/>
      <c r="CB734" s="59"/>
      <c r="CC734" s="59"/>
      <c r="CD734" s="59"/>
      <c r="CE734" s="59"/>
      <c r="CF734" s="59"/>
      <c r="CG734" s="59"/>
      <c r="CH734" s="59"/>
      <c r="CI734" s="59"/>
      <c r="CJ734" s="59"/>
      <c r="CK734" s="59"/>
      <c r="CL734" s="59"/>
      <c r="CM734" s="59"/>
      <c r="CN734" s="59"/>
      <c r="CO734" s="59"/>
      <c r="CP734" s="59"/>
      <c r="CQ734" s="59"/>
      <c r="CR734" s="59"/>
      <c r="CS734" s="59"/>
      <c r="CT734" s="59"/>
      <c r="CU734" s="59"/>
      <c r="CV734" s="59"/>
      <c r="CW734" s="59"/>
      <c r="CX734" s="59"/>
      <c r="CY734" s="59"/>
      <c r="CZ734" s="59"/>
      <c r="DA734" s="59"/>
      <c r="DB734" s="59"/>
      <c r="DC734" s="59"/>
      <c r="DD734" s="59"/>
      <c r="DE734" s="59"/>
      <c r="DF734" s="59"/>
      <c r="DG734" s="59"/>
      <c r="DH734" s="59"/>
      <c r="DI734" s="59"/>
      <c r="DJ734" s="59"/>
      <c r="DK734" s="59"/>
      <c r="DL734" s="59"/>
      <c r="DM734" s="59"/>
      <c r="DN734" s="59"/>
      <c r="DO734" s="59"/>
      <c r="DP734" s="59"/>
      <c r="DQ734" s="59"/>
      <c r="DR734" s="59"/>
      <c r="DS734" s="59"/>
      <c r="DT734" s="59"/>
      <c r="DU734" s="59"/>
      <c r="DV734" s="59"/>
      <c r="DW734" s="59"/>
      <c r="DX734" s="59"/>
      <c r="DY734" s="59"/>
      <c r="DZ734" s="59"/>
      <c r="EA734" s="59"/>
      <c r="EB734" s="59"/>
      <c r="EC734" s="59"/>
      <c r="ED734" s="59"/>
      <c r="EE734" s="59"/>
      <c r="EF734" s="59"/>
      <c r="EG734" s="59"/>
      <c r="EH734" s="59"/>
      <c r="EI734" s="59"/>
      <c r="EJ734" s="59"/>
      <c r="EK734" s="59"/>
      <c r="EL734" s="59"/>
      <c r="EM734" s="59"/>
      <c r="EN734" s="59"/>
      <c r="EO734" s="59"/>
      <c r="EP734" s="59"/>
      <c r="EQ734" s="59"/>
      <c r="ER734" s="59"/>
      <c r="ES734" s="59"/>
      <c r="ET734" s="59"/>
      <c r="EU734" s="59"/>
      <c r="EV734" s="59"/>
      <c r="EW734" s="59"/>
      <c r="EX734" s="59"/>
      <c r="EY734" s="59"/>
      <c r="EZ734" s="59"/>
      <c r="FA734" s="59"/>
      <c r="FB734" s="59"/>
      <c r="FC734" s="59"/>
      <c r="FD734" s="59"/>
      <c r="FE734" s="59"/>
      <c r="FF734" s="59"/>
      <c r="FG734" s="59"/>
      <c r="FH734" s="59"/>
      <c r="FI734" s="59"/>
      <c r="FJ734" s="59"/>
      <c r="FK734" s="59"/>
      <c r="FL734" s="59"/>
      <c r="FM734" s="59"/>
      <c r="FN734" s="59"/>
      <c r="FO734" s="59"/>
      <c r="FP734" s="59"/>
      <c r="FQ734" s="59"/>
      <c r="FR734" s="59"/>
      <c r="FS734" s="59"/>
      <c r="FT734" s="59"/>
      <c r="FU734" s="59"/>
      <c r="FV734" s="59"/>
      <c r="FW734" s="59"/>
      <c r="FX734" s="59"/>
      <c r="FY734" s="59"/>
      <c r="FZ734" s="59"/>
      <c r="GA734" s="59"/>
      <c r="GB734" s="59"/>
      <c r="GC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  <c r="BV735" s="59"/>
      <c r="BW735" s="59"/>
      <c r="BX735" s="59"/>
      <c r="BY735" s="59"/>
      <c r="BZ735" s="59"/>
      <c r="CA735" s="59"/>
      <c r="CB735" s="59"/>
      <c r="CC735" s="59"/>
      <c r="CD735" s="59"/>
      <c r="CE735" s="59"/>
      <c r="CF735" s="59"/>
      <c r="CG735" s="59"/>
      <c r="CH735" s="59"/>
      <c r="CI735" s="59"/>
      <c r="CJ735" s="59"/>
      <c r="CK735" s="59"/>
      <c r="CL735" s="59"/>
      <c r="CM735" s="59"/>
      <c r="CN735" s="59"/>
      <c r="CO735" s="59"/>
      <c r="CP735" s="59"/>
      <c r="CQ735" s="59"/>
      <c r="CR735" s="59"/>
      <c r="CS735" s="59"/>
      <c r="CT735" s="59"/>
      <c r="CU735" s="59"/>
      <c r="CV735" s="59"/>
      <c r="CW735" s="59"/>
      <c r="CX735" s="59"/>
      <c r="CY735" s="59"/>
      <c r="CZ735" s="59"/>
      <c r="DA735" s="59"/>
      <c r="DB735" s="59"/>
      <c r="DC735" s="59"/>
      <c r="DD735" s="59"/>
      <c r="DE735" s="59"/>
      <c r="DF735" s="59"/>
      <c r="DG735" s="59"/>
      <c r="DH735" s="59"/>
      <c r="DI735" s="59"/>
      <c r="DJ735" s="59"/>
      <c r="DK735" s="59"/>
      <c r="DL735" s="59"/>
      <c r="DM735" s="59"/>
      <c r="DN735" s="59"/>
      <c r="DO735" s="59"/>
      <c r="DP735" s="59"/>
      <c r="DQ735" s="59"/>
      <c r="DR735" s="59"/>
      <c r="DS735" s="59"/>
      <c r="DT735" s="59"/>
      <c r="DU735" s="59"/>
      <c r="DV735" s="59"/>
      <c r="DW735" s="59"/>
      <c r="DX735" s="59"/>
      <c r="DY735" s="59"/>
      <c r="DZ735" s="59"/>
      <c r="EA735" s="59"/>
      <c r="EB735" s="59"/>
      <c r="EC735" s="59"/>
      <c r="ED735" s="59"/>
      <c r="EE735" s="59"/>
      <c r="EF735" s="59"/>
      <c r="EG735" s="59"/>
      <c r="EH735" s="59"/>
      <c r="EI735" s="59"/>
      <c r="EJ735" s="59"/>
      <c r="EK735" s="59"/>
      <c r="EL735" s="59"/>
      <c r="EM735" s="59"/>
      <c r="EN735" s="59"/>
      <c r="EO735" s="59"/>
      <c r="EP735" s="59"/>
      <c r="EQ735" s="59"/>
      <c r="ER735" s="59"/>
      <c r="ES735" s="59"/>
      <c r="ET735" s="59"/>
      <c r="EU735" s="59"/>
      <c r="EV735" s="59"/>
      <c r="EW735" s="59"/>
      <c r="EX735" s="59"/>
      <c r="EY735" s="59"/>
      <c r="EZ735" s="59"/>
      <c r="FA735" s="59"/>
      <c r="FB735" s="59"/>
      <c r="FC735" s="59"/>
      <c r="FD735" s="59"/>
      <c r="FE735" s="59"/>
      <c r="FF735" s="59"/>
      <c r="FG735" s="59"/>
      <c r="FH735" s="59"/>
      <c r="FI735" s="59"/>
      <c r="FJ735" s="59"/>
      <c r="FK735" s="59"/>
      <c r="FL735" s="59"/>
      <c r="FM735" s="59"/>
      <c r="FN735" s="59"/>
      <c r="FO735" s="59"/>
      <c r="FP735" s="59"/>
      <c r="FQ735" s="59"/>
      <c r="FR735" s="59"/>
      <c r="FS735" s="59"/>
      <c r="FT735" s="59"/>
      <c r="FU735" s="59"/>
      <c r="FV735" s="59"/>
      <c r="FW735" s="59"/>
      <c r="FX735" s="59"/>
      <c r="FY735" s="59"/>
      <c r="FZ735" s="59"/>
      <c r="GA735" s="59"/>
      <c r="GB735" s="59"/>
      <c r="GC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  <c r="BV736" s="59"/>
      <c r="BW736" s="59"/>
      <c r="BX736" s="59"/>
      <c r="BY736" s="59"/>
      <c r="BZ736" s="59"/>
      <c r="CA736" s="59"/>
      <c r="CB736" s="59"/>
      <c r="CC736" s="59"/>
      <c r="CD736" s="59"/>
      <c r="CE736" s="59"/>
      <c r="CF736" s="59"/>
      <c r="CG736" s="59"/>
      <c r="CH736" s="59"/>
      <c r="CI736" s="59"/>
      <c r="CJ736" s="59"/>
      <c r="CK736" s="59"/>
      <c r="CL736" s="59"/>
      <c r="CM736" s="59"/>
      <c r="CN736" s="59"/>
      <c r="CO736" s="59"/>
      <c r="CP736" s="59"/>
      <c r="CQ736" s="59"/>
      <c r="CR736" s="59"/>
      <c r="CS736" s="59"/>
      <c r="CT736" s="59"/>
      <c r="CU736" s="59"/>
      <c r="CV736" s="59"/>
      <c r="CW736" s="59"/>
      <c r="CX736" s="59"/>
      <c r="CY736" s="59"/>
      <c r="CZ736" s="59"/>
      <c r="DA736" s="59"/>
      <c r="DB736" s="59"/>
      <c r="DC736" s="59"/>
      <c r="DD736" s="59"/>
      <c r="DE736" s="59"/>
      <c r="DF736" s="59"/>
      <c r="DG736" s="59"/>
      <c r="DH736" s="59"/>
      <c r="DI736" s="59"/>
      <c r="DJ736" s="59"/>
      <c r="DK736" s="59"/>
      <c r="DL736" s="59"/>
      <c r="DM736" s="59"/>
      <c r="DN736" s="59"/>
      <c r="DO736" s="59"/>
      <c r="DP736" s="59"/>
      <c r="DQ736" s="59"/>
      <c r="DR736" s="59"/>
      <c r="DS736" s="59"/>
      <c r="DT736" s="59"/>
      <c r="DU736" s="59"/>
      <c r="DV736" s="59"/>
      <c r="DW736" s="59"/>
      <c r="DX736" s="59"/>
      <c r="DY736" s="59"/>
      <c r="DZ736" s="59"/>
      <c r="EA736" s="59"/>
      <c r="EB736" s="59"/>
      <c r="EC736" s="59"/>
      <c r="ED736" s="59"/>
      <c r="EE736" s="59"/>
      <c r="EF736" s="59"/>
      <c r="EG736" s="59"/>
      <c r="EH736" s="59"/>
      <c r="EI736" s="59"/>
      <c r="EJ736" s="59"/>
      <c r="EK736" s="59"/>
      <c r="EL736" s="59"/>
      <c r="EM736" s="59"/>
      <c r="EN736" s="59"/>
      <c r="EO736" s="59"/>
      <c r="EP736" s="59"/>
      <c r="EQ736" s="59"/>
      <c r="ER736" s="59"/>
      <c r="ES736" s="59"/>
      <c r="ET736" s="59"/>
      <c r="EU736" s="59"/>
      <c r="EV736" s="59"/>
      <c r="EW736" s="59"/>
      <c r="EX736" s="59"/>
      <c r="EY736" s="59"/>
      <c r="EZ736" s="59"/>
      <c r="FA736" s="59"/>
      <c r="FB736" s="59"/>
      <c r="FC736" s="59"/>
      <c r="FD736" s="59"/>
      <c r="FE736" s="59"/>
      <c r="FF736" s="59"/>
      <c r="FG736" s="59"/>
      <c r="FH736" s="59"/>
      <c r="FI736" s="59"/>
      <c r="FJ736" s="59"/>
      <c r="FK736" s="59"/>
      <c r="FL736" s="59"/>
      <c r="FM736" s="59"/>
      <c r="FN736" s="59"/>
      <c r="FO736" s="59"/>
      <c r="FP736" s="59"/>
      <c r="FQ736" s="59"/>
      <c r="FR736" s="59"/>
      <c r="FS736" s="59"/>
      <c r="FT736" s="59"/>
      <c r="FU736" s="59"/>
      <c r="FV736" s="59"/>
      <c r="FW736" s="59"/>
      <c r="FX736" s="59"/>
      <c r="FY736" s="59"/>
      <c r="FZ736" s="59"/>
      <c r="GA736" s="59"/>
      <c r="GB736" s="59"/>
      <c r="GC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  <c r="BW737" s="59"/>
      <c r="BX737" s="59"/>
      <c r="BY737" s="59"/>
      <c r="BZ737" s="59"/>
      <c r="CA737" s="59"/>
      <c r="CB737" s="59"/>
      <c r="CC737" s="59"/>
      <c r="CD737" s="59"/>
      <c r="CE737" s="59"/>
      <c r="CF737" s="59"/>
      <c r="CG737" s="59"/>
      <c r="CH737" s="59"/>
      <c r="CI737" s="59"/>
      <c r="CJ737" s="59"/>
      <c r="CK737" s="59"/>
      <c r="CL737" s="59"/>
      <c r="CM737" s="59"/>
      <c r="CN737" s="59"/>
      <c r="CO737" s="59"/>
      <c r="CP737" s="59"/>
      <c r="CQ737" s="59"/>
      <c r="CR737" s="59"/>
      <c r="CS737" s="59"/>
      <c r="CT737" s="59"/>
      <c r="CU737" s="59"/>
      <c r="CV737" s="59"/>
      <c r="CW737" s="59"/>
      <c r="CX737" s="59"/>
      <c r="CY737" s="59"/>
      <c r="CZ737" s="59"/>
      <c r="DA737" s="59"/>
      <c r="DB737" s="59"/>
      <c r="DC737" s="59"/>
      <c r="DD737" s="59"/>
      <c r="DE737" s="59"/>
      <c r="DF737" s="59"/>
      <c r="DG737" s="59"/>
      <c r="DH737" s="59"/>
      <c r="DI737" s="59"/>
      <c r="DJ737" s="59"/>
      <c r="DK737" s="59"/>
      <c r="DL737" s="59"/>
      <c r="DM737" s="59"/>
      <c r="DN737" s="59"/>
      <c r="DO737" s="59"/>
      <c r="DP737" s="59"/>
      <c r="DQ737" s="59"/>
      <c r="DR737" s="59"/>
      <c r="DS737" s="59"/>
      <c r="DT737" s="59"/>
      <c r="DU737" s="59"/>
      <c r="DV737" s="59"/>
      <c r="DW737" s="59"/>
      <c r="DX737" s="59"/>
      <c r="DY737" s="59"/>
      <c r="DZ737" s="59"/>
      <c r="EA737" s="59"/>
      <c r="EB737" s="59"/>
      <c r="EC737" s="59"/>
      <c r="ED737" s="59"/>
      <c r="EE737" s="59"/>
      <c r="EF737" s="59"/>
      <c r="EG737" s="59"/>
      <c r="EH737" s="59"/>
      <c r="EI737" s="59"/>
      <c r="EJ737" s="59"/>
      <c r="EK737" s="59"/>
      <c r="EL737" s="59"/>
      <c r="EM737" s="59"/>
      <c r="EN737" s="59"/>
      <c r="EO737" s="59"/>
      <c r="EP737" s="59"/>
      <c r="EQ737" s="59"/>
      <c r="ER737" s="59"/>
      <c r="ES737" s="59"/>
      <c r="ET737" s="59"/>
      <c r="EU737" s="59"/>
      <c r="EV737" s="59"/>
      <c r="EW737" s="59"/>
      <c r="EX737" s="59"/>
      <c r="EY737" s="59"/>
      <c r="EZ737" s="59"/>
      <c r="FA737" s="59"/>
      <c r="FB737" s="59"/>
      <c r="FC737" s="59"/>
      <c r="FD737" s="59"/>
      <c r="FE737" s="59"/>
      <c r="FF737" s="59"/>
      <c r="FG737" s="59"/>
      <c r="FH737" s="59"/>
      <c r="FI737" s="59"/>
      <c r="FJ737" s="59"/>
      <c r="FK737" s="59"/>
      <c r="FL737" s="59"/>
      <c r="FM737" s="59"/>
      <c r="FN737" s="59"/>
      <c r="FO737" s="59"/>
      <c r="FP737" s="59"/>
      <c r="FQ737" s="59"/>
      <c r="FR737" s="59"/>
      <c r="FS737" s="59"/>
      <c r="FT737" s="59"/>
      <c r="FU737" s="59"/>
      <c r="FV737" s="59"/>
      <c r="FW737" s="59"/>
      <c r="FX737" s="59"/>
      <c r="FY737" s="59"/>
      <c r="FZ737" s="59"/>
      <c r="GA737" s="59"/>
      <c r="GB737" s="59"/>
      <c r="GC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  <c r="BW738" s="59"/>
      <c r="BX738" s="59"/>
      <c r="BY738" s="59"/>
      <c r="BZ738" s="59"/>
      <c r="CA738" s="59"/>
      <c r="CB738" s="59"/>
      <c r="CC738" s="59"/>
      <c r="CD738" s="59"/>
      <c r="CE738" s="59"/>
      <c r="CF738" s="59"/>
      <c r="CG738" s="59"/>
      <c r="CH738" s="59"/>
      <c r="CI738" s="59"/>
      <c r="CJ738" s="59"/>
      <c r="CK738" s="59"/>
      <c r="CL738" s="59"/>
      <c r="CM738" s="59"/>
      <c r="CN738" s="59"/>
      <c r="CO738" s="59"/>
      <c r="CP738" s="59"/>
      <c r="CQ738" s="59"/>
      <c r="CR738" s="59"/>
      <c r="CS738" s="59"/>
      <c r="CT738" s="59"/>
      <c r="CU738" s="59"/>
      <c r="CV738" s="59"/>
      <c r="CW738" s="59"/>
      <c r="CX738" s="59"/>
      <c r="CY738" s="59"/>
      <c r="CZ738" s="59"/>
      <c r="DA738" s="59"/>
      <c r="DB738" s="59"/>
      <c r="DC738" s="59"/>
      <c r="DD738" s="59"/>
      <c r="DE738" s="59"/>
      <c r="DF738" s="59"/>
      <c r="DG738" s="59"/>
      <c r="DH738" s="59"/>
      <c r="DI738" s="59"/>
      <c r="DJ738" s="59"/>
      <c r="DK738" s="59"/>
      <c r="DL738" s="59"/>
      <c r="DM738" s="59"/>
      <c r="DN738" s="59"/>
      <c r="DO738" s="59"/>
      <c r="DP738" s="59"/>
      <c r="DQ738" s="59"/>
      <c r="DR738" s="59"/>
      <c r="DS738" s="59"/>
      <c r="DT738" s="59"/>
      <c r="DU738" s="59"/>
      <c r="DV738" s="59"/>
      <c r="DW738" s="59"/>
      <c r="DX738" s="59"/>
      <c r="DY738" s="59"/>
      <c r="DZ738" s="59"/>
      <c r="EA738" s="59"/>
      <c r="EB738" s="59"/>
      <c r="EC738" s="59"/>
      <c r="ED738" s="59"/>
      <c r="EE738" s="59"/>
      <c r="EF738" s="59"/>
      <c r="EG738" s="59"/>
      <c r="EH738" s="59"/>
      <c r="EI738" s="59"/>
      <c r="EJ738" s="59"/>
      <c r="EK738" s="59"/>
      <c r="EL738" s="59"/>
      <c r="EM738" s="59"/>
      <c r="EN738" s="59"/>
      <c r="EO738" s="59"/>
      <c r="EP738" s="59"/>
      <c r="EQ738" s="59"/>
      <c r="ER738" s="59"/>
      <c r="ES738" s="59"/>
      <c r="ET738" s="59"/>
      <c r="EU738" s="59"/>
      <c r="EV738" s="59"/>
      <c r="EW738" s="59"/>
      <c r="EX738" s="59"/>
      <c r="EY738" s="59"/>
      <c r="EZ738" s="59"/>
      <c r="FA738" s="59"/>
      <c r="FB738" s="59"/>
      <c r="FC738" s="59"/>
      <c r="FD738" s="59"/>
      <c r="FE738" s="59"/>
      <c r="FF738" s="59"/>
      <c r="FG738" s="59"/>
      <c r="FH738" s="59"/>
      <c r="FI738" s="59"/>
      <c r="FJ738" s="59"/>
      <c r="FK738" s="59"/>
      <c r="FL738" s="59"/>
      <c r="FM738" s="59"/>
      <c r="FN738" s="59"/>
      <c r="FO738" s="59"/>
      <c r="FP738" s="59"/>
      <c r="FQ738" s="59"/>
      <c r="FR738" s="59"/>
      <c r="FS738" s="59"/>
      <c r="FT738" s="59"/>
      <c r="FU738" s="59"/>
      <c r="FV738" s="59"/>
      <c r="FW738" s="59"/>
      <c r="FX738" s="59"/>
      <c r="FY738" s="59"/>
      <c r="FZ738" s="59"/>
      <c r="GA738" s="59"/>
      <c r="GB738" s="59"/>
      <c r="GC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  <c r="BW739" s="59"/>
      <c r="BX739" s="59"/>
      <c r="BY739" s="59"/>
      <c r="BZ739" s="59"/>
      <c r="CA739" s="59"/>
      <c r="CB739" s="59"/>
      <c r="CC739" s="59"/>
      <c r="CD739" s="59"/>
      <c r="CE739" s="59"/>
      <c r="CF739" s="59"/>
      <c r="CG739" s="59"/>
      <c r="CH739" s="59"/>
      <c r="CI739" s="59"/>
      <c r="CJ739" s="59"/>
      <c r="CK739" s="59"/>
      <c r="CL739" s="59"/>
      <c r="CM739" s="59"/>
      <c r="CN739" s="59"/>
      <c r="CO739" s="59"/>
      <c r="CP739" s="59"/>
      <c r="CQ739" s="59"/>
      <c r="CR739" s="59"/>
      <c r="CS739" s="59"/>
      <c r="CT739" s="59"/>
      <c r="CU739" s="59"/>
      <c r="CV739" s="59"/>
      <c r="CW739" s="59"/>
      <c r="CX739" s="59"/>
      <c r="CY739" s="59"/>
      <c r="CZ739" s="59"/>
      <c r="DA739" s="59"/>
      <c r="DB739" s="59"/>
      <c r="DC739" s="59"/>
      <c r="DD739" s="59"/>
      <c r="DE739" s="59"/>
      <c r="DF739" s="59"/>
      <c r="DG739" s="59"/>
      <c r="DH739" s="59"/>
      <c r="DI739" s="59"/>
      <c r="DJ739" s="59"/>
      <c r="DK739" s="59"/>
      <c r="DL739" s="59"/>
      <c r="DM739" s="59"/>
      <c r="DN739" s="59"/>
      <c r="DO739" s="59"/>
      <c r="DP739" s="59"/>
      <c r="DQ739" s="59"/>
      <c r="DR739" s="59"/>
      <c r="DS739" s="59"/>
      <c r="DT739" s="59"/>
      <c r="DU739" s="59"/>
      <c r="DV739" s="59"/>
      <c r="DW739" s="59"/>
      <c r="DX739" s="59"/>
      <c r="DY739" s="59"/>
      <c r="DZ739" s="59"/>
      <c r="EA739" s="59"/>
      <c r="EB739" s="59"/>
      <c r="EC739" s="59"/>
      <c r="ED739" s="59"/>
      <c r="EE739" s="59"/>
      <c r="EF739" s="59"/>
      <c r="EG739" s="59"/>
      <c r="EH739" s="59"/>
      <c r="EI739" s="59"/>
      <c r="EJ739" s="59"/>
      <c r="EK739" s="59"/>
      <c r="EL739" s="59"/>
      <c r="EM739" s="59"/>
      <c r="EN739" s="59"/>
      <c r="EO739" s="59"/>
      <c r="EP739" s="59"/>
      <c r="EQ739" s="59"/>
      <c r="ER739" s="59"/>
      <c r="ES739" s="59"/>
      <c r="ET739" s="59"/>
      <c r="EU739" s="59"/>
      <c r="EV739" s="59"/>
      <c r="EW739" s="59"/>
      <c r="EX739" s="59"/>
      <c r="EY739" s="59"/>
      <c r="EZ739" s="59"/>
      <c r="FA739" s="59"/>
      <c r="FB739" s="59"/>
      <c r="FC739" s="59"/>
      <c r="FD739" s="59"/>
      <c r="FE739" s="59"/>
      <c r="FF739" s="59"/>
      <c r="FG739" s="59"/>
      <c r="FH739" s="59"/>
      <c r="FI739" s="59"/>
      <c r="FJ739" s="59"/>
      <c r="FK739" s="59"/>
      <c r="FL739" s="59"/>
      <c r="FM739" s="59"/>
      <c r="FN739" s="59"/>
      <c r="FO739" s="59"/>
      <c r="FP739" s="59"/>
      <c r="FQ739" s="59"/>
      <c r="FR739" s="59"/>
      <c r="FS739" s="59"/>
      <c r="FT739" s="59"/>
      <c r="FU739" s="59"/>
      <c r="FV739" s="59"/>
      <c r="FW739" s="59"/>
      <c r="FX739" s="59"/>
      <c r="FY739" s="59"/>
      <c r="FZ739" s="59"/>
      <c r="GA739" s="59"/>
      <c r="GB739" s="59"/>
      <c r="GC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  <c r="BW740" s="59"/>
      <c r="BX740" s="59"/>
      <c r="BY740" s="59"/>
      <c r="BZ740" s="59"/>
      <c r="CA740" s="59"/>
      <c r="CB740" s="59"/>
      <c r="CC740" s="59"/>
      <c r="CD740" s="59"/>
      <c r="CE740" s="59"/>
      <c r="CF740" s="59"/>
      <c r="CG740" s="59"/>
      <c r="CH740" s="59"/>
      <c r="CI740" s="59"/>
      <c r="CJ740" s="59"/>
      <c r="CK740" s="59"/>
      <c r="CL740" s="59"/>
      <c r="CM740" s="59"/>
      <c r="CN740" s="59"/>
      <c r="CO740" s="59"/>
      <c r="CP740" s="59"/>
      <c r="CQ740" s="59"/>
      <c r="CR740" s="59"/>
      <c r="CS740" s="59"/>
      <c r="CT740" s="59"/>
      <c r="CU740" s="59"/>
      <c r="CV740" s="59"/>
      <c r="CW740" s="59"/>
      <c r="CX740" s="59"/>
      <c r="CY740" s="59"/>
      <c r="CZ740" s="59"/>
      <c r="DA740" s="59"/>
      <c r="DB740" s="59"/>
      <c r="DC740" s="59"/>
      <c r="DD740" s="59"/>
      <c r="DE740" s="59"/>
      <c r="DF740" s="59"/>
      <c r="DG740" s="59"/>
      <c r="DH740" s="59"/>
      <c r="DI740" s="59"/>
      <c r="DJ740" s="59"/>
      <c r="DK740" s="59"/>
      <c r="DL740" s="59"/>
      <c r="DM740" s="59"/>
      <c r="DN740" s="59"/>
      <c r="DO740" s="59"/>
      <c r="DP740" s="59"/>
      <c r="DQ740" s="59"/>
      <c r="DR740" s="59"/>
      <c r="DS740" s="59"/>
      <c r="DT740" s="59"/>
      <c r="DU740" s="59"/>
      <c r="DV740" s="59"/>
      <c r="DW740" s="59"/>
      <c r="DX740" s="59"/>
      <c r="DY740" s="59"/>
      <c r="DZ740" s="59"/>
      <c r="EA740" s="59"/>
      <c r="EB740" s="59"/>
      <c r="EC740" s="59"/>
      <c r="ED740" s="59"/>
      <c r="EE740" s="59"/>
      <c r="EF740" s="59"/>
      <c r="EG740" s="59"/>
      <c r="EH740" s="59"/>
      <c r="EI740" s="59"/>
      <c r="EJ740" s="59"/>
      <c r="EK740" s="59"/>
      <c r="EL740" s="59"/>
      <c r="EM740" s="59"/>
      <c r="EN740" s="59"/>
      <c r="EO740" s="59"/>
      <c r="EP740" s="59"/>
      <c r="EQ740" s="59"/>
      <c r="ER740" s="59"/>
      <c r="ES740" s="59"/>
      <c r="ET740" s="59"/>
      <c r="EU740" s="59"/>
      <c r="EV740" s="59"/>
      <c r="EW740" s="59"/>
      <c r="EX740" s="59"/>
      <c r="EY740" s="59"/>
      <c r="EZ740" s="59"/>
      <c r="FA740" s="59"/>
      <c r="FB740" s="59"/>
      <c r="FC740" s="59"/>
      <c r="FD740" s="59"/>
      <c r="FE740" s="59"/>
      <c r="FF740" s="59"/>
      <c r="FG740" s="59"/>
      <c r="FH740" s="59"/>
      <c r="FI740" s="59"/>
      <c r="FJ740" s="59"/>
      <c r="FK740" s="59"/>
      <c r="FL740" s="59"/>
      <c r="FM740" s="59"/>
      <c r="FN740" s="59"/>
      <c r="FO740" s="59"/>
      <c r="FP740" s="59"/>
      <c r="FQ740" s="59"/>
      <c r="FR740" s="59"/>
      <c r="FS740" s="59"/>
      <c r="FT740" s="59"/>
      <c r="FU740" s="59"/>
      <c r="FV740" s="59"/>
      <c r="FW740" s="59"/>
      <c r="FX740" s="59"/>
      <c r="FY740" s="59"/>
      <c r="FZ740" s="59"/>
      <c r="GA740" s="59"/>
      <c r="GB740" s="59"/>
      <c r="GC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  <c r="BW741" s="59"/>
      <c r="BX741" s="59"/>
      <c r="BY741" s="59"/>
      <c r="BZ741" s="59"/>
      <c r="CA741" s="59"/>
      <c r="CB741" s="59"/>
      <c r="CC741" s="59"/>
      <c r="CD741" s="59"/>
      <c r="CE741" s="59"/>
      <c r="CF741" s="59"/>
      <c r="CG741" s="59"/>
      <c r="CH741" s="59"/>
      <c r="CI741" s="59"/>
      <c r="CJ741" s="59"/>
      <c r="CK741" s="59"/>
      <c r="CL741" s="59"/>
      <c r="CM741" s="59"/>
      <c r="CN741" s="59"/>
      <c r="CO741" s="59"/>
      <c r="CP741" s="59"/>
      <c r="CQ741" s="59"/>
      <c r="CR741" s="59"/>
      <c r="CS741" s="59"/>
      <c r="CT741" s="59"/>
      <c r="CU741" s="59"/>
      <c r="CV741" s="59"/>
      <c r="CW741" s="59"/>
      <c r="CX741" s="59"/>
      <c r="CY741" s="59"/>
      <c r="CZ741" s="59"/>
      <c r="DA741" s="59"/>
      <c r="DB741" s="59"/>
      <c r="DC741" s="59"/>
      <c r="DD741" s="59"/>
      <c r="DE741" s="59"/>
      <c r="DF741" s="59"/>
      <c r="DG741" s="59"/>
      <c r="DH741" s="59"/>
      <c r="DI741" s="59"/>
      <c r="DJ741" s="59"/>
      <c r="DK741" s="59"/>
      <c r="DL741" s="59"/>
      <c r="DM741" s="59"/>
      <c r="DN741" s="59"/>
      <c r="DO741" s="59"/>
      <c r="DP741" s="59"/>
      <c r="DQ741" s="59"/>
      <c r="DR741" s="59"/>
      <c r="DS741" s="59"/>
      <c r="DT741" s="59"/>
      <c r="DU741" s="59"/>
      <c r="DV741" s="59"/>
      <c r="DW741" s="59"/>
      <c r="DX741" s="59"/>
      <c r="DY741" s="59"/>
      <c r="DZ741" s="59"/>
      <c r="EA741" s="59"/>
      <c r="EB741" s="59"/>
      <c r="EC741" s="59"/>
      <c r="ED741" s="59"/>
      <c r="EE741" s="59"/>
      <c r="EF741" s="59"/>
      <c r="EG741" s="59"/>
      <c r="EH741" s="59"/>
      <c r="EI741" s="59"/>
      <c r="EJ741" s="59"/>
      <c r="EK741" s="59"/>
      <c r="EL741" s="59"/>
      <c r="EM741" s="59"/>
      <c r="EN741" s="59"/>
      <c r="EO741" s="59"/>
      <c r="EP741" s="59"/>
      <c r="EQ741" s="59"/>
      <c r="ER741" s="59"/>
      <c r="ES741" s="59"/>
      <c r="ET741" s="59"/>
      <c r="EU741" s="59"/>
      <c r="EV741" s="59"/>
      <c r="EW741" s="59"/>
      <c r="EX741" s="59"/>
      <c r="EY741" s="59"/>
      <c r="EZ741" s="59"/>
      <c r="FA741" s="59"/>
      <c r="FB741" s="59"/>
      <c r="FC741" s="59"/>
      <c r="FD741" s="59"/>
      <c r="FE741" s="59"/>
      <c r="FF741" s="59"/>
      <c r="FG741" s="59"/>
      <c r="FH741" s="59"/>
      <c r="FI741" s="59"/>
      <c r="FJ741" s="59"/>
      <c r="FK741" s="59"/>
      <c r="FL741" s="59"/>
      <c r="FM741" s="59"/>
      <c r="FN741" s="59"/>
      <c r="FO741" s="59"/>
      <c r="FP741" s="59"/>
      <c r="FQ741" s="59"/>
      <c r="FR741" s="59"/>
      <c r="FS741" s="59"/>
      <c r="FT741" s="59"/>
      <c r="FU741" s="59"/>
      <c r="FV741" s="59"/>
      <c r="FW741" s="59"/>
      <c r="FX741" s="59"/>
      <c r="FY741" s="59"/>
      <c r="FZ741" s="59"/>
      <c r="GA741" s="59"/>
      <c r="GB741" s="59"/>
      <c r="GC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  <c r="BW742" s="59"/>
      <c r="BX742" s="59"/>
      <c r="BY742" s="59"/>
      <c r="BZ742" s="59"/>
      <c r="CA742" s="59"/>
      <c r="CB742" s="59"/>
      <c r="CC742" s="59"/>
      <c r="CD742" s="59"/>
      <c r="CE742" s="59"/>
      <c r="CF742" s="59"/>
      <c r="CG742" s="59"/>
      <c r="CH742" s="59"/>
      <c r="CI742" s="59"/>
      <c r="CJ742" s="59"/>
      <c r="CK742" s="59"/>
      <c r="CL742" s="59"/>
      <c r="CM742" s="59"/>
      <c r="CN742" s="59"/>
      <c r="CO742" s="59"/>
      <c r="CP742" s="59"/>
      <c r="CQ742" s="59"/>
      <c r="CR742" s="59"/>
      <c r="CS742" s="59"/>
      <c r="CT742" s="59"/>
      <c r="CU742" s="59"/>
      <c r="CV742" s="59"/>
      <c r="CW742" s="59"/>
      <c r="CX742" s="59"/>
      <c r="CY742" s="59"/>
      <c r="CZ742" s="59"/>
      <c r="DA742" s="59"/>
      <c r="DB742" s="59"/>
      <c r="DC742" s="59"/>
      <c r="DD742" s="59"/>
      <c r="DE742" s="59"/>
      <c r="DF742" s="59"/>
      <c r="DG742" s="59"/>
      <c r="DH742" s="59"/>
      <c r="DI742" s="59"/>
      <c r="DJ742" s="59"/>
      <c r="DK742" s="59"/>
      <c r="DL742" s="59"/>
      <c r="DM742" s="59"/>
      <c r="DN742" s="59"/>
      <c r="DO742" s="59"/>
      <c r="DP742" s="59"/>
      <c r="DQ742" s="59"/>
      <c r="DR742" s="59"/>
      <c r="DS742" s="59"/>
      <c r="DT742" s="59"/>
      <c r="DU742" s="59"/>
      <c r="DV742" s="59"/>
      <c r="DW742" s="59"/>
      <c r="DX742" s="59"/>
      <c r="DY742" s="59"/>
      <c r="DZ742" s="59"/>
      <c r="EA742" s="59"/>
      <c r="EB742" s="59"/>
      <c r="EC742" s="59"/>
      <c r="ED742" s="59"/>
      <c r="EE742" s="59"/>
      <c r="EF742" s="59"/>
      <c r="EG742" s="59"/>
      <c r="EH742" s="59"/>
      <c r="EI742" s="59"/>
      <c r="EJ742" s="59"/>
      <c r="EK742" s="59"/>
      <c r="EL742" s="59"/>
      <c r="EM742" s="59"/>
      <c r="EN742" s="59"/>
      <c r="EO742" s="59"/>
      <c r="EP742" s="59"/>
      <c r="EQ742" s="59"/>
      <c r="ER742" s="59"/>
      <c r="ES742" s="59"/>
      <c r="ET742" s="59"/>
      <c r="EU742" s="59"/>
      <c r="EV742" s="59"/>
      <c r="EW742" s="59"/>
      <c r="EX742" s="59"/>
      <c r="EY742" s="59"/>
      <c r="EZ742" s="59"/>
      <c r="FA742" s="59"/>
      <c r="FB742" s="59"/>
      <c r="FC742" s="59"/>
      <c r="FD742" s="59"/>
      <c r="FE742" s="59"/>
      <c r="FF742" s="59"/>
      <c r="FG742" s="59"/>
      <c r="FH742" s="59"/>
      <c r="FI742" s="59"/>
      <c r="FJ742" s="59"/>
      <c r="FK742" s="59"/>
      <c r="FL742" s="59"/>
      <c r="FM742" s="59"/>
      <c r="FN742" s="59"/>
      <c r="FO742" s="59"/>
      <c r="FP742" s="59"/>
      <c r="FQ742" s="59"/>
      <c r="FR742" s="59"/>
      <c r="FS742" s="59"/>
      <c r="FT742" s="59"/>
      <c r="FU742" s="59"/>
      <c r="FV742" s="59"/>
      <c r="FW742" s="59"/>
      <c r="FX742" s="59"/>
      <c r="FY742" s="59"/>
      <c r="FZ742" s="59"/>
      <c r="GA742" s="59"/>
      <c r="GB742" s="59"/>
      <c r="GC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  <c r="BW743" s="59"/>
      <c r="BX743" s="59"/>
      <c r="BY743" s="59"/>
      <c r="BZ743" s="59"/>
      <c r="CA743" s="59"/>
      <c r="CB743" s="59"/>
      <c r="CC743" s="59"/>
      <c r="CD743" s="59"/>
      <c r="CE743" s="59"/>
      <c r="CF743" s="59"/>
      <c r="CG743" s="59"/>
      <c r="CH743" s="59"/>
      <c r="CI743" s="59"/>
      <c r="CJ743" s="59"/>
      <c r="CK743" s="59"/>
      <c r="CL743" s="59"/>
      <c r="CM743" s="59"/>
      <c r="CN743" s="59"/>
      <c r="CO743" s="59"/>
      <c r="CP743" s="59"/>
      <c r="CQ743" s="59"/>
      <c r="CR743" s="59"/>
      <c r="CS743" s="59"/>
      <c r="CT743" s="59"/>
      <c r="CU743" s="59"/>
      <c r="CV743" s="59"/>
      <c r="CW743" s="59"/>
      <c r="CX743" s="59"/>
      <c r="CY743" s="59"/>
      <c r="CZ743" s="59"/>
      <c r="DA743" s="59"/>
      <c r="DB743" s="59"/>
      <c r="DC743" s="59"/>
      <c r="DD743" s="59"/>
      <c r="DE743" s="59"/>
      <c r="DF743" s="59"/>
      <c r="DG743" s="59"/>
      <c r="DH743" s="59"/>
      <c r="DI743" s="59"/>
      <c r="DJ743" s="59"/>
      <c r="DK743" s="59"/>
      <c r="DL743" s="59"/>
      <c r="DM743" s="59"/>
      <c r="DN743" s="59"/>
      <c r="DO743" s="59"/>
      <c r="DP743" s="59"/>
      <c r="DQ743" s="59"/>
      <c r="DR743" s="59"/>
      <c r="DS743" s="59"/>
      <c r="DT743" s="59"/>
      <c r="DU743" s="59"/>
      <c r="DV743" s="59"/>
      <c r="DW743" s="59"/>
      <c r="DX743" s="59"/>
      <c r="DY743" s="59"/>
      <c r="DZ743" s="59"/>
      <c r="EA743" s="59"/>
      <c r="EB743" s="59"/>
      <c r="EC743" s="59"/>
      <c r="ED743" s="59"/>
      <c r="EE743" s="59"/>
      <c r="EF743" s="59"/>
      <c r="EG743" s="59"/>
      <c r="EH743" s="59"/>
      <c r="EI743" s="59"/>
      <c r="EJ743" s="59"/>
      <c r="EK743" s="59"/>
      <c r="EL743" s="59"/>
      <c r="EM743" s="59"/>
      <c r="EN743" s="59"/>
      <c r="EO743" s="59"/>
      <c r="EP743" s="59"/>
      <c r="EQ743" s="59"/>
      <c r="ER743" s="59"/>
      <c r="ES743" s="59"/>
      <c r="ET743" s="59"/>
      <c r="EU743" s="59"/>
      <c r="EV743" s="59"/>
      <c r="EW743" s="59"/>
      <c r="EX743" s="59"/>
      <c r="EY743" s="59"/>
      <c r="EZ743" s="59"/>
      <c r="FA743" s="59"/>
      <c r="FB743" s="59"/>
      <c r="FC743" s="59"/>
      <c r="FD743" s="59"/>
      <c r="FE743" s="59"/>
      <c r="FF743" s="59"/>
      <c r="FG743" s="59"/>
      <c r="FH743" s="59"/>
      <c r="FI743" s="59"/>
      <c r="FJ743" s="59"/>
      <c r="FK743" s="59"/>
      <c r="FL743" s="59"/>
      <c r="FM743" s="59"/>
      <c r="FN743" s="59"/>
      <c r="FO743" s="59"/>
      <c r="FP743" s="59"/>
      <c r="FQ743" s="59"/>
      <c r="FR743" s="59"/>
      <c r="FS743" s="59"/>
      <c r="FT743" s="59"/>
      <c r="FU743" s="59"/>
      <c r="FV743" s="59"/>
      <c r="FW743" s="59"/>
      <c r="FX743" s="59"/>
      <c r="FY743" s="59"/>
      <c r="FZ743" s="59"/>
      <c r="GA743" s="59"/>
      <c r="GB743" s="59"/>
      <c r="GC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  <c r="BW744" s="59"/>
      <c r="BX744" s="59"/>
      <c r="BY744" s="59"/>
      <c r="BZ744" s="59"/>
      <c r="CA744" s="59"/>
      <c r="CB744" s="59"/>
      <c r="CC744" s="59"/>
      <c r="CD744" s="59"/>
      <c r="CE744" s="59"/>
      <c r="CF744" s="59"/>
      <c r="CG744" s="59"/>
      <c r="CH744" s="59"/>
      <c r="CI744" s="59"/>
      <c r="CJ744" s="59"/>
      <c r="CK744" s="59"/>
      <c r="CL744" s="59"/>
      <c r="CM744" s="59"/>
      <c r="CN744" s="59"/>
      <c r="CO744" s="59"/>
      <c r="CP744" s="59"/>
      <c r="CQ744" s="59"/>
      <c r="CR744" s="59"/>
      <c r="CS744" s="59"/>
      <c r="CT744" s="59"/>
      <c r="CU744" s="59"/>
      <c r="CV744" s="59"/>
      <c r="CW744" s="59"/>
      <c r="CX744" s="59"/>
      <c r="CY744" s="59"/>
      <c r="CZ744" s="59"/>
      <c r="DA744" s="59"/>
      <c r="DB744" s="59"/>
      <c r="DC744" s="59"/>
      <c r="DD744" s="59"/>
      <c r="DE744" s="59"/>
      <c r="DF744" s="59"/>
      <c r="DG744" s="59"/>
      <c r="DH744" s="59"/>
      <c r="DI744" s="59"/>
      <c r="DJ744" s="59"/>
      <c r="DK744" s="59"/>
      <c r="DL744" s="59"/>
      <c r="DM744" s="59"/>
      <c r="DN744" s="59"/>
      <c r="DO744" s="59"/>
      <c r="DP744" s="59"/>
      <c r="DQ744" s="59"/>
      <c r="DR744" s="59"/>
      <c r="DS744" s="59"/>
      <c r="DT744" s="59"/>
      <c r="DU744" s="59"/>
      <c r="DV744" s="59"/>
      <c r="DW744" s="59"/>
      <c r="DX744" s="59"/>
      <c r="DY744" s="59"/>
      <c r="DZ744" s="59"/>
      <c r="EA744" s="59"/>
      <c r="EB744" s="59"/>
      <c r="EC744" s="59"/>
      <c r="ED744" s="59"/>
      <c r="EE744" s="59"/>
      <c r="EF744" s="59"/>
      <c r="EG744" s="59"/>
      <c r="EH744" s="59"/>
      <c r="EI744" s="59"/>
      <c r="EJ744" s="59"/>
      <c r="EK744" s="59"/>
      <c r="EL744" s="59"/>
      <c r="EM744" s="59"/>
      <c r="EN744" s="59"/>
      <c r="EO744" s="59"/>
      <c r="EP744" s="59"/>
      <c r="EQ744" s="59"/>
      <c r="ER744" s="59"/>
      <c r="ES744" s="59"/>
      <c r="ET744" s="59"/>
      <c r="EU744" s="59"/>
      <c r="EV744" s="59"/>
      <c r="EW744" s="59"/>
      <c r="EX744" s="59"/>
      <c r="EY744" s="59"/>
      <c r="EZ744" s="59"/>
      <c r="FA744" s="59"/>
      <c r="FB744" s="59"/>
      <c r="FC744" s="59"/>
      <c r="FD744" s="59"/>
      <c r="FE744" s="59"/>
      <c r="FF744" s="59"/>
      <c r="FG744" s="59"/>
      <c r="FH744" s="59"/>
      <c r="FI744" s="59"/>
      <c r="FJ744" s="59"/>
      <c r="FK744" s="59"/>
      <c r="FL744" s="59"/>
      <c r="FM744" s="59"/>
      <c r="FN744" s="59"/>
      <c r="FO744" s="59"/>
      <c r="FP744" s="59"/>
      <c r="FQ744" s="59"/>
      <c r="FR744" s="59"/>
      <c r="FS744" s="59"/>
      <c r="FT744" s="59"/>
      <c r="FU744" s="59"/>
      <c r="FV744" s="59"/>
      <c r="FW744" s="59"/>
      <c r="FX744" s="59"/>
      <c r="FY744" s="59"/>
      <c r="FZ744" s="59"/>
      <c r="GA744" s="59"/>
      <c r="GB744" s="59"/>
      <c r="GC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  <c r="BW745" s="59"/>
      <c r="BX745" s="59"/>
      <c r="BY745" s="59"/>
      <c r="BZ745" s="59"/>
      <c r="CA745" s="59"/>
      <c r="CB745" s="59"/>
      <c r="CC745" s="59"/>
      <c r="CD745" s="59"/>
      <c r="CE745" s="59"/>
      <c r="CF745" s="59"/>
      <c r="CG745" s="59"/>
      <c r="CH745" s="59"/>
      <c r="CI745" s="59"/>
      <c r="CJ745" s="59"/>
      <c r="CK745" s="59"/>
      <c r="CL745" s="59"/>
      <c r="CM745" s="59"/>
      <c r="CN745" s="59"/>
      <c r="CO745" s="59"/>
      <c r="CP745" s="59"/>
      <c r="CQ745" s="59"/>
      <c r="CR745" s="59"/>
      <c r="CS745" s="59"/>
      <c r="CT745" s="59"/>
      <c r="CU745" s="59"/>
      <c r="CV745" s="59"/>
      <c r="CW745" s="59"/>
      <c r="CX745" s="59"/>
      <c r="CY745" s="59"/>
      <c r="CZ745" s="59"/>
      <c r="DA745" s="59"/>
      <c r="DB745" s="59"/>
      <c r="DC745" s="59"/>
      <c r="DD745" s="59"/>
      <c r="DE745" s="59"/>
      <c r="DF745" s="59"/>
      <c r="DG745" s="59"/>
      <c r="DH745" s="59"/>
      <c r="DI745" s="59"/>
      <c r="DJ745" s="59"/>
      <c r="DK745" s="59"/>
      <c r="DL745" s="59"/>
      <c r="DM745" s="59"/>
      <c r="DN745" s="59"/>
      <c r="DO745" s="59"/>
      <c r="DP745" s="59"/>
      <c r="DQ745" s="59"/>
      <c r="DR745" s="59"/>
      <c r="DS745" s="59"/>
      <c r="DT745" s="59"/>
      <c r="DU745" s="59"/>
      <c r="DV745" s="59"/>
      <c r="DW745" s="59"/>
      <c r="DX745" s="59"/>
      <c r="DY745" s="59"/>
      <c r="DZ745" s="59"/>
      <c r="EA745" s="59"/>
      <c r="EB745" s="59"/>
      <c r="EC745" s="59"/>
      <c r="ED745" s="59"/>
      <c r="EE745" s="59"/>
      <c r="EF745" s="59"/>
      <c r="EG745" s="59"/>
      <c r="EH745" s="59"/>
      <c r="EI745" s="59"/>
      <c r="EJ745" s="59"/>
      <c r="EK745" s="59"/>
      <c r="EL745" s="59"/>
      <c r="EM745" s="59"/>
      <c r="EN745" s="59"/>
      <c r="EO745" s="59"/>
      <c r="EP745" s="59"/>
      <c r="EQ745" s="59"/>
      <c r="ER745" s="59"/>
      <c r="ES745" s="59"/>
      <c r="ET745" s="59"/>
      <c r="EU745" s="59"/>
      <c r="EV745" s="59"/>
      <c r="EW745" s="59"/>
      <c r="EX745" s="59"/>
      <c r="EY745" s="59"/>
      <c r="EZ745" s="59"/>
      <c r="FA745" s="59"/>
      <c r="FB745" s="59"/>
      <c r="FC745" s="59"/>
      <c r="FD745" s="59"/>
      <c r="FE745" s="59"/>
      <c r="FF745" s="59"/>
      <c r="FG745" s="59"/>
      <c r="FH745" s="59"/>
      <c r="FI745" s="59"/>
      <c r="FJ745" s="59"/>
      <c r="FK745" s="59"/>
      <c r="FL745" s="59"/>
      <c r="FM745" s="59"/>
      <c r="FN745" s="59"/>
      <c r="FO745" s="59"/>
      <c r="FP745" s="59"/>
      <c r="FQ745" s="59"/>
      <c r="FR745" s="59"/>
      <c r="FS745" s="59"/>
      <c r="FT745" s="59"/>
      <c r="FU745" s="59"/>
      <c r="FV745" s="59"/>
      <c r="FW745" s="59"/>
      <c r="FX745" s="59"/>
      <c r="FY745" s="59"/>
      <c r="FZ745" s="59"/>
      <c r="GA745" s="59"/>
      <c r="GB745" s="59"/>
      <c r="GC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  <c r="BV746" s="59"/>
      <c r="BW746" s="59"/>
      <c r="BX746" s="59"/>
      <c r="BY746" s="59"/>
      <c r="BZ746" s="59"/>
      <c r="CA746" s="59"/>
      <c r="CB746" s="59"/>
      <c r="CC746" s="59"/>
      <c r="CD746" s="59"/>
      <c r="CE746" s="59"/>
      <c r="CF746" s="59"/>
      <c r="CG746" s="59"/>
      <c r="CH746" s="59"/>
      <c r="CI746" s="59"/>
      <c r="CJ746" s="59"/>
      <c r="CK746" s="59"/>
      <c r="CL746" s="59"/>
      <c r="CM746" s="59"/>
      <c r="CN746" s="59"/>
      <c r="CO746" s="59"/>
      <c r="CP746" s="59"/>
      <c r="CQ746" s="59"/>
      <c r="CR746" s="59"/>
      <c r="CS746" s="59"/>
      <c r="CT746" s="59"/>
      <c r="CU746" s="59"/>
      <c r="CV746" s="59"/>
      <c r="CW746" s="59"/>
      <c r="CX746" s="59"/>
      <c r="CY746" s="59"/>
      <c r="CZ746" s="59"/>
      <c r="DA746" s="59"/>
      <c r="DB746" s="59"/>
      <c r="DC746" s="59"/>
      <c r="DD746" s="59"/>
      <c r="DE746" s="59"/>
      <c r="DF746" s="59"/>
      <c r="DG746" s="59"/>
      <c r="DH746" s="59"/>
      <c r="DI746" s="59"/>
      <c r="DJ746" s="59"/>
      <c r="DK746" s="59"/>
      <c r="DL746" s="59"/>
      <c r="DM746" s="59"/>
      <c r="DN746" s="59"/>
      <c r="DO746" s="59"/>
      <c r="DP746" s="59"/>
      <c r="DQ746" s="59"/>
      <c r="DR746" s="59"/>
      <c r="DS746" s="59"/>
      <c r="DT746" s="59"/>
      <c r="DU746" s="59"/>
      <c r="DV746" s="59"/>
      <c r="DW746" s="59"/>
      <c r="DX746" s="59"/>
      <c r="DY746" s="59"/>
      <c r="DZ746" s="59"/>
      <c r="EA746" s="59"/>
      <c r="EB746" s="59"/>
      <c r="EC746" s="59"/>
      <c r="ED746" s="59"/>
      <c r="EE746" s="59"/>
      <c r="EF746" s="59"/>
      <c r="EG746" s="59"/>
      <c r="EH746" s="59"/>
      <c r="EI746" s="59"/>
      <c r="EJ746" s="59"/>
      <c r="EK746" s="59"/>
      <c r="EL746" s="59"/>
      <c r="EM746" s="59"/>
      <c r="EN746" s="59"/>
      <c r="EO746" s="59"/>
      <c r="EP746" s="59"/>
      <c r="EQ746" s="59"/>
      <c r="ER746" s="59"/>
      <c r="ES746" s="59"/>
      <c r="ET746" s="59"/>
      <c r="EU746" s="59"/>
      <c r="EV746" s="59"/>
      <c r="EW746" s="59"/>
      <c r="EX746" s="59"/>
      <c r="EY746" s="59"/>
      <c r="EZ746" s="59"/>
      <c r="FA746" s="59"/>
      <c r="FB746" s="59"/>
      <c r="FC746" s="59"/>
      <c r="FD746" s="59"/>
      <c r="FE746" s="59"/>
      <c r="FF746" s="59"/>
      <c r="FG746" s="59"/>
      <c r="FH746" s="59"/>
      <c r="FI746" s="59"/>
      <c r="FJ746" s="59"/>
      <c r="FK746" s="59"/>
      <c r="FL746" s="59"/>
      <c r="FM746" s="59"/>
      <c r="FN746" s="59"/>
      <c r="FO746" s="59"/>
      <c r="FP746" s="59"/>
      <c r="FQ746" s="59"/>
      <c r="FR746" s="59"/>
      <c r="FS746" s="59"/>
      <c r="FT746" s="59"/>
      <c r="FU746" s="59"/>
      <c r="FV746" s="59"/>
      <c r="FW746" s="59"/>
      <c r="FX746" s="59"/>
      <c r="FY746" s="59"/>
      <c r="FZ746" s="59"/>
      <c r="GA746" s="59"/>
      <c r="GB746" s="59"/>
      <c r="GC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  <c r="BV747" s="59"/>
      <c r="BW747" s="59"/>
      <c r="BX747" s="59"/>
      <c r="BY747" s="59"/>
      <c r="BZ747" s="59"/>
      <c r="CA747" s="59"/>
      <c r="CB747" s="59"/>
      <c r="CC747" s="59"/>
      <c r="CD747" s="59"/>
      <c r="CE747" s="59"/>
      <c r="CF747" s="59"/>
      <c r="CG747" s="59"/>
      <c r="CH747" s="59"/>
      <c r="CI747" s="59"/>
      <c r="CJ747" s="59"/>
      <c r="CK747" s="59"/>
      <c r="CL747" s="59"/>
      <c r="CM747" s="59"/>
      <c r="CN747" s="59"/>
      <c r="CO747" s="59"/>
      <c r="CP747" s="59"/>
      <c r="CQ747" s="59"/>
      <c r="CR747" s="59"/>
      <c r="CS747" s="59"/>
      <c r="CT747" s="59"/>
      <c r="CU747" s="59"/>
      <c r="CV747" s="59"/>
      <c r="CW747" s="59"/>
      <c r="CX747" s="59"/>
      <c r="CY747" s="59"/>
      <c r="CZ747" s="59"/>
      <c r="DA747" s="59"/>
      <c r="DB747" s="59"/>
      <c r="DC747" s="59"/>
      <c r="DD747" s="59"/>
      <c r="DE747" s="59"/>
      <c r="DF747" s="59"/>
      <c r="DG747" s="59"/>
      <c r="DH747" s="59"/>
      <c r="DI747" s="59"/>
      <c r="DJ747" s="59"/>
      <c r="DK747" s="59"/>
      <c r="DL747" s="59"/>
      <c r="DM747" s="59"/>
      <c r="DN747" s="59"/>
      <c r="DO747" s="59"/>
      <c r="DP747" s="59"/>
      <c r="DQ747" s="59"/>
      <c r="DR747" s="59"/>
      <c r="DS747" s="59"/>
      <c r="DT747" s="59"/>
      <c r="DU747" s="59"/>
      <c r="DV747" s="59"/>
      <c r="DW747" s="59"/>
      <c r="DX747" s="59"/>
      <c r="DY747" s="59"/>
      <c r="DZ747" s="59"/>
      <c r="EA747" s="59"/>
      <c r="EB747" s="59"/>
      <c r="EC747" s="59"/>
      <c r="ED747" s="59"/>
      <c r="EE747" s="59"/>
      <c r="EF747" s="59"/>
      <c r="EG747" s="59"/>
      <c r="EH747" s="59"/>
      <c r="EI747" s="59"/>
      <c r="EJ747" s="59"/>
      <c r="EK747" s="59"/>
      <c r="EL747" s="59"/>
      <c r="EM747" s="59"/>
      <c r="EN747" s="59"/>
      <c r="EO747" s="59"/>
      <c r="EP747" s="59"/>
      <c r="EQ747" s="59"/>
      <c r="ER747" s="59"/>
      <c r="ES747" s="59"/>
      <c r="ET747" s="59"/>
      <c r="EU747" s="59"/>
      <c r="EV747" s="59"/>
      <c r="EW747" s="59"/>
      <c r="EX747" s="59"/>
      <c r="EY747" s="59"/>
      <c r="EZ747" s="59"/>
      <c r="FA747" s="59"/>
      <c r="FB747" s="59"/>
      <c r="FC747" s="59"/>
      <c r="FD747" s="59"/>
      <c r="FE747" s="59"/>
      <c r="FF747" s="59"/>
      <c r="FG747" s="59"/>
      <c r="FH747" s="59"/>
      <c r="FI747" s="59"/>
      <c r="FJ747" s="59"/>
      <c r="FK747" s="59"/>
      <c r="FL747" s="59"/>
      <c r="FM747" s="59"/>
      <c r="FN747" s="59"/>
      <c r="FO747" s="59"/>
      <c r="FP747" s="59"/>
      <c r="FQ747" s="59"/>
      <c r="FR747" s="59"/>
      <c r="FS747" s="59"/>
      <c r="FT747" s="59"/>
      <c r="FU747" s="59"/>
      <c r="FV747" s="59"/>
      <c r="FW747" s="59"/>
      <c r="FX747" s="59"/>
      <c r="FY747" s="59"/>
      <c r="FZ747" s="59"/>
      <c r="GA747" s="59"/>
      <c r="GB747" s="59"/>
      <c r="GC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  <c r="BV748" s="59"/>
      <c r="BW748" s="59"/>
      <c r="BX748" s="59"/>
      <c r="BY748" s="59"/>
      <c r="BZ748" s="59"/>
      <c r="CA748" s="59"/>
      <c r="CB748" s="59"/>
      <c r="CC748" s="59"/>
      <c r="CD748" s="59"/>
      <c r="CE748" s="59"/>
      <c r="CF748" s="59"/>
      <c r="CG748" s="59"/>
      <c r="CH748" s="59"/>
      <c r="CI748" s="59"/>
      <c r="CJ748" s="59"/>
      <c r="CK748" s="59"/>
      <c r="CL748" s="59"/>
      <c r="CM748" s="59"/>
      <c r="CN748" s="59"/>
      <c r="CO748" s="59"/>
      <c r="CP748" s="59"/>
      <c r="CQ748" s="59"/>
      <c r="CR748" s="59"/>
      <c r="CS748" s="59"/>
      <c r="CT748" s="59"/>
      <c r="CU748" s="59"/>
      <c r="CV748" s="59"/>
      <c r="CW748" s="59"/>
      <c r="CX748" s="59"/>
      <c r="CY748" s="59"/>
      <c r="CZ748" s="59"/>
      <c r="DA748" s="59"/>
      <c r="DB748" s="59"/>
      <c r="DC748" s="59"/>
      <c r="DD748" s="59"/>
      <c r="DE748" s="59"/>
      <c r="DF748" s="59"/>
      <c r="DG748" s="59"/>
      <c r="DH748" s="59"/>
      <c r="DI748" s="59"/>
      <c r="DJ748" s="59"/>
      <c r="DK748" s="59"/>
      <c r="DL748" s="59"/>
      <c r="DM748" s="59"/>
      <c r="DN748" s="59"/>
      <c r="DO748" s="59"/>
      <c r="DP748" s="59"/>
      <c r="DQ748" s="59"/>
      <c r="DR748" s="59"/>
      <c r="DS748" s="59"/>
      <c r="DT748" s="59"/>
      <c r="DU748" s="59"/>
      <c r="DV748" s="59"/>
      <c r="DW748" s="59"/>
      <c r="DX748" s="59"/>
      <c r="DY748" s="59"/>
      <c r="DZ748" s="59"/>
      <c r="EA748" s="59"/>
      <c r="EB748" s="59"/>
      <c r="EC748" s="59"/>
      <c r="ED748" s="59"/>
      <c r="EE748" s="59"/>
      <c r="EF748" s="59"/>
      <c r="EG748" s="59"/>
      <c r="EH748" s="59"/>
      <c r="EI748" s="59"/>
      <c r="EJ748" s="59"/>
      <c r="EK748" s="59"/>
      <c r="EL748" s="59"/>
      <c r="EM748" s="59"/>
      <c r="EN748" s="59"/>
      <c r="EO748" s="59"/>
      <c r="EP748" s="59"/>
      <c r="EQ748" s="59"/>
      <c r="ER748" s="59"/>
      <c r="ES748" s="59"/>
      <c r="ET748" s="59"/>
      <c r="EU748" s="59"/>
      <c r="EV748" s="59"/>
      <c r="EW748" s="59"/>
      <c r="EX748" s="59"/>
      <c r="EY748" s="59"/>
      <c r="EZ748" s="59"/>
      <c r="FA748" s="59"/>
      <c r="FB748" s="59"/>
      <c r="FC748" s="59"/>
      <c r="FD748" s="59"/>
      <c r="FE748" s="59"/>
      <c r="FF748" s="59"/>
      <c r="FG748" s="59"/>
      <c r="FH748" s="59"/>
      <c r="FI748" s="59"/>
      <c r="FJ748" s="59"/>
      <c r="FK748" s="59"/>
      <c r="FL748" s="59"/>
      <c r="FM748" s="59"/>
      <c r="FN748" s="59"/>
      <c r="FO748" s="59"/>
      <c r="FP748" s="59"/>
      <c r="FQ748" s="59"/>
      <c r="FR748" s="59"/>
      <c r="FS748" s="59"/>
      <c r="FT748" s="59"/>
      <c r="FU748" s="59"/>
      <c r="FV748" s="59"/>
      <c r="FW748" s="59"/>
      <c r="FX748" s="59"/>
      <c r="FY748" s="59"/>
      <c r="FZ748" s="59"/>
      <c r="GA748" s="59"/>
      <c r="GB748" s="59"/>
      <c r="GC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  <c r="BV749" s="59"/>
      <c r="BW749" s="59"/>
      <c r="BX749" s="59"/>
      <c r="BY749" s="59"/>
      <c r="BZ749" s="59"/>
      <c r="CA749" s="59"/>
      <c r="CB749" s="59"/>
      <c r="CC749" s="59"/>
      <c r="CD749" s="59"/>
      <c r="CE749" s="59"/>
      <c r="CF749" s="59"/>
      <c r="CG749" s="59"/>
      <c r="CH749" s="59"/>
      <c r="CI749" s="59"/>
      <c r="CJ749" s="59"/>
      <c r="CK749" s="59"/>
      <c r="CL749" s="59"/>
      <c r="CM749" s="59"/>
      <c r="CN749" s="59"/>
      <c r="CO749" s="59"/>
      <c r="CP749" s="59"/>
      <c r="CQ749" s="59"/>
      <c r="CR749" s="59"/>
      <c r="CS749" s="59"/>
      <c r="CT749" s="59"/>
      <c r="CU749" s="59"/>
      <c r="CV749" s="59"/>
      <c r="CW749" s="59"/>
      <c r="CX749" s="59"/>
      <c r="CY749" s="59"/>
      <c r="CZ749" s="59"/>
      <c r="DA749" s="59"/>
      <c r="DB749" s="59"/>
      <c r="DC749" s="59"/>
      <c r="DD749" s="59"/>
      <c r="DE749" s="59"/>
      <c r="DF749" s="59"/>
      <c r="DG749" s="59"/>
      <c r="DH749" s="59"/>
      <c r="DI749" s="59"/>
      <c r="DJ749" s="59"/>
      <c r="DK749" s="59"/>
      <c r="DL749" s="59"/>
      <c r="DM749" s="59"/>
      <c r="DN749" s="59"/>
      <c r="DO749" s="59"/>
      <c r="DP749" s="59"/>
      <c r="DQ749" s="59"/>
      <c r="DR749" s="59"/>
      <c r="DS749" s="59"/>
      <c r="DT749" s="59"/>
      <c r="DU749" s="59"/>
      <c r="DV749" s="59"/>
      <c r="DW749" s="59"/>
      <c r="DX749" s="59"/>
      <c r="DY749" s="59"/>
      <c r="DZ749" s="59"/>
      <c r="EA749" s="59"/>
      <c r="EB749" s="59"/>
      <c r="EC749" s="59"/>
      <c r="ED749" s="59"/>
      <c r="EE749" s="59"/>
      <c r="EF749" s="59"/>
      <c r="EG749" s="59"/>
      <c r="EH749" s="59"/>
      <c r="EI749" s="59"/>
      <c r="EJ749" s="59"/>
      <c r="EK749" s="59"/>
      <c r="EL749" s="59"/>
      <c r="EM749" s="59"/>
      <c r="EN749" s="59"/>
      <c r="EO749" s="59"/>
      <c r="EP749" s="59"/>
      <c r="EQ749" s="59"/>
      <c r="ER749" s="59"/>
      <c r="ES749" s="59"/>
      <c r="ET749" s="59"/>
      <c r="EU749" s="59"/>
      <c r="EV749" s="59"/>
      <c r="EW749" s="59"/>
      <c r="EX749" s="59"/>
      <c r="EY749" s="59"/>
      <c r="EZ749" s="59"/>
      <c r="FA749" s="59"/>
      <c r="FB749" s="59"/>
      <c r="FC749" s="59"/>
      <c r="FD749" s="59"/>
      <c r="FE749" s="59"/>
      <c r="FF749" s="59"/>
      <c r="FG749" s="59"/>
      <c r="FH749" s="59"/>
      <c r="FI749" s="59"/>
      <c r="FJ749" s="59"/>
      <c r="FK749" s="59"/>
      <c r="FL749" s="59"/>
      <c r="FM749" s="59"/>
      <c r="FN749" s="59"/>
      <c r="FO749" s="59"/>
      <c r="FP749" s="59"/>
      <c r="FQ749" s="59"/>
      <c r="FR749" s="59"/>
      <c r="FS749" s="59"/>
      <c r="FT749" s="59"/>
      <c r="FU749" s="59"/>
      <c r="FV749" s="59"/>
      <c r="FW749" s="59"/>
      <c r="FX749" s="59"/>
      <c r="FY749" s="59"/>
      <c r="FZ749" s="59"/>
      <c r="GA749" s="59"/>
      <c r="GB749" s="59"/>
      <c r="GC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  <c r="BW750" s="59"/>
      <c r="BX750" s="59"/>
      <c r="BY750" s="59"/>
      <c r="BZ750" s="59"/>
      <c r="CA750" s="59"/>
      <c r="CB750" s="59"/>
      <c r="CC750" s="59"/>
      <c r="CD750" s="59"/>
      <c r="CE750" s="59"/>
      <c r="CF750" s="59"/>
      <c r="CG750" s="59"/>
      <c r="CH750" s="59"/>
      <c r="CI750" s="59"/>
      <c r="CJ750" s="59"/>
      <c r="CK750" s="59"/>
      <c r="CL750" s="59"/>
      <c r="CM750" s="59"/>
      <c r="CN750" s="59"/>
      <c r="CO750" s="59"/>
      <c r="CP750" s="59"/>
      <c r="CQ750" s="59"/>
      <c r="CR750" s="59"/>
      <c r="CS750" s="59"/>
      <c r="CT750" s="59"/>
      <c r="CU750" s="59"/>
      <c r="CV750" s="59"/>
      <c r="CW750" s="59"/>
      <c r="CX750" s="59"/>
      <c r="CY750" s="59"/>
      <c r="CZ750" s="59"/>
      <c r="DA750" s="59"/>
      <c r="DB750" s="59"/>
      <c r="DC750" s="59"/>
      <c r="DD750" s="59"/>
      <c r="DE750" s="59"/>
      <c r="DF750" s="59"/>
      <c r="DG750" s="59"/>
      <c r="DH750" s="59"/>
      <c r="DI750" s="59"/>
      <c r="DJ750" s="59"/>
      <c r="DK750" s="59"/>
      <c r="DL750" s="59"/>
      <c r="DM750" s="59"/>
      <c r="DN750" s="59"/>
      <c r="DO750" s="59"/>
      <c r="DP750" s="59"/>
      <c r="DQ750" s="59"/>
      <c r="DR750" s="59"/>
      <c r="DS750" s="59"/>
      <c r="DT750" s="59"/>
      <c r="DU750" s="59"/>
      <c r="DV750" s="59"/>
      <c r="DW750" s="59"/>
      <c r="DX750" s="59"/>
      <c r="DY750" s="59"/>
      <c r="DZ750" s="59"/>
      <c r="EA750" s="59"/>
      <c r="EB750" s="59"/>
      <c r="EC750" s="59"/>
      <c r="ED750" s="59"/>
      <c r="EE750" s="59"/>
      <c r="EF750" s="59"/>
      <c r="EG750" s="59"/>
      <c r="EH750" s="59"/>
      <c r="EI750" s="59"/>
      <c r="EJ750" s="59"/>
      <c r="EK750" s="59"/>
      <c r="EL750" s="59"/>
      <c r="EM750" s="59"/>
      <c r="EN750" s="59"/>
      <c r="EO750" s="59"/>
      <c r="EP750" s="59"/>
      <c r="EQ750" s="59"/>
      <c r="ER750" s="59"/>
      <c r="ES750" s="59"/>
      <c r="ET750" s="59"/>
      <c r="EU750" s="59"/>
      <c r="EV750" s="59"/>
      <c r="EW750" s="59"/>
      <c r="EX750" s="59"/>
      <c r="EY750" s="59"/>
      <c r="EZ750" s="59"/>
      <c r="FA750" s="59"/>
      <c r="FB750" s="59"/>
      <c r="FC750" s="59"/>
      <c r="FD750" s="59"/>
      <c r="FE750" s="59"/>
      <c r="FF750" s="59"/>
      <c r="FG750" s="59"/>
      <c r="FH750" s="59"/>
      <c r="FI750" s="59"/>
      <c r="FJ750" s="59"/>
      <c r="FK750" s="59"/>
      <c r="FL750" s="59"/>
      <c r="FM750" s="59"/>
      <c r="FN750" s="59"/>
      <c r="FO750" s="59"/>
      <c r="FP750" s="59"/>
      <c r="FQ750" s="59"/>
      <c r="FR750" s="59"/>
      <c r="FS750" s="59"/>
      <c r="FT750" s="59"/>
      <c r="FU750" s="59"/>
      <c r="FV750" s="59"/>
      <c r="FW750" s="59"/>
      <c r="FX750" s="59"/>
      <c r="FY750" s="59"/>
      <c r="FZ750" s="59"/>
      <c r="GA750" s="59"/>
      <c r="GB750" s="59"/>
      <c r="GC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  <c r="BW751" s="59"/>
      <c r="BX751" s="59"/>
      <c r="BY751" s="59"/>
      <c r="BZ751" s="59"/>
      <c r="CA751" s="59"/>
      <c r="CB751" s="59"/>
      <c r="CC751" s="59"/>
      <c r="CD751" s="59"/>
      <c r="CE751" s="59"/>
      <c r="CF751" s="59"/>
      <c r="CG751" s="59"/>
      <c r="CH751" s="59"/>
      <c r="CI751" s="59"/>
      <c r="CJ751" s="59"/>
      <c r="CK751" s="59"/>
      <c r="CL751" s="59"/>
      <c r="CM751" s="59"/>
      <c r="CN751" s="59"/>
      <c r="CO751" s="59"/>
      <c r="CP751" s="59"/>
      <c r="CQ751" s="59"/>
      <c r="CR751" s="59"/>
      <c r="CS751" s="59"/>
      <c r="CT751" s="59"/>
      <c r="CU751" s="59"/>
      <c r="CV751" s="59"/>
      <c r="CW751" s="59"/>
      <c r="CX751" s="59"/>
      <c r="CY751" s="59"/>
      <c r="CZ751" s="59"/>
      <c r="DA751" s="59"/>
      <c r="DB751" s="59"/>
      <c r="DC751" s="59"/>
      <c r="DD751" s="59"/>
      <c r="DE751" s="59"/>
      <c r="DF751" s="59"/>
      <c r="DG751" s="59"/>
      <c r="DH751" s="59"/>
      <c r="DI751" s="59"/>
      <c r="DJ751" s="59"/>
      <c r="DK751" s="59"/>
      <c r="DL751" s="59"/>
      <c r="DM751" s="59"/>
      <c r="DN751" s="59"/>
      <c r="DO751" s="59"/>
      <c r="DP751" s="59"/>
      <c r="DQ751" s="59"/>
      <c r="DR751" s="59"/>
      <c r="DS751" s="59"/>
      <c r="DT751" s="59"/>
      <c r="DU751" s="59"/>
      <c r="DV751" s="59"/>
      <c r="DW751" s="59"/>
      <c r="DX751" s="59"/>
      <c r="DY751" s="59"/>
      <c r="DZ751" s="59"/>
      <c r="EA751" s="59"/>
      <c r="EB751" s="59"/>
      <c r="EC751" s="59"/>
      <c r="ED751" s="59"/>
      <c r="EE751" s="59"/>
      <c r="EF751" s="59"/>
      <c r="EG751" s="59"/>
      <c r="EH751" s="59"/>
      <c r="EI751" s="59"/>
      <c r="EJ751" s="59"/>
      <c r="EK751" s="59"/>
      <c r="EL751" s="59"/>
      <c r="EM751" s="59"/>
      <c r="EN751" s="59"/>
      <c r="EO751" s="59"/>
      <c r="EP751" s="59"/>
      <c r="EQ751" s="59"/>
      <c r="ER751" s="59"/>
      <c r="ES751" s="59"/>
      <c r="ET751" s="59"/>
      <c r="EU751" s="59"/>
      <c r="EV751" s="59"/>
      <c r="EW751" s="59"/>
      <c r="EX751" s="59"/>
      <c r="EY751" s="59"/>
      <c r="EZ751" s="59"/>
      <c r="FA751" s="59"/>
      <c r="FB751" s="59"/>
      <c r="FC751" s="59"/>
      <c r="FD751" s="59"/>
      <c r="FE751" s="59"/>
      <c r="FF751" s="59"/>
      <c r="FG751" s="59"/>
      <c r="FH751" s="59"/>
      <c r="FI751" s="59"/>
      <c r="FJ751" s="59"/>
      <c r="FK751" s="59"/>
      <c r="FL751" s="59"/>
      <c r="FM751" s="59"/>
      <c r="FN751" s="59"/>
      <c r="FO751" s="59"/>
      <c r="FP751" s="59"/>
      <c r="FQ751" s="59"/>
      <c r="FR751" s="59"/>
      <c r="FS751" s="59"/>
      <c r="FT751" s="59"/>
      <c r="FU751" s="59"/>
      <c r="FV751" s="59"/>
      <c r="FW751" s="59"/>
      <c r="FX751" s="59"/>
      <c r="FY751" s="59"/>
      <c r="FZ751" s="59"/>
      <c r="GA751" s="59"/>
      <c r="GB751" s="59"/>
      <c r="GC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59"/>
      <c r="BX752" s="59"/>
      <c r="BY752" s="59"/>
      <c r="BZ752" s="59"/>
      <c r="CA752" s="59"/>
      <c r="CB752" s="59"/>
      <c r="CC752" s="59"/>
      <c r="CD752" s="59"/>
      <c r="CE752" s="59"/>
      <c r="CF752" s="59"/>
      <c r="CG752" s="59"/>
      <c r="CH752" s="59"/>
      <c r="CI752" s="59"/>
      <c r="CJ752" s="59"/>
      <c r="CK752" s="59"/>
      <c r="CL752" s="59"/>
      <c r="CM752" s="59"/>
      <c r="CN752" s="59"/>
      <c r="CO752" s="59"/>
      <c r="CP752" s="59"/>
      <c r="CQ752" s="59"/>
      <c r="CR752" s="59"/>
      <c r="CS752" s="59"/>
      <c r="CT752" s="59"/>
      <c r="CU752" s="59"/>
      <c r="CV752" s="59"/>
      <c r="CW752" s="59"/>
      <c r="CX752" s="59"/>
      <c r="CY752" s="59"/>
      <c r="CZ752" s="59"/>
      <c r="DA752" s="59"/>
      <c r="DB752" s="59"/>
      <c r="DC752" s="59"/>
      <c r="DD752" s="59"/>
      <c r="DE752" s="59"/>
      <c r="DF752" s="59"/>
      <c r="DG752" s="59"/>
      <c r="DH752" s="59"/>
      <c r="DI752" s="59"/>
      <c r="DJ752" s="59"/>
      <c r="DK752" s="59"/>
      <c r="DL752" s="59"/>
      <c r="DM752" s="59"/>
      <c r="DN752" s="59"/>
      <c r="DO752" s="59"/>
      <c r="DP752" s="59"/>
      <c r="DQ752" s="59"/>
      <c r="DR752" s="59"/>
      <c r="DS752" s="59"/>
      <c r="DT752" s="59"/>
      <c r="DU752" s="59"/>
      <c r="DV752" s="59"/>
      <c r="DW752" s="59"/>
      <c r="DX752" s="59"/>
      <c r="DY752" s="59"/>
      <c r="DZ752" s="59"/>
      <c r="EA752" s="59"/>
      <c r="EB752" s="59"/>
      <c r="EC752" s="59"/>
      <c r="ED752" s="59"/>
      <c r="EE752" s="59"/>
      <c r="EF752" s="59"/>
      <c r="EG752" s="59"/>
      <c r="EH752" s="59"/>
      <c r="EI752" s="59"/>
      <c r="EJ752" s="59"/>
      <c r="EK752" s="59"/>
      <c r="EL752" s="59"/>
      <c r="EM752" s="59"/>
      <c r="EN752" s="59"/>
      <c r="EO752" s="59"/>
      <c r="EP752" s="59"/>
      <c r="EQ752" s="59"/>
      <c r="ER752" s="59"/>
      <c r="ES752" s="59"/>
      <c r="ET752" s="59"/>
      <c r="EU752" s="59"/>
      <c r="EV752" s="59"/>
      <c r="EW752" s="59"/>
      <c r="EX752" s="59"/>
      <c r="EY752" s="59"/>
      <c r="EZ752" s="59"/>
      <c r="FA752" s="59"/>
      <c r="FB752" s="59"/>
      <c r="FC752" s="59"/>
      <c r="FD752" s="59"/>
      <c r="FE752" s="59"/>
      <c r="FF752" s="59"/>
      <c r="FG752" s="59"/>
      <c r="FH752" s="59"/>
      <c r="FI752" s="59"/>
      <c r="FJ752" s="59"/>
      <c r="FK752" s="59"/>
      <c r="FL752" s="59"/>
      <c r="FM752" s="59"/>
      <c r="FN752" s="59"/>
      <c r="FO752" s="59"/>
      <c r="FP752" s="59"/>
      <c r="FQ752" s="59"/>
      <c r="FR752" s="59"/>
      <c r="FS752" s="59"/>
      <c r="FT752" s="59"/>
      <c r="FU752" s="59"/>
      <c r="FV752" s="59"/>
      <c r="FW752" s="59"/>
      <c r="FX752" s="59"/>
      <c r="FY752" s="59"/>
      <c r="FZ752" s="59"/>
      <c r="GA752" s="59"/>
      <c r="GB752" s="59"/>
      <c r="GC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  <c r="BW753" s="59"/>
      <c r="BX753" s="59"/>
      <c r="BY753" s="59"/>
      <c r="BZ753" s="59"/>
      <c r="CA753" s="59"/>
      <c r="CB753" s="59"/>
      <c r="CC753" s="59"/>
      <c r="CD753" s="59"/>
      <c r="CE753" s="59"/>
      <c r="CF753" s="59"/>
      <c r="CG753" s="59"/>
      <c r="CH753" s="59"/>
      <c r="CI753" s="59"/>
      <c r="CJ753" s="59"/>
      <c r="CK753" s="59"/>
      <c r="CL753" s="59"/>
      <c r="CM753" s="59"/>
      <c r="CN753" s="59"/>
      <c r="CO753" s="59"/>
      <c r="CP753" s="59"/>
      <c r="CQ753" s="59"/>
      <c r="CR753" s="59"/>
      <c r="CS753" s="59"/>
      <c r="CT753" s="59"/>
      <c r="CU753" s="59"/>
      <c r="CV753" s="59"/>
      <c r="CW753" s="59"/>
      <c r="CX753" s="59"/>
      <c r="CY753" s="59"/>
      <c r="CZ753" s="59"/>
      <c r="DA753" s="59"/>
      <c r="DB753" s="59"/>
      <c r="DC753" s="59"/>
      <c r="DD753" s="59"/>
      <c r="DE753" s="59"/>
      <c r="DF753" s="59"/>
      <c r="DG753" s="59"/>
      <c r="DH753" s="59"/>
      <c r="DI753" s="59"/>
      <c r="DJ753" s="59"/>
      <c r="DK753" s="59"/>
      <c r="DL753" s="59"/>
      <c r="DM753" s="59"/>
      <c r="DN753" s="59"/>
      <c r="DO753" s="59"/>
      <c r="DP753" s="59"/>
      <c r="DQ753" s="59"/>
      <c r="DR753" s="59"/>
      <c r="DS753" s="59"/>
      <c r="DT753" s="59"/>
      <c r="DU753" s="59"/>
      <c r="DV753" s="59"/>
      <c r="DW753" s="59"/>
      <c r="DX753" s="59"/>
      <c r="DY753" s="59"/>
      <c r="DZ753" s="59"/>
      <c r="EA753" s="59"/>
      <c r="EB753" s="59"/>
      <c r="EC753" s="59"/>
      <c r="ED753" s="59"/>
      <c r="EE753" s="59"/>
      <c r="EF753" s="59"/>
      <c r="EG753" s="59"/>
      <c r="EH753" s="59"/>
      <c r="EI753" s="59"/>
      <c r="EJ753" s="59"/>
      <c r="EK753" s="59"/>
      <c r="EL753" s="59"/>
      <c r="EM753" s="59"/>
      <c r="EN753" s="59"/>
      <c r="EO753" s="59"/>
      <c r="EP753" s="59"/>
      <c r="EQ753" s="59"/>
      <c r="ER753" s="59"/>
      <c r="ES753" s="59"/>
      <c r="ET753" s="59"/>
      <c r="EU753" s="59"/>
      <c r="EV753" s="59"/>
      <c r="EW753" s="59"/>
      <c r="EX753" s="59"/>
      <c r="EY753" s="59"/>
      <c r="EZ753" s="59"/>
      <c r="FA753" s="59"/>
      <c r="FB753" s="59"/>
      <c r="FC753" s="59"/>
      <c r="FD753" s="59"/>
      <c r="FE753" s="59"/>
      <c r="FF753" s="59"/>
      <c r="FG753" s="59"/>
      <c r="FH753" s="59"/>
      <c r="FI753" s="59"/>
      <c r="FJ753" s="59"/>
      <c r="FK753" s="59"/>
      <c r="FL753" s="59"/>
      <c r="FM753" s="59"/>
      <c r="FN753" s="59"/>
      <c r="FO753" s="59"/>
      <c r="FP753" s="59"/>
      <c r="FQ753" s="59"/>
      <c r="FR753" s="59"/>
      <c r="FS753" s="59"/>
      <c r="FT753" s="59"/>
      <c r="FU753" s="59"/>
      <c r="FV753" s="59"/>
      <c r="FW753" s="59"/>
      <c r="FX753" s="59"/>
      <c r="FY753" s="59"/>
      <c r="FZ753" s="59"/>
      <c r="GA753" s="59"/>
      <c r="GB753" s="59"/>
      <c r="GC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  <c r="BW754" s="59"/>
      <c r="BX754" s="59"/>
      <c r="BY754" s="59"/>
      <c r="BZ754" s="59"/>
      <c r="CA754" s="59"/>
      <c r="CB754" s="59"/>
      <c r="CC754" s="59"/>
      <c r="CD754" s="59"/>
      <c r="CE754" s="59"/>
      <c r="CF754" s="59"/>
      <c r="CG754" s="59"/>
      <c r="CH754" s="59"/>
      <c r="CI754" s="59"/>
      <c r="CJ754" s="59"/>
      <c r="CK754" s="59"/>
      <c r="CL754" s="59"/>
      <c r="CM754" s="59"/>
      <c r="CN754" s="59"/>
      <c r="CO754" s="59"/>
      <c r="CP754" s="59"/>
      <c r="CQ754" s="59"/>
      <c r="CR754" s="59"/>
      <c r="CS754" s="59"/>
      <c r="CT754" s="59"/>
      <c r="CU754" s="59"/>
      <c r="CV754" s="59"/>
      <c r="CW754" s="59"/>
      <c r="CX754" s="59"/>
      <c r="CY754" s="59"/>
      <c r="CZ754" s="59"/>
      <c r="DA754" s="59"/>
      <c r="DB754" s="59"/>
      <c r="DC754" s="59"/>
      <c r="DD754" s="59"/>
      <c r="DE754" s="59"/>
      <c r="DF754" s="59"/>
      <c r="DG754" s="59"/>
      <c r="DH754" s="59"/>
      <c r="DI754" s="59"/>
      <c r="DJ754" s="59"/>
      <c r="DK754" s="59"/>
      <c r="DL754" s="59"/>
      <c r="DM754" s="59"/>
      <c r="DN754" s="59"/>
      <c r="DO754" s="59"/>
      <c r="DP754" s="59"/>
      <c r="DQ754" s="59"/>
      <c r="DR754" s="59"/>
      <c r="DS754" s="59"/>
      <c r="DT754" s="59"/>
      <c r="DU754" s="59"/>
      <c r="DV754" s="59"/>
      <c r="DW754" s="59"/>
      <c r="DX754" s="59"/>
      <c r="DY754" s="59"/>
      <c r="DZ754" s="59"/>
      <c r="EA754" s="59"/>
      <c r="EB754" s="59"/>
      <c r="EC754" s="59"/>
      <c r="ED754" s="59"/>
      <c r="EE754" s="59"/>
      <c r="EF754" s="59"/>
      <c r="EG754" s="59"/>
      <c r="EH754" s="59"/>
      <c r="EI754" s="59"/>
      <c r="EJ754" s="59"/>
      <c r="EK754" s="59"/>
      <c r="EL754" s="59"/>
      <c r="EM754" s="59"/>
      <c r="EN754" s="59"/>
      <c r="EO754" s="59"/>
      <c r="EP754" s="59"/>
      <c r="EQ754" s="59"/>
      <c r="ER754" s="59"/>
      <c r="ES754" s="59"/>
      <c r="ET754" s="59"/>
      <c r="EU754" s="59"/>
      <c r="EV754" s="59"/>
      <c r="EW754" s="59"/>
      <c r="EX754" s="59"/>
      <c r="EY754" s="59"/>
      <c r="EZ754" s="59"/>
      <c r="FA754" s="59"/>
      <c r="FB754" s="59"/>
      <c r="FC754" s="59"/>
      <c r="FD754" s="59"/>
      <c r="FE754" s="59"/>
      <c r="FF754" s="59"/>
      <c r="FG754" s="59"/>
      <c r="FH754" s="59"/>
      <c r="FI754" s="59"/>
      <c r="FJ754" s="59"/>
      <c r="FK754" s="59"/>
      <c r="FL754" s="59"/>
      <c r="FM754" s="59"/>
      <c r="FN754" s="59"/>
      <c r="FO754" s="59"/>
      <c r="FP754" s="59"/>
      <c r="FQ754" s="59"/>
      <c r="FR754" s="59"/>
      <c r="FS754" s="59"/>
      <c r="FT754" s="59"/>
      <c r="FU754" s="59"/>
      <c r="FV754" s="59"/>
      <c r="FW754" s="59"/>
      <c r="FX754" s="59"/>
      <c r="FY754" s="59"/>
      <c r="FZ754" s="59"/>
      <c r="GA754" s="59"/>
      <c r="GB754" s="59"/>
      <c r="GC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  <c r="BV755" s="59"/>
      <c r="BW755" s="59"/>
      <c r="BX755" s="59"/>
      <c r="BY755" s="59"/>
      <c r="BZ755" s="59"/>
      <c r="CA755" s="59"/>
      <c r="CB755" s="59"/>
      <c r="CC755" s="59"/>
      <c r="CD755" s="59"/>
      <c r="CE755" s="59"/>
      <c r="CF755" s="59"/>
      <c r="CG755" s="59"/>
      <c r="CH755" s="59"/>
      <c r="CI755" s="59"/>
      <c r="CJ755" s="59"/>
      <c r="CK755" s="59"/>
      <c r="CL755" s="59"/>
      <c r="CM755" s="59"/>
      <c r="CN755" s="59"/>
      <c r="CO755" s="59"/>
      <c r="CP755" s="59"/>
      <c r="CQ755" s="59"/>
      <c r="CR755" s="59"/>
      <c r="CS755" s="59"/>
      <c r="CT755" s="59"/>
      <c r="CU755" s="59"/>
      <c r="CV755" s="59"/>
      <c r="CW755" s="59"/>
      <c r="CX755" s="59"/>
      <c r="CY755" s="59"/>
      <c r="CZ755" s="59"/>
      <c r="DA755" s="59"/>
      <c r="DB755" s="59"/>
      <c r="DC755" s="59"/>
      <c r="DD755" s="59"/>
      <c r="DE755" s="59"/>
      <c r="DF755" s="59"/>
      <c r="DG755" s="59"/>
      <c r="DH755" s="59"/>
      <c r="DI755" s="59"/>
      <c r="DJ755" s="59"/>
      <c r="DK755" s="59"/>
      <c r="DL755" s="59"/>
      <c r="DM755" s="59"/>
      <c r="DN755" s="59"/>
      <c r="DO755" s="59"/>
      <c r="DP755" s="59"/>
      <c r="DQ755" s="59"/>
      <c r="DR755" s="59"/>
      <c r="DS755" s="59"/>
      <c r="DT755" s="59"/>
      <c r="DU755" s="59"/>
      <c r="DV755" s="59"/>
      <c r="DW755" s="59"/>
      <c r="DX755" s="59"/>
      <c r="DY755" s="59"/>
      <c r="DZ755" s="59"/>
      <c r="EA755" s="59"/>
      <c r="EB755" s="59"/>
      <c r="EC755" s="59"/>
      <c r="ED755" s="59"/>
      <c r="EE755" s="59"/>
      <c r="EF755" s="59"/>
      <c r="EG755" s="59"/>
      <c r="EH755" s="59"/>
      <c r="EI755" s="59"/>
      <c r="EJ755" s="59"/>
      <c r="EK755" s="59"/>
      <c r="EL755" s="59"/>
      <c r="EM755" s="59"/>
      <c r="EN755" s="59"/>
      <c r="EO755" s="59"/>
      <c r="EP755" s="59"/>
      <c r="EQ755" s="59"/>
      <c r="ER755" s="59"/>
      <c r="ES755" s="59"/>
      <c r="ET755" s="59"/>
      <c r="EU755" s="59"/>
      <c r="EV755" s="59"/>
      <c r="EW755" s="59"/>
      <c r="EX755" s="59"/>
      <c r="EY755" s="59"/>
      <c r="EZ755" s="59"/>
      <c r="FA755" s="59"/>
      <c r="FB755" s="59"/>
      <c r="FC755" s="59"/>
      <c r="FD755" s="59"/>
      <c r="FE755" s="59"/>
      <c r="FF755" s="59"/>
      <c r="FG755" s="59"/>
      <c r="FH755" s="59"/>
      <c r="FI755" s="59"/>
      <c r="FJ755" s="59"/>
      <c r="FK755" s="59"/>
      <c r="FL755" s="59"/>
      <c r="FM755" s="59"/>
      <c r="FN755" s="59"/>
      <c r="FO755" s="59"/>
      <c r="FP755" s="59"/>
      <c r="FQ755" s="59"/>
      <c r="FR755" s="59"/>
      <c r="FS755" s="59"/>
      <c r="FT755" s="59"/>
      <c r="FU755" s="59"/>
      <c r="FV755" s="59"/>
      <c r="FW755" s="59"/>
      <c r="FX755" s="59"/>
      <c r="FY755" s="59"/>
      <c r="FZ755" s="59"/>
      <c r="GA755" s="59"/>
      <c r="GB755" s="59"/>
      <c r="GC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  <c r="BV756" s="59"/>
      <c r="BW756" s="59"/>
      <c r="BX756" s="59"/>
      <c r="BY756" s="59"/>
      <c r="BZ756" s="59"/>
      <c r="CA756" s="59"/>
      <c r="CB756" s="59"/>
      <c r="CC756" s="59"/>
      <c r="CD756" s="59"/>
      <c r="CE756" s="59"/>
      <c r="CF756" s="59"/>
      <c r="CG756" s="59"/>
      <c r="CH756" s="59"/>
      <c r="CI756" s="59"/>
      <c r="CJ756" s="59"/>
      <c r="CK756" s="59"/>
      <c r="CL756" s="59"/>
      <c r="CM756" s="59"/>
      <c r="CN756" s="59"/>
      <c r="CO756" s="59"/>
      <c r="CP756" s="59"/>
      <c r="CQ756" s="59"/>
      <c r="CR756" s="59"/>
      <c r="CS756" s="59"/>
      <c r="CT756" s="59"/>
      <c r="CU756" s="59"/>
      <c r="CV756" s="59"/>
      <c r="CW756" s="59"/>
      <c r="CX756" s="59"/>
      <c r="CY756" s="59"/>
      <c r="CZ756" s="59"/>
      <c r="DA756" s="59"/>
      <c r="DB756" s="59"/>
      <c r="DC756" s="59"/>
      <c r="DD756" s="59"/>
      <c r="DE756" s="59"/>
      <c r="DF756" s="59"/>
      <c r="DG756" s="59"/>
      <c r="DH756" s="59"/>
      <c r="DI756" s="59"/>
      <c r="DJ756" s="59"/>
      <c r="DK756" s="59"/>
      <c r="DL756" s="59"/>
      <c r="DM756" s="59"/>
      <c r="DN756" s="59"/>
      <c r="DO756" s="59"/>
      <c r="DP756" s="59"/>
      <c r="DQ756" s="59"/>
      <c r="DR756" s="59"/>
      <c r="DS756" s="59"/>
      <c r="DT756" s="59"/>
      <c r="DU756" s="59"/>
      <c r="DV756" s="59"/>
      <c r="DW756" s="59"/>
      <c r="DX756" s="59"/>
      <c r="DY756" s="59"/>
      <c r="DZ756" s="59"/>
      <c r="EA756" s="59"/>
      <c r="EB756" s="59"/>
      <c r="EC756" s="59"/>
      <c r="ED756" s="59"/>
      <c r="EE756" s="59"/>
      <c r="EF756" s="59"/>
      <c r="EG756" s="59"/>
      <c r="EH756" s="59"/>
      <c r="EI756" s="59"/>
      <c r="EJ756" s="59"/>
      <c r="EK756" s="59"/>
      <c r="EL756" s="59"/>
      <c r="EM756" s="59"/>
      <c r="EN756" s="59"/>
      <c r="EO756" s="59"/>
      <c r="EP756" s="59"/>
      <c r="EQ756" s="59"/>
      <c r="ER756" s="59"/>
      <c r="ES756" s="59"/>
      <c r="ET756" s="59"/>
      <c r="EU756" s="59"/>
      <c r="EV756" s="59"/>
      <c r="EW756" s="59"/>
      <c r="EX756" s="59"/>
      <c r="EY756" s="59"/>
      <c r="EZ756" s="59"/>
      <c r="FA756" s="59"/>
      <c r="FB756" s="59"/>
      <c r="FC756" s="59"/>
      <c r="FD756" s="59"/>
      <c r="FE756" s="59"/>
      <c r="FF756" s="59"/>
      <c r="FG756" s="59"/>
      <c r="FH756" s="59"/>
      <c r="FI756" s="59"/>
      <c r="FJ756" s="59"/>
      <c r="FK756" s="59"/>
      <c r="FL756" s="59"/>
      <c r="FM756" s="59"/>
      <c r="FN756" s="59"/>
      <c r="FO756" s="59"/>
      <c r="FP756" s="59"/>
      <c r="FQ756" s="59"/>
      <c r="FR756" s="59"/>
      <c r="FS756" s="59"/>
      <c r="FT756" s="59"/>
      <c r="FU756" s="59"/>
      <c r="FV756" s="59"/>
      <c r="FW756" s="59"/>
      <c r="FX756" s="59"/>
      <c r="FY756" s="59"/>
      <c r="FZ756" s="59"/>
      <c r="GA756" s="59"/>
      <c r="GB756" s="59"/>
      <c r="GC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59"/>
      <c r="BX757" s="59"/>
      <c r="BY757" s="59"/>
      <c r="BZ757" s="59"/>
      <c r="CA757" s="59"/>
      <c r="CB757" s="59"/>
      <c r="CC757" s="59"/>
      <c r="CD757" s="59"/>
      <c r="CE757" s="59"/>
      <c r="CF757" s="59"/>
      <c r="CG757" s="59"/>
      <c r="CH757" s="59"/>
      <c r="CI757" s="59"/>
      <c r="CJ757" s="59"/>
      <c r="CK757" s="59"/>
      <c r="CL757" s="59"/>
      <c r="CM757" s="59"/>
      <c r="CN757" s="59"/>
      <c r="CO757" s="59"/>
      <c r="CP757" s="59"/>
      <c r="CQ757" s="59"/>
      <c r="CR757" s="59"/>
      <c r="CS757" s="59"/>
      <c r="CT757" s="59"/>
      <c r="CU757" s="59"/>
      <c r="CV757" s="59"/>
      <c r="CW757" s="59"/>
      <c r="CX757" s="59"/>
      <c r="CY757" s="59"/>
      <c r="CZ757" s="59"/>
      <c r="DA757" s="59"/>
      <c r="DB757" s="59"/>
      <c r="DC757" s="59"/>
      <c r="DD757" s="59"/>
      <c r="DE757" s="59"/>
      <c r="DF757" s="59"/>
      <c r="DG757" s="59"/>
      <c r="DH757" s="59"/>
      <c r="DI757" s="59"/>
      <c r="DJ757" s="59"/>
      <c r="DK757" s="59"/>
      <c r="DL757" s="59"/>
      <c r="DM757" s="59"/>
      <c r="DN757" s="59"/>
      <c r="DO757" s="59"/>
      <c r="DP757" s="59"/>
      <c r="DQ757" s="59"/>
      <c r="DR757" s="59"/>
      <c r="DS757" s="59"/>
      <c r="DT757" s="59"/>
      <c r="DU757" s="59"/>
      <c r="DV757" s="59"/>
      <c r="DW757" s="59"/>
      <c r="DX757" s="59"/>
      <c r="DY757" s="59"/>
      <c r="DZ757" s="59"/>
      <c r="EA757" s="59"/>
      <c r="EB757" s="59"/>
      <c r="EC757" s="59"/>
      <c r="ED757" s="59"/>
      <c r="EE757" s="59"/>
      <c r="EF757" s="59"/>
      <c r="EG757" s="59"/>
      <c r="EH757" s="59"/>
      <c r="EI757" s="59"/>
      <c r="EJ757" s="59"/>
      <c r="EK757" s="59"/>
      <c r="EL757" s="59"/>
      <c r="EM757" s="59"/>
      <c r="EN757" s="59"/>
      <c r="EO757" s="59"/>
      <c r="EP757" s="59"/>
      <c r="EQ757" s="59"/>
      <c r="ER757" s="59"/>
      <c r="ES757" s="59"/>
      <c r="ET757" s="59"/>
      <c r="EU757" s="59"/>
      <c r="EV757" s="59"/>
      <c r="EW757" s="59"/>
      <c r="EX757" s="59"/>
      <c r="EY757" s="59"/>
      <c r="EZ757" s="59"/>
      <c r="FA757" s="59"/>
      <c r="FB757" s="59"/>
      <c r="FC757" s="59"/>
      <c r="FD757" s="59"/>
      <c r="FE757" s="59"/>
      <c r="FF757" s="59"/>
      <c r="FG757" s="59"/>
      <c r="FH757" s="59"/>
      <c r="FI757" s="59"/>
      <c r="FJ757" s="59"/>
      <c r="FK757" s="59"/>
      <c r="FL757" s="59"/>
      <c r="FM757" s="59"/>
      <c r="FN757" s="59"/>
      <c r="FO757" s="59"/>
      <c r="FP757" s="59"/>
      <c r="FQ757" s="59"/>
      <c r="FR757" s="59"/>
      <c r="FS757" s="59"/>
      <c r="FT757" s="59"/>
      <c r="FU757" s="59"/>
      <c r="FV757" s="59"/>
      <c r="FW757" s="59"/>
      <c r="FX757" s="59"/>
      <c r="FY757" s="59"/>
      <c r="FZ757" s="59"/>
      <c r="GA757" s="59"/>
      <c r="GB757" s="59"/>
      <c r="GC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  <c r="BV758" s="59"/>
      <c r="BW758" s="59"/>
      <c r="BX758" s="59"/>
      <c r="BY758" s="59"/>
      <c r="BZ758" s="59"/>
      <c r="CA758" s="59"/>
      <c r="CB758" s="59"/>
      <c r="CC758" s="59"/>
      <c r="CD758" s="59"/>
      <c r="CE758" s="59"/>
      <c r="CF758" s="59"/>
      <c r="CG758" s="59"/>
      <c r="CH758" s="59"/>
      <c r="CI758" s="59"/>
      <c r="CJ758" s="59"/>
      <c r="CK758" s="59"/>
      <c r="CL758" s="59"/>
      <c r="CM758" s="59"/>
      <c r="CN758" s="59"/>
      <c r="CO758" s="59"/>
      <c r="CP758" s="59"/>
      <c r="CQ758" s="59"/>
      <c r="CR758" s="59"/>
      <c r="CS758" s="59"/>
      <c r="CT758" s="59"/>
      <c r="CU758" s="59"/>
      <c r="CV758" s="59"/>
      <c r="CW758" s="59"/>
      <c r="CX758" s="59"/>
      <c r="CY758" s="59"/>
      <c r="CZ758" s="59"/>
      <c r="DA758" s="59"/>
      <c r="DB758" s="59"/>
      <c r="DC758" s="59"/>
      <c r="DD758" s="59"/>
      <c r="DE758" s="59"/>
      <c r="DF758" s="59"/>
      <c r="DG758" s="59"/>
      <c r="DH758" s="59"/>
      <c r="DI758" s="59"/>
      <c r="DJ758" s="59"/>
      <c r="DK758" s="59"/>
      <c r="DL758" s="59"/>
      <c r="DM758" s="59"/>
      <c r="DN758" s="59"/>
      <c r="DO758" s="59"/>
      <c r="DP758" s="59"/>
      <c r="DQ758" s="59"/>
      <c r="DR758" s="59"/>
      <c r="DS758" s="59"/>
      <c r="DT758" s="59"/>
      <c r="DU758" s="59"/>
      <c r="DV758" s="59"/>
      <c r="DW758" s="59"/>
      <c r="DX758" s="59"/>
      <c r="DY758" s="59"/>
      <c r="DZ758" s="59"/>
      <c r="EA758" s="59"/>
      <c r="EB758" s="59"/>
      <c r="EC758" s="59"/>
      <c r="ED758" s="59"/>
      <c r="EE758" s="59"/>
      <c r="EF758" s="59"/>
      <c r="EG758" s="59"/>
      <c r="EH758" s="59"/>
      <c r="EI758" s="59"/>
      <c r="EJ758" s="59"/>
      <c r="EK758" s="59"/>
      <c r="EL758" s="59"/>
      <c r="EM758" s="59"/>
      <c r="EN758" s="59"/>
      <c r="EO758" s="59"/>
      <c r="EP758" s="59"/>
      <c r="EQ758" s="59"/>
      <c r="ER758" s="59"/>
      <c r="ES758" s="59"/>
      <c r="ET758" s="59"/>
      <c r="EU758" s="59"/>
      <c r="EV758" s="59"/>
      <c r="EW758" s="59"/>
      <c r="EX758" s="59"/>
      <c r="EY758" s="59"/>
      <c r="EZ758" s="59"/>
      <c r="FA758" s="59"/>
      <c r="FB758" s="59"/>
      <c r="FC758" s="59"/>
      <c r="FD758" s="59"/>
      <c r="FE758" s="59"/>
      <c r="FF758" s="59"/>
      <c r="FG758" s="59"/>
      <c r="FH758" s="59"/>
      <c r="FI758" s="59"/>
      <c r="FJ758" s="59"/>
      <c r="FK758" s="59"/>
      <c r="FL758" s="59"/>
      <c r="FM758" s="59"/>
      <c r="FN758" s="59"/>
      <c r="FO758" s="59"/>
      <c r="FP758" s="59"/>
      <c r="FQ758" s="59"/>
      <c r="FR758" s="59"/>
      <c r="FS758" s="59"/>
      <c r="FT758" s="59"/>
      <c r="FU758" s="59"/>
      <c r="FV758" s="59"/>
      <c r="FW758" s="59"/>
      <c r="FX758" s="59"/>
      <c r="FY758" s="59"/>
      <c r="FZ758" s="59"/>
      <c r="GA758" s="59"/>
      <c r="GB758" s="59"/>
      <c r="GC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  <c r="BV759" s="59"/>
      <c r="BW759" s="59"/>
      <c r="BX759" s="59"/>
      <c r="BY759" s="59"/>
      <c r="BZ759" s="59"/>
      <c r="CA759" s="59"/>
      <c r="CB759" s="59"/>
      <c r="CC759" s="59"/>
      <c r="CD759" s="59"/>
      <c r="CE759" s="59"/>
      <c r="CF759" s="59"/>
      <c r="CG759" s="59"/>
      <c r="CH759" s="59"/>
      <c r="CI759" s="59"/>
      <c r="CJ759" s="59"/>
      <c r="CK759" s="59"/>
      <c r="CL759" s="59"/>
      <c r="CM759" s="59"/>
      <c r="CN759" s="59"/>
      <c r="CO759" s="59"/>
      <c r="CP759" s="59"/>
      <c r="CQ759" s="59"/>
      <c r="CR759" s="59"/>
      <c r="CS759" s="59"/>
      <c r="CT759" s="59"/>
      <c r="CU759" s="59"/>
      <c r="CV759" s="59"/>
      <c r="CW759" s="59"/>
      <c r="CX759" s="59"/>
      <c r="CY759" s="59"/>
      <c r="CZ759" s="59"/>
      <c r="DA759" s="59"/>
      <c r="DB759" s="59"/>
      <c r="DC759" s="59"/>
      <c r="DD759" s="59"/>
      <c r="DE759" s="59"/>
      <c r="DF759" s="59"/>
      <c r="DG759" s="59"/>
      <c r="DH759" s="59"/>
      <c r="DI759" s="59"/>
      <c r="DJ759" s="59"/>
      <c r="DK759" s="59"/>
      <c r="DL759" s="59"/>
      <c r="DM759" s="59"/>
      <c r="DN759" s="59"/>
      <c r="DO759" s="59"/>
      <c r="DP759" s="59"/>
      <c r="DQ759" s="59"/>
      <c r="DR759" s="59"/>
      <c r="DS759" s="59"/>
      <c r="DT759" s="59"/>
      <c r="DU759" s="59"/>
      <c r="DV759" s="59"/>
      <c r="DW759" s="59"/>
      <c r="DX759" s="59"/>
      <c r="DY759" s="59"/>
      <c r="DZ759" s="59"/>
      <c r="EA759" s="59"/>
      <c r="EB759" s="59"/>
      <c r="EC759" s="59"/>
      <c r="ED759" s="59"/>
      <c r="EE759" s="59"/>
      <c r="EF759" s="59"/>
      <c r="EG759" s="59"/>
      <c r="EH759" s="59"/>
      <c r="EI759" s="59"/>
      <c r="EJ759" s="59"/>
      <c r="EK759" s="59"/>
      <c r="EL759" s="59"/>
      <c r="EM759" s="59"/>
      <c r="EN759" s="59"/>
      <c r="EO759" s="59"/>
      <c r="EP759" s="59"/>
      <c r="EQ759" s="59"/>
      <c r="ER759" s="59"/>
      <c r="ES759" s="59"/>
      <c r="ET759" s="59"/>
      <c r="EU759" s="59"/>
      <c r="EV759" s="59"/>
      <c r="EW759" s="59"/>
      <c r="EX759" s="59"/>
      <c r="EY759" s="59"/>
      <c r="EZ759" s="59"/>
      <c r="FA759" s="59"/>
      <c r="FB759" s="59"/>
      <c r="FC759" s="59"/>
      <c r="FD759" s="59"/>
      <c r="FE759" s="59"/>
      <c r="FF759" s="59"/>
      <c r="FG759" s="59"/>
      <c r="FH759" s="59"/>
      <c r="FI759" s="59"/>
      <c r="FJ759" s="59"/>
      <c r="FK759" s="59"/>
      <c r="FL759" s="59"/>
      <c r="FM759" s="59"/>
      <c r="FN759" s="59"/>
      <c r="FO759" s="59"/>
      <c r="FP759" s="59"/>
      <c r="FQ759" s="59"/>
      <c r="FR759" s="59"/>
      <c r="FS759" s="59"/>
      <c r="FT759" s="59"/>
      <c r="FU759" s="59"/>
      <c r="FV759" s="59"/>
      <c r="FW759" s="59"/>
      <c r="FX759" s="59"/>
      <c r="FY759" s="59"/>
      <c r="FZ759" s="59"/>
      <c r="GA759" s="59"/>
      <c r="GB759" s="59"/>
      <c r="GC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  <c r="BV760" s="59"/>
      <c r="BW760" s="59"/>
      <c r="BX760" s="59"/>
      <c r="BY760" s="59"/>
      <c r="BZ760" s="59"/>
      <c r="CA760" s="59"/>
      <c r="CB760" s="59"/>
      <c r="CC760" s="59"/>
      <c r="CD760" s="59"/>
      <c r="CE760" s="59"/>
      <c r="CF760" s="59"/>
      <c r="CG760" s="59"/>
      <c r="CH760" s="59"/>
      <c r="CI760" s="59"/>
      <c r="CJ760" s="59"/>
      <c r="CK760" s="59"/>
      <c r="CL760" s="59"/>
      <c r="CM760" s="59"/>
      <c r="CN760" s="59"/>
      <c r="CO760" s="59"/>
      <c r="CP760" s="59"/>
      <c r="CQ760" s="59"/>
      <c r="CR760" s="59"/>
      <c r="CS760" s="59"/>
      <c r="CT760" s="59"/>
      <c r="CU760" s="59"/>
      <c r="CV760" s="59"/>
      <c r="CW760" s="59"/>
      <c r="CX760" s="59"/>
      <c r="CY760" s="59"/>
      <c r="CZ760" s="59"/>
      <c r="DA760" s="59"/>
      <c r="DB760" s="59"/>
      <c r="DC760" s="59"/>
      <c r="DD760" s="59"/>
      <c r="DE760" s="59"/>
      <c r="DF760" s="59"/>
      <c r="DG760" s="59"/>
      <c r="DH760" s="59"/>
      <c r="DI760" s="59"/>
      <c r="DJ760" s="59"/>
      <c r="DK760" s="59"/>
      <c r="DL760" s="59"/>
      <c r="DM760" s="59"/>
      <c r="DN760" s="59"/>
      <c r="DO760" s="59"/>
      <c r="DP760" s="59"/>
      <c r="DQ760" s="59"/>
      <c r="DR760" s="59"/>
      <c r="DS760" s="59"/>
      <c r="DT760" s="59"/>
      <c r="DU760" s="59"/>
      <c r="DV760" s="59"/>
      <c r="DW760" s="59"/>
      <c r="DX760" s="59"/>
      <c r="DY760" s="59"/>
      <c r="DZ760" s="59"/>
      <c r="EA760" s="59"/>
      <c r="EB760" s="59"/>
      <c r="EC760" s="59"/>
      <c r="ED760" s="59"/>
      <c r="EE760" s="59"/>
      <c r="EF760" s="59"/>
      <c r="EG760" s="59"/>
      <c r="EH760" s="59"/>
      <c r="EI760" s="59"/>
      <c r="EJ760" s="59"/>
      <c r="EK760" s="59"/>
      <c r="EL760" s="59"/>
      <c r="EM760" s="59"/>
      <c r="EN760" s="59"/>
      <c r="EO760" s="59"/>
      <c r="EP760" s="59"/>
      <c r="EQ760" s="59"/>
      <c r="ER760" s="59"/>
      <c r="ES760" s="59"/>
      <c r="ET760" s="59"/>
      <c r="EU760" s="59"/>
      <c r="EV760" s="59"/>
      <c r="EW760" s="59"/>
      <c r="EX760" s="59"/>
      <c r="EY760" s="59"/>
      <c r="EZ760" s="59"/>
      <c r="FA760" s="59"/>
      <c r="FB760" s="59"/>
      <c r="FC760" s="59"/>
      <c r="FD760" s="59"/>
      <c r="FE760" s="59"/>
      <c r="FF760" s="59"/>
      <c r="FG760" s="59"/>
      <c r="FH760" s="59"/>
      <c r="FI760" s="59"/>
      <c r="FJ760" s="59"/>
      <c r="FK760" s="59"/>
      <c r="FL760" s="59"/>
      <c r="FM760" s="59"/>
      <c r="FN760" s="59"/>
      <c r="FO760" s="59"/>
      <c r="FP760" s="59"/>
      <c r="FQ760" s="59"/>
      <c r="FR760" s="59"/>
      <c r="FS760" s="59"/>
      <c r="FT760" s="59"/>
      <c r="FU760" s="59"/>
      <c r="FV760" s="59"/>
      <c r="FW760" s="59"/>
      <c r="FX760" s="59"/>
      <c r="FY760" s="59"/>
      <c r="FZ760" s="59"/>
      <c r="GA760" s="59"/>
      <c r="GB760" s="59"/>
      <c r="GC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  <c r="BW761" s="59"/>
      <c r="BX761" s="59"/>
      <c r="BY761" s="59"/>
      <c r="BZ761" s="59"/>
      <c r="CA761" s="59"/>
      <c r="CB761" s="59"/>
      <c r="CC761" s="59"/>
      <c r="CD761" s="59"/>
      <c r="CE761" s="59"/>
      <c r="CF761" s="59"/>
      <c r="CG761" s="59"/>
      <c r="CH761" s="59"/>
      <c r="CI761" s="59"/>
      <c r="CJ761" s="59"/>
      <c r="CK761" s="59"/>
      <c r="CL761" s="59"/>
      <c r="CM761" s="59"/>
      <c r="CN761" s="59"/>
      <c r="CO761" s="59"/>
      <c r="CP761" s="59"/>
      <c r="CQ761" s="59"/>
      <c r="CR761" s="59"/>
      <c r="CS761" s="59"/>
      <c r="CT761" s="59"/>
      <c r="CU761" s="59"/>
      <c r="CV761" s="59"/>
      <c r="CW761" s="59"/>
      <c r="CX761" s="59"/>
      <c r="CY761" s="59"/>
      <c r="CZ761" s="59"/>
      <c r="DA761" s="59"/>
      <c r="DB761" s="59"/>
      <c r="DC761" s="59"/>
      <c r="DD761" s="59"/>
      <c r="DE761" s="59"/>
      <c r="DF761" s="59"/>
      <c r="DG761" s="59"/>
      <c r="DH761" s="59"/>
      <c r="DI761" s="59"/>
      <c r="DJ761" s="59"/>
      <c r="DK761" s="59"/>
      <c r="DL761" s="59"/>
      <c r="DM761" s="59"/>
      <c r="DN761" s="59"/>
      <c r="DO761" s="59"/>
      <c r="DP761" s="59"/>
      <c r="DQ761" s="59"/>
      <c r="DR761" s="59"/>
      <c r="DS761" s="59"/>
      <c r="DT761" s="59"/>
      <c r="DU761" s="59"/>
      <c r="DV761" s="59"/>
      <c r="DW761" s="59"/>
      <c r="DX761" s="59"/>
      <c r="DY761" s="59"/>
      <c r="DZ761" s="59"/>
      <c r="EA761" s="59"/>
      <c r="EB761" s="59"/>
      <c r="EC761" s="59"/>
      <c r="ED761" s="59"/>
      <c r="EE761" s="59"/>
      <c r="EF761" s="59"/>
      <c r="EG761" s="59"/>
      <c r="EH761" s="59"/>
      <c r="EI761" s="59"/>
      <c r="EJ761" s="59"/>
      <c r="EK761" s="59"/>
      <c r="EL761" s="59"/>
      <c r="EM761" s="59"/>
      <c r="EN761" s="59"/>
      <c r="EO761" s="59"/>
      <c r="EP761" s="59"/>
      <c r="EQ761" s="59"/>
      <c r="ER761" s="59"/>
      <c r="ES761" s="59"/>
      <c r="ET761" s="59"/>
      <c r="EU761" s="59"/>
      <c r="EV761" s="59"/>
      <c r="EW761" s="59"/>
      <c r="EX761" s="59"/>
      <c r="EY761" s="59"/>
      <c r="EZ761" s="59"/>
      <c r="FA761" s="59"/>
      <c r="FB761" s="59"/>
      <c r="FC761" s="59"/>
      <c r="FD761" s="59"/>
      <c r="FE761" s="59"/>
      <c r="FF761" s="59"/>
      <c r="FG761" s="59"/>
      <c r="FH761" s="59"/>
      <c r="FI761" s="59"/>
      <c r="FJ761" s="59"/>
      <c r="FK761" s="59"/>
      <c r="FL761" s="59"/>
      <c r="FM761" s="59"/>
      <c r="FN761" s="59"/>
      <c r="FO761" s="59"/>
      <c r="FP761" s="59"/>
      <c r="FQ761" s="59"/>
      <c r="FR761" s="59"/>
      <c r="FS761" s="59"/>
      <c r="FT761" s="59"/>
      <c r="FU761" s="59"/>
      <c r="FV761" s="59"/>
      <c r="FW761" s="59"/>
      <c r="FX761" s="59"/>
      <c r="FY761" s="59"/>
      <c r="FZ761" s="59"/>
      <c r="GA761" s="59"/>
      <c r="GB761" s="59"/>
      <c r="GC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  <c r="BW762" s="59"/>
      <c r="BX762" s="59"/>
      <c r="BY762" s="59"/>
      <c r="BZ762" s="59"/>
      <c r="CA762" s="59"/>
      <c r="CB762" s="59"/>
      <c r="CC762" s="59"/>
      <c r="CD762" s="59"/>
      <c r="CE762" s="59"/>
      <c r="CF762" s="59"/>
      <c r="CG762" s="59"/>
      <c r="CH762" s="59"/>
      <c r="CI762" s="59"/>
      <c r="CJ762" s="59"/>
      <c r="CK762" s="59"/>
      <c r="CL762" s="59"/>
      <c r="CM762" s="59"/>
      <c r="CN762" s="59"/>
      <c r="CO762" s="59"/>
      <c r="CP762" s="59"/>
      <c r="CQ762" s="59"/>
      <c r="CR762" s="59"/>
      <c r="CS762" s="59"/>
      <c r="CT762" s="59"/>
      <c r="CU762" s="59"/>
      <c r="CV762" s="59"/>
      <c r="CW762" s="59"/>
      <c r="CX762" s="59"/>
      <c r="CY762" s="59"/>
      <c r="CZ762" s="59"/>
      <c r="DA762" s="59"/>
      <c r="DB762" s="59"/>
      <c r="DC762" s="59"/>
      <c r="DD762" s="59"/>
      <c r="DE762" s="59"/>
      <c r="DF762" s="59"/>
      <c r="DG762" s="59"/>
      <c r="DH762" s="59"/>
      <c r="DI762" s="59"/>
      <c r="DJ762" s="59"/>
      <c r="DK762" s="59"/>
      <c r="DL762" s="59"/>
      <c r="DM762" s="59"/>
      <c r="DN762" s="59"/>
      <c r="DO762" s="59"/>
      <c r="DP762" s="59"/>
      <c r="DQ762" s="59"/>
      <c r="DR762" s="59"/>
      <c r="DS762" s="59"/>
      <c r="DT762" s="59"/>
      <c r="DU762" s="59"/>
      <c r="DV762" s="59"/>
      <c r="DW762" s="59"/>
      <c r="DX762" s="59"/>
      <c r="DY762" s="59"/>
      <c r="DZ762" s="59"/>
      <c r="EA762" s="59"/>
      <c r="EB762" s="59"/>
      <c r="EC762" s="59"/>
      <c r="ED762" s="59"/>
      <c r="EE762" s="59"/>
      <c r="EF762" s="59"/>
      <c r="EG762" s="59"/>
      <c r="EH762" s="59"/>
      <c r="EI762" s="59"/>
      <c r="EJ762" s="59"/>
      <c r="EK762" s="59"/>
      <c r="EL762" s="59"/>
      <c r="EM762" s="59"/>
      <c r="EN762" s="59"/>
      <c r="EO762" s="59"/>
      <c r="EP762" s="59"/>
      <c r="EQ762" s="59"/>
      <c r="ER762" s="59"/>
      <c r="ES762" s="59"/>
      <c r="ET762" s="59"/>
      <c r="EU762" s="59"/>
      <c r="EV762" s="59"/>
      <c r="EW762" s="59"/>
      <c r="EX762" s="59"/>
      <c r="EY762" s="59"/>
      <c r="EZ762" s="59"/>
      <c r="FA762" s="59"/>
      <c r="FB762" s="59"/>
      <c r="FC762" s="59"/>
      <c r="FD762" s="59"/>
      <c r="FE762" s="59"/>
      <c r="FF762" s="59"/>
      <c r="FG762" s="59"/>
      <c r="FH762" s="59"/>
      <c r="FI762" s="59"/>
      <c r="FJ762" s="59"/>
      <c r="FK762" s="59"/>
      <c r="FL762" s="59"/>
      <c r="FM762" s="59"/>
      <c r="FN762" s="59"/>
      <c r="FO762" s="59"/>
      <c r="FP762" s="59"/>
      <c r="FQ762" s="59"/>
      <c r="FR762" s="59"/>
      <c r="FS762" s="59"/>
      <c r="FT762" s="59"/>
      <c r="FU762" s="59"/>
      <c r="FV762" s="59"/>
      <c r="FW762" s="59"/>
      <c r="FX762" s="59"/>
      <c r="FY762" s="59"/>
      <c r="FZ762" s="59"/>
      <c r="GA762" s="59"/>
      <c r="GB762" s="59"/>
      <c r="GC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  <c r="BV763" s="59"/>
      <c r="BW763" s="59"/>
      <c r="BX763" s="59"/>
      <c r="BY763" s="59"/>
      <c r="BZ763" s="59"/>
      <c r="CA763" s="59"/>
      <c r="CB763" s="59"/>
      <c r="CC763" s="59"/>
      <c r="CD763" s="59"/>
      <c r="CE763" s="59"/>
      <c r="CF763" s="59"/>
      <c r="CG763" s="59"/>
      <c r="CH763" s="59"/>
      <c r="CI763" s="59"/>
      <c r="CJ763" s="59"/>
      <c r="CK763" s="59"/>
      <c r="CL763" s="59"/>
      <c r="CM763" s="59"/>
      <c r="CN763" s="59"/>
      <c r="CO763" s="59"/>
      <c r="CP763" s="59"/>
      <c r="CQ763" s="59"/>
      <c r="CR763" s="59"/>
      <c r="CS763" s="59"/>
      <c r="CT763" s="59"/>
      <c r="CU763" s="59"/>
      <c r="CV763" s="59"/>
      <c r="CW763" s="59"/>
      <c r="CX763" s="59"/>
      <c r="CY763" s="59"/>
      <c r="CZ763" s="59"/>
      <c r="DA763" s="59"/>
      <c r="DB763" s="59"/>
      <c r="DC763" s="59"/>
      <c r="DD763" s="59"/>
      <c r="DE763" s="59"/>
      <c r="DF763" s="59"/>
      <c r="DG763" s="59"/>
      <c r="DH763" s="59"/>
      <c r="DI763" s="59"/>
      <c r="DJ763" s="59"/>
      <c r="DK763" s="59"/>
      <c r="DL763" s="59"/>
      <c r="DM763" s="59"/>
      <c r="DN763" s="59"/>
      <c r="DO763" s="59"/>
      <c r="DP763" s="59"/>
      <c r="DQ763" s="59"/>
      <c r="DR763" s="59"/>
      <c r="DS763" s="59"/>
      <c r="DT763" s="59"/>
      <c r="DU763" s="59"/>
      <c r="DV763" s="59"/>
      <c r="DW763" s="59"/>
      <c r="DX763" s="59"/>
      <c r="DY763" s="59"/>
      <c r="DZ763" s="59"/>
      <c r="EA763" s="59"/>
      <c r="EB763" s="59"/>
      <c r="EC763" s="59"/>
      <c r="ED763" s="59"/>
      <c r="EE763" s="59"/>
      <c r="EF763" s="59"/>
      <c r="EG763" s="59"/>
      <c r="EH763" s="59"/>
      <c r="EI763" s="59"/>
      <c r="EJ763" s="59"/>
      <c r="EK763" s="59"/>
      <c r="EL763" s="59"/>
      <c r="EM763" s="59"/>
      <c r="EN763" s="59"/>
      <c r="EO763" s="59"/>
      <c r="EP763" s="59"/>
      <c r="EQ763" s="59"/>
      <c r="ER763" s="59"/>
      <c r="ES763" s="59"/>
      <c r="ET763" s="59"/>
      <c r="EU763" s="59"/>
      <c r="EV763" s="59"/>
      <c r="EW763" s="59"/>
      <c r="EX763" s="59"/>
      <c r="EY763" s="59"/>
      <c r="EZ763" s="59"/>
      <c r="FA763" s="59"/>
      <c r="FB763" s="59"/>
      <c r="FC763" s="59"/>
      <c r="FD763" s="59"/>
      <c r="FE763" s="59"/>
      <c r="FF763" s="59"/>
      <c r="FG763" s="59"/>
      <c r="FH763" s="59"/>
      <c r="FI763" s="59"/>
      <c r="FJ763" s="59"/>
      <c r="FK763" s="59"/>
      <c r="FL763" s="59"/>
      <c r="FM763" s="59"/>
      <c r="FN763" s="59"/>
      <c r="FO763" s="59"/>
      <c r="FP763" s="59"/>
      <c r="FQ763" s="59"/>
      <c r="FR763" s="59"/>
      <c r="FS763" s="59"/>
      <c r="FT763" s="59"/>
      <c r="FU763" s="59"/>
      <c r="FV763" s="59"/>
      <c r="FW763" s="59"/>
      <c r="FX763" s="59"/>
      <c r="FY763" s="59"/>
      <c r="FZ763" s="59"/>
      <c r="GA763" s="59"/>
      <c r="GB763" s="59"/>
      <c r="GC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  <c r="BW764" s="59"/>
      <c r="BX764" s="59"/>
      <c r="BY764" s="59"/>
      <c r="BZ764" s="59"/>
      <c r="CA764" s="59"/>
      <c r="CB764" s="59"/>
      <c r="CC764" s="59"/>
      <c r="CD764" s="59"/>
      <c r="CE764" s="59"/>
      <c r="CF764" s="59"/>
      <c r="CG764" s="59"/>
      <c r="CH764" s="59"/>
      <c r="CI764" s="59"/>
      <c r="CJ764" s="59"/>
      <c r="CK764" s="59"/>
      <c r="CL764" s="59"/>
      <c r="CM764" s="59"/>
      <c r="CN764" s="59"/>
      <c r="CO764" s="59"/>
      <c r="CP764" s="59"/>
      <c r="CQ764" s="59"/>
      <c r="CR764" s="59"/>
      <c r="CS764" s="59"/>
      <c r="CT764" s="59"/>
      <c r="CU764" s="59"/>
      <c r="CV764" s="59"/>
      <c r="CW764" s="59"/>
      <c r="CX764" s="59"/>
      <c r="CY764" s="59"/>
      <c r="CZ764" s="59"/>
      <c r="DA764" s="59"/>
      <c r="DB764" s="59"/>
      <c r="DC764" s="59"/>
      <c r="DD764" s="59"/>
      <c r="DE764" s="59"/>
      <c r="DF764" s="59"/>
      <c r="DG764" s="59"/>
      <c r="DH764" s="59"/>
      <c r="DI764" s="59"/>
      <c r="DJ764" s="59"/>
      <c r="DK764" s="59"/>
      <c r="DL764" s="59"/>
      <c r="DM764" s="59"/>
      <c r="DN764" s="59"/>
      <c r="DO764" s="59"/>
      <c r="DP764" s="59"/>
      <c r="DQ764" s="59"/>
      <c r="DR764" s="59"/>
      <c r="DS764" s="59"/>
      <c r="DT764" s="59"/>
      <c r="DU764" s="59"/>
      <c r="DV764" s="59"/>
      <c r="DW764" s="59"/>
      <c r="DX764" s="59"/>
      <c r="DY764" s="59"/>
      <c r="DZ764" s="59"/>
      <c r="EA764" s="59"/>
      <c r="EB764" s="59"/>
      <c r="EC764" s="59"/>
      <c r="ED764" s="59"/>
      <c r="EE764" s="59"/>
      <c r="EF764" s="59"/>
      <c r="EG764" s="59"/>
      <c r="EH764" s="59"/>
      <c r="EI764" s="59"/>
      <c r="EJ764" s="59"/>
      <c r="EK764" s="59"/>
      <c r="EL764" s="59"/>
      <c r="EM764" s="59"/>
      <c r="EN764" s="59"/>
      <c r="EO764" s="59"/>
      <c r="EP764" s="59"/>
      <c r="EQ764" s="59"/>
      <c r="ER764" s="59"/>
      <c r="ES764" s="59"/>
      <c r="ET764" s="59"/>
      <c r="EU764" s="59"/>
      <c r="EV764" s="59"/>
      <c r="EW764" s="59"/>
      <c r="EX764" s="59"/>
      <c r="EY764" s="59"/>
      <c r="EZ764" s="59"/>
      <c r="FA764" s="59"/>
      <c r="FB764" s="59"/>
      <c r="FC764" s="59"/>
      <c r="FD764" s="59"/>
      <c r="FE764" s="59"/>
      <c r="FF764" s="59"/>
      <c r="FG764" s="59"/>
      <c r="FH764" s="59"/>
      <c r="FI764" s="59"/>
      <c r="FJ764" s="59"/>
      <c r="FK764" s="59"/>
      <c r="FL764" s="59"/>
      <c r="FM764" s="59"/>
      <c r="FN764" s="59"/>
      <c r="FO764" s="59"/>
      <c r="FP764" s="59"/>
      <c r="FQ764" s="59"/>
      <c r="FR764" s="59"/>
      <c r="FS764" s="59"/>
      <c r="FT764" s="59"/>
      <c r="FU764" s="59"/>
      <c r="FV764" s="59"/>
      <c r="FW764" s="59"/>
      <c r="FX764" s="59"/>
      <c r="FY764" s="59"/>
      <c r="FZ764" s="59"/>
      <c r="GA764" s="59"/>
      <c r="GB764" s="59"/>
      <c r="GC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  <c r="BW765" s="59"/>
      <c r="BX765" s="59"/>
      <c r="BY765" s="59"/>
      <c r="BZ765" s="59"/>
      <c r="CA765" s="59"/>
      <c r="CB765" s="59"/>
      <c r="CC765" s="59"/>
      <c r="CD765" s="59"/>
      <c r="CE765" s="59"/>
      <c r="CF765" s="59"/>
      <c r="CG765" s="59"/>
      <c r="CH765" s="59"/>
      <c r="CI765" s="59"/>
      <c r="CJ765" s="59"/>
      <c r="CK765" s="59"/>
      <c r="CL765" s="59"/>
      <c r="CM765" s="59"/>
      <c r="CN765" s="59"/>
      <c r="CO765" s="59"/>
      <c r="CP765" s="59"/>
      <c r="CQ765" s="59"/>
      <c r="CR765" s="59"/>
      <c r="CS765" s="59"/>
      <c r="CT765" s="59"/>
      <c r="CU765" s="59"/>
      <c r="CV765" s="59"/>
      <c r="CW765" s="59"/>
      <c r="CX765" s="59"/>
      <c r="CY765" s="59"/>
      <c r="CZ765" s="59"/>
      <c r="DA765" s="59"/>
      <c r="DB765" s="59"/>
      <c r="DC765" s="59"/>
      <c r="DD765" s="59"/>
      <c r="DE765" s="59"/>
      <c r="DF765" s="59"/>
      <c r="DG765" s="59"/>
      <c r="DH765" s="59"/>
      <c r="DI765" s="59"/>
      <c r="DJ765" s="59"/>
      <c r="DK765" s="59"/>
      <c r="DL765" s="59"/>
      <c r="DM765" s="59"/>
      <c r="DN765" s="59"/>
      <c r="DO765" s="59"/>
      <c r="DP765" s="59"/>
      <c r="DQ765" s="59"/>
      <c r="DR765" s="59"/>
      <c r="DS765" s="59"/>
      <c r="DT765" s="59"/>
      <c r="DU765" s="59"/>
      <c r="DV765" s="59"/>
      <c r="DW765" s="59"/>
      <c r="DX765" s="59"/>
      <c r="DY765" s="59"/>
      <c r="DZ765" s="59"/>
      <c r="EA765" s="59"/>
      <c r="EB765" s="59"/>
      <c r="EC765" s="59"/>
      <c r="ED765" s="59"/>
      <c r="EE765" s="59"/>
      <c r="EF765" s="59"/>
      <c r="EG765" s="59"/>
      <c r="EH765" s="59"/>
      <c r="EI765" s="59"/>
      <c r="EJ765" s="59"/>
      <c r="EK765" s="59"/>
      <c r="EL765" s="59"/>
      <c r="EM765" s="59"/>
      <c r="EN765" s="59"/>
      <c r="EO765" s="59"/>
      <c r="EP765" s="59"/>
      <c r="EQ765" s="59"/>
      <c r="ER765" s="59"/>
      <c r="ES765" s="59"/>
      <c r="ET765" s="59"/>
      <c r="EU765" s="59"/>
      <c r="EV765" s="59"/>
      <c r="EW765" s="59"/>
      <c r="EX765" s="59"/>
      <c r="EY765" s="59"/>
      <c r="EZ765" s="59"/>
      <c r="FA765" s="59"/>
      <c r="FB765" s="59"/>
      <c r="FC765" s="59"/>
      <c r="FD765" s="59"/>
      <c r="FE765" s="59"/>
      <c r="FF765" s="59"/>
      <c r="FG765" s="59"/>
      <c r="FH765" s="59"/>
      <c r="FI765" s="59"/>
      <c r="FJ765" s="59"/>
      <c r="FK765" s="59"/>
      <c r="FL765" s="59"/>
      <c r="FM765" s="59"/>
      <c r="FN765" s="59"/>
      <c r="FO765" s="59"/>
      <c r="FP765" s="59"/>
      <c r="FQ765" s="59"/>
      <c r="FR765" s="59"/>
      <c r="FS765" s="59"/>
      <c r="FT765" s="59"/>
      <c r="FU765" s="59"/>
      <c r="FV765" s="59"/>
      <c r="FW765" s="59"/>
      <c r="FX765" s="59"/>
      <c r="FY765" s="59"/>
      <c r="FZ765" s="59"/>
      <c r="GA765" s="59"/>
      <c r="GB765" s="59"/>
      <c r="GC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  <c r="BW766" s="59"/>
      <c r="BX766" s="59"/>
      <c r="BY766" s="59"/>
      <c r="BZ766" s="59"/>
      <c r="CA766" s="59"/>
      <c r="CB766" s="59"/>
      <c r="CC766" s="59"/>
      <c r="CD766" s="59"/>
      <c r="CE766" s="59"/>
      <c r="CF766" s="59"/>
      <c r="CG766" s="59"/>
      <c r="CH766" s="59"/>
      <c r="CI766" s="59"/>
      <c r="CJ766" s="59"/>
      <c r="CK766" s="59"/>
      <c r="CL766" s="59"/>
      <c r="CM766" s="59"/>
      <c r="CN766" s="59"/>
      <c r="CO766" s="59"/>
      <c r="CP766" s="59"/>
      <c r="CQ766" s="59"/>
      <c r="CR766" s="59"/>
      <c r="CS766" s="59"/>
      <c r="CT766" s="59"/>
      <c r="CU766" s="59"/>
      <c r="CV766" s="59"/>
      <c r="CW766" s="59"/>
      <c r="CX766" s="59"/>
      <c r="CY766" s="59"/>
      <c r="CZ766" s="59"/>
      <c r="DA766" s="59"/>
      <c r="DB766" s="59"/>
      <c r="DC766" s="59"/>
      <c r="DD766" s="59"/>
      <c r="DE766" s="59"/>
      <c r="DF766" s="59"/>
      <c r="DG766" s="59"/>
      <c r="DH766" s="59"/>
      <c r="DI766" s="59"/>
      <c r="DJ766" s="59"/>
      <c r="DK766" s="59"/>
      <c r="DL766" s="59"/>
      <c r="DM766" s="59"/>
      <c r="DN766" s="59"/>
      <c r="DO766" s="59"/>
      <c r="DP766" s="59"/>
      <c r="DQ766" s="59"/>
      <c r="DR766" s="59"/>
      <c r="DS766" s="59"/>
      <c r="DT766" s="59"/>
      <c r="DU766" s="59"/>
      <c r="DV766" s="59"/>
      <c r="DW766" s="59"/>
      <c r="DX766" s="59"/>
      <c r="DY766" s="59"/>
      <c r="DZ766" s="59"/>
      <c r="EA766" s="59"/>
      <c r="EB766" s="59"/>
      <c r="EC766" s="59"/>
      <c r="ED766" s="59"/>
      <c r="EE766" s="59"/>
      <c r="EF766" s="59"/>
      <c r="EG766" s="59"/>
      <c r="EH766" s="59"/>
      <c r="EI766" s="59"/>
      <c r="EJ766" s="59"/>
      <c r="EK766" s="59"/>
      <c r="EL766" s="59"/>
      <c r="EM766" s="59"/>
      <c r="EN766" s="59"/>
      <c r="EO766" s="59"/>
      <c r="EP766" s="59"/>
      <c r="EQ766" s="59"/>
      <c r="ER766" s="59"/>
      <c r="ES766" s="59"/>
      <c r="ET766" s="59"/>
      <c r="EU766" s="59"/>
      <c r="EV766" s="59"/>
      <c r="EW766" s="59"/>
      <c r="EX766" s="59"/>
      <c r="EY766" s="59"/>
      <c r="EZ766" s="59"/>
      <c r="FA766" s="59"/>
      <c r="FB766" s="59"/>
      <c r="FC766" s="59"/>
      <c r="FD766" s="59"/>
      <c r="FE766" s="59"/>
      <c r="FF766" s="59"/>
      <c r="FG766" s="59"/>
      <c r="FH766" s="59"/>
      <c r="FI766" s="59"/>
      <c r="FJ766" s="59"/>
      <c r="FK766" s="59"/>
      <c r="FL766" s="59"/>
      <c r="FM766" s="59"/>
      <c r="FN766" s="59"/>
      <c r="FO766" s="59"/>
      <c r="FP766" s="59"/>
      <c r="FQ766" s="59"/>
      <c r="FR766" s="59"/>
      <c r="FS766" s="59"/>
      <c r="FT766" s="59"/>
      <c r="FU766" s="59"/>
      <c r="FV766" s="59"/>
      <c r="FW766" s="59"/>
      <c r="FX766" s="59"/>
      <c r="FY766" s="59"/>
      <c r="FZ766" s="59"/>
      <c r="GA766" s="59"/>
      <c r="GB766" s="59"/>
      <c r="GC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  <c r="BW767" s="59"/>
      <c r="BX767" s="59"/>
      <c r="BY767" s="59"/>
      <c r="BZ767" s="59"/>
      <c r="CA767" s="59"/>
      <c r="CB767" s="59"/>
      <c r="CC767" s="59"/>
      <c r="CD767" s="59"/>
      <c r="CE767" s="59"/>
      <c r="CF767" s="59"/>
      <c r="CG767" s="59"/>
      <c r="CH767" s="59"/>
      <c r="CI767" s="59"/>
      <c r="CJ767" s="59"/>
      <c r="CK767" s="59"/>
      <c r="CL767" s="59"/>
      <c r="CM767" s="59"/>
      <c r="CN767" s="59"/>
      <c r="CO767" s="59"/>
      <c r="CP767" s="59"/>
      <c r="CQ767" s="59"/>
      <c r="CR767" s="59"/>
      <c r="CS767" s="59"/>
      <c r="CT767" s="59"/>
      <c r="CU767" s="59"/>
      <c r="CV767" s="59"/>
      <c r="CW767" s="59"/>
      <c r="CX767" s="59"/>
      <c r="CY767" s="59"/>
      <c r="CZ767" s="59"/>
      <c r="DA767" s="59"/>
      <c r="DB767" s="59"/>
      <c r="DC767" s="59"/>
      <c r="DD767" s="59"/>
      <c r="DE767" s="59"/>
      <c r="DF767" s="59"/>
      <c r="DG767" s="59"/>
      <c r="DH767" s="59"/>
      <c r="DI767" s="59"/>
      <c r="DJ767" s="59"/>
      <c r="DK767" s="59"/>
      <c r="DL767" s="59"/>
      <c r="DM767" s="59"/>
      <c r="DN767" s="59"/>
      <c r="DO767" s="59"/>
      <c r="DP767" s="59"/>
      <c r="DQ767" s="59"/>
      <c r="DR767" s="59"/>
      <c r="DS767" s="59"/>
      <c r="DT767" s="59"/>
      <c r="DU767" s="59"/>
      <c r="DV767" s="59"/>
      <c r="DW767" s="59"/>
      <c r="DX767" s="59"/>
      <c r="DY767" s="59"/>
      <c r="DZ767" s="59"/>
      <c r="EA767" s="59"/>
      <c r="EB767" s="59"/>
      <c r="EC767" s="59"/>
      <c r="ED767" s="59"/>
      <c r="EE767" s="59"/>
      <c r="EF767" s="59"/>
      <c r="EG767" s="59"/>
      <c r="EH767" s="59"/>
      <c r="EI767" s="59"/>
      <c r="EJ767" s="59"/>
      <c r="EK767" s="59"/>
      <c r="EL767" s="59"/>
      <c r="EM767" s="59"/>
      <c r="EN767" s="59"/>
      <c r="EO767" s="59"/>
      <c r="EP767" s="59"/>
      <c r="EQ767" s="59"/>
      <c r="ER767" s="59"/>
      <c r="ES767" s="59"/>
      <c r="ET767" s="59"/>
      <c r="EU767" s="59"/>
      <c r="EV767" s="59"/>
      <c r="EW767" s="59"/>
      <c r="EX767" s="59"/>
      <c r="EY767" s="59"/>
      <c r="EZ767" s="59"/>
      <c r="FA767" s="59"/>
      <c r="FB767" s="59"/>
      <c r="FC767" s="59"/>
      <c r="FD767" s="59"/>
      <c r="FE767" s="59"/>
      <c r="FF767" s="59"/>
      <c r="FG767" s="59"/>
      <c r="FH767" s="59"/>
      <c r="FI767" s="59"/>
      <c r="FJ767" s="59"/>
      <c r="FK767" s="59"/>
      <c r="FL767" s="59"/>
      <c r="FM767" s="59"/>
      <c r="FN767" s="59"/>
      <c r="FO767" s="59"/>
      <c r="FP767" s="59"/>
      <c r="FQ767" s="59"/>
      <c r="FR767" s="59"/>
      <c r="FS767" s="59"/>
      <c r="FT767" s="59"/>
      <c r="FU767" s="59"/>
      <c r="FV767" s="59"/>
      <c r="FW767" s="59"/>
      <c r="FX767" s="59"/>
      <c r="FY767" s="59"/>
      <c r="FZ767" s="59"/>
      <c r="GA767" s="59"/>
      <c r="GB767" s="59"/>
      <c r="GC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  <c r="BW768" s="59"/>
      <c r="BX768" s="59"/>
      <c r="BY768" s="59"/>
      <c r="BZ768" s="59"/>
      <c r="CA768" s="59"/>
      <c r="CB768" s="59"/>
      <c r="CC768" s="59"/>
      <c r="CD768" s="59"/>
      <c r="CE768" s="59"/>
      <c r="CF768" s="59"/>
      <c r="CG768" s="59"/>
      <c r="CH768" s="59"/>
      <c r="CI768" s="59"/>
      <c r="CJ768" s="59"/>
      <c r="CK768" s="59"/>
      <c r="CL768" s="59"/>
      <c r="CM768" s="59"/>
      <c r="CN768" s="59"/>
      <c r="CO768" s="59"/>
      <c r="CP768" s="59"/>
      <c r="CQ768" s="59"/>
      <c r="CR768" s="59"/>
      <c r="CS768" s="59"/>
      <c r="CT768" s="59"/>
      <c r="CU768" s="59"/>
      <c r="CV768" s="59"/>
      <c r="CW768" s="59"/>
      <c r="CX768" s="59"/>
      <c r="CY768" s="59"/>
      <c r="CZ768" s="59"/>
      <c r="DA768" s="59"/>
      <c r="DB768" s="59"/>
      <c r="DC768" s="59"/>
      <c r="DD768" s="59"/>
      <c r="DE768" s="59"/>
      <c r="DF768" s="59"/>
      <c r="DG768" s="59"/>
      <c r="DH768" s="59"/>
      <c r="DI768" s="59"/>
      <c r="DJ768" s="59"/>
      <c r="DK768" s="59"/>
      <c r="DL768" s="59"/>
      <c r="DM768" s="59"/>
      <c r="DN768" s="59"/>
      <c r="DO768" s="59"/>
      <c r="DP768" s="59"/>
      <c r="DQ768" s="59"/>
      <c r="DR768" s="59"/>
      <c r="DS768" s="59"/>
      <c r="DT768" s="59"/>
      <c r="DU768" s="59"/>
      <c r="DV768" s="59"/>
      <c r="DW768" s="59"/>
      <c r="DX768" s="59"/>
      <c r="DY768" s="59"/>
      <c r="DZ768" s="59"/>
      <c r="EA768" s="59"/>
      <c r="EB768" s="59"/>
      <c r="EC768" s="59"/>
      <c r="ED768" s="59"/>
      <c r="EE768" s="59"/>
      <c r="EF768" s="59"/>
      <c r="EG768" s="59"/>
      <c r="EH768" s="59"/>
      <c r="EI768" s="59"/>
      <c r="EJ768" s="59"/>
      <c r="EK768" s="59"/>
      <c r="EL768" s="59"/>
      <c r="EM768" s="59"/>
      <c r="EN768" s="59"/>
      <c r="EO768" s="59"/>
      <c r="EP768" s="59"/>
      <c r="EQ768" s="59"/>
      <c r="ER768" s="59"/>
      <c r="ES768" s="59"/>
      <c r="ET768" s="59"/>
      <c r="EU768" s="59"/>
      <c r="EV768" s="59"/>
      <c r="EW768" s="59"/>
      <c r="EX768" s="59"/>
      <c r="EY768" s="59"/>
      <c r="EZ768" s="59"/>
      <c r="FA768" s="59"/>
      <c r="FB768" s="59"/>
      <c r="FC768" s="59"/>
      <c r="FD768" s="59"/>
      <c r="FE768" s="59"/>
      <c r="FF768" s="59"/>
      <c r="FG768" s="59"/>
      <c r="FH768" s="59"/>
      <c r="FI768" s="59"/>
      <c r="FJ768" s="59"/>
      <c r="FK768" s="59"/>
      <c r="FL768" s="59"/>
      <c r="FM768" s="59"/>
      <c r="FN768" s="59"/>
      <c r="FO768" s="59"/>
      <c r="FP768" s="59"/>
      <c r="FQ768" s="59"/>
      <c r="FR768" s="59"/>
      <c r="FS768" s="59"/>
      <c r="FT768" s="59"/>
      <c r="FU768" s="59"/>
      <c r="FV768" s="59"/>
      <c r="FW768" s="59"/>
      <c r="FX768" s="59"/>
      <c r="FY768" s="59"/>
      <c r="FZ768" s="59"/>
      <c r="GA768" s="59"/>
      <c r="GB768" s="59"/>
      <c r="GC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  <c r="BW769" s="59"/>
      <c r="BX769" s="59"/>
      <c r="BY769" s="59"/>
      <c r="BZ769" s="59"/>
      <c r="CA769" s="59"/>
      <c r="CB769" s="59"/>
      <c r="CC769" s="59"/>
      <c r="CD769" s="59"/>
      <c r="CE769" s="59"/>
      <c r="CF769" s="59"/>
      <c r="CG769" s="59"/>
      <c r="CH769" s="59"/>
      <c r="CI769" s="59"/>
      <c r="CJ769" s="59"/>
      <c r="CK769" s="59"/>
      <c r="CL769" s="59"/>
      <c r="CM769" s="59"/>
      <c r="CN769" s="59"/>
      <c r="CO769" s="59"/>
      <c r="CP769" s="59"/>
      <c r="CQ769" s="59"/>
      <c r="CR769" s="59"/>
      <c r="CS769" s="59"/>
      <c r="CT769" s="59"/>
      <c r="CU769" s="59"/>
      <c r="CV769" s="59"/>
      <c r="CW769" s="59"/>
      <c r="CX769" s="59"/>
      <c r="CY769" s="59"/>
      <c r="CZ769" s="59"/>
      <c r="DA769" s="59"/>
      <c r="DB769" s="59"/>
      <c r="DC769" s="59"/>
      <c r="DD769" s="59"/>
      <c r="DE769" s="59"/>
      <c r="DF769" s="59"/>
      <c r="DG769" s="59"/>
      <c r="DH769" s="59"/>
      <c r="DI769" s="59"/>
      <c r="DJ769" s="59"/>
      <c r="DK769" s="59"/>
      <c r="DL769" s="59"/>
      <c r="DM769" s="59"/>
      <c r="DN769" s="59"/>
      <c r="DO769" s="59"/>
      <c r="DP769" s="59"/>
      <c r="DQ769" s="59"/>
      <c r="DR769" s="59"/>
      <c r="DS769" s="59"/>
      <c r="DT769" s="59"/>
      <c r="DU769" s="59"/>
      <c r="DV769" s="59"/>
      <c r="DW769" s="59"/>
      <c r="DX769" s="59"/>
      <c r="DY769" s="59"/>
      <c r="DZ769" s="59"/>
      <c r="EA769" s="59"/>
      <c r="EB769" s="59"/>
      <c r="EC769" s="59"/>
      <c r="ED769" s="59"/>
      <c r="EE769" s="59"/>
      <c r="EF769" s="59"/>
      <c r="EG769" s="59"/>
      <c r="EH769" s="59"/>
      <c r="EI769" s="59"/>
      <c r="EJ769" s="59"/>
      <c r="EK769" s="59"/>
      <c r="EL769" s="59"/>
      <c r="EM769" s="59"/>
      <c r="EN769" s="59"/>
      <c r="EO769" s="59"/>
      <c r="EP769" s="59"/>
      <c r="EQ769" s="59"/>
      <c r="ER769" s="59"/>
      <c r="ES769" s="59"/>
      <c r="ET769" s="59"/>
      <c r="EU769" s="59"/>
      <c r="EV769" s="59"/>
      <c r="EW769" s="59"/>
      <c r="EX769" s="59"/>
      <c r="EY769" s="59"/>
      <c r="EZ769" s="59"/>
      <c r="FA769" s="59"/>
      <c r="FB769" s="59"/>
      <c r="FC769" s="59"/>
      <c r="FD769" s="59"/>
      <c r="FE769" s="59"/>
      <c r="FF769" s="59"/>
      <c r="FG769" s="59"/>
      <c r="FH769" s="59"/>
      <c r="FI769" s="59"/>
      <c r="FJ769" s="59"/>
      <c r="FK769" s="59"/>
      <c r="FL769" s="59"/>
      <c r="FM769" s="59"/>
      <c r="FN769" s="59"/>
      <c r="FO769" s="59"/>
      <c r="FP769" s="59"/>
      <c r="FQ769" s="59"/>
      <c r="FR769" s="59"/>
      <c r="FS769" s="59"/>
      <c r="FT769" s="59"/>
      <c r="FU769" s="59"/>
      <c r="FV769" s="59"/>
      <c r="FW769" s="59"/>
      <c r="FX769" s="59"/>
      <c r="FY769" s="59"/>
      <c r="FZ769" s="59"/>
      <c r="GA769" s="59"/>
      <c r="GB769" s="59"/>
      <c r="GC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  <c r="BW770" s="59"/>
      <c r="BX770" s="59"/>
      <c r="BY770" s="59"/>
      <c r="BZ770" s="59"/>
      <c r="CA770" s="59"/>
      <c r="CB770" s="59"/>
      <c r="CC770" s="59"/>
      <c r="CD770" s="59"/>
      <c r="CE770" s="59"/>
      <c r="CF770" s="59"/>
      <c r="CG770" s="59"/>
      <c r="CH770" s="59"/>
      <c r="CI770" s="59"/>
      <c r="CJ770" s="59"/>
      <c r="CK770" s="59"/>
      <c r="CL770" s="59"/>
      <c r="CM770" s="59"/>
      <c r="CN770" s="59"/>
      <c r="CO770" s="59"/>
      <c r="CP770" s="59"/>
      <c r="CQ770" s="59"/>
      <c r="CR770" s="59"/>
      <c r="CS770" s="59"/>
      <c r="CT770" s="59"/>
      <c r="CU770" s="59"/>
      <c r="CV770" s="59"/>
      <c r="CW770" s="59"/>
      <c r="CX770" s="59"/>
      <c r="CY770" s="59"/>
      <c r="CZ770" s="59"/>
      <c r="DA770" s="59"/>
      <c r="DB770" s="59"/>
      <c r="DC770" s="59"/>
      <c r="DD770" s="59"/>
      <c r="DE770" s="59"/>
      <c r="DF770" s="59"/>
      <c r="DG770" s="59"/>
      <c r="DH770" s="59"/>
      <c r="DI770" s="59"/>
      <c r="DJ770" s="59"/>
      <c r="DK770" s="59"/>
      <c r="DL770" s="59"/>
      <c r="DM770" s="59"/>
      <c r="DN770" s="59"/>
      <c r="DO770" s="59"/>
      <c r="DP770" s="59"/>
      <c r="DQ770" s="59"/>
      <c r="DR770" s="59"/>
      <c r="DS770" s="59"/>
      <c r="DT770" s="59"/>
      <c r="DU770" s="59"/>
      <c r="DV770" s="59"/>
      <c r="DW770" s="59"/>
      <c r="DX770" s="59"/>
      <c r="DY770" s="59"/>
      <c r="DZ770" s="59"/>
      <c r="EA770" s="59"/>
      <c r="EB770" s="59"/>
      <c r="EC770" s="59"/>
      <c r="ED770" s="59"/>
      <c r="EE770" s="59"/>
      <c r="EF770" s="59"/>
      <c r="EG770" s="59"/>
      <c r="EH770" s="59"/>
      <c r="EI770" s="59"/>
      <c r="EJ770" s="59"/>
      <c r="EK770" s="59"/>
      <c r="EL770" s="59"/>
      <c r="EM770" s="59"/>
      <c r="EN770" s="59"/>
      <c r="EO770" s="59"/>
      <c r="EP770" s="59"/>
      <c r="EQ770" s="59"/>
      <c r="ER770" s="59"/>
      <c r="ES770" s="59"/>
      <c r="ET770" s="59"/>
      <c r="EU770" s="59"/>
      <c r="EV770" s="59"/>
      <c r="EW770" s="59"/>
      <c r="EX770" s="59"/>
      <c r="EY770" s="59"/>
      <c r="EZ770" s="59"/>
      <c r="FA770" s="59"/>
      <c r="FB770" s="59"/>
      <c r="FC770" s="59"/>
      <c r="FD770" s="59"/>
      <c r="FE770" s="59"/>
      <c r="FF770" s="59"/>
      <c r="FG770" s="59"/>
      <c r="FH770" s="59"/>
      <c r="FI770" s="59"/>
      <c r="FJ770" s="59"/>
      <c r="FK770" s="59"/>
      <c r="FL770" s="59"/>
      <c r="FM770" s="59"/>
      <c r="FN770" s="59"/>
      <c r="FO770" s="59"/>
      <c r="FP770" s="59"/>
      <c r="FQ770" s="59"/>
      <c r="FR770" s="59"/>
      <c r="FS770" s="59"/>
      <c r="FT770" s="59"/>
      <c r="FU770" s="59"/>
      <c r="FV770" s="59"/>
      <c r="FW770" s="59"/>
      <c r="FX770" s="59"/>
      <c r="FY770" s="59"/>
      <c r="FZ770" s="59"/>
      <c r="GA770" s="59"/>
      <c r="GB770" s="59"/>
      <c r="GC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  <c r="BW771" s="59"/>
      <c r="BX771" s="59"/>
      <c r="BY771" s="59"/>
      <c r="BZ771" s="59"/>
      <c r="CA771" s="59"/>
      <c r="CB771" s="59"/>
      <c r="CC771" s="59"/>
      <c r="CD771" s="59"/>
      <c r="CE771" s="59"/>
      <c r="CF771" s="59"/>
      <c r="CG771" s="59"/>
      <c r="CH771" s="59"/>
      <c r="CI771" s="59"/>
      <c r="CJ771" s="59"/>
      <c r="CK771" s="59"/>
      <c r="CL771" s="59"/>
      <c r="CM771" s="59"/>
      <c r="CN771" s="59"/>
      <c r="CO771" s="59"/>
      <c r="CP771" s="59"/>
      <c r="CQ771" s="59"/>
      <c r="CR771" s="59"/>
      <c r="CS771" s="59"/>
      <c r="CT771" s="59"/>
      <c r="CU771" s="59"/>
      <c r="CV771" s="59"/>
      <c r="CW771" s="59"/>
      <c r="CX771" s="59"/>
      <c r="CY771" s="59"/>
      <c r="CZ771" s="59"/>
      <c r="DA771" s="59"/>
      <c r="DB771" s="59"/>
      <c r="DC771" s="59"/>
      <c r="DD771" s="59"/>
      <c r="DE771" s="59"/>
      <c r="DF771" s="59"/>
      <c r="DG771" s="59"/>
      <c r="DH771" s="59"/>
      <c r="DI771" s="59"/>
      <c r="DJ771" s="59"/>
      <c r="DK771" s="59"/>
      <c r="DL771" s="59"/>
      <c r="DM771" s="59"/>
      <c r="DN771" s="59"/>
      <c r="DO771" s="59"/>
      <c r="DP771" s="59"/>
      <c r="DQ771" s="59"/>
      <c r="DR771" s="59"/>
      <c r="DS771" s="59"/>
      <c r="DT771" s="59"/>
      <c r="DU771" s="59"/>
      <c r="DV771" s="59"/>
      <c r="DW771" s="59"/>
      <c r="DX771" s="59"/>
      <c r="DY771" s="59"/>
      <c r="DZ771" s="59"/>
      <c r="EA771" s="59"/>
      <c r="EB771" s="59"/>
      <c r="EC771" s="59"/>
      <c r="ED771" s="59"/>
      <c r="EE771" s="59"/>
      <c r="EF771" s="59"/>
      <c r="EG771" s="59"/>
      <c r="EH771" s="59"/>
      <c r="EI771" s="59"/>
      <c r="EJ771" s="59"/>
      <c r="EK771" s="59"/>
      <c r="EL771" s="59"/>
      <c r="EM771" s="59"/>
      <c r="EN771" s="59"/>
      <c r="EO771" s="59"/>
      <c r="EP771" s="59"/>
      <c r="EQ771" s="59"/>
      <c r="ER771" s="59"/>
      <c r="ES771" s="59"/>
      <c r="ET771" s="59"/>
      <c r="EU771" s="59"/>
      <c r="EV771" s="59"/>
      <c r="EW771" s="59"/>
      <c r="EX771" s="59"/>
      <c r="EY771" s="59"/>
      <c r="EZ771" s="59"/>
      <c r="FA771" s="59"/>
      <c r="FB771" s="59"/>
      <c r="FC771" s="59"/>
      <c r="FD771" s="59"/>
      <c r="FE771" s="59"/>
      <c r="FF771" s="59"/>
      <c r="FG771" s="59"/>
      <c r="FH771" s="59"/>
      <c r="FI771" s="59"/>
      <c r="FJ771" s="59"/>
      <c r="FK771" s="59"/>
      <c r="FL771" s="59"/>
      <c r="FM771" s="59"/>
      <c r="FN771" s="59"/>
      <c r="FO771" s="59"/>
      <c r="FP771" s="59"/>
      <c r="FQ771" s="59"/>
      <c r="FR771" s="59"/>
      <c r="FS771" s="59"/>
      <c r="FT771" s="59"/>
      <c r="FU771" s="59"/>
      <c r="FV771" s="59"/>
      <c r="FW771" s="59"/>
      <c r="FX771" s="59"/>
      <c r="FY771" s="59"/>
      <c r="FZ771" s="59"/>
      <c r="GA771" s="59"/>
      <c r="GB771" s="59"/>
      <c r="GC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  <c r="BW772" s="59"/>
      <c r="BX772" s="59"/>
      <c r="BY772" s="59"/>
      <c r="BZ772" s="59"/>
      <c r="CA772" s="59"/>
      <c r="CB772" s="59"/>
      <c r="CC772" s="59"/>
      <c r="CD772" s="59"/>
      <c r="CE772" s="59"/>
      <c r="CF772" s="59"/>
      <c r="CG772" s="59"/>
      <c r="CH772" s="59"/>
      <c r="CI772" s="59"/>
      <c r="CJ772" s="59"/>
      <c r="CK772" s="59"/>
      <c r="CL772" s="59"/>
      <c r="CM772" s="59"/>
      <c r="CN772" s="59"/>
      <c r="CO772" s="59"/>
      <c r="CP772" s="59"/>
      <c r="CQ772" s="59"/>
      <c r="CR772" s="59"/>
      <c r="CS772" s="59"/>
      <c r="CT772" s="59"/>
      <c r="CU772" s="59"/>
      <c r="CV772" s="59"/>
      <c r="CW772" s="59"/>
      <c r="CX772" s="59"/>
      <c r="CY772" s="59"/>
      <c r="CZ772" s="59"/>
      <c r="DA772" s="59"/>
      <c r="DB772" s="59"/>
      <c r="DC772" s="59"/>
      <c r="DD772" s="59"/>
      <c r="DE772" s="59"/>
      <c r="DF772" s="59"/>
      <c r="DG772" s="59"/>
      <c r="DH772" s="59"/>
      <c r="DI772" s="59"/>
      <c r="DJ772" s="59"/>
      <c r="DK772" s="59"/>
      <c r="DL772" s="59"/>
      <c r="DM772" s="59"/>
      <c r="DN772" s="59"/>
      <c r="DO772" s="59"/>
      <c r="DP772" s="59"/>
      <c r="DQ772" s="59"/>
      <c r="DR772" s="59"/>
      <c r="DS772" s="59"/>
      <c r="DT772" s="59"/>
      <c r="DU772" s="59"/>
      <c r="DV772" s="59"/>
      <c r="DW772" s="59"/>
      <c r="DX772" s="59"/>
      <c r="DY772" s="59"/>
      <c r="DZ772" s="59"/>
      <c r="EA772" s="59"/>
      <c r="EB772" s="59"/>
      <c r="EC772" s="59"/>
      <c r="ED772" s="59"/>
      <c r="EE772" s="59"/>
      <c r="EF772" s="59"/>
      <c r="EG772" s="59"/>
      <c r="EH772" s="59"/>
      <c r="EI772" s="59"/>
      <c r="EJ772" s="59"/>
      <c r="EK772" s="59"/>
      <c r="EL772" s="59"/>
      <c r="EM772" s="59"/>
      <c r="EN772" s="59"/>
      <c r="EO772" s="59"/>
      <c r="EP772" s="59"/>
      <c r="EQ772" s="59"/>
      <c r="ER772" s="59"/>
      <c r="ES772" s="59"/>
      <c r="ET772" s="59"/>
      <c r="EU772" s="59"/>
      <c r="EV772" s="59"/>
      <c r="EW772" s="59"/>
      <c r="EX772" s="59"/>
      <c r="EY772" s="59"/>
      <c r="EZ772" s="59"/>
      <c r="FA772" s="59"/>
      <c r="FB772" s="59"/>
      <c r="FC772" s="59"/>
      <c r="FD772" s="59"/>
      <c r="FE772" s="59"/>
      <c r="FF772" s="59"/>
      <c r="FG772" s="59"/>
      <c r="FH772" s="59"/>
      <c r="FI772" s="59"/>
      <c r="FJ772" s="59"/>
      <c r="FK772" s="59"/>
      <c r="FL772" s="59"/>
      <c r="FM772" s="59"/>
      <c r="FN772" s="59"/>
      <c r="FO772" s="59"/>
      <c r="FP772" s="59"/>
      <c r="FQ772" s="59"/>
      <c r="FR772" s="59"/>
      <c r="FS772" s="59"/>
      <c r="FT772" s="59"/>
      <c r="FU772" s="59"/>
      <c r="FV772" s="59"/>
      <c r="FW772" s="59"/>
      <c r="FX772" s="59"/>
      <c r="FY772" s="59"/>
      <c r="FZ772" s="59"/>
      <c r="GA772" s="59"/>
      <c r="GB772" s="59"/>
      <c r="GC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  <c r="BW773" s="59"/>
      <c r="BX773" s="59"/>
      <c r="BY773" s="59"/>
      <c r="BZ773" s="59"/>
      <c r="CA773" s="59"/>
      <c r="CB773" s="59"/>
      <c r="CC773" s="59"/>
      <c r="CD773" s="59"/>
      <c r="CE773" s="59"/>
      <c r="CF773" s="59"/>
      <c r="CG773" s="59"/>
      <c r="CH773" s="59"/>
      <c r="CI773" s="59"/>
      <c r="CJ773" s="59"/>
      <c r="CK773" s="59"/>
      <c r="CL773" s="59"/>
      <c r="CM773" s="59"/>
      <c r="CN773" s="59"/>
      <c r="CO773" s="59"/>
      <c r="CP773" s="59"/>
      <c r="CQ773" s="59"/>
      <c r="CR773" s="59"/>
      <c r="CS773" s="59"/>
      <c r="CT773" s="59"/>
      <c r="CU773" s="59"/>
      <c r="CV773" s="59"/>
      <c r="CW773" s="59"/>
      <c r="CX773" s="59"/>
      <c r="CY773" s="59"/>
      <c r="CZ773" s="59"/>
      <c r="DA773" s="59"/>
      <c r="DB773" s="59"/>
      <c r="DC773" s="59"/>
      <c r="DD773" s="59"/>
      <c r="DE773" s="59"/>
      <c r="DF773" s="59"/>
      <c r="DG773" s="59"/>
      <c r="DH773" s="59"/>
      <c r="DI773" s="59"/>
      <c r="DJ773" s="59"/>
      <c r="DK773" s="59"/>
      <c r="DL773" s="59"/>
      <c r="DM773" s="59"/>
      <c r="DN773" s="59"/>
      <c r="DO773" s="59"/>
      <c r="DP773" s="59"/>
      <c r="DQ773" s="59"/>
      <c r="DR773" s="59"/>
      <c r="DS773" s="59"/>
      <c r="DT773" s="59"/>
      <c r="DU773" s="59"/>
      <c r="DV773" s="59"/>
      <c r="DW773" s="59"/>
      <c r="DX773" s="59"/>
      <c r="DY773" s="59"/>
      <c r="DZ773" s="59"/>
      <c r="EA773" s="59"/>
      <c r="EB773" s="59"/>
      <c r="EC773" s="59"/>
      <c r="ED773" s="59"/>
      <c r="EE773" s="59"/>
      <c r="EF773" s="59"/>
      <c r="EG773" s="59"/>
      <c r="EH773" s="59"/>
      <c r="EI773" s="59"/>
      <c r="EJ773" s="59"/>
      <c r="EK773" s="59"/>
      <c r="EL773" s="59"/>
      <c r="EM773" s="59"/>
      <c r="EN773" s="59"/>
      <c r="EO773" s="59"/>
      <c r="EP773" s="59"/>
      <c r="EQ773" s="59"/>
      <c r="ER773" s="59"/>
      <c r="ES773" s="59"/>
      <c r="ET773" s="59"/>
      <c r="EU773" s="59"/>
      <c r="EV773" s="59"/>
      <c r="EW773" s="59"/>
      <c r="EX773" s="59"/>
      <c r="EY773" s="59"/>
      <c r="EZ773" s="59"/>
      <c r="FA773" s="59"/>
      <c r="FB773" s="59"/>
      <c r="FC773" s="59"/>
      <c r="FD773" s="59"/>
      <c r="FE773" s="59"/>
      <c r="FF773" s="59"/>
      <c r="FG773" s="59"/>
      <c r="FH773" s="59"/>
      <c r="FI773" s="59"/>
      <c r="FJ773" s="59"/>
      <c r="FK773" s="59"/>
      <c r="FL773" s="59"/>
      <c r="FM773" s="59"/>
      <c r="FN773" s="59"/>
      <c r="FO773" s="59"/>
      <c r="FP773" s="59"/>
      <c r="FQ773" s="59"/>
      <c r="FR773" s="59"/>
      <c r="FS773" s="59"/>
      <c r="FT773" s="59"/>
      <c r="FU773" s="59"/>
      <c r="FV773" s="59"/>
      <c r="FW773" s="59"/>
      <c r="FX773" s="59"/>
      <c r="FY773" s="59"/>
      <c r="FZ773" s="59"/>
      <c r="GA773" s="59"/>
      <c r="GB773" s="59"/>
      <c r="GC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  <c r="BW774" s="59"/>
      <c r="BX774" s="59"/>
      <c r="BY774" s="59"/>
      <c r="BZ774" s="59"/>
      <c r="CA774" s="59"/>
      <c r="CB774" s="59"/>
      <c r="CC774" s="59"/>
      <c r="CD774" s="59"/>
      <c r="CE774" s="59"/>
      <c r="CF774" s="59"/>
      <c r="CG774" s="59"/>
      <c r="CH774" s="59"/>
      <c r="CI774" s="59"/>
      <c r="CJ774" s="59"/>
      <c r="CK774" s="59"/>
      <c r="CL774" s="59"/>
      <c r="CM774" s="59"/>
      <c r="CN774" s="59"/>
      <c r="CO774" s="59"/>
      <c r="CP774" s="59"/>
      <c r="CQ774" s="59"/>
      <c r="CR774" s="59"/>
      <c r="CS774" s="59"/>
      <c r="CT774" s="59"/>
      <c r="CU774" s="59"/>
      <c r="CV774" s="59"/>
      <c r="CW774" s="59"/>
      <c r="CX774" s="59"/>
      <c r="CY774" s="59"/>
      <c r="CZ774" s="59"/>
      <c r="DA774" s="59"/>
      <c r="DB774" s="59"/>
      <c r="DC774" s="59"/>
      <c r="DD774" s="59"/>
      <c r="DE774" s="59"/>
      <c r="DF774" s="59"/>
      <c r="DG774" s="59"/>
      <c r="DH774" s="59"/>
      <c r="DI774" s="59"/>
      <c r="DJ774" s="59"/>
      <c r="DK774" s="59"/>
      <c r="DL774" s="59"/>
      <c r="DM774" s="59"/>
      <c r="DN774" s="59"/>
      <c r="DO774" s="59"/>
      <c r="DP774" s="59"/>
      <c r="DQ774" s="59"/>
      <c r="DR774" s="59"/>
      <c r="DS774" s="59"/>
      <c r="DT774" s="59"/>
      <c r="DU774" s="59"/>
      <c r="DV774" s="59"/>
      <c r="DW774" s="59"/>
      <c r="DX774" s="59"/>
      <c r="DY774" s="59"/>
      <c r="DZ774" s="59"/>
      <c r="EA774" s="59"/>
      <c r="EB774" s="59"/>
      <c r="EC774" s="59"/>
      <c r="ED774" s="59"/>
      <c r="EE774" s="59"/>
      <c r="EF774" s="59"/>
      <c r="EG774" s="59"/>
      <c r="EH774" s="59"/>
      <c r="EI774" s="59"/>
      <c r="EJ774" s="59"/>
      <c r="EK774" s="59"/>
      <c r="EL774" s="59"/>
      <c r="EM774" s="59"/>
      <c r="EN774" s="59"/>
      <c r="EO774" s="59"/>
      <c r="EP774" s="59"/>
      <c r="EQ774" s="59"/>
      <c r="ER774" s="59"/>
      <c r="ES774" s="59"/>
      <c r="ET774" s="59"/>
      <c r="EU774" s="59"/>
      <c r="EV774" s="59"/>
      <c r="EW774" s="59"/>
      <c r="EX774" s="59"/>
      <c r="EY774" s="59"/>
      <c r="EZ774" s="59"/>
      <c r="FA774" s="59"/>
      <c r="FB774" s="59"/>
      <c r="FC774" s="59"/>
      <c r="FD774" s="59"/>
      <c r="FE774" s="59"/>
      <c r="FF774" s="59"/>
      <c r="FG774" s="59"/>
      <c r="FH774" s="59"/>
      <c r="FI774" s="59"/>
      <c r="FJ774" s="59"/>
      <c r="FK774" s="59"/>
      <c r="FL774" s="59"/>
      <c r="FM774" s="59"/>
      <c r="FN774" s="59"/>
      <c r="FO774" s="59"/>
      <c r="FP774" s="59"/>
      <c r="FQ774" s="59"/>
      <c r="FR774" s="59"/>
      <c r="FS774" s="59"/>
      <c r="FT774" s="59"/>
      <c r="FU774" s="59"/>
      <c r="FV774" s="59"/>
      <c r="FW774" s="59"/>
      <c r="FX774" s="59"/>
      <c r="FY774" s="59"/>
      <c r="FZ774" s="59"/>
      <c r="GA774" s="59"/>
      <c r="GB774" s="59"/>
      <c r="GC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  <c r="BW775" s="59"/>
      <c r="BX775" s="59"/>
      <c r="BY775" s="59"/>
      <c r="BZ775" s="59"/>
      <c r="CA775" s="59"/>
      <c r="CB775" s="59"/>
      <c r="CC775" s="59"/>
      <c r="CD775" s="59"/>
      <c r="CE775" s="59"/>
      <c r="CF775" s="59"/>
      <c r="CG775" s="59"/>
      <c r="CH775" s="59"/>
      <c r="CI775" s="59"/>
      <c r="CJ775" s="59"/>
      <c r="CK775" s="59"/>
      <c r="CL775" s="59"/>
      <c r="CM775" s="59"/>
      <c r="CN775" s="59"/>
      <c r="CO775" s="59"/>
      <c r="CP775" s="59"/>
      <c r="CQ775" s="59"/>
      <c r="CR775" s="59"/>
      <c r="CS775" s="59"/>
      <c r="CT775" s="59"/>
      <c r="CU775" s="59"/>
      <c r="CV775" s="59"/>
      <c r="CW775" s="59"/>
      <c r="CX775" s="59"/>
      <c r="CY775" s="59"/>
      <c r="CZ775" s="59"/>
      <c r="DA775" s="59"/>
      <c r="DB775" s="59"/>
      <c r="DC775" s="59"/>
      <c r="DD775" s="59"/>
      <c r="DE775" s="59"/>
      <c r="DF775" s="59"/>
      <c r="DG775" s="59"/>
      <c r="DH775" s="59"/>
      <c r="DI775" s="59"/>
      <c r="DJ775" s="59"/>
      <c r="DK775" s="59"/>
      <c r="DL775" s="59"/>
      <c r="DM775" s="59"/>
      <c r="DN775" s="59"/>
      <c r="DO775" s="59"/>
      <c r="DP775" s="59"/>
      <c r="DQ775" s="59"/>
      <c r="DR775" s="59"/>
      <c r="DS775" s="59"/>
      <c r="DT775" s="59"/>
      <c r="DU775" s="59"/>
      <c r="DV775" s="59"/>
      <c r="DW775" s="59"/>
      <c r="DX775" s="59"/>
      <c r="DY775" s="59"/>
      <c r="DZ775" s="59"/>
      <c r="EA775" s="59"/>
      <c r="EB775" s="59"/>
      <c r="EC775" s="59"/>
      <c r="ED775" s="59"/>
      <c r="EE775" s="59"/>
      <c r="EF775" s="59"/>
      <c r="EG775" s="59"/>
      <c r="EH775" s="59"/>
      <c r="EI775" s="59"/>
      <c r="EJ775" s="59"/>
      <c r="EK775" s="59"/>
      <c r="EL775" s="59"/>
      <c r="EM775" s="59"/>
      <c r="EN775" s="59"/>
      <c r="EO775" s="59"/>
      <c r="EP775" s="59"/>
      <c r="EQ775" s="59"/>
      <c r="ER775" s="59"/>
      <c r="ES775" s="59"/>
      <c r="ET775" s="59"/>
      <c r="EU775" s="59"/>
      <c r="EV775" s="59"/>
      <c r="EW775" s="59"/>
      <c r="EX775" s="59"/>
      <c r="EY775" s="59"/>
      <c r="EZ775" s="59"/>
      <c r="FA775" s="59"/>
      <c r="FB775" s="59"/>
      <c r="FC775" s="59"/>
      <c r="FD775" s="59"/>
      <c r="FE775" s="59"/>
      <c r="FF775" s="59"/>
      <c r="FG775" s="59"/>
      <c r="FH775" s="59"/>
      <c r="FI775" s="59"/>
      <c r="FJ775" s="59"/>
      <c r="FK775" s="59"/>
      <c r="FL775" s="59"/>
      <c r="FM775" s="59"/>
      <c r="FN775" s="59"/>
      <c r="FO775" s="59"/>
      <c r="FP775" s="59"/>
      <c r="FQ775" s="59"/>
      <c r="FR775" s="59"/>
      <c r="FS775" s="59"/>
      <c r="FT775" s="59"/>
      <c r="FU775" s="59"/>
      <c r="FV775" s="59"/>
      <c r="FW775" s="59"/>
      <c r="FX775" s="59"/>
      <c r="FY775" s="59"/>
      <c r="FZ775" s="59"/>
      <c r="GA775" s="59"/>
      <c r="GB775" s="59"/>
      <c r="GC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  <c r="BW776" s="59"/>
      <c r="BX776" s="59"/>
      <c r="BY776" s="59"/>
      <c r="BZ776" s="59"/>
      <c r="CA776" s="59"/>
      <c r="CB776" s="59"/>
      <c r="CC776" s="59"/>
      <c r="CD776" s="59"/>
      <c r="CE776" s="59"/>
      <c r="CF776" s="59"/>
      <c r="CG776" s="59"/>
      <c r="CH776" s="59"/>
      <c r="CI776" s="59"/>
      <c r="CJ776" s="59"/>
      <c r="CK776" s="59"/>
      <c r="CL776" s="59"/>
      <c r="CM776" s="59"/>
      <c r="CN776" s="59"/>
      <c r="CO776" s="59"/>
      <c r="CP776" s="59"/>
      <c r="CQ776" s="59"/>
      <c r="CR776" s="59"/>
      <c r="CS776" s="59"/>
      <c r="CT776" s="59"/>
      <c r="CU776" s="59"/>
      <c r="CV776" s="59"/>
      <c r="CW776" s="59"/>
      <c r="CX776" s="59"/>
      <c r="CY776" s="59"/>
      <c r="CZ776" s="59"/>
      <c r="DA776" s="59"/>
      <c r="DB776" s="59"/>
      <c r="DC776" s="59"/>
      <c r="DD776" s="59"/>
      <c r="DE776" s="59"/>
      <c r="DF776" s="59"/>
      <c r="DG776" s="59"/>
      <c r="DH776" s="59"/>
      <c r="DI776" s="59"/>
      <c r="DJ776" s="59"/>
      <c r="DK776" s="59"/>
      <c r="DL776" s="59"/>
      <c r="DM776" s="59"/>
      <c r="DN776" s="59"/>
      <c r="DO776" s="59"/>
      <c r="DP776" s="59"/>
      <c r="DQ776" s="59"/>
      <c r="DR776" s="59"/>
      <c r="DS776" s="59"/>
      <c r="DT776" s="59"/>
      <c r="DU776" s="59"/>
      <c r="DV776" s="59"/>
      <c r="DW776" s="59"/>
      <c r="DX776" s="59"/>
      <c r="DY776" s="59"/>
      <c r="DZ776" s="59"/>
      <c r="EA776" s="59"/>
      <c r="EB776" s="59"/>
      <c r="EC776" s="59"/>
      <c r="ED776" s="59"/>
      <c r="EE776" s="59"/>
      <c r="EF776" s="59"/>
      <c r="EG776" s="59"/>
      <c r="EH776" s="59"/>
      <c r="EI776" s="59"/>
      <c r="EJ776" s="59"/>
      <c r="EK776" s="59"/>
      <c r="EL776" s="59"/>
      <c r="EM776" s="59"/>
      <c r="EN776" s="59"/>
      <c r="EO776" s="59"/>
      <c r="EP776" s="59"/>
      <c r="EQ776" s="59"/>
      <c r="ER776" s="59"/>
      <c r="ES776" s="59"/>
      <c r="ET776" s="59"/>
      <c r="EU776" s="59"/>
      <c r="EV776" s="59"/>
      <c r="EW776" s="59"/>
      <c r="EX776" s="59"/>
      <c r="EY776" s="59"/>
      <c r="EZ776" s="59"/>
      <c r="FA776" s="59"/>
      <c r="FB776" s="59"/>
      <c r="FC776" s="59"/>
      <c r="FD776" s="59"/>
      <c r="FE776" s="59"/>
      <c r="FF776" s="59"/>
      <c r="FG776" s="59"/>
      <c r="FH776" s="59"/>
      <c r="FI776" s="59"/>
      <c r="FJ776" s="59"/>
      <c r="FK776" s="59"/>
      <c r="FL776" s="59"/>
      <c r="FM776" s="59"/>
      <c r="FN776" s="59"/>
      <c r="FO776" s="59"/>
      <c r="FP776" s="59"/>
      <c r="FQ776" s="59"/>
      <c r="FR776" s="59"/>
      <c r="FS776" s="59"/>
      <c r="FT776" s="59"/>
      <c r="FU776" s="59"/>
      <c r="FV776" s="59"/>
      <c r="FW776" s="59"/>
      <c r="FX776" s="59"/>
      <c r="FY776" s="59"/>
      <c r="FZ776" s="59"/>
      <c r="GA776" s="59"/>
      <c r="GB776" s="59"/>
      <c r="GC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  <c r="BW777" s="59"/>
      <c r="BX777" s="59"/>
      <c r="BY777" s="59"/>
      <c r="BZ777" s="59"/>
      <c r="CA777" s="59"/>
      <c r="CB777" s="59"/>
      <c r="CC777" s="59"/>
      <c r="CD777" s="59"/>
      <c r="CE777" s="59"/>
      <c r="CF777" s="59"/>
      <c r="CG777" s="59"/>
      <c r="CH777" s="59"/>
      <c r="CI777" s="59"/>
      <c r="CJ777" s="59"/>
      <c r="CK777" s="59"/>
      <c r="CL777" s="59"/>
      <c r="CM777" s="59"/>
      <c r="CN777" s="59"/>
      <c r="CO777" s="59"/>
      <c r="CP777" s="59"/>
      <c r="CQ777" s="59"/>
      <c r="CR777" s="59"/>
      <c r="CS777" s="59"/>
      <c r="CT777" s="59"/>
      <c r="CU777" s="59"/>
      <c r="CV777" s="59"/>
      <c r="CW777" s="59"/>
      <c r="CX777" s="59"/>
      <c r="CY777" s="59"/>
      <c r="CZ777" s="59"/>
      <c r="DA777" s="59"/>
      <c r="DB777" s="59"/>
      <c r="DC777" s="59"/>
      <c r="DD777" s="59"/>
      <c r="DE777" s="59"/>
      <c r="DF777" s="59"/>
      <c r="DG777" s="59"/>
      <c r="DH777" s="59"/>
      <c r="DI777" s="59"/>
      <c r="DJ777" s="59"/>
      <c r="DK777" s="59"/>
      <c r="DL777" s="59"/>
      <c r="DM777" s="59"/>
      <c r="DN777" s="59"/>
      <c r="DO777" s="59"/>
      <c r="DP777" s="59"/>
      <c r="DQ777" s="59"/>
      <c r="DR777" s="59"/>
      <c r="DS777" s="59"/>
      <c r="DT777" s="59"/>
      <c r="DU777" s="59"/>
      <c r="DV777" s="59"/>
      <c r="DW777" s="59"/>
      <c r="DX777" s="59"/>
      <c r="DY777" s="59"/>
      <c r="DZ777" s="59"/>
      <c r="EA777" s="59"/>
      <c r="EB777" s="59"/>
      <c r="EC777" s="59"/>
      <c r="ED777" s="59"/>
      <c r="EE777" s="59"/>
      <c r="EF777" s="59"/>
      <c r="EG777" s="59"/>
      <c r="EH777" s="59"/>
      <c r="EI777" s="59"/>
      <c r="EJ777" s="59"/>
      <c r="EK777" s="59"/>
      <c r="EL777" s="59"/>
      <c r="EM777" s="59"/>
      <c r="EN777" s="59"/>
      <c r="EO777" s="59"/>
      <c r="EP777" s="59"/>
      <c r="EQ777" s="59"/>
      <c r="ER777" s="59"/>
      <c r="ES777" s="59"/>
      <c r="ET777" s="59"/>
      <c r="EU777" s="59"/>
      <c r="EV777" s="59"/>
      <c r="EW777" s="59"/>
      <c r="EX777" s="59"/>
      <c r="EY777" s="59"/>
      <c r="EZ777" s="59"/>
      <c r="FA777" s="59"/>
      <c r="FB777" s="59"/>
      <c r="FC777" s="59"/>
      <c r="FD777" s="59"/>
      <c r="FE777" s="59"/>
      <c r="FF777" s="59"/>
      <c r="FG777" s="59"/>
      <c r="FH777" s="59"/>
      <c r="FI777" s="59"/>
      <c r="FJ777" s="59"/>
      <c r="FK777" s="59"/>
      <c r="FL777" s="59"/>
      <c r="FM777" s="59"/>
      <c r="FN777" s="59"/>
      <c r="FO777" s="59"/>
      <c r="FP777" s="59"/>
      <c r="FQ777" s="59"/>
      <c r="FR777" s="59"/>
      <c r="FS777" s="59"/>
      <c r="FT777" s="59"/>
      <c r="FU777" s="59"/>
      <c r="FV777" s="59"/>
      <c r="FW777" s="59"/>
      <c r="FX777" s="59"/>
      <c r="FY777" s="59"/>
      <c r="FZ777" s="59"/>
      <c r="GA777" s="59"/>
      <c r="GB777" s="59"/>
      <c r="GC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  <c r="BW778" s="59"/>
      <c r="BX778" s="59"/>
      <c r="BY778" s="59"/>
      <c r="BZ778" s="59"/>
      <c r="CA778" s="59"/>
      <c r="CB778" s="59"/>
      <c r="CC778" s="59"/>
      <c r="CD778" s="59"/>
      <c r="CE778" s="59"/>
      <c r="CF778" s="59"/>
      <c r="CG778" s="59"/>
      <c r="CH778" s="59"/>
      <c r="CI778" s="59"/>
      <c r="CJ778" s="59"/>
      <c r="CK778" s="59"/>
      <c r="CL778" s="59"/>
      <c r="CM778" s="59"/>
      <c r="CN778" s="59"/>
      <c r="CO778" s="59"/>
      <c r="CP778" s="59"/>
      <c r="CQ778" s="59"/>
      <c r="CR778" s="59"/>
      <c r="CS778" s="59"/>
      <c r="CT778" s="59"/>
      <c r="CU778" s="59"/>
      <c r="CV778" s="59"/>
      <c r="CW778" s="59"/>
      <c r="CX778" s="59"/>
      <c r="CY778" s="59"/>
      <c r="CZ778" s="59"/>
      <c r="DA778" s="59"/>
      <c r="DB778" s="59"/>
      <c r="DC778" s="59"/>
      <c r="DD778" s="59"/>
      <c r="DE778" s="59"/>
      <c r="DF778" s="59"/>
      <c r="DG778" s="59"/>
      <c r="DH778" s="59"/>
      <c r="DI778" s="59"/>
      <c r="DJ778" s="59"/>
      <c r="DK778" s="59"/>
      <c r="DL778" s="59"/>
      <c r="DM778" s="59"/>
      <c r="DN778" s="59"/>
      <c r="DO778" s="59"/>
      <c r="DP778" s="59"/>
      <c r="DQ778" s="59"/>
      <c r="DR778" s="59"/>
      <c r="DS778" s="59"/>
      <c r="DT778" s="59"/>
      <c r="DU778" s="59"/>
      <c r="DV778" s="59"/>
      <c r="DW778" s="59"/>
      <c r="DX778" s="59"/>
      <c r="DY778" s="59"/>
      <c r="DZ778" s="59"/>
      <c r="EA778" s="59"/>
      <c r="EB778" s="59"/>
      <c r="EC778" s="59"/>
      <c r="ED778" s="59"/>
      <c r="EE778" s="59"/>
      <c r="EF778" s="59"/>
      <c r="EG778" s="59"/>
      <c r="EH778" s="59"/>
      <c r="EI778" s="59"/>
      <c r="EJ778" s="59"/>
      <c r="EK778" s="59"/>
      <c r="EL778" s="59"/>
      <c r="EM778" s="59"/>
      <c r="EN778" s="59"/>
      <c r="EO778" s="59"/>
      <c r="EP778" s="59"/>
      <c r="EQ778" s="59"/>
      <c r="ER778" s="59"/>
      <c r="ES778" s="59"/>
      <c r="ET778" s="59"/>
      <c r="EU778" s="59"/>
      <c r="EV778" s="59"/>
      <c r="EW778" s="59"/>
      <c r="EX778" s="59"/>
      <c r="EY778" s="59"/>
      <c r="EZ778" s="59"/>
      <c r="FA778" s="59"/>
      <c r="FB778" s="59"/>
      <c r="FC778" s="59"/>
      <c r="FD778" s="59"/>
      <c r="FE778" s="59"/>
      <c r="FF778" s="59"/>
      <c r="FG778" s="59"/>
      <c r="FH778" s="59"/>
      <c r="FI778" s="59"/>
      <c r="FJ778" s="59"/>
      <c r="FK778" s="59"/>
      <c r="FL778" s="59"/>
      <c r="FM778" s="59"/>
      <c r="FN778" s="59"/>
      <c r="FO778" s="59"/>
      <c r="FP778" s="59"/>
      <c r="FQ778" s="59"/>
      <c r="FR778" s="59"/>
      <c r="FS778" s="59"/>
      <c r="FT778" s="59"/>
      <c r="FU778" s="59"/>
      <c r="FV778" s="59"/>
      <c r="FW778" s="59"/>
      <c r="FX778" s="59"/>
      <c r="FY778" s="59"/>
      <c r="FZ778" s="59"/>
      <c r="GA778" s="59"/>
      <c r="GB778" s="59"/>
      <c r="GC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  <c r="BW779" s="59"/>
      <c r="BX779" s="59"/>
      <c r="BY779" s="59"/>
      <c r="BZ779" s="59"/>
      <c r="CA779" s="59"/>
      <c r="CB779" s="59"/>
      <c r="CC779" s="59"/>
      <c r="CD779" s="59"/>
      <c r="CE779" s="59"/>
      <c r="CF779" s="59"/>
      <c r="CG779" s="59"/>
      <c r="CH779" s="59"/>
      <c r="CI779" s="59"/>
      <c r="CJ779" s="59"/>
      <c r="CK779" s="59"/>
      <c r="CL779" s="59"/>
      <c r="CM779" s="59"/>
      <c r="CN779" s="59"/>
      <c r="CO779" s="59"/>
      <c r="CP779" s="59"/>
      <c r="CQ779" s="59"/>
      <c r="CR779" s="59"/>
      <c r="CS779" s="59"/>
      <c r="CT779" s="59"/>
      <c r="CU779" s="59"/>
      <c r="CV779" s="59"/>
      <c r="CW779" s="59"/>
      <c r="CX779" s="59"/>
      <c r="CY779" s="59"/>
      <c r="CZ779" s="59"/>
      <c r="DA779" s="59"/>
      <c r="DB779" s="59"/>
      <c r="DC779" s="59"/>
      <c r="DD779" s="59"/>
      <c r="DE779" s="59"/>
      <c r="DF779" s="59"/>
      <c r="DG779" s="59"/>
      <c r="DH779" s="59"/>
      <c r="DI779" s="59"/>
      <c r="DJ779" s="59"/>
      <c r="DK779" s="59"/>
      <c r="DL779" s="59"/>
      <c r="DM779" s="59"/>
      <c r="DN779" s="59"/>
      <c r="DO779" s="59"/>
      <c r="DP779" s="59"/>
      <c r="DQ779" s="59"/>
      <c r="DR779" s="59"/>
      <c r="DS779" s="59"/>
      <c r="DT779" s="59"/>
      <c r="DU779" s="59"/>
      <c r="DV779" s="59"/>
      <c r="DW779" s="59"/>
      <c r="DX779" s="59"/>
      <c r="DY779" s="59"/>
      <c r="DZ779" s="59"/>
      <c r="EA779" s="59"/>
      <c r="EB779" s="59"/>
      <c r="EC779" s="59"/>
      <c r="ED779" s="59"/>
      <c r="EE779" s="59"/>
      <c r="EF779" s="59"/>
      <c r="EG779" s="59"/>
      <c r="EH779" s="59"/>
      <c r="EI779" s="59"/>
      <c r="EJ779" s="59"/>
      <c r="EK779" s="59"/>
      <c r="EL779" s="59"/>
      <c r="EM779" s="59"/>
      <c r="EN779" s="59"/>
      <c r="EO779" s="59"/>
      <c r="EP779" s="59"/>
      <c r="EQ779" s="59"/>
      <c r="ER779" s="59"/>
      <c r="ES779" s="59"/>
      <c r="ET779" s="59"/>
      <c r="EU779" s="59"/>
      <c r="EV779" s="59"/>
      <c r="EW779" s="59"/>
      <c r="EX779" s="59"/>
      <c r="EY779" s="59"/>
      <c r="EZ779" s="59"/>
      <c r="FA779" s="59"/>
      <c r="FB779" s="59"/>
      <c r="FC779" s="59"/>
      <c r="FD779" s="59"/>
      <c r="FE779" s="59"/>
      <c r="FF779" s="59"/>
      <c r="FG779" s="59"/>
      <c r="FH779" s="59"/>
      <c r="FI779" s="59"/>
      <c r="FJ779" s="59"/>
      <c r="FK779" s="59"/>
      <c r="FL779" s="59"/>
      <c r="FM779" s="59"/>
      <c r="FN779" s="59"/>
      <c r="FO779" s="59"/>
      <c r="FP779" s="59"/>
      <c r="FQ779" s="59"/>
      <c r="FR779" s="59"/>
      <c r="FS779" s="59"/>
      <c r="FT779" s="59"/>
      <c r="FU779" s="59"/>
      <c r="FV779" s="59"/>
      <c r="FW779" s="59"/>
      <c r="FX779" s="59"/>
      <c r="FY779" s="59"/>
      <c r="FZ779" s="59"/>
      <c r="GA779" s="59"/>
      <c r="GB779" s="59"/>
      <c r="GC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  <c r="BV780" s="59"/>
      <c r="BW780" s="59"/>
      <c r="BX780" s="59"/>
      <c r="BY780" s="59"/>
      <c r="BZ780" s="59"/>
      <c r="CA780" s="59"/>
      <c r="CB780" s="59"/>
      <c r="CC780" s="59"/>
      <c r="CD780" s="59"/>
      <c r="CE780" s="59"/>
      <c r="CF780" s="59"/>
      <c r="CG780" s="59"/>
      <c r="CH780" s="59"/>
      <c r="CI780" s="59"/>
      <c r="CJ780" s="59"/>
      <c r="CK780" s="59"/>
      <c r="CL780" s="59"/>
      <c r="CM780" s="59"/>
      <c r="CN780" s="59"/>
      <c r="CO780" s="59"/>
      <c r="CP780" s="59"/>
      <c r="CQ780" s="59"/>
      <c r="CR780" s="59"/>
      <c r="CS780" s="59"/>
      <c r="CT780" s="59"/>
      <c r="CU780" s="59"/>
      <c r="CV780" s="59"/>
      <c r="CW780" s="59"/>
      <c r="CX780" s="59"/>
      <c r="CY780" s="59"/>
      <c r="CZ780" s="59"/>
      <c r="DA780" s="59"/>
      <c r="DB780" s="59"/>
      <c r="DC780" s="59"/>
      <c r="DD780" s="59"/>
      <c r="DE780" s="59"/>
      <c r="DF780" s="59"/>
      <c r="DG780" s="59"/>
      <c r="DH780" s="59"/>
      <c r="DI780" s="59"/>
      <c r="DJ780" s="59"/>
      <c r="DK780" s="59"/>
      <c r="DL780" s="59"/>
      <c r="DM780" s="59"/>
      <c r="DN780" s="59"/>
      <c r="DO780" s="59"/>
      <c r="DP780" s="59"/>
      <c r="DQ780" s="59"/>
      <c r="DR780" s="59"/>
      <c r="DS780" s="59"/>
      <c r="DT780" s="59"/>
      <c r="DU780" s="59"/>
      <c r="DV780" s="59"/>
      <c r="DW780" s="59"/>
      <c r="DX780" s="59"/>
      <c r="DY780" s="59"/>
      <c r="DZ780" s="59"/>
      <c r="EA780" s="59"/>
      <c r="EB780" s="59"/>
      <c r="EC780" s="59"/>
      <c r="ED780" s="59"/>
      <c r="EE780" s="59"/>
      <c r="EF780" s="59"/>
      <c r="EG780" s="59"/>
      <c r="EH780" s="59"/>
      <c r="EI780" s="59"/>
      <c r="EJ780" s="59"/>
      <c r="EK780" s="59"/>
      <c r="EL780" s="59"/>
      <c r="EM780" s="59"/>
      <c r="EN780" s="59"/>
      <c r="EO780" s="59"/>
      <c r="EP780" s="59"/>
      <c r="EQ780" s="59"/>
      <c r="ER780" s="59"/>
      <c r="ES780" s="59"/>
      <c r="ET780" s="59"/>
      <c r="EU780" s="59"/>
      <c r="EV780" s="59"/>
      <c r="EW780" s="59"/>
      <c r="EX780" s="59"/>
      <c r="EY780" s="59"/>
      <c r="EZ780" s="59"/>
      <c r="FA780" s="59"/>
      <c r="FB780" s="59"/>
      <c r="FC780" s="59"/>
      <c r="FD780" s="59"/>
      <c r="FE780" s="59"/>
      <c r="FF780" s="59"/>
      <c r="FG780" s="59"/>
      <c r="FH780" s="59"/>
      <c r="FI780" s="59"/>
      <c r="FJ780" s="59"/>
      <c r="FK780" s="59"/>
      <c r="FL780" s="59"/>
      <c r="FM780" s="59"/>
      <c r="FN780" s="59"/>
      <c r="FO780" s="59"/>
      <c r="FP780" s="59"/>
      <c r="FQ780" s="59"/>
      <c r="FR780" s="59"/>
      <c r="FS780" s="59"/>
      <c r="FT780" s="59"/>
      <c r="FU780" s="59"/>
      <c r="FV780" s="59"/>
      <c r="FW780" s="59"/>
      <c r="FX780" s="59"/>
      <c r="FY780" s="59"/>
      <c r="FZ780" s="59"/>
      <c r="GA780" s="59"/>
      <c r="GB780" s="59"/>
      <c r="GC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  <c r="BV781" s="59"/>
      <c r="BW781" s="59"/>
      <c r="BX781" s="59"/>
      <c r="BY781" s="59"/>
      <c r="BZ781" s="59"/>
      <c r="CA781" s="59"/>
      <c r="CB781" s="59"/>
      <c r="CC781" s="59"/>
      <c r="CD781" s="59"/>
      <c r="CE781" s="59"/>
      <c r="CF781" s="59"/>
      <c r="CG781" s="59"/>
      <c r="CH781" s="59"/>
      <c r="CI781" s="59"/>
      <c r="CJ781" s="59"/>
      <c r="CK781" s="59"/>
      <c r="CL781" s="59"/>
      <c r="CM781" s="59"/>
      <c r="CN781" s="59"/>
      <c r="CO781" s="59"/>
      <c r="CP781" s="59"/>
      <c r="CQ781" s="59"/>
      <c r="CR781" s="59"/>
      <c r="CS781" s="59"/>
      <c r="CT781" s="59"/>
      <c r="CU781" s="59"/>
      <c r="CV781" s="59"/>
      <c r="CW781" s="59"/>
      <c r="CX781" s="59"/>
      <c r="CY781" s="59"/>
      <c r="CZ781" s="59"/>
      <c r="DA781" s="59"/>
      <c r="DB781" s="59"/>
      <c r="DC781" s="59"/>
      <c r="DD781" s="59"/>
      <c r="DE781" s="59"/>
      <c r="DF781" s="59"/>
      <c r="DG781" s="59"/>
      <c r="DH781" s="59"/>
      <c r="DI781" s="59"/>
      <c r="DJ781" s="59"/>
      <c r="DK781" s="59"/>
      <c r="DL781" s="59"/>
      <c r="DM781" s="59"/>
      <c r="DN781" s="59"/>
      <c r="DO781" s="59"/>
      <c r="DP781" s="59"/>
      <c r="DQ781" s="59"/>
      <c r="DR781" s="59"/>
      <c r="DS781" s="59"/>
      <c r="DT781" s="59"/>
      <c r="DU781" s="59"/>
      <c r="DV781" s="59"/>
      <c r="DW781" s="59"/>
      <c r="DX781" s="59"/>
      <c r="DY781" s="59"/>
      <c r="DZ781" s="59"/>
      <c r="EA781" s="59"/>
      <c r="EB781" s="59"/>
      <c r="EC781" s="59"/>
      <c r="ED781" s="59"/>
      <c r="EE781" s="59"/>
      <c r="EF781" s="59"/>
      <c r="EG781" s="59"/>
      <c r="EH781" s="59"/>
      <c r="EI781" s="59"/>
      <c r="EJ781" s="59"/>
      <c r="EK781" s="59"/>
      <c r="EL781" s="59"/>
      <c r="EM781" s="59"/>
      <c r="EN781" s="59"/>
      <c r="EO781" s="59"/>
      <c r="EP781" s="59"/>
      <c r="EQ781" s="59"/>
      <c r="ER781" s="59"/>
      <c r="ES781" s="59"/>
      <c r="ET781" s="59"/>
      <c r="EU781" s="59"/>
      <c r="EV781" s="59"/>
      <c r="EW781" s="59"/>
      <c r="EX781" s="59"/>
      <c r="EY781" s="59"/>
      <c r="EZ781" s="59"/>
      <c r="FA781" s="59"/>
      <c r="FB781" s="59"/>
      <c r="FC781" s="59"/>
      <c r="FD781" s="59"/>
      <c r="FE781" s="59"/>
      <c r="FF781" s="59"/>
      <c r="FG781" s="59"/>
      <c r="FH781" s="59"/>
      <c r="FI781" s="59"/>
      <c r="FJ781" s="59"/>
      <c r="FK781" s="59"/>
      <c r="FL781" s="59"/>
      <c r="FM781" s="59"/>
      <c r="FN781" s="59"/>
      <c r="FO781" s="59"/>
      <c r="FP781" s="59"/>
      <c r="FQ781" s="59"/>
      <c r="FR781" s="59"/>
      <c r="FS781" s="59"/>
      <c r="FT781" s="59"/>
      <c r="FU781" s="59"/>
      <c r="FV781" s="59"/>
      <c r="FW781" s="59"/>
      <c r="FX781" s="59"/>
      <c r="FY781" s="59"/>
      <c r="FZ781" s="59"/>
      <c r="GA781" s="59"/>
      <c r="GB781" s="59"/>
      <c r="GC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  <c r="BV782" s="59"/>
      <c r="BW782" s="59"/>
      <c r="BX782" s="59"/>
      <c r="BY782" s="59"/>
      <c r="BZ782" s="59"/>
      <c r="CA782" s="59"/>
      <c r="CB782" s="59"/>
      <c r="CC782" s="59"/>
      <c r="CD782" s="59"/>
      <c r="CE782" s="59"/>
      <c r="CF782" s="59"/>
      <c r="CG782" s="59"/>
      <c r="CH782" s="59"/>
      <c r="CI782" s="59"/>
      <c r="CJ782" s="59"/>
      <c r="CK782" s="59"/>
      <c r="CL782" s="59"/>
      <c r="CM782" s="59"/>
      <c r="CN782" s="59"/>
      <c r="CO782" s="59"/>
      <c r="CP782" s="59"/>
      <c r="CQ782" s="59"/>
      <c r="CR782" s="59"/>
      <c r="CS782" s="59"/>
      <c r="CT782" s="59"/>
      <c r="CU782" s="59"/>
      <c r="CV782" s="59"/>
      <c r="CW782" s="59"/>
      <c r="CX782" s="59"/>
      <c r="CY782" s="59"/>
      <c r="CZ782" s="59"/>
      <c r="DA782" s="59"/>
      <c r="DB782" s="59"/>
      <c r="DC782" s="59"/>
      <c r="DD782" s="59"/>
      <c r="DE782" s="59"/>
      <c r="DF782" s="59"/>
      <c r="DG782" s="59"/>
      <c r="DH782" s="59"/>
      <c r="DI782" s="59"/>
      <c r="DJ782" s="59"/>
      <c r="DK782" s="59"/>
      <c r="DL782" s="59"/>
      <c r="DM782" s="59"/>
      <c r="DN782" s="59"/>
      <c r="DO782" s="59"/>
      <c r="DP782" s="59"/>
      <c r="DQ782" s="59"/>
      <c r="DR782" s="59"/>
      <c r="DS782" s="59"/>
      <c r="DT782" s="59"/>
      <c r="DU782" s="59"/>
      <c r="DV782" s="59"/>
      <c r="DW782" s="59"/>
      <c r="DX782" s="59"/>
      <c r="DY782" s="59"/>
      <c r="DZ782" s="59"/>
      <c r="EA782" s="59"/>
      <c r="EB782" s="59"/>
      <c r="EC782" s="59"/>
      <c r="ED782" s="59"/>
      <c r="EE782" s="59"/>
      <c r="EF782" s="59"/>
      <c r="EG782" s="59"/>
      <c r="EH782" s="59"/>
      <c r="EI782" s="59"/>
      <c r="EJ782" s="59"/>
      <c r="EK782" s="59"/>
      <c r="EL782" s="59"/>
      <c r="EM782" s="59"/>
      <c r="EN782" s="59"/>
      <c r="EO782" s="59"/>
      <c r="EP782" s="59"/>
      <c r="EQ782" s="59"/>
      <c r="ER782" s="59"/>
      <c r="ES782" s="59"/>
      <c r="ET782" s="59"/>
      <c r="EU782" s="59"/>
      <c r="EV782" s="59"/>
      <c r="EW782" s="59"/>
      <c r="EX782" s="59"/>
      <c r="EY782" s="59"/>
      <c r="EZ782" s="59"/>
      <c r="FA782" s="59"/>
      <c r="FB782" s="59"/>
      <c r="FC782" s="59"/>
      <c r="FD782" s="59"/>
      <c r="FE782" s="59"/>
      <c r="FF782" s="59"/>
      <c r="FG782" s="59"/>
      <c r="FH782" s="59"/>
      <c r="FI782" s="59"/>
      <c r="FJ782" s="59"/>
      <c r="FK782" s="59"/>
      <c r="FL782" s="59"/>
      <c r="FM782" s="59"/>
      <c r="FN782" s="59"/>
      <c r="FO782" s="59"/>
      <c r="FP782" s="59"/>
      <c r="FQ782" s="59"/>
      <c r="FR782" s="59"/>
      <c r="FS782" s="59"/>
      <c r="FT782" s="59"/>
      <c r="FU782" s="59"/>
      <c r="FV782" s="59"/>
      <c r="FW782" s="59"/>
      <c r="FX782" s="59"/>
      <c r="FY782" s="59"/>
      <c r="FZ782" s="59"/>
      <c r="GA782" s="59"/>
      <c r="GB782" s="59"/>
      <c r="GC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  <c r="BV783" s="59"/>
      <c r="BW783" s="59"/>
      <c r="BX783" s="59"/>
      <c r="BY783" s="59"/>
      <c r="BZ783" s="59"/>
      <c r="CA783" s="59"/>
      <c r="CB783" s="59"/>
      <c r="CC783" s="59"/>
      <c r="CD783" s="59"/>
      <c r="CE783" s="59"/>
      <c r="CF783" s="59"/>
      <c r="CG783" s="59"/>
      <c r="CH783" s="59"/>
      <c r="CI783" s="59"/>
      <c r="CJ783" s="59"/>
      <c r="CK783" s="59"/>
      <c r="CL783" s="59"/>
      <c r="CM783" s="59"/>
      <c r="CN783" s="59"/>
      <c r="CO783" s="59"/>
      <c r="CP783" s="59"/>
      <c r="CQ783" s="59"/>
      <c r="CR783" s="59"/>
      <c r="CS783" s="59"/>
      <c r="CT783" s="59"/>
      <c r="CU783" s="59"/>
      <c r="CV783" s="59"/>
      <c r="CW783" s="59"/>
      <c r="CX783" s="59"/>
      <c r="CY783" s="59"/>
      <c r="CZ783" s="59"/>
      <c r="DA783" s="59"/>
      <c r="DB783" s="59"/>
      <c r="DC783" s="59"/>
      <c r="DD783" s="59"/>
      <c r="DE783" s="59"/>
      <c r="DF783" s="59"/>
      <c r="DG783" s="59"/>
      <c r="DH783" s="59"/>
      <c r="DI783" s="59"/>
      <c r="DJ783" s="59"/>
      <c r="DK783" s="59"/>
      <c r="DL783" s="59"/>
      <c r="DM783" s="59"/>
      <c r="DN783" s="59"/>
      <c r="DO783" s="59"/>
      <c r="DP783" s="59"/>
      <c r="DQ783" s="59"/>
      <c r="DR783" s="59"/>
      <c r="DS783" s="59"/>
      <c r="DT783" s="59"/>
      <c r="DU783" s="59"/>
      <c r="DV783" s="59"/>
      <c r="DW783" s="59"/>
      <c r="DX783" s="59"/>
      <c r="DY783" s="59"/>
      <c r="DZ783" s="59"/>
      <c r="EA783" s="59"/>
      <c r="EB783" s="59"/>
      <c r="EC783" s="59"/>
      <c r="ED783" s="59"/>
      <c r="EE783" s="59"/>
      <c r="EF783" s="59"/>
      <c r="EG783" s="59"/>
      <c r="EH783" s="59"/>
      <c r="EI783" s="59"/>
      <c r="EJ783" s="59"/>
      <c r="EK783" s="59"/>
      <c r="EL783" s="59"/>
      <c r="EM783" s="59"/>
      <c r="EN783" s="59"/>
      <c r="EO783" s="59"/>
      <c r="EP783" s="59"/>
      <c r="EQ783" s="59"/>
      <c r="ER783" s="59"/>
      <c r="ES783" s="59"/>
      <c r="ET783" s="59"/>
      <c r="EU783" s="59"/>
      <c r="EV783" s="59"/>
      <c r="EW783" s="59"/>
      <c r="EX783" s="59"/>
      <c r="EY783" s="59"/>
      <c r="EZ783" s="59"/>
      <c r="FA783" s="59"/>
      <c r="FB783" s="59"/>
      <c r="FC783" s="59"/>
      <c r="FD783" s="59"/>
      <c r="FE783" s="59"/>
      <c r="FF783" s="59"/>
      <c r="FG783" s="59"/>
      <c r="FH783" s="59"/>
      <c r="FI783" s="59"/>
      <c r="FJ783" s="59"/>
      <c r="FK783" s="59"/>
      <c r="FL783" s="59"/>
      <c r="FM783" s="59"/>
      <c r="FN783" s="59"/>
      <c r="FO783" s="59"/>
      <c r="FP783" s="59"/>
      <c r="FQ783" s="59"/>
      <c r="FR783" s="59"/>
      <c r="FS783" s="59"/>
      <c r="FT783" s="59"/>
      <c r="FU783" s="59"/>
      <c r="FV783" s="59"/>
      <c r="FW783" s="59"/>
      <c r="FX783" s="59"/>
      <c r="FY783" s="59"/>
      <c r="FZ783" s="59"/>
      <c r="GA783" s="59"/>
      <c r="GB783" s="59"/>
      <c r="GC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  <c r="BV784" s="59"/>
      <c r="BW784" s="59"/>
      <c r="BX784" s="59"/>
      <c r="BY784" s="59"/>
      <c r="BZ784" s="59"/>
      <c r="CA784" s="59"/>
      <c r="CB784" s="59"/>
      <c r="CC784" s="59"/>
      <c r="CD784" s="59"/>
      <c r="CE784" s="59"/>
      <c r="CF784" s="59"/>
      <c r="CG784" s="59"/>
      <c r="CH784" s="59"/>
      <c r="CI784" s="59"/>
      <c r="CJ784" s="59"/>
      <c r="CK784" s="59"/>
      <c r="CL784" s="59"/>
      <c r="CM784" s="59"/>
      <c r="CN784" s="59"/>
      <c r="CO784" s="59"/>
      <c r="CP784" s="59"/>
      <c r="CQ784" s="59"/>
      <c r="CR784" s="59"/>
      <c r="CS784" s="59"/>
      <c r="CT784" s="59"/>
      <c r="CU784" s="59"/>
      <c r="CV784" s="59"/>
      <c r="CW784" s="59"/>
      <c r="CX784" s="59"/>
      <c r="CY784" s="59"/>
      <c r="CZ784" s="59"/>
      <c r="DA784" s="59"/>
      <c r="DB784" s="59"/>
      <c r="DC784" s="59"/>
      <c r="DD784" s="59"/>
      <c r="DE784" s="59"/>
      <c r="DF784" s="59"/>
      <c r="DG784" s="59"/>
      <c r="DH784" s="59"/>
      <c r="DI784" s="59"/>
      <c r="DJ784" s="59"/>
      <c r="DK784" s="59"/>
      <c r="DL784" s="59"/>
      <c r="DM784" s="59"/>
      <c r="DN784" s="59"/>
      <c r="DO784" s="59"/>
      <c r="DP784" s="59"/>
      <c r="DQ784" s="59"/>
      <c r="DR784" s="59"/>
      <c r="DS784" s="59"/>
      <c r="DT784" s="59"/>
      <c r="DU784" s="59"/>
      <c r="DV784" s="59"/>
      <c r="DW784" s="59"/>
      <c r="DX784" s="59"/>
      <c r="DY784" s="59"/>
      <c r="DZ784" s="59"/>
      <c r="EA784" s="59"/>
      <c r="EB784" s="59"/>
      <c r="EC784" s="59"/>
      <c r="ED784" s="59"/>
      <c r="EE784" s="59"/>
      <c r="EF784" s="59"/>
      <c r="EG784" s="59"/>
      <c r="EH784" s="59"/>
      <c r="EI784" s="59"/>
      <c r="EJ784" s="59"/>
      <c r="EK784" s="59"/>
      <c r="EL784" s="59"/>
      <c r="EM784" s="59"/>
      <c r="EN784" s="59"/>
      <c r="EO784" s="59"/>
      <c r="EP784" s="59"/>
      <c r="EQ784" s="59"/>
      <c r="ER784" s="59"/>
      <c r="ES784" s="59"/>
      <c r="ET784" s="59"/>
      <c r="EU784" s="59"/>
      <c r="EV784" s="59"/>
      <c r="EW784" s="59"/>
      <c r="EX784" s="59"/>
      <c r="EY784" s="59"/>
      <c r="EZ784" s="59"/>
      <c r="FA784" s="59"/>
      <c r="FB784" s="59"/>
      <c r="FC784" s="59"/>
      <c r="FD784" s="59"/>
      <c r="FE784" s="59"/>
      <c r="FF784" s="59"/>
      <c r="FG784" s="59"/>
      <c r="FH784" s="59"/>
      <c r="FI784" s="59"/>
      <c r="FJ784" s="59"/>
      <c r="FK784" s="59"/>
      <c r="FL784" s="59"/>
      <c r="FM784" s="59"/>
      <c r="FN784" s="59"/>
      <c r="FO784" s="59"/>
      <c r="FP784" s="59"/>
      <c r="FQ784" s="59"/>
      <c r="FR784" s="59"/>
      <c r="FS784" s="59"/>
      <c r="FT784" s="59"/>
      <c r="FU784" s="59"/>
      <c r="FV784" s="59"/>
      <c r="FW784" s="59"/>
      <c r="FX784" s="59"/>
      <c r="FY784" s="59"/>
      <c r="FZ784" s="59"/>
      <c r="GA784" s="59"/>
      <c r="GB784" s="59"/>
      <c r="GC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  <c r="BV785" s="59"/>
      <c r="BW785" s="59"/>
      <c r="BX785" s="59"/>
      <c r="BY785" s="59"/>
      <c r="BZ785" s="59"/>
      <c r="CA785" s="59"/>
      <c r="CB785" s="59"/>
      <c r="CC785" s="59"/>
      <c r="CD785" s="59"/>
      <c r="CE785" s="59"/>
      <c r="CF785" s="59"/>
      <c r="CG785" s="59"/>
      <c r="CH785" s="59"/>
      <c r="CI785" s="59"/>
      <c r="CJ785" s="59"/>
      <c r="CK785" s="59"/>
      <c r="CL785" s="59"/>
      <c r="CM785" s="59"/>
      <c r="CN785" s="59"/>
      <c r="CO785" s="59"/>
      <c r="CP785" s="59"/>
      <c r="CQ785" s="59"/>
      <c r="CR785" s="59"/>
      <c r="CS785" s="59"/>
      <c r="CT785" s="59"/>
      <c r="CU785" s="59"/>
      <c r="CV785" s="59"/>
      <c r="CW785" s="59"/>
      <c r="CX785" s="59"/>
      <c r="CY785" s="59"/>
      <c r="CZ785" s="59"/>
      <c r="DA785" s="59"/>
      <c r="DB785" s="59"/>
      <c r="DC785" s="59"/>
      <c r="DD785" s="59"/>
      <c r="DE785" s="59"/>
      <c r="DF785" s="59"/>
      <c r="DG785" s="59"/>
      <c r="DH785" s="59"/>
      <c r="DI785" s="59"/>
      <c r="DJ785" s="59"/>
      <c r="DK785" s="59"/>
      <c r="DL785" s="59"/>
      <c r="DM785" s="59"/>
      <c r="DN785" s="59"/>
      <c r="DO785" s="59"/>
      <c r="DP785" s="59"/>
      <c r="DQ785" s="59"/>
      <c r="DR785" s="59"/>
      <c r="DS785" s="59"/>
      <c r="DT785" s="59"/>
      <c r="DU785" s="59"/>
      <c r="DV785" s="59"/>
      <c r="DW785" s="59"/>
      <c r="DX785" s="59"/>
      <c r="DY785" s="59"/>
      <c r="DZ785" s="59"/>
      <c r="EA785" s="59"/>
      <c r="EB785" s="59"/>
      <c r="EC785" s="59"/>
      <c r="ED785" s="59"/>
      <c r="EE785" s="59"/>
      <c r="EF785" s="59"/>
      <c r="EG785" s="59"/>
      <c r="EH785" s="59"/>
      <c r="EI785" s="59"/>
      <c r="EJ785" s="59"/>
      <c r="EK785" s="59"/>
      <c r="EL785" s="59"/>
      <c r="EM785" s="59"/>
      <c r="EN785" s="59"/>
      <c r="EO785" s="59"/>
      <c r="EP785" s="59"/>
      <c r="EQ785" s="59"/>
      <c r="ER785" s="59"/>
      <c r="ES785" s="59"/>
      <c r="ET785" s="59"/>
      <c r="EU785" s="59"/>
      <c r="EV785" s="59"/>
      <c r="EW785" s="59"/>
      <c r="EX785" s="59"/>
      <c r="EY785" s="59"/>
      <c r="EZ785" s="59"/>
      <c r="FA785" s="59"/>
      <c r="FB785" s="59"/>
      <c r="FC785" s="59"/>
      <c r="FD785" s="59"/>
      <c r="FE785" s="59"/>
      <c r="FF785" s="59"/>
      <c r="FG785" s="59"/>
      <c r="FH785" s="59"/>
      <c r="FI785" s="59"/>
      <c r="FJ785" s="59"/>
      <c r="FK785" s="59"/>
      <c r="FL785" s="59"/>
      <c r="FM785" s="59"/>
      <c r="FN785" s="59"/>
      <c r="FO785" s="59"/>
      <c r="FP785" s="59"/>
      <c r="FQ785" s="59"/>
      <c r="FR785" s="59"/>
      <c r="FS785" s="59"/>
      <c r="FT785" s="59"/>
      <c r="FU785" s="59"/>
      <c r="FV785" s="59"/>
      <c r="FW785" s="59"/>
      <c r="FX785" s="59"/>
      <c r="FY785" s="59"/>
      <c r="FZ785" s="59"/>
      <c r="GA785" s="59"/>
      <c r="GB785" s="59"/>
      <c r="GC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  <c r="BW786" s="59"/>
      <c r="BX786" s="59"/>
      <c r="BY786" s="59"/>
      <c r="BZ786" s="59"/>
      <c r="CA786" s="59"/>
      <c r="CB786" s="59"/>
      <c r="CC786" s="59"/>
      <c r="CD786" s="59"/>
      <c r="CE786" s="59"/>
      <c r="CF786" s="59"/>
      <c r="CG786" s="59"/>
      <c r="CH786" s="59"/>
      <c r="CI786" s="59"/>
      <c r="CJ786" s="59"/>
      <c r="CK786" s="59"/>
      <c r="CL786" s="59"/>
      <c r="CM786" s="59"/>
      <c r="CN786" s="59"/>
      <c r="CO786" s="59"/>
      <c r="CP786" s="59"/>
      <c r="CQ786" s="59"/>
      <c r="CR786" s="59"/>
      <c r="CS786" s="59"/>
      <c r="CT786" s="59"/>
      <c r="CU786" s="59"/>
      <c r="CV786" s="59"/>
      <c r="CW786" s="59"/>
      <c r="CX786" s="59"/>
      <c r="CY786" s="59"/>
      <c r="CZ786" s="59"/>
      <c r="DA786" s="59"/>
      <c r="DB786" s="59"/>
      <c r="DC786" s="59"/>
      <c r="DD786" s="59"/>
      <c r="DE786" s="59"/>
      <c r="DF786" s="59"/>
      <c r="DG786" s="59"/>
      <c r="DH786" s="59"/>
      <c r="DI786" s="59"/>
      <c r="DJ786" s="59"/>
      <c r="DK786" s="59"/>
      <c r="DL786" s="59"/>
      <c r="DM786" s="59"/>
      <c r="DN786" s="59"/>
      <c r="DO786" s="59"/>
      <c r="DP786" s="59"/>
      <c r="DQ786" s="59"/>
      <c r="DR786" s="59"/>
      <c r="DS786" s="59"/>
      <c r="DT786" s="59"/>
      <c r="DU786" s="59"/>
      <c r="DV786" s="59"/>
      <c r="DW786" s="59"/>
      <c r="DX786" s="59"/>
      <c r="DY786" s="59"/>
      <c r="DZ786" s="59"/>
      <c r="EA786" s="59"/>
      <c r="EB786" s="59"/>
      <c r="EC786" s="59"/>
      <c r="ED786" s="59"/>
      <c r="EE786" s="59"/>
      <c r="EF786" s="59"/>
      <c r="EG786" s="59"/>
      <c r="EH786" s="59"/>
      <c r="EI786" s="59"/>
      <c r="EJ786" s="59"/>
      <c r="EK786" s="59"/>
      <c r="EL786" s="59"/>
      <c r="EM786" s="59"/>
      <c r="EN786" s="59"/>
      <c r="EO786" s="59"/>
      <c r="EP786" s="59"/>
      <c r="EQ786" s="59"/>
      <c r="ER786" s="59"/>
      <c r="ES786" s="59"/>
      <c r="ET786" s="59"/>
      <c r="EU786" s="59"/>
      <c r="EV786" s="59"/>
      <c r="EW786" s="59"/>
      <c r="EX786" s="59"/>
      <c r="EY786" s="59"/>
      <c r="EZ786" s="59"/>
      <c r="FA786" s="59"/>
      <c r="FB786" s="59"/>
      <c r="FC786" s="59"/>
      <c r="FD786" s="59"/>
      <c r="FE786" s="59"/>
      <c r="FF786" s="59"/>
      <c r="FG786" s="59"/>
      <c r="FH786" s="59"/>
      <c r="FI786" s="59"/>
      <c r="FJ786" s="59"/>
      <c r="FK786" s="59"/>
      <c r="FL786" s="59"/>
      <c r="FM786" s="59"/>
      <c r="FN786" s="59"/>
      <c r="FO786" s="59"/>
      <c r="FP786" s="59"/>
      <c r="FQ786" s="59"/>
      <c r="FR786" s="59"/>
      <c r="FS786" s="59"/>
      <c r="FT786" s="59"/>
      <c r="FU786" s="59"/>
      <c r="FV786" s="59"/>
      <c r="FW786" s="59"/>
      <c r="FX786" s="59"/>
      <c r="FY786" s="59"/>
      <c r="FZ786" s="59"/>
      <c r="GA786" s="59"/>
      <c r="GB786" s="59"/>
      <c r="GC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  <c r="BW787" s="59"/>
      <c r="BX787" s="59"/>
      <c r="BY787" s="59"/>
      <c r="BZ787" s="59"/>
      <c r="CA787" s="59"/>
      <c r="CB787" s="59"/>
      <c r="CC787" s="59"/>
      <c r="CD787" s="59"/>
      <c r="CE787" s="59"/>
      <c r="CF787" s="59"/>
      <c r="CG787" s="59"/>
      <c r="CH787" s="59"/>
      <c r="CI787" s="59"/>
      <c r="CJ787" s="59"/>
      <c r="CK787" s="59"/>
      <c r="CL787" s="59"/>
      <c r="CM787" s="59"/>
      <c r="CN787" s="59"/>
      <c r="CO787" s="59"/>
      <c r="CP787" s="59"/>
      <c r="CQ787" s="59"/>
      <c r="CR787" s="59"/>
      <c r="CS787" s="59"/>
      <c r="CT787" s="59"/>
      <c r="CU787" s="59"/>
      <c r="CV787" s="59"/>
      <c r="CW787" s="59"/>
      <c r="CX787" s="59"/>
      <c r="CY787" s="59"/>
      <c r="CZ787" s="59"/>
      <c r="DA787" s="59"/>
      <c r="DB787" s="59"/>
      <c r="DC787" s="59"/>
      <c r="DD787" s="59"/>
      <c r="DE787" s="59"/>
      <c r="DF787" s="59"/>
      <c r="DG787" s="59"/>
      <c r="DH787" s="59"/>
      <c r="DI787" s="59"/>
      <c r="DJ787" s="59"/>
      <c r="DK787" s="59"/>
      <c r="DL787" s="59"/>
      <c r="DM787" s="59"/>
      <c r="DN787" s="59"/>
      <c r="DO787" s="59"/>
      <c r="DP787" s="59"/>
      <c r="DQ787" s="59"/>
      <c r="DR787" s="59"/>
      <c r="DS787" s="59"/>
      <c r="DT787" s="59"/>
      <c r="DU787" s="59"/>
      <c r="DV787" s="59"/>
      <c r="DW787" s="59"/>
      <c r="DX787" s="59"/>
      <c r="DY787" s="59"/>
      <c r="DZ787" s="59"/>
      <c r="EA787" s="59"/>
      <c r="EB787" s="59"/>
      <c r="EC787" s="59"/>
      <c r="ED787" s="59"/>
      <c r="EE787" s="59"/>
      <c r="EF787" s="59"/>
      <c r="EG787" s="59"/>
      <c r="EH787" s="59"/>
      <c r="EI787" s="59"/>
      <c r="EJ787" s="59"/>
      <c r="EK787" s="59"/>
      <c r="EL787" s="59"/>
      <c r="EM787" s="59"/>
      <c r="EN787" s="59"/>
      <c r="EO787" s="59"/>
      <c r="EP787" s="59"/>
      <c r="EQ787" s="59"/>
      <c r="ER787" s="59"/>
      <c r="ES787" s="59"/>
      <c r="ET787" s="59"/>
      <c r="EU787" s="59"/>
      <c r="EV787" s="59"/>
      <c r="EW787" s="59"/>
      <c r="EX787" s="59"/>
      <c r="EY787" s="59"/>
      <c r="EZ787" s="59"/>
      <c r="FA787" s="59"/>
      <c r="FB787" s="59"/>
      <c r="FC787" s="59"/>
      <c r="FD787" s="59"/>
      <c r="FE787" s="59"/>
      <c r="FF787" s="59"/>
      <c r="FG787" s="59"/>
      <c r="FH787" s="59"/>
      <c r="FI787" s="59"/>
      <c r="FJ787" s="59"/>
      <c r="FK787" s="59"/>
      <c r="FL787" s="59"/>
      <c r="FM787" s="59"/>
      <c r="FN787" s="59"/>
      <c r="FO787" s="59"/>
      <c r="FP787" s="59"/>
      <c r="FQ787" s="59"/>
      <c r="FR787" s="59"/>
      <c r="FS787" s="59"/>
      <c r="FT787" s="59"/>
      <c r="FU787" s="59"/>
      <c r="FV787" s="59"/>
      <c r="FW787" s="59"/>
      <c r="FX787" s="59"/>
      <c r="FY787" s="59"/>
      <c r="FZ787" s="59"/>
      <c r="GA787" s="59"/>
      <c r="GB787" s="59"/>
      <c r="GC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  <c r="BW788" s="59"/>
      <c r="BX788" s="59"/>
      <c r="BY788" s="59"/>
      <c r="BZ788" s="59"/>
      <c r="CA788" s="59"/>
      <c r="CB788" s="59"/>
      <c r="CC788" s="59"/>
      <c r="CD788" s="59"/>
      <c r="CE788" s="59"/>
      <c r="CF788" s="59"/>
      <c r="CG788" s="59"/>
      <c r="CH788" s="59"/>
      <c r="CI788" s="59"/>
      <c r="CJ788" s="59"/>
      <c r="CK788" s="59"/>
      <c r="CL788" s="59"/>
      <c r="CM788" s="59"/>
      <c r="CN788" s="59"/>
      <c r="CO788" s="59"/>
      <c r="CP788" s="59"/>
      <c r="CQ788" s="59"/>
      <c r="CR788" s="59"/>
      <c r="CS788" s="59"/>
      <c r="CT788" s="59"/>
      <c r="CU788" s="59"/>
      <c r="CV788" s="59"/>
      <c r="CW788" s="59"/>
      <c r="CX788" s="59"/>
      <c r="CY788" s="59"/>
      <c r="CZ788" s="59"/>
      <c r="DA788" s="59"/>
      <c r="DB788" s="59"/>
      <c r="DC788" s="59"/>
      <c r="DD788" s="59"/>
      <c r="DE788" s="59"/>
      <c r="DF788" s="59"/>
      <c r="DG788" s="59"/>
      <c r="DH788" s="59"/>
      <c r="DI788" s="59"/>
      <c r="DJ788" s="59"/>
      <c r="DK788" s="59"/>
      <c r="DL788" s="59"/>
      <c r="DM788" s="59"/>
      <c r="DN788" s="59"/>
      <c r="DO788" s="59"/>
      <c r="DP788" s="59"/>
      <c r="DQ788" s="59"/>
      <c r="DR788" s="59"/>
      <c r="DS788" s="59"/>
      <c r="DT788" s="59"/>
      <c r="DU788" s="59"/>
      <c r="DV788" s="59"/>
      <c r="DW788" s="59"/>
      <c r="DX788" s="59"/>
      <c r="DY788" s="59"/>
      <c r="DZ788" s="59"/>
      <c r="EA788" s="59"/>
      <c r="EB788" s="59"/>
      <c r="EC788" s="59"/>
      <c r="ED788" s="59"/>
      <c r="EE788" s="59"/>
      <c r="EF788" s="59"/>
      <c r="EG788" s="59"/>
      <c r="EH788" s="59"/>
      <c r="EI788" s="59"/>
      <c r="EJ788" s="59"/>
      <c r="EK788" s="59"/>
      <c r="EL788" s="59"/>
      <c r="EM788" s="59"/>
      <c r="EN788" s="59"/>
      <c r="EO788" s="59"/>
      <c r="EP788" s="59"/>
      <c r="EQ788" s="59"/>
      <c r="ER788" s="59"/>
      <c r="ES788" s="59"/>
      <c r="ET788" s="59"/>
      <c r="EU788" s="59"/>
      <c r="EV788" s="59"/>
      <c r="EW788" s="59"/>
      <c r="EX788" s="59"/>
      <c r="EY788" s="59"/>
      <c r="EZ788" s="59"/>
      <c r="FA788" s="59"/>
      <c r="FB788" s="59"/>
      <c r="FC788" s="59"/>
      <c r="FD788" s="59"/>
      <c r="FE788" s="59"/>
      <c r="FF788" s="59"/>
      <c r="FG788" s="59"/>
      <c r="FH788" s="59"/>
      <c r="FI788" s="59"/>
      <c r="FJ788" s="59"/>
      <c r="FK788" s="59"/>
      <c r="FL788" s="59"/>
      <c r="FM788" s="59"/>
      <c r="FN788" s="59"/>
      <c r="FO788" s="59"/>
      <c r="FP788" s="59"/>
      <c r="FQ788" s="59"/>
      <c r="FR788" s="59"/>
      <c r="FS788" s="59"/>
      <c r="FT788" s="59"/>
      <c r="FU788" s="59"/>
      <c r="FV788" s="59"/>
      <c r="FW788" s="59"/>
      <c r="FX788" s="59"/>
      <c r="FY788" s="59"/>
      <c r="FZ788" s="59"/>
      <c r="GA788" s="59"/>
      <c r="GB788" s="59"/>
      <c r="GC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  <c r="BW789" s="59"/>
      <c r="BX789" s="59"/>
      <c r="BY789" s="59"/>
      <c r="BZ789" s="59"/>
      <c r="CA789" s="59"/>
      <c r="CB789" s="59"/>
      <c r="CC789" s="59"/>
      <c r="CD789" s="59"/>
      <c r="CE789" s="59"/>
      <c r="CF789" s="59"/>
      <c r="CG789" s="59"/>
      <c r="CH789" s="59"/>
      <c r="CI789" s="59"/>
      <c r="CJ789" s="59"/>
      <c r="CK789" s="59"/>
      <c r="CL789" s="59"/>
      <c r="CM789" s="59"/>
      <c r="CN789" s="59"/>
      <c r="CO789" s="59"/>
      <c r="CP789" s="59"/>
      <c r="CQ789" s="59"/>
      <c r="CR789" s="59"/>
      <c r="CS789" s="59"/>
      <c r="CT789" s="59"/>
      <c r="CU789" s="59"/>
      <c r="CV789" s="59"/>
      <c r="CW789" s="59"/>
      <c r="CX789" s="59"/>
      <c r="CY789" s="59"/>
      <c r="CZ789" s="59"/>
      <c r="DA789" s="59"/>
      <c r="DB789" s="59"/>
      <c r="DC789" s="59"/>
      <c r="DD789" s="59"/>
      <c r="DE789" s="59"/>
      <c r="DF789" s="59"/>
      <c r="DG789" s="59"/>
      <c r="DH789" s="59"/>
      <c r="DI789" s="59"/>
      <c r="DJ789" s="59"/>
      <c r="DK789" s="59"/>
      <c r="DL789" s="59"/>
      <c r="DM789" s="59"/>
      <c r="DN789" s="59"/>
      <c r="DO789" s="59"/>
      <c r="DP789" s="59"/>
      <c r="DQ789" s="59"/>
      <c r="DR789" s="59"/>
      <c r="DS789" s="59"/>
      <c r="DT789" s="59"/>
      <c r="DU789" s="59"/>
      <c r="DV789" s="59"/>
      <c r="DW789" s="59"/>
      <c r="DX789" s="59"/>
      <c r="DY789" s="59"/>
      <c r="DZ789" s="59"/>
      <c r="EA789" s="59"/>
      <c r="EB789" s="59"/>
      <c r="EC789" s="59"/>
      <c r="ED789" s="59"/>
      <c r="EE789" s="59"/>
      <c r="EF789" s="59"/>
      <c r="EG789" s="59"/>
      <c r="EH789" s="59"/>
      <c r="EI789" s="59"/>
      <c r="EJ789" s="59"/>
      <c r="EK789" s="59"/>
      <c r="EL789" s="59"/>
      <c r="EM789" s="59"/>
      <c r="EN789" s="59"/>
      <c r="EO789" s="59"/>
      <c r="EP789" s="59"/>
      <c r="EQ789" s="59"/>
      <c r="ER789" s="59"/>
      <c r="ES789" s="59"/>
      <c r="ET789" s="59"/>
      <c r="EU789" s="59"/>
      <c r="EV789" s="59"/>
      <c r="EW789" s="59"/>
      <c r="EX789" s="59"/>
      <c r="EY789" s="59"/>
      <c r="EZ789" s="59"/>
      <c r="FA789" s="59"/>
      <c r="FB789" s="59"/>
      <c r="FC789" s="59"/>
      <c r="FD789" s="59"/>
      <c r="FE789" s="59"/>
      <c r="FF789" s="59"/>
      <c r="FG789" s="59"/>
      <c r="FH789" s="59"/>
      <c r="FI789" s="59"/>
      <c r="FJ789" s="59"/>
      <c r="FK789" s="59"/>
      <c r="FL789" s="59"/>
      <c r="FM789" s="59"/>
      <c r="FN789" s="59"/>
      <c r="FO789" s="59"/>
      <c r="FP789" s="59"/>
      <c r="FQ789" s="59"/>
      <c r="FR789" s="59"/>
      <c r="FS789" s="59"/>
      <c r="FT789" s="59"/>
      <c r="FU789" s="59"/>
      <c r="FV789" s="59"/>
      <c r="FW789" s="59"/>
      <c r="FX789" s="59"/>
      <c r="FY789" s="59"/>
      <c r="FZ789" s="59"/>
      <c r="GA789" s="59"/>
      <c r="GB789" s="59"/>
      <c r="GC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59"/>
      <c r="CB790" s="59"/>
      <c r="CC790" s="59"/>
      <c r="CD790" s="59"/>
      <c r="CE790" s="59"/>
      <c r="CF790" s="59"/>
      <c r="CG790" s="59"/>
      <c r="CH790" s="59"/>
      <c r="CI790" s="59"/>
      <c r="CJ790" s="59"/>
      <c r="CK790" s="59"/>
      <c r="CL790" s="59"/>
      <c r="CM790" s="59"/>
      <c r="CN790" s="59"/>
      <c r="CO790" s="59"/>
      <c r="CP790" s="59"/>
      <c r="CQ790" s="59"/>
      <c r="CR790" s="59"/>
      <c r="CS790" s="59"/>
      <c r="CT790" s="59"/>
      <c r="CU790" s="59"/>
      <c r="CV790" s="59"/>
      <c r="CW790" s="59"/>
      <c r="CX790" s="59"/>
      <c r="CY790" s="59"/>
      <c r="CZ790" s="59"/>
      <c r="DA790" s="59"/>
      <c r="DB790" s="59"/>
      <c r="DC790" s="59"/>
      <c r="DD790" s="59"/>
      <c r="DE790" s="59"/>
      <c r="DF790" s="59"/>
      <c r="DG790" s="59"/>
      <c r="DH790" s="59"/>
      <c r="DI790" s="59"/>
      <c r="DJ790" s="59"/>
      <c r="DK790" s="59"/>
      <c r="DL790" s="59"/>
      <c r="DM790" s="59"/>
      <c r="DN790" s="59"/>
      <c r="DO790" s="59"/>
      <c r="DP790" s="59"/>
      <c r="DQ790" s="59"/>
      <c r="DR790" s="59"/>
      <c r="DS790" s="59"/>
      <c r="DT790" s="59"/>
      <c r="DU790" s="59"/>
      <c r="DV790" s="59"/>
      <c r="DW790" s="59"/>
      <c r="DX790" s="59"/>
      <c r="DY790" s="59"/>
      <c r="DZ790" s="59"/>
      <c r="EA790" s="59"/>
      <c r="EB790" s="59"/>
      <c r="EC790" s="59"/>
      <c r="ED790" s="59"/>
      <c r="EE790" s="59"/>
      <c r="EF790" s="59"/>
      <c r="EG790" s="59"/>
      <c r="EH790" s="59"/>
      <c r="EI790" s="59"/>
      <c r="EJ790" s="59"/>
      <c r="EK790" s="59"/>
      <c r="EL790" s="59"/>
      <c r="EM790" s="59"/>
      <c r="EN790" s="59"/>
      <c r="EO790" s="59"/>
      <c r="EP790" s="59"/>
      <c r="EQ790" s="59"/>
      <c r="ER790" s="59"/>
      <c r="ES790" s="59"/>
      <c r="ET790" s="59"/>
      <c r="EU790" s="59"/>
      <c r="EV790" s="59"/>
      <c r="EW790" s="59"/>
      <c r="EX790" s="59"/>
      <c r="EY790" s="59"/>
      <c r="EZ790" s="59"/>
      <c r="FA790" s="59"/>
      <c r="FB790" s="59"/>
      <c r="FC790" s="59"/>
      <c r="FD790" s="59"/>
      <c r="FE790" s="59"/>
      <c r="FF790" s="59"/>
      <c r="FG790" s="59"/>
      <c r="FH790" s="59"/>
      <c r="FI790" s="59"/>
      <c r="FJ790" s="59"/>
      <c r="FK790" s="59"/>
      <c r="FL790" s="59"/>
      <c r="FM790" s="59"/>
      <c r="FN790" s="59"/>
      <c r="FO790" s="59"/>
      <c r="FP790" s="59"/>
      <c r="FQ790" s="59"/>
      <c r="FR790" s="59"/>
      <c r="FS790" s="59"/>
      <c r="FT790" s="59"/>
      <c r="FU790" s="59"/>
      <c r="FV790" s="59"/>
      <c r="FW790" s="59"/>
      <c r="FX790" s="59"/>
      <c r="FY790" s="59"/>
      <c r="FZ790" s="59"/>
      <c r="GA790" s="59"/>
      <c r="GB790" s="59"/>
      <c r="GC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  <c r="BW791" s="59"/>
      <c r="BX791" s="59"/>
      <c r="BY791" s="59"/>
      <c r="BZ791" s="59"/>
      <c r="CA791" s="59"/>
      <c r="CB791" s="59"/>
      <c r="CC791" s="59"/>
      <c r="CD791" s="59"/>
      <c r="CE791" s="59"/>
      <c r="CF791" s="59"/>
      <c r="CG791" s="59"/>
      <c r="CH791" s="59"/>
      <c r="CI791" s="59"/>
      <c r="CJ791" s="59"/>
      <c r="CK791" s="59"/>
      <c r="CL791" s="59"/>
      <c r="CM791" s="59"/>
      <c r="CN791" s="59"/>
      <c r="CO791" s="59"/>
      <c r="CP791" s="59"/>
      <c r="CQ791" s="59"/>
      <c r="CR791" s="59"/>
      <c r="CS791" s="59"/>
      <c r="CT791" s="59"/>
      <c r="CU791" s="59"/>
      <c r="CV791" s="59"/>
      <c r="CW791" s="59"/>
      <c r="CX791" s="59"/>
      <c r="CY791" s="59"/>
      <c r="CZ791" s="59"/>
      <c r="DA791" s="59"/>
      <c r="DB791" s="59"/>
      <c r="DC791" s="59"/>
      <c r="DD791" s="59"/>
      <c r="DE791" s="59"/>
      <c r="DF791" s="59"/>
      <c r="DG791" s="59"/>
      <c r="DH791" s="59"/>
      <c r="DI791" s="59"/>
      <c r="DJ791" s="59"/>
      <c r="DK791" s="59"/>
      <c r="DL791" s="59"/>
      <c r="DM791" s="59"/>
      <c r="DN791" s="59"/>
      <c r="DO791" s="59"/>
      <c r="DP791" s="59"/>
      <c r="DQ791" s="59"/>
      <c r="DR791" s="59"/>
      <c r="DS791" s="59"/>
      <c r="DT791" s="59"/>
      <c r="DU791" s="59"/>
      <c r="DV791" s="59"/>
      <c r="DW791" s="59"/>
      <c r="DX791" s="59"/>
      <c r="DY791" s="59"/>
      <c r="DZ791" s="59"/>
      <c r="EA791" s="59"/>
      <c r="EB791" s="59"/>
      <c r="EC791" s="59"/>
      <c r="ED791" s="59"/>
      <c r="EE791" s="59"/>
      <c r="EF791" s="59"/>
      <c r="EG791" s="59"/>
      <c r="EH791" s="59"/>
      <c r="EI791" s="59"/>
      <c r="EJ791" s="59"/>
      <c r="EK791" s="59"/>
      <c r="EL791" s="59"/>
      <c r="EM791" s="59"/>
      <c r="EN791" s="59"/>
      <c r="EO791" s="59"/>
      <c r="EP791" s="59"/>
      <c r="EQ791" s="59"/>
      <c r="ER791" s="59"/>
      <c r="ES791" s="59"/>
      <c r="ET791" s="59"/>
      <c r="EU791" s="59"/>
      <c r="EV791" s="59"/>
      <c r="EW791" s="59"/>
      <c r="EX791" s="59"/>
      <c r="EY791" s="59"/>
      <c r="EZ791" s="59"/>
      <c r="FA791" s="59"/>
      <c r="FB791" s="59"/>
      <c r="FC791" s="59"/>
      <c r="FD791" s="59"/>
      <c r="FE791" s="59"/>
      <c r="FF791" s="59"/>
      <c r="FG791" s="59"/>
      <c r="FH791" s="59"/>
      <c r="FI791" s="59"/>
      <c r="FJ791" s="59"/>
      <c r="FK791" s="59"/>
      <c r="FL791" s="59"/>
      <c r="FM791" s="59"/>
      <c r="FN791" s="59"/>
      <c r="FO791" s="59"/>
      <c r="FP791" s="59"/>
      <c r="FQ791" s="59"/>
      <c r="FR791" s="59"/>
      <c r="FS791" s="59"/>
      <c r="FT791" s="59"/>
      <c r="FU791" s="59"/>
      <c r="FV791" s="59"/>
      <c r="FW791" s="59"/>
      <c r="FX791" s="59"/>
      <c r="FY791" s="59"/>
      <c r="FZ791" s="59"/>
      <c r="GA791" s="59"/>
      <c r="GB791" s="59"/>
      <c r="GC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  <c r="BW792" s="59"/>
      <c r="BX792" s="59"/>
      <c r="BY792" s="59"/>
      <c r="BZ792" s="59"/>
      <c r="CA792" s="59"/>
      <c r="CB792" s="59"/>
      <c r="CC792" s="59"/>
      <c r="CD792" s="59"/>
      <c r="CE792" s="59"/>
      <c r="CF792" s="59"/>
      <c r="CG792" s="59"/>
      <c r="CH792" s="59"/>
      <c r="CI792" s="59"/>
      <c r="CJ792" s="59"/>
      <c r="CK792" s="59"/>
      <c r="CL792" s="59"/>
      <c r="CM792" s="59"/>
      <c r="CN792" s="59"/>
      <c r="CO792" s="59"/>
      <c r="CP792" s="59"/>
      <c r="CQ792" s="59"/>
      <c r="CR792" s="59"/>
      <c r="CS792" s="59"/>
      <c r="CT792" s="59"/>
      <c r="CU792" s="59"/>
      <c r="CV792" s="59"/>
      <c r="CW792" s="59"/>
      <c r="CX792" s="59"/>
      <c r="CY792" s="59"/>
      <c r="CZ792" s="59"/>
      <c r="DA792" s="59"/>
      <c r="DB792" s="59"/>
      <c r="DC792" s="59"/>
      <c r="DD792" s="59"/>
      <c r="DE792" s="59"/>
      <c r="DF792" s="59"/>
      <c r="DG792" s="59"/>
      <c r="DH792" s="59"/>
      <c r="DI792" s="59"/>
      <c r="DJ792" s="59"/>
      <c r="DK792" s="59"/>
      <c r="DL792" s="59"/>
      <c r="DM792" s="59"/>
      <c r="DN792" s="59"/>
      <c r="DO792" s="59"/>
      <c r="DP792" s="59"/>
      <c r="DQ792" s="59"/>
      <c r="DR792" s="59"/>
      <c r="DS792" s="59"/>
      <c r="DT792" s="59"/>
      <c r="DU792" s="59"/>
      <c r="DV792" s="59"/>
      <c r="DW792" s="59"/>
      <c r="DX792" s="59"/>
      <c r="DY792" s="59"/>
      <c r="DZ792" s="59"/>
      <c r="EA792" s="59"/>
      <c r="EB792" s="59"/>
      <c r="EC792" s="59"/>
      <c r="ED792" s="59"/>
      <c r="EE792" s="59"/>
      <c r="EF792" s="59"/>
      <c r="EG792" s="59"/>
      <c r="EH792" s="59"/>
      <c r="EI792" s="59"/>
      <c r="EJ792" s="59"/>
      <c r="EK792" s="59"/>
      <c r="EL792" s="59"/>
      <c r="EM792" s="59"/>
      <c r="EN792" s="59"/>
      <c r="EO792" s="59"/>
      <c r="EP792" s="59"/>
      <c r="EQ792" s="59"/>
      <c r="ER792" s="59"/>
      <c r="ES792" s="59"/>
      <c r="ET792" s="59"/>
      <c r="EU792" s="59"/>
      <c r="EV792" s="59"/>
      <c r="EW792" s="59"/>
      <c r="EX792" s="59"/>
      <c r="EY792" s="59"/>
      <c r="EZ792" s="59"/>
      <c r="FA792" s="59"/>
      <c r="FB792" s="59"/>
      <c r="FC792" s="59"/>
      <c r="FD792" s="59"/>
      <c r="FE792" s="59"/>
      <c r="FF792" s="59"/>
      <c r="FG792" s="59"/>
      <c r="FH792" s="59"/>
      <c r="FI792" s="59"/>
      <c r="FJ792" s="59"/>
      <c r="FK792" s="59"/>
      <c r="FL792" s="59"/>
      <c r="FM792" s="59"/>
      <c r="FN792" s="59"/>
      <c r="FO792" s="59"/>
      <c r="FP792" s="59"/>
      <c r="FQ792" s="59"/>
      <c r="FR792" s="59"/>
      <c r="FS792" s="59"/>
      <c r="FT792" s="59"/>
      <c r="FU792" s="59"/>
      <c r="FV792" s="59"/>
      <c r="FW792" s="59"/>
      <c r="FX792" s="59"/>
      <c r="FY792" s="59"/>
      <c r="FZ792" s="59"/>
      <c r="GA792" s="59"/>
      <c r="GB792" s="59"/>
      <c r="GC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  <c r="BW793" s="59"/>
      <c r="BX793" s="59"/>
      <c r="BY793" s="59"/>
      <c r="BZ793" s="59"/>
      <c r="CA793" s="59"/>
      <c r="CB793" s="59"/>
      <c r="CC793" s="59"/>
      <c r="CD793" s="59"/>
      <c r="CE793" s="59"/>
      <c r="CF793" s="59"/>
      <c r="CG793" s="59"/>
      <c r="CH793" s="59"/>
      <c r="CI793" s="59"/>
      <c r="CJ793" s="59"/>
      <c r="CK793" s="59"/>
      <c r="CL793" s="59"/>
      <c r="CM793" s="59"/>
      <c r="CN793" s="59"/>
      <c r="CO793" s="59"/>
      <c r="CP793" s="59"/>
      <c r="CQ793" s="59"/>
      <c r="CR793" s="59"/>
      <c r="CS793" s="59"/>
      <c r="CT793" s="59"/>
      <c r="CU793" s="59"/>
      <c r="CV793" s="59"/>
      <c r="CW793" s="59"/>
      <c r="CX793" s="59"/>
      <c r="CY793" s="59"/>
      <c r="CZ793" s="59"/>
      <c r="DA793" s="59"/>
      <c r="DB793" s="59"/>
      <c r="DC793" s="59"/>
      <c r="DD793" s="59"/>
      <c r="DE793" s="59"/>
      <c r="DF793" s="59"/>
      <c r="DG793" s="59"/>
      <c r="DH793" s="59"/>
      <c r="DI793" s="59"/>
      <c r="DJ793" s="59"/>
      <c r="DK793" s="59"/>
      <c r="DL793" s="59"/>
      <c r="DM793" s="59"/>
      <c r="DN793" s="59"/>
      <c r="DO793" s="59"/>
      <c r="DP793" s="59"/>
      <c r="DQ793" s="59"/>
      <c r="DR793" s="59"/>
      <c r="DS793" s="59"/>
      <c r="DT793" s="59"/>
      <c r="DU793" s="59"/>
      <c r="DV793" s="59"/>
      <c r="DW793" s="59"/>
      <c r="DX793" s="59"/>
      <c r="DY793" s="59"/>
      <c r="DZ793" s="59"/>
      <c r="EA793" s="59"/>
      <c r="EB793" s="59"/>
      <c r="EC793" s="59"/>
      <c r="ED793" s="59"/>
      <c r="EE793" s="59"/>
      <c r="EF793" s="59"/>
      <c r="EG793" s="59"/>
      <c r="EH793" s="59"/>
      <c r="EI793" s="59"/>
      <c r="EJ793" s="59"/>
      <c r="EK793" s="59"/>
      <c r="EL793" s="59"/>
      <c r="EM793" s="59"/>
      <c r="EN793" s="59"/>
      <c r="EO793" s="59"/>
      <c r="EP793" s="59"/>
      <c r="EQ793" s="59"/>
      <c r="ER793" s="59"/>
      <c r="ES793" s="59"/>
      <c r="ET793" s="59"/>
      <c r="EU793" s="59"/>
      <c r="EV793" s="59"/>
      <c r="EW793" s="59"/>
      <c r="EX793" s="59"/>
      <c r="EY793" s="59"/>
      <c r="EZ793" s="59"/>
      <c r="FA793" s="59"/>
      <c r="FB793" s="59"/>
      <c r="FC793" s="59"/>
      <c r="FD793" s="59"/>
      <c r="FE793" s="59"/>
      <c r="FF793" s="59"/>
      <c r="FG793" s="59"/>
      <c r="FH793" s="59"/>
      <c r="FI793" s="59"/>
      <c r="FJ793" s="59"/>
      <c r="FK793" s="59"/>
      <c r="FL793" s="59"/>
      <c r="FM793" s="59"/>
      <c r="FN793" s="59"/>
      <c r="FO793" s="59"/>
      <c r="FP793" s="59"/>
      <c r="FQ793" s="59"/>
      <c r="FR793" s="59"/>
      <c r="FS793" s="59"/>
      <c r="FT793" s="59"/>
      <c r="FU793" s="59"/>
      <c r="FV793" s="59"/>
      <c r="FW793" s="59"/>
      <c r="FX793" s="59"/>
      <c r="FY793" s="59"/>
      <c r="FZ793" s="59"/>
      <c r="GA793" s="59"/>
      <c r="GB793" s="59"/>
      <c r="GC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  <c r="BW794" s="59"/>
      <c r="BX794" s="59"/>
      <c r="BY794" s="59"/>
      <c r="BZ794" s="59"/>
      <c r="CA794" s="59"/>
      <c r="CB794" s="59"/>
      <c r="CC794" s="59"/>
      <c r="CD794" s="59"/>
      <c r="CE794" s="59"/>
      <c r="CF794" s="59"/>
      <c r="CG794" s="59"/>
      <c r="CH794" s="59"/>
      <c r="CI794" s="59"/>
      <c r="CJ794" s="59"/>
      <c r="CK794" s="59"/>
      <c r="CL794" s="59"/>
      <c r="CM794" s="59"/>
      <c r="CN794" s="59"/>
      <c r="CO794" s="59"/>
      <c r="CP794" s="59"/>
      <c r="CQ794" s="59"/>
      <c r="CR794" s="59"/>
      <c r="CS794" s="59"/>
      <c r="CT794" s="59"/>
      <c r="CU794" s="59"/>
      <c r="CV794" s="59"/>
      <c r="CW794" s="59"/>
      <c r="CX794" s="59"/>
      <c r="CY794" s="59"/>
      <c r="CZ794" s="59"/>
      <c r="DA794" s="59"/>
      <c r="DB794" s="59"/>
      <c r="DC794" s="59"/>
      <c r="DD794" s="59"/>
      <c r="DE794" s="59"/>
      <c r="DF794" s="59"/>
      <c r="DG794" s="59"/>
      <c r="DH794" s="59"/>
      <c r="DI794" s="59"/>
      <c r="DJ794" s="59"/>
      <c r="DK794" s="59"/>
      <c r="DL794" s="59"/>
      <c r="DM794" s="59"/>
      <c r="DN794" s="59"/>
      <c r="DO794" s="59"/>
      <c r="DP794" s="59"/>
      <c r="DQ794" s="59"/>
      <c r="DR794" s="59"/>
      <c r="DS794" s="59"/>
      <c r="DT794" s="59"/>
      <c r="DU794" s="59"/>
      <c r="DV794" s="59"/>
      <c r="DW794" s="59"/>
      <c r="DX794" s="59"/>
      <c r="DY794" s="59"/>
      <c r="DZ794" s="59"/>
      <c r="EA794" s="59"/>
      <c r="EB794" s="59"/>
      <c r="EC794" s="59"/>
      <c r="ED794" s="59"/>
      <c r="EE794" s="59"/>
      <c r="EF794" s="59"/>
      <c r="EG794" s="59"/>
      <c r="EH794" s="59"/>
      <c r="EI794" s="59"/>
      <c r="EJ794" s="59"/>
      <c r="EK794" s="59"/>
      <c r="EL794" s="59"/>
      <c r="EM794" s="59"/>
      <c r="EN794" s="59"/>
      <c r="EO794" s="59"/>
      <c r="EP794" s="59"/>
      <c r="EQ794" s="59"/>
      <c r="ER794" s="59"/>
      <c r="ES794" s="59"/>
      <c r="ET794" s="59"/>
      <c r="EU794" s="59"/>
      <c r="EV794" s="59"/>
      <c r="EW794" s="59"/>
      <c r="EX794" s="59"/>
      <c r="EY794" s="59"/>
      <c r="EZ794" s="59"/>
      <c r="FA794" s="59"/>
      <c r="FB794" s="59"/>
      <c r="FC794" s="59"/>
      <c r="FD794" s="59"/>
      <c r="FE794" s="59"/>
      <c r="FF794" s="59"/>
      <c r="FG794" s="59"/>
      <c r="FH794" s="59"/>
      <c r="FI794" s="59"/>
      <c r="FJ794" s="59"/>
      <c r="FK794" s="59"/>
      <c r="FL794" s="59"/>
      <c r="FM794" s="59"/>
      <c r="FN794" s="59"/>
      <c r="FO794" s="59"/>
      <c r="FP794" s="59"/>
      <c r="FQ794" s="59"/>
      <c r="FR794" s="59"/>
      <c r="FS794" s="59"/>
      <c r="FT794" s="59"/>
      <c r="FU794" s="59"/>
      <c r="FV794" s="59"/>
      <c r="FW794" s="59"/>
      <c r="FX794" s="59"/>
      <c r="FY794" s="59"/>
      <c r="FZ794" s="59"/>
      <c r="GA794" s="59"/>
      <c r="GB794" s="59"/>
      <c r="GC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  <c r="BW795" s="59"/>
      <c r="BX795" s="59"/>
      <c r="BY795" s="59"/>
      <c r="BZ795" s="59"/>
      <c r="CA795" s="59"/>
      <c r="CB795" s="59"/>
      <c r="CC795" s="59"/>
      <c r="CD795" s="59"/>
      <c r="CE795" s="59"/>
      <c r="CF795" s="59"/>
      <c r="CG795" s="59"/>
      <c r="CH795" s="59"/>
      <c r="CI795" s="59"/>
      <c r="CJ795" s="59"/>
      <c r="CK795" s="59"/>
      <c r="CL795" s="59"/>
      <c r="CM795" s="59"/>
      <c r="CN795" s="59"/>
      <c r="CO795" s="59"/>
      <c r="CP795" s="59"/>
      <c r="CQ795" s="59"/>
      <c r="CR795" s="59"/>
      <c r="CS795" s="59"/>
      <c r="CT795" s="59"/>
      <c r="CU795" s="59"/>
      <c r="CV795" s="59"/>
      <c r="CW795" s="59"/>
      <c r="CX795" s="59"/>
      <c r="CY795" s="59"/>
      <c r="CZ795" s="59"/>
      <c r="DA795" s="59"/>
      <c r="DB795" s="59"/>
      <c r="DC795" s="59"/>
      <c r="DD795" s="59"/>
      <c r="DE795" s="59"/>
      <c r="DF795" s="59"/>
      <c r="DG795" s="59"/>
      <c r="DH795" s="59"/>
      <c r="DI795" s="59"/>
      <c r="DJ795" s="59"/>
      <c r="DK795" s="59"/>
      <c r="DL795" s="59"/>
      <c r="DM795" s="59"/>
      <c r="DN795" s="59"/>
      <c r="DO795" s="59"/>
      <c r="DP795" s="59"/>
      <c r="DQ795" s="59"/>
      <c r="DR795" s="59"/>
      <c r="DS795" s="59"/>
      <c r="DT795" s="59"/>
      <c r="DU795" s="59"/>
      <c r="DV795" s="59"/>
      <c r="DW795" s="59"/>
      <c r="DX795" s="59"/>
      <c r="DY795" s="59"/>
      <c r="DZ795" s="59"/>
      <c r="EA795" s="59"/>
      <c r="EB795" s="59"/>
      <c r="EC795" s="59"/>
      <c r="ED795" s="59"/>
      <c r="EE795" s="59"/>
      <c r="EF795" s="59"/>
      <c r="EG795" s="59"/>
      <c r="EH795" s="59"/>
      <c r="EI795" s="59"/>
      <c r="EJ795" s="59"/>
      <c r="EK795" s="59"/>
      <c r="EL795" s="59"/>
      <c r="EM795" s="59"/>
      <c r="EN795" s="59"/>
      <c r="EO795" s="59"/>
      <c r="EP795" s="59"/>
      <c r="EQ795" s="59"/>
      <c r="ER795" s="59"/>
      <c r="ES795" s="59"/>
      <c r="ET795" s="59"/>
      <c r="EU795" s="59"/>
      <c r="EV795" s="59"/>
      <c r="EW795" s="59"/>
      <c r="EX795" s="59"/>
      <c r="EY795" s="59"/>
      <c r="EZ795" s="59"/>
      <c r="FA795" s="59"/>
      <c r="FB795" s="59"/>
      <c r="FC795" s="59"/>
      <c r="FD795" s="59"/>
      <c r="FE795" s="59"/>
      <c r="FF795" s="59"/>
      <c r="FG795" s="59"/>
      <c r="FH795" s="59"/>
      <c r="FI795" s="59"/>
      <c r="FJ795" s="59"/>
      <c r="FK795" s="59"/>
      <c r="FL795" s="59"/>
      <c r="FM795" s="59"/>
      <c r="FN795" s="59"/>
      <c r="FO795" s="59"/>
      <c r="FP795" s="59"/>
      <c r="FQ795" s="59"/>
      <c r="FR795" s="59"/>
      <c r="FS795" s="59"/>
      <c r="FT795" s="59"/>
      <c r="FU795" s="59"/>
      <c r="FV795" s="59"/>
      <c r="FW795" s="59"/>
      <c r="FX795" s="59"/>
      <c r="FY795" s="59"/>
      <c r="FZ795" s="59"/>
      <c r="GA795" s="59"/>
      <c r="GB795" s="59"/>
      <c r="GC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  <c r="BW796" s="59"/>
      <c r="BX796" s="59"/>
      <c r="BY796" s="59"/>
      <c r="BZ796" s="59"/>
      <c r="CA796" s="59"/>
      <c r="CB796" s="59"/>
      <c r="CC796" s="59"/>
      <c r="CD796" s="59"/>
      <c r="CE796" s="59"/>
      <c r="CF796" s="59"/>
      <c r="CG796" s="59"/>
      <c r="CH796" s="59"/>
      <c r="CI796" s="59"/>
      <c r="CJ796" s="59"/>
      <c r="CK796" s="59"/>
      <c r="CL796" s="59"/>
      <c r="CM796" s="59"/>
      <c r="CN796" s="59"/>
      <c r="CO796" s="59"/>
      <c r="CP796" s="59"/>
      <c r="CQ796" s="59"/>
      <c r="CR796" s="59"/>
      <c r="CS796" s="59"/>
      <c r="CT796" s="59"/>
      <c r="CU796" s="59"/>
      <c r="CV796" s="59"/>
      <c r="CW796" s="59"/>
      <c r="CX796" s="59"/>
      <c r="CY796" s="59"/>
      <c r="CZ796" s="59"/>
      <c r="DA796" s="59"/>
      <c r="DB796" s="59"/>
      <c r="DC796" s="59"/>
      <c r="DD796" s="59"/>
      <c r="DE796" s="59"/>
      <c r="DF796" s="59"/>
      <c r="DG796" s="59"/>
      <c r="DH796" s="59"/>
      <c r="DI796" s="59"/>
      <c r="DJ796" s="59"/>
      <c r="DK796" s="59"/>
      <c r="DL796" s="59"/>
      <c r="DM796" s="59"/>
      <c r="DN796" s="59"/>
      <c r="DO796" s="59"/>
      <c r="DP796" s="59"/>
      <c r="DQ796" s="59"/>
      <c r="DR796" s="59"/>
      <c r="DS796" s="59"/>
      <c r="DT796" s="59"/>
      <c r="DU796" s="59"/>
      <c r="DV796" s="59"/>
      <c r="DW796" s="59"/>
      <c r="DX796" s="59"/>
      <c r="DY796" s="59"/>
      <c r="DZ796" s="59"/>
      <c r="EA796" s="59"/>
      <c r="EB796" s="59"/>
      <c r="EC796" s="59"/>
      <c r="ED796" s="59"/>
      <c r="EE796" s="59"/>
      <c r="EF796" s="59"/>
      <c r="EG796" s="59"/>
      <c r="EH796" s="59"/>
      <c r="EI796" s="59"/>
      <c r="EJ796" s="59"/>
      <c r="EK796" s="59"/>
      <c r="EL796" s="59"/>
      <c r="EM796" s="59"/>
      <c r="EN796" s="59"/>
      <c r="EO796" s="59"/>
      <c r="EP796" s="59"/>
      <c r="EQ796" s="59"/>
      <c r="ER796" s="59"/>
      <c r="ES796" s="59"/>
      <c r="ET796" s="59"/>
      <c r="EU796" s="59"/>
      <c r="EV796" s="59"/>
      <c r="EW796" s="59"/>
      <c r="EX796" s="59"/>
      <c r="EY796" s="59"/>
      <c r="EZ796" s="59"/>
      <c r="FA796" s="59"/>
      <c r="FB796" s="59"/>
      <c r="FC796" s="59"/>
      <c r="FD796" s="59"/>
      <c r="FE796" s="59"/>
      <c r="FF796" s="59"/>
      <c r="FG796" s="59"/>
      <c r="FH796" s="59"/>
      <c r="FI796" s="59"/>
      <c r="FJ796" s="59"/>
      <c r="FK796" s="59"/>
      <c r="FL796" s="59"/>
      <c r="FM796" s="59"/>
      <c r="FN796" s="59"/>
      <c r="FO796" s="59"/>
      <c r="FP796" s="59"/>
      <c r="FQ796" s="59"/>
      <c r="FR796" s="59"/>
      <c r="FS796" s="59"/>
      <c r="FT796" s="59"/>
      <c r="FU796" s="59"/>
      <c r="FV796" s="59"/>
      <c r="FW796" s="59"/>
      <c r="FX796" s="59"/>
      <c r="FY796" s="59"/>
      <c r="FZ796" s="59"/>
      <c r="GA796" s="59"/>
      <c r="GB796" s="59"/>
      <c r="GC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  <c r="BV797" s="59"/>
      <c r="BW797" s="59"/>
      <c r="BX797" s="59"/>
      <c r="BY797" s="59"/>
      <c r="BZ797" s="59"/>
      <c r="CA797" s="59"/>
      <c r="CB797" s="59"/>
      <c r="CC797" s="59"/>
      <c r="CD797" s="59"/>
      <c r="CE797" s="59"/>
      <c r="CF797" s="59"/>
      <c r="CG797" s="59"/>
      <c r="CH797" s="59"/>
      <c r="CI797" s="59"/>
      <c r="CJ797" s="59"/>
      <c r="CK797" s="59"/>
      <c r="CL797" s="59"/>
      <c r="CM797" s="59"/>
      <c r="CN797" s="59"/>
      <c r="CO797" s="59"/>
      <c r="CP797" s="59"/>
      <c r="CQ797" s="59"/>
      <c r="CR797" s="59"/>
      <c r="CS797" s="59"/>
      <c r="CT797" s="59"/>
      <c r="CU797" s="59"/>
      <c r="CV797" s="59"/>
      <c r="CW797" s="59"/>
      <c r="CX797" s="59"/>
      <c r="CY797" s="59"/>
      <c r="CZ797" s="59"/>
      <c r="DA797" s="59"/>
      <c r="DB797" s="59"/>
      <c r="DC797" s="59"/>
      <c r="DD797" s="59"/>
      <c r="DE797" s="59"/>
      <c r="DF797" s="59"/>
      <c r="DG797" s="59"/>
      <c r="DH797" s="59"/>
      <c r="DI797" s="59"/>
      <c r="DJ797" s="59"/>
      <c r="DK797" s="59"/>
      <c r="DL797" s="59"/>
      <c r="DM797" s="59"/>
      <c r="DN797" s="59"/>
      <c r="DO797" s="59"/>
      <c r="DP797" s="59"/>
      <c r="DQ797" s="59"/>
      <c r="DR797" s="59"/>
      <c r="DS797" s="59"/>
      <c r="DT797" s="59"/>
      <c r="DU797" s="59"/>
      <c r="DV797" s="59"/>
      <c r="DW797" s="59"/>
      <c r="DX797" s="59"/>
      <c r="DY797" s="59"/>
      <c r="DZ797" s="59"/>
      <c r="EA797" s="59"/>
      <c r="EB797" s="59"/>
      <c r="EC797" s="59"/>
      <c r="ED797" s="59"/>
      <c r="EE797" s="59"/>
      <c r="EF797" s="59"/>
      <c r="EG797" s="59"/>
      <c r="EH797" s="59"/>
      <c r="EI797" s="59"/>
      <c r="EJ797" s="59"/>
      <c r="EK797" s="59"/>
      <c r="EL797" s="59"/>
      <c r="EM797" s="59"/>
      <c r="EN797" s="59"/>
      <c r="EO797" s="59"/>
      <c r="EP797" s="59"/>
      <c r="EQ797" s="59"/>
      <c r="ER797" s="59"/>
      <c r="ES797" s="59"/>
      <c r="ET797" s="59"/>
      <c r="EU797" s="59"/>
      <c r="EV797" s="59"/>
      <c r="EW797" s="59"/>
      <c r="EX797" s="59"/>
      <c r="EY797" s="59"/>
      <c r="EZ797" s="59"/>
      <c r="FA797" s="59"/>
      <c r="FB797" s="59"/>
      <c r="FC797" s="59"/>
      <c r="FD797" s="59"/>
      <c r="FE797" s="59"/>
      <c r="FF797" s="59"/>
      <c r="FG797" s="59"/>
      <c r="FH797" s="59"/>
      <c r="FI797" s="59"/>
      <c r="FJ797" s="59"/>
      <c r="FK797" s="59"/>
      <c r="FL797" s="59"/>
      <c r="FM797" s="59"/>
      <c r="FN797" s="59"/>
      <c r="FO797" s="59"/>
      <c r="FP797" s="59"/>
      <c r="FQ797" s="59"/>
      <c r="FR797" s="59"/>
      <c r="FS797" s="59"/>
      <c r="FT797" s="59"/>
      <c r="FU797" s="59"/>
      <c r="FV797" s="59"/>
      <c r="FW797" s="59"/>
      <c r="FX797" s="59"/>
      <c r="FY797" s="59"/>
      <c r="FZ797" s="59"/>
      <c r="GA797" s="59"/>
      <c r="GB797" s="59"/>
      <c r="GC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  <c r="BV798" s="59"/>
      <c r="BW798" s="59"/>
      <c r="BX798" s="59"/>
      <c r="BY798" s="59"/>
      <c r="BZ798" s="59"/>
      <c r="CA798" s="59"/>
      <c r="CB798" s="59"/>
      <c r="CC798" s="59"/>
      <c r="CD798" s="59"/>
      <c r="CE798" s="59"/>
      <c r="CF798" s="59"/>
      <c r="CG798" s="59"/>
      <c r="CH798" s="59"/>
      <c r="CI798" s="59"/>
      <c r="CJ798" s="59"/>
      <c r="CK798" s="59"/>
      <c r="CL798" s="59"/>
      <c r="CM798" s="59"/>
      <c r="CN798" s="59"/>
      <c r="CO798" s="59"/>
      <c r="CP798" s="59"/>
      <c r="CQ798" s="59"/>
      <c r="CR798" s="59"/>
      <c r="CS798" s="59"/>
      <c r="CT798" s="59"/>
      <c r="CU798" s="59"/>
      <c r="CV798" s="59"/>
      <c r="CW798" s="59"/>
      <c r="CX798" s="59"/>
      <c r="CY798" s="59"/>
      <c r="CZ798" s="59"/>
      <c r="DA798" s="59"/>
      <c r="DB798" s="59"/>
      <c r="DC798" s="59"/>
      <c r="DD798" s="59"/>
      <c r="DE798" s="59"/>
      <c r="DF798" s="59"/>
      <c r="DG798" s="59"/>
      <c r="DH798" s="59"/>
      <c r="DI798" s="59"/>
      <c r="DJ798" s="59"/>
      <c r="DK798" s="59"/>
      <c r="DL798" s="59"/>
      <c r="DM798" s="59"/>
      <c r="DN798" s="59"/>
      <c r="DO798" s="59"/>
      <c r="DP798" s="59"/>
      <c r="DQ798" s="59"/>
      <c r="DR798" s="59"/>
      <c r="DS798" s="59"/>
      <c r="DT798" s="59"/>
      <c r="DU798" s="59"/>
      <c r="DV798" s="59"/>
      <c r="DW798" s="59"/>
      <c r="DX798" s="59"/>
      <c r="DY798" s="59"/>
      <c r="DZ798" s="59"/>
      <c r="EA798" s="59"/>
      <c r="EB798" s="59"/>
      <c r="EC798" s="59"/>
      <c r="ED798" s="59"/>
      <c r="EE798" s="59"/>
      <c r="EF798" s="59"/>
      <c r="EG798" s="59"/>
      <c r="EH798" s="59"/>
      <c r="EI798" s="59"/>
      <c r="EJ798" s="59"/>
      <c r="EK798" s="59"/>
      <c r="EL798" s="59"/>
      <c r="EM798" s="59"/>
      <c r="EN798" s="59"/>
      <c r="EO798" s="59"/>
      <c r="EP798" s="59"/>
      <c r="EQ798" s="59"/>
      <c r="ER798" s="59"/>
      <c r="ES798" s="59"/>
      <c r="ET798" s="59"/>
      <c r="EU798" s="59"/>
      <c r="EV798" s="59"/>
      <c r="EW798" s="59"/>
      <c r="EX798" s="59"/>
      <c r="EY798" s="59"/>
      <c r="EZ798" s="59"/>
      <c r="FA798" s="59"/>
      <c r="FB798" s="59"/>
      <c r="FC798" s="59"/>
      <c r="FD798" s="59"/>
      <c r="FE798" s="59"/>
      <c r="FF798" s="59"/>
      <c r="FG798" s="59"/>
      <c r="FH798" s="59"/>
      <c r="FI798" s="59"/>
      <c r="FJ798" s="59"/>
      <c r="FK798" s="59"/>
      <c r="FL798" s="59"/>
      <c r="FM798" s="59"/>
      <c r="FN798" s="59"/>
      <c r="FO798" s="59"/>
      <c r="FP798" s="59"/>
      <c r="FQ798" s="59"/>
      <c r="FR798" s="59"/>
      <c r="FS798" s="59"/>
      <c r="FT798" s="59"/>
      <c r="FU798" s="59"/>
      <c r="FV798" s="59"/>
      <c r="FW798" s="59"/>
      <c r="FX798" s="59"/>
      <c r="FY798" s="59"/>
      <c r="FZ798" s="59"/>
      <c r="GA798" s="59"/>
      <c r="GB798" s="59"/>
      <c r="GC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  <c r="BW799" s="59"/>
      <c r="BX799" s="59"/>
      <c r="BY799" s="59"/>
      <c r="BZ799" s="59"/>
      <c r="CA799" s="59"/>
      <c r="CB799" s="59"/>
      <c r="CC799" s="59"/>
      <c r="CD799" s="59"/>
      <c r="CE799" s="59"/>
      <c r="CF799" s="59"/>
      <c r="CG799" s="59"/>
      <c r="CH799" s="59"/>
      <c r="CI799" s="59"/>
      <c r="CJ799" s="59"/>
      <c r="CK799" s="59"/>
      <c r="CL799" s="59"/>
      <c r="CM799" s="59"/>
      <c r="CN799" s="59"/>
      <c r="CO799" s="59"/>
      <c r="CP799" s="59"/>
      <c r="CQ799" s="59"/>
      <c r="CR799" s="59"/>
      <c r="CS799" s="59"/>
      <c r="CT799" s="59"/>
      <c r="CU799" s="59"/>
      <c r="CV799" s="59"/>
      <c r="CW799" s="59"/>
      <c r="CX799" s="59"/>
      <c r="CY799" s="59"/>
      <c r="CZ799" s="59"/>
      <c r="DA799" s="59"/>
      <c r="DB799" s="59"/>
      <c r="DC799" s="59"/>
      <c r="DD799" s="59"/>
      <c r="DE799" s="59"/>
      <c r="DF799" s="59"/>
      <c r="DG799" s="59"/>
      <c r="DH799" s="59"/>
      <c r="DI799" s="59"/>
      <c r="DJ799" s="59"/>
      <c r="DK799" s="59"/>
      <c r="DL799" s="59"/>
      <c r="DM799" s="59"/>
      <c r="DN799" s="59"/>
      <c r="DO799" s="59"/>
      <c r="DP799" s="59"/>
      <c r="DQ799" s="59"/>
      <c r="DR799" s="59"/>
      <c r="DS799" s="59"/>
      <c r="DT799" s="59"/>
      <c r="DU799" s="59"/>
      <c r="DV799" s="59"/>
      <c r="DW799" s="59"/>
      <c r="DX799" s="59"/>
      <c r="DY799" s="59"/>
      <c r="DZ799" s="59"/>
      <c r="EA799" s="59"/>
      <c r="EB799" s="59"/>
      <c r="EC799" s="59"/>
      <c r="ED799" s="59"/>
      <c r="EE799" s="59"/>
      <c r="EF799" s="59"/>
      <c r="EG799" s="59"/>
      <c r="EH799" s="59"/>
      <c r="EI799" s="59"/>
      <c r="EJ799" s="59"/>
      <c r="EK799" s="59"/>
      <c r="EL799" s="59"/>
      <c r="EM799" s="59"/>
      <c r="EN799" s="59"/>
      <c r="EO799" s="59"/>
      <c r="EP799" s="59"/>
      <c r="EQ799" s="59"/>
      <c r="ER799" s="59"/>
      <c r="ES799" s="59"/>
      <c r="ET799" s="59"/>
      <c r="EU799" s="59"/>
      <c r="EV799" s="59"/>
      <c r="EW799" s="59"/>
      <c r="EX799" s="59"/>
      <c r="EY799" s="59"/>
      <c r="EZ799" s="59"/>
      <c r="FA799" s="59"/>
      <c r="FB799" s="59"/>
      <c r="FC799" s="59"/>
      <c r="FD799" s="59"/>
      <c r="FE799" s="59"/>
      <c r="FF799" s="59"/>
      <c r="FG799" s="59"/>
      <c r="FH799" s="59"/>
      <c r="FI799" s="59"/>
      <c r="FJ799" s="59"/>
      <c r="FK799" s="59"/>
      <c r="FL799" s="59"/>
      <c r="FM799" s="59"/>
      <c r="FN799" s="59"/>
      <c r="FO799" s="59"/>
      <c r="FP799" s="59"/>
      <c r="FQ799" s="59"/>
      <c r="FR799" s="59"/>
      <c r="FS799" s="59"/>
      <c r="FT799" s="59"/>
      <c r="FU799" s="59"/>
      <c r="FV799" s="59"/>
      <c r="FW799" s="59"/>
      <c r="FX799" s="59"/>
      <c r="FY799" s="59"/>
      <c r="FZ799" s="59"/>
      <c r="GA799" s="59"/>
      <c r="GB799" s="59"/>
      <c r="GC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  <c r="BW800" s="59"/>
      <c r="BX800" s="59"/>
      <c r="BY800" s="59"/>
      <c r="BZ800" s="59"/>
      <c r="CA800" s="59"/>
      <c r="CB800" s="59"/>
      <c r="CC800" s="59"/>
      <c r="CD800" s="59"/>
      <c r="CE800" s="59"/>
      <c r="CF800" s="59"/>
      <c r="CG800" s="59"/>
      <c r="CH800" s="59"/>
      <c r="CI800" s="59"/>
      <c r="CJ800" s="59"/>
      <c r="CK800" s="59"/>
      <c r="CL800" s="59"/>
      <c r="CM800" s="59"/>
      <c r="CN800" s="59"/>
      <c r="CO800" s="59"/>
      <c r="CP800" s="59"/>
      <c r="CQ800" s="59"/>
      <c r="CR800" s="59"/>
      <c r="CS800" s="59"/>
      <c r="CT800" s="59"/>
      <c r="CU800" s="59"/>
      <c r="CV800" s="59"/>
      <c r="CW800" s="59"/>
      <c r="CX800" s="59"/>
      <c r="CY800" s="59"/>
      <c r="CZ800" s="59"/>
      <c r="DA800" s="59"/>
      <c r="DB800" s="59"/>
      <c r="DC800" s="59"/>
      <c r="DD800" s="59"/>
      <c r="DE800" s="59"/>
      <c r="DF800" s="59"/>
      <c r="DG800" s="59"/>
      <c r="DH800" s="59"/>
      <c r="DI800" s="59"/>
      <c r="DJ800" s="59"/>
      <c r="DK800" s="59"/>
      <c r="DL800" s="59"/>
      <c r="DM800" s="59"/>
      <c r="DN800" s="59"/>
      <c r="DO800" s="59"/>
      <c r="DP800" s="59"/>
      <c r="DQ800" s="59"/>
      <c r="DR800" s="59"/>
      <c r="DS800" s="59"/>
      <c r="DT800" s="59"/>
      <c r="DU800" s="59"/>
      <c r="DV800" s="59"/>
      <c r="DW800" s="59"/>
      <c r="DX800" s="59"/>
      <c r="DY800" s="59"/>
      <c r="DZ800" s="59"/>
      <c r="EA800" s="59"/>
      <c r="EB800" s="59"/>
      <c r="EC800" s="59"/>
      <c r="ED800" s="59"/>
      <c r="EE800" s="59"/>
      <c r="EF800" s="59"/>
      <c r="EG800" s="59"/>
      <c r="EH800" s="59"/>
      <c r="EI800" s="59"/>
      <c r="EJ800" s="59"/>
      <c r="EK800" s="59"/>
      <c r="EL800" s="59"/>
      <c r="EM800" s="59"/>
      <c r="EN800" s="59"/>
      <c r="EO800" s="59"/>
      <c r="EP800" s="59"/>
      <c r="EQ800" s="59"/>
      <c r="ER800" s="59"/>
      <c r="ES800" s="59"/>
      <c r="ET800" s="59"/>
      <c r="EU800" s="59"/>
      <c r="EV800" s="59"/>
      <c r="EW800" s="59"/>
      <c r="EX800" s="59"/>
      <c r="EY800" s="59"/>
      <c r="EZ800" s="59"/>
      <c r="FA800" s="59"/>
      <c r="FB800" s="59"/>
      <c r="FC800" s="59"/>
      <c r="FD800" s="59"/>
      <c r="FE800" s="59"/>
      <c r="FF800" s="59"/>
      <c r="FG800" s="59"/>
      <c r="FH800" s="59"/>
      <c r="FI800" s="59"/>
      <c r="FJ800" s="59"/>
      <c r="FK800" s="59"/>
      <c r="FL800" s="59"/>
      <c r="FM800" s="59"/>
      <c r="FN800" s="59"/>
      <c r="FO800" s="59"/>
      <c r="FP800" s="59"/>
      <c r="FQ800" s="59"/>
      <c r="FR800" s="59"/>
      <c r="FS800" s="59"/>
      <c r="FT800" s="59"/>
      <c r="FU800" s="59"/>
      <c r="FV800" s="59"/>
      <c r="FW800" s="59"/>
      <c r="FX800" s="59"/>
      <c r="FY800" s="59"/>
      <c r="FZ800" s="59"/>
      <c r="GA800" s="59"/>
      <c r="GB800" s="59"/>
      <c r="GC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59"/>
      <c r="CB801" s="59"/>
      <c r="CC801" s="59"/>
      <c r="CD801" s="59"/>
      <c r="CE801" s="59"/>
      <c r="CF801" s="59"/>
      <c r="CG801" s="59"/>
      <c r="CH801" s="59"/>
      <c r="CI801" s="59"/>
      <c r="CJ801" s="59"/>
      <c r="CK801" s="59"/>
      <c r="CL801" s="59"/>
      <c r="CM801" s="59"/>
      <c r="CN801" s="59"/>
      <c r="CO801" s="59"/>
      <c r="CP801" s="59"/>
      <c r="CQ801" s="59"/>
      <c r="CR801" s="59"/>
      <c r="CS801" s="59"/>
      <c r="CT801" s="59"/>
      <c r="CU801" s="59"/>
      <c r="CV801" s="59"/>
      <c r="CW801" s="59"/>
      <c r="CX801" s="59"/>
      <c r="CY801" s="59"/>
      <c r="CZ801" s="59"/>
      <c r="DA801" s="59"/>
      <c r="DB801" s="59"/>
      <c r="DC801" s="59"/>
      <c r="DD801" s="59"/>
      <c r="DE801" s="59"/>
      <c r="DF801" s="59"/>
      <c r="DG801" s="59"/>
      <c r="DH801" s="59"/>
      <c r="DI801" s="59"/>
      <c r="DJ801" s="59"/>
      <c r="DK801" s="59"/>
      <c r="DL801" s="59"/>
      <c r="DM801" s="59"/>
      <c r="DN801" s="59"/>
      <c r="DO801" s="59"/>
      <c r="DP801" s="59"/>
      <c r="DQ801" s="59"/>
      <c r="DR801" s="59"/>
      <c r="DS801" s="59"/>
      <c r="DT801" s="59"/>
      <c r="DU801" s="59"/>
      <c r="DV801" s="59"/>
      <c r="DW801" s="59"/>
      <c r="DX801" s="59"/>
      <c r="DY801" s="59"/>
      <c r="DZ801" s="59"/>
      <c r="EA801" s="59"/>
      <c r="EB801" s="59"/>
      <c r="EC801" s="59"/>
      <c r="ED801" s="59"/>
      <c r="EE801" s="59"/>
      <c r="EF801" s="59"/>
      <c r="EG801" s="59"/>
      <c r="EH801" s="59"/>
      <c r="EI801" s="59"/>
      <c r="EJ801" s="59"/>
      <c r="EK801" s="59"/>
      <c r="EL801" s="59"/>
      <c r="EM801" s="59"/>
      <c r="EN801" s="59"/>
      <c r="EO801" s="59"/>
      <c r="EP801" s="59"/>
      <c r="EQ801" s="59"/>
      <c r="ER801" s="59"/>
      <c r="ES801" s="59"/>
      <c r="ET801" s="59"/>
      <c r="EU801" s="59"/>
      <c r="EV801" s="59"/>
      <c r="EW801" s="59"/>
      <c r="EX801" s="59"/>
      <c r="EY801" s="59"/>
      <c r="EZ801" s="59"/>
      <c r="FA801" s="59"/>
      <c r="FB801" s="59"/>
      <c r="FC801" s="59"/>
      <c r="FD801" s="59"/>
      <c r="FE801" s="59"/>
      <c r="FF801" s="59"/>
      <c r="FG801" s="59"/>
      <c r="FH801" s="59"/>
      <c r="FI801" s="59"/>
      <c r="FJ801" s="59"/>
      <c r="FK801" s="59"/>
      <c r="FL801" s="59"/>
      <c r="FM801" s="59"/>
      <c r="FN801" s="59"/>
      <c r="FO801" s="59"/>
      <c r="FP801" s="59"/>
      <c r="FQ801" s="59"/>
      <c r="FR801" s="59"/>
      <c r="FS801" s="59"/>
      <c r="FT801" s="59"/>
      <c r="FU801" s="59"/>
      <c r="FV801" s="59"/>
      <c r="FW801" s="59"/>
      <c r="FX801" s="59"/>
      <c r="FY801" s="59"/>
      <c r="FZ801" s="59"/>
      <c r="GA801" s="59"/>
      <c r="GB801" s="59"/>
      <c r="GC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59"/>
      <c r="BX802" s="59"/>
      <c r="BY802" s="59"/>
      <c r="BZ802" s="59"/>
      <c r="CA802" s="59"/>
      <c r="CB802" s="59"/>
      <c r="CC802" s="59"/>
      <c r="CD802" s="59"/>
      <c r="CE802" s="59"/>
      <c r="CF802" s="59"/>
      <c r="CG802" s="59"/>
      <c r="CH802" s="59"/>
      <c r="CI802" s="59"/>
      <c r="CJ802" s="59"/>
      <c r="CK802" s="59"/>
      <c r="CL802" s="59"/>
      <c r="CM802" s="59"/>
      <c r="CN802" s="59"/>
      <c r="CO802" s="59"/>
      <c r="CP802" s="59"/>
      <c r="CQ802" s="59"/>
      <c r="CR802" s="59"/>
      <c r="CS802" s="59"/>
      <c r="CT802" s="59"/>
      <c r="CU802" s="59"/>
      <c r="CV802" s="59"/>
      <c r="CW802" s="59"/>
      <c r="CX802" s="59"/>
      <c r="CY802" s="59"/>
      <c r="CZ802" s="59"/>
      <c r="DA802" s="59"/>
      <c r="DB802" s="59"/>
      <c r="DC802" s="59"/>
      <c r="DD802" s="59"/>
      <c r="DE802" s="59"/>
      <c r="DF802" s="59"/>
      <c r="DG802" s="59"/>
      <c r="DH802" s="59"/>
      <c r="DI802" s="59"/>
      <c r="DJ802" s="59"/>
      <c r="DK802" s="59"/>
      <c r="DL802" s="59"/>
      <c r="DM802" s="59"/>
      <c r="DN802" s="59"/>
      <c r="DO802" s="59"/>
      <c r="DP802" s="59"/>
      <c r="DQ802" s="59"/>
      <c r="DR802" s="59"/>
      <c r="DS802" s="59"/>
      <c r="DT802" s="59"/>
      <c r="DU802" s="59"/>
      <c r="DV802" s="59"/>
      <c r="DW802" s="59"/>
      <c r="DX802" s="59"/>
      <c r="DY802" s="59"/>
      <c r="DZ802" s="59"/>
      <c r="EA802" s="59"/>
      <c r="EB802" s="59"/>
      <c r="EC802" s="59"/>
      <c r="ED802" s="59"/>
      <c r="EE802" s="59"/>
      <c r="EF802" s="59"/>
      <c r="EG802" s="59"/>
      <c r="EH802" s="59"/>
      <c r="EI802" s="59"/>
      <c r="EJ802" s="59"/>
      <c r="EK802" s="59"/>
      <c r="EL802" s="59"/>
      <c r="EM802" s="59"/>
      <c r="EN802" s="59"/>
      <c r="EO802" s="59"/>
      <c r="EP802" s="59"/>
      <c r="EQ802" s="59"/>
      <c r="ER802" s="59"/>
      <c r="ES802" s="59"/>
      <c r="ET802" s="59"/>
      <c r="EU802" s="59"/>
      <c r="EV802" s="59"/>
      <c r="EW802" s="59"/>
      <c r="EX802" s="59"/>
      <c r="EY802" s="59"/>
      <c r="EZ802" s="59"/>
      <c r="FA802" s="59"/>
      <c r="FB802" s="59"/>
      <c r="FC802" s="59"/>
      <c r="FD802" s="59"/>
      <c r="FE802" s="59"/>
      <c r="FF802" s="59"/>
      <c r="FG802" s="59"/>
      <c r="FH802" s="59"/>
      <c r="FI802" s="59"/>
      <c r="FJ802" s="59"/>
      <c r="FK802" s="59"/>
      <c r="FL802" s="59"/>
      <c r="FM802" s="59"/>
      <c r="FN802" s="59"/>
      <c r="FO802" s="59"/>
      <c r="FP802" s="59"/>
      <c r="FQ802" s="59"/>
      <c r="FR802" s="59"/>
      <c r="FS802" s="59"/>
      <c r="FT802" s="59"/>
      <c r="FU802" s="59"/>
      <c r="FV802" s="59"/>
      <c r="FW802" s="59"/>
      <c r="FX802" s="59"/>
      <c r="FY802" s="59"/>
      <c r="FZ802" s="59"/>
      <c r="GA802" s="59"/>
      <c r="GB802" s="59"/>
      <c r="GC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59"/>
      <c r="BX803" s="59"/>
      <c r="BY803" s="59"/>
      <c r="BZ803" s="59"/>
      <c r="CA803" s="59"/>
      <c r="CB803" s="59"/>
      <c r="CC803" s="59"/>
      <c r="CD803" s="59"/>
      <c r="CE803" s="59"/>
      <c r="CF803" s="59"/>
      <c r="CG803" s="59"/>
      <c r="CH803" s="59"/>
      <c r="CI803" s="59"/>
      <c r="CJ803" s="59"/>
      <c r="CK803" s="59"/>
      <c r="CL803" s="59"/>
      <c r="CM803" s="59"/>
      <c r="CN803" s="59"/>
      <c r="CO803" s="59"/>
      <c r="CP803" s="59"/>
      <c r="CQ803" s="59"/>
      <c r="CR803" s="59"/>
      <c r="CS803" s="59"/>
      <c r="CT803" s="59"/>
      <c r="CU803" s="59"/>
      <c r="CV803" s="59"/>
      <c r="CW803" s="59"/>
      <c r="CX803" s="59"/>
      <c r="CY803" s="59"/>
      <c r="CZ803" s="59"/>
      <c r="DA803" s="59"/>
      <c r="DB803" s="59"/>
      <c r="DC803" s="59"/>
      <c r="DD803" s="59"/>
      <c r="DE803" s="59"/>
      <c r="DF803" s="59"/>
      <c r="DG803" s="59"/>
      <c r="DH803" s="59"/>
      <c r="DI803" s="59"/>
      <c r="DJ803" s="59"/>
      <c r="DK803" s="59"/>
      <c r="DL803" s="59"/>
      <c r="DM803" s="59"/>
      <c r="DN803" s="59"/>
      <c r="DO803" s="59"/>
      <c r="DP803" s="59"/>
      <c r="DQ803" s="59"/>
      <c r="DR803" s="59"/>
      <c r="DS803" s="59"/>
      <c r="DT803" s="59"/>
      <c r="DU803" s="59"/>
      <c r="DV803" s="59"/>
      <c r="DW803" s="59"/>
      <c r="DX803" s="59"/>
      <c r="DY803" s="59"/>
      <c r="DZ803" s="59"/>
      <c r="EA803" s="59"/>
      <c r="EB803" s="59"/>
      <c r="EC803" s="59"/>
      <c r="ED803" s="59"/>
      <c r="EE803" s="59"/>
      <c r="EF803" s="59"/>
      <c r="EG803" s="59"/>
      <c r="EH803" s="59"/>
      <c r="EI803" s="59"/>
      <c r="EJ803" s="59"/>
      <c r="EK803" s="59"/>
      <c r="EL803" s="59"/>
      <c r="EM803" s="59"/>
      <c r="EN803" s="59"/>
      <c r="EO803" s="59"/>
      <c r="EP803" s="59"/>
      <c r="EQ803" s="59"/>
      <c r="ER803" s="59"/>
      <c r="ES803" s="59"/>
      <c r="ET803" s="59"/>
      <c r="EU803" s="59"/>
      <c r="EV803" s="59"/>
      <c r="EW803" s="59"/>
      <c r="EX803" s="59"/>
      <c r="EY803" s="59"/>
      <c r="EZ803" s="59"/>
      <c r="FA803" s="59"/>
      <c r="FB803" s="59"/>
      <c r="FC803" s="59"/>
      <c r="FD803" s="59"/>
      <c r="FE803" s="59"/>
      <c r="FF803" s="59"/>
      <c r="FG803" s="59"/>
      <c r="FH803" s="59"/>
      <c r="FI803" s="59"/>
      <c r="FJ803" s="59"/>
      <c r="FK803" s="59"/>
      <c r="FL803" s="59"/>
      <c r="FM803" s="59"/>
      <c r="FN803" s="59"/>
      <c r="FO803" s="59"/>
      <c r="FP803" s="59"/>
      <c r="FQ803" s="59"/>
      <c r="FR803" s="59"/>
      <c r="FS803" s="59"/>
      <c r="FT803" s="59"/>
      <c r="FU803" s="59"/>
      <c r="FV803" s="59"/>
      <c r="FW803" s="59"/>
      <c r="FX803" s="59"/>
      <c r="FY803" s="59"/>
      <c r="FZ803" s="59"/>
      <c r="GA803" s="59"/>
      <c r="GB803" s="59"/>
      <c r="GC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59"/>
      <c r="BX804" s="59"/>
      <c r="BY804" s="59"/>
      <c r="BZ804" s="59"/>
      <c r="CA804" s="59"/>
      <c r="CB804" s="59"/>
      <c r="CC804" s="59"/>
      <c r="CD804" s="59"/>
      <c r="CE804" s="59"/>
      <c r="CF804" s="59"/>
      <c r="CG804" s="59"/>
      <c r="CH804" s="59"/>
      <c r="CI804" s="59"/>
      <c r="CJ804" s="59"/>
      <c r="CK804" s="59"/>
      <c r="CL804" s="59"/>
      <c r="CM804" s="59"/>
      <c r="CN804" s="59"/>
      <c r="CO804" s="59"/>
      <c r="CP804" s="59"/>
      <c r="CQ804" s="59"/>
      <c r="CR804" s="59"/>
      <c r="CS804" s="59"/>
      <c r="CT804" s="59"/>
      <c r="CU804" s="59"/>
      <c r="CV804" s="59"/>
      <c r="CW804" s="59"/>
      <c r="CX804" s="59"/>
      <c r="CY804" s="59"/>
      <c r="CZ804" s="59"/>
      <c r="DA804" s="59"/>
      <c r="DB804" s="59"/>
      <c r="DC804" s="59"/>
      <c r="DD804" s="59"/>
      <c r="DE804" s="59"/>
      <c r="DF804" s="59"/>
      <c r="DG804" s="59"/>
      <c r="DH804" s="59"/>
      <c r="DI804" s="59"/>
      <c r="DJ804" s="59"/>
      <c r="DK804" s="59"/>
      <c r="DL804" s="59"/>
      <c r="DM804" s="59"/>
      <c r="DN804" s="59"/>
      <c r="DO804" s="59"/>
      <c r="DP804" s="59"/>
      <c r="DQ804" s="59"/>
      <c r="DR804" s="59"/>
      <c r="DS804" s="59"/>
      <c r="DT804" s="59"/>
      <c r="DU804" s="59"/>
      <c r="DV804" s="59"/>
      <c r="DW804" s="59"/>
      <c r="DX804" s="59"/>
      <c r="DY804" s="59"/>
      <c r="DZ804" s="59"/>
      <c r="EA804" s="59"/>
      <c r="EB804" s="59"/>
      <c r="EC804" s="59"/>
      <c r="ED804" s="59"/>
      <c r="EE804" s="59"/>
      <c r="EF804" s="59"/>
      <c r="EG804" s="59"/>
      <c r="EH804" s="59"/>
      <c r="EI804" s="59"/>
      <c r="EJ804" s="59"/>
      <c r="EK804" s="59"/>
      <c r="EL804" s="59"/>
      <c r="EM804" s="59"/>
      <c r="EN804" s="59"/>
      <c r="EO804" s="59"/>
      <c r="EP804" s="59"/>
      <c r="EQ804" s="59"/>
      <c r="ER804" s="59"/>
      <c r="ES804" s="59"/>
      <c r="ET804" s="59"/>
      <c r="EU804" s="59"/>
      <c r="EV804" s="59"/>
      <c r="EW804" s="59"/>
      <c r="EX804" s="59"/>
      <c r="EY804" s="59"/>
      <c r="EZ804" s="59"/>
      <c r="FA804" s="59"/>
      <c r="FB804" s="59"/>
      <c r="FC804" s="59"/>
      <c r="FD804" s="59"/>
      <c r="FE804" s="59"/>
      <c r="FF804" s="59"/>
      <c r="FG804" s="59"/>
      <c r="FH804" s="59"/>
      <c r="FI804" s="59"/>
      <c r="FJ804" s="59"/>
      <c r="FK804" s="59"/>
      <c r="FL804" s="59"/>
      <c r="FM804" s="59"/>
      <c r="FN804" s="59"/>
      <c r="FO804" s="59"/>
      <c r="FP804" s="59"/>
      <c r="FQ804" s="59"/>
      <c r="FR804" s="59"/>
      <c r="FS804" s="59"/>
      <c r="FT804" s="59"/>
      <c r="FU804" s="59"/>
      <c r="FV804" s="59"/>
      <c r="FW804" s="59"/>
      <c r="FX804" s="59"/>
      <c r="FY804" s="59"/>
      <c r="FZ804" s="59"/>
      <c r="GA804" s="59"/>
      <c r="GB804" s="59"/>
      <c r="GC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59"/>
      <c r="BX805" s="59"/>
      <c r="BY805" s="59"/>
      <c r="BZ805" s="59"/>
      <c r="CA805" s="59"/>
      <c r="CB805" s="59"/>
      <c r="CC805" s="59"/>
      <c r="CD805" s="59"/>
      <c r="CE805" s="59"/>
      <c r="CF805" s="59"/>
      <c r="CG805" s="59"/>
      <c r="CH805" s="59"/>
      <c r="CI805" s="59"/>
      <c r="CJ805" s="59"/>
      <c r="CK805" s="59"/>
      <c r="CL805" s="59"/>
      <c r="CM805" s="59"/>
      <c r="CN805" s="59"/>
      <c r="CO805" s="59"/>
      <c r="CP805" s="59"/>
      <c r="CQ805" s="59"/>
      <c r="CR805" s="59"/>
      <c r="CS805" s="59"/>
      <c r="CT805" s="59"/>
      <c r="CU805" s="59"/>
      <c r="CV805" s="59"/>
      <c r="CW805" s="59"/>
      <c r="CX805" s="59"/>
      <c r="CY805" s="59"/>
      <c r="CZ805" s="59"/>
      <c r="DA805" s="59"/>
      <c r="DB805" s="59"/>
      <c r="DC805" s="59"/>
      <c r="DD805" s="59"/>
      <c r="DE805" s="59"/>
      <c r="DF805" s="59"/>
      <c r="DG805" s="59"/>
      <c r="DH805" s="59"/>
      <c r="DI805" s="59"/>
      <c r="DJ805" s="59"/>
      <c r="DK805" s="59"/>
      <c r="DL805" s="59"/>
      <c r="DM805" s="59"/>
      <c r="DN805" s="59"/>
      <c r="DO805" s="59"/>
      <c r="DP805" s="59"/>
      <c r="DQ805" s="59"/>
      <c r="DR805" s="59"/>
      <c r="DS805" s="59"/>
      <c r="DT805" s="59"/>
      <c r="DU805" s="59"/>
      <c r="DV805" s="59"/>
      <c r="DW805" s="59"/>
      <c r="DX805" s="59"/>
      <c r="DY805" s="59"/>
      <c r="DZ805" s="59"/>
      <c r="EA805" s="59"/>
      <c r="EB805" s="59"/>
      <c r="EC805" s="59"/>
      <c r="ED805" s="59"/>
      <c r="EE805" s="59"/>
      <c r="EF805" s="59"/>
      <c r="EG805" s="59"/>
      <c r="EH805" s="59"/>
      <c r="EI805" s="59"/>
      <c r="EJ805" s="59"/>
      <c r="EK805" s="59"/>
      <c r="EL805" s="59"/>
      <c r="EM805" s="59"/>
      <c r="EN805" s="59"/>
      <c r="EO805" s="59"/>
      <c r="EP805" s="59"/>
      <c r="EQ805" s="59"/>
      <c r="ER805" s="59"/>
      <c r="ES805" s="59"/>
      <c r="ET805" s="59"/>
      <c r="EU805" s="59"/>
      <c r="EV805" s="59"/>
      <c r="EW805" s="59"/>
      <c r="EX805" s="59"/>
      <c r="EY805" s="59"/>
      <c r="EZ805" s="59"/>
      <c r="FA805" s="59"/>
      <c r="FB805" s="59"/>
      <c r="FC805" s="59"/>
      <c r="FD805" s="59"/>
      <c r="FE805" s="59"/>
      <c r="FF805" s="59"/>
      <c r="FG805" s="59"/>
      <c r="FH805" s="59"/>
      <c r="FI805" s="59"/>
      <c r="FJ805" s="59"/>
      <c r="FK805" s="59"/>
      <c r="FL805" s="59"/>
      <c r="FM805" s="59"/>
      <c r="FN805" s="59"/>
      <c r="FO805" s="59"/>
      <c r="FP805" s="59"/>
      <c r="FQ805" s="59"/>
      <c r="FR805" s="59"/>
      <c r="FS805" s="59"/>
      <c r="FT805" s="59"/>
      <c r="FU805" s="59"/>
      <c r="FV805" s="59"/>
      <c r="FW805" s="59"/>
      <c r="FX805" s="59"/>
      <c r="FY805" s="59"/>
      <c r="FZ805" s="59"/>
      <c r="GA805" s="59"/>
      <c r="GB805" s="59"/>
      <c r="GC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59"/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  <c r="CR806" s="59"/>
      <c r="CS806" s="59"/>
      <c r="CT806" s="59"/>
      <c r="CU806" s="59"/>
      <c r="CV806" s="59"/>
      <c r="CW806" s="59"/>
      <c r="CX806" s="59"/>
      <c r="CY806" s="59"/>
      <c r="CZ806" s="59"/>
      <c r="DA806" s="59"/>
      <c r="DB806" s="59"/>
      <c r="DC806" s="59"/>
      <c r="DD806" s="59"/>
      <c r="DE806" s="59"/>
      <c r="DF806" s="59"/>
      <c r="DG806" s="59"/>
      <c r="DH806" s="59"/>
      <c r="DI806" s="59"/>
      <c r="DJ806" s="59"/>
      <c r="DK806" s="59"/>
      <c r="DL806" s="59"/>
      <c r="DM806" s="59"/>
      <c r="DN806" s="59"/>
      <c r="DO806" s="59"/>
      <c r="DP806" s="59"/>
      <c r="DQ806" s="59"/>
      <c r="DR806" s="59"/>
      <c r="DS806" s="59"/>
      <c r="DT806" s="59"/>
      <c r="DU806" s="59"/>
      <c r="DV806" s="59"/>
      <c r="DW806" s="59"/>
      <c r="DX806" s="59"/>
      <c r="DY806" s="59"/>
      <c r="DZ806" s="59"/>
      <c r="EA806" s="59"/>
      <c r="EB806" s="59"/>
      <c r="EC806" s="59"/>
      <c r="ED806" s="59"/>
      <c r="EE806" s="59"/>
      <c r="EF806" s="59"/>
      <c r="EG806" s="59"/>
      <c r="EH806" s="59"/>
      <c r="EI806" s="59"/>
      <c r="EJ806" s="59"/>
      <c r="EK806" s="59"/>
      <c r="EL806" s="59"/>
      <c r="EM806" s="59"/>
      <c r="EN806" s="59"/>
      <c r="EO806" s="59"/>
      <c r="EP806" s="59"/>
      <c r="EQ806" s="59"/>
      <c r="ER806" s="59"/>
      <c r="ES806" s="59"/>
      <c r="ET806" s="59"/>
      <c r="EU806" s="59"/>
      <c r="EV806" s="59"/>
      <c r="EW806" s="59"/>
      <c r="EX806" s="59"/>
      <c r="EY806" s="59"/>
      <c r="EZ806" s="59"/>
      <c r="FA806" s="59"/>
      <c r="FB806" s="59"/>
      <c r="FC806" s="59"/>
      <c r="FD806" s="59"/>
      <c r="FE806" s="59"/>
      <c r="FF806" s="59"/>
      <c r="FG806" s="59"/>
      <c r="FH806" s="59"/>
      <c r="FI806" s="59"/>
      <c r="FJ806" s="59"/>
      <c r="FK806" s="59"/>
      <c r="FL806" s="59"/>
      <c r="FM806" s="59"/>
      <c r="FN806" s="59"/>
      <c r="FO806" s="59"/>
      <c r="FP806" s="59"/>
      <c r="FQ806" s="59"/>
      <c r="FR806" s="59"/>
      <c r="FS806" s="59"/>
      <c r="FT806" s="59"/>
      <c r="FU806" s="59"/>
      <c r="FV806" s="59"/>
      <c r="FW806" s="59"/>
      <c r="FX806" s="59"/>
      <c r="FY806" s="59"/>
      <c r="FZ806" s="59"/>
      <c r="GA806" s="59"/>
      <c r="GB806" s="59"/>
      <c r="GC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59"/>
      <c r="BX807" s="59"/>
      <c r="BY807" s="59"/>
      <c r="BZ807" s="59"/>
      <c r="CA807" s="59"/>
      <c r="CB807" s="59"/>
      <c r="CC807" s="59"/>
      <c r="CD807" s="59"/>
      <c r="CE807" s="59"/>
      <c r="CF807" s="59"/>
      <c r="CG807" s="59"/>
      <c r="CH807" s="59"/>
      <c r="CI807" s="59"/>
      <c r="CJ807" s="59"/>
      <c r="CK807" s="59"/>
      <c r="CL807" s="59"/>
      <c r="CM807" s="59"/>
      <c r="CN807" s="59"/>
      <c r="CO807" s="59"/>
      <c r="CP807" s="59"/>
      <c r="CQ807" s="59"/>
      <c r="CR807" s="59"/>
      <c r="CS807" s="59"/>
      <c r="CT807" s="59"/>
      <c r="CU807" s="59"/>
      <c r="CV807" s="59"/>
      <c r="CW807" s="59"/>
      <c r="CX807" s="59"/>
      <c r="CY807" s="59"/>
      <c r="CZ807" s="59"/>
      <c r="DA807" s="59"/>
      <c r="DB807" s="59"/>
      <c r="DC807" s="59"/>
      <c r="DD807" s="59"/>
      <c r="DE807" s="59"/>
      <c r="DF807" s="59"/>
      <c r="DG807" s="59"/>
      <c r="DH807" s="59"/>
      <c r="DI807" s="59"/>
      <c r="DJ807" s="59"/>
      <c r="DK807" s="59"/>
      <c r="DL807" s="59"/>
      <c r="DM807" s="59"/>
      <c r="DN807" s="59"/>
      <c r="DO807" s="59"/>
      <c r="DP807" s="59"/>
      <c r="DQ807" s="59"/>
      <c r="DR807" s="59"/>
      <c r="DS807" s="59"/>
      <c r="DT807" s="59"/>
      <c r="DU807" s="59"/>
      <c r="DV807" s="59"/>
      <c r="DW807" s="59"/>
      <c r="DX807" s="59"/>
      <c r="DY807" s="59"/>
      <c r="DZ807" s="59"/>
      <c r="EA807" s="59"/>
      <c r="EB807" s="59"/>
      <c r="EC807" s="59"/>
      <c r="ED807" s="59"/>
      <c r="EE807" s="59"/>
      <c r="EF807" s="59"/>
      <c r="EG807" s="59"/>
      <c r="EH807" s="59"/>
      <c r="EI807" s="59"/>
      <c r="EJ807" s="59"/>
      <c r="EK807" s="59"/>
      <c r="EL807" s="59"/>
      <c r="EM807" s="59"/>
      <c r="EN807" s="59"/>
      <c r="EO807" s="59"/>
      <c r="EP807" s="59"/>
      <c r="EQ807" s="59"/>
      <c r="ER807" s="59"/>
      <c r="ES807" s="59"/>
      <c r="ET807" s="59"/>
      <c r="EU807" s="59"/>
      <c r="EV807" s="59"/>
      <c r="EW807" s="59"/>
      <c r="EX807" s="59"/>
      <c r="EY807" s="59"/>
      <c r="EZ807" s="59"/>
      <c r="FA807" s="59"/>
      <c r="FB807" s="59"/>
      <c r="FC807" s="59"/>
      <c r="FD807" s="59"/>
      <c r="FE807" s="59"/>
      <c r="FF807" s="59"/>
      <c r="FG807" s="59"/>
      <c r="FH807" s="59"/>
      <c r="FI807" s="59"/>
      <c r="FJ807" s="59"/>
      <c r="FK807" s="59"/>
      <c r="FL807" s="59"/>
      <c r="FM807" s="59"/>
      <c r="FN807" s="59"/>
      <c r="FO807" s="59"/>
      <c r="FP807" s="59"/>
      <c r="FQ807" s="59"/>
      <c r="FR807" s="59"/>
      <c r="FS807" s="59"/>
      <c r="FT807" s="59"/>
      <c r="FU807" s="59"/>
      <c r="FV807" s="59"/>
      <c r="FW807" s="59"/>
      <c r="FX807" s="59"/>
      <c r="FY807" s="59"/>
      <c r="FZ807" s="59"/>
      <c r="GA807" s="59"/>
      <c r="GB807" s="59"/>
      <c r="GC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  <c r="BW808" s="59"/>
      <c r="BX808" s="59"/>
      <c r="BY808" s="59"/>
      <c r="BZ808" s="59"/>
      <c r="CA808" s="59"/>
      <c r="CB808" s="59"/>
      <c r="CC808" s="59"/>
      <c r="CD808" s="59"/>
      <c r="CE808" s="59"/>
      <c r="CF808" s="59"/>
      <c r="CG808" s="59"/>
      <c r="CH808" s="59"/>
      <c r="CI808" s="59"/>
      <c r="CJ808" s="59"/>
      <c r="CK808" s="59"/>
      <c r="CL808" s="59"/>
      <c r="CM808" s="59"/>
      <c r="CN808" s="59"/>
      <c r="CO808" s="59"/>
      <c r="CP808" s="59"/>
      <c r="CQ808" s="59"/>
      <c r="CR808" s="59"/>
      <c r="CS808" s="59"/>
      <c r="CT808" s="59"/>
      <c r="CU808" s="59"/>
      <c r="CV808" s="59"/>
      <c r="CW808" s="59"/>
      <c r="CX808" s="59"/>
      <c r="CY808" s="59"/>
      <c r="CZ808" s="59"/>
      <c r="DA808" s="59"/>
      <c r="DB808" s="59"/>
      <c r="DC808" s="59"/>
      <c r="DD808" s="59"/>
      <c r="DE808" s="59"/>
      <c r="DF808" s="59"/>
      <c r="DG808" s="59"/>
      <c r="DH808" s="59"/>
      <c r="DI808" s="59"/>
      <c r="DJ808" s="59"/>
      <c r="DK808" s="59"/>
      <c r="DL808" s="59"/>
      <c r="DM808" s="59"/>
      <c r="DN808" s="59"/>
      <c r="DO808" s="59"/>
      <c r="DP808" s="59"/>
      <c r="DQ808" s="59"/>
      <c r="DR808" s="59"/>
      <c r="DS808" s="59"/>
      <c r="DT808" s="59"/>
      <c r="DU808" s="59"/>
      <c r="DV808" s="59"/>
      <c r="DW808" s="59"/>
      <c r="DX808" s="59"/>
      <c r="DY808" s="59"/>
      <c r="DZ808" s="59"/>
      <c r="EA808" s="59"/>
      <c r="EB808" s="59"/>
      <c r="EC808" s="59"/>
      <c r="ED808" s="59"/>
      <c r="EE808" s="59"/>
      <c r="EF808" s="59"/>
      <c r="EG808" s="59"/>
      <c r="EH808" s="59"/>
      <c r="EI808" s="59"/>
      <c r="EJ808" s="59"/>
      <c r="EK808" s="59"/>
      <c r="EL808" s="59"/>
      <c r="EM808" s="59"/>
      <c r="EN808" s="59"/>
      <c r="EO808" s="59"/>
      <c r="EP808" s="59"/>
      <c r="EQ808" s="59"/>
      <c r="ER808" s="59"/>
      <c r="ES808" s="59"/>
      <c r="ET808" s="59"/>
      <c r="EU808" s="59"/>
      <c r="EV808" s="59"/>
      <c r="EW808" s="59"/>
      <c r="EX808" s="59"/>
      <c r="EY808" s="59"/>
      <c r="EZ808" s="59"/>
      <c r="FA808" s="59"/>
      <c r="FB808" s="59"/>
      <c r="FC808" s="59"/>
      <c r="FD808" s="59"/>
      <c r="FE808" s="59"/>
      <c r="FF808" s="59"/>
      <c r="FG808" s="59"/>
      <c r="FH808" s="59"/>
      <c r="FI808" s="59"/>
      <c r="FJ808" s="59"/>
      <c r="FK808" s="59"/>
      <c r="FL808" s="59"/>
      <c r="FM808" s="59"/>
      <c r="FN808" s="59"/>
      <c r="FO808" s="59"/>
      <c r="FP808" s="59"/>
      <c r="FQ808" s="59"/>
      <c r="FR808" s="59"/>
      <c r="FS808" s="59"/>
      <c r="FT808" s="59"/>
      <c r="FU808" s="59"/>
      <c r="FV808" s="59"/>
      <c r="FW808" s="59"/>
      <c r="FX808" s="59"/>
      <c r="FY808" s="59"/>
      <c r="FZ808" s="59"/>
      <c r="GA808" s="59"/>
      <c r="GB808" s="59"/>
      <c r="GC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  <c r="BW809" s="59"/>
      <c r="BX809" s="59"/>
      <c r="BY809" s="59"/>
      <c r="BZ809" s="59"/>
      <c r="CA809" s="59"/>
      <c r="CB809" s="59"/>
      <c r="CC809" s="59"/>
      <c r="CD809" s="59"/>
      <c r="CE809" s="59"/>
      <c r="CF809" s="59"/>
      <c r="CG809" s="59"/>
      <c r="CH809" s="59"/>
      <c r="CI809" s="59"/>
      <c r="CJ809" s="59"/>
      <c r="CK809" s="59"/>
      <c r="CL809" s="59"/>
      <c r="CM809" s="59"/>
      <c r="CN809" s="59"/>
      <c r="CO809" s="59"/>
      <c r="CP809" s="59"/>
      <c r="CQ809" s="59"/>
      <c r="CR809" s="59"/>
      <c r="CS809" s="59"/>
      <c r="CT809" s="59"/>
      <c r="CU809" s="59"/>
      <c r="CV809" s="59"/>
      <c r="CW809" s="59"/>
      <c r="CX809" s="59"/>
      <c r="CY809" s="59"/>
      <c r="CZ809" s="59"/>
      <c r="DA809" s="59"/>
      <c r="DB809" s="59"/>
      <c r="DC809" s="59"/>
      <c r="DD809" s="59"/>
      <c r="DE809" s="59"/>
      <c r="DF809" s="59"/>
      <c r="DG809" s="59"/>
      <c r="DH809" s="59"/>
      <c r="DI809" s="59"/>
      <c r="DJ809" s="59"/>
      <c r="DK809" s="59"/>
      <c r="DL809" s="59"/>
      <c r="DM809" s="59"/>
      <c r="DN809" s="59"/>
      <c r="DO809" s="59"/>
      <c r="DP809" s="59"/>
      <c r="DQ809" s="59"/>
      <c r="DR809" s="59"/>
      <c r="DS809" s="59"/>
      <c r="DT809" s="59"/>
      <c r="DU809" s="59"/>
      <c r="DV809" s="59"/>
      <c r="DW809" s="59"/>
      <c r="DX809" s="59"/>
      <c r="DY809" s="59"/>
      <c r="DZ809" s="59"/>
      <c r="EA809" s="59"/>
      <c r="EB809" s="59"/>
      <c r="EC809" s="59"/>
      <c r="ED809" s="59"/>
      <c r="EE809" s="59"/>
      <c r="EF809" s="59"/>
      <c r="EG809" s="59"/>
      <c r="EH809" s="59"/>
      <c r="EI809" s="59"/>
      <c r="EJ809" s="59"/>
      <c r="EK809" s="59"/>
      <c r="EL809" s="59"/>
      <c r="EM809" s="59"/>
      <c r="EN809" s="59"/>
      <c r="EO809" s="59"/>
      <c r="EP809" s="59"/>
      <c r="EQ809" s="59"/>
      <c r="ER809" s="59"/>
      <c r="ES809" s="59"/>
      <c r="ET809" s="59"/>
      <c r="EU809" s="59"/>
      <c r="EV809" s="59"/>
      <c r="EW809" s="59"/>
      <c r="EX809" s="59"/>
      <c r="EY809" s="59"/>
      <c r="EZ809" s="59"/>
      <c r="FA809" s="59"/>
      <c r="FB809" s="59"/>
      <c r="FC809" s="59"/>
      <c r="FD809" s="59"/>
      <c r="FE809" s="59"/>
      <c r="FF809" s="59"/>
      <c r="FG809" s="59"/>
      <c r="FH809" s="59"/>
      <c r="FI809" s="59"/>
      <c r="FJ809" s="59"/>
      <c r="FK809" s="59"/>
      <c r="FL809" s="59"/>
      <c r="FM809" s="59"/>
      <c r="FN809" s="59"/>
      <c r="FO809" s="59"/>
      <c r="FP809" s="59"/>
      <c r="FQ809" s="59"/>
      <c r="FR809" s="59"/>
      <c r="FS809" s="59"/>
      <c r="FT809" s="59"/>
      <c r="FU809" s="59"/>
      <c r="FV809" s="59"/>
      <c r="FW809" s="59"/>
      <c r="FX809" s="59"/>
      <c r="FY809" s="59"/>
      <c r="FZ809" s="59"/>
      <c r="GA809" s="59"/>
      <c r="GB809" s="59"/>
      <c r="GC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  <c r="BW810" s="59"/>
      <c r="BX810" s="59"/>
      <c r="BY810" s="59"/>
      <c r="BZ810" s="59"/>
      <c r="CA810" s="59"/>
      <c r="CB810" s="59"/>
      <c r="CC810" s="59"/>
      <c r="CD810" s="59"/>
      <c r="CE810" s="59"/>
      <c r="CF810" s="59"/>
      <c r="CG810" s="59"/>
      <c r="CH810" s="59"/>
      <c r="CI810" s="59"/>
      <c r="CJ810" s="59"/>
      <c r="CK810" s="59"/>
      <c r="CL810" s="59"/>
      <c r="CM810" s="59"/>
      <c r="CN810" s="59"/>
      <c r="CO810" s="59"/>
      <c r="CP810" s="59"/>
      <c r="CQ810" s="59"/>
      <c r="CR810" s="59"/>
      <c r="CS810" s="59"/>
      <c r="CT810" s="59"/>
      <c r="CU810" s="59"/>
      <c r="CV810" s="59"/>
      <c r="CW810" s="59"/>
      <c r="CX810" s="59"/>
      <c r="CY810" s="59"/>
      <c r="CZ810" s="59"/>
      <c r="DA810" s="59"/>
      <c r="DB810" s="59"/>
      <c r="DC810" s="59"/>
      <c r="DD810" s="59"/>
      <c r="DE810" s="59"/>
      <c r="DF810" s="59"/>
      <c r="DG810" s="59"/>
      <c r="DH810" s="59"/>
      <c r="DI810" s="59"/>
      <c r="DJ810" s="59"/>
      <c r="DK810" s="59"/>
      <c r="DL810" s="59"/>
      <c r="DM810" s="59"/>
      <c r="DN810" s="59"/>
      <c r="DO810" s="59"/>
      <c r="DP810" s="59"/>
      <c r="DQ810" s="59"/>
      <c r="DR810" s="59"/>
      <c r="DS810" s="59"/>
      <c r="DT810" s="59"/>
      <c r="DU810" s="59"/>
      <c r="DV810" s="59"/>
      <c r="DW810" s="59"/>
      <c r="DX810" s="59"/>
      <c r="DY810" s="59"/>
      <c r="DZ810" s="59"/>
      <c r="EA810" s="59"/>
      <c r="EB810" s="59"/>
      <c r="EC810" s="59"/>
      <c r="ED810" s="59"/>
      <c r="EE810" s="59"/>
      <c r="EF810" s="59"/>
      <c r="EG810" s="59"/>
      <c r="EH810" s="59"/>
      <c r="EI810" s="59"/>
      <c r="EJ810" s="59"/>
      <c r="EK810" s="59"/>
      <c r="EL810" s="59"/>
      <c r="EM810" s="59"/>
      <c r="EN810" s="59"/>
      <c r="EO810" s="59"/>
      <c r="EP810" s="59"/>
      <c r="EQ810" s="59"/>
      <c r="ER810" s="59"/>
      <c r="ES810" s="59"/>
      <c r="ET810" s="59"/>
      <c r="EU810" s="59"/>
      <c r="EV810" s="59"/>
      <c r="EW810" s="59"/>
      <c r="EX810" s="59"/>
      <c r="EY810" s="59"/>
      <c r="EZ810" s="59"/>
      <c r="FA810" s="59"/>
      <c r="FB810" s="59"/>
      <c r="FC810" s="59"/>
      <c r="FD810" s="59"/>
      <c r="FE810" s="59"/>
      <c r="FF810" s="59"/>
      <c r="FG810" s="59"/>
      <c r="FH810" s="59"/>
      <c r="FI810" s="59"/>
      <c r="FJ810" s="59"/>
      <c r="FK810" s="59"/>
      <c r="FL810" s="59"/>
      <c r="FM810" s="59"/>
      <c r="FN810" s="59"/>
      <c r="FO810" s="59"/>
      <c r="FP810" s="59"/>
      <c r="FQ810" s="59"/>
      <c r="FR810" s="59"/>
      <c r="FS810" s="59"/>
      <c r="FT810" s="59"/>
      <c r="FU810" s="59"/>
      <c r="FV810" s="59"/>
      <c r="FW810" s="59"/>
      <c r="FX810" s="59"/>
      <c r="FY810" s="59"/>
      <c r="FZ810" s="59"/>
      <c r="GA810" s="59"/>
      <c r="GB810" s="59"/>
      <c r="GC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  <c r="BW811" s="59"/>
      <c r="BX811" s="59"/>
      <c r="BY811" s="59"/>
      <c r="BZ811" s="59"/>
      <c r="CA811" s="59"/>
      <c r="CB811" s="59"/>
      <c r="CC811" s="59"/>
      <c r="CD811" s="59"/>
      <c r="CE811" s="59"/>
      <c r="CF811" s="59"/>
      <c r="CG811" s="59"/>
      <c r="CH811" s="59"/>
      <c r="CI811" s="59"/>
      <c r="CJ811" s="59"/>
      <c r="CK811" s="59"/>
      <c r="CL811" s="59"/>
      <c r="CM811" s="59"/>
      <c r="CN811" s="59"/>
      <c r="CO811" s="59"/>
      <c r="CP811" s="59"/>
      <c r="CQ811" s="59"/>
      <c r="CR811" s="59"/>
      <c r="CS811" s="59"/>
      <c r="CT811" s="59"/>
      <c r="CU811" s="59"/>
      <c r="CV811" s="59"/>
      <c r="CW811" s="59"/>
      <c r="CX811" s="59"/>
      <c r="CY811" s="59"/>
      <c r="CZ811" s="59"/>
      <c r="DA811" s="59"/>
      <c r="DB811" s="59"/>
      <c r="DC811" s="59"/>
      <c r="DD811" s="59"/>
      <c r="DE811" s="59"/>
      <c r="DF811" s="59"/>
      <c r="DG811" s="59"/>
      <c r="DH811" s="59"/>
      <c r="DI811" s="59"/>
      <c r="DJ811" s="59"/>
      <c r="DK811" s="59"/>
      <c r="DL811" s="59"/>
      <c r="DM811" s="59"/>
      <c r="DN811" s="59"/>
      <c r="DO811" s="59"/>
      <c r="DP811" s="59"/>
      <c r="DQ811" s="59"/>
      <c r="DR811" s="59"/>
      <c r="DS811" s="59"/>
      <c r="DT811" s="59"/>
      <c r="DU811" s="59"/>
      <c r="DV811" s="59"/>
      <c r="DW811" s="59"/>
      <c r="DX811" s="59"/>
      <c r="DY811" s="59"/>
      <c r="DZ811" s="59"/>
      <c r="EA811" s="59"/>
      <c r="EB811" s="59"/>
      <c r="EC811" s="59"/>
      <c r="ED811" s="59"/>
      <c r="EE811" s="59"/>
      <c r="EF811" s="59"/>
      <c r="EG811" s="59"/>
      <c r="EH811" s="59"/>
      <c r="EI811" s="59"/>
      <c r="EJ811" s="59"/>
      <c r="EK811" s="59"/>
      <c r="EL811" s="59"/>
      <c r="EM811" s="59"/>
      <c r="EN811" s="59"/>
      <c r="EO811" s="59"/>
      <c r="EP811" s="59"/>
      <c r="EQ811" s="59"/>
      <c r="ER811" s="59"/>
      <c r="ES811" s="59"/>
      <c r="ET811" s="59"/>
      <c r="EU811" s="59"/>
      <c r="EV811" s="59"/>
      <c r="EW811" s="59"/>
      <c r="EX811" s="59"/>
      <c r="EY811" s="59"/>
      <c r="EZ811" s="59"/>
      <c r="FA811" s="59"/>
      <c r="FB811" s="59"/>
      <c r="FC811" s="59"/>
      <c r="FD811" s="59"/>
      <c r="FE811" s="59"/>
      <c r="FF811" s="59"/>
      <c r="FG811" s="59"/>
      <c r="FH811" s="59"/>
      <c r="FI811" s="59"/>
      <c r="FJ811" s="59"/>
      <c r="FK811" s="59"/>
      <c r="FL811" s="59"/>
      <c r="FM811" s="59"/>
      <c r="FN811" s="59"/>
      <c r="FO811" s="59"/>
      <c r="FP811" s="59"/>
      <c r="FQ811" s="59"/>
      <c r="FR811" s="59"/>
      <c r="FS811" s="59"/>
      <c r="FT811" s="59"/>
      <c r="FU811" s="59"/>
      <c r="FV811" s="59"/>
      <c r="FW811" s="59"/>
      <c r="FX811" s="59"/>
      <c r="FY811" s="59"/>
      <c r="FZ811" s="59"/>
      <c r="GA811" s="59"/>
      <c r="GB811" s="59"/>
      <c r="GC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  <c r="BW812" s="59"/>
      <c r="BX812" s="59"/>
      <c r="BY812" s="59"/>
      <c r="BZ812" s="59"/>
      <c r="CA812" s="59"/>
      <c r="CB812" s="59"/>
      <c r="CC812" s="59"/>
      <c r="CD812" s="59"/>
      <c r="CE812" s="59"/>
      <c r="CF812" s="59"/>
      <c r="CG812" s="59"/>
      <c r="CH812" s="59"/>
      <c r="CI812" s="59"/>
      <c r="CJ812" s="59"/>
      <c r="CK812" s="59"/>
      <c r="CL812" s="59"/>
      <c r="CM812" s="59"/>
      <c r="CN812" s="59"/>
      <c r="CO812" s="59"/>
      <c r="CP812" s="59"/>
      <c r="CQ812" s="59"/>
      <c r="CR812" s="59"/>
      <c r="CS812" s="59"/>
      <c r="CT812" s="59"/>
      <c r="CU812" s="59"/>
      <c r="CV812" s="59"/>
      <c r="CW812" s="59"/>
      <c r="CX812" s="59"/>
      <c r="CY812" s="59"/>
      <c r="CZ812" s="59"/>
      <c r="DA812" s="59"/>
      <c r="DB812" s="59"/>
      <c r="DC812" s="59"/>
      <c r="DD812" s="59"/>
      <c r="DE812" s="59"/>
      <c r="DF812" s="59"/>
      <c r="DG812" s="59"/>
      <c r="DH812" s="59"/>
      <c r="DI812" s="59"/>
      <c r="DJ812" s="59"/>
      <c r="DK812" s="59"/>
      <c r="DL812" s="59"/>
      <c r="DM812" s="59"/>
      <c r="DN812" s="59"/>
      <c r="DO812" s="59"/>
      <c r="DP812" s="59"/>
      <c r="DQ812" s="59"/>
      <c r="DR812" s="59"/>
      <c r="DS812" s="59"/>
      <c r="DT812" s="59"/>
      <c r="DU812" s="59"/>
      <c r="DV812" s="59"/>
      <c r="DW812" s="59"/>
      <c r="DX812" s="59"/>
      <c r="DY812" s="59"/>
      <c r="DZ812" s="59"/>
      <c r="EA812" s="59"/>
      <c r="EB812" s="59"/>
      <c r="EC812" s="59"/>
      <c r="ED812" s="59"/>
      <c r="EE812" s="59"/>
      <c r="EF812" s="59"/>
      <c r="EG812" s="59"/>
      <c r="EH812" s="59"/>
      <c r="EI812" s="59"/>
      <c r="EJ812" s="59"/>
      <c r="EK812" s="59"/>
      <c r="EL812" s="59"/>
      <c r="EM812" s="59"/>
      <c r="EN812" s="59"/>
      <c r="EO812" s="59"/>
      <c r="EP812" s="59"/>
      <c r="EQ812" s="59"/>
      <c r="ER812" s="59"/>
      <c r="ES812" s="59"/>
      <c r="ET812" s="59"/>
      <c r="EU812" s="59"/>
      <c r="EV812" s="59"/>
      <c r="EW812" s="59"/>
      <c r="EX812" s="59"/>
      <c r="EY812" s="59"/>
      <c r="EZ812" s="59"/>
      <c r="FA812" s="59"/>
      <c r="FB812" s="59"/>
      <c r="FC812" s="59"/>
      <c r="FD812" s="59"/>
      <c r="FE812" s="59"/>
      <c r="FF812" s="59"/>
      <c r="FG812" s="59"/>
      <c r="FH812" s="59"/>
      <c r="FI812" s="59"/>
      <c r="FJ812" s="59"/>
      <c r="FK812" s="59"/>
      <c r="FL812" s="59"/>
      <c r="FM812" s="59"/>
      <c r="FN812" s="59"/>
      <c r="FO812" s="59"/>
      <c r="FP812" s="59"/>
      <c r="FQ812" s="59"/>
      <c r="FR812" s="59"/>
      <c r="FS812" s="59"/>
      <c r="FT812" s="59"/>
      <c r="FU812" s="59"/>
      <c r="FV812" s="59"/>
      <c r="FW812" s="59"/>
      <c r="FX812" s="59"/>
      <c r="FY812" s="59"/>
      <c r="FZ812" s="59"/>
      <c r="GA812" s="59"/>
      <c r="GB812" s="59"/>
      <c r="GC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  <c r="BW813" s="59"/>
      <c r="BX813" s="59"/>
      <c r="BY813" s="59"/>
      <c r="BZ813" s="59"/>
      <c r="CA813" s="59"/>
      <c r="CB813" s="59"/>
      <c r="CC813" s="59"/>
      <c r="CD813" s="59"/>
      <c r="CE813" s="59"/>
      <c r="CF813" s="59"/>
      <c r="CG813" s="59"/>
      <c r="CH813" s="59"/>
      <c r="CI813" s="59"/>
      <c r="CJ813" s="59"/>
      <c r="CK813" s="59"/>
      <c r="CL813" s="59"/>
      <c r="CM813" s="59"/>
      <c r="CN813" s="59"/>
      <c r="CO813" s="59"/>
      <c r="CP813" s="59"/>
      <c r="CQ813" s="59"/>
      <c r="CR813" s="59"/>
      <c r="CS813" s="59"/>
      <c r="CT813" s="59"/>
      <c r="CU813" s="59"/>
      <c r="CV813" s="59"/>
      <c r="CW813" s="59"/>
      <c r="CX813" s="59"/>
      <c r="CY813" s="59"/>
      <c r="CZ813" s="59"/>
      <c r="DA813" s="59"/>
      <c r="DB813" s="59"/>
      <c r="DC813" s="59"/>
      <c r="DD813" s="59"/>
      <c r="DE813" s="59"/>
      <c r="DF813" s="59"/>
      <c r="DG813" s="59"/>
      <c r="DH813" s="59"/>
      <c r="DI813" s="59"/>
      <c r="DJ813" s="59"/>
      <c r="DK813" s="59"/>
      <c r="DL813" s="59"/>
      <c r="DM813" s="59"/>
      <c r="DN813" s="59"/>
      <c r="DO813" s="59"/>
      <c r="DP813" s="59"/>
      <c r="DQ813" s="59"/>
      <c r="DR813" s="59"/>
      <c r="DS813" s="59"/>
      <c r="DT813" s="59"/>
      <c r="DU813" s="59"/>
      <c r="DV813" s="59"/>
      <c r="DW813" s="59"/>
      <c r="DX813" s="59"/>
      <c r="DY813" s="59"/>
      <c r="DZ813" s="59"/>
      <c r="EA813" s="59"/>
      <c r="EB813" s="59"/>
      <c r="EC813" s="59"/>
      <c r="ED813" s="59"/>
      <c r="EE813" s="59"/>
      <c r="EF813" s="59"/>
      <c r="EG813" s="59"/>
      <c r="EH813" s="59"/>
      <c r="EI813" s="59"/>
      <c r="EJ813" s="59"/>
      <c r="EK813" s="59"/>
      <c r="EL813" s="59"/>
      <c r="EM813" s="59"/>
      <c r="EN813" s="59"/>
      <c r="EO813" s="59"/>
      <c r="EP813" s="59"/>
      <c r="EQ813" s="59"/>
      <c r="ER813" s="59"/>
      <c r="ES813" s="59"/>
      <c r="ET813" s="59"/>
      <c r="EU813" s="59"/>
      <c r="EV813" s="59"/>
      <c r="EW813" s="59"/>
      <c r="EX813" s="59"/>
      <c r="EY813" s="59"/>
      <c r="EZ813" s="59"/>
      <c r="FA813" s="59"/>
      <c r="FB813" s="59"/>
      <c r="FC813" s="59"/>
      <c r="FD813" s="59"/>
      <c r="FE813" s="59"/>
      <c r="FF813" s="59"/>
      <c r="FG813" s="59"/>
      <c r="FH813" s="59"/>
      <c r="FI813" s="59"/>
      <c r="FJ813" s="59"/>
      <c r="FK813" s="59"/>
      <c r="FL813" s="59"/>
      <c r="FM813" s="59"/>
      <c r="FN813" s="59"/>
      <c r="FO813" s="59"/>
      <c r="FP813" s="59"/>
      <c r="FQ813" s="59"/>
      <c r="FR813" s="59"/>
      <c r="FS813" s="59"/>
      <c r="FT813" s="59"/>
      <c r="FU813" s="59"/>
      <c r="FV813" s="59"/>
      <c r="FW813" s="59"/>
      <c r="FX813" s="59"/>
      <c r="FY813" s="59"/>
      <c r="FZ813" s="59"/>
      <c r="GA813" s="59"/>
      <c r="GB813" s="59"/>
      <c r="GC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  <c r="BV814" s="59"/>
      <c r="BW814" s="59"/>
      <c r="BX814" s="59"/>
      <c r="BY814" s="59"/>
      <c r="BZ814" s="59"/>
      <c r="CA814" s="59"/>
      <c r="CB814" s="59"/>
      <c r="CC814" s="59"/>
      <c r="CD814" s="59"/>
      <c r="CE814" s="59"/>
      <c r="CF814" s="59"/>
      <c r="CG814" s="59"/>
      <c r="CH814" s="59"/>
      <c r="CI814" s="59"/>
      <c r="CJ814" s="59"/>
      <c r="CK814" s="59"/>
      <c r="CL814" s="59"/>
      <c r="CM814" s="59"/>
      <c r="CN814" s="59"/>
      <c r="CO814" s="59"/>
      <c r="CP814" s="59"/>
      <c r="CQ814" s="59"/>
      <c r="CR814" s="59"/>
      <c r="CS814" s="59"/>
      <c r="CT814" s="59"/>
      <c r="CU814" s="59"/>
      <c r="CV814" s="59"/>
      <c r="CW814" s="59"/>
      <c r="CX814" s="59"/>
      <c r="CY814" s="59"/>
      <c r="CZ814" s="59"/>
      <c r="DA814" s="59"/>
      <c r="DB814" s="59"/>
      <c r="DC814" s="59"/>
      <c r="DD814" s="59"/>
      <c r="DE814" s="59"/>
      <c r="DF814" s="59"/>
      <c r="DG814" s="59"/>
      <c r="DH814" s="59"/>
      <c r="DI814" s="59"/>
      <c r="DJ814" s="59"/>
      <c r="DK814" s="59"/>
      <c r="DL814" s="59"/>
      <c r="DM814" s="59"/>
      <c r="DN814" s="59"/>
      <c r="DO814" s="59"/>
      <c r="DP814" s="59"/>
      <c r="DQ814" s="59"/>
      <c r="DR814" s="59"/>
      <c r="DS814" s="59"/>
      <c r="DT814" s="59"/>
      <c r="DU814" s="59"/>
      <c r="DV814" s="59"/>
      <c r="DW814" s="59"/>
      <c r="DX814" s="59"/>
      <c r="DY814" s="59"/>
      <c r="DZ814" s="59"/>
      <c r="EA814" s="59"/>
      <c r="EB814" s="59"/>
      <c r="EC814" s="59"/>
      <c r="ED814" s="59"/>
      <c r="EE814" s="59"/>
      <c r="EF814" s="59"/>
      <c r="EG814" s="59"/>
      <c r="EH814" s="59"/>
      <c r="EI814" s="59"/>
      <c r="EJ814" s="59"/>
      <c r="EK814" s="59"/>
      <c r="EL814" s="59"/>
      <c r="EM814" s="59"/>
      <c r="EN814" s="59"/>
      <c r="EO814" s="59"/>
      <c r="EP814" s="59"/>
      <c r="EQ814" s="59"/>
      <c r="ER814" s="59"/>
      <c r="ES814" s="59"/>
      <c r="ET814" s="59"/>
      <c r="EU814" s="59"/>
      <c r="EV814" s="59"/>
      <c r="EW814" s="59"/>
      <c r="EX814" s="59"/>
      <c r="EY814" s="59"/>
      <c r="EZ814" s="59"/>
      <c r="FA814" s="59"/>
      <c r="FB814" s="59"/>
      <c r="FC814" s="59"/>
      <c r="FD814" s="59"/>
      <c r="FE814" s="59"/>
      <c r="FF814" s="59"/>
      <c r="FG814" s="59"/>
      <c r="FH814" s="59"/>
      <c r="FI814" s="59"/>
      <c r="FJ814" s="59"/>
      <c r="FK814" s="59"/>
      <c r="FL814" s="59"/>
      <c r="FM814" s="59"/>
      <c r="FN814" s="59"/>
      <c r="FO814" s="59"/>
      <c r="FP814" s="59"/>
      <c r="FQ814" s="59"/>
      <c r="FR814" s="59"/>
      <c r="FS814" s="59"/>
      <c r="FT814" s="59"/>
      <c r="FU814" s="59"/>
      <c r="FV814" s="59"/>
      <c r="FW814" s="59"/>
      <c r="FX814" s="59"/>
      <c r="FY814" s="59"/>
      <c r="FZ814" s="59"/>
      <c r="GA814" s="59"/>
      <c r="GB814" s="59"/>
      <c r="GC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  <c r="BV815" s="59"/>
      <c r="BW815" s="59"/>
      <c r="BX815" s="59"/>
      <c r="BY815" s="59"/>
      <c r="BZ815" s="59"/>
      <c r="CA815" s="59"/>
      <c r="CB815" s="59"/>
      <c r="CC815" s="59"/>
      <c r="CD815" s="59"/>
      <c r="CE815" s="59"/>
      <c r="CF815" s="59"/>
      <c r="CG815" s="59"/>
      <c r="CH815" s="59"/>
      <c r="CI815" s="59"/>
      <c r="CJ815" s="59"/>
      <c r="CK815" s="59"/>
      <c r="CL815" s="59"/>
      <c r="CM815" s="59"/>
      <c r="CN815" s="59"/>
      <c r="CO815" s="59"/>
      <c r="CP815" s="59"/>
      <c r="CQ815" s="59"/>
      <c r="CR815" s="59"/>
      <c r="CS815" s="59"/>
      <c r="CT815" s="59"/>
      <c r="CU815" s="59"/>
      <c r="CV815" s="59"/>
      <c r="CW815" s="59"/>
      <c r="CX815" s="59"/>
      <c r="CY815" s="59"/>
      <c r="CZ815" s="59"/>
      <c r="DA815" s="59"/>
      <c r="DB815" s="59"/>
      <c r="DC815" s="59"/>
      <c r="DD815" s="59"/>
      <c r="DE815" s="59"/>
      <c r="DF815" s="59"/>
      <c r="DG815" s="59"/>
      <c r="DH815" s="59"/>
      <c r="DI815" s="59"/>
      <c r="DJ815" s="59"/>
      <c r="DK815" s="59"/>
      <c r="DL815" s="59"/>
      <c r="DM815" s="59"/>
      <c r="DN815" s="59"/>
      <c r="DO815" s="59"/>
      <c r="DP815" s="59"/>
      <c r="DQ815" s="59"/>
      <c r="DR815" s="59"/>
      <c r="DS815" s="59"/>
      <c r="DT815" s="59"/>
      <c r="DU815" s="59"/>
      <c r="DV815" s="59"/>
      <c r="DW815" s="59"/>
      <c r="DX815" s="59"/>
      <c r="DY815" s="59"/>
      <c r="DZ815" s="59"/>
      <c r="EA815" s="59"/>
      <c r="EB815" s="59"/>
      <c r="EC815" s="59"/>
      <c r="ED815" s="59"/>
      <c r="EE815" s="59"/>
      <c r="EF815" s="59"/>
      <c r="EG815" s="59"/>
      <c r="EH815" s="59"/>
      <c r="EI815" s="59"/>
      <c r="EJ815" s="59"/>
      <c r="EK815" s="59"/>
      <c r="EL815" s="59"/>
      <c r="EM815" s="59"/>
      <c r="EN815" s="59"/>
      <c r="EO815" s="59"/>
      <c r="EP815" s="59"/>
      <c r="EQ815" s="59"/>
      <c r="ER815" s="59"/>
      <c r="ES815" s="59"/>
      <c r="ET815" s="59"/>
      <c r="EU815" s="59"/>
      <c r="EV815" s="59"/>
      <c r="EW815" s="59"/>
      <c r="EX815" s="59"/>
      <c r="EY815" s="59"/>
      <c r="EZ815" s="59"/>
      <c r="FA815" s="59"/>
      <c r="FB815" s="59"/>
      <c r="FC815" s="59"/>
      <c r="FD815" s="59"/>
      <c r="FE815" s="59"/>
      <c r="FF815" s="59"/>
      <c r="FG815" s="59"/>
      <c r="FH815" s="59"/>
      <c r="FI815" s="59"/>
      <c r="FJ815" s="59"/>
      <c r="FK815" s="59"/>
      <c r="FL815" s="59"/>
      <c r="FM815" s="59"/>
      <c r="FN815" s="59"/>
      <c r="FO815" s="59"/>
      <c r="FP815" s="59"/>
      <c r="FQ815" s="59"/>
      <c r="FR815" s="59"/>
      <c r="FS815" s="59"/>
      <c r="FT815" s="59"/>
      <c r="FU815" s="59"/>
      <c r="FV815" s="59"/>
      <c r="FW815" s="59"/>
      <c r="FX815" s="59"/>
      <c r="FY815" s="59"/>
      <c r="FZ815" s="59"/>
      <c r="GA815" s="59"/>
      <c r="GB815" s="59"/>
      <c r="GC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  <c r="BV816" s="59"/>
      <c r="BW816" s="59"/>
      <c r="BX816" s="59"/>
      <c r="BY816" s="59"/>
      <c r="BZ816" s="59"/>
      <c r="CA816" s="59"/>
      <c r="CB816" s="59"/>
      <c r="CC816" s="59"/>
      <c r="CD816" s="59"/>
      <c r="CE816" s="59"/>
      <c r="CF816" s="59"/>
      <c r="CG816" s="59"/>
      <c r="CH816" s="59"/>
      <c r="CI816" s="59"/>
      <c r="CJ816" s="59"/>
      <c r="CK816" s="59"/>
      <c r="CL816" s="59"/>
      <c r="CM816" s="59"/>
      <c r="CN816" s="59"/>
      <c r="CO816" s="59"/>
      <c r="CP816" s="59"/>
      <c r="CQ816" s="59"/>
      <c r="CR816" s="59"/>
      <c r="CS816" s="59"/>
      <c r="CT816" s="59"/>
      <c r="CU816" s="59"/>
      <c r="CV816" s="59"/>
      <c r="CW816" s="59"/>
      <c r="CX816" s="59"/>
      <c r="CY816" s="59"/>
      <c r="CZ816" s="59"/>
      <c r="DA816" s="59"/>
      <c r="DB816" s="59"/>
      <c r="DC816" s="59"/>
      <c r="DD816" s="59"/>
      <c r="DE816" s="59"/>
      <c r="DF816" s="59"/>
      <c r="DG816" s="59"/>
      <c r="DH816" s="59"/>
      <c r="DI816" s="59"/>
      <c r="DJ816" s="59"/>
      <c r="DK816" s="59"/>
      <c r="DL816" s="59"/>
      <c r="DM816" s="59"/>
      <c r="DN816" s="59"/>
      <c r="DO816" s="59"/>
      <c r="DP816" s="59"/>
      <c r="DQ816" s="59"/>
      <c r="DR816" s="59"/>
      <c r="DS816" s="59"/>
      <c r="DT816" s="59"/>
      <c r="DU816" s="59"/>
      <c r="DV816" s="59"/>
      <c r="DW816" s="59"/>
      <c r="DX816" s="59"/>
      <c r="DY816" s="59"/>
      <c r="DZ816" s="59"/>
      <c r="EA816" s="59"/>
      <c r="EB816" s="59"/>
      <c r="EC816" s="59"/>
      <c r="ED816" s="59"/>
      <c r="EE816" s="59"/>
      <c r="EF816" s="59"/>
      <c r="EG816" s="59"/>
      <c r="EH816" s="59"/>
      <c r="EI816" s="59"/>
      <c r="EJ816" s="59"/>
      <c r="EK816" s="59"/>
      <c r="EL816" s="59"/>
      <c r="EM816" s="59"/>
      <c r="EN816" s="59"/>
      <c r="EO816" s="59"/>
      <c r="EP816" s="59"/>
      <c r="EQ816" s="59"/>
      <c r="ER816" s="59"/>
      <c r="ES816" s="59"/>
      <c r="ET816" s="59"/>
      <c r="EU816" s="59"/>
      <c r="EV816" s="59"/>
      <c r="EW816" s="59"/>
      <c r="EX816" s="59"/>
      <c r="EY816" s="59"/>
      <c r="EZ816" s="59"/>
      <c r="FA816" s="59"/>
      <c r="FB816" s="59"/>
      <c r="FC816" s="59"/>
      <c r="FD816" s="59"/>
      <c r="FE816" s="59"/>
      <c r="FF816" s="59"/>
      <c r="FG816" s="59"/>
      <c r="FH816" s="59"/>
      <c r="FI816" s="59"/>
      <c r="FJ816" s="59"/>
      <c r="FK816" s="59"/>
      <c r="FL816" s="59"/>
      <c r="FM816" s="59"/>
      <c r="FN816" s="59"/>
      <c r="FO816" s="59"/>
      <c r="FP816" s="59"/>
      <c r="FQ816" s="59"/>
      <c r="FR816" s="59"/>
      <c r="FS816" s="59"/>
      <c r="FT816" s="59"/>
      <c r="FU816" s="59"/>
      <c r="FV816" s="59"/>
      <c r="FW816" s="59"/>
      <c r="FX816" s="59"/>
      <c r="FY816" s="59"/>
      <c r="FZ816" s="59"/>
      <c r="GA816" s="59"/>
      <c r="GB816" s="59"/>
      <c r="GC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  <c r="BV817" s="59"/>
      <c r="BW817" s="59"/>
      <c r="BX817" s="59"/>
      <c r="BY817" s="59"/>
      <c r="BZ817" s="59"/>
      <c r="CA817" s="59"/>
      <c r="CB817" s="59"/>
      <c r="CC817" s="59"/>
      <c r="CD817" s="59"/>
      <c r="CE817" s="59"/>
      <c r="CF817" s="59"/>
      <c r="CG817" s="59"/>
      <c r="CH817" s="59"/>
      <c r="CI817" s="59"/>
      <c r="CJ817" s="59"/>
      <c r="CK817" s="59"/>
      <c r="CL817" s="59"/>
      <c r="CM817" s="59"/>
      <c r="CN817" s="59"/>
      <c r="CO817" s="59"/>
      <c r="CP817" s="59"/>
      <c r="CQ817" s="59"/>
      <c r="CR817" s="59"/>
      <c r="CS817" s="59"/>
      <c r="CT817" s="59"/>
      <c r="CU817" s="59"/>
      <c r="CV817" s="59"/>
      <c r="CW817" s="59"/>
      <c r="CX817" s="59"/>
      <c r="CY817" s="59"/>
      <c r="CZ817" s="59"/>
      <c r="DA817" s="59"/>
      <c r="DB817" s="59"/>
      <c r="DC817" s="59"/>
      <c r="DD817" s="59"/>
      <c r="DE817" s="59"/>
      <c r="DF817" s="59"/>
      <c r="DG817" s="59"/>
      <c r="DH817" s="59"/>
      <c r="DI817" s="59"/>
      <c r="DJ817" s="59"/>
      <c r="DK817" s="59"/>
      <c r="DL817" s="59"/>
      <c r="DM817" s="59"/>
      <c r="DN817" s="59"/>
      <c r="DO817" s="59"/>
      <c r="DP817" s="59"/>
      <c r="DQ817" s="59"/>
      <c r="DR817" s="59"/>
      <c r="DS817" s="59"/>
      <c r="DT817" s="59"/>
      <c r="DU817" s="59"/>
      <c r="DV817" s="59"/>
      <c r="DW817" s="59"/>
      <c r="DX817" s="59"/>
      <c r="DY817" s="59"/>
      <c r="DZ817" s="59"/>
      <c r="EA817" s="59"/>
      <c r="EB817" s="59"/>
      <c r="EC817" s="59"/>
      <c r="ED817" s="59"/>
      <c r="EE817" s="59"/>
      <c r="EF817" s="59"/>
      <c r="EG817" s="59"/>
      <c r="EH817" s="59"/>
      <c r="EI817" s="59"/>
      <c r="EJ817" s="59"/>
      <c r="EK817" s="59"/>
      <c r="EL817" s="59"/>
      <c r="EM817" s="59"/>
      <c r="EN817" s="59"/>
      <c r="EO817" s="59"/>
      <c r="EP817" s="59"/>
      <c r="EQ817" s="59"/>
      <c r="ER817" s="59"/>
      <c r="ES817" s="59"/>
      <c r="ET817" s="59"/>
      <c r="EU817" s="59"/>
      <c r="EV817" s="59"/>
      <c r="EW817" s="59"/>
      <c r="EX817" s="59"/>
      <c r="EY817" s="59"/>
      <c r="EZ817" s="59"/>
      <c r="FA817" s="59"/>
      <c r="FB817" s="59"/>
      <c r="FC817" s="59"/>
      <c r="FD817" s="59"/>
      <c r="FE817" s="59"/>
      <c r="FF817" s="59"/>
      <c r="FG817" s="59"/>
      <c r="FH817" s="59"/>
      <c r="FI817" s="59"/>
      <c r="FJ817" s="59"/>
      <c r="FK817" s="59"/>
      <c r="FL817" s="59"/>
      <c r="FM817" s="59"/>
      <c r="FN817" s="59"/>
      <c r="FO817" s="59"/>
      <c r="FP817" s="59"/>
      <c r="FQ817" s="59"/>
      <c r="FR817" s="59"/>
      <c r="FS817" s="59"/>
      <c r="FT817" s="59"/>
      <c r="FU817" s="59"/>
      <c r="FV817" s="59"/>
      <c r="FW817" s="59"/>
      <c r="FX817" s="59"/>
      <c r="FY817" s="59"/>
      <c r="FZ817" s="59"/>
      <c r="GA817" s="59"/>
      <c r="GB817" s="59"/>
      <c r="GC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  <c r="BV818" s="59"/>
      <c r="BW818" s="59"/>
      <c r="BX818" s="59"/>
      <c r="BY818" s="59"/>
      <c r="BZ818" s="59"/>
      <c r="CA818" s="59"/>
      <c r="CB818" s="59"/>
      <c r="CC818" s="59"/>
      <c r="CD818" s="59"/>
      <c r="CE818" s="59"/>
      <c r="CF818" s="59"/>
      <c r="CG818" s="59"/>
      <c r="CH818" s="59"/>
      <c r="CI818" s="59"/>
      <c r="CJ818" s="59"/>
      <c r="CK818" s="59"/>
      <c r="CL818" s="59"/>
      <c r="CM818" s="59"/>
      <c r="CN818" s="59"/>
      <c r="CO818" s="59"/>
      <c r="CP818" s="59"/>
      <c r="CQ818" s="59"/>
      <c r="CR818" s="59"/>
      <c r="CS818" s="59"/>
      <c r="CT818" s="59"/>
      <c r="CU818" s="59"/>
      <c r="CV818" s="59"/>
      <c r="CW818" s="59"/>
      <c r="CX818" s="59"/>
      <c r="CY818" s="59"/>
      <c r="CZ818" s="59"/>
      <c r="DA818" s="59"/>
      <c r="DB818" s="59"/>
      <c r="DC818" s="59"/>
      <c r="DD818" s="59"/>
      <c r="DE818" s="59"/>
      <c r="DF818" s="59"/>
      <c r="DG818" s="59"/>
      <c r="DH818" s="59"/>
      <c r="DI818" s="59"/>
      <c r="DJ818" s="59"/>
      <c r="DK818" s="59"/>
      <c r="DL818" s="59"/>
      <c r="DM818" s="59"/>
      <c r="DN818" s="59"/>
      <c r="DO818" s="59"/>
      <c r="DP818" s="59"/>
      <c r="DQ818" s="59"/>
      <c r="DR818" s="59"/>
      <c r="DS818" s="59"/>
      <c r="DT818" s="59"/>
      <c r="DU818" s="59"/>
      <c r="DV818" s="59"/>
      <c r="DW818" s="59"/>
      <c r="DX818" s="59"/>
      <c r="DY818" s="59"/>
      <c r="DZ818" s="59"/>
      <c r="EA818" s="59"/>
      <c r="EB818" s="59"/>
      <c r="EC818" s="59"/>
      <c r="ED818" s="59"/>
      <c r="EE818" s="59"/>
      <c r="EF818" s="59"/>
      <c r="EG818" s="59"/>
      <c r="EH818" s="59"/>
      <c r="EI818" s="59"/>
      <c r="EJ818" s="59"/>
      <c r="EK818" s="59"/>
      <c r="EL818" s="59"/>
      <c r="EM818" s="59"/>
      <c r="EN818" s="59"/>
      <c r="EO818" s="59"/>
      <c r="EP818" s="59"/>
      <c r="EQ818" s="59"/>
      <c r="ER818" s="59"/>
      <c r="ES818" s="59"/>
      <c r="ET818" s="59"/>
      <c r="EU818" s="59"/>
      <c r="EV818" s="59"/>
      <c r="EW818" s="59"/>
      <c r="EX818" s="59"/>
      <c r="EY818" s="59"/>
      <c r="EZ818" s="59"/>
      <c r="FA818" s="59"/>
      <c r="FB818" s="59"/>
      <c r="FC818" s="59"/>
      <c r="FD818" s="59"/>
      <c r="FE818" s="59"/>
      <c r="FF818" s="59"/>
      <c r="FG818" s="59"/>
      <c r="FH818" s="59"/>
      <c r="FI818" s="59"/>
      <c r="FJ818" s="59"/>
      <c r="FK818" s="59"/>
      <c r="FL818" s="59"/>
      <c r="FM818" s="59"/>
      <c r="FN818" s="59"/>
      <c r="FO818" s="59"/>
      <c r="FP818" s="59"/>
      <c r="FQ818" s="59"/>
      <c r="FR818" s="59"/>
      <c r="FS818" s="59"/>
      <c r="FT818" s="59"/>
      <c r="FU818" s="59"/>
      <c r="FV818" s="59"/>
      <c r="FW818" s="59"/>
      <c r="FX818" s="59"/>
      <c r="FY818" s="59"/>
      <c r="FZ818" s="59"/>
      <c r="GA818" s="59"/>
      <c r="GB818" s="59"/>
      <c r="GC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  <c r="BV819" s="59"/>
      <c r="BW819" s="59"/>
      <c r="BX819" s="59"/>
      <c r="BY819" s="59"/>
      <c r="BZ819" s="59"/>
      <c r="CA819" s="59"/>
      <c r="CB819" s="59"/>
      <c r="CC819" s="59"/>
      <c r="CD819" s="59"/>
      <c r="CE819" s="59"/>
      <c r="CF819" s="59"/>
      <c r="CG819" s="59"/>
      <c r="CH819" s="59"/>
      <c r="CI819" s="59"/>
      <c r="CJ819" s="59"/>
      <c r="CK819" s="59"/>
      <c r="CL819" s="59"/>
      <c r="CM819" s="59"/>
      <c r="CN819" s="59"/>
      <c r="CO819" s="59"/>
      <c r="CP819" s="59"/>
      <c r="CQ819" s="59"/>
      <c r="CR819" s="59"/>
      <c r="CS819" s="59"/>
      <c r="CT819" s="59"/>
      <c r="CU819" s="59"/>
      <c r="CV819" s="59"/>
      <c r="CW819" s="59"/>
      <c r="CX819" s="59"/>
      <c r="CY819" s="59"/>
      <c r="CZ819" s="59"/>
      <c r="DA819" s="59"/>
      <c r="DB819" s="59"/>
      <c r="DC819" s="59"/>
      <c r="DD819" s="59"/>
      <c r="DE819" s="59"/>
      <c r="DF819" s="59"/>
      <c r="DG819" s="59"/>
      <c r="DH819" s="59"/>
      <c r="DI819" s="59"/>
      <c r="DJ819" s="59"/>
      <c r="DK819" s="59"/>
      <c r="DL819" s="59"/>
      <c r="DM819" s="59"/>
      <c r="DN819" s="59"/>
      <c r="DO819" s="59"/>
      <c r="DP819" s="59"/>
      <c r="DQ819" s="59"/>
      <c r="DR819" s="59"/>
      <c r="DS819" s="59"/>
      <c r="DT819" s="59"/>
      <c r="DU819" s="59"/>
      <c r="DV819" s="59"/>
      <c r="DW819" s="59"/>
      <c r="DX819" s="59"/>
      <c r="DY819" s="59"/>
      <c r="DZ819" s="59"/>
      <c r="EA819" s="59"/>
      <c r="EB819" s="59"/>
      <c r="EC819" s="59"/>
      <c r="ED819" s="59"/>
      <c r="EE819" s="59"/>
      <c r="EF819" s="59"/>
      <c r="EG819" s="59"/>
      <c r="EH819" s="59"/>
      <c r="EI819" s="59"/>
      <c r="EJ819" s="59"/>
      <c r="EK819" s="59"/>
      <c r="EL819" s="59"/>
      <c r="EM819" s="59"/>
      <c r="EN819" s="59"/>
      <c r="EO819" s="59"/>
      <c r="EP819" s="59"/>
      <c r="EQ819" s="59"/>
      <c r="ER819" s="59"/>
      <c r="ES819" s="59"/>
      <c r="ET819" s="59"/>
      <c r="EU819" s="59"/>
      <c r="EV819" s="59"/>
      <c r="EW819" s="59"/>
      <c r="EX819" s="59"/>
      <c r="EY819" s="59"/>
      <c r="EZ819" s="59"/>
      <c r="FA819" s="59"/>
      <c r="FB819" s="59"/>
      <c r="FC819" s="59"/>
      <c r="FD819" s="59"/>
      <c r="FE819" s="59"/>
      <c r="FF819" s="59"/>
      <c r="FG819" s="59"/>
      <c r="FH819" s="59"/>
      <c r="FI819" s="59"/>
      <c r="FJ819" s="59"/>
      <c r="FK819" s="59"/>
      <c r="FL819" s="59"/>
      <c r="FM819" s="59"/>
      <c r="FN819" s="59"/>
      <c r="FO819" s="59"/>
      <c r="FP819" s="59"/>
      <c r="FQ819" s="59"/>
      <c r="FR819" s="59"/>
      <c r="FS819" s="59"/>
      <c r="FT819" s="59"/>
      <c r="FU819" s="59"/>
      <c r="FV819" s="59"/>
      <c r="FW819" s="59"/>
      <c r="FX819" s="59"/>
      <c r="FY819" s="59"/>
      <c r="FZ819" s="59"/>
      <c r="GA819" s="59"/>
      <c r="GB819" s="59"/>
      <c r="GC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  <c r="BV820" s="59"/>
      <c r="BW820" s="59"/>
      <c r="BX820" s="59"/>
      <c r="BY820" s="59"/>
      <c r="BZ820" s="59"/>
      <c r="CA820" s="59"/>
      <c r="CB820" s="59"/>
      <c r="CC820" s="59"/>
      <c r="CD820" s="59"/>
      <c r="CE820" s="59"/>
      <c r="CF820" s="59"/>
      <c r="CG820" s="59"/>
      <c r="CH820" s="59"/>
      <c r="CI820" s="59"/>
      <c r="CJ820" s="59"/>
      <c r="CK820" s="59"/>
      <c r="CL820" s="59"/>
      <c r="CM820" s="59"/>
      <c r="CN820" s="59"/>
      <c r="CO820" s="59"/>
      <c r="CP820" s="59"/>
      <c r="CQ820" s="59"/>
      <c r="CR820" s="59"/>
      <c r="CS820" s="59"/>
      <c r="CT820" s="59"/>
      <c r="CU820" s="59"/>
      <c r="CV820" s="59"/>
      <c r="CW820" s="59"/>
      <c r="CX820" s="59"/>
      <c r="CY820" s="59"/>
      <c r="CZ820" s="59"/>
      <c r="DA820" s="59"/>
      <c r="DB820" s="59"/>
      <c r="DC820" s="59"/>
      <c r="DD820" s="59"/>
      <c r="DE820" s="59"/>
      <c r="DF820" s="59"/>
      <c r="DG820" s="59"/>
      <c r="DH820" s="59"/>
      <c r="DI820" s="59"/>
      <c r="DJ820" s="59"/>
      <c r="DK820" s="59"/>
      <c r="DL820" s="59"/>
      <c r="DM820" s="59"/>
      <c r="DN820" s="59"/>
      <c r="DO820" s="59"/>
      <c r="DP820" s="59"/>
      <c r="DQ820" s="59"/>
      <c r="DR820" s="59"/>
      <c r="DS820" s="59"/>
      <c r="DT820" s="59"/>
      <c r="DU820" s="59"/>
      <c r="DV820" s="59"/>
      <c r="DW820" s="59"/>
      <c r="DX820" s="59"/>
      <c r="DY820" s="59"/>
      <c r="DZ820" s="59"/>
      <c r="EA820" s="59"/>
      <c r="EB820" s="59"/>
      <c r="EC820" s="59"/>
      <c r="ED820" s="59"/>
      <c r="EE820" s="59"/>
      <c r="EF820" s="59"/>
      <c r="EG820" s="59"/>
      <c r="EH820" s="59"/>
      <c r="EI820" s="59"/>
      <c r="EJ820" s="59"/>
      <c r="EK820" s="59"/>
      <c r="EL820" s="59"/>
      <c r="EM820" s="59"/>
      <c r="EN820" s="59"/>
      <c r="EO820" s="59"/>
      <c r="EP820" s="59"/>
      <c r="EQ820" s="59"/>
      <c r="ER820" s="59"/>
      <c r="ES820" s="59"/>
      <c r="ET820" s="59"/>
      <c r="EU820" s="59"/>
      <c r="EV820" s="59"/>
      <c r="EW820" s="59"/>
      <c r="EX820" s="59"/>
      <c r="EY820" s="59"/>
      <c r="EZ820" s="59"/>
      <c r="FA820" s="59"/>
      <c r="FB820" s="59"/>
      <c r="FC820" s="59"/>
      <c r="FD820" s="59"/>
      <c r="FE820" s="59"/>
      <c r="FF820" s="59"/>
      <c r="FG820" s="59"/>
      <c r="FH820" s="59"/>
      <c r="FI820" s="59"/>
      <c r="FJ820" s="59"/>
      <c r="FK820" s="59"/>
      <c r="FL820" s="59"/>
      <c r="FM820" s="59"/>
      <c r="FN820" s="59"/>
      <c r="FO820" s="59"/>
      <c r="FP820" s="59"/>
      <c r="FQ820" s="59"/>
      <c r="FR820" s="59"/>
      <c r="FS820" s="59"/>
      <c r="FT820" s="59"/>
      <c r="FU820" s="59"/>
      <c r="FV820" s="59"/>
      <c r="FW820" s="59"/>
      <c r="FX820" s="59"/>
      <c r="FY820" s="59"/>
      <c r="FZ820" s="59"/>
      <c r="GA820" s="59"/>
      <c r="GB820" s="59"/>
      <c r="GC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  <c r="BV821" s="59"/>
      <c r="BW821" s="59"/>
      <c r="BX821" s="59"/>
      <c r="BY821" s="59"/>
      <c r="BZ821" s="59"/>
      <c r="CA821" s="59"/>
      <c r="CB821" s="59"/>
      <c r="CC821" s="59"/>
      <c r="CD821" s="59"/>
      <c r="CE821" s="59"/>
      <c r="CF821" s="59"/>
      <c r="CG821" s="59"/>
      <c r="CH821" s="59"/>
      <c r="CI821" s="59"/>
      <c r="CJ821" s="59"/>
      <c r="CK821" s="59"/>
      <c r="CL821" s="59"/>
      <c r="CM821" s="59"/>
      <c r="CN821" s="59"/>
      <c r="CO821" s="59"/>
      <c r="CP821" s="59"/>
      <c r="CQ821" s="59"/>
      <c r="CR821" s="59"/>
      <c r="CS821" s="59"/>
      <c r="CT821" s="59"/>
      <c r="CU821" s="59"/>
      <c r="CV821" s="59"/>
      <c r="CW821" s="59"/>
      <c r="CX821" s="59"/>
      <c r="CY821" s="59"/>
      <c r="CZ821" s="59"/>
      <c r="DA821" s="59"/>
      <c r="DB821" s="59"/>
      <c r="DC821" s="59"/>
      <c r="DD821" s="59"/>
      <c r="DE821" s="59"/>
      <c r="DF821" s="59"/>
      <c r="DG821" s="59"/>
      <c r="DH821" s="59"/>
      <c r="DI821" s="59"/>
      <c r="DJ821" s="59"/>
      <c r="DK821" s="59"/>
      <c r="DL821" s="59"/>
      <c r="DM821" s="59"/>
      <c r="DN821" s="59"/>
      <c r="DO821" s="59"/>
      <c r="DP821" s="59"/>
      <c r="DQ821" s="59"/>
      <c r="DR821" s="59"/>
      <c r="DS821" s="59"/>
      <c r="DT821" s="59"/>
      <c r="DU821" s="59"/>
      <c r="DV821" s="59"/>
      <c r="DW821" s="59"/>
      <c r="DX821" s="59"/>
      <c r="DY821" s="59"/>
      <c r="DZ821" s="59"/>
      <c r="EA821" s="59"/>
      <c r="EB821" s="59"/>
      <c r="EC821" s="59"/>
      <c r="ED821" s="59"/>
      <c r="EE821" s="59"/>
      <c r="EF821" s="59"/>
      <c r="EG821" s="59"/>
      <c r="EH821" s="59"/>
      <c r="EI821" s="59"/>
      <c r="EJ821" s="59"/>
      <c r="EK821" s="59"/>
      <c r="EL821" s="59"/>
      <c r="EM821" s="59"/>
      <c r="EN821" s="59"/>
      <c r="EO821" s="59"/>
      <c r="EP821" s="59"/>
      <c r="EQ821" s="59"/>
      <c r="ER821" s="59"/>
      <c r="ES821" s="59"/>
      <c r="ET821" s="59"/>
      <c r="EU821" s="59"/>
      <c r="EV821" s="59"/>
      <c r="EW821" s="59"/>
      <c r="EX821" s="59"/>
      <c r="EY821" s="59"/>
      <c r="EZ821" s="59"/>
      <c r="FA821" s="59"/>
      <c r="FB821" s="59"/>
      <c r="FC821" s="59"/>
      <c r="FD821" s="59"/>
      <c r="FE821" s="59"/>
      <c r="FF821" s="59"/>
      <c r="FG821" s="59"/>
      <c r="FH821" s="59"/>
      <c r="FI821" s="59"/>
      <c r="FJ821" s="59"/>
      <c r="FK821" s="59"/>
      <c r="FL821" s="59"/>
      <c r="FM821" s="59"/>
      <c r="FN821" s="59"/>
      <c r="FO821" s="59"/>
      <c r="FP821" s="59"/>
      <c r="FQ821" s="59"/>
      <c r="FR821" s="59"/>
      <c r="FS821" s="59"/>
      <c r="FT821" s="59"/>
      <c r="FU821" s="59"/>
      <c r="FV821" s="59"/>
      <c r="FW821" s="59"/>
      <c r="FX821" s="59"/>
      <c r="FY821" s="59"/>
      <c r="FZ821" s="59"/>
      <c r="GA821" s="59"/>
      <c r="GB821" s="59"/>
      <c r="GC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  <c r="BV822" s="59"/>
      <c r="BW822" s="59"/>
      <c r="BX822" s="59"/>
      <c r="BY822" s="59"/>
      <c r="BZ822" s="59"/>
      <c r="CA822" s="59"/>
      <c r="CB822" s="59"/>
      <c r="CC822" s="59"/>
      <c r="CD822" s="59"/>
      <c r="CE822" s="59"/>
      <c r="CF822" s="59"/>
      <c r="CG822" s="59"/>
      <c r="CH822" s="59"/>
      <c r="CI822" s="59"/>
      <c r="CJ822" s="59"/>
      <c r="CK822" s="59"/>
      <c r="CL822" s="59"/>
      <c r="CM822" s="59"/>
      <c r="CN822" s="59"/>
      <c r="CO822" s="59"/>
      <c r="CP822" s="59"/>
      <c r="CQ822" s="59"/>
      <c r="CR822" s="59"/>
      <c r="CS822" s="59"/>
      <c r="CT822" s="59"/>
      <c r="CU822" s="59"/>
      <c r="CV822" s="59"/>
      <c r="CW822" s="59"/>
      <c r="CX822" s="59"/>
      <c r="CY822" s="59"/>
      <c r="CZ822" s="59"/>
      <c r="DA822" s="59"/>
      <c r="DB822" s="59"/>
      <c r="DC822" s="59"/>
      <c r="DD822" s="59"/>
      <c r="DE822" s="59"/>
      <c r="DF822" s="59"/>
      <c r="DG822" s="59"/>
      <c r="DH822" s="59"/>
      <c r="DI822" s="59"/>
      <c r="DJ822" s="59"/>
      <c r="DK822" s="59"/>
      <c r="DL822" s="59"/>
      <c r="DM822" s="59"/>
      <c r="DN822" s="59"/>
      <c r="DO822" s="59"/>
      <c r="DP822" s="59"/>
      <c r="DQ822" s="59"/>
      <c r="DR822" s="59"/>
      <c r="DS822" s="59"/>
      <c r="DT822" s="59"/>
      <c r="DU822" s="59"/>
      <c r="DV822" s="59"/>
      <c r="DW822" s="59"/>
      <c r="DX822" s="59"/>
      <c r="DY822" s="59"/>
      <c r="DZ822" s="59"/>
      <c r="EA822" s="59"/>
      <c r="EB822" s="59"/>
      <c r="EC822" s="59"/>
      <c r="ED822" s="59"/>
      <c r="EE822" s="59"/>
      <c r="EF822" s="59"/>
      <c r="EG822" s="59"/>
      <c r="EH822" s="59"/>
      <c r="EI822" s="59"/>
      <c r="EJ822" s="59"/>
      <c r="EK822" s="59"/>
      <c r="EL822" s="59"/>
      <c r="EM822" s="59"/>
      <c r="EN822" s="59"/>
      <c r="EO822" s="59"/>
      <c r="EP822" s="59"/>
      <c r="EQ822" s="59"/>
      <c r="ER822" s="59"/>
      <c r="ES822" s="59"/>
      <c r="ET822" s="59"/>
      <c r="EU822" s="59"/>
      <c r="EV822" s="59"/>
      <c r="EW822" s="59"/>
      <c r="EX822" s="59"/>
      <c r="EY822" s="59"/>
      <c r="EZ822" s="59"/>
      <c r="FA822" s="59"/>
      <c r="FB822" s="59"/>
      <c r="FC822" s="59"/>
      <c r="FD822" s="59"/>
      <c r="FE822" s="59"/>
      <c r="FF822" s="59"/>
      <c r="FG822" s="59"/>
      <c r="FH822" s="59"/>
      <c r="FI822" s="59"/>
      <c r="FJ822" s="59"/>
      <c r="FK822" s="59"/>
      <c r="FL822" s="59"/>
      <c r="FM822" s="59"/>
      <c r="FN822" s="59"/>
      <c r="FO822" s="59"/>
      <c r="FP822" s="59"/>
      <c r="FQ822" s="59"/>
      <c r="FR822" s="59"/>
      <c r="FS822" s="59"/>
      <c r="FT822" s="59"/>
      <c r="FU822" s="59"/>
      <c r="FV822" s="59"/>
      <c r="FW822" s="59"/>
      <c r="FX822" s="59"/>
      <c r="FY822" s="59"/>
      <c r="FZ822" s="59"/>
      <c r="GA822" s="59"/>
      <c r="GB822" s="59"/>
      <c r="GC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  <c r="BV823" s="59"/>
      <c r="BW823" s="59"/>
      <c r="BX823" s="59"/>
      <c r="BY823" s="59"/>
      <c r="BZ823" s="59"/>
      <c r="CA823" s="59"/>
      <c r="CB823" s="59"/>
      <c r="CC823" s="59"/>
      <c r="CD823" s="59"/>
      <c r="CE823" s="59"/>
      <c r="CF823" s="59"/>
      <c r="CG823" s="59"/>
      <c r="CH823" s="59"/>
      <c r="CI823" s="59"/>
      <c r="CJ823" s="59"/>
      <c r="CK823" s="59"/>
      <c r="CL823" s="59"/>
      <c r="CM823" s="59"/>
      <c r="CN823" s="59"/>
      <c r="CO823" s="59"/>
      <c r="CP823" s="59"/>
      <c r="CQ823" s="59"/>
      <c r="CR823" s="59"/>
      <c r="CS823" s="59"/>
      <c r="CT823" s="59"/>
      <c r="CU823" s="59"/>
      <c r="CV823" s="59"/>
      <c r="CW823" s="59"/>
      <c r="CX823" s="59"/>
      <c r="CY823" s="59"/>
      <c r="CZ823" s="59"/>
      <c r="DA823" s="59"/>
      <c r="DB823" s="59"/>
      <c r="DC823" s="59"/>
      <c r="DD823" s="59"/>
      <c r="DE823" s="59"/>
      <c r="DF823" s="59"/>
      <c r="DG823" s="59"/>
      <c r="DH823" s="59"/>
      <c r="DI823" s="59"/>
      <c r="DJ823" s="59"/>
      <c r="DK823" s="59"/>
      <c r="DL823" s="59"/>
      <c r="DM823" s="59"/>
      <c r="DN823" s="59"/>
      <c r="DO823" s="59"/>
      <c r="DP823" s="59"/>
      <c r="DQ823" s="59"/>
      <c r="DR823" s="59"/>
      <c r="DS823" s="59"/>
      <c r="DT823" s="59"/>
      <c r="DU823" s="59"/>
      <c r="DV823" s="59"/>
      <c r="DW823" s="59"/>
      <c r="DX823" s="59"/>
      <c r="DY823" s="59"/>
      <c r="DZ823" s="59"/>
      <c r="EA823" s="59"/>
      <c r="EB823" s="59"/>
      <c r="EC823" s="59"/>
      <c r="ED823" s="59"/>
      <c r="EE823" s="59"/>
      <c r="EF823" s="59"/>
      <c r="EG823" s="59"/>
      <c r="EH823" s="59"/>
      <c r="EI823" s="59"/>
      <c r="EJ823" s="59"/>
      <c r="EK823" s="59"/>
      <c r="EL823" s="59"/>
      <c r="EM823" s="59"/>
      <c r="EN823" s="59"/>
      <c r="EO823" s="59"/>
      <c r="EP823" s="59"/>
      <c r="EQ823" s="59"/>
      <c r="ER823" s="59"/>
      <c r="ES823" s="59"/>
      <c r="ET823" s="59"/>
      <c r="EU823" s="59"/>
      <c r="EV823" s="59"/>
      <c r="EW823" s="59"/>
      <c r="EX823" s="59"/>
      <c r="EY823" s="59"/>
      <c r="EZ823" s="59"/>
      <c r="FA823" s="59"/>
      <c r="FB823" s="59"/>
      <c r="FC823" s="59"/>
      <c r="FD823" s="59"/>
      <c r="FE823" s="59"/>
      <c r="FF823" s="59"/>
      <c r="FG823" s="59"/>
      <c r="FH823" s="59"/>
      <c r="FI823" s="59"/>
      <c r="FJ823" s="59"/>
      <c r="FK823" s="59"/>
      <c r="FL823" s="59"/>
      <c r="FM823" s="59"/>
      <c r="FN823" s="59"/>
      <c r="FO823" s="59"/>
      <c r="FP823" s="59"/>
      <c r="FQ823" s="59"/>
      <c r="FR823" s="59"/>
      <c r="FS823" s="59"/>
      <c r="FT823" s="59"/>
      <c r="FU823" s="59"/>
      <c r="FV823" s="59"/>
      <c r="FW823" s="59"/>
      <c r="FX823" s="59"/>
      <c r="FY823" s="59"/>
      <c r="FZ823" s="59"/>
      <c r="GA823" s="59"/>
      <c r="GB823" s="59"/>
      <c r="GC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  <c r="BV824" s="59"/>
      <c r="BW824" s="59"/>
      <c r="BX824" s="59"/>
      <c r="BY824" s="59"/>
      <c r="BZ824" s="59"/>
      <c r="CA824" s="59"/>
      <c r="CB824" s="59"/>
      <c r="CC824" s="59"/>
      <c r="CD824" s="59"/>
      <c r="CE824" s="59"/>
      <c r="CF824" s="59"/>
      <c r="CG824" s="59"/>
      <c r="CH824" s="59"/>
      <c r="CI824" s="59"/>
      <c r="CJ824" s="59"/>
      <c r="CK824" s="59"/>
      <c r="CL824" s="59"/>
      <c r="CM824" s="59"/>
      <c r="CN824" s="59"/>
      <c r="CO824" s="59"/>
      <c r="CP824" s="59"/>
      <c r="CQ824" s="59"/>
      <c r="CR824" s="59"/>
      <c r="CS824" s="59"/>
      <c r="CT824" s="59"/>
      <c r="CU824" s="59"/>
      <c r="CV824" s="59"/>
      <c r="CW824" s="59"/>
      <c r="CX824" s="59"/>
      <c r="CY824" s="59"/>
      <c r="CZ824" s="59"/>
      <c r="DA824" s="59"/>
      <c r="DB824" s="59"/>
      <c r="DC824" s="59"/>
      <c r="DD824" s="59"/>
      <c r="DE824" s="59"/>
      <c r="DF824" s="59"/>
      <c r="DG824" s="59"/>
      <c r="DH824" s="59"/>
      <c r="DI824" s="59"/>
      <c r="DJ824" s="59"/>
      <c r="DK824" s="59"/>
      <c r="DL824" s="59"/>
      <c r="DM824" s="59"/>
      <c r="DN824" s="59"/>
      <c r="DO824" s="59"/>
      <c r="DP824" s="59"/>
      <c r="DQ824" s="59"/>
      <c r="DR824" s="59"/>
      <c r="DS824" s="59"/>
      <c r="DT824" s="59"/>
      <c r="DU824" s="59"/>
      <c r="DV824" s="59"/>
      <c r="DW824" s="59"/>
      <c r="DX824" s="59"/>
      <c r="DY824" s="59"/>
      <c r="DZ824" s="59"/>
      <c r="EA824" s="59"/>
      <c r="EB824" s="59"/>
      <c r="EC824" s="59"/>
      <c r="ED824" s="59"/>
      <c r="EE824" s="59"/>
      <c r="EF824" s="59"/>
      <c r="EG824" s="59"/>
      <c r="EH824" s="59"/>
      <c r="EI824" s="59"/>
      <c r="EJ824" s="59"/>
      <c r="EK824" s="59"/>
      <c r="EL824" s="59"/>
      <c r="EM824" s="59"/>
      <c r="EN824" s="59"/>
      <c r="EO824" s="59"/>
      <c r="EP824" s="59"/>
      <c r="EQ824" s="59"/>
      <c r="ER824" s="59"/>
      <c r="ES824" s="59"/>
      <c r="ET824" s="59"/>
      <c r="EU824" s="59"/>
      <c r="EV824" s="59"/>
      <c r="EW824" s="59"/>
      <c r="EX824" s="59"/>
      <c r="EY824" s="59"/>
      <c r="EZ824" s="59"/>
      <c r="FA824" s="59"/>
      <c r="FB824" s="59"/>
      <c r="FC824" s="59"/>
      <c r="FD824" s="59"/>
      <c r="FE824" s="59"/>
      <c r="FF824" s="59"/>
      <c r="FG824" s="59"/>
      <c r="FH824" s="59"/>
      <c r="FI824" s="59"/>
      <c r="FJ824" s="59"/>
      <c r="FK824" s="59"/>
      <c r="FL824" s="59"/>
      <c r="FM824" s="59"/>
      <c r="FN824" s="59"/>
      <c r="FO824" s="59"/>
      <c r="FP824" s="59"/>
      <c r="FQ824" s="59"/>
      <c r="FR824" s="59"/>
      <c r="FS824" s="59"/>
      <c r="FT824" s="59"/>
      <c r="FU824" s="59"/>
      <c r="FV824" s="59"/>
      <c r="FW824" s="59"/>
      <c r="FX824" s="59"/>
      <c r="FY824" s="59"/>
      <c r="FZ824" s="59"/>
      <c r="GA824" s="59"/>
      <c r="GB824" s="59"/>
      <c r="GC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  <c r="BV825" s="59"/>
      <c r="BW825" s="59"/>
      <c r="BX825" s="59"/>
      <c r="BY825" s="59"/>
      <c r="BZ825" s="59"/>
      <c r="CA825" s="59"/>
      <c r="CB825" s="59"/>
      <c r="CC825" s="59"/>
      <c r="CD825" s="59"/>
      <c r="CE825" s="59"/>
      <c r="CF825" s="59"/>
      <c r="CG825" s="59"/>
      <c r="CH825" s="59"/>
      <c r="CI825" s="59"/>
      <c r="CJ825" s="59"/>
      <c r="CK825" s="59"/>
      <c r="CL825" s="59"/>
      <c r="CM825" s="59"/>
      <c r="CN825" s="59"/>
      <c r="CO825" s="59"/>
      <c r="CP825" s="59"/>
      <c r="CQ825" s="59"/>
      <c r="CR825" s="59"/>
      <c r="CS825" s="59"/>
      <c r="CT825" s="59"/>
      <c r="CU825" s="59"/>
      <c r="CV825" s="59"/>
      <c r="CW825" s="59"/>
      <c r="CX825" s="59"/>
      <c r="CY825" s="59"/>
      <c r="CZ825" s="59"/>
      <c r="DA825" s="59"/>
      <c r="DB825" s="59"/>
      <c r="DC825" s="59"/>
      <c r="DD825" s="59"/>
      <c r="DE825" s="59"/>
      <c r="DF825" s="59"/>
      <c r="DG825" s="59"/>
      <c r="DH825" s="59"/>
      <c r="DI825" s="59"/>
      <c r="DJ825" s="59"/>
      <c r="DK825" s="59"/>
      <c r="DL825" s="59"/>
      <c r="DM825" s="59"/>
      <c r="DN825" s="59"/>
      <c r="DO825" s="59"/>
      <c r="DP825" s="59"/>
      <c r="DQ825" s="59"/>
      <c r="DR825" s="59"/>
      <c r="DS825" s="59"/>
      <c r="DT825" s="59"/>
      <c r="DU825" s="59"/>
      <c r="DV825" s="59"/>
      <c r="DW825" s="59"/>
      <c r="DX825" s="59"/>
      <c r="DY825" s="59"/>
      <c r="DZ825" s="59"/>
      <c r="EA825" s="59"/>
      <c r="EB825" s="59"/>
      <c r="EC825" s="59"/>
      <c r="ED825" s="59"/>
      <c r="EE825" s="59"/>
      <c r="EF825" s="59"/>
      <c r="EG825" s="59"/>
      <c r="EH825" s="59"/>
      <c r="EI825" s="59"/>
      <c r="EJ825" s="59"/>
      <c r="EK825" s="59"/>
      <c r="EL825" s="59"/>
      <c r="EM825" s="59"/>
      <c r="EN825" s="59"/>
      <c r="EO825" s="59"/>
      <c r="EP825" s="59"/>
      <c r="EQ825" s="59"/>
      <c r="ER825" s="59"/>
      <c r="ES825" s="59"/>
      <c r="ET825" s="59"/>
      <c r="EU825" s="59"/>
      <c r="EV825" s="59"/>
      <c r="EW825" s="59"/>
      <c r="EX825" s="59"/>
      <c r="EY825" s="59"/>
      <c r="EZ825" s="59"/>
      <c r="FA825" s="59"/>
      <c r="FB825" s="59"/>
      <c r="FC825" s="59"/>
      <c r="FD825" s="59"/>
      <c r="FE825" s="59"/>
      <c r="FF825" s="59"/>
      <c r="FG825" s="59"/>
      <c r="FH825" s="59"/>
      <c r="FI825" s="59"/>
      <c r="FJ825" s="59"/>
      <c r="FK825" s="59"/>
      <c r="FL825" s="59"/>
      <c r="FM825" s="59"/>
      <c r="FN825" s="59"/>
      <c r="FO825" s="59"/>
      <c r="FP825" s="59"/>
      <c r="FQ825" s="59"/>
      <c r="FR825" s="59"/>
      <c r="FS825" s="59"/>
      <c r="FT825" s="59"/>
      <c r="FU825" s="59"/>
      <c r="FV825" s="59"/>
      <c r="FW825" s="59"/>
      <c r="FX825" s="59"/>
      <c r="FY825" s="59"/>
      <c r="FZ825" s="59"/>
      <c r="GA825" s="59"/>
      <c r="GB825" s="59"/>
      <c r="GC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  <c r="BV826" s="59"/>
      <c r="BW826" s="59"/>
      <c r="BX826" s="59"/>
      <c r="BY826" s="59"/>
      <c r="BZ826" s="59"/>
      <c r="CA826" s="59"/>
      <c r="CB826" s="59"/>
      <c r="CC826" s="59"/>
      <c r="CD826" s="59"/>
      <c r="CE826" s="59"/>
      <c r="CF826" s="59"/>
      <c r="CG826" s="59"/>
      <c r="CH826" s="59"/>
      <c r="CI826" s="59"/>
      <c r="CJ826" s="59"/>
      <c r="CK826" s="59"/>
      <c r="CL826" s="59"/>
      <c r="CM826" s="59"/>
      <c r="CN826" s="59"/>
      <c r="CO826" s="59"/>
      <c r="CP826" s="59"/>
      <c r="CQ826" s="59"/>
      <c r="CR826" s="59"/>
      <c r="CS826" s="59"/>
      <c r="CT826" s="59"/>
      <c r="CU826" s="59"/>
      <c r="CV826" s="59"/>
      <c r="CW826" s="59"/>
      <c r="CX826" s="59"/>
      <c r="CY826" s="59"/>
      <c r="CZ826" s="59"/>
      <c r="DA826" s="59"/>
      <c r="DB826" s="59"/>
      <c r="DC826" s="59"/>
      <c r="DD826" s="59"/>
      <c r="DE826" s="59"/>
      <c r="DF826" s="59"/>
      <c r="DG826" s="59"/>
      <c r="DH826" s="59"/>
      <c r="DI826" s="59"/>
      <c r="DJ826" s="59"/>
      <c r="DK826" s="59"/>
      <c r="DL826" s="59"/>
      <c r="DM826" s="59"/>
      <c r="DN826" s="59"/>
      <c r="DO826" s="59"/>
      <c r="DP826" s="59"/>
      <c r="DQ826" s="59"/>
      <c r="DR826" s="59"/>
      <c r="DS826" s="59"/>
      <c r="DT826" s="59"/>
      <c r="DU826" s="59"/>
      <c r="DV826" s="59"/>
      <c r="DW826" s="59"/>
      <c r="DX826" s="59"/>
      <c r="DY826" s="59"/>
      <c r="DZ826" s="59"/>
      <c r="EA826" s="59"/>
      <c r="EB826" s="59"/>
      <c r="EC826" s="59"/>
      <c r="ED826" s="59"/>
      <c r="EE826" s="59"/>
      <c r="EF826" s="59"/>
      <c r="EG826" s="59"/>
      <c r="EH826" s="59"/>
      <c r="EI826" s="59"/>
      <c r="EJ826" s="59"/>
      <c r="EK826" s="59"/>
      <c r="EL826" s="59"/>
      <c r="EM826" s="59"/>
      <c r="EN826" s="59"/>
      <c r="EO826" s="59"/>
      <c r="EP826" s="59"/>
      <c r="EQ826" s="59"/>
      <c r="ER826" s="59"/>
      <c r="ES826" s="59"/>
      <c r="ET826" s="59"/>
      <c r="EU826" s="59"/>
      <c r="EV826" s="59"/>
      <c r="EW826" s="59"/>
      <c r="EX826" s="59"/>
      <c r="EY826" s="59"/>
      <c r="EZ826" s="59"/>
      <c r="FA826" s="59"/>
      <c r="FB826" s="59"/>
      <c r="FC826" s="59"/>
      <c r="FD826" s="59"/>
      <c r="FE826" s="59"/>
      <c r="FF826" s="59"/>
      <c r="FG826" s="59"/>
      <c r="FH826" s="59"/>
      <c r="FI826" s="59"/>
      <c r="FJ826" s="59"/>
      <c r="FK826" s="59"/>
      <c r="FL826" s="59"/>
      <c r="FM826" s="59"/>
      <c r="FN826" s="59"/>
      <c r="FO826" s="59"/>
      <c r="FP826" s="59"/>
      <c r="FQ826" s="59"/>
      <c r="FR826" s="59"/>
      <c r="FS826" s="59"/>
      <c r="FT826" s="59"/>
      <c r="FU826" s="59"/>
      <c r="FV826" s="59"/>
      <c r="FW826" s="59"/>
      <c r="FX826" s="59"/>
      <c r="FY826" s="59"/>
      <c r="FZ826" s="59"/>
      <c r="GA826" s="59"/>
      <c r="GB826" s="59"/>
      <c r="GC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  <c r="BV827" s="59"/>
      <c r="BW827" s="59"/>
      <c r="BX827" s="59"/>
      <c r="BY827" s="59"/>
      <c r="BZ827" s="59"/>
      <c r="CA827" s="59"/>
      <c r="CB827" s="59"/>
      <c r="CC827" s="59"/>
      <c r="CD827" s="59"/>
      <c r="CE827" s="59"/>
      <c r="CF827" s="59"/>
      <c r="CG827" s="59"/>
      <c r="CH827" s="59"/>
      <c r="CI827" s="59"/>
      <c r="CJ827" s="59"/>
      <c r="CK827" s="59"/>
      <c r="CL827" s="59"/>
      <c r="CM827" s="59"/>
      <c r="CN827" s="59"/>
      <c r="CO827" s="59"/>
      <c r="CP827" s="59"/>
      <c r="CQ827" s="59"/>
      <c r="CR827" s="59"/>
      <c r="CS827" s="59"/>
      <c r="CT827" s="59"/>
      <c r="CU827" s="59"/>
      <c r="CV827" s="59"/>
      <c r="CW827" s="59"/>
      <c r="CX827" s="59"/>
      <c r="CY827" s="59"/>
      <c r="CZ827" s="59"/>
      <c r="DA827" s="59"/>
      <c r="DB827" s="59"/>
      <c r="DC827" s="59"/>
      <c r="DD827" s="59"/>
      <c r="DE827" s="59"/>
      <c r="DF827" s="59"/>
      <c r="DG827" s="59"/>
      <c r="DH827" s="59"/>
      <c r="DI827" s="59"/>
      <c r="DJ827" s="59"/>
      <c r="DK827" s="59"/>
      <c r="DL827" s="59"/>
      <c r="DM827" s="59"/>
      <c r="DN827" s="59"/>
      <c r="DO827" s="59"/>
      <c r="DP827" s="59"/>
      <c r="DQ827" s="59"/>
      <c r="DR827" s="59"/>
      <c r="DS827" s="59"/>
      <c r="DT827" s="59"/>
      <c r="DU827" s="59"/>
      <c r="DV827" s="59"/>
      <c r="DW827" s="59"/>
      <c r="DX827" s="59"/>
      <c r="DY827" s="59"/>
      <c r="DZ827" s="59"/>
      <c r="EA827" s="59"/>
      <c r="EB827" s="59"/>
      <c r="EC827" s="59"/>
      <c r="ED827" s="59"/>
      <c r="EE827" s="59"/>
      <c r="EF827" s="59"/>
      <c r="EG827" s="59"/>
      <c r="EH827" s="59"/>
      <c r="EI827" s="59"/>
      <c r="EJ827" s="59"/>
      <c r="EK827" s="59"/>
      <c r="EL827" s="59"/>
      <c r="EM827" s="59"/>
      <c r="EN827" s="59"/>
      <c r="EO827" s="59"/>
      <c r="EP827" s="59"/>
      <c r="EQ827" s="59"/>
      <c r="ER827" s="59"/>
      <c r="ES827" s="59"/>
      <c r="ET827" s="59"/>
      <c r="EU827" s="59"/>
      <c r="EV827" s="59"/>
      <c r="EW827" s="59"/>
      <c r="EX827" s="59"/>
      <c r="EY827" s="59"/>
      <c r="EZ827" s="59"/>
      <c r="FA827" s="59"/>
      <c r="FB827" s="59"/>
      <c r="FC827" s="59"/>
      <c r="FD827" s="59"/>
      <c r="FE827" s="59"/>
      <c r="FF827" s="59"/>
      <c r="FG827" s="59"/>
      <c r="FH827" s="59"/>
      <c r="FI827" s="59"/>
      <c r="FJ827" s="59"/>
      <c r="FK827" s="59"/>
      <c r="FL827" s="59"/>
      <c r="FM827" s="59"/>
      <c r="FN827" s="59"/>
      <c r="FO827" s="59"/>
      <c r="FP827" s="59"/>
      <c r="FQ827" s="59"/>
      <c r="FR827" s="59"/>
      <c r="FS827" s="59"/>
      <c r="FT827" s="59"/>
      <c r="FU827" s="59"/>
      <c r="FV827" s="59"/>
      <c r="FW827" s="59"/>
      <c r="FX827" s="59"/>
      <c r="FY827" s="59"/>
      <c r="FZ827" s="59"/>
      <c r="GA827" s="59"/>
      <c r="GB827" s="59"/>
      <c r="GC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  <c r="BV828" s="59"/>
      <c r="BW828" s="59"/>
      <c r="BX828" s="59"/>
      <c r="BY828" s="59"/>
      <c r="BZ828" s="59"/>
      <c r="CA828" s="59"/>
      <c r="CB828" s="59"/>
      <c r="CC828" s="59"/>
      <c r="CD828" s="59"/>
      <c r="CE828" s="59"/>
      <c r="CF828" s="59"/>
      <c r="CG828" s="59"/>
      <c r="CH828" s="59"/>
      <c r="CI828" s="59"/>
      <c r="CJ828" s="59"/>
      <c r="CK828" s="59"/>
      <c r="CL828" s="59"/>
      <c r="CM828" s="59"/>
      <c r="CN828" s="59"/>
      <c r="CO828" s="59"/>
      <c r="CP828" s="59"/>
      <c r="CQ828" s="59"/>
      <c r="CR828" s="59"/>
      <c r="CS828" s="59"/>
      <c r="CT828" s="59"/>
      <c r="CU828" s="59"/>
      <c r="CV828" s="59"/>
      <c r="CW828" s="59"/>
      <c r="CX828" s="59"/>
      <c r="CY828" s="59"/>
      <c r="CZ828" s="59"/>
      <c r="DA828" s="59"/>
      <c r="DB828" s="59"/>
      <c r="DC828" s="59"/>
      <c r="DD828" s="59"/>
      <c r="DE828" s="59"/>
      <c r="DF828" s="59"/>
      <c r="DG828" s="59"/>
      <c r="DH828" s="59"/>
      <c r="DI828" s="59"/>
      <c r="DJ828" s="59"/>
      <c r="DK828" s="59"/>
      <c r="DL828" s="59"/>
      <c r="DM828" s="59"/>
      <c r="DN828" s="59"/>
      <c r="DO828" s="59"/>
      <c r="DP828" s="59"/>
      <c r="DQ828" s="59"/>
      <c r="DR828" s="59"/>
      <c r="DS828" s="59"/>
      <c r="DT828" s="59"/>
      <c r="DU828" s="59"/>
      <c r="DV828" s="59"/>
      <c r="DW828" s="59"/>
      <c r="DX828" s="59"/>
      <c r="DY828" s="59"/>
      <c r="DZ828" s="59"/>
      <c r="EA828" s="59"/>
      <c r="EB828" s="59"/>
      <c r="EC828" s="59"/>
      <c r="ED828" s="59"/>
      <c r="EE828" s="59"/>
      <c r="EF828" s="59"/>
      <c r="EG828" s="59"/>
      <c r="EH828" s="59"/>
      <c r="EI828" s="59"/>
      <c r="EJ828" s="59"/>
      <c r="EK828" s="59"/>
      <c r="EL828" s="59"/>
      <c r="EM828" s="59"/>
      <c r="EN828" s="59"/>
      <c r="EO828" s="59"/>
      <c r="EP828" s="59"/>
      <c r="EQ828" s="59"/>
      <c r="ER828" s="59"/>
      <c r="ES828" s="59"/>
      <c r="ET828" s="59"/>
      <c r="EU828" s="59"/>
      <c r="EV828" s="59"/>
      <c r="EW828" s="59"/>
      <c r="EX828" s="59"/>
      <c r="EY828" s="59"/>
      <c r="EZ828" s="59"/>
      <c r="FA828" s="59"/>
      <c r="FB828" s="59"/>
      <c r="FC828" s="59"/>
      <c r="FD828" s="59"/>
      <c r="FE828" s="59"/>
      <c r="FF828" s="59"/>
      <c r="FG828" s="59"/>
      <c r="FH828" s="59"/>
      <c r="FI828" s="59"/>
      <c r="FJ828" s="59"/>
      <c r="FK828" s="59"/>
      <c r="FL828" s="59"/>
      <c r="FM828" s="59"/>
      <c r="FN828" s="59"/>
      <c r="FO828" s="59"/>
      <c r="FP828" s="59"/>
      <c r="FQ828" s="59"/>
      <c r="FR828" s="59"/>
      <c r="FS828" s="59"/>
      <c r="FT828" s="59"/>
      <c r="FU828" s="59"/>
      <c r="FV828" s="59"/>
      <c r="FW828" s="59"/>
      <c r="FX828" s="59"/>
      <c r="FY828" s="59"/>
      <c r="FZ828" s="59"/>
      <c r="GA828" s="59"/>
      <c r="GB828" s="59"/>
      <c r="GC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  <c r="BV829" s="59"/>
      <c r="BW829" s="59"/>
      <c r="BX829" s="59"/>
      <c r="BY829" s="59"/>
      <c r="BZ829" s="59"/>
      <c r="CA829" s="59"/>
      <c r="CB829" s="59"/>
      <c r="CC829" s="59"/>
      <c r="CD829" s="59"/>
      <c r="CE829" s="59"/>
      <c r="CF829" s="59"/>
      <c r="CG829" s="59"/>
      <c r="CH829" s="59"/>
      <c r="CI829" s="59"/>
      <c r="CJ829" s="59"/>
      <c r="CK829" s="59"/>
      <c r="CL829" s="59"/>
      <c r="CM829" s="59"/>
      <c r="CN829" s="59"/>
      <c r="CO829" s="59"/>
      <c r="CP829" s="59"/>
      <c r="CQ829" s="59"/>
      <c r="CR829" s="59"/>
      <c r="CS829" s="59"/>
      <c r="CT829" s="59"/>
      <c r="CU829" s="59"/>
      <c r="CV829" s="59"/>
      <c r="CW829" s="59"/>
      <c r="CX829" s="59"/>
      <c r="CY829" s="59"/>
      <c r="CZ829" s="59"/>
      <c r="DA829" s="59"/>
      <c r="DB829" s="59"/>
      <c r="DC829" s="59"/>
      <c r="DD829" s="59"/>
      <c r="DE829" s="59"/>
      <c r="DF829" s="59"/>
      <c r="DG829" s="59"/>
      <c r="DH829" s="59"/>
      <c r="DI829" s="59"/>
      <c r="DJ829" s="59"/>
      <c r="DK829" s="59"/>
      <c r="DL829" s="59"/>
      <c r="DM829" s="59"/>
      <c r="DN829" s="59"/>
      <c r="DO829" s="59"/>
      <c r="DP829" s="59"/>
      <c r="DQ829" s="59"/>
      <c r="DR829" s="59"/>
      <c r="DS829" s="59"/>
      <c r="DT829" s="59"/>
      <c r="DU829" s="59"/>
      <c r="DV829" s="59"/>
      <c r="DW829" s="59"/>
      <c r="DX829" s="59"/>
      <c r="DY829" s="59"/>
      <c r="DZ829" s="59"/>
      <c r="EA829" s="59"/>
      <c r="EB829" s="59"/>
      <c r="EC829" s="59"/>
      <c r="ED829" s="59"/>
      <c r="EE829" s="59"/>
      <c r="EF829" s="59"/>
      <c r="EG829" s="59"/>
      <c r="EH829" s="59"/>
      <c r="EI829" s="59"/>
      <c r="EJ829" s="59"/>
      <c r="EK829" s="59"/>
      <c r="EL829" s="59"/>
      <c r="EM829" s="59"/>
      <c r="EN829" s="59"/>
      <c r="EO829" s="59"/>
      <c r="EP829" s="59"/>
      <c r="EQ829" s="59"/>
      <c r="ER829" s="59"/>
      <c r="ES829" s="59"/>
      <c r="ET829" s="59"/>
      <c r="EU829" s="59"/>
      <c r="EV829" s="59"/>
      <c r="EW829" s="59"/>
      <c r="EX829" s="59"/>
      <c r="EY829" s="59"/>
      <c r="EZ829" s="59"/>
      <c r="FA829" s="59"/>
      <c r="FB829" s="59"/>
      <c r="FC829" s="59"/>
      <c r="FD829" s="59"/>
      <c r="FE829" s="59"/>
      <c r="FF829" s="59"/>
      <c r="FG829" s="59"/>
      <c r="FH829" s="59"/>
      <c r="FI829" s="59"/>
      <c r="FJ829" s="59"/>
      <c r="FK829" s="59"/>
      <c r="FL829" s="59"/>
      <c r="FM829" s="59"/>
      <c r="FN829" s="59"/>
      <c r="FO829" s="59"/>
      <c r="FP829" s="59"/>
      <c r="FQ829" s="59"/>
      <c r="FR829" s="59"/>
      <c r="FS829" s="59"/>
      <c r="FT829" s="59"/>
      <c r="FU829" s="59"/>
      <c r="FV829" s="59"/>
      <c r="FW829" s="59"/>
      <c r="FX829" s="59"/>
      <c r="FY829" s="59"/>
      <c r="FZ829" s="59"/>
      <c r="GA829" s="59"/>
      <c r="GB829" s="59"/>
      <c r="GC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  <c r="BV830" s="59"/>
      <c r="BW830" s="59"/>
      <c r="BX830" s="59"/>
      <c r="BY830" s="59"/>
      <c r="BZ830" s="59"/>
      <c r="CA830" s="59"/>
      <c r="CB830" s="59"/>
      <c r="CC830" s="59"/>
      <c r="CD830" s="59"/>
      <c r="CE830" s="59"/>
      <c r="CF830" s="59"/>
      <c r="CG830" s="59"/>
      <c r="CH830" s="59"/>
      <c r="CI830" s="59"/>
      <c r="CJ830" s="59"/>
      <c r="CK830" s="59"/>
      <c r="CL830" s="59"/>
      <c r="CM830" s="59"/>
      <c r="CN830" s="59"/>
      <c r="CO830" s="59"/>
      <c r="CP830" s="59"/>
      <c r="CQ830" s="59"/>
      <c r="CR830" s="59"/>
      <c r="CS830" s="59"/>
      <c r="CT830" s="59"/>
      <c r="CU830" s="59"/>
      <c r="CV830" s="59"/>
      <c r="CW830" s="59"/>
      <c r="CX830" s="59"/>
      <c r="CY830" s="59"/>
      <c r="CZ830" s="59"/>
      <c r="DA830" s="59"/>
      <c r="DB830" s="59"/>
      <c r="DC830" s="59"/>
      <c r="DD830" s="59"/>
      <c r="DE830" s="59"/>
      <c r="DF830" s="59"/>
      <c r="DG830" s="59"/>
      <c r="DH830" s="59"/>
      <c r="DI830" s="59"/>
      <c r="DJ830" s="59"/>
      <c r="DK830" s="59"/>
      <c r="DL830" s="59"/>
      <c r="DM830" s="59"/>
      <c r="DN830" s="59"/>
      <c r="DO830" s="59"/>
      <c r="DP830" s="59"/>
      <c r="DQ830" s="59"/>
      <c r="DR830" s="59"/>
      <c r="DS830" s="59"/>
      <c r="DT830" s="59"/>
      <c r="DU830" s="59"/>
      <c r="DV830" s="59"/>
      <c r="DW830" s="59"/>
      <c r="DX830" s="59"/>
      <c r="DY830" s="59"/>
      <c r="DZ830" s="59"/>
      <c r="EA830" s="59"/>
      <c r="EB830" s="59"/>
      <c r="EC830" s="59"/>
      <c r="ED830" s="59"/>
      <c r="EE830" s="59"/>
      <c r="EF830" s="59"/>
      <c r="EG830" s="59"/>
      <c r="EH830" s="59"/>
      <c r="EI830" s="59"/>
      <c r="EJ830" s="59"/>
      <c r="EK830" s="59"/>
      <c r="EL830" s="59"/>
      <c r="EM830" s="59"/>
      <c r="EN830" s="59"/>
      <c r="EO830" s="59"/>
      <c r="EP830" s="59"/>
      <c r="EQ830" s="59"/>
      <c r="ER830" s="59"/>
      <c r="ES830" s="59"/>
      <c r="ET830" s="59"/>
      <c r="EU830" s="59"/>
      <c r="EV830" s="59"/>
      <c r="EW830" s="59"/>
      <c r="EX830" s="59"/>
      <c r="EY830" s="59"/>
      <c r="EZ830" s="59"/>
      <c r="FA830" s="59"/>
      <c r="FB830" s="59"/>
      <c r="FC830" s="59"/>
      <c r="FD830" s="59"/>
      <c r="FE830" s="59"/>
      <c r="FF830" s="59"/>
      <c r="FG830" s="59"/>
      <c r="FH830" s="59"/>
      <c r="FI830" s="59"/>
      <c r="FJ830" s="59"/>
      <c r="FK830" s="59"/>
      <c r="FL830" s="59"/>
      <c r="FM830" s="59"/>
      <c r="FN830" s="59"/>
      <c r="FO830" s="59"/>
      <c r="FP830" s="59"/>
      <c r="FQ830" s="59"/>
      <c r="FR830" s="59"/>
      <c r="FS830" s="59"/>
      <c r="FT830" s="59"/>
      <c r="FU830" s="59"/>
      <c r="FV830" s="59"/>
      <c r="FW830" s="59"/>
      <c r="FX830" s="59"/>
      <c r="FY830" s="59"/>
      <c r="FZ830" s="59"/>
      <c r="GA830" s="59"/>
      <c r="GB830" s="59"/>
      <c r="GC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  <c r="BV831" s="59"/>
      <c r="BW831" s="59"/>
      <c r="BX831" s="59"/>
      <c r="BY831" s="59"/>
      <c r="BZ831" s="59"/>
      <c r="CA831" s="59"/>
      <c r="CB831" s="59"/>
      <c r="CC831" s="59"/>
      <c r="CD831" s="59"/>
      <c r="CE831" s="59"/>
      <c r="CF831" s="59"/>
      <c r="CG831" s="59"/>
      <c r="CH831" s="59"/>
      <c r="CI831" s="59"/>
      <c r="CJ831" s="59"/>
      <c r="CK831" s="59"/>
      <c r="CL831" s="59"/>
      <c r="CM831" s="59"/>
      <c r="CN831" s="59"/>
      <c r="CO831" s="59"/>
      <c r="CP831" s="59"/>
      <c r="CQ831" s="59"/>
      <c r="CR831" s="59"/>
      <c r="CS831" s="59"/>
      <c r="CT831" s="59"/>
      <c r="CU831" s="59"/>
      <c r="CV831" s="59"/>
      <c r="CW831" s="59"/>
      <c r="CX831" s="59"/>
      <c r="CY831" s="59"/>
      <c r="CZ831" s="59"/>
      <c r="DA831" s="59"/>
      <c r="DB831" s="59"/>
      <c r="DC831" s="59"/>
      <c r="DD831" s="59"/>
      <c r="DE831" s="59"/>
      <c r="DF831" s="59"/>
      <c r="DG831" s="59"/>
      <c r="DH831" s="59"/>
      <c r="DI831" s="59"/>
      <c r="DJ831" s="59"/>
      <c r="DK831" s="59"/>
      <c r="DL831" s="59"/>
      <c r="DM831" s="59"/>
      <c r="DN831" s="59"/>
      <c r="DO831" s="59"/>
      <c r="DP831" s="59"/>
      <c r="DQ831" s="59"/>
      <c r="DR831" s="59"/>
      <c r="DS831" s="59"/>
      <c r="DT831" s="59"/>
      <c r="DU831" s="59"/>
      <c r="DV831" s="59"/>
      <c r="DW831" s="59"/>
      <c r="DX831" s="59"/>
      <c r="DY831" s="59"/>
      <c r="DZ831" s="59"/>
      <c r="EA831" s="59"/>
      <c r="EB831" s="59"/>
      <c r="EC831" s="59"/>
      <c r="ED831" s="59"/>
      <c r="EE831" s="59"/>
      <c r="EF831" s="59"/>
      <c r="EG831" s="59"/>
      <c r="EH831" s="59"/>
      <c r="EI831" s="59"/>
      <c r="EJ831" s="59"/>
      <c r="EK831" s="59"/>
      <c r="EL831" s="59"/>
      <c r="EM831" s="59"/>
      <c r="EN831" s="59"/>
      <c r="EO831" s="59"/>
      <c r="EP831" s="59"/>
      <c r="EQ831" s="59"/>
      <c r="ER831" s="59"/>
      <c r="ES831" s="59"/>
      <c r="ET831" s="59"/>
      <c r="EU831" s="59"/>
      <c r="EV831" s="59"/>
      <c r="EW831" s="59"/>
      <c r="EX831" s="59"/>
      <c r="EY831" s="59"/>
      <c r="EZ831" s="59"/>
      <c r="FA831" s="59"/>
      <c r="FB831" s="59"/>
      <c r="FC831" s="59"/>
      <c r="FD831" s="59"/>
      <c r="FE831" s="59"/>
      <c r="FF831" s="59"/>
      <c r="FG831" s="59"/>
      <c r="FH831" s="59"/>
      <c r="FI831" s="59"/>
      <c r="FJ831" s="59"/>
      <c r="FK831" s="59"/>
      <c r="FL831" s="59"/>
      <c r="FM831" s="59"/>
      <c r="FN831" s="59"/>
      <c r="FO831" s="59"/>
      <c r="FP831" s="59"/>
      <c r="FQ831" s="59"/>
      <c r="FR831" s="59"/>
      <c r="FS831" s="59"/>
      <c r="FT831" s="59"/>
      <c r="FU831" s="59"/>
      <c r="FV831" s="59"/>
      <c r="FW831" s="59"/>
      <c r="FX831" s="59"/>
      <c r="FY831" s="59"/>
      <c r="FZ831" s="59"/>
      <c r="GA831" s="59"/>
      <c r="GB831" s="59"/>
      <c r="GC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  <c r="BV832" s="59"/>
      <c r="BW832" s="59"/>
      <c r="BX832" s="59"/>
      <c r="BY832" s="59"/>
      <c r="BZ832" s="59"/>
      <c r="CA832" s="59"/>
      <c r="CB832" s="59"/>
      <c r="CC832" s="59"/>
      <c r="CD832" s="59"/>
      <c r="CE832" s="59"/>
      <c r="CF832" s="59"/>
      <c r="CG832" s="59"/>
      <c r="CH832" s="59"/>
      <c r="CI832" s="59"/>
      <c r="CJ832" s="59"/>
      <c r="CK832" s="59"/>
      <c r="CL832" s="59"/>
      <c r="CM832" s="59"/>
      <c r="CN832" s="59"/>
      <c r="CO832" s="59"/>
      <c r="CP832" s="59"/>
      <c r="CQ832" s="59"/>
      <c r="CR832" s="59"/>
      <c r="CS832" s="59"/>
      <c r="CT832" s="59"/>
      <c r="CU832" s="59"/>
      <c r="CV832" s="59"/>
      <c r="CW832" s="59"/>
      <c r="CX832" s="59"/>
      <c r="CY832" s="59"/>
      <c r="CZ832" s="59"/>
      <c r="DA832" s="59"/>
      <c r="DB832" s="59"/>
      <c r="DC832" s="59"/>
      <c r="DD832" s="59"/>
      <c r="DE832" s="59"/>
      <c r="DF832" s="59"/>
      <c r="DG832" s="59"/>
      <c r="DH832" s="59"/>
      <c r="DI832" s="59"/>
      <c r="DJ832" s="59"/>
      <c r="DK832" s="59"/>
      <c r="DL832" s="59"/>
      <c r="DM832" s="59"/>
      <c r="DN832" s="59"/>
      <c r="DO832" s="59"/>
      <c r="DP832" s="59"/>
      <c r="DQ832" s="59"/>
      <c r="DR832" s="59"/>
      <c r="DS832" s="59"/>
      <c r="DT832" s="59"/>
      <c r="DU832" s="59"/>
      <c r="DV832" s="59"/>
      <c r="DW832" s="59"/>
      <c r="DX832" s="59"/>
      <c r="DY832" s="59"/>
      <c r="DZ832" s="59"/>
      <c r="EA832" s="59"/>
      <c r="EB832" s="59"/>
      <c r="EC832" s="59"/>
      <c r="ED832" s="59"/>
      <c r="EE832" s="59"/>
      <c r="EF832" s="59"/>
      <c r="EG832" s="59"/>
      <c r="EH832" s="59"/>
      <c r="EI832" s="59"/>
      <c r="EJ832" s="59"/>
      <c r="EK832" s="59"/>
      <c r="EL832" s="59"/>
      <c r="EM832" s="59"/>
      <c r="EN832" s="59"/>
      <c r="EO832" s="59"/>
      <c r="EP832" s="59"/>
      <c r="EQ832" s="59"/>
      <c r="ER832" s="59"/>
      <c r="ES832" s="59"/>
      <c r="ET832" s="59"/>
      <c r="EU832" s="59"/>
      <c r="EV832" s="59"/>
      <c r="EW832" s="59"/>
      <c r="EX832" s="59"/>
      <c r="EY832" s="59"/>
      <c r="EZ832" s="59"/>
      <c r="FA832" s="59"/>
      <c r="FB832" s="59"/>
      <c r="FC832" s="59"/>
      <c r="FD832" s="59"/>
      <c r="FE832" s="59"/>
      <c r="FF832" s="59"/>
      <c r="FG832" s="59"/>
      <c r="FH832" s="59"/>
      <c r="FI832" s="59"/>
      <c r="FJ832" s="59"/>
      <c r="FK832" s="59"/>
      <c r="FL832" s="59"/>
      <c r="FM832" s="59"/>
      <c r="FN832" s="59"/>
      <c r="FO832" s="59"/>
      <c r="FP832" s="59"/>
      <c r="FQ832" s="59"/>
      <c r="FR832" s="59"/>
      <c r="FS832" s="59"/>
      <c r="FT832" s="59"/>
      <c r="FU832" s="59"/>
      <c r="FV832" s="59"/>
      <c r="FW832" s="59"/>
      <c r="FX832" s="59"/>
      <c r="FY832" s="59"/>
      <c r="FZ832" s="59"/>
      <c r="GA832" s="59"/>
      <c r="GB832" s="59"/>
      <c r="GC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  <c r="BV833" s="59"/>
      <c r="BW833" s="59"/>
      <c r="BX833" s="59"/>
      <c r="BY833" s="59"/>
      <c r="BZ833" s="59"/>
      <c r="CA833" s="59"/>
      <c r="CB833" s="59"/>
      <c r="CC833" s="59"/>
      <c r="CD833" s="59"/>
      <c r="CE833" s="59"/>
      <c r="CF833" s="59"/>
      <c r="CG833" s="59"/>
      <c r="CH833" s="59"/>
      <c r="CI833" s="59"/>
      <c r="CJ833" s="59"/>
      <c r="CK833" s="59"/>
      <c r="CL833" s="59"/>
      <c r="CM833" s="59"/>
      <c r="CN833" s="59"/>
      <c r="CO833" s="59"/>
      <c r="CP833" s="59"/>
      <c r="CQ833" s="59"/>
      <c r="CR833" s="59"/>
      <c r="CS833" s="59"/>
      <c r="CT833" s="59"/>
      <c r="CU833" s="59"/>
      <c r="CV833" s="59"/>
      <c r="CW833" s="59"/>
      <c r="CX833" s="59"/>
      <c r="CY833" s="59"/>
      <c r="CZ833" s="59"/>
      <c r="DA833" s="59"/>
      <c r="DB833" s="59"/>
      <c r="DC833" s="59"/>
      <c r="DD833" s="59"/>
      <c r="DE833" s="59"/>
      <c r="DF833" s="59"/>
      <c r="DG833" s="59"/>
      <c r="DH833" s="59"/>
      <c r="DI833" s="59"/>
      <c r="DJ833" s="59"/>
      <c r="DK833" s="59"/>
      <c r="DL833" s="59"/>
      <c r="DM833" s="59"/>
      <c r="DN833" s="59"/>
      <c r="DO833" s="59"/>
      <c r="DP833" s="59"/>
      <c r="DQ833" s="59"/>
      <c r="DR833" s="59"/>
      <c r="DS833" s="59"/>
      <c r="DT833" s="59"/>
      <c r="DU833" s="59"/>
      <c r="DV833" s="59"/>
      <c r="DW833" s="59"/>
      <c r="DX833" s="59"/>
      <c r="DY833" s="59"/>
      <c r="DZ833" s="59"/>
      <c r="EA833" s="59"/>
      <c r="EB833" s="59"/>
      <c r="EC833" s="59"/>
      <c r="ED833" s="59"/>
      <c r="EE833" s="59"/>
      <c r="EF833" s="59"/>
      <c r="EG833" s="59"/>
      <c r="EH833" s="59"/>
      <c r="EI833" s="59"/>
      <c r="EJ833" s="59"/>
      <c r="EK833" s="59"/>
      <c r="EL833" s="59"/>
      <c r="EM833" s="59"/>
      <c r="EN833" s="59"/>
      <c r="EO833" s="59"/>
      <c r="EP833" s="59"/>
      <c r="EQ833" s="59"/>
      <c r="ER833" s="59"/>
      <c r="ES833" s="59"/>
      <c r="ET833" s="59"/>
      <c r="EU833" s="59"/>
      <c r="EV833" s="59"/>
      <c r="EW833" s="59"/>
      <c r="EX833" s="59"/>
      <c r="EY833" s="59"/>
      <c r="EZ833" s="59"/>
      <c r="FA833" s="59"/>
      <c r="FB833" s="59"/>
      <c r="FC833" s="59"/>
      <c r="FD833" s="59"/>
      <c r="FE833" s="59"/>
      <c r="FF833" s="59"/>
      <c r="FG833" s="59"/>
      <c r="FH833" s="59"/>
      <c r="FI833" s="59"/>
      <c r="FJ833" s="59"/>
      <c r="FK833" s="59"/>
      <c r="FL833" s="59"/>
      <c r="FM833" s="59"/>
      <c r="FN833" s="59"/>
      <c r="FO833" s="59"/>
      <c r="FP833" s="59"/>
      <c r="FQ833" s="59"/>
      <c r="FR833" s="59"/>
      <c r="FS833" s="59"/>
      <c r="FT833" s="59"/>
      <c r="FU833" s="59"/>
      <c r="FV833" s="59"/>
      <c r="FW833" s="59"/>
      <c r="FX833" s="59"/>
      <c r="FY833" s="59"/>
      <c r="FZ833" s="59"/>
      <c r="GA833" s="59"/>
      <c r="GB833" s="59"/>
      <c r="GC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  <c r="BV834" s="59"/>
      <c r="BW834" s="59"/>
      <c r="BX834" s="59"/>
      <c r="BY834" s="59"/>
      <c r="BZ834" s="59"/>
      <c r="CA834" s="59"/>
      <c r="CB834" s="59"/>
      <c r="CC834" s="59"/>
      <c r="CD834" s="59"/>
      <c r="CE834" s="59"/>
      <c r="CF834" s="59"/>
      <c r="CG834" s="59"/>
      <c r="CH834" s="59"/>
      <c r="CI834" s="59"/>
      <c r="CJ834" s="59"/>
      <c r="CK834" s="59"/>
      <c r="CL834" s="59"/>
      <c r="CM834" s="59"/>
      <c r="CN834" s="59"/>
      <c r="CO834" s="59"/>
      <c r="CP834" s="59"/>
      <c r="CQ834" s="59"/>
      <c r="CR834" s="59"/>
      <c r="CS834" s="59"/>
      <c r="CT834" s="59"/>
      <c r="CU834" s="59"/>
      <c r="CV834" s="59"/>
      <c r="CW834" s="59"/>
      <c r="CX834" s="59"/>
      <c r="CY834" s="59"/>
      <c r="CZ834" s="59"/>
      <c r="DA834" s="59"/>
      <c r="DB834" s="59"/>
      <c r="DC834" s="59"/>
      <c r="DD834" s="59"/>
      <c r="DE834" s="59"/>
      <c r="DF834" s="59"/>
      <c r="DG834" s="59"/>
      <c r="DH834" s="59"/>
      <c r="DI834" s="59"/>
      <c r="DJ834" s="59"/>
      <c r="DK834" s="59"/>
      <c r="DL834" s="59"/>
      <c r="DM834" s="59"/>
      <c r="DN834" s="59"/>
      <c r="DO834" s="59"/>
      <c r="DP834" s="59"/>
      <c r="DQ834" s="59"/>
      <c r="DR834" s="59"/>
      <c r="DS834" s="59"/>
      <c r="DT834" s="59"/>
      <c r="DU834" s="59"/>
      <c r="DV834" s="59"/>
      <c r="DW834" s="59"/>
      <c r="DX834" s="59"/>
      <c r="DY834" s="59"/>
      <c r="DZ834" s="59"/>
      <c r="EA834" s="59"/>
      <c r="EB834" s="59"/>
      <c r="EC834" s="59"/>
      <c r="ED834" s="59"/>
      <c r="EE834" s="59"/>
      <c r="EF834" s="59"/>
      <c r="EG834" s="59"/>
      <c r="EH834" s="59"/>
      <c r="EI834" s="59"/>
      <c r="EJ834" s="59"/>
      <c r="EK834" s="59"/>
      <c r="EL834" s="59"/>
      <c r="EM834" s="59"/>
      <c r="EN834" s="59"/>
      <c r="EO834" s="59"/>
      <c r="EP834" s="59"/>
      <c r="EQ834" s="59"/>
      <c r="ER834" s="59"/>
      <c r="ES834" s="59"/>
      <c r="ET834" s="59"/>
      <c r="EU834" s="59"/>
      <c r="EV834" s="59"/>
      <c r="EW834" s="59"/>
      <c r="EX834" s="59"/>
      <c r="EY834" s="59"/>
      <c r="EZ834" s="59"/>
      <c r="FA834" s="59"/>
      <c r="FB834" s="59"/>
      <c r="FC834" s="59"/>
      <c r="FD834" s="59"/>
      <c r="FE834" s="59"/>
      <c r="FF834" s="59"/>
      <c r="FG834" s="59"/>
      <c r="FH834" s="59"/>
      <c r="FI834" s="59"/>
      <c r="FJ834" s="59"/>
      <c r="FK834" s="59"/>
      <c r="FL834" s="59"/>
      <c r="FM834" s="59"/>
      <c r="FN834" s="59"/>
      <c r="FO834" s="59"/>
      <c r="FP834" s="59"/>
      <c r="FQ834" s="59"/>
      <c r="FR834" s="59"/>
      <c r="FS834" s="59"/>
      <c r="FT834" s="59"/>
      <c r="FU834" s="59"/>
      <c r="FV834" s="59"/>
      <c r="FW834" s="59"/>
      <c r="FX834" s="59"/>
      <c r="FY834" s="59"/>
      <c r="FZ834" s="59"/>
      <c r="GA834" s="59"/>
      <c r="GB834" s="59"/>
      <c r="GC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  <c r="BV835" s="59"/>
      <c r="BW835" s="59"/>
      <c r="BX835" s="59"/>
      <c r="BY835" s="59"/>
      <c r="BZ835" s="59"/>
      <c r="CA835" s="59"/>
      <c r="CB835" s="59"/>
      <c r="CC835" s="59"/>
      <c r="CD835" s="59"/>
      <c r="CE835" s="59"/>
      <c r="CF835" s="59"/>
      <c r="CG835" s="59"/>
      <c r="CH835" s="59"/>
      <c r="CI835" s="59"/>
      <c r="CJ835" s="59"/>
      <c r="CK835" s="59"/>
      <c r="CL835" s="59"/>
      <c r="CM835" s="59"/>
      <c r="CN835" s="59"/>
      <c r="CO835" s="59"/>
      <c r="CP835" s="59"/>
      <c r="CQ835" s="59"/>
      <c r="CR835" s="59"/>
      <c r="CS835" s="59"/>
      <c r="CT835" s="59"/>
      <c r="CU835" s="59"/>
      <c r="CV835" s="59"/>
      <c r="CW835" s="59"/>
      <c r="CX835" s="59"/>
      <c r="CY835" s="59"/>
      <c r="CZ835" s="59"/>
      <c r="DA835" s="59"/>
      <c r="DB835" s="59"/>
      <c r="DC835" s="59"/>
      <c r="DD835" s="59"/>
      <c r="DE835" s="59"/>
      <c r="DF835" s="59"/>
      <c r="DG835" s="59"/>
      <c r="DH835" s="59"/>
      <c r="DI835" s="59"/>
      <c r="DJ835" s="59"/>
      <c r="DK835" s="59"/>
      <c r="DL835" s="59"/>
      <c r="DM835" s="59"/>
      <c r="DN835" s="59"/>
      <c r="DO835" s="59"/>
      <c r="DP835" s="59"/>
      <c r="DQ835" s="59"/>
      <c r="DR835" s="59"/>
      <c r="DS835" s="59"/>
      <c r="DT835" s="59"/>
      <c r="DU835" s="59"/>
      <c r="DV835" s="59"/>
      <c r="DW835" s="59"/>
      <c r="DX835" s="59"/>
      <c r="DY835" s="59"/>
      <c r="DZ835" s="59"/>
      <c r="EA835" s="59"/>
      <c r="EB835" s="59"/>
      <c r="EC835" s="59"/>
      <c r="ED835" s="59"/>
      <c r="EE835" s="59"/>
      <c r="EF835" s="59"/>
      <c r="EG835" s="59"/>
      <c r="EH835" s="59"/>
      <c r="EI835" s="59"/>
      <c r="EJ835" s="59"/>
      <c r="EK835" s="59"/>
      <c r="EL835" s="59"/>
      <c r="EM835" s="59"/>
      <c r="EN835" s="59"/>
      <c r="EO835" s="59"/>
      <c r="EP835" s="59"/>
      <c r="EQ835" s="59"/>
      <c r="ER835" s="59"/>
      <c r="ES835" s="59"/>
      <c r="ET835" s="59"/>
      <c r="EU835" s="59"/>
      <c r="EV835" s="59"/>
      <c r="EW835" s="59"/>
      <c r="EX835" s="59"/>
      <c r="EY835" s="59"/>
      <c r="EZ835" s="59"/>
      <c r="FA835" s="59"/>
      <c r="FB835" s="59"/>
      <c r="FC835" s="59"/>
      <c r="FD835" s="59"/>
      <c r="FE835" s="59"/>
      <c r="FF835" s="59"/>
      <c r="FG835" s="59"/>
      <c r="FH835" s="59"/>
      <c r="FI835" s="59"/>
      <c r="FJ835" s="59"/>
      <c r="FK835" s="59"/>
      <c r="FL835" s="59"/>
      <c r="FM835" s="59"/>
      <c r="FN835" s="59"/>
      <c r="FO835" s="59"/>
      <c r="FP835" s="59"/>
      <c r="FQ835" s="59"/>
      <c r="FR835" s="59"/>
      <c r="FS835" s="59"/>
      <c r="FT835" s="59"/>
      <c r="FU835" s="59"/>
      <c r="FV835" s="59"/>
      <c r="FW835" s="59"/>
      <c r="FX835" s="59"/>
      <c r="FY835" s="59"/>
      <c r="FZ835" s="59"/>
      <c r="GA835" s="59"/>
      <c r="GB835" s="59"/>
      <c r="GC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59"/>
      <c r="BX836" s="59"/>
      <c r="BY836" s="59"/>
      <c r="BZ836" s="59"/>
      <c r="CA836" s="59"/>
      <c r="CB836" s="59"/>
      <c r="CC836" s="59"/>
      <c r="CD836" s="59"/>
      <c r="CE836" s="59"/>
      <c r="CF836" s="59"/>
      <c r="CG836" s="59"/>
      <c r="CH836" s="59"/>
      <c r="CI836" s="59"/>
      <c r="CJ836" s="59"/>
      <c r="CK836" s="59"/>
      <c r="CL836" s="59"/>
      <c r="CM836" s="59"/>
      <c r="CN836" s="59"/>
      <c r="CO836" s="59"/>
      <c r="CP836" s="59"/>
      <c r="CQ836" s="59"/>
      <c r="CR836" s="59"/>
      <c r="CS836" s="59"/>
      <c r="CT836" s="59"/>
      <c r="CU836" s="59"/>
      <c r="CV836" s="59"/>
      <c r="CW836" s="59"/>
      <c r="CX836" s="59"/>
      <c r="CY836" s="59"/>
      <c r="CZ836" s="59"/>
      <c r="DA836" s="59"/>
      <c r="DB836" s="59"/>
      <c r="DC836" s="59"/>
      <c r="DD836" s="59"/>
      <c r="DE836" s="59"/>
      <c r="DF836" s="59"/>
      <c r="DG836" s="59"/>
      <c r="DH836" s="59"/>
      <c r="DI836" s="59"/>
      <c r="DJ836" s="59"/>
      <c r="DK836" s="59"/>
      <c r="DL836" s="59"/>
      <c r="DM836" s="59"/>
      <c r="DN836" s="59"/>
      <c r="DO836" s="59"/>
      <c r="DP836" s="59"/>
      <c r="DQ836" s="59"/>
      <c r="DR836" s="59"/>
      <c r="DS836" s="59"/>
      <c r="DT836" s="59"/>
      <c r="DU836" s="59"/>
      <c r="DV836" s="59"/>
      <c r="DW836" s="59"/>
      <c r="DX836" s="59"/>
      <c r="DY836" s="59"/>
      <c r="DZ836" s="59"/>
      <c r="EA836" s="59"/>
      <c r="EB836" s="59"/>
      <c r="EC836" s="59"/>
      <c r="ED836" s="59"/>
      <c r="EE836" s="59"/>
      <c r="EF836" s="59"/>
      <c r="EG836" s="59"/>
      <c r="EH836" s="59"/>
      <c r="EI836" s="59"/>
      <c r="EJ836" s="59"/>
      <c r="EK836" s="59"/>
      <c r="EL836" s="59"/>
      <c r="EM836" s="59"/>
      <c r="EN836" s="59"/>
      <c r="EO836" s="59"/>
      <c r="EP836" s="59"/>
      <c r="EQ836" s="59"/>
      <c r="ER836" s="59"/>
      <c r="ES836" s="59"/>
      <c r="ET836" s="59"/>
      <c r="EU836" s="59"/>
      <c r="EV836" s="59"/>
      <c r="EW836" s="59"/>
      <c r="EX836" s="59"/>
      <c r="EY836" s="59"/>
      <c r="EZ836" s="59"/>
      <c r="FA836" s="59"/>
      <c r="FB836" s="59"/>
      <c r="FC836" s="59"/>
      <c r="FD836" s="59"/>
      <c r="FE836" s="59"/>
      <c r="FF836" s="59"/>
      <c r="FG836" s="59"/>
      <c r="FH836" s="59"/>
      <c r="FI836" s="59"/>
      <c r="FJ836" s="59"/>
      <c r="FK836" s="59"/>
      <c r="FL836" s="59"/>
      <c r="FM836" s="59"/>
      <c r="FN836" s="59"/>
      <c r="FO836" s="59"/>
      <c r="FP836" s="59"/>
      <c r="FQ836" s="59"/>
      <c r="FR836" s="59"/>
      <c r="FS836" s="59"/>
      <c r="FT836" s="59"/>
      <c r="FU836" s="59"/>
      <c r="FV836" s="59"/>
      <c r="FW836" s="59"/>
      <c r="FX836" s="59"/>
      <c r="FY836" s="59"/>
      <c r="FZ836" s="59"/>
      <c r="GA836" s="59"/>
      <c r="GB836" s="59"/>
      <c r="GC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  <c r="BV837" s="59"/>
      <c r="BW837" s="59"/>
      <c r="BX837" s="59"/>
      <c r="BY837" s="59"/>
      <c r="BZ837" s="59"/>
      <c r="CA837" s="59"/>
      <c r="CB837" s="59"/>
      <c r="CC837" s="59"/>
      <c r="CD837" s="59"/>
      <c r="CE837" s="59"/>
      <c r="CF837" s="59"/>
      <c r="CG837" s="59"/>
      <c r="CH837" s="59"/>
      <c r="CI837" s="59"/>
      <c r="CJ837" s="59"/>
      <c r="CK837" s="59"/>
      <c r="CL837" s="59"/>
      <c r="CM837" s="59"/>
      <c r="CN837" s="59"/>
      <c r="CO837" s="59"/>
      <c r="CP837" s="59"/>
      <c r="CQ837" s="59"/>
      <c r="CR837" s="59"/>
      <c r="CS837" s="59"/>
      <c r="CT837" s="59"/>
      <c r="CU837" s="59"/>
      <c r="CV837" s="59"/>
      <c r="CW837" s="59"/>
      <c r="CX837" s="59"/>
      <c r="CY837" s="59"/>
      <c r="CZ837" s="59"/>
      <c r="DA837" s="59"/>
      <c r="DB837" s="59"/>
      <c r="DC837" s="59"/>
      <c r="DD837" s="59"/>
      <c r="DE837" s="59"/>
      <c r="DF837" s="59"/>
      <c r="DG837" s="59"/>
      <c r="DH837" s="59"/>
      <c r="DI837" s="59"/>
      <c r="DJ837" s="59"/>
      <c r="DK837" s="59"/>
      <c r="DL837" s="59"/>
      <c r="DM837" s="59"/>
      <c r="DN837" s="59"/>
      <c r="DO837" s="59"/>
      <c r="DP837" s="59"/>
      <c r="DQ837" s="59"/>
      <c r="DR837" s="59"/>
      <c r="DS837" s="59"/>
      <c r="DT837" s="59"/>
      <c r="DU837" s="59"/>
      <c r="DV837" s="59"/>
      <c r="DW837" s="59"/>
      <c r="DX837" s="59"/>
      <c r="DY837" s="59"/>
      <c r="DZ837" s="59"/>
      <c r="EA837" s="59"/>
      <c r="EB837" s="59"/>
      <c r="EC837" s="59"/>
      <c r="ED837" s="59"/>
      <c r="EE837" s="59"/>
      <c r="EF837" s="59"/>
      <c r="EG837" s="59"/>
      <c r="EH837" s="59"/>
      <c r="EI837" s="59"/>
      <c r="EJ837" s="59"/>
      <c r="EK837" s="59"/>
      <c r="EL837" s="59"/>
      <c r="EM837" s="59"/>
      <c r="EN837" s="59"/>
      <c r="EO837" s="59"/>
      <c r="EP837" s="59"/>
      <c r="EQ837" s="59"/>
      <c r="ER837" s="59"/>
      <c r="ES837" s="59"/>
      <c r="ET837" s="59"/>
      <c r="EU837" s="59"/>
      <c r="EV837" s="59"/>
      <c r="EW837" s="59"/>
      <c r="EX837" s="59"/>
      <c r="EY837" s="59"/>
      <c r="EZ837" s="59"/>
      <c r="FA837" s="59"/>
      <c r="FB837" s="59"/>
      <c r="FC837" s="59"/>
      <c r="FD837" s="59"/>
      <c r="FE837" s="59"/>
      <c r="FF837" s="59"/>
      <c r="FG837" s="59"/>
      <c r="FH837" s="59"/>
      <c r="FI837" s="59"/>
      <c r="FJ837" s="59"/>
      <c r="FK837" s="59"/>
      <c r="FL837" s="59"/>
      <c r="FM837" s="59"/>
      <c r="FN837" s="59"/>
      <c r="FO837" s="59"/>
      <c r="FP837" s="59"/>
      <c r="FQ837" s="59"/>
      <c r="FR837" s="59"/>
      <c r="FS837" s="59"/>
      <c r="FT837" s="59"/>
      <c r="FU837" s="59"/>
      <c r="FV837" s="59"/>
      <c r="FW837" s="59"/>
      <c r="FX837" s="59"/>
      <c r="FY837" s="59"/>
      <c r="FZ837" s="59"/>
      <c r="GA837" s="59"/>
      <c r="GB837" s="59"/>
      <c r="GC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  <c r="BV838" s="59"/>
      <c r="BW838" s="59"/>
      <c r="BX838" s="59"/>
      <c r="BY838" s="59"/>
      <c r="BZ838" s="59"/>
      <c r="CA838" s="59"/>
      <c r="CB838" s="59"/>
      <c r="CC838" s="59"/>
      <c r="CD838" s="59"/>
      <c r="CE838" s="59"/>
      <c r="CF838" s="59"/>
      <c r="CG838" s="59"/>
      <c r="CH838" s="59"/>
      <c r="CI838" s="59"/>
      <c r="CJ838" s="59"/>
      <c r="CK838" s="59"/>
      <c r="CL838" s="59"/>
      <c r="CM838" s="59"/>
      <c r="CN838" s="59"/>
      <c r="CO838" s="59"/>
      <c r="CP838" s="59"/>
      <c r="CQ838" s="59"/>
      <c r="CR838" s="59"/>
      <c r="CS838" s="59"/>
      <c r="CT838" s="59"/>
      <c r="CU838" s="59"/>
      <c r="CV838" s="59"/>
      <c r="CW838" s="59"/>
      <c r="CX838" s="59"/>
      <c r="CY838" s="59"/>
      <c r="CZ838" s="59"/>
      <c r="DA838" s="59"/>
      <c r="DB838" s="59"/>
      <c r="DC838" s="59"/>
      <c r="DD838" s="59"/>
      <c r="DE838" s="59"/>
      <c r="DF838" s="59"/>
      <c r="DG838" s="59"/>
      <c r="DH838" s="59"/>
      <c r="DI838" s="59"/>
      <c r="DJ838" s="59"/>
      <c r="DK838" s="59"/>
      <c r="DL838" s="59"/>
      <c r="DM838" s="59"/>
      <c r="DN838" s="59"/>
      <c r="DO838" s="59"/>
      <c r="DP838" s="59"/>
      <c r="DQ838" s="59"/>
      <c r="DR838" s="59"/>
      <c r="DS838" s="59"/>
      <c r="DT838" s="59"/>
      <c r="DU838" s="59"/>
      <c r="DV838" s="59"/>
      <c r="DW838" s="59"/>
      <c r="DX838" s="59"/>
      <c r="DY838" s="59"/>
      <c r="DZ838" s="59"/>
      <c r="EA838" s="59"/>
      <c r="EB838" s="59"/>
      <c r="EC838" s="59"/>
      <c r="ED838" s="59"/>
      <c r="EE838" s="59"/>
      <c r="EF838" s="59"/>
      <c r="EG838" s="59"/>
      <c r="EH838" s="59"/>
      <c r="EI838" s="59"/>
      <c r="EJ838" s="59"/>
      <c r="EK838" s="59"/>
      <c r="EL838" s="59"/>
      <c r="EM838" s="59"/>
      <c r="EN838" s="59"/>
      <c r="EO838" s="59"/>
      <c r="EP838" s="59"/>
      <c r="EQ838" s="59"/>
      <c r="ER838" s="59"/>
      <c r="ES838" s="59"/>
      <c r="ET838" s="59"/>
      <c r="EU838" s="59"/>
      <c r="EV838" s="59"/>
      <c r="EW838" s="59"/>
      <c r="EX838" s="59"/>
      <c r="EY838" s="59"/>
      <c r="EZ838" s="59"/>
      <c r="FA838" s="59"/>
      <c r="FB838" s="59"/>
      <c r="FC838" s="59"/>
      <c r="FD838" s="59"/>
      <c r="FE838" s="59"/>
      <c r="FF838" s="59"/>
      <c r="FG838" s="59"/>
      <c r="FH838" s="59"/>
      <c r="FI838" s="59"/>
      <c r="FJ838" s="59"/>
      <c r="FK838" s="59"/>
      <c r="FL838" s="59"/>
      <c r="FM838" s="59"/>
      <c r="FN838" s="59"/>
      <c r="FO838" s="59"/>
      <c r="FP838" s="59"/>
      <c r="FQ838" s="59"/>
      <c r="FR838" s="59"/>
      <c r="FS838" s="59"/>
      <c r="FT838" s="59"/>
      <c r="FU838" s="59"/>
      <c r="FV838" s="59"/>
      <c r="FW838" s="59"/>
      <c r="FX838" s="59"/>
      <c r="FY838" s="59"/>
      <c r="FZ838" s="59"/>
      <c r="GA838" s="59"/>
      <c r="GB838" s="59"/>
      <c r="GC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  <c r="BV839" s="59"/>
      <c r="BW839" s="59"/>
      <c r="BX839" s="59"/>
      <c r="BY839" s="59"/>
      <c r="BZ839" s="59"/>
      <c r="CA839" s="59"/>
      <c r="CB839" s="59"/>
      <c r="CC839" s="59"/>
      <c r="CD839" s="59"/>
      <c r="CE839" s="59"/>
      <c r="CF839" s="59"/>
      <c r="CG839" s="59"/>
      <c r="CH839" s="59"/>
      <c r="CI839" s="59"/>
      <c r="CJ839" s="59"/>
      <c r="CK839" s="59"/>
      <c r="CL839" s="59"/>
      <c r="CM839" s="59"/>
      <c r="CN839" s="59"/>
      <c r="CO839" s="59"/>
      <c r="CP839" s="59"/>
      <c r="CQ839" s="59"/>
      <c r="CR839" s="59"/>
      <c r="CS839" s="59"/>
      <c r="CT839" s="59"/>
      <c r="CU839" s="59"/>
      <c r="CV839" s="59"/>
      <c r="CW839" s="59"/>
      <c r="CX839" s="59"/>
      <c r="CY839" s="59"/>
      <c r="CZ839" s="59"/>
      <c r="DA839" s="59"/>
      <c r="DB839" s="59"/>
      <c r="DC839" s="59"/>
      <c r="DD839" s="59"/>
      <c r="DE839" s="59"/>
      <c r="DF839" s="59"/>
      <c r="DG839" s="59"/>
      <c r="DH839" s="59"/>
      <c r="DI839" s="59"/>
      <c r="DJ839" s="59"/>
      <c r="DK839" s="59"/>
      <c r="DL839" s="59"/>
      <c r="DM839" s="59"/>
      <c r="DN839" s="59"/>
      <c r="DO839" s="59"/>
      <c r="DP839" s="59"/>
      <c r="DQ839" s="59"/>
      <c r="DR839" s="59"/>
      <c r="DS839" s="59"/>
      <c r="DT839" s="59"/>
      <c r="DU839" s="59"/>
      <c r="DV839" s="59"/>
      <c r="DW839" s="59"/>
      <c r="DX839" s="59"/>
      <c r="DY839" s="59"/>
      <c r="DZ839" s="59"/>
      <c r="EA839" s="59"/>
      <c r="EB839" s="59"/>
      <c r="EC839" s="59"/>
      <c r="ED839" s="59"/>
      <c r="EE839" s="59"/>
      <c r="EF839" s="59"/>
      <c r="EG839" s="59"/>
      <c r="EH839" s="59"/>
      <c r="EI839" s="59"/>
      <c r="EJ839" s="59"/>
      <c r="EK839" s="59"/>
      <c r="EL839" s="59"/>
      <c r="EM839" s="59"/>
      <c r="EN839" s="59"/>
      <c r="EO839" s="59"/>
      <c r="EP839" s="59"/>
      <c r="EQ839" s="59"/>
      <c r="ER839" s="59"/>
      <c r="ES839" s="59"/>
      <c r="ET839" s="59"/>
      <c r="EU839" s="59"/>
      <c r="EV839" s="59"/>
      <c r="EW839" s="59"/>
      <c r="EX839" s="59"/>
      <c r="EY839" s="59"/>
      <c r="EZ839" s="59"/>
      <c r="FA839" s="59"/>
      <c r="FB839" s="59"/>
      <c r="FC839" s="59"/>
      <c r="FD839" s="59"/>
      <c r="FE839" s="59"/>
      <c r="FF839" s="59"/>
      <c r="FG839" s="59"/>
      <c r="FH839" s="59"/>
      <c r="FI839" s="59"/>
      <c r="FJ839" s="59"/>
      <c r="FK839" s="59"/>
      <c r="FL839" s="59"/>
      <c r="FM839" s="59"/>
      <c r="FN839" s="59"/>
      <c r="FO839" s="59"/>
      <c r="FP839" s="59"/>
      <c r="FQ839" s="59"/>
      <c r="FR839" s="59"/>
      <c r="FS839" s="59"/>
      <c r="FT839" s="59"/>
      <c r="FU839" s="59"/>
      <c r="FV839" s="59"/>
      <c r="FW839" s="59"/>
      <c r="FX839" s="59"/>
      <c r="FY839" s="59"/>
      <c r="FZ839" s="59"/>
      <c r="GA839" s="59"/>
      <c r="GB839" s="59"/>
      <c r="GC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  <c r="BW840" s="59"/>
      <c r="BX840" s="59"/>
      <c r="BY840" s="59"/>
      <c r="BZ840" s="59"/>
      <c r="CA840" s="59"/>
      <c r="CB840" s="59"/>
      <c r="CC840" s="59"/>
      <c r="CD840" s="59"/>
      <c r="CE840" s="59"/>
      <c r="CF840" s="59"/>
      <c r="CG840" s="59"/>
      <c r="CH840" s="59"/>
      <c r="CI840" s="59"/>
      <c r="CJ840" s="59"/>
      <c r="CK840" s="59"/>
      <c r="CL840" s="59"/>
      <c r="CM840" s="59"/>
      <c r="CN840" s="59"/>
      <c r="CO840" s="59"/>
      <c r="CP840" s="59"/>
      <c r="CQ840" s="59"/>
      <c r="CR840" s="59"/>
      <c r="CS840" s="59"/>
      <c r="CT840" s="59"/>
      <c r="CU840" s="59"/>
      <c r="CV840" s="59"/>
      <c r="CW840" s="59"/>
      <c r="CX840" s="59"/>
      <c r="CY840" s="59"/>
      <c r="CZ840" s="59"/>
      <c r="DA840" s="59"/>
      <c r="DB840" s="59"/>
      <c r="DC840" s="59"/>
      <c r="DD840" s="59"/>
      <c r="DE840" s="59"/>
      <c r="DF840" s="59"/>
      <c r="DG840" s="59"/>
      <c r="DH840" s="59"/>
      <c r="DI840" s="59"/>
      <c r="DJ840" s="59"/>
      <c r="DK840" s="59"/>
      <c r="DL840" s="59"/>
      <c r="DM840" s="59"/>
      <c r="DN840" s="59"/>
      <c r="DO840" s="59"/>
      <c r="DP840" s="59"/>
      <c r="DQ840" s="59"/>
      <c r="DR840" s="59"/>
      <c r="DS840" s="59"/>
      <c r="DT840" s="59"/>
      <c r="DU840" s="59"/>
      <c r="DV840" s="59"/>
      <c r="DW840" s="59"/>
      <c r="DX840" s="59"/>
      <c r="DY840" s="59"/>
      <c r="DZ840" s="59"/>
      <c r="EA840" s="59"/>
      <c r="EB840" s="59"/>
      <c r="EC840" s="59"/>
      <c r="ED840" s="59"/>
      <c r="EE840" s="59"/>
      <c r="EF840" s="59"/>
      <c r="EG840" s="59"/>
      <c r="EH840" s="59"/>
      <c r="EI840" s="59"/>
      <c r="EJ840" s="59"/>
      <c r="EK840" s="59"/>
      <c r="EL840" s="59"/>
      <c r="EM840" s="59"/>
      <c r="EN840" s="59"/>
      <c r="EO840" s="59"/>
      <c r="EP840" s="59"/>
      <c r="EQ840" s="59"/>
      <c r="ER840" s="59"/>
      <c r="ES840" s="59"/>
      <c r="ET840" s="59"/>
      <c r="EU840" s="59"/>
      <c r="EV840" s="59"/>
      <c r="EW840" s="59"/>
      <c r="EX840" s="59"/>
      <c r="EY840" s="59"/>
      <c r="EZ840" s="59"/>
      <c r="FA840" s="59"/>
      <c r="FB840" s="59"/>
      <c r="FC840" s="59"/>
      <c r="FD840" s="59"/>
      <c r="FE840" s="59"/>
      <c r="FF840" s="59"/>
      <c r="FG840" s="59"/>
      <c r="FH840" s="59"/>
      <c r="FI840" s="59"/>
      <c r="FJ840" s="59"/>
      <c r="FK840" s="59"/>
      <c r="FL840" s="59"/>
      <c r="FM840" s="59"/>
      <c r="FN840" s="59"/>
      <c r="FO840" s="59"/>
      <c r="FP840" s="59"/>
      <c r="FQ840" s="59"/>
      <c r="FR840" s="59"/>
      <c r="FS840" s="59"/>
      <c r="FT840" s="59"/>
      <c r="FU840" s="59"/>
      <c r="FV840" s="59"/>
      <c r="FW840" s="59"/>
      <c r="FX840" s="59"/>
      <c r="FY840" s="59"/>
      <c r="FZ840" s="59"/>
      <c r="GA840" s="59"/>
      <c r="GB840" s="59"/>
      <c r="GC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  <c r="BW841" s="59"/>
      <c r="BX841" s="59"/>
      <c r="BY841" s="59"/>
      <c r="BZ841" s="59"/>
      <c r="CA841" s="59"/>
      <c r="CB841" s="59"/>
      <c r="CC841" s="59"/>
      <c r="CD841" s="59"/>
      <c r="CE841" s="59"/>
      <c r="CF841" s="59"/>
      <c r="CG841" s="59"/>
      <c r="CH841" s="59"/>
      <c r="CI841" s="59"/>
      <c r="CJ841" s="59"/>
      <c r="CK841" s="59"/>
      <c r="CL841" s="59"/>
      <c r="CM841" s="59"/>
      <c r="CN841" s="59"/>
      <c r="CO841" s="59"/>
      <c r="CP841" s="59"/>
      <c r="CQ841" s="59"/>
      <c r="CR841" s="59"/>
      <c r="CS841" s="59"/>
      <c r="CT841" s="59"/>
      <c r="CU841" s="59"/>
      <c r="CV841" s="59"/>
      <c r="CW841" s="59"/>
      <c r="CX841" s="59"/>
      <c r="CY841" s="59"/>
      <c r="CZ841" s="59"/>
      <c r="DA841" s="59"/>
      <c r="DB841" s="59"/>
      <c r="DC841" s="59"/>
      <c r="DD841" s="59"/>
      <c r="DE841" s="59"/>
      <c r="DF841" s="59"/>
      <c r="DG841" s="59"/>
      <c r="DH841" s="59"/>
      <c r="DI841" s="59"/>
      <c r="DJ841" s="59"/>
      <c r="DK841" s="59"/>
      <c r="DL841" s="59"/>
      <c r="DM841" s="59"/>
      <c r="DN841" s="59"/>
      <c r="DO841" s="59"/>
      <c r="DP841" s="59"/>
      <c r="DQ841" s="59"/>
      <c r="DR841" s="59"/>
      <c r="DS841" s="59"/>
      <c r="DT841" s="59"/>
      <c r="DU841" s="59"/>
      <c r="DV841" s="59"/>
      <c r="DW841" s="59"/>
      <c r="DX841" s="59"/>
      <c r="DY841" s="59"/>
      <c r="DZ841" s="59"/>
      <c r="EA841" s="59"/>
      <c r="EB841" s="59"/>
      <c r="EC841" s="59"/>
      <c r="ED841" s="59"/>
      <c r="EE841" s="59"/>
      <c r="EF841" s="59"/>
      <c r="EG841" s="59"/>
      <c r="EH841" s="59"/>
      <c r="EI841" s="59"/>
      <c r="EJ841" s="59"/>
      <c r="EK841" s="59"/>
      <c r="EL841" s="59"/>
      <c r="EM841" s="59"/>
      <c r="EN841" s="59"/>
      <c r="EO841" s="59"/>
      <c r="EP841" s="59"/>
      <c r="EQ841" s="59"/>
      <c r="ER841" s="59"/>
      <c r="ES841" s="59"/>
      <c r="ET841" s="59"/>
      <c r="EU841" s="59"/>
      <c r="EV841" s="59"/>
      <c r="EW841" s="59"/>
      <c r="EX841" s="59"/>
      <c r="EY841" s="59"/>
      <c r="EZ841" s="59"/>
      <c r="FA841" s="59"/>
      <c r="FB841" s="59"/>
      <c r="FC841" s="59"/>
      <c r="FD841" s="59"/>
      <c r="FE841" s="59"/>
      <c r="FF841" s="59"/>
      <c r="FG841" s="59"/>
      <c r="FH841" s="59"/>
      <c r="FI841" s="59"/>
      <c r="FJ841" s="59"/>
      <c r="FK841" s="59"/>
      <c r="FL841" s="59"/>
      <c r="FM841" s="59"/>
      <c r="FN841" s="59"/>
      <c r="FO841" s="59"/>
      <c r="FP841" s="59"/>
      <c r="FQ841" s="59"/>
      <c r="FR841" s="59"/>
      <c r="FS841" s="59"/>
      <c r="FT841" s="59"/>
      <c r="FU841" s="59"/>
      <c r="FV841" s="59"/>
      <c r="FW841" s="59"/>
      <c r="FX841" s="59"/>
      <c r="FY841" s="59"/>
      <c r="FZ841" s="59"/>
      <c r="GA841" s="59"/>
      <c r="GB841" s="59"/>
      <c r="GC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  <c r="BV842" s="59"/>
      <c r="BW842" s="59"/>
      <c r="BX842" s="59"/>
      <c r="BY842" s="59"/>
      <c r="BZ842" s="59"/>
      <c r="CA842" s="59"/>
      <c r="CB842" s="59"/>
      <c r="CC842" s="59"/>
      <c r="CD842" s="59"/>
      <c r="CE842" s="59"/>
      <c r="CF842" s="59"/>
      <c r="CG842" s="59"/>
      <c r="CH842" s="59"/>
      <c r="CI842" s="59"/>
      <c r="CJ842" s="59"/>
      <c r="CK842" s="59"/>
      <c r="CL842" s="59"/>
      <c r="CM842" s="59"/>
      <c r="CN842" s="59"/>
      <c r="CO842" s="59"/>
      <c r="CP842" s="59"/>
      <c r="CQ842" s="59"/>
      <c r="CR842" s="59"/>
      <c r="CS842" s="59"/>
      <c r="CT842" s="59"/>
      <c r="CU842" s="59"/>
      <c r="CV842" s="59"/>
      <c r="CW842" s="59"/>
      <c r="CX842" s="59"/>
      <c r="CY842" s="59"/>
      <c r="CZ842" s="59"/>
      <c r="DA842" s="59"/>
      <c r="DB842" s="59"/>
      <c r="DC842" s="59"/>
      <c r="DD842" s="59"/>
      <c r="DE842" s="59"/>
      <c r="DF842" s="59"/>
      <c r="DG842" s="59"/>
      <c r="DH842" s="59"/>
      <c r="DI842" s="59"/>
      <c r="DJ842" s="59"/>
      <c r="DK842" s="59"/>
      <c r="DL842" s="59"/>
      <c r="DM842" s="59"/>
      <c r="DN842" s="59"/>
      <c r="DO842" s="59"/>
      <c r="DP842" s="59"/>
      <c r="DQ842" s="59"/>
      <c r="DR842" s="59"/>
      <c r="DS842" s="59"/>
      <c r="DT842" s="59"/>
      <c r="DU842" s="59"/>
      <c r="DV842" s="59"/>
      <c r="DW842" s="59"/>
      <c r="DX842" s="59"/>
      <c r="DY842" s="59"/>
      <c r="DZ842" s="59"/>
      <c r="EA842" s="59"/>
      <c r="EB842" s="59"/>
      <c r="EC842" s="59"/>
      <c r="ED842" s="59"/>
      <c r="EE842" s="59"/>
      <c r="EF842" s="59"/>
      <c r="EG842" s="59"/>
      <c r="EH842" s="59"/>
      <c r="EI842" s="59"/>
      <c r="EJ842" s="59"/>
      <c r="EK842" s="59"/>
      <c r="EL842" s="59"/>
      <c r="EM842" s="59"/>
      <c r="EN842" s="59"/>
      <c r="EO842" s="59"/>
      <c r="EP842" s="59"/>
      <c r="EQ842" s="59"/>
      <c r="ER842" s="59"/>
      <c r="ES842" s="59"/>
      <c r="ET842" s="59"/>
      <c r="EU842" s="59"/>
      <c r="EV842" s="59"/>
      <c r="EW842" s="59"/>
      <c r="EX842" s="59"/>
      <c r="EY842" s="59"/>
      <c r="EZ842" s="59"/>
      <c r="FA842" s="59"/>
      <c r="FB842" s="59"/>
      <c r="FC842" s="59"/>
      <c r="FD842" s="59"/>
      <c r="FE842" s="59"/>
      <c r="FF842" s="59"/>
      <c r="FG842" s="59"/>
      <c r="FH842" s="59"/>
      <c r="FI842" s="59"/>
      <c r="FJ842" s="59"/>
      <c r="FK842" s="59"/>
      <c r="FL842" s="59"/>
      <c r="FM842" s="59"/>
      <c r="FN842" s="59"/>
      <c r="FO842" s="59"/>
      <c r="FP842" s="59"/>
      <c r="FQ842" s="59"/>
      <c r="FR842" s="59"/>
      <c r="FS842" s="59"/>
      <c r="FT842" s="59"/>
      <c r="FU842" s="59"/>
      <c r="FV842" s="59"/>
      <c r="FW842" s="59"/>
      <c r="FX842" s="59"/>
      <c r="FY842" s="59"/>
      <c r="FZ842" s="59"/>
      <c r="GA842" s="59"/>
      <c r="GB842" s="59"/>
      <c r="GC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  <c r="BV843" s="59"/>
      <c r="BW843" s="59"/>
      <c r="BX843" s="59"/>
      <c r="BY843" s="59"/>
      <c r="BZ843" s="59"/>
      <c r="CA843" s="59"/>
      <c r="CB843" s="59"/>
      <c r="CC843" s="59"/>
      <c r="CD843" s="59"/>
      <c r="CE843" s="59"/>
      <c r="CF843" s="59"/>
      <c r="CG843" s="59"/>
      <c r="CH843" s="59"/>
      <c r="CI843" s="59"/>
      <c r="CJ843" s="59"/>
      <c r="CK843" s="59"/>
      <c r="CL843" s="59"/>
      <c r="CM843" s="59"/>
      <c r="CN843" s="59"/>
      <c r="CO843" s="59"/>
      <c r="CP843" s="59"/>
      <c r="CQ843" s="59"/>
      <c r="CR843" s="59"/>
      <c r="CS843" s="59"/>
      <c r="CT843" s="59"/>
      <c r="CU843" s="59"/>
      <c r="CV843" s="59"/>
      <c r="CW843" s="59"/>
      <c r="CX843" s="59"/>
      <c r="CY843" s="59"/>
      <c r="CZ843" s="59"/>
      <c r="DA843" s="59"/>
      <c r="DB843" s="59"/>
      <c r="DC843" s="59"/>
      <c r="DD843" s="59"/>
      <c r="DE843" s="59"/>
      <c r="DF843" s="59"/>
      <c r="DG843" s="59"/>
      <c r="DH843" s="59"/>
      <c r="DI843" s="59"/>
      <c r="DJ843" s="59"/>
      <c r="DK843" s="59"/>
      <c r="DL843" s="59"/>
      <c r="DM843" s="59"/>
      <c r="DN843" s="59"/>
      <c r="DO843" s="59"/>
      <c r="DP843" s="59"/>
      <c r="DQ843" s="59"/>
      <c r="DR843" s="59"/>
      <c r="DS843" s="59"/>
      <c r="DT843" s="59"/>
      <c r="DU843" s="59"/>
      <c r="DV843" s="59"/>
      <c r="DW843" s="59"/>
      <c r="DX843" s="59"/>
      <c r="DY843" s="59"/>
      <c r="DZ843" s="59"/>
      <c r="EA843" s="59"/>
      <c r="EB843" s="59"/>
      <c r="EC843" s="59"/>
      <c r="ED843" s="59"/>
      <c r="EE843" s="59"/>
      <c r="EF843" s="59"/>
      <c r="EG843" s="59"/>
      <c r="EH843" s="59"/>
      <c r="EI843" s="59"/>
      <c r="EJ843" s="59"/>
      <c r="EK843" s="59"/>
      <c r="EL843" s="59"/>
      <c r="EM843" s="59"/>
      <c r="EN843" s="59"/>
      <c r="EO843" s="59"/>
      <c r="EP843" s="59"/>
      <c r="EQ843" s="59"/>
      <c r="ER843" s="59"/>
      <c r="ES843" s="59"/>
      <c r="ET843" s="59"/>
      <c r="EU843" s="59"/>
      <c r="EV843" s="59"/>
      <c r="EW843" s="59"/>
      <c r="EX843" s="59"/>
      <c r="EY843" s="59"/>
      <c r="EZ843" s="59"/>
      <c r="FA843" s="59"/>
      <c r="FB843" s="59"/>
      <c r="FC843" s="59"/>
      <c r="FD843" s="59"/>
      <c r="FE843" s="59"/>
      <c r="FF843" s="59"/>
      <c r="FG843" s="59"/>
      <c r="FH843" s="59"/>
      <c r="FI843" s="59"/>
      <c r="FJ843" s="59"/>
      <c r="FK843" s="59"/>
      <c r="FL843" s="59"/>
      <c r="FM843" s="59"/>
      <c r="FN843" s="59"/>
      <c r="FO843" s="59"/>
      <c r="FP843" s="59"/>
      <c r="FQ843" s="59"/>
      <c r="FR843" s="59"/>
      <c r="FS843" s="59"/>
      <c r="FT843" s="59"/>
      <c r="FU843" s="59"/>
      <c r="FV843" s="59"/>
      <c r="FW843" s="59"/>
      <c r="FX843" s="59"/>
      <c r="FY843" s="59"/>
      <c r="FZ843" s="59"/>
      <c r="GA843" s="59"/>
      <c r="GB843" s="59"/>
      <c r="GC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  <c r="BV844" s="59"/>
      <c r="BW844" s="59"/>
      <c r="BX844" s="59"/>
      <c r="BY844" s="59"/>
      <c r="BZ844" s="59"/>
      <c r="CA844" s="59"/>
      <c r="CB844" s="59"/>
      <c r="CC844" s="59"/>
      <c r="CD844" s="59"/>
      <c r="CE844" s="59"/>
      <c r="CF844" s="59"/>
      <c r="CG844" s="59"/>
      <c r="CH844" s="59"/>
      <c r="CI844" s="59"/>
      <c r="CJ844" s="59"/>
      <c r="CK844" s="59"/>
      <c r="CL844" s="59"/>
      <c r="CM844" s="59"/>
      <c r="CN844" s="59"/>
      <c r="CO844" s="59"/>
      <c r="CP844" s="59"/>
      <c r="CQ844" s="59"/>
      <c r="CR844" s="59"/>
      <c r="CS844" s="59"/>
      <c r="CT844" s="59"/>
      <c r="CU844" s="59"/>
      <c r="CV844" s="59"/>
      <c r="CW844" s="59"/>
      <c r="CX844" s="59"/>
      <c r="CY844" s="59"/>
      <c r="CZ844" s="59"/>
      <c r="DA844" s="59"/>
      <c r="DB844" s="59"/>
      <c r="DC844" s="59"/>
      <c r="DD844" s="59"/>
      <c r="DE844" s="59"/>
      <c r="DF844" s="59"/>
      <c r="DG844" s="59"/>
      <c r="DH844" s="59"/>
      <c r="DI844" s="59"/>
      <c r="DJ844" s="59"/>
      <c r="DK844" s="59"/>
      <c r="DL844" s="59"/>
      <c r="DM844" s="59"/>
      <c r="DN844" s="59"/>
      <c r="DO844" s="59"/>
      <c r="DP844" s="59"/>
      <c r="DQ844" s="59"/>
      <c r="DR844" s="59"/>
      <c r="DS844" s="59"/>
      <c r="DT844" s="59"/>
      <c r="DU844" s="59"/>
      <c r="DV844" s="59"/>
      <c r="DW844" s="59"/>
      <c r="DX844" s="59"/>
      <c r="DY844" s="59"/>
      <c r="DZ844" s="59"/>
      <c r="EA844" s="59"/>
      <c r="EB844" s="59"/>
      <c r="EC844" s="59"/>
      <c r="ED844" s="59"/>
      <c r="EE844" s="59"/>
      <c r="EF844" s="59"/>
      <c r="EG844" s="59"/>
      <c r="EH844" s="59"/>
      <c r="EI844" s="59"/>
      <c r="EJ844" s="59"/>
      <c r="EK844" s="59"/>
      <c r="EL844" s="59"/>
      <c r="EM844" s="59"/>
      <c r="EN844" s="59"/>
      <c r="EO844" s="59"/>
      <c r="EP844" s="59"/>
      <c r="EQ844" s="59"/>
      <c r="ER844" s="59"/>
      <c r="ES844" s="59"/>
      <c r="ET844" s="59"/>
      <c r="EU844" s="59"/>
      <c r="EV844" s="59"/>
      <c r="EW844" s="59"/>
      <c r="EX844" s="59"/>
      <c r="EY844" s="59"/>
      <c r="EZ844" s="59"/>
      <c r="FA844" s="59"/>
      <c r="FB844" s="59"/>
      <c r="FC844" s="59"/>
      <c r="FD844" s="59"/>
      <c r="FE844" s="59"/>
      <c r="FF844" s="59"/>
      <c r="FG844" s="59"/>
      <c r="FH844" s="59"/>
      <c r="FI844" s="59"/>
      <c r="FJ844" s="59"/>
      <c r="FK844" s="59"/>
      <c r="FL844" s="59"/>
      <c r="FM844" s="59"/>
      <c r="FN844" s="59"/>
      <c r="FO844" s="59"/>
      <c r="FP844" s="59"/>
      <c r="FQ844" s="59"/>
      <c r="FR844" s="59"/>
      <c r="FS844" s="59"/>
      <c r="FT844" s="59"/>
      <c r="FU844" s="59"/>
      <c r="FV844" s="59"/>
      <c r="FW844" s="59"/>
      <c r="FX844" s="59"/>
      <c r="FY844" s="59"/>
      <c r="FZ844" s="59"/>
      <c r="GA844" s="59"/>
      <c r="GB844" s="59"/>
      <c r="GC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  <c r="BW845" s="59"/>
      <c r="BX845" s="59"/>
      <c r="BY845" s="59"/>
      <c r="BZ845" s="59"/>
      <c r="CA845" s="59"/>
      <c r="CB845" s="59"/>
      <c r="CC845" s="59"/>
      <c r="CD845" s="59"/>
      <c r="CE845" s="59"/>
      <c r="CF845" s="59"/>
      <c r="CG845" s="59"/>
      <c r="CH845" s="59"/>
      <c r="CI845" s="59"/>
      <c r="CJ845" s="59"/>
      <c r="CK845" s="59"/>
      <c r="CL845" s="59"/>
      <c r="CM845" s="59"/>
      <c r="CN845" s="59"/>
      <c r="CO845" s="59"/>
      <c r="CP845" s="59"/>
      <c r="CQ845" s="59"/>
      <c r="CR845" s="59"/>
      <c r="CS845" s="59"/>
      <c r="CT845" s="59"/>
      <c r="CU845" s="59"/>
      <c r="CV845" s="59"/>
      <c r="CW845" s="59"/>
      <c r="CX845" s="59"/>
      <c r="CY845" s="59"/>
      <c r="CZ845" s="59"/>
      <c r="DA845" s="59"/>
      <c r="DB845" s="59"/>
      <c r="DC845" s="59"/>
      <c r="DD845" s="59"/>
      <c r="DE845" s="59"/>
      <c r="DF845" s="59"/>
      <c r="DG845" s="59"/>
      <c r="DH845" s="59"/>
      <c r="DI845" s="59"/>
      <c r="DJ845" s="59"/>
      <c r="DK845" s="59"/>
      <c r="DL845" s="59"/>
      <c r="DM845" s="59"/>
      <c r="DN845" s="59"/>
      <c r="DO845" s="59"/>
      <c r="DP845" s="59"/>
      <c r="DQ845" s="59"/>
      <c r="DR845" s="59"/>
      <c r="DS845" s="59"/>
      <c r="DT845" s="59"/>
      <c r="DU845" s="59"/>
      <c r="DV845" s="59"/>
      <c r="DW845" s="59"/>
      <c r="DX845" s="59"/>
      <c r="DY845" s="59"/>
      <c r="DZ845" s="59"/>
      <c r="EA845" s="59"/>
      <c r="EB845" s="59"/>
      <c r="EC845" s="59"/>
      <c r="ED845" s="59"/>
      <c r="EE845" s="59"/>
      <c r="EF845" s="59"/>
      <c r="EG845" s="59"/>
      <c r="EH845" s="59"/>
      <c r="EI845" s="59"/>
      <c r="EJ845" s="59"/>
      <c r="EK845" s="59"/>
      <c r="EL845" s="59"/>
      <c r="EM845" s="59"/>
      <c r="EN845" s="59"/>
      <c r="EO845" s="59"/>
      <c r="EP845" s="59"/>
      <c r="EQ845" s="59"/>
      <c r="ER845" s="59"/>
      <c r="ES845" s="59"/>
      <c r="ET845" s="59"/>
      <c r="EU845" s="59"/>
      <c r="EV845" s="59"/>
      <c r="EW845" s="59"/>
      <c r="EX845" s="59"/>
      <c r="EY845" s="59"/>
      <c r="EZ845" s="59"/>
      <c r="FA845" s="59"/>
      <c r="FB845" s="59"/>
      <c r="FC845" s="59"/>
      <c r="FD845" s="59"/>
      <c r="FE845" s="59"/>
      <c r="FF845" s="59"/>
      <c r="FG845" s="59"/>
      <c r="FH845" s="59"/>
      <c r="FI845" s="59"/>
      <c r="FJ845" s="59"/>
      <c r="FK845" s="59"/>
      <c r="FL845" s="59"/>
      <c r="FM845" s="59"/>
      <c r="FN845" s="59"/>
      <c r="FO845" s="59"/>
      <c r="FP845" s="59"/>
      <c r="FQ845" s="59"/>
      <c r="FR845" s="59"/>
      <c r="FS845" s="59"/>
      <c r="FT845" s="59"/>
      <c r="FU845" s="59"/>
      <c r="FV845" s="59"/>
      <c r="FW845" s="59"/>
      <c r="FX845" s="59"/>
      <c r="FY845" s="59"/>
      <c r="FZ845" s="59"/>
      <c r="GA845" s="59"/>
      <c r="GB845" s="59"/>
      <c r="GC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  <c r="BW846" s="59"/>
      <c r="BX846" s="59"/>
      <c r="BY846" s="59"/>
      <c r="BZ846" s="59"/>
      <c r="CA846" s="59"/>
      <c r="CB846" s="59"/>
      <c r="CC846" s="59"/>
      <c r="CD846" s="59"/>
      <c r="CE846" s="59"/>
      <c r="CF846" s="59"/>
      <c r="CG846" s="59"/>
      <c r="CH846" s="59"/>
      <c r="CI846" s="59"/>
      <c r="CJ846" s="59"/>
      <c r="CK846" s="59"/>
      <c r="CL846" s="59"/>
      <c r="CM846" s="59"/>
      <c r="CN846" s="59"/>
      <c r="CO846" s="59"/>
      <c r="CP846" s="59"/>
      <c r="CQ846" s="59"/>
      <c r="CR846" s="59"/>
      <c r="CS846" s="59"/>
      <c r="CT846" s="59"/>
      <c r="CU846" s="59"/>
      <c r="CV846" s="59"/>
      <c r="CW846" s="59"/>
      <c r="CX846" s="59"/>
      <c r="CY846" s="59"/>
      <c r="CZ846" s="59"/>
      <c r="DA846" s="59"/>
      <c r="DB846" s="59"/>
      <c r="DC846" s="59"/>
      <c r="DD846" s="59"/>
      <c r="DE846" s="59"/>
      <c r="DF846" s="59"/>
      <c r="DG846" s="59"/>
      <c r="DH846" s="59"/>
      <c r="DI846" s="59"/>
      <c r="DJ846" s="59"/>
      <c r="DK846" s="59"/>
      <c r="DL846" s="59"/>
      <c r="DM846" s="59"/>
      <c r="DN846" s="59"/>
      <c r="DO846" s="59"/>
      <c r="DP846" s="59"/>
      <c r="DQ846" s="59"/>
      <c r="DR846" s="59"/>
      <c r="DS846" s="59"/>
      <c r="DT846" s="59"/>
      <c r="DU846" s="59"/>
      <c r="DV846" s="59"/>
      <c r="DW846" s="59"/>
      <c r="DX846" s="59"/>
      <c r="DY846" s="59"/>
      <c r="DZ846" s="59"/>
      <c r="EA846" s="59"/>
      <c r="EB846" s="59"/>
      <c r="EC846" s="59"/>
      <c r="ED846" s="59"/>
      <c r="EE846" s="59"/>
      <c r="EF846" s="59"/>
      <c r="EG846" s="59"/>
      <c r="EH846" s="59"/>
      <c r="EI846" s="59"/>
      <c r="EJ846" s="59"/>
      <c r="EK846" s="59"/>
      <c r="EL846" s="59"/>
      <c r="EM846" s="59"/>
      <c r="EN846" s="59"/>
      <c r="EO846" s="59"/>
      <c r="EP846" s="59"/>
      <c r="EQ846" s="59"/>
      <c r="ER846" s="59"/>
      <c r="ES846" s="59"/>
      <c r="ET846" s="59"/>
      <c r="EU846" s="59"/>
      <c r="EV846" s="59"/>
      <c r="EW846" s="59"/>
      <c r="EX846" s="59"/>
      <c r="EY846" s="59"/>
      <c r="EZ846" s="59"/>
      <c r="FA846" s="59"/>
      <c r="FB846" s="59"/>
      <c r="FC846" s="59"/>
      <c r="FD846" s="59"/>
      <c r="FE846" s="59"/>
      <c r="FF846" s="59"/>
      <c r="FG846" s="59"/>
      <c r="FH846" s="59"/>
      <c r="FI846" s="59"/>
      <c r="FJ846" s="59"/>
      <c r="FK846" s="59"/>
      <c r="FL846" s="59"/>
      <c r="FM846" s="59"/>
      <c r="FN846" s="59"/>
      <c r="FO846" s="59"/>
      <c r="FP846" s="59"/>
      <c r="FQ846" s="59"/>
      <c r="FR846" s="59"/>
      <c r="FS846" s="59"/>
      <c r="FT846" s="59"/>
      <c r="FU846" s="59"/>
      <c r="FV846" s="59"/>
      <c r="FW846" s="59"/>
      <c r="FX846" s="59"/>
      <c r="FY846" s="59"/>
      <c r="FZ846" s="59"/>
      <c r="GA846" s="59"/>
      <c r="GB846" s="59"/>
      <c r="GC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  <c r="BV847" s="59"/>
      <c r="BW847" s="59"/>
      <c r="BX847" s="59"/>
      <c r="BY847" s="59"/>
      <c r="BZ847" s="59"/>
      <c r="CA847" s="59"/>
      <c r="CB847" s="59"/>
      <c r="CC847" s="59"/>
      <c r="CD847" s="59"/>
      <c r="CE847" s="59"/>
      <c r="CF847" s="59"/>
      <c r="CG847" s="59"/>
      <c r="CH847" s="59"/>
      <c r="CI847" s="59"/>
      <c r="CJ847" s="59"/>
      <c r="CK847" s="59"/>
      <c r="CL847" s="59"/>
      <c r="CM847" s="59"/>
      <c r="CN847" s="59"/>
      <c r="CO847" s="59"/>
      <c r="CP847" s="59"/>
      <c r="CQ847" s="59"/>
      <c r="CR847" s="59"/>
      <c r="CS847" s="59"/>
      <c r="CT847" s="59"/>
      <c r="CU847" s="59"/>
      <c r="CV847" s="59"/>
      <c r="CW847" s="59"/>
      <c r="CX847" s="59"/>
      <c r="CY847" s="59"/>
      <c r="CZ847" s="59"/>
      <c r="DA847" s="59"/>
      <c r="DB847" s="59"/>
      <c r="DC847" s="59"/>
      <c r="DD847" s="59"/>
      <c r="DE847" s="59"/>
      <c r="DF847" s="59"/>
      <c r="DG847" s="59"/>
      <c r="DH847" s="59"/>
      <c r="DI847" s="59"/>
      <c r="DJ847" s="59"/>
      <c r="DK847" s="59"/>
      <c r="DL847" s="59"/>
      <c r="DM847" s="59"/>
      <c r="DN847" s="59"/>
      <c r="DO847" s="59"/>
      <c r="DP847" s="59"/>
      <c r="DQ847" s="59"/>
      <c r="DR847" s="59"/>
      <c r="DS847" s="59"/>
      <c r="DT847" s="59"/>
      <c r="DU847" s="59"/>
      <c r="DV847" s="59"/>
      <c r="DW847" s="59"/>
      <c r="DX847" s="59"/>
      <c r="DY847" s="59"/>
      <c r="DZ847" s="59"/>
      <c r="EA847" s="59"/>
      <c r="EB847" s="59"/>
      <c r="EC847" s="59"/>
      <c r="ED847" s="59"/>
      <c r="EE847" s="59"/>
      <c r="EF847" s="59"/>
      <c r="EG847" s="59"/>
      <c r="EH847" s="59"/>
      <c r="EI847" s="59"/>
      <c r="EJ847" s="59"/>
      <c r="EK847" s="59"/>
      <c r="EL847" s="59"/>
      <c r="EM847" s="59"/>
      <c r="EN847" s="59"/>
      <c r="EO847" s="59"/>
      <c r="EP847" s="59"/>
      <c r="EQ847" s="59"/>
      <c r="ER847" s="59"/>
      <c r="ES847" s="59"/>
      <c r="ET847" s="59"/>
      <c r="EU847" s="59"/>
      <c r="EV847" s="59"/>
      <c r="EW847" s="59"/>
      <c r="EX847" s="59"/>
      <c r="EY847" s="59"/>
      <c r="EZ847" s="59"/>
      <c r="FA847" s="59"/>
      <c r="FB847" s="59"/>
      <c r="FC847" s="59"/>
      <c r="FD847" s="59"/>
      <c r="FE847" s="59"/>
      <c r="FF847" s="59"/>
      <c r="FG847" s="59"/>
      <c r="FH847" s="59"/>
      <c r="FI847" s="59"/>
      <c r="FJ847" s="59"/>
      <c r="FK847" s="59"/>
      <c r="FL847" s="59"/>
      <c r="FM847" s="59"/>
      <c r="FN847" s="59"/>
      <c r="FO847" s="59"/>
      <c r="FP847" s="59"/>
      <c r="FQ847" s="59"/>
      <c r="FR847" s="59"/>
      <c r="FS847" s="59"/>
      <c r="FT847" s="59"/>
      <c r="FU847" s="59"/>
      <c r="FV847" s="59"/>
      <c r="FW847" s="59"/>
      <c r="FX847" s="59"/>
      <c r="FY847" s="59"/>
      <c r="FZ847" s="59"/>
      <c r="GA847" s="59"/>
      <c r="GB847" s="59"/>
      <c r="GC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  <c r="BV848" s="59"/>
      <c r="BW848" s="59"/>
      <c r="BX848" s="59"/>
      <c r="BY848" s="59"/>
      <c r="BZ848" s="59"/>
      <c r="CA848" s="59"/>
      <c r="CB848" s="59"/>
      <c r="CC848" s="59"/>
      <c r="CD848" s="59"/>
      <c r="CE848" s="59"/>
      <c r="CF848" s="59"/>
      <c r="CG848" s="59"/>
      <c r="CH848" s="59"/>
      <c r="CI848" s="59"/>
      <c r="CJ848" s="59"/>
      <c r="CK848" s="59"/>
      <c r="CL848" s="59"/>
      <c r="CM848" s="59"/>
      <c r="CN848" s="59"/>
      <c r="CO848" s="59"/>
      <c r="CP848" s="59"/>
      <c r="CQ848" s="59"/>
      <c r="CR848" s="59"/>
      <c r="CS848" s="59"/>
      <c r="CT848" s="59"/>
      <c r="CU848" s="59"/>
      <c r="CV848" s="59"/>
      <c r="CW848" s="59"/>
      <c r="CX848" s="59"/>
      <c r="CY848" s="59"/>
      <c r="CZ848" s="59"/>
      <c r="DA848" s="59"/>
      <c r="DB848" s="59"/>
      <c r="DC848" s="59"/>
      <c r="DD848" s="59"/>
      <c r="DE848" s="59"/>
      <c r="DF848" s="59"/>
      <c r="DG848" s="59"/>
      <c r="DH848" s="59"/>
      <c r="DI848" s="59"/>
      <c r="DJ848" s="59"/>
      <c r="DK848" s="59"/>
      <c r="DL848" s="59"/>
      <c r="DM848" s="59"/>
      <c r="DN848" s="59"/>
      <c r="DO848" s="59"/>
      <c r="DP848" s="59"/>
      <c r="DQ848" s="59"/>
      <c r="DR848" s="59"/>
      <c r="DS848" s="59"/>
      <c r="DT848" s="59"/>
      <c r="DU848" s="59"/>
      <c r="DV848" s="59"/>
      <c r="DW848" s="59"/>
      <c r="DX848" s="59"/>
      <c r="DY848" s="59"/>
      <c r="DZ848" s="59"/>
      <c r="EA848" s="59"/>
      <c r="EB848" s="59"/>
      <c r="EC848" s="59"/>
      <c r="ED848" s="59"/>
      <c r="EE848" s="59"/>
      <c r="EF848" s="59"/>
      <c r="EG848" s="59"/>
      <c r="EH848" s="59"/>
      <c r="EI848" s="59"/>
      <c r="EJ848" s="59"/>
      <c r="EK848" s="59"/>
      <c r="EL848" s="59"/>
      <c r="EM848" s="59"/>
      <c r="EN848" s="59"/>
      <c r="EO848" s="59"/>
      <c r="EP848" s="59"/>
      <c r="EQ848" s="59"/>
      <c r="ER848" s="59"/>
      <c r="ES848" s="59"/>
      <c r="ET848" s="59"/>
      <c r="EU848" s="59"/>
      <c r="EV848" s="59"/>
      <c r="EW848" s="59"/>
      <c r="EX848" s="59"/>
      <c r="EY848" s="59"/>
      <c r="EZ848" s="59"/>
      <c r="FA848" s="59"/>
      <c r="FB848" s="59"/>
      <c r="FC848" s="59"/>
      <c r="FD848" s="59"/>
      <c r="FE848" s="59"/>
      <c r="FF848" s="59"/>
      <c r="FG848" s="59"/>
      <c r="FH848" s="59"/>
      <c r="FI848" s="59"/>
      <c r="FJ848" s="59"/>
      <c r="FK848" s="59"/>
      <c r="FL848" s="59"/>
      <c r="FM848" s="59"/>
      <c r="FN848" s="59"/>
      <c r="FO848" s="59"/>
      <c r="FP848" s="59"/>
      <c r="FQ848" s="59"/>
      <c r="FR848" s="59"/>
      <c r="FS848" s="59"/>
      <c r="FT848" s="59"/>
      <c r="FU848" s="59"/>
      <c r="FV848" s="59"/>
      <c r="FW848" s="59"/>
      <c r="FX848" s="59"/>
      <c r="FY848" s="59"/>
      <c r="FZ848" s="59"/>
      <c r="GA848" s="59"/>
      <c r="GB848" s="59"/>
      <c r="GC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  <c r="BV849" s="59"/>
      <c r="BW849" s="59"/>
      <c r="BX849" s="59"/>
      <c r="BY849" s="59"/>
      <c r="BZ849" s="59"/>
      <c r="CA849" s="59"/>
      <c r="CB849" s="59"/>
      <c r="CC849" s="59"/>
      <c r="CD849" s="59"/>
      <c r="CE849" s="59"/>
      <c r="CF849" s="59"/>
      <c r="CG849" s="59"/>
      <c r="CH849" s="59"/>
      <c r="CI849" s="59"/>
      <c r="CJ849" s="59"/>
      <c r="CK849" s="59"/>
      <c r="CL849" s="59"/>
      <c r="CM849" s="59"/>
      <c r="CN849" s="59"/>
      <c r="CO849" s="59"/>
      <c r="CP849" s="59"/>
      <c r="CQ849" s="59"/>
      <c r="CR849" s="59"/>
      <c r="CS849" s="59"/>
      <c r="CT849" s="59"/>
      <c r="CU849" s="59"/>
      <c r="CV849" s="59"/>
      <c r="CW849" s="59"/>
      <c r="CX849" s="59"/>
      <c r="CY849" s="59"/>
      <c r="CZ849" s="59"/>
      <c r="DA849" s="59"/>
      <c r="DB849" s="59"/>
      <c r="DC849" s="59"/>
      <c r="DD849" s="59"/>
      <c r="DE849" s="59"/>
      <c r="DF849" s="59"/>
      <c r="DG849" s="59"/>
      <c r="DH849" s="59"/>
      <c r="DI849" s="59"/>
      <c r="DJ849" s="59"/>
      <c r="DK849" s="59"/>
      <c r="DL849" s="59"/>
      <c r="DM849" s="59"/>
      <c r="DN849" s="59"/>
      <c r="DO849" s="59"/>
      <c r="DP849" s="59"/>
      <c r="DQ849" s="59"/>
      <c r="DR849" s="59"/>
      <c r="DS849" s="59"/>
      <c r="DT849" s="59"/>
      <c r="DU849" s="59"/>
      <c r="DV849" s="59"/>
      <c r="DW849" s="59"/>
      <c r="DX849" s="59"/>
      <c r="DY849" s="59"/>
      <c r="DZ849" s="59"/>
      <c r="EA849" s="59"/>
      <c r="EB849" s="59"/>
      <c r="EC849" s="59"/>
      <c r="ED849" s="59"/>
      <c r="EE849" s="59"/>
      <c r="EF849" s="59"/>
      <c r="EG849" s="59"/>
      <c r="EH849" s="59"/>
      <c r="EI849" s="59"/>
      <c r="EJ849" s="59"/>
      <c r="EK849" s="59"/>
      <c r="EL849" s="59"/>
      <c r="EM849" s="59"/>
      <c r="EN849" s="59"/>
      <c r="EO849" s="59"/>
      <c r="EP849" s="59"/>
      <c r="EQ849" s="59"/>
      <c r="ER849" s="59"/>
      <c r="ES849" s="59"/>
      <c r="ET849" s="59"/>
      <c r="EU849" s="59"/>
      <c r="EV849" s="59"/>
      <c r="EW849" s="59"/>
      <c r="EX849" s="59"/>
      <c r="EY849" s="59"/>
      <c r="EZ849" s="59"/>
      <c r="FA849" s="59"/>
      <c r="FB849" s="59"/>
      <c r="FC849" s="59"/>
      <c r="FD849" s="59"/>
      <c r="FE849" s="59"/>
      <c r="FF849" s="59"/>
      <c r="FG849" s="59"/>
      <c r="FH849" s="59"/>
      <c r="FI849" s="59"/>
      <c r="FJ849" s="59"/>
      <c r="FK849" s="59"/>
      <c r="FL849" s="59"/>
      <c r="FM849" s="59"/>
      <c r="FN849" s="59"/>
      <c r="FO849" s="59"/>
      <c r="FP849" s="59"/>
      <c r="FQ849" s="59"/>
      <c r="FR849" s="59"/>
      <c r="FS849" s="59"/>
      <c r="FT849" s="59"/>
      <c r="FU849" s="59"/>
      <c r="FV849" s="59"/>
      <c r="FW849" s="59"/>
      <c r="FX849" s="59"/>
      <c r="FY849" s="59"/>
      <c r="FZ849" s="59"/>
      <c r="GA849" s="59"/>
      <c r="GB849" s="59"/>
      <c r="GC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  <c r="BV850" s="59"/>
      <c r="BW850" s="59"/>
      <c r="BX850" s="59"/>
      <c r="BY850" s="59"/>
      <c r="BZ850" s="59"/>
      <c r="CA850" s="59"/>
      <c r="CB850" s="59"/>
      <c r="CC850" s="59"/>
      <c r="CD850" s="59"/>
      <c r="CE850" s="59"/>
      <c r="CF850" s="59"/>
      <c r="CG850" s="59"/>
      <c r="CH850" s="59"/>
      <c r="CI850" s="59"/>
      <c r="CJ850" s="59"/>
      <c r="CK850" s="59"/>
      <c r="CL850" s="59"/>
      <c r="CM850" s="59"/>
      <c r="CN850" s="59"/>
      <c r="CO850" s="59"/>
      <c r="CP850" s="59"/>
      <c r="CQ850" s="59"/>
      <c r="CR850" s="59"/>
      <c r="CS850" s="59"/>
      <c r="CT850" s="59"/>
      <c r="CU850" s="59"/>
      <c r="CV850" s="59"/>
      <c r="CW850" s="59"/>
      <c r="CX850" s="59"/>
      <c r="CY850" s="59"/>
      <c r="CZ850" s="59"/>
      <c r="DA850" s="59"/>
      <c r="DB850" s="59"/>
      <c r="DC850" s="59"/>
      <c r="DD850" s="59"/>
      <c r="DE850" s="59"/>
      <c r="DF850" s="59"/>
      <c r="DG850" s="59"/>
      <c r="DH850" s="59"/>
      <c r="DI850" s="59"/>
      <c r="DJ850" s="59"/>
      <c r="DK850" s="59"/>
      <c r="DL850" s="59"/>
      <c r="DM850" s="59"/>
      <c r="DN850" s="59"/>
      <c r="DO850" s="59"/>
      <c r="DP850" s="59"/>
      <c r="DQ850" s="59"/>
      <c r="DR850" s="59"/>
      <c r="DS850" s="59"/>
      <c r="DT850" s="59"/>
      <c r="DU850" s="59"/>
      <c r="DV850" s="59"/>
      <c r="DW850" s="59"/>
      <c r="DX850" s="59"/>
      <c r="DY850" s="59"/>
      <c r="DZ850" s="59"/>
      <c r="EA850" s="59"/>
      <c r="EB850" s="59"/>
      <c r="EC850" s="59"/>
      <c r="ED850" s="59"/>
      <c r="EE850" s="59"/>
      <c r="EF850" s="59"/>
      <c r="EG850" s="59"/>
      <c r="EH850" s="59"/>
      <c r="EI850" s="59"/>
      <c r="EJ850" s="59"/>
      <c r="EK850" s="59"/>
      <c r="EL850" s="59"/>
      <c r="EM850" s="59"/>
      <c r="EN850" s="59"/>
      <c r="EO850" s="59"/>
      <c r="EP850" s="59"/>
      <c r="EQ850" s="59"/>
      <c r="ER850" s="59"/>
      <c r="ES850" s="59"/>
      <c r="ET850" s="59"/>
      <c r="EU850" s="59"/>
      <c r="EV850" s="59"/>
      <c r="EW850" s="59"/>
      <c r="EX850" s="59"/>
      <c r="EY850" s="59"/>
      <c r="EZ850" s="59"/>
      <c r="FA850" s="59"/>
      <c r="FB850" s="59"/>
      <c r="FC850" s="59"/>
      <c r="FD850" s="59"/>
      <c r="FE850" s="59"/>
      <c r="FF850" s="59"/>
      <c r="FG850" s="59"/>
      <c r="FH850" s="59"/>
      <c r="FI850" s="59"/>
      <c r="FJ850" s="59"/>
      <c r="FK850" s="59"/>
      <c r="FL850" s="59"/>
      <c r="FM850" s="59"/>
      <c r="FN850" s="59"/>
      <c r="FO850" s="59"/>
      <c r="FP850" s="59"/>
      <c r="FQ850" s="59"/>
      <c r="FR850" s="59"/>
      <c r="FS850" s="59"/>
      <c r="FT850" s="59"/>
      <c r="FU850" s="59"/>
      <c r="FV850" s="59"/>
      <c r="FW850" s="59"/>
      <c r="FX850" s="59"/>
      <c r="FY850" s="59"/>
      <c r="FZ850" s="59"/>
      <c r="GA850" s="59"/>
      <c r="GB850" s="59"/>
      <c r="GC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  <c r="BV851" s="59"/>
      <c r="BW851" s="59"/>
      <c r="BX851" s="59"/>
      <c r="BY851" s="59"/>
      <c r="BZ851" s="59"/>
      <c r="CA851" s="59"/>
      <c r="CB851" s="59"/>
      <c r="CC851" s="59"/>
      <c r="CD851" s="59"/>
      <c r="CE851" s="59"/>
      <c r="CF851" s="59"/>
      <c r="CG851" s="59"/>
      <c r="CH851" s="59"/>
      <c r="CI851" s="59"/>
      <c r="CJ851" s="59"/>
      <c r="CK851" s="59"/>
      <c r="CL851" s="59"/>
      <c r="CM851" s="59"/>
      <c r="CN851" s="59"/>
      <c r="CO851" s="59"/>
      <c r="CP851" s="59"/>
      <c r="CQ851" s="59"/>
      <c r="CR851" s="59"/>
      <c r="CS851" s="59"/>
      <c r="CT851" s="59"/>
      <c r="CU851" s="59"/>
      <c r="CV851" s="59"/>
      <c r="CW851" s="59"/>
      <c r="CX851" s="59"/>
      <c r="CY851" s="59"/>
      <c r="CZ851" s="59"/>
      <c r="DA851" s="59"/>
      <c r="DB851" s="59"/>
      <c r="DC851" s="59"/>
      <c r="DD851" s="59"/>
      <c r="DE851" s="59"/>
      <c r="DF851" s="59"/>
      <c r="DG851" s="59"/>
      <c r="DH851" s="59"/>
      <c r="DI851" s="59"/>
      <c r="DJ851" s="59"/>
      <c r="DK851" s="59"/>
      <c r="DL851" s="59"/>
      <c r="DM851" s="59"/>
      <c r="DN851" s="59"/>
      <c r="DO851" s="59"/>
      <c r="DP851" s="59"/>
      <c r="DQ851" s="59"/>
      <c r="DR851" s="59"/>
      <c r="DS851" s="59"/>
      <c r="DT851" s="59"/>
      <c r="DU851" s="59"/>
      <c r="DV851" s="59"/>
      <c r="DW851" s="59"/>
      <c r="DX851" s="59"/>
      <c r="DY851" s="59"/>
      <c r="DZ851" s="59"/>
      <c r="EA851" s="59"/>
      <c r="EB851" s="59"/>
      <c r="EC851" s="59"/>
      <c r="ED851" s="59"/>
      <c r="EE851" s="59"/>
      <c r="EF851" s="59"/>
      <c r="EG851" s="59"/>
      <c r="EH851" s="59"/>
      <c r="EI851" s="59"/>
      <c r="EJ851" s="59"/>
      <c r="EK851" s="59"/>
      <c r="EL851" s="59"/>
      <c r="EM851" s="59"/>
      <c r="EN851" s="59"/>
      <c r="EO851" s="59"/>
      <c r="EP851" s="59"/>
      <c r="EQ851" s="59"/>
      <c r="ER851" s="59"/>
      <c r="ES851" s="59"/>
      <c r="ET851" s="59"/>
      <c r="EU851" s="59"/>
      <c r="EV851" s="59"/>
      <c r="EW851" s="59"/>
      <c r="EX851" s="59"/>
      <c r="EY851" s="59"/>
      <c r="EZ851" s="59"/>
      <c r="FA851" s="59"/>
      <c r="FB851" s="59"/>
      <c r="FC851" s="59"/>
      <c r="FD851" s="59"/>
      <c r="FE851" s="59"/>
      <c r="FF851" s="59"/>
      <c r="FG851" s="59"/>
      <c r="FH851" s="59"/>
      <c r="FI851" s="59"/>
      <c r="FJ851" s="59"/>
      <c r="FK851" s="59"/>
      <c r="FL851" s="59"/>
      <c r="FM851" s="59"/>
      <c r="FN851" s="59"/>
      <c r="FO851" s="59"/>
      <c r="FP851" s="59"/>
      <c r="FQ851" s="59"/>
      <c r="FR851" s="59"/>
      <c r="FS851" s="59"/>
      <c r="FT851" s="59"/>
      <c r="FU851" s="59"/>
      <c r="FV851" s="59"/>
      <c r="FW851" s="59"/>
      <c r="FX851" s="59"/>
      <c r="FY851" s="59"/>
      <c r="FZ851" s="59"/>
      <c r="GA851" s="59"/>
      <c r="GB851" s="59"/>
      <c r="GC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  <c r="BV852" s="59"/>
      <c r="BW852" s="59"/>
      <c r="BX852" s="59"/>
      <c r="BY852" s="59"/>
      <c r="BZ852" s="59"/>
      <c r="CA852" s="59"/>
      <c r="CB852" s="59"/>
      <c r="CC852" s="59"/>
      <c r="CD852" s="59"/>
      <c r="CE852" s="59"/>
      <c r="CF852" s="59"/>
      <c r="CG852" s="59"/>
      <c r="CH852" s="59"/>
      <c r="CI852" s="59"/>
      <c r="CJ852" s="59"/>
      <c r="CK852" s="59"/>
      <c r="CL852" s="59"/>
      <c r="CM852" s="59"/>
      <c r="CN852" s="59"/>
      <c r="CO852" s="59"/>
      <c r="CP852" s="59"/>
      <c r="CQ852" s="59"/>
      <c r="CR852" s="59"/>
      <c r="CS852" s="59"/>
      <c r="CT852" s="59"/>
      <c r="CU852" s="59"/>
      <c r="CV852" s="59"/>
      <c r="CW852" s="59"/>
      <c r="CX852" s="59"/>
      <c r="CY852" s="59"/>
      <c r="CZ852" s="59"/>
      <c r="DA852" s="59"/>
      <c r="DB852" s="59"/>
      <c r="DC852" s="59"/>
      <c r="DD852" s="59"/>
      <c r="DE852" s="59"/>
      <c r="DF852" s="59"/>
      <c r="DG852" s="59"/>
      <c r="DH852" s="59"/>
      <c r="DI852" s="59"/>
      <c r="DJ852" s="59"/>
      <c r="DK852" s="59"/>
      <c r="DL852" s="59"/>
      <c r="DM852" s="59"/>
      <c r="DN852" s="59"/>
      <c r="DO852" s="59"/>
      <c r="DP852" s="59"/>
      <c r="DQ852" s="59"/>
      <c r="DR852" s="59"/>
      <c r="DS852" s="59"/>
      <c r="DT852" s="59"/>
      <c r="DU852" s="59"/>
      <c r="DV852" s="59"/>
      <c r="DW852" s="59"/>
      <c r="DX852" s="59"/>
      <c r="DY852" s="59"/>
      <c r="DZ852" s="59"/>
      <c r="EA852" s="59"/>
      <c r="EB852" s="59"/>
      <c r="EC852" s="59"/>
      <c r="ED852" s="59"/>
      <c r="EE852" s="59"/>
      <c r="EF852" s="59"/>
      <c r="EG852" s="59"/>
      <c r="EH852" s="59"/>
      <c r="EI852" s="59"/>
      <c r="EJ852" s="59"/>
      <c r="EK852" s="59"/>
      <c r="EL852" s="59"/>
      <c r="EM852" s="59"/>
      <c r="EN852" s="59"/>
      <c r="EO852" s="59"/>
      <c r="EP852" s="59"/>
      <c r="EQ852" s="59"/>
      <c r="ER852" s="59"/>
      <c r="ES852" s="59"/>
      <c r="ET852" s="59"/>
      <c r="EU852" s="59"/>
      <c r="EV852" s="59"/>
      <c r="EW852" s="59"/>
      <c r="EX852" s="59"/>
      <c r="EY852" s="59"/>
      <c r="EZ852" s="59"/>
      <c r="FA852" s="59"/>
      <c r="FB852" s="59"/>
      <c r="FC852" s="59"/>
      <c r="FD852" s="59"/>
      <c r="FE852" s="59"/>
      <c r="FF852" s="59"/>
      <c r="FG852" s="59"/>
      <c r="FH852" s="59"/>
      <c r="FI852" s="59"/>
      <c r="FJ852" s="59"/>
      <c r="FK852" s="59"/>
      <c r="FL852" s="59"/>
      <c r="FM852" s="59"/>
      <c r="FN852" s="59"/>
      <c r="FO852" s="59"/>
      <c r="FP852" s="59"/>
      <c r="FQ852" s="59"/>
      <c r="FR852" s="59"/>
      <c r="FS852" s="59"/>
      <c r="FT852" s="59"/>
      <c r="FU852" s="59"/>
      <c r="FV852" s="59"/>
      <c r="FW852" s="59"/>
      <c r="FX852" s="59"/>
      <c r="FY852" s="59"/>
      <c r="FZ852" s="59"/>
      <c r="GA852" s="59"/>
      <c r="GB852" s="59"/>
      <c r="GC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  <c r="BV853" s="59"/>
      <c r="BW853" s="59"/>
      <c r="BX853" s="59"/>
      <c r="BY853" s="59"/>
      <c r="BZ853" s="59"/>
      <c r="CA853" s="59"/>
      <c r="CB853" s="59"/>
      <c r="CC853" s="59"/>
      <c r="CD853" s="59"/>
      <c r="CE853" s="59"/>
      <c r="CF853" s="59"/>
      <c r="CG853" s="59"/>
      <c r="CH853" s="59"/>
      <c r="CI853" s="59"/>
      <c r="CJ853" s="59"/>
      <c r="CK853" s="59"/>
      <c r="CL853" s="59"/>
      <c r="CM853" s="59"/>
      <c r="CN853" s="59"/>
      <c r="CO853" s="59"/>
      <c r="CP853" s="59"/>
      <c r="CQ853" s="59"/>
      <c r="CR853" s="59"/>
      <c r="CS853" s="59"/>
      <c r="CT853" s="59"/>
      <c r="CU853" s="59"/>
      <c r="CV853" s="59"/>
      <c r="CW853" s="59"/>
      <c r="CX853" s="59"/>
      <c r="CY853" s="59"/>
      <c r="CZ853" s="59"/>
      <c r="DA853" s="59"/>
      <c r="DB853" s="59"/>
      <c r="DC853" s="59"/>
      <c r="DD853" s="59"/>
      <c r="DE853" s="59"/>
      <c r="DF853" s="59"/>
      <c r="DG853" s="59"/>
      <c r="DH853" s="59"/>
      <c r="DI853" s="59"/>
      <c r="DJ853" s="59"/>
      <c r="DK853" s="59"/>
      <c r="DL853" s="59"/>
      <c r="DM853" s="59"/>
      <c r="DN853" s="59"/>
      <c r="DO853" s="59"/>
      <c r="DP853" s="59"/>
      <c r="DQ853" s="59"/>
      <c r="DR853" s="59"/>
      <c r="DS853" s="59"/>
      <c r="DT853" s="59"/>
      <c r="DU853" s="59"/>
      <c r="DV853" s="59"/>
      <c r="DW853" s="59"/>
      <c r="DX853" s="59"/>
      <c r="DY853" s="59"/>
      <c r="DZ853" s="59"/>
      <c r="EA853" s="59"/>
      <c r="EB853" s="59"/>
      <c r="EC853" s="59"/>
      <c r="ED853" s="59"/>
      <c r="EE853" s="59"/>
      <c r="EF853" s="59"/>
      <c r="EG853" s="59"/>
      <c r="EH853" s="59"/>
      <c r="EI853" s="59"/>
      <c r="EJ853" s="59"/>
      <c r="EK853" s="59"/>
      <c r="EL853" s="59"/>
      <c r="EM853" s="59"/>
      <c r="EN853" s="59"/>
      <c r="EO853" s="59"/>
      <c r="EP853" s="59"/>
      <c r="EQ853" s="59"/>
      <c r="ER853" s="59"/>
      <c r="ES853" s="59"/>
      <c r="ET853" s="59"/>
      <c r="EU853" s="59"/>
      <c r="EV853" s="59"/>
      <c r="EW853" s="59"/>
      <c r="EX853" s="59"/>
      <c r="EY853" s="59"/>
      <c r="EZ853" s="59"/>
      <c r="FA853" s="59"/>
      <c r="FB853" s="59"/>
      <c r="FC853" s="59"/>
      <c r="FD853" s="59"/>
      <c r="FE853" s="59"/>
      <c r="FF853" s="59"/>
      <c r="FG853" s="59"/>
      <c r="FH853" s="59"/>
      <c r="FI853" s="59"/>
      <c r="FJ853" s="59"/>
      <c r="FK853" s="59"/>
      <c r="FL853" s="59"/>
      <c r="FM853" s="59"/>
      <c r="FN853" s="59"/>
      <c r="FO853" s="59"/>
      <c r="FP853" s="59"/>
      <c r="FQ853" s="59"/>
      <c r="FR853" s="59"/>
      <c r="FS853" s="59"/>
      <c r="FT853" s="59"/>
      <c r="FU853" s="59"/>
      <c r="FV853" s="59"/>
      <c r="FW853" s="59"/>
      <c r="FX853" s="59"/>
      <c r="FY853" s="59"/>
      <c r="FZ853" s="59"/>
      <c r="GA853" s="59"/>
      <c r="GB853" s="59"/>
      <c r="GC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  <c r="BV854" s="59"/>
      <c r="BW854" s="59"/>
      <c r="BX854" s="59"/>
      <c r="BY854" s="59"/>
      <c r="BZ854" s="59"/>
      <c r="CA854" s="59"/>
      <c r="CB854" s="59"/>
      <c r="CC854" s="59"/>
      <c r="CD854" s="59"/>
      <c r="CE854" s="59"/>
      <c r="CF854" s="59"/>
      <c r="CG854" s="59"/>
      <c r="CH854" s="59"/>
      <c r="CI854" s="59"/>
      <c r="CJ854" s="59"/>
      <c r="CK854" s="59"/>
      <c r="CL854" s="59"/>
      <c r="CM854" s="59"/>
      <c r="CN854" s="59"/>
      <c r="CO854" s="59"/>
      <c r="CP854" s="59"/>
      <c r="CQ854" s="59"/>
      <c r="CR854" s="59"/>
      <c r="CS854" s="59"/>
      <c r="CT854" s="59"/>
      <c r="CU854" s="59"/>
      <c r="CV854" s="59"/>
      <c r="CW854" s="59"/>
      <c r="CX854" s="59"/>
      <c r="CY854" s="59"/>
      <c r="CZ854" s="59"/>
      <c r="DA854" s="59"/>
      <c r="DB854" s="59"/>
      <c r="DC854" s="59"/>
      <c r="DD854" s="59"/>
      <c r="DE854" s="59"/>
      <c r="DF854" s="59"/>
      <c r="DG854" s="59"/>
      <c r="DH854" s="59"/>
      <c r="DI854" s="59"/>
      <c r="DJ854" s="59"/>
      <c r="DK854" s="59"/>
      <c r="DL854" s="59"/>
      <c r="DM854" s="59"/>
      <c r="DN854" s="59"/>
      <c r="DO854" s="59"/>
      <c r="DP854" s="59"/>
      <c r="DQ854" s="59"/>
      <c r="DR854" s="59"/>
      <c r="DS854" s="59"/>
      <c r="DT854" s="59"/>
      <c r="DU854" s="59"/>
      <c r="DV854" s="59"/>
      <c r="DW854" s="59"/>
      <c r="DX854" s="59"/>
      <c r="DY854" s="59"/>
      <c r="DZ854" s="59"/>
      <c r="EA854" s="59"/>
      <c r="EB854" s="59"/>
      <c r="EC854" s="59"/>
      <c r="ED854" s="59"/>
      <c r="EE854" s="59"/>
      <c r="EF854" s="59"/>
      <c r="EG854" s="59"/>
      <c r="EH854" s="59"/>
      <c r="EI854" s="59"/>
      <c r="EJ854" s="59"/>
      <c r="EK854" s="59"/>
      <c r="EL854" s="59"/>
      <c r="EM854" s="59"/>
      <c r="EN854" s="59"/>
      <c r="EO854" s="59"/>
      <c r="EP854" s="59"/>
      <c r="EQ854" s="59"/>
      <c r="ER854" s="59"/>
      <c r="ES854" s="59"/>
      <c r="ET854" s="59"/>
      <c r="EU854" s="59"/>
      <c r="EV854" s="59"/>
      <c r="EW854" s="59"/>
      <c r="EX854" s="59"/>
      <c r="EY854" s="59"/>
      <c r="EZ854" s="59"/>
      <c r="FA854" s="59"/>
      <c r="FB854" s="59"/>
      <c r="FC854" s="59"/>
      <c r="FD854" s="59"/>
      <c r="FE854" s="59"/>
      <c r="FF854" s="59"/>
      <c r="FG854" s="59"/>
      <c r="FH854" s="59"/>
      <c r="FI854" s="59"/>
      <c r="FJ854" s="59"/>
      <c r="FK854" s="59"/>
      <c r="FL854" s="59"/>
      <c r="FM854" s="59"/>
      <c r="FN854" s="59"/>
      <c r="FO854" s="59"/>
      <c r="FP854" s="59"/>
      <c r="FQ854" s="59"/>
      <c r="FR854" s="59"/>
      <c r="FS854" s="59"/>
      <c r="FT854" s="59"/>
      <c r="FU854" s="59"/>
      <c r="FV854" s="59"/>
      <c r="FW854" s="59"/>
      <c r="FX854" s="59"/>
      <c r="FY854" s="59"/>
      <c r="FZ854" s="59"/>
      <c r="GA854" s="59"/>
      <c r="GB854" s="59"/>
      <c r="GC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  <c r="BV855" s="59"/>
      <c r="BW855" s="59"/>
      <c r="BX855" s="59"/>
      <c r="BY855" s="59"/>
      <c r="BZ855" s="59"/>
      <c r="CA855" s="59"/>
      <c r="CB855" s="59"/>
      <c r="CC855" s="59"/>
      <c r="CD855" s="59"/>
      <c r="CE855" s="59"/>
      <c r="CF855" s="59"/>
      <c r="CG855" s="59"/>
      <c r="CH855" s="59"/>
      <c r="CI855" s="59"/>
      <c r="CJ855" s="59"/>
      <c r="CK855" s="59"/>
      <c r="CL855" s="59"/>
      <c r="CM855" s="59"/>
      <c r="CN855" s="59"/>
      <c r="CO855" s="59"/>
      <c r="CP855" s="59"/>
      <c r="CQ855" s="59"/>
      <c r="CR855" s="59"/>
      <c r="CS855" s="59"/>
      <c r="CT855" s="59"/>
      <c r="CU855" s="59"/>
      <c r="CV855" s="59"/>
      <c r="CW855" s="59"/>
      <c r="CX855" s="59"/>
      <c r="CY855" s="59"/>
      <c r="CZ855" s="59"/>
      <c r="DA855" s="59"/>
      <c r="DB855" s="59"/>
      <c r="DC855" s="59"/>
      <c r="DD855" s="59"/>
      <c r="DE855" s="59"/>
      <c r="DF855" s="59"/>
      <c r="DG855" s="59"/>
      <c r="DH855" s="59"/>
      <c r="DI855" s="59"/>
      <c r="DJ855" s="59"/>
      <c r="DK855" s="59"/>
      <c r="DL855" s="59"/>
      <c r="DM855" s="59"/>
      <c r="DN855" s="59"/>
      <c r="DO855" s="59"/>
      <c r="DP855" s="59"/>
      <c r="DQ855" s="59"/>
      <c r="DR855" s="59"/>
      <c r="DS855" s="59"/>
      <c r="DT855" s="59"/>
      <c r="DU855" s="59"/>
      <c r="DV855" s="59"/>
      <c r="DW855" s="59"/>
      <c r="DX855" s="59"/>
      <c r="DY855" s="59"/>
      <c r="DZ855" s="59"/>
      <c r="EA855" s="59"/>
      <c r="EB855" s="59"/>
      <c r="EC855" s="59"/>
      <c r="ED855" s="59"/>
      <c r="EE855" s="59"/>
      <c r="EF855" s="59"/>
      <c r="EG855" s="59"/>
      <c r="EH855" s="59"/>
      <c r="EI855" s="59"/>
      <c r="EJ855" s="59"/>
      <c r="EK855" s="59"/>
      <c r="EL855" s="59"/>
      <c r="EM855" s="59"/>
      <c r="EN855" s="59"/>
      <c r="EO855" s="59"/>
      <c r="EP855" s="59"/>
      <c r="EQ855" s="59"/>
      <c r="ER855" s="59"/>
      <c r="ES855" s="59"/>
      <c r="ET855" s="59"/>
      <c r="EU855" s="59"/>
      <c r="EV855" s="59"/>
      <c r="EW855" s="59"/>
      <c r="EX855" s="59"/>
      <c r="EY855" s="59"/>
      <c r="EZ855" s="59"/>
      <c r="FA855" s="59"/>
      <c r="FB855" s="59"/>
      <c r="FC855" s="59"/>
      <c r="FD855" s="59"/>
      <c r="FE855" s="59"/>
      <c r="FF855" s="59"/>
      <c r="FG855" s="59"/>
      <c r="FH855" s="59"/>
      <c r="FI855" s="59"/>
      <c r="FJ855" s="59"/>
      <c r="FK855" s="59"/>
      <c r="FL855" s="59"/>
      <c r="FM855" s="59"/>
      <c r="FN855" s="59"/>
      <c r="FO855" s="59"/>
      <c r="FP855" s="59"/>
      <c r="FQ855" s="59"/>
      <c r="FR855" s="59"/>
      <c r="FS855" s="59"/>
      <c r="FT855" s="59"/>
      <c r="FU855" s="59"/>
      <c r="FV855" s="59"/>
      <c r="FW855" s="59"/>
      <c r="FX855" s="59"/>
      <c r="FY855" s="59"/>
      <c r="FZ855" s="59"/>
      <c r="GA855" s="59"/>
      <c r="GB855" s="59"/>
      <c r="GC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  <c r="BW856" s="59"/>
      <c r="BX856" s="59"/>
      <c r="BY856" s="59"/>
      <c r="BZ856" s="59"/>
      <c r="CA856" s="59"/>
      <c r="CB856" s="59"/>
      <c r="CC856" s="59"/>
      <c r="CD856" s="59"/>
      <c r="CE856" s="59"/>
      <c r="CF856" s="59"/>
      <c r="CG856" s="59"/>
      <c r="CH856" s="59"/>
      <c r="CI856" s="59"/>
      <c r="CJ856" s="59"/>
      <c r="CK856" s="59"/>
      <c r="CL856" s="59"/>
      <c r="CM856" s="59"/>
      <c r="CN856" s="59"/>
      <c r="CO856" s="59"/>
      <c r="CP856" s="59"/>
      <c r="CQ856" s="59"/>
      <c r="CR856" s="59"/>
      <c r="CS856" s="59"/>
      <c r="CT856" s="59"/>
      <c r="CU856" s="59"/>
      <c r="CV856" s="59"/>
      <c r="CW856" s="59"/>
      <c r="CX856" s="59"/>
      <c r="CY856" s="59"/>
      <c r="CZ856" s="59"/>
      <c r="DA856" s="59"/>
      <c r="DB856" s="59"/>
      <c r="DC856" s="59"/>
      <c r="DD856" s="59"/>
      <c r="DE856" s="59"/>
      <c r="DF856" s="59"/>
      <c r="DG856" s="59"/>
      <c r="DH856" s="59"/>
      <c r="DI856" s="59"/>
      <c r="DJ856" s="59"/>
      <c r="DK856" s="59"/>
      <c r="DL856" s="59"/>
      <c r="DM856" s="59"/>
      <c r="DN856" s="59"/>
      <c r="DO856" s="59"/>
      <c r="DP856" s="59"/>
      <c r="DQ856" s="59"/>
      <c r="DR856" s="59"/>
      <c r="DS856" s="59"/>
      <c r="DT856" s="59"/>
      <c r="DU856" s="59"/>
      <c r="DV856" s="59"/>
      <c r="DW856" s="59"/>
      <c r="DX856" s="59"/>
      <c r="DY856" s="59"/>
      <c r="DZ856" s="59"/>
      <c r="EA856" s="59"/>
      <c r="EB856" s="59"/>
      <c r="EC856" s="59"/>
      <c r="ED856" s="59"/>
      <c r="EE856" s="59"/>
      <c r="EF856" s="59"/>
      <c r="EG856" s="59"/>
      <c r="EH856" s="59"/>
      <c r="EI856" s="59"/>
      <c r="EJ856" s="59"/>
      <c r="EK856" s="59"/>
      <c r="EL856" s="59"/>
      <c r="EM856" s="59"/>
      <c r="EN856" s="59"/>
      <c r="EO856" s="59"/>
      <c r="EP856" s="59"/>
      <c r="EQ856" s="59"/>
      <c r="ER856" s="59"/>
      <c r="ES856" s="59"/>
      <c r="ET856" s="59"/>
      <c r="EU856" s="59"/>
      <c r="EV856" s="59"/>
      <c r="EW856" s="59"/>
      <c r="EX856" s="59"/>
      <c r="EY856" s="59"/>
      <c r="EZ856" s="59"/>
      <c r="FA856" s="59"/>
      <c r="FB856" s="59"/>
      <c r="FC856" s="59"/>
      <c r="FD856" s="59"/>
      <c r="FE856" s="59"/>
      <c r="FF856" s="59"/>
      <c r="FG856" s="59"/>
      <c r="FH856" s="59"/>
      <c r="FI856" s="59"/>
      <c r="FJ856" s="59"/>
      <c r="FK856" s="59"/>
      <c r="FL856" s="59"/>
      <c r="FM856" s="59"/>
      <c r="FN856" s="59"/>
      <c r="FO856" s="59"/>
      <c r="FP856" s="59"/>
      <c r="FQ856" s="59"/>
      <c r="FR856" s="59"/>
      <c r="FS856" s="59"/>
      <c r="FT856" s="59"/>
      <c r="FU856" s="59"/>
      <c r="FV856" s="59"/>
      <c r="FW856" s="59"/>
      <c r="FX856" s="59"/>
      <c r="FY856" s="59"/>
      <c r="FZ856" s="59"/>
      <c r="GA856" s="59"/>
      <c r="GB856" s="59"/>
      <c r="GC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  <c r="BV857" s="59"/>
      <c r="BW857" s="59"/>
      <c r="BX857" s="59"/>
      <c r="BY857" s="59"/>
      <c r="BZ857" s="59"/>
      <c r="CA857" s="59"/>
      <c r="CB857" s="59"/>
      <c r="CC857" s="59"/>
      <c r="CD857" s="59"/>
      <c r="CE857" s="59"/>
      <c r="CF857" s="59"/>
      <c r="CG857" s="59"/>
      <c r="CH857" s="59"/>
      <c r="CI857" s="59"/>
      <c r="CJ857" s="59"/>
      <c r="CK857" s="59"/>
      <c r="CL857" s="59"/>
      <c r="CM857" s="59"/>
      <c r="CN857" s="59"/>
      <c r="CO857" s="59"/>
      <c r="CP857" s="59"/>
      <c r="CQ857" s="59"/>
      <c r="CR857" s="59"/>
      <c r="CS857" s="59"/>
      <c r="CT857" s="59"/>
      <c r="CU857" s="59"/>
      <c r="CV857" s="59"/>
      <c r="CW857" s="59"/>
      <c r="CX857" s="59"/>
      <c r="CY857" s="59"/>
      <c r="CZ857" s="59"/>
      <c r="DA857" s="59"/>
      <c r="DB857" s="59"/>
      <c r="DC857" s="59"/>
      <c r="DD857" s="59"/>
      <c r="DE857" s="59"/>
      <c r="DF857" s="59"/>
      <c r="DG857" s="59"/>
      <c r="DH857" s="59"/>
      <c r="DI857" s="59"/>
      <c r="DJ857" s="59"/>
      <c r="DK857" s="59"/>
      <c r="DL857" s="59"/>
      <c r="DM857" s="59"/>
      <c r="DN857" s="59"/>
      <c r="DO857" s="59"/>
      <c r="DP857" s="59"/>
      <c r="DQ857" s="59"/>
      <c r="DR857" s="59"/>
      <c r="DS857" s="59"/>
      <c r="DT857" s="59"/>
      <c r="DU857" s="59"/>
      <c r="DV857" s="59"/>
      <c r="DW857" s="59"/>
      <c r="DX857" s="59"/>
      <c r="DY857" s="59"/>
      <c r="DZ857" s="59"/>
      <c r="EA857" s="59"/>
      <c r="EB857" s="59"/>
      <c r="EC857" s="59"/>
      <c r="ED857" s="59"/>
      <c r="EE857" s="59"/>
      <c r="EF857" s="59"/>
      <c r="EG857" s="59"/>
      <c r="EH857" s="59"/>
      <c r="EI857" s="59"/>
      <c r="EJ857" s="59"/>
      <c r="EK857" s="59"/>
      <c r="EL857" s="59"/>
      <c r="EM857" s="59"/>
      <c r="EN857" s="59"/>
      <c r="EO857" s="59"/>
      <c r="EP857" s="59"/>
      <c r="EQ857" s="59"/>
      <c r="ER857" s="59"/>
      <c r="ES857" s="59"/>
      <c r="ET857" s="59"/>
      <c r="EU857" s="59"/>
      <c r="EV857" s="59"/>
      <c r="EW857" s="59"/>
      <c r="EX857" s="59"/>
      <c r="EY857" s="59"/>
      <c r="EZ857" s="59"/>
      <c r="FA857" s="59"/>
      <c r="FB857" s="59"/>
      <c r="FC857" s="59"/>
      <c r="FD857" s="59"/>
      <c r="FE857" s="59"/>
      <c r="FF857" s="59"/>
      <c r="FG857" s="59"/>
      <c r="FH857" s="59"/>
      <c r="FI857" s="59"/>
      <c r="FJ857" s="59"/>
      <c r="FK857" s="59"/>
      <c r="FL857" s="59"/>
      <c r="FM857" s="59"/>
      <c r="FN857" s="59"/>
      <c r="FO857" s="59"/>
      <c r="FP857" s="59"/>
      <c r="FQ857" s="59"/>
      <c r="FR857" s="59"/>
      <c r="FS857" s="59"/>
      <c r="FT857" s="59"/>
      <c r="FU857" s="59"/>
      <c r="FV857" s="59"/>
      <c r="FW857" s="59"/>
      <c r="FX857" s="59"/>
      <c r="FY857" s="59"/>
      <c r="FZ857" s="59"/>
      <c r="GA857" s="59"/>
      <c r="GB857" s="59"/>
      <c r="GC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  <c r="BV858" s="59"/>
      <c r="BW858" s="59"/>
      <c r="BX858" s="59"/>
      <c r="BY858" s="59"/>
      <c r="BZ858" s="59"/>
      <c r="CA858" s="59"/>
      <c r="CB858" s="59"/>
      <c r="CC858" s="59"/>
      <c r="CD858" s="59"/>
      <c r="CE858" s="59"/>
      <c r="CF858" s="59"/>
      <c r="CG858" s="59"/>
      <c r="CH858" s="59"/>
      <c r="CI858" s="59"/>
      <c r="CJ858" s="59"/>
      <c r="CK858" s="59"/>
      <c r="CL858" s="59"/>
      <c r="CM858" s="59"/>
      <c r="CN858" s="59"/>
      <c r="CO858" s="59"/>
      <c r="CP858" s="59"/>
      <c r="CQ858" s="59"/>
      <c r="CR858" s="59"/>
      <c r="CS858" s="59"/>
      <c r="CT858" s="59"/>
      <c r="CU858" s="59"/>
      <c r="CV858" s="59"/>
      <c r="CW858" s="59"/>
      <c r="CX858" s="59"/>
      <c r="CY858" s="59"/>
      <c r="CZ858" s="59"/>
      <c r="DA858" s="59"/>
      <c r="DB858" s="59"/>
      <c r="DC858" s="59"/>
      <c r="DD858" s="59"/>
      <c r="DE858" s="59"/>
      <c r="DF858" s="59"/>
      <c r="DG858" s="59"/>
      <c r="DH858" s="59"/>
      <c r="DI858" s="59"/>
      <c r="DJ858" s="59"/>
      <c r="DK858" s="59"/>
      <c r="DL858" s="59"/>
      <c r="DM858" s="59"/>
      <c r="DN858" s="59"/>
      <c r="DO858" s="59"/>
      <c r="DP858" s="59"/>
      <c r="DQ858" s="59"/>
      <c r="DR858" s="59"/>
      <c r="DS858" s="59"/>
      <c r="DT858" s="59"/>
      <c r="DU858" s="59"/>
      <c r="DV858" s="59"/>
      <c r="DW858" s="59"/>
      <c r="DX858" s="59"/>
      <c r="DY858" s="59"/>
      <c r="DZ858" s="59"/>
      <c r="EA858" s="59"/>
      <c r="EB858" s="59"/>
      <c r="EC858" s="59"/>
      <c r="ED858" s="59"/>
      <c r="EE858" s="59"/>
      <c r="EF858" s="59"/>
      <c r="EG858" s="59"/>
      <c r="EH858" s="59"/>
      <c r="EI858" s="59"/>
      <c r="EJ858" s="59"/>
      <c r="EK858" s="59"/>
      <c r="EL858" s="59"/>
      <c r="EM858" s="59"/>
      <c r="EN858" s="59"/>
      <c r="EO858" s="59"/>
      <c r="EP858" s="59"/>
      <c r="EQ858" s="59"/>
      <c r="ER858" s="59"/>
      <c r="ES858" s="59"/>
      <c r="ET858" s="59"/>
      <c r="EU858" s="59"/>
      <c r="EV858" s="59"/>
      <c r="EW858" s="59"/>
      <c r="EX858" s="59"/>
      <c r="EY858" s="59"/>
      <c r="EZ858" s="59"/>
      <c r="FA858" s="59"/>
      <c r="FB858" s="59"/>
      <c r="FC858" s="59"/>
      <c r="FD858" s="59"/>
      <c r="FE858" s="59"/>
      <c r="FF858" s="59"/>
      <c r="FG858" s="59"/>
      <c r="FH858" s="59"/>
      <c r="FI858" s="59"/>
      <c r="FJ858" s="59"/>
      <c r="FK858" s="59"/>
      <c r="FL858" s="59"/>
      <c r="FM858" s="59"/>
      <c r="FN858" s="59"/>
      <c r="FO858" s="59"/>
      <c r="FP858" s="59"/>
      <c r="FQ858" s="59"/>
      <c r="FR858" s="59"/>
      <c r="FS858" s="59"/>
      <c r="FT858" s="59"/>
      <c r="FU858" s="59"/>
      <c r="FV858" s="59"/>
      <c r="FW858" s="59"/>
      <c r="FX858" s="59"/>
      <c r="FY858" s="59"/>
      <c r="FZ858" s="59"/>
      <c r="GA858" s="59"/>
      <c r="GB858" s="59"/>
      <c r="GC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/>
      <c r="BW859" s="59"/>
      <c r="BX859" s="59"/>
      <c r="BY859" s="59"/>
      <c r="BZ859" s="59"/>
      <c r="CA859" s="59"/>
      <c r="CB859" s="59"/>
      <c r="CC859" s="59"/>
      <c r="CD859" s="59"/>
      <c r="CE859" s="59"/>
      <c r="CF859" s="59"/>
      <c r="CG859" s="59"/>
      <c r="CH859" s="59"/>
      <c r="CI859" s="59"/>
      <c r="CJ859" s="59"/>
      <c r="CK859" s="59"/>
      <c r="CL859" s="59"/>
      <c r="CM859" s="59"/>
      <c r="CN859" s="59"/>
      <c r="CO859" s="59"/>
      <c r="CP859" s="59"/>
      <c r="CQ859" s="59"/>
      <c r="CR859" s="59"/>
      <c r="CS859" s="59"/>
      <c r="CT859" s="59"/>
      <c r="CU859" s="59"/>
      <c r="CV859" s="59"/>
      <c r="CW859" s="59"/>
      <c r="CX859" s="59"/>
      <c r="CY859" s="59"/>
      <c r="CZ859" s="59"/>
      <c r="DA859" s="59"/>
      <c r="DB859" s="59"/>
      <c r="DC859" s="59"/>
      <c r="DD859" s="59"/>
      <c r="DE859" s="59"/>
      <c r="DF859" s="59"/>
      <c r="DG859" s="59"/>
      <c r="DH859" s="59"/>
      <c r="DI859" s="59"/>
      <c r="DJ859" s="59"/>
      <c r="DK859" s="59"/>
      <c r="DL859" s="59"/>
      <c r="DM859" s="59"/>
      <c r="DN859" s="59"/>
      <c r="DO859" s="59"/>
      <c r="DP859" s="59"/>
      <c r="DQ859" s="59"/>
      <c r="DR859" s="59"/>
      <c r="DS859" s="59"/>
      <c r="DT859" s="59"/>
      <c r="DU859" s="59"/>
      <c r="DV859" s="59"/>
      <c r="DW859" s="59"/>
      <c r="DX859" s="59"/>
      <c r="DY859" s="59"/>
      <c r="DZ859" s="59"/>
      <c r="EA859" s="59"/>
      <c r="EB859" s="59"/>
      <c r="EC859" s="59"/>
      <c r="ED859" s="59"/>
      <c r="EE859" s="59"/>
      <c r="EF859" s="59"/>
      <c r="EG859" s="59"/>
      <c r="EH859" s="59"/>
      <c r="EI859" s="59"/>
      <c r="EJ859" s="59"/>
      <c r="EK859" s="59"/>
      <c r="EL859" s="59"/>
      <c r="EM859" s="59"/>
      <c r="EN859" s="59"/>
      <c r="EO859" s="59"/>
      <c r="EP859" s="59"/>
      <c r="EQ859" s="59"/>
      <c r="ER859" s="59"/>
      <c r="ES859" s="59"/>
      <c r="ET859" s="59"/>
      <c r="EU859" s="59"/>
      <c r="EV859" s="59"/>
      <c r="EW859" s="59"/>
      <c r="EX859" s="59"/>
      <c r="EY859" s="59"/>
      <c r="EZ859" s="59"/>
      <c r="FA859" s="59"/>
      <c r="FB859" s="59"/>
      <c r="FC859" s="59"/>
      <c r="FD859" s="59"/>
      <c r="FE859" s="59"/>
      <c r="FF859" s="59"/>
      <c r="FG859" s="59"/>
      <c r="FH859" s="59"/>
      <c r="FI859" s="59"/>
      <c r="FJ859" s="59"/>
      <c r="FK859" s="59"/>
      <c r="FL859" s="59"/>
      <c r="FM859" s="59"/>
      <c r="FN859" s="59"/>
      <c r="FO859" s="59"/>
      <c r="FP859" s="59"/>
      <c r="FQ859" s="59"/>
      <c r="FR859" s="59"/>
      <c r="FS859" s="59"/>
      <c r="FT859" s="59"/>
      <c r="FU859" s="59"/>
      <c r="FV859" s="59"/>
      <c r="FW859" s="59"/>
      <c r="FX859" s="59"/>
      <c r="FY859" s="59"/>
      <c r="FZ859" s="59"/>
      <c r="GA859" s="59"/>
      <c r="GB859" s="59"/>
      <c r="GC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  <c r="BW860" s="59"/>
      <c r="BX860" s="59"/>
      <c r="BY860" s="59"/>
      <c r="BZ860" s="59"/>
      <c r="CA860" s="59"/>
      <c r="CB860" s="59"/>
      <c r="CC860" s="59"/>
      <c r="CD860" s="59"/>
      <c r="CE860" s="59"/>
      <c r="CF860" s="59"/>
      <c r="CG860" s="59"/>
      <c r="CH860" s="59"/>
      <c r="CI860" s="59"/>
      <c r="CJ860" s="59"/>
      <c r="CK860" s="59"/>
      <c r="CL860" s="59"/>
      <c r="CM860" s="59"/>
      <c r="CN860" s="59"/>
      <c r="CO860" s="59"/>
      <c r="CP860" s="59"/>
      <c r="CQ860" s="59"/>
      <c r="CR860" s="59"/>
      <c r="CS860" s="59"/>
      <c r="CT860" s="59"/>
      <c r="CU860" s="59"/>
      <c r="CV860" s="59"/>
      <c r="CW860" s="59"/>
      <c r="CX860" s="59"/>
      <c r="CY860" s="59"/>
      <c r="CZ860" s="59"/>
      <c r="DA860" s="59"/>
      <c r="DB860" s="59"/>
      <c r="DC860" s="59"/>
      <c r="DD860" s="59"/>
      <c r="DE860" s="59"/>
      <c r="DF860" s="59"/>
      <c r="DG860" s="59"/>
      <c r="DH860" s="59"/>
      <c r="DI860" s="59"/>
      <c r="DJ860" s="59"/>
      <c r="DK860" s="59"/>
      <c r="DL860" s="59"/>
      <c r="DM860" s="59"/>
      <c r="DN860" s="59"/>
      <c r="DO860" s="59"/>
      <c r="DP860" s="59"/>
      <c r="DQ860" s="59"/>
      <c r="DR860" s="59"/>
      <c r="DS860" s="59"/>
      <c r="DT860" s="59"/>
      <c r="DU860" s="59"/>
      <c r="DV860" s="59"/>
      <c r="DW860" s="59"/>
      <c r="DX860" s="59"/>
      <c r="DY860" s="59"/>
      <c r="DZ860" s="59"/>
      <c r="EA860" s="59"/>
      <c r="EB860" s="59"/>
      <c r="EC860" s="59"/>
      <c r="ED860" s="59"/>
      <c r="EE860" s="59"/>
      <c r="EF860" s="59"/>
      <c r="EG860" s="59"/>
      <c r="EH860" s="59"/>
      <c r="EI860" s="59"/>
      <c r="EJ860" s="59"/>
      <c r="EK860" s="59"/>
      <c r="EL860" s="59"/>
      <c r="EM860" s="59"/>
      <c r="EN860" s="59"/>
      <c r="EO860" s="59"/>
      <c r="EP860" s="59"/>
      <c r="EQ860" s="59"/>
      <c r="ER860" s="59"/>
      <c r="ES860" s="59"/>
      <c r="ET860" s="59"/>
      <c r="EU860" s="59"/>
      <c r="EV860" s="59"/>
      <c r="EW860" s="59"/>
      <c r="EX860" s="59"/>
      <c r="EY860" s="59"/>
      <c r="EZ860" s="59"/>
      <c r="FA860" s="59"/>
      <c r="FB860" s="59"/>
      <c r="FC860" s="59"/>
      <c r="FD860" s="59"/>
      <c r="FE860" s="59"/>
      <c r="FF860" s="59"/>
      <c r="FG860" s="59"/>
      <c r="FH860" s="59"/>
      <c r="FI860" s="59"/>
      <c r="FJ860" s="59"/>
      <c r="FK860" s="59"/>
      <c r="FL860" s="59"/>
      <c r="FM860" s="59"/>
      <c r="FN860" s="59"/>
      <c r="FO860" s="59"/>
      <c r="FP860" s="59"/>
      <c r="FQ860" s="59"/>
      <c r="FR860" s="59"/>
      <c r="FS860" s="59"/>
      <c r="FT860" s="59"/>
      <c r="FU860" s="59"/>
      <c r="FV860" s="59"/>
      <c r="FW860" s="59"/>
      <c r="FX860" s="59"/>
      <c r="FY860" s="59"/>
      <c r="FZ860" s="59"/>
      <c r="GA860" s="59"/>
      <c r="GB860" s="59"/>
      <c r="GC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  <c r="BW861" s="59"/>
      <c r="BX861" s="59"/>
      <c r="BY861" s="59"/>
      <c r="BZ861" s="59"/>
      <c r="CA861" s="59"/>
      <c r="CB861" s="59"/>
      <c r="CC861" s="59"/>
      <c r="CD861" s="59"/>
      <c r="CE861" s="59"/>
      <c r="CF861" s="59"/>
      <c r="CG861" s="59"/>
      <c r="CH861" s="59"/>
      <c r="CI861" s="59"/>
      <c r="CJ861" s="59"/>
      <c r="CK861" s="59"/>
      <c r="CL861" s="59"/>
      <c r="CM861" s="59"/>
      <c r="CN861" s="59"/>
      <c r="CO861" s="59"/>
      <c r="CP861" s="59"/>
      <c r="CQ861" s="59"/>
      <c r="CR861" s="59"/>
      <c r="CS861" s="59"/>
      <c r="CT861" s="59"/>
      <c r="CU861" s="59"/>
      <c r="CV861" s="59"/>
      <c r="CW861" s="59"/>
      <c r="CX861" s="59"/>
      <c r="CY861" s="59"/>
      <c r="CZ861" s="59"/>
      <c r="DA861" s="59"/>
      <c r="DB861" s="59"/>
      <c r="DC861" s="59"/>
      <c r="DD861" s="59"/>
      <c r="DE861" s="59"/>
      <c r="DF861" s="59"/>
      <c r="DG861" s="59"/>
      <c r="DH861" s="59"/>
      <c r="DI861" s="59"/>
      <c r="DJ861" s="59"/>
      <c r="DK861" s="59"/>
      <c r="DL861" s="59"/>
      <c r="DM861" s="59"/>
      <c r="DN861" s="59"/>
      <c r="DO861" s="59"/>
      <c r="DP861" s="59"/>
      <c r="DQ861" s="59"/>
      <c r="DR861" s="59"/>
      <c r="DS861" s="59"/>
      <c r="DT861" s="59"/>
      <c r="DU861" s="59"/>
      <c r="DV861" s="59"/>
      <c r="DW861" s="59"/>
      <c r="DX861" s="59"/>
      <c r="DY861" s="59"/>
      <c r="DZ861" s="59"/>
      <c r="EA861" s="59"/>
      <c r="EB861" s="59"/>
      <c r="EC861" s="59"/>
      <c r="ED861" s="59"/>
      <c r="EE861" s="59"/>
      <c r="EF861" s="59"/>
      <c r="EG861" s="59"/>
      <c r="EH861" s="59"/>
      <c r="EI861" s="59"/>
      <c r="EJ861" s="59"/>
      <c r="EK861" s="59"/>
      <c r="EL861" s="59"/>
      <c r="EM861" s="59"/>
      <c r="EN861" s="59"/>
      <c r="EO861" s="59"/>
      <c r="EP861" s="59"/>
      <c r="EQ861" s="59"/>
      <c r="ER861" s="59"/>
      <c r="ES861" s="59"/>
      <c r="ET861" s="59"/>
      <c r="EU861" s="59"/>
      <c r="EV861" s="59"/>
      <c r="EW861" s="59"/>
      <c r="EX861" s="59"/>
      <c r="EY861" s="59"/>
      <c r="EZ861" s="59"/>
      <c r="FA861" s="59"/>
      <c r="FB861" s="59"/>
      <c r="FC861" s="59"/>
      <c r="FD861" s="59"/>
      <c r="FE861" s="59"/>
      <c r="FF861" s="59"/>
      <c r="FG861" s="59"/>
      <c r="FH861" s="59"/>
      <c r="FI861" s="59"/>
      <c r="FJ861" s="59"/>
      <c r="FK861" s="59"/>
      <c r="FL861" s="59"/>
      <c r="FM861" s="59"/>
      <c r="FN861" s="59"/>
      <c r="FO861" s="59"/>
      <c r="FP861" s="59"/>
      <c r="FQ861" s="59"/>
      <c r="FR861" s="59"/>
      <c r="FS861" s="59"/>
      <c r="FT861" s="59"/>
      <c r="FU861" s="59"/>
      <c r="FV861" s="59"/>
      <c r="FW861" s="59"/>
      <c r="FX861" s="59"/>
      <c r="FY861" s="59"/>
      <c r="FZ861" s="59"/>
      <c r="GA861" s="59"/>
      <c r="GB861" s="59"/>
      <c r="GC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  <c r="BV862" s="59"/>
      <c r="BW862" s="59"/>
      <c r="BX862" s="59"/>
      <c r="BY862" s="59"/>
      <c r="BZ862" s="59"/>
      <c r="CA862" s="59"/>
      <c r="CB862" s="59"/>
      <c r="CC862" s="59"/>
      <c r="CD862" s="59"/>
      <c r="CE862" s="59"/>
      <c r="CF862" s="59"/>
      <c r="CG862" s="59"/>
      <c r="CH862" s="59"/>
      <c r="CI862" s="59"/>
      <c r="CJ862" s="59"/>
      <c r="CK862" s="59"/>
      <c r="CL862" s="59"/>
      <c r="CM862" s="59"/>
      <c r="CN862" s="59"/>
      <c r="CO862" s="59"/>
      <c r="CP862" s="59"/>
      <c r="CQ862" s="59"/>
      <c r="CR862" s="59"/>
      <c r="CS862" s="59"/>
      <c r="CT862" s="59"/>
      <c r="CU862" s="59"/>
      <c r="CV862" s="59"/>
      <c r="CW862" s="59"/>
      <c r="CX862" s="59"/>
      <c r="CY862" s="59"/>
      <c r="CZ862" s="59"/>
      <c r="DA862" s="59"/>
      <c r="DB862" s="59"/>
      <c r="DC862" s="59"/>
      <c r="DD862" s="59"/>
      <c r="DE862" s="59"/>
      <c r="DF862" s="59"/>
      <c r="DG862" s="59"/>
      <c r="DH862" s="59"/>
      <c r="DI862" s="59"/>
      <c r="DJ862" s="59"/>
      <c r="DK862" s="59"/>
      <c r="DL862" s="59"/>
      <c r="DM862" s="59"/>
      <c r="DN862" s="59"/>
      <c r="DO862" s="59"/>
      <c r="DP862" s="59"/>
      <c r="DQ862" s="59"/>
      <c r="DR862" s="59"/>
      <c r="DS862" s="59"/>
      <c r="DT862" s="59"/>
      <c r="DU862" s="59"/>
      <c r="DV862" s="59"/>
      <c r="DW862" s="59"/>
      <c r="DX862" s="59"/>
      <c r="DY862" s="59"/>
      <c r="DZ862" s="59"/>
      <c r="EA862" s="59"/>
      <c r="EB862" s="59"/>
      <c r="EC862" s="59"/>
      <c r="ED862" s="59"/>
      <c r="EE862" s="59"/>
      <c r="EF862" s="59"/>
      <c r="EG862" s="59"/>
      <c r="EH862" s="59"/>
      <c r="EI862" s="59"/>
      <c r="EJ862" s="59"/>
      <c r="EK862" s="59"/>
      <c r="EL862" s="59"/>
      <c r="EM862" s="59"/>
      <c r="EN862" s="59"/>
      <c r="EO862" s="59"/>
      <c r="EP862" s="59"/>
      <c r="EQ862" s="59"/>
      <c r="ER862" s="59"/>
      <c r="ES862" s="59"/>
      <c r="ET862" s="59"/>
      <c r="EU862" s="59"/>
      <c r="EV862" s="59"/>
      <c r="EW862" s="59"/>
      <c r="EX862" s="59"/>
      <c r="EY862" s="59"/>
      <c r="EZ862" s="59"/>
      <c r="FA862" s="59"/>
      <c r="FB862" s="59"/>
      <c r="FC862" s="59"/>
      <c r="FD862" s="59"/>
      <c r="FE862" s="59"/>
      <c r="FF862" s="59"/>
      <c r="FG862" s="59"/>
      <c r="FH862" s="59"/>
      <c r="FI862" s="59"/>
      <c r="FJ862" s="59"/>
      <c r="FK862" s="59"/>
      <c r="FL862" s="59"/>
      <c r="FM862" s="59"/>
      <c r="FN862" s="59"/>
      <c r="FO862" s="59"/>
      <c r="FP862" s="59"/>
      <c r="FQ862" s="59"/>
      <c r="FR862" s="59"/>
      <c r="FS862" s="59"/>
      <c r="FT862" s="59"/>
      <c r="FU862" s="59"/>
      <c r="FV862" s="59"/>
      <c r="FW862" s="59"/>
      <c r="FX862" s="59"/>
      <c r="FY862" s="59"/>
      <c r="FZ862" s="59"/>
      <c r="GA862" s="59"/>
      <c r="GB862" s="59"/>
      <c r="GC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  <c r="BV863" s="59"/>
      <c r="BW863" s="59"/>
      <c r="BX863" s="59"/>
      <c r="BY863" s="59"/>
      <c r="BZ863" s="59"/>
      <c r="CA863" s="59"/>
      <c r="CB863" s="59"/>
      <c r="CC863" s="59"/>
      <c r="CD863" s="59"/>
      <c r="CE863" s="59"/>
      <c r="CF863" s="59"/>
      <c r="CG863" s="59"/>
      <c r="CH863" s="59"/>
      <c r="CI863" s="59"/>
      <c r="CJ863" s="59"/>
      <c r="CK863" s="59"/>
      <c r="CL863" s="59"/>
      <c r="CM863" s="59"/>
      <c r="CN863" s="59"/>
      <c r="CO863" s="59"/>
      <c r="CP863" s="59"/>
      <c r="CQ863" s="59"/>
      <c r="CR863" s="59"/>
      <c r="CS863" s="59"/>
      <c r="CT863" s="59"/>
      <c r="CU863" s="59"/>
      <c r="CV863" s="59"/>
      <c r="CW863" s="59"/>
      <c r="CX863" s="59"/>
      <c r="CY863" s="59"/>
      <c r="CZ863" s="59"/>
      <c r="DA863" s="59"/>
      <c r="DB863" s="59"/>
      <c r="DC863" s="59"/>
      <c r="DD863" s="59"/>
      <c r="DE863" s="59"/>
      <c r="DF863" s="59"/>
      <c r="DG863" s="59"/>
      <c r="DH863" s="59"/>
      <c r="DI863" s="59"/>
      <c r="DJ863" s="59"/>
      <c r="DK863" s="59"/>
      <c r="DL863" s="59"/>
      <c r="DM863" s="59"/>
      <c r="DN863" s="59"/>
      <c r="DO863" s="59"/>
      <c r="DP863" s="59"/>
      <c r="DQ863" s="59"/>
      <c r="DR863" s="59"/>
      <c r="DS863" s="59"/>
      <c r="DT863" s="59"/>
      <c r="DU863" s="59"/>
      <c r="DV863" s="59"/>
      <c r="DW863" s="59"/>
      <c r="DX863" s="59"/>
      <c r="DY863" s="59"/>
      <c r="DZ863" s="59"/>
      <c r="EA863" s="59"/>
      <c r="EB863" s="59"/>
      <c r="EC863" s="59"/>
      <c r="ED863" s="59"/>
      <c r="EE863" s="59"/>
      <c r="EF863" s="59"/>
      <c r="EG863" s="59"/>
      <c r="EH863" s="59"/>
      <c r="EI863" s="59"/>
      <c r="EJ863" s="59"/>
      <c r="EK863" s="59"/>
      <c r="EL863" s="59"/>
      <c r="EM863" s="59"/>
      <c r="EN863" s="59"/>
      <c r="EO863" s="59"/>
      <c r="EP863" s="59"/>
      <c r="EQ863" s="59"/>
      <c r="ER863" s="59"/>
      <c r="ES863" s="59"/>
      <c r="ET863" s="59"/>
      <c r="EU863" s="59"/>
      <c r="EV863" s="59"/>
      <c r="EW863" s="59"/>
      <c r="EX863" s="59"/>
      <c r="EY863" s="59"/>
      <c r="EZ863" s="59"/>
      <c r="FA863" s="59"/>
      <c r="FB863" s="59"/>
      <c r="FC863" s="59"/>
      <c r="FD863" s="59"/>
      <c r="FE863" s="59"/>
      <c r="FF863" s="59"/>
      <c r="FG863" s="59"/>
      <c r="FH863" s="59"/>
      <c r="FI863" s="59"/>
      <c r="FJ863" s="59"/>
      <c r="FK863" s="59"/>
      <c r="FL863" s="59"/>
      <c r="FM863" s="59"/>
      <c r="FN863" s="59"/>
      <c r="FO863" s="59"/>
      <c r="FP863" s="59"/>
      <c r="FQ863" s="59"/>
      <c r="FR863" s="59"/>
      <c r="FS863" s="59"/>
      <c r="FT863" s="59"/>
      <c r="FU863" s="59"/>
      <c r="FV863" s="59"/>
      <c r="FW863" s="59"/>
      <c r="FX863" s="59"/>
      <c r="FY863" s="59"/>
      <c r="FZ863" s="59"/>
      <c r="GA863" s="59"/>
      <c r="GB863" s="59"/>
      <c r="GC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  <c r="BW864" s="59"/>
      <c r="BX864" s="59"/>
      <c r="BY864" s="59"/>
      <c r="BZ864" s="59"/>
      <c r="CA864" s="59"/>
      <c r="CB864" s="59"/>
      <c r="CC864" s="59"/>
      <c r="CD864" s="59"/>
      <c r="CE864" s="59"/>
      <c r="CF864" s="59"/>
      <c r="CG864" s="59"/>
      <c r="CH864" s="59"/>
      <c r="CI864" s="59"/>
      <c r="CJ864" s="59"/>
      <c r="CK864" s="59"/>
      <c r="CL864" s="59"/>
      <c r="CM864" s="59"/>
      <c r="CN864" s="59"/>
      <c r="CO864" s="59"/>
      <c r="CP864" s="59"/>
      <c r="CQ864" s="59"/>
      <c r="CR864" s="59"/>
      <c r="CS864" s="59"/>
      <c r="CT864" s="59"/>
      <c r="CU864" s="59"/>
      <c r="CV864" s="59"/>
      <c r="CW864" s="59"/>
      <c r="CX864" s="59"/>
      <c r="CY864" s="59"/>
      <c r="CZ864" s="59"/>
      <c r="DA864" s="59"/>
      <c r="DB864" s="59"/>
      <c r="DC864" s="59"/>
      <c r="DD864" s="59"/>
      <c r="DE864" s="59"/>
      <c r="DF864" s="59"/>
      <c r="DG864" s="59"/>
      <c r="DH864" s="59"/>
      <c r="DI864" s="59"/>
      <c r="DJ864" s="59"/>
      <c r="DK864" s="59"/>
      <c r="DL864" s="59"/>
      <c r="DM864" s="59"/>
      <c r="DN864" s="59"/>
      <c r="DO864" s="59"/>
      <c r="DP864" s="59"/>
      <c r="DQ864" s="59"/>
      <c r="DR864" s="59"/>
      <c r="DS864" s="59"/>
      <c r="DT864" s="59"/>
      <c r="DU864" s="59"/>
      <c r="DV864" s="59"/>
      <c r="DW864" s="59"/>
      <c r="DX864" s="59"/>
      <c r="DY864" s="59"/>
      <c r="DZ864" s="59"/>
      <c r="EA864" s="59"/>
      <c r="EB864" s="59"/>
      <c r="EC864" s="59"/>
      <c r="ED864" s="59"/>
      <c r="EE864" s="59"/>
      <c r="EF864" s="59"/>
      <c r="EG864" s="59"/>
      <c r="EH864" s="59"/>
      <c r="EI864" s="59"/>
      <c r="EJ864" s="59"/>
      <c r="EK864" s="59"/>
      <c r="EL864" s="59"/>
      <c r="EM864" s="59"/>
      <c r="EN864" s="59"/>
      <c r="EO864" s="59"/>
      <c r="EP864" s="59"/>
      <c r="EQ864" s="59"/>
      <c r="ER864" s="59"/>
      <c r="ES864" s="59"/>
      <c r="ET864" s="59"/>
      <c r="EU864" s="59"/>
      <c r="EV864" s="59"/>
      <c r="EW864" s="59"/>
      <c r="EX864" s="59"/>
      <c r="EY864" s="59"/>
      <c r="EZ864" s="59"/>
      <c r="FA864" s="59"/>
      <c r="FB864" s="59"/>
      <c r="FC864" s="59"/>
      <c r="FD864" s="59"/>
      <c r="FE864" s="59"/>
      <c r="FF864" s="59"/>
      <c r="FG864" s="59"/>
      <c r="FH864" s="59"/>
      <c r="FI864" s="59"/>
      <c r="FJ864" s="59"/>
      <c r="FK864" s="59"/>
      <c r="FL864" s="59"/>
      <c r="FM864" s="59"/>
      <c r="FN864" s="59"/>
      <c r="FO864" s="59"/>
      <c r="FP864" s="59"/>
      <c r="FQ864" s="59"/>
      <c r="FR864" s="59"/>
      <c r="FS864" s="59"/>
      <c r="FT864" s="59"/>
      <c r="FU864" s="59"/>
      <c r="FV864" s="59"/>
      <c r="FW864" s="59"/>
      <c r="FX864" s="59"/>
      <c r="FY864" s="59"/>
      <c r="FZ864" s="59"/>
      <c r="GA864" s="59"/>
      <c r="GB864" s="59"/>
      <c r="GC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  <c r="BV865" s="59"/>
      <c r="BW865" s="59"/>
      <c r="BX865" s="59"/>
      <c r="BY865" s="59"/>
      <c r="BZ865" s="59"/>
      <c r="CA865" s="59"/>
      <c r="CB865" s="59"/>
      <c r="CC865" s="59"/>
      <c r="CD865" s="59"/>
      <c r="CE865" s="59"/>
      <c r="CF865" s="59"/>
      <c r="CG865" s="59"/>
      <c r="CH865" s="59"/>
      <c r="CI865" s="59"/>
      <c r="CJ865" s="59"/>
      <c r="CK865" s="59"/>
      <c r="CL865" s="59"/>
      <c r="CM865" s="59"/>
      <c r="CN865" s="59"/>
      <c r="CO865" s="59"/>
      <c r="CP865" s="59"/>
      <c r="CQ865" s="59"/>
      <c r="CR865" s="59"/>
      <c r="CS865" s="59"/>
      <c r="CT865" s="59"/>
      <c r="CU865" s="59"/>
      <c r="CV865" s="59"/>
      <c r="CW865" s="59"/>
      <c r="CX865" s="59"/>
      <c r="CY865" s="59"/>
      <c r="CZ865" s="59"/>
      <c r="DA865" s="59"/>
      <c r="DB865" s="59"/>
      <c r="DC865" s="59"/>
      <c r="DD865" s="59"/>
      <c r="DE865" s="59"/>
      <c r="DF865" s="59"/>
      <c r="DG865" s="59"/>
      <c r="DH865" s="59"/>
      <c r="DI865" s="59"/>
      <c r="DJ865" s="59"/>
      <c r="DK865" s="59"/>
      <c r="DL865" s="59"/>
      <c r="DM865" s="59"/>
      <c r="DN865" s="59"/>
      <c r="DO865" s="59"/>
      <c r="DP865" s="59"/>
      <c r="DQ865" s="59"/>
      <c r="DR865" s="59"/>
      <c r="DS865" s="59"/>
      <c r="DT865" s="59"/>
      <c r="DU865" s="59"/>
      <c r="DV865" s="59"/>
      <c r="DW865" s="59"/>
      <c r="DX865" s="59"/>
      <c r="DY865" s="59"/>
      <c r="DZ865" s="59"/>
      <c r="EA865" s="59"/>
      <c r="EB865" s="59"/>
      <c r="EC865" s="59"/>
      <c r="ED865" s="59"/>
      <c r="EE865" s="59"/>
      <c r="EF865" s="59"/>
      <c r="EG865" s="59"/>
      <c r="EH865" s="59"/>
      <c r="EI865" s="59"/>
      <c r="EJ865" s="59"/>
      <c r="EK865" s="59"/>
      <c r="EL865" s="59"/>
      <c r="EM865" s="59"/>
      <c r="EN865" s="59"/>
      <c r="EO865" s="59"/>
      <c r="EP865" s="59"/>
      <c r="EQ865" s="59"/>
      <c r="ER865" s="59"/>
      <c r="ES865" s="59"/>
      <c r="ET865" s="59"/>
      <c r="EU865" s="59"/>
      <c r="EV865" s="59"/>
      <c r="EW865" s="59"/>
      <c r="EX865" s="59"/>
      <c r="EY865" s="59"/>
      <c r="EZ865" s="59"/>
      <c r="FA865" s="59"/>
      <c r="FB865" s="59"/>
      <c r="FC865" s="59"/>
      <c r="FD865" s="59"/>
      <c r="FE865" s="59"/>
      <c r="FF865" s="59"/>
      <c r="FG865" s="59"/>
      <c r="FH865" s="59"/>
      <c r="FI865" s="59"/>
      <c r="FJ865" s="59"/>
      <c r="FK865" s="59"/>
      <c r="FL865" s="59"/>
      <c r="FM865" s="59"/>
      <c r="FN865" s="59"/>
      <c r="FO865" s="59"/>
      <c r="FP865" s="59"/>
      <c r="FQ865" s="59"/>
      <c r="FR865" s="59"/>
      <c r="FS865" s="59"/>
      <c r="FT865" s="59"/>
      <c r="FU865" s="59"/>
      <c r="FV865" s="59"/>
      <c r="FW865" s="59"/>
      <c r="FX865" s="59"/>
      <c r="FY865" s="59"/>
      <c r="FZ865" s="59"/>
      <c r="GA865" s="59"/>
      <c r="GB865" s="59"/>
      <c r="GC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  <c r="BW866" s="59"/>
      <c r="BX866" s="59"/>
      <c r="BY866" s="59"/>
      <c r="BZ866" s="59"/>
      <c r="CA866" s="59"/>
      <c r="CB866" s="59"/>
      <c r="CC866" s="59"/>
      <c r="CD866" s="59"/>
      <c r="CE866" s="59"/>
      <c r="CF866" s="59"/>
      <c r="CG866" s="59"/>
      <c r="CH866" s="59"/>
      <c r="CI866" s="59"/>
      <c r="CJ866" s="59"/>
      <c r="CK866" s="59"/>
      <c r="CL866" s="59"/>
      <c r="CM866" s="59"/>
      <c r="CN866" s="59"/>
      <c r="CO866" s="59"/>
      <c r="CP866" s="59"/>
      <c r="CQ866" s="59"/>
      <c r="CR866" s="59"/>
      <c r="CS866" s="59"/>
      <c r="CT866" s="59"/>
      <c r="CU866" s="59"/>
      <c r="CV866" s="59"/>
      <c r="CW866" s="59"/>
      <c r="CX866" s="59"/>
      <c r="CY866" s="59"/>
      <c r="CZ866" s="59"/>
      <c r="DA866" s="59"/>
      <c r="DB866" s="59"/>
      <c r="DC866" s="59"/>
      <c r="DD866" s="59"/>
      <c r="DE866" s="59"/>
      <c r="DF866" s="59"/>
      <c r="DG866" s="59"/>
      <c r="DH866" s="59"/>
      <c r="DI866" s="59"/>
      <c r="DJ866" s="59"/>
      <c r="DK866" s="59"/>
      <c r="DL866" s="59"/>
      <c r="DM866" s="59"/>
      <c r="DN866" s="59"/>
      <c r="DO866" s="59"/>
      <c r="DP866" s="59"/>
      <c r="DQ866" s="59"/>
      <c r="DR866" s="59"/>
      <c r="DS866" s="59"/>
      <c r="DT866" s="59"/>
      <c r="DU866" s="59"/>
      <c r="DV866" s="59"/>
      <c r="DW866" s="59"/>
      <c r="DX866" s="59"/>
      <c r="DY866" s="59"/>
      <c r="DZ866" s="59"/>
      <c r="EA866" s="59"/>
      <c r="EB866" s="59"/>
      <c r="EC866" s="59"/>
      <c r="ED866" s="59"/>
      <c r="EE866" s="59"/>
      <c r="EF866" s="59"/>
      <c r="EG866" s="59"/>
      <c r="EH866" s="59"/>
      <c r="EI866" s="59"/>
      <c r="EJ866" s="59"/>
      <c r="EK866" s="59"/>
      <c r="EL866" s="59"/>
      <c r="EM866" s="59"/>
      <c r="EN866" s="59"/>
      <c r="EO866" s="59"/>
      <c r="EP866" s="59"/>
      <c r="EQ866" s="59"/>
      <c r="ER866" s="59"/>
      <c r="ES866" s="59"/>
      <c r="ET866" s="59"/>
      <c r="EU866" s="59"/>
      <c r="EV866" s="59"/>
      <c r="EW866" s="59"/>
      <c r="EX866" s="59"/>
      <c r="EY866" s="59"/>
      <c r="EZ866" s="59"/>
      <c r="FA866" s="59"/>
      <c r="FB866" s="59"/>
      <c r="FC866" s="59"/>
      <c r="FD866" s="59"/>
      <c r="FE866" s="59"/>
      <c r="FF866" s="59"/>
      <c r="FG866" s="59"/>
      <c r="FH866" s="59"/>
      <c r="FI866" s="59"/>
      <c r="FJ866" s="59"/>
      <c r="FK866" s="59"/>
      <c r="FL866" s="59"/>
      <c r="FM866" s="59"/>
      <c r="FN866" s="59"/>
      <c r="FO866" s="59"/>
      <c r="FP866" s="59"/>
      <c r="FQ866" s="59"/>
      <c r="FR866" s="59"/>
      <c r="FS866" s="59"/>
      <c r="FT866" s="59"/>
      <c r="FU866" s="59"/>
      <c r="FV866" s="59"/>
      <c r="FW866" s="59"/>
      <c r="FX866" s="59"/>
      <c r="FY866" s="59"/>
      <c r="FZ866" s="59"/>
      <c r="GA866" s="59"/>
      <c r="GB866" s="59"/>
      <c r="GC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  <c r="BW867" s="59"/>
      <c r="BX867" s="59"/>
      <c r="BY867" s="59"/>
      <c r="BZ867" s="59"/>
      <c r="CA867" s="59"/>
      <c r="CB867" s="59"/>
      <c r="CC867" s="59"/>
      <c r="CD867" s="59"/>
      <c r="CE867" s="59"/>
      <c r="CF867" s="59"/>
      <c r="CG867" s="59"/>
      <c r="CH867" s="59"/>
      <c r="CI867" s="59"/>
      <c r="CJ867" s="59"/>
      <c r="CK867" s="59"/>
      <c r="CL867" s="59"/>
      <c r="CM867" s="59"/>
      <c r="CN867" s="59"/>
      <c r="CO867" s="59"/>
      <c r="CP867" s="59"/>
      <c r="CQ867" s="59"/>
      <c r="CR867" s="59"/>
      <c r="CS867" s="59"/>
      <c r="CT867" s="59"/>
      <c r="CU867" s="59"/>
      <c r="CV867" s="59"/>
      <c r="CW867" s="59"/>
      <c r="CX867" s="59"/>
      <c r="CY867" s="59"/>
      <c r="CZ867" s="59"/>
      <c r="DA867" s="59"/>
      <c r="DB867" s="59"/>
      <c r="DC867" s="59"/>
      <c r="DD867" s="59"/>
      <c r="DE867" s="59"/>
      <c r="DF867" s="59"/>
      <c r="DG867" s="59"/>
      <c r="DH867" s="59"/>
      <c r="DI867" s="59"/>
      <c r="DJ867" s="59"/>
      <c r="DK867" s="59"/>
      <c r="DL867" s="59"/>
      <c r="DM867" s="59"/>
      <c r="DN867" s="59"/>
      <c r="DO867" s="59"/>
      <c r="DP867" s="59"/>
      <c r="DQ867" s="59"/>
      <c r="DR867" s="59"/>
      <c r="DS867" s="59"/>
      <c r="DT867" s="59"/>
      <c r="DU867" s="59"/>
      <c r="DV867" s="59"/>
      <c r="DW867" s="59"/>
      <c r="DX867" s="59"/>
      <c r="DY867" s="59"/>
      <c r="DZ867" s="59"/>
      <c r="EA867" s="59"/>
      <c r="EB867" s="59"/>
      <c r="EC867" s="59"/>
      <c r="ED867" s="59"/>
      <c r="EE867" s="59"/>
      <c r="EF867" s="59"/>
      <c r="EG867" s="59"/>
      <c r="EH867" s="59"/>
      <c r="EI867" s="59"/>
      <c r="EJ867" s="59"/>
      <c r="EK867" s="59"/>
      <c r="EL867" s="59"/>
      <c r="EM867" s="59"/>
      <c r="EN867" s="59"/>
      <c r="EO867" s="59"/>
      <c r="EP867" s="59"/>
      <c r="EQ867" s="59"/>
      <c r="ER867" s="59"/>
      <c r="ES867" s="59"/>
      <c r="ET867" s="59"/>
      <c r="EU867" s="59"/>
      <c r="EV867" s="59"/>
      <c r="EW867" s="59"/>
      <c r="EX867" s="59"/>
      <c r="EY867" s="59"/>
      <c r="EZ867" s="59"/>
      <c r="FA867" s="59"/>
      <c r="FB867" s="59"/>
      <c r="FC867" s="59"/>
      <c r="FD867" s="59"/>
      <c r="FE867" s="59"/>
      <c r="FF867" s="59"/>
      <c r="FG867" s="59"/>
      <c r="FH867" s="59"/>
      <c r="FI867" s="59"/>
      <c r="FJ867" s="59"/>
      <c r="FK867" s="59"/>
      <c r="FL867" s="59"/>
      <c r="FM867" s="59"/>
      <c r="FN867" s="59"/>
      <c r="FO867" s="59"/>
      <c r="FP867" s="59"/>
      <c r="FQ867" s="59"/>
      <c r="FR867" s="59"/>
      <c r="FS867" s="59"/>
      <c r="FT867" s="59"/>
      <c r="FU867" s="59"/>
      <c r="FV867" s="59"/>
      <c r="FW867" s="59"/>
      <c r="FX867" s="59"/>
      <c r="FY867" s="59"/>
      <c r="FZ867" s="59"/>
      <c r="GA867" s="59"/>
      <c r="GB867" s="59"/>
      <c r="GC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  <c r="BV868" s="59"/>
      <c r="BW868" s="59"/>
      <c r="BX868" s="59"/>
      <c r="BY868" s="59"/>
      <c r="BZ868" s="59"/>
      <c r="CA868" s="59"/>
      <c r="CB868" s="59"/>
      <c r="CC868" s="59"/>
      <c r="CD868" s="59"/>
      <c r="CE868" s="59"/>
      <c r="CF868" s="59"/>
      <c r="CG868" s="59"/>
      <c r="CH868" s="59"/>
      <c r="CI868" s="59"/>
      <c r="CJ868" s="59"/>
      <c r="CK868" s="59"/>
      <c r="CL868" s="59"/>
      <c r="CM868" s="59"/>
      <c r="CN868" s="59"/>
      <c r="CO868" s="59"/>
      <c r="CP868" s="59"/>
      <c r="CQ868" s="59"/>
      <c r="CR868" s="59"/>
      <c r="CS868" s="59"/>
      <c r="CT868" s="59"/>
      <c r="CU868" s="59"/>
      <c r="CV868" s="59"/>
      <c r="CW868" s="59"/>
      <c r="CX868" s="59"/>
      <c r="CY868" s="59"/>
      <c r="CZ868" s="59"/>
      <c r="DA868" s="59"/>
      <c r="DB868" s="59"/>
      <c r="DC868" s="59"/>
      <c r="DD868" s="59"/>
      <c r="DE868" s="59"/>
      <c r="DF868" s="59"/>
      <c r="DG868" s="59"/>
      <c r="DH868" s="59"/>
      <c r="DI868" s="59"/>
      <c r="DJ868" s="59"/>
      <c r="DK868" s="59"/>
      <c r="DL868" s="59"/>
      <c r="DM868" s="59"/>
      <c r="DN868" s="59"/>
      <c r="DO868" s="59"/>
      <c r="DP868" s="59"/>
      <c r="DQ868" s="59"/>
      <c r="DR868" s="59"/>
      <c r="DS868" s="59"/>
      <c r="DT868" s="59"/>
      <c r="DU868" s="59"/>
      <c r="DV868" s="59"/>
      <c r="DW868" s="59"/>
      <c r="DX868" s="59"/>
      <c r="DY868" s="59"/>
      <c r="DZ868" s="59"/>
      <c r="EA868" s="59"/>
      <c r="EB868" s="59"/>
      <c r="EC868" s="59"/>
      <c r="ED868" s="59"/>
      <c r="EE868" s="59"/>
      <c r="EF868" s="59"/>
      <c r="EG868" s="59"/>
      <c r="EH868" s="59"/>
      <c r="EI868" s="59"/>
      <c r="EJ868" s="59"/>
      <c r="EK868" s="59"/>
      <c r="EL868" s="59"/>
      <c r="EM868" s="59"/>
      <c r="EN868" s="59"/>
      <c r="EO868" s="59"/>
      <c r="EP868" s="59"/>
      <c r="EQ868" s="59"/>
      <c r="ER868" s="59"/>
      <c r="ES868" s="59"/>
      <c r="ET868" s="59"/>
      <c r="EU868" s="59"/>
      <c r="EV868" s="59"/>
      <c r="EW868" s="59"/>
      <c r="EX868" s="59"/>
      <c r="EY868" s="59"/>
      <c r="EZ868" s="59"/>
      <c r="FA868" s="59"/>
      <c r="FB868" s="59"/>
      <c r="FC868" s="59"/>
      <c r="FD868" s="59"/>
      <c r="FE868" s="59"/>
      <c r="FF868" s="59"/>
      <c r="FG868" s="59"/>
      <c r="FH868" s="59"/>
      <c r="FI868" s="59"/>
      <c r="FJ868" s="59"/>
      <c r="FK868" s="59"/>
      <c r="FL868" s="59"/>
      <c r="FM868" s="59"/>
      <c r="FN868" s="59"/>
      <c r="FO868" s="59"/>
      <c r="FP868" s="59"/>
      <c r="FQ868" s="59"/>
      <c r="FR868" s="59"/>
      <c r="FS868" s="59"/>
      <c r="FT868" s="59"/>
      <c r="FU868" s="59"/>
      <c r="FV868" s="59"/>
      <c r="FW868" s="59"/>
      <c r="FX868" s="59"/>
      <c r="FY868" s="59"/>
      <c r="FZ868" s="59"/>
      <c r="GA868" s="59"/>
      <c r="GB868" s="59"/>
      <c r="GC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  <c r="BV869" s="59"/>
      <c r="BW869" s="59"/>
      <c r="BX869" s="59"/>
      <c r="BY869" s="59"/>
      <c r="BZ869" s="59"/>
      <c r="CA869" s="59"/>
      <c r="CB869" s="59"/>
      <c r="CC869" s="59"/>
      <c r="CD869" s="59"/>
      <c r="CE869" s="59"/>
      <c r="CF869" s="59"/>
      <c r="CG869" s="59"/>
      <c r="CH869" s="59"/>
      <c r="CI869" s="59"/>
      <c r="CJ869" s="59"/>
      <c r="CK869" s="59"/>
      <c r="CL869" s="59"/>
      <c r="CM869" s="59"/>
      <c r="CN869" s="59"/>
      <c r="CO869" s="59"/>
      <c r="CP869" s="59"/>
      <c r="CQ869" s="59"/>
      <c r="CR869" s="59"/>
      <c r="CS869" s="59"/>
      <c r="CT869" s="59"/>
      <c r="CU869" s="59"/>
      <c r="CV869" s="59"/>
      <c r="CW869" s="59"/>
      <c r="CX869" s="59"/>
      <c r="CY869" s="59"/>
      <c r="CZ869" s="59"/>
      <c r="DA869" s="59"/>
      <c r="DB869" s="59"/>
      <c r="DC869" s="59"/>
      <c r="DD869" s="59"/>
      <c r="DE869" s="59"/>
      <c r="DF869" s="59"/>
      <c r="DG869" s="59"/>
      <c r="DH869" s="59"/>
      <c r="DI869" s="59"/>
      <c r="DJ869" s="59"/>
      <c r="DK869" s="59"/>
      <c r="DL869" s="59"/>
      <c r="DM869" s="59"/>
      <c r="DN869" s="59"/>
      <c r="DO869" s="59"/>
      <c r="DP869" s="59"/>
      <c r="DQ869" s="59"/>
      <c r="DR869" s="59"/>
      <c r="DS869" s="59"/>
      <c r="DT869" s="59"/>
      <c r="DU869" s="59"/>
      <c r="DV869" s="59"/>
      <c r="DW869" s="59"/>
      <c r="DX869" s="59"/>
      <c r="DY869" s="59"/>
      <c r="DZ869" s="59"/>
      <c r="EA869" s="59"/>
      <c r="EB869" s="59"/>
      <c r="EC869" s="59"/>
      <c r="ED869" s="59"/>
      <c r="EE869" s="59"/>
      <c r="EF869" s="59"/>
      <c r="EG869" s="59"/>
      <c r="EH869" s="59"/>
      <c r="EI869" s="59"/>
      <c r="EJ869" s="59"/>
      <c r="EK869" s="59"/>
      <c r="EL869" s="59"/>
      <c r="EM869" s="59"/>
      <c r="EN869" s="59"/>
      <c r="EO869" s="59"/>
      <c r="EP869" s="59"/>
      <c r="EQ869" s="59"/>
      <c r="ER869" s="59"/>
      <c r="ES869" s="59"/>
      <c r="ET869" s="59"/>
      <c r="EU869" s="59"/>
      <c r="EV869" s="59"/>
      <c r="EW869" s="59"/>
      <c r="EX869" s="59"/>
      <c r="EY869" s="59"/>
      <c r="EZ869" s="59"/>
      <c r="FA869" s="59"/>
      <c r="FB869" s="59"/>
      <c r="FC869" s="59"/>
      <c r="FD869" s="59"/>
      <c r="FE869" s="59"/>
      <c r="FF869" s="59"/>
      <c r="FG869" s="59"/>
      <c r="FH869" s="59"/>
      <c r="FI869" s="59"/>
      <c r="FJ869" s="59"/>
      <c r="FK869" s="59"/>
      <c r="FL869" s="59"/>
      <c r="FM869" s="59"/>
      <c r="FN869" s="59"/>
      <c r="FO869" s="59"/>
      <c r="FP869" s="59"/>
      <c r="FQ869" s="59"/>
      <c r="FR869" s="59"/>
      <c r="FS869" s="59"/>
      <c r="FT869" s="59"/>
      <c r="FU869" s="59"/>
      <c r="FV869" s="59"/>
      <c r="FW869" s="59"/>
      <c r="FX869" s="59"/>
      <c r="FY869" s="59"/>
      <c r="FZ869" s="59"/>
      <c r="GA869" s="59"/>
      <c r="GB869" s="59"/>
      <c r="GC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59"/>
      <c r="BX870" s="59"/>
      <c r="BY870" s="59"/>
      <c r="BZ870" s="59"/>
      <c r="CA870" s="59"/>
      <c r="CB870" s="59"/>
      <c r="CC870" s="59"/>
      <c r="CD870" s="59"/>
      <c r="CE870" s="59"/>
      <c r="CF870" s="59"/>
      <c r="CG870" s="59"/>
      <c r="CH870" s="59"/>
      <c r="CI870" s="59"/>
      <c r="CJ870" s="59"/>
      <c r="CK870" s="59"/>
      <c r="CL870" s="59"/>
      <c r="CM870" s="59"/>
      <c r="CN870" s="59"/>
      <c r="CO870" s="59"/>
      <c r="CP870" s="59"/>
      <c r="CQ870" s="59"/>
      <c r="CR870" s="59"/>
      <c r="CS870" s="59"/>
      <c r="CT870" s="59"/>
      <c r="CU870" s="59"/>
      <c r="CV870" s="59"/>
      <c r="CW870" s="59"/>
      <c r="CX870" s="59"/>
      <c r="CY870" s="59"/>
      <c r="CZ870" s="59"/>
      <c r="DA870" s="59"/>
      <c r="DB870" s="59"/>
      <c r="DC870" s="59"/>
      <c r="DD870" s="59"/>
      <c r="DE870" s="59"/>
      <c r="DF870" s="59"/>
      <c r="DG870" s="59"/>
      <c r="DH870" s="59"/>
      <c r="DI870" s="59"/>
      <c r="DJ870" s="59"/>
      <c r="DK870" s="59"/>
      <c r="DL870" s="59"/>
      <c r="DM870" s="59"/>
      <c r="DN870" s="59"/>
      <c r="DO870" s="59"/>
      <c r="DP870" s="59"/>
      <c r="DQ870" s="59"/>
      <c r="DR870" s="59"/>
      <c r="DS870" s="59"/>
      <c r="DT870" s="59"/>
      <c r="DU870" s="59"/>
      <c r="DV870" s="59"/>
      <c r="DW870" s="59"/>
      <c r="DX870" s="59"/>
      <c r="DY870" s="59"/>
      <c r="DZ870" s="59"/>
      <c r="EA870" s="59"/>
      <c r="EB870" s="59"/>
      <c r="EC870" s="59"/>
      <c r="ED870" s="59"/>
      <c r="EE870" s="59"/>
      <c r="EF870" s="59"/>
      <c r="EG870" s="59"/>
      <c r="EH870" s="59"/>
      <c r="EI870" s="59"/>
      <c r="EJ870" s="59"/>
      <c r="EK870" s="59"/>
      <c r="EL870" s="59"/>
      <c r="EM870" s="59"/>
      <c r="EN870" s="59"/>
      <c r="EO870" s="59"/>
      <c r="EP870" s="59"/>
      <c r="EQ870" s="59"/>
      <c r="ER870" s="59"/>
      <c r="ES870" s="59"/>
      <c r="ET870" s="59"/>
      <c r="EU870" s="59"/>
      <c r="EV870" s="59"/>
      <c r="EW870" s="59"/>
      <c r="EX870" s="59"/>
      <c r="EY870" s="59"/>
      <c r="EZ870" s="59"/>
      <c r="FA870" s="59"/>
      <c r="FB870" s="59"/>
      <c r="FC870" s="59"/>
      <c r="FD870" s="59"/>
      <c r="FE870" s="59"/>
      <c r="FF870" s="59"/>
      <c r="FG870" s="59"/>
      <c r="FH870" s="59"/>
      <c r="FI870" s="59"/>
      <c r="FJ870" s="59"/>
      <c r="FK870" s="59"/>
      <c r="FL870" s="59"/>
      <c r="FM870" s="59"/>
      <c r="FN870" s="59"/>
      <c r="FO870" s="59"/>
      <c r="FP870" s="59"/>
      <c r="FQ870" s="59"/>
      <c r="FR870" s="59"/>
      <c r="FS870" s="59"/>
      <c r="FT870" s="59"/>
      <c r="FU870" s="59"/>
      <c r="FV870" s="59"/>
      <c r="FW870" s="59"/>
      <c r="FX870" s="59"/>
      <c r="FY870" s="59"/>
      <c r="FZ870" s="59"/>
      <c r="GA870" s="59"/>
      <c r="GB870" s="59"/>
      <c r="GC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  <c r="BV871" s="59"/>
      <c r="BW871" s="59"/>
      <c r="BX871" s="59"/>
      <c r="BY871" s="59"/>
      <c r="BZ871" s="59"/>
      <c r="CA871" s="59"/>
      <c r="CB871" s="59"/>
      <c r="CC871" s="59"/>
      <c r="CD871" s="59"/>
      <c r="CE871" s="59"/>
      <c r="CF871" s="59"/>
      <c r="CG871" s="59"/>
      <c r="CH871" s="59"/>
      <c r="CI871" s="59"/>
      <c r="CJ871" s="59"/>
      <c r="CK871" s="59"/>
      <c r="CL871" s="59"/>
      <c r="CM871" s="59"/>
      <c r="CN871" s="59"/>
      <c r="CO871" s="59"/>
      <c r="CP871" s="59"/>
      <c r="CQ871" s="59"/>
      <c r="CR871" s="59"/>
      <c r="CS871" s="59"/>
      <c r="CT871" s="59"/>
      <c r="CU871" s="59"/>
      <c r="CV871" s="59"/>
      <c r="CW871" s="59"/>
      <c r="CX871" s="59"/>
      <c r="CY871" s="59"/>
      <c r="CZ871" s="59"/>
      <c r="DA871" s="59"/>
      <c r="DB871" s="59"/>
      <c r="DC871" s="59"/>
      <c r="DD871" s="59"/>
      <c r="DE871" s="59"/>
      <c r="DF871" s="59"/>
      <c r="DG871" s="59"/>
      <c r="DH871" s="59"/>
      <c r="DI871" s="59"/>
      <c r="DJ871" s="59"/>
      <c r="DK871" s="59"/>
      <c r="DL871" s="59"/>
      <c r="DM871" s="59"/>
      <c r="DN871" s="59"/>
      <c r="DO871" s="59"/>
      <c r="DP871" s="59"/>
      <c r="DQ871" s="59"/>
      <c r="DR871" s="59"/>
      <c r="DS871" s="59"/>
      <c r="DT871" s="59"/>
      <c r="DU871" s="59"/>
      <c r="DV871" s="59"/>
      <c r="DW871" s="59"/>
      <c r="DX871" s="59"/>
      <c r="DY871" s="59"/>
      <c r="DZ871" s="59"/>
      <c r="EA871" s="59"/>
      <c r="EB871" s="59"/>
      <c r="EC871" s="59"/>
      <c r="ED871" s="59"/>
      <c r="EE871" s="59"/>
      <c r="EF871" s="59"/>
      <c r="EG871" s="59"/>
      <c r="EH871" s="59"/>
      <c r="EI871" s="59"/>
      <c r="EJ871" s="59"/>
      <c r="EK871" s="59"/>
      <c r="EL871" s="59"/>
      <c r="EM871" s="59"/>
      <c r="EN871" s="59"/>
      <c r="EO871" s="59"/>
      <c r="EP871" s="59"/>
      <c r="EQ871" s="59"/>
      <c r="ER871" s="59"/>
      <c r="ES871" s="59"/>
      <c r="ET871" s="59"/>
      <c r="EU871" s="59"/>
      <c r="EV871" s="59"/>
      <c r="EW871" s="59"/>
      <c r="EX871" s="59"/>
      <c r="EY871" s="59"/>
      <c r="EZ871" s="59"/>
      <c r="FA871" s="59"/>
      <c r="FB871" s="59"/>
      <c r="FC871" s="59"/>
      <c r="FD871" s="59"/>
      <c r="FE871" s="59"/>
      <c r="FF871" s="59"/>
      <c r="FG871" s="59"/>
      <c r="FH871" s="59"/>
      <c r="FI871" s="59"/>
      <c r="FJ871" s="59"/>
      <c r="FK871" s="59"/>
      <c r="FL871" s="59"/>
      <c r="FM871" s="59"/>
      <c r="FN871" s="59"/>
      <c r="FO871" s="59"/>
      <c r="FP871" s="59"/>
      <c r="FQ871" s="59"/>
      <c r="FR871" s="59"/>
      <c r="FS871" s="59"/>
      <c r="FT871" s="59"/>
      <c r="FU871" s="59"/>
      <c r="FV871" s="59"/>
      <c r="FW871" s="59"/>
      <c r="FX871" s="59"/>
      <c r="FY871" s="59"/>
      <c r="FZ871" s="59"/>
      <c r="GA871" s="59"/>
      <c r="GB871" s="59"/>
      <c r="GC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  <c r="BW872" s="59"/>
      <c r="BX872" s="59"/>
      <c r="BY872" s="59"/>
      <c r="BZ872" s="59"/>
      <c r="CA872" s="59"/>
      <c r="CB872" s="59"/>
      <c r="CC872" s="59"/>
      <c r="CD872" s="59"/>
      <c r="CE872" s="59"/>
      <c r="CF872" s="59"/>
      <c r="CG872" s="59"/>
      <c r="CH872" s="59"/>
      <c r="CI872" s="59"/>
      <c r="CJ872" s="59"/>
      <c r="CK872" s="59"/>
      <c r="CL872" s="59"/>
      <c r="CM872" s="59"/>
      <c r="CN872" s="59"/>
      <c r="CO872" s="59"/>
      <c r="CP872" s="59"/>
      <c r="CQ872" s="59"/>
      <c r="CR872" s="59"/>
      <c r="CS872" s="59"/>
      <c r="CT872" s="59"/>
      <c r="CU872" s="59"/>
      <c r="CV872" s="59"/>
      <c r="CW872" s="59"/>
      <c r="CX872" s="59"/>
      <c r="CY872" s="59"/>
      <c r="CZ872" s="59"/>
      <c r="DA872" s="59"/>
      <c r="DB872" s="59"/>
      <c r="DC872" s="59"/>
      <c r="DD872" s="59"/>
      <c r="DE872" s="59"/>
      <c r="DF872" s="59"/>
      <c r="DG872" s="59"/>
      <c r="DH872" s="59"/>
      <c r="DI872" s="59"/>
      <c r="DJ872" s="59"/>
      <c r="DK872" s="59"/>
      <c r="DL872" s="59"/>
      <c r="DM872" s="59"/>
      <c r="DN872" s="59"/>
      <c r="DO872" s="59"/>
      <c r="DP872" s="59"/>
      <c r="DQ872" s="59"/>
      <c r="DR872" s="59"/>
      <c r="DS872" s="59"/>
      <c r="DT872" s="59"/>
      <c r="DU872" s="59"/>
      <c r="DV872" s="59"/>
      <c r="DW872" s="59"/>
      <c r="DX872" s="59"/>
      <c r="DY872" s="59"/>
      <c r="DZ872" s="59"/>
      <c r="EA872" s="59"/>
      <c r="EB872" s="59"/>
      <c r="EC872" s="59"/>
      <c r="ED872" s="59"/>
      <c r="EE872" s="59"/>
      <c r="EF872" s="59"/>
      <c r="EG872" s="59"/>
      <c r="EH872" s="59"/>
      <c r="EI872" s="59"/>
      <c r="EJ872" s="59"/>
      <c r="EK872" s="59"/>
      <c r="EL872" s="59"/>
      <c r="EM872" s="59"/>
      <c r="EN872" s="59"/>
      <c r="EO872" s="59"/>
      <c r="EP872" s="59"/>
      <c r="EQ872" s="59"/>
      <c r="ER872" s="59"/>
      <c r="ES872" s="59"/>
      <c r="ET872" s="59"/>
      <c r="EU872" s="59"/>
      <c r="EV872" s="59"/>
      <c r="EW872" s="59"/>
      <c r="EX872" s="59"/>
      <c r="EY872" s="59"/>
      <c r="EZ872" s="59"/>
      <c r="FA872" s="59"/>
      <c r="FB872" s="59"/>
      <c r="FC872" s="59"/>
      <c r="FD872" s="59"/>
      <c r="FE872" s="59"/>
      <c r="FF872" s="59"/>
      <c r="FG872" s="59"/>
      <c r="FH872" s="59"/>
      <c r="FI872" s="59"/>
      <c r="FJ872" s="59"/>
      <c r="FK872" s="59"/>
      <c r="FL872" s="59"/>
      <c r="FM872" s="59"/>
      <c r="FN872" s="59"/>
      <c r="FO872" s="59"/>
      <c r="FP872" s="59"/>
      <c r="FQ872" s="59"/>
      <c r="FR872" s="59"/>
      <c r="FS872" s="59"/>
      <c r="FT872" s="59"/>
      <c r="FU872" s="59"/>
      <c r="FV872" s="59"/>
      <c r="FW872" s="59"/>
      <c r="FX872" s="59"/>
      <c r="FY872" s="59"/>
      <c r="FZ872" s="59"/>
      <c r="GA872" s="59"/>
      <c r="GB872" s="59"/>
      <c r="GC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  <c r="BW873" s="59"/>
      <c r="BX873" s="59"/>
      <c r="BY873" s="59"/>
      <c r="BZ873" s="59"/>
      <c r="CA873" s="59"/>
      <c r="CB873" s="59"/>
      <c r="CC873" s="59"/>
      <c r="CD873" s="59"/>
      <c r="CE873" s="59"/>
      <c r="CF873" s="59"/>
      <c r="CG873" s="59"/>
      <c r="CH873" s="59"/>
      <c r="CI873" s="59"/>
      <c r="CJ873" s="59"/>
      <c r="CK873" s="59"/>
      <c r="CL873" s="59"/>
      <c r="CM873" s="59"/>
      <c r="CN873" s="59"/>
      <c r="CO873" s="59"/>
      <c r="CP873" s="59"/>
      <c r="CQ873" s="59"/>
      <c r="CR873" s="59"/>
      <c r="CS873" s="59"/>
      <c r="CT873" s="59"/>
      <c r="CU873" s="59"/>
      <c r="CV873" s="59"/>
      <c r="CW873" s="59"/>
      <c r="CX873" s="59"/>
      <c r="CY873" s="59"/>
      <c r="CZ873" s="59"/>
      <c r="DA873" s="59"/>
      <c r="DB873" s="59"/>
      <c r="DC873" s="59"/>
      <c r="DD873" s="59"/>
      <c r="DE873" s="59"/>
      <c r="DF873" s="59"/>
      <c r="DG873" s="59"/>
      <c r="DH873" s="59"/>
      <c r="DI873" s="59"/>
      <c r="DJ873" s="59"/>
      <c r="DK873" s="59"/>
      <c r="DL873" s="59"/>
      <c r="DM873" s="59"/>
      <c r="DN873" s="59"/>
      <c r="DO873" s="59"/>
      <c r="DP873" s="59"/>
      <c r="DQ873" s="59"/>
      <c r="DR873" s="59"/>
      <c r="DS873" s="59"/>
      <c r="DT873" s="59"/>
      <c r="DU873" s="59"/>
      <c r="DV873" s="59"/>
      <c r="DW873" s="59"/>
      <c r="DX873" s="59"/>
      <c r="DY873" s="59"/>
      <c r="DZ873" s="59"/>
      <c r="EA873" s="59"/>
      <c r="EB873" s="59"/>
      <c r="EC873" s="59"/>
      <c r="ED873" s="59"/>
      <c r="EE873" s="59"/>
      <c r="EF873" s="59"/>
      <c r="EG873" s="59"/>
      <c r="EH873" s="59"/>
      <c r="EI873" s="59"/>
      <c r="EJ873" s="59"/>
      <c r="EK873" s="59"/>
      <c r="EL873" s="59"/>
      <c r="EM873" s="59"/>
      <c r="EN873" s="59"/>
      <c r="EO873" s="59"/>
      <c r="EP873" s="59"/>
      <c r="EQ873" s="59"/>
      <c r="ER873" s="59"/>
      <c r="ES873" s="59"/>
      <c r="ET873" s="59"/>
      <c r="EU873" s="59"/>
      <c r="EV873" s="59"/>
      <c r="EW873" s="59"/>
      <c r="EX873" s="59"/>
      <c r="EY873" s="59"/>
      <c r="EZ873" s="59"/>
      <c r="FA873" s="59"/>
      <c r="FB873" s="59"/>
      <c r="FC873" s="59"/>
      <c r="FD873" s="59"/>
      <c r="FE873" s="59"/>
      <c r="FF873" s="59"/>
      <c r="FG873" s="59"/>
      <c r="FH873" s="59"/>
      <c r="FI873" s="59"/>
      <c r="FJ873" s="59"/>
      <c r="FK873" s="59"/>
      <c r="FL873" s="59"/>
      <c r="FM873" s="59"/>
      <c r="FN873" s="59"/>
      <c r="FO873" s="59"/>
      <c r="FP873" s="59"/>
      <c r="FQ873" s="59"/>
      <c r="FR873" s="59"/>
      <c r="FS873" s="59"/>
      <c r="FT873" s="59"/>
      <c r="FU873" s="59"/>
      <c r="FV873" s="59"/>
      <c r="FW873" s="59"/>
      <c r="FX873" s="59"/>
      <c r="FY873" s="59"/>
      <c r="FZ873" s="59"/>
      <c r="GA873" s="59"/>
      <c r="GB873" s="59"/>
      <c r="GC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  <c r="BV874" s="59"/>
      <c r="BW874" s="59"/>
      <c r="BX874" s="59"/>
      <c r="BY874" s="59"/>
      <c r="BZ874" s="59"/>
      <c r="CA874" s="59"/>
      <c r="CB874" s="59"/>
      <c r="CC874" s="59"/>
      <c r="CD874" s="59"/>
      <c r="CE874" s="59"/>
      <c r="CF874" s="59"/>
      <c r="CG874" s="59"/>
      <c r="CH874" s="59"/>
      <c r="CI874" s="59"/>
      <c r="CJ874" s="59"/>
      <c r="CK874" s="59"/>
      <c r="CL874" s="59"/>
      <c r="CM874" s="59"/>
      <c r="CN874" s="59"/>
      <c r="CO874" s="59"/>
      <c r="CP874" s="59"/>
      <c r="CQ874" s="59"/>
      <c r="CR874" s="59"/>
      <c r="CS874" s="59"/>
      <c r="CT874" s="59"/>
      <c r="CU874" s="59"/>
      <c r="CV874" s="59"/>
      <c r="CW874" s="59"/>
      <c r="CX874" s="59"/>
      <c r="CY874" s="59"/>
      <c r="CZ874" s="59"/>
      <c r="DA874" s="59"/>
      <c r="DB874" s="59"/>
      <c r="DC874" s="59"/>
      <c r="DD874" s="59"/>
      <c r="DE874" s="59"/>
      <c r="DF874" s="59"/>
      <c r="DG874" s="59"/>
      <c r="DH874" s="59"/>
      <c r="DI874" s="59"/>
      <c r="DJ874" s="59"/>
      <c r="DK874" s="59"/>
      <c r="DL874" s="59"/>
      <c r="DM874" s="59"/>
      <c r="DN874" s="59"/>
      <c r="DO874" s="59"/>
      <c r="DP874" s="59"/>
      <c r="DQ874" s="59"/>
      <c r="DR874" s="59"/>
      <c r="DS874" s="59"/>
      <c r="DT874" s="59"/>
      <c r="DU874" s="59"/>
      <c r="DV874" s="59"/>
      <c r="DW874" s="59"/>
      <c r="DX874" s="59"/>
      <c r="DY874" s="59"/>
      <c r="DZ874" s="59"/>
      <c r="EA874" s="59"/>
      <c r="EB874" s="59"/>
      <c r="EC874" s="59"/>
      <c r="ED874" s="59"/>
      <c r="EE874" s="59"/>
      <c r="EF874" s="59"/>
      <c r="EG874" s="59"/>
      <c r="EH874" s="59"/>
      <c r="EI874" s="59"/>
      <c r="EJ874" s="59"/>
      <c r="EK874" s="59"/>
      <c r="EL874" s="59"/>
      <c r="EM874" s="59"/>
      <c r="EN874" s="59"/>
      <c r="EO874" s="59"/>
      <c r="EP874" s="59"/>
      <c r="EQ874" s="59"/>
      <c r="ER874" s="59"/>
      <c r="ES874" s="59"/>
      <c r="ET874" s="59"/>
      <c r="EU874" s="59"/>
      <c r="EV874" s="59"/>
      <c r="EW874" s="59"/>
      <c r="EX874" s="59"/>
      <c r="EY874" s="59"/>
      <c r="EZ874" s="59"/>
      <c r="FA874" s="59"/>
      <c r="FB874" s="59"/>
      <c r="FC874" s="59"/>
      <c r="FD874" s="59"/>
      <c r="FE874" s="59"/>
      <c r="FF874" s="59"/>
      <c r="FG874" s="59"/>
      <c r="FH874" s="59"/>
      <c r="FI874" s="59"/>
      <c r="FJ874" s="59"/>
      <c r="FK874" s="59"/>
      <c r="FL874" s="59"/>
      <c r="FM874" s="59"/>
      <c r="FN874" s="59"/>
      <c r="FO874" s="59"/>
      <c r="FP874" s="59"/>
      <c r="FQ874" s="59"/>
      <c r="FR874" s="59"/>
      <c r="FS874" s="59"/>
      <c r="FT874" s="59"/>
      <c r="FU874" s="59"/>
      <c r="FV874" s="59"/>
      <c r="FW874" s="59"/>
      <c r="FX874" s="59"/>
      <c r="FY874" s="59"/>
      <c r="FZ874" s="59"/>
      <c r="GA874" s="59"/>
      <c r="GB874" s="59"/>
      <c r="GC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  <c r="BW875" s="59"/>
      <c r="BX875" s="59"/>
      <c r="BY875" s="59"/>
      <c r="BZ875" s="59"/>
      <c r="CA875" s="59"/>
      <c r="CB875" s="59"/>
      <c r="CC875" s="59"/>
      <c r="CD875" s="59"/>
      <c r="CE875" s="59"/>
      <c r="CF875" s="59"/>
      <c r="CG875" s="59"/>
      <c r="CH875" s="59"/>
      <c r="CI875" s="59"/>
      <c r="CJ875" s="59"/>
      <c r="CK875" s="59"/>
      <c r="CL875" s="59"/>
      <c r="CM875" s="59"/>
      <c r="CN875" s="59"/>
      <c r="CO875" s="59"/>
      <c r="CP875" s="59"/>
      <c r="CQ875" s="59"/>
      <c r="CR875" s="59"/>
      <c r="CS875" s="59"/>
      <c r="CT875" s="59"/>
      <c r="CU875" s="59"/>
      <c r="CV875" s="59"/>
      <c r="CW875" s="59"/>
      <c r="CX875" s="59"/>
      <c r="CY875" s="59"/>
      <c r="CZ875" s="59"/>
      <c r="DA875" s="59"/>
      <c r="DB875" s="59"/>
      <c r="DC875" s="59"/>
      <c r="DD875" s="59"/>
      <c r="DE875" s="59"/>
      <c r="DF875" s="59"/>
      <c r="DG875" s="59"/>
      <c r="DH875" s="59"/>
      <c r="DI875" s="59"/>
      <c r="DJ875" s="59"/>
      <c r="DK875" s="59"/>
      <c r="DL875" s="59"/>
      <c r="DM875" s="59"/>
      <c r="DN875" s="59"/>
      <c r="DO875" s="59"/>
      <c r="DP875" s="59"/>
      <c r="DQ875" s="59"/>
      <c r="DR875" s="59"/>
      <c r="DS875" s="59"/>
      <c r="DT875" s="59"/>
      <c r="DU875" s="59"/>
      <c r="DV875" s="59"/>
      <c r="DW875" s="59"/>
      <c r="DX875" s="59"/>
      <c r="DY875" s="59"/>
      <c r="DZ875" s="59"/>
      <c r="EA875" s="59"/>
      <c r="EB875" s="59"/>
      <c r="EC875" s="59"/>
      <c r="ED875" s="59"/>
      <c r="EE875" s="59"/>
      <c r="EF875" s="59"/>
      <c r="EG875" s="59"/>
      <c r="EH875" s="59"/>
      <c r="EI875" s="59"/>
      <c r="EJ875" s="59"/>
      <c r="EK875" s="59"/>
      <c r="EL875" s="59"/>
      <c r="EM875" s="59"/>
      <c r="EN875" s="59"/>
      <c r="EO875" s="59"/>
      <c r="EP875" s="59"/>
      <c r="EQ875" s="59"/>
      <c r="ER875" s="59"/>
      <c r="ES875" s="59"/>
      <c r="ET875" s="59"/>
      <c r="EU875" s="59"/>
      <c r="EV875" s="59"/>
      <c r="EW875" s="59"/>
      <c r="EX875" s="59"/>
      <c r="EY875" s="59"/>
      <c r="EZ875" s="59"/>
      <c r="FA875" s="59"/>
      <c r="FB875" s="59"/>
      <c r="FC875" s="59"/>
      <c r="FD875" s="59"/>
      <c r="FE875" s="59"/>
      <c r="FF875" s="59"/>
      <c r="FG875" s="59"/>
      <c r="FH875" s="59"/>
      <c r="FI875" s="59"/>
      <c r="FJ875" s="59"/>
      <c r="FK875" s="59"/>
      <c r="FL875" s="59"/>
      <c r="FM875" s="59"/>
      <c r="FN875" s="59"/>
      <c r="FO875" s="59"/>
      <c r="FP875" s="59"/>
      <c r="FQ875" s="59"/>
      <c r="FR875" s="59"/>
      <c r="FS875" s="59"/>
      <c r="FT875" s="59"/>
      <c r="FU875" s="59"/>
      <c r="FV875" s="59"/>
      <c r="FW875" s="59"/>
      <c r="FX875" s="59"/>
      <c r="FY875" s="59"/>
      <c r="FZ875" s="59"/>
      <c r="GA875" s="59"/>
      <c r="GB875" s="59"/>
      <c r="GC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  <c r="BV876" s="59"/>
      <c r="BW876" s="59"/>
      <c r="BX876" s="59"/>
      <c r="BY876" s="59"/>
      <c r="BZ876" s="59"/>
      <c r="CA876" s="59"/>
      <c r="CB876" s="59"/>
      <c r="CC876" s="59"/>
      <c r="CD876" s="59"/>
      <c r="CE876" s="59"/>
      <c r="CF876" s="59"/>
      <c r="CG876" s="59"/>
      <c r="CH876" s="59"/>
      <c r="CI876" s="59"/>
      <c r="CJ876" s="59"/>
      <c r="CK876" s="59"/>
      <c r="CL876" s="59"/>
      <c r="CM876" s="59"/>
      <c r="CN876" s="59"/>
      <c r="CO876" s="59"/>
      <c r="CP876" s="59"/>
      <c r="CQ876" s="59"/>
      <c r="CR876" s="59"/>
      <c r="CS876" s="59"/>
      <c r="CT876" s="59"/>
      <c r="CU876" s="59"/>
      <c r="CV876" s="59"/>
      <c r="CW876" s="59"/>
      <c r="CX876" s="59"/>
      <c r="CY876" s="59"/>
      <c r="CZ876" s="59"/>
      <c r="DA876" s="59"/>
      <c r="DB876" s="59"/>
      <c r="DC876" s="59"/>
      <c r="DD876" s="59"/>
      <c r="DE876" s="59"/>
      <c r="DF876" s="59"/>
      <c r="DG876" s="59"/>
      <c r="DH876" s="59"/>
      <c r="DI876" s="59"/>
      <c r="DJ876" s="59"/>
      <c r="DK876" s="59"/>
      <c r="DL876" s="59"/>
      <c r="DM876" s="59"/>
      <c r="DN876" s="59"/>
      <c r="DO876" s="59"/>
      <c r="DP876" s="59"/>
      <c r="DQ876" s="59"/>
      <c r="DR876" s="59"/>
      <c r="DS876" s="59"/>
      <c r="DT876" s="59"/>
      <c r="DU876" s="59"/>
      <c r="DV876" s="59"/>
      <c r="DW876" s="59"/>
      <c r="DX876" s="59"/>
      <c r="DY876" s="59"/>
      <c r="DZ876" s="59"/>
      <c r="EA876" s="59"/>
      <c r="EB876" s="59"/>
      <c r="EC876" s="59"/>
      <c r="ED876" s="59"/>
      <c r="EE876" s="59"/>
      <c r="EF876" s="59"/>
      <c r="EG876" s="59"/>
      <c r="EH876" s="59"/>
      <c r="EI876" s="59"/>
      <c r="EJ876" s="59"/>
      <c r="EK876" s="59"/>
      <c r="EL876" s="59"/>
      <c r="EM876" s="59"/>
      <c r="EN876" s="59"/>
      <c r="EO876" s="59"/>
      <c r="EP876" s="59"/>
      <c r="EQ876" s="59"/>
      <c r="ER876" s="59"/>
      <c r="ES876" s="59"/>
      <c r="ET876" s="59"/>
      <c r="EU876" s="59"/>
      <c r="EV876" s="59"/>
      <c r="EW876" s="59"/>
      <c r="EX876" s="59"/>
      <c r="EY876" s="59"/>
      <c r="EZ876" s="59"/>
      <c r="FA876" s="59"/>
      <c r="FB876" s="59"/>
      <c r="FC876" s="59"/>
      <c r="FD876" s="59"/>
      <c r="FE876" s="59"/>
      <c r="FF876" s="59"/>
      <c r="FG876" s="59"/>
      <c r="FH876" s="59"/>
      <c r="FI876" s="59"/>
      <c r="FJ876" s="59"/>
      <c r="FK876" s="59"/>
      <c r="FL876" s="59"/>
      <c r="FM876" s="59"/>
      <c r="FN876" s="59"/>
      <c r="FO876" s="59"/>
      <c r="FP876" s="59"/>
      <c r="FQ876" s="59"/>
      <c r="FR876" s="59"/>
      <c r="FS876" s="59"/>
      <c r="FT876" s="59"/>
      <c r="FU876" s="59"/>
      <c r="FV876" s="59"/>
      <c r="FW876" s="59"/>
      <c r="FX876" s="59"/>
      <c r="FY876" s="59"/>
      <c r="FZ876" s="59"/>
      <c r="GA876" s="59"/>
      <c r="GB876" s="59"/>
      <c r="GC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  <c r="BW877" s="59"/>
      <c r="BX877" s="59"/>
      <c r="BY877" s="59"/>
      <c r="BZ877" s="59"/>
      <c r="CA877" s="59"/>
      <c r="CB877" s="59"/>
      <c r="CC877" s="59"/>
      <c r="CD877" s="59"/>
      <c r="CE877" s="59"/>
      <c r="CF877" s="59"/>
      <c r="CG877" s="59"/>
      <c r="CH877" s="59"/>
      <c r="CI877" s="59"/>
      <c r="CJ877" s="59"/>
      <c r="CK877" s="59"/>
      <c r="CL877" s="59"/>
      <c r="CM877" s="59"/>
      <c r="CN877" s="59"/>
      <c r="CO877" s="59"/>
      <c r="CP877" s="59"/>
      <c r="CQ877" s="59"/>
      <c r="CR877" s="59"/>
      <c r="CS877" s="59"/>
      <c r="CT877" s="59"/>
      <c r="CU877" s="59"/>
      <c r="CV877" s="59"/>
      <c r="CW877" s="59"/>
      <c r="CX877" s="59"/>
      <c r="CY877" s="59"/>
      <c r="CZ877" s="59"/>
      <c r="DA877" s="59"/>
      <c r="DB877" s="59"/>
      <c r="DC877" s="59"/>
      <c r="DD877" s="59"/>
      <c r="DE877" s="59"/>
      <c r="DF877" s="59"/>
      <c r="DG877" s="59"/>
      <c r="DH877" s="59"/>
      <c r="DI877" s="59"/>
      <c r="DJ877" s="59"/>
      <c r="DK877" s="59"/>
      <c r="DL877" s="59"/>
      <c r="DM877" s="59"/>
      <c r="DN877" s="59"/>
      <c r="DO877" s="59"/>
      <c r="DP877" s="59"/>
      <c r="DQ877" s="59"/>
      <c r="DR877" s="59"/>
      <c r="DS877" s="59"/>
      <c r="DT877" s="59"/>
      <c r="DU877" s="59"/>
      <c r="DV877" s="59"/>
      <c r="DW877" s="59"/>
      <c r="DX877" s="59"/>
      <c r="DY877" s="59"/>
      <c r="DZ877" s="59"/>
      <c r="EA877" s="59"/>
      <c r="EB877" s="59"/>
      <c r="EC877" s="59"/>
      <c r="ED877" s="59"/>
      <c r="EE877" s="59"/>
      <c r="EF877" s="59"/>
      <c r="EG877" s="59"/>
      <c r="EH877" s="59"/>
      <c r="EI877" s="59"/>
      <c r="EJ877" s="59"/>
      <c r="EK877" s="59"/>
      <c r="EL877" s="59"/>
      <c r="EM877" s="59"/>
      <c r="EN877" s="59"/>
      <c r="EO877" s="59"/>
      <c r="EP877" s="59"/>
      <c r="EQ877" s="59"/>
      <c r="ER877" s="59"/>
      <c r="ES877" s="59"/>
      <c r="ET877" s="59"/>
      <c r="EU877" s="59"/>
      <c r="EV877" s="59"/>
      <c r="EW877" s="59"/>
      <c r="EX877" s="59"/>
      <c r="EY877" s="59"/>
      <c r="EZ877" s="59"/>
      <c r="FA877" s="59"/>
      <c r="FB877" s="59"/>
      <c r="FC877" s="59"/>
      <c r="FD877" s="59"/>
      <c r="FE877" s="59"/>
      <c r="FF877" s="59"/>
      <c r="FG877" s="59"/>
      <c r="FH877" s="59"/>
      <c r="FI877" s="59"/>
      <c r="FJ877" s="59"/>
      <c r="FK877" s="59"/>
      <c r="FL877" s="59"/>
      <c r="FM877" s="59"/>
      <c r="FN877" s="59"/>
      <c r="FO877" s="59"/>
      <c r="FP877" s="59"/>
      <c r="FQ877" s="59"/>
      <c r="FR877" s="59"/>
      <c r="FS877" s="59"/>
      <c r="FT877" s="59"/>
      <c r="FU877" s="59"/>
      <c r="FV877" s="59"/>
      <c r="FW877" s="59"/>
      <c r="FX877" s="59"/>
      <c r="FY877" s="59"/>
      <c r="FZ877" s="59"/>
      <c r="GA877" s="59"/>
      <c r="GB877" s="59"/>
      <c r="GC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  <c r="BV878" s="59"/>
      <c r="BW878" s="59"/>
      <c r="BX878" s="59"/>
      <c r="BY878" s="59"/>
      <c r="BZ878" s="59"/>
      <c r="CA878" s="59"/>
      <c r="CB878" s="59"/>
      <c r="CC878" s="59"/>
      <c r="CD878" s="59"/>
      <c r="CE878" s="59"/>
      <c r="CF878" s="59"/>
      <c r="CG878" s="59"/>
      <c r="CH878" s="59"/>
      <c r="CI878" s="59"/>
      <c r="CJ878" s="59"/>
      <c r="CK878" s="59"/>
      <c r="CL878" s="59"/>
      <c r="CM878" s="59"/>
      <c r="CN878" s="59"/>
      <c r="CO878" s="59"/>
      <c r="CP878" s="59"/>
      <c r="CQ878" s="59"/>
      <c r="CR878" s="59"/>
      <c r="CS878" s="59"/>
      <c r="CT878" s="59"/>
      <c r="CU878" s="59"/>
      <c r="CV878" s="59"/>
      <c r="CW878" s="59"/>
      <c r="CX878" s="59"/>
      <c r="CY878" s="59"/>
      <c r="CZ878" s="59"/>
      <c r="DA878" s="59"/>
      <c r="DB878" s="59"/>
      <c r="DC878" s="59"/>
      <c r="DD878" s="59"/>
      <c r="DE878" s="59"/>
      <c r="DF878" s="59"/>
      <c r="DG878" s="59"/>
      <c r="DH878" s="59"/>
      <c r="DI878" s="59"/>
      <c r="DJ878" s="59"/>
      <c r="DK878" s="59"/>
      <c r="DL878" s="59"/>
      <c r="DM878" s="59"/>
      <c r="DN878" s="59"/>
      <c r="DO878" s="59"/>
      <c r="DP878" s="59"/>
      <c r="DQ878" s="59"/>
      <c r="DR878" s="59"/>
      <c r="DS878" s="59"/>
      <c r="DT878" s="59"/>
      <c r="DU878" s="59"/>
      <c r="DV878" s="59"/>
      <c r="DW878" s="59"/>
      <c r="DX878" s="59"/>
      <c r="DY878" s="59"/>
      <c r="DZ878" s="59"/>
      <c r="EA878" s="59"/>
      <c r="EB878" s="59"/>
      <c r="EC878" s="59"/>
      <c r="ED878" s="59"/>
      <c r="EE878" s="59"/>
      <c r="EF878" s="59"/>
      <c r="EG878" s="59"/>
      <c r="EH878" s="59"/>
      <c r="EI878" s="59"/>
      <c r="EJ878" s="59"/>
      <c r="EK878" s="59"/>
      <c r="EL878" s="59"/>
      <c r="EM878" s="59"/>
      <c r="EN878" s="59"/>
      <c r="EO878" s="59"/>
      <c r="EP878" s="59"/>
      <c r="EQ878" s="59"/>
      <c r="ER878" s="59"/>
      <c r="ES878" s="59"/>
      <c r="ET878" s="59"/>
      <c r="EU878" s="59"/>
      <c r="EV878" s="59"/>
      <c r="EW878" s="59"/>
      <c r="EX878" s="59"/>
      <c r="EY878" s="59"/>
      <c r="EZ878" s="59"/>
      <c r="FA878" s="59"/>
      <c r="FB878" s="59"/>
      <c r="FC878" s="59"/>
      <c r="FD878" s="59"/>
      <c r="FE878" s="59"/>
      <c r="FF878" s="59"/>
      <c r="FG878" s="59"/>
      <c r="FH878" s="59"/>
      <c r="FI878" s="59"/>
      <c r="FJ878" s="59"/>
      <c r="FK878" s="59"/>
      <c r="FL878" s="59"/>
      <c r="FM878" s="59"/>
      <c r="FN878" s="59"/>
      <c r="FO878" s="59"/>
      <c r="FP878" s="59"/>
      <c r="FQ878" s="59"/>
      <c r="FR878" s="59"/>
      <c r="FS878" s="59"/>
      <c r="FT878" s="59"/>
      <c r="FU878" s="59"/>
      <c r="FV878" s="59"/>
      <c r="FW878" s="59"/>
      <c r="FX878" s="59"/>
      <c r="FY878" s="59"/>
      <c r="FZ878" s="59"/>
      <c r="GA878" s="59"/>
      <c r="GB878" s="59"/>
      <c r="GC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  <c r="BV879" s="59"/>
      <c r="BW879" s="59"/>
      <c r="BX879" s="59"/>
      <c r="BY879" s="59"/>
      <c r="BZ879" s="59"/>
      <c r="CA879" s="59"/>
      <c r="CB879" s="59"/>
      <c r="CC879" s="59"/>
      <c r="CD879" s="59"/>
      <c r="CE879" s="59"/>
      <c r="CF879" s="59"/>
      <c r="CG879" s="59"/>
      <c r="CH879" s="59"/>
      <c r="CI879" s="59"/>
      <c r="CJ879" s="59"/>
      <c r="CK879" s="59"/>
      <c r="CL879" s="59"/>
      <c r="CM879" s="59"/>
      <c r="CN879" s="59"/>
      <c r="CO879" s="59"/>
      <c r="CP879" s="59"/>
      <c r="CQ879" s="59"/>
      <c r="CR879" s="59"/>
      <c r="CS879" s="59"/>
      <c r="CT879" s="59"/>
      <c r="CU879" s="59"/>
      <c r="CV879" s="59"/>
      <c r="CW879" s="59"/>
      <c r="CX879" s="59"/>
      <c r="CY879" s="59"/>
      <c r="CZ879" s="59"/>
      <c r="DA879" s="59"/>
      <c r="DB879" s="59"/>
      <c r="DC879" s="59"/>
      <c r="DD879" s="59"/>
      <c r="DE879" s="59"/>
      <c r="DF879" s="59"/>
      <c r="DG879" s="59"/>
      <c r="DH879" s="59"/>
      <c r="DI879" s="59"/>
      <c r="DJ879" s="59"/>
      <c r="DK879" s="59"/>
      <c r="DL879" s="59"/>
      <c r="DM879" s="59"/>
      <c r="DN879" s="59"/>
      <c r="DO879" s="59"/>
      <c r="DP879" s="59"/>
      <c r="DQ879" s="59"/>
      <c r="DR879" s="59"/>
      <c r="DS879" s="59"/>
      <c r="DT879" s="59"/>
      <c r="DU879" s="59"/>
      <c r="DV879" s="59"/>
      <c r="DW879" s="59"/>
      <c r="DX879" s="59"/>
      <c r="DY879" s="59"/>
      <c r="DZ879" s="59"/>
      <c r="EA879" s="59"/>
      <c r="EB879" s="59"/>
      <c r="EC879" s="59"/>
      <c r="ED879" s="59"/>
      <c r="EE879" s="59"/>
      <c r="EF879" s="59"/>
      <c r="EG879" s="59"/>
      <c r="EH879" s="59"/>
      <c r="EI879" s="59"/>
      <c r="EJ879" s="59"/>
      <c r="EK879" s="59"/>
      <c r="EL879" s="59"/>
      <c r="EM879" s="59"/>
      <c r="EN879" s="59"/>
      <c r="EO879" s="59"/>
      <c r="EP879" s="59"/>
      <c r="EQ879" s="59"/>
      <c r="ER879" s="59"/>
      <c r="ES879" s="59"/>
      <c r="ET879" s="59"/>
      <c r="EU879" s="59"/>
      <c r="EV879" s="59"/>
      <c r="EW879" s="59"/>
      <c r="EX879" s="59"/>
      <c r="EY879" s="59"/>
      <c r="EZ879" s="59"/>
      <c r="FA879" s="59"/>
      <c r="FB879" s="59"/>
      <c r="FC879" s="59"/>
      <c r="FD879" s="59"/>
      <c r="FE879" s="59"/>
      <c r="FF879" s="59"/>
      <c r="FG879" s="59"/>
      <c r="FH879" s="59"/>
      <c r="FI879" s="59"/>
      <c r="FJ879" s="59"/>
      <c r="FK879" s="59"/>
      <c r="FL879" s="59"/>
      <c r="FM879" s="59"/>
      <c r="FN879" s="59"/>
      <c r="FO879" s="59"/>
      <c r="FP879" s="59"/>
      <c r="FQ879" s="59"/>
      <c r="FR879" s="59"/>
      <c r="FS879" s="59"/>
      <c r="FT879" s="59"/>
      <c r="FU879" s="59"/>
      <c r="FV879" s="59"/>
      <c r="FW879" s="59"/>
      <c r="FX879" s="59"/>
      <c r="FY879" s="59"/>
      <c r="FZ879" s="59"/>
      <c r="GA879" s="59"/>
      <c r="GB879" s="59"/>
      <c r="GC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  <c r="BW880" s="59"/>
      <c r="BX880" s="59"/>
      <c r="BY880" s="59"/>
      <c r="BZ880" s="59"/>
      <c r="CA880" s="59"/>
      <c r="CB880" s="59"/>
      <c r="CC880" s="59"/>
      <c r="CD880" s="59"/>
      <c r="CE880" s="59"/>
      <c r="CF880" s="59"/>
      <c r="CG880" s="59"/>
      <c r="CH880" s="59"/>
      <c r="CI880" s="59"/>
      <c r="CJ880" s="59"/>
      <c r="CK880" s="59"/>
      <c r="CL880" s="59"/>
      <c r="CM880" s="59"/>
      <c r="CN880" s="59"/>
      <c r="CO880" s="59"/>
      <c r="CP880" s="59"/>
      <c r="CQ880" s="59"/>
      <c r="CR880" s="59"/>
      <c r="CS880" s="59"/>
      <c r="CT880" s="59"/>
      <c r="CU880" s="59"/>
      <c r="CV880" s="59"/>
      <c r="CW880" s="59"/>
      <c r="CX880" s="59"/>
      <c r="CY880" s="59"/>
      <c r="CZ880" s="59"/>
      <c r="DA880" s="59"/>
      <c r="DB880" s="59"/>
      <c r="DC880" s="59"/>
      <c r="DD880" s="59"/>
      <c r="DE880" s="59"/>
      <c r="DF880" s="59"/>
      <c r="DG880" s="59"/>
      <c r="DH880" s="59"/>
      <c r="DI880" s="59"/>
      <c r="DJ880" s="59"/>
      <c r="DK880" s="59"/>
      <c r="DL880" s="59"/>
      <c r="DM880" s="59"/>
      <c r="DN880" s="59"/>
      <c r="DO880" s="59"/>
      <c r="DP880" s="59"/>
      <c r="DQ880" s="59"/>
      <c r="DR880" s="59"/>
      <c r="DS880" s="59"/>
      <c r="DT880" s="59"/>
      <c r="DU880" s="59"/>
      <c r="DV880" s="59"/>
      <c r="DW880" s="59"/>
      <c r="DX880" s="59"/>
      <c r="DY880" s="59"/>
      <c r="DZ880" s="59"/>
      <c r="EA880" s="59"/>
      <c r="EB880" s="59"/>
      <c r="EC880" s="59"/>
      <c r="ED880" s="59"/>
      <c r="EE880" s="59"/>
      <c r="EF880" s="59"/>
      <c r="EG880" s="59"/>
      <c r="EH880" s="59"/>
      <c r="EI880" s="59"/>
      <c r="EJ880" s="59"/>
      <c r="EK880" s="59"/>
      <c r="EL880" s="59"/>
      <c r="EM880" s="59"/>
      <c r="EN880" s="59"/>
      <c r="EO880" s="59"/>
      <c r="EP880" s="59"/>
      <c r="EQ880" s="59"/>
      <c r="ER880" s="59"/>
      <c r="ES880" s="59"/>
      <c r="ET880" s="59"/>
      <c r="EU880" s="59"/>
      <c r="EV880" s="59"/>
      <c r="EW880" s="59"/>
      <c r="EX880" s="59"/>
      <c r="EY880" s="59"/>
      <c r="EZ880" s="59"/>
      <c r="FA880" s="59"/>
      <c r="FB880" s="59"/>
      <c r="FC880" s="59"/>
      <c r="FD880" s="59"/>
      <c r="FE880" s="59"/>
      <c r="FF880" s="59"/>
      <c r="FG880" s="59"/>
      <c r="FH880" s="59"/>
      <c r="FI880" s="59"/>
      <c r="FJ880" s="59"/>
      <c r="FK880" s="59"/>
      <c r="FL880" s="59"/>
      <c r="FM880" s="59"/>
      <c r="FN880" s="59"/>
      <c r="FO880" s="59"/>
      <c r="FP880" s="59"/>
      <c r="FQ880" s="59"/>
      <c r="FR880" s="59"/>
      <c r="FS880" s="59"/>
      <c r="FT880" s="59"/>
      <c r="FU880" s="59"/>
      <c r="FV880" s="59"/>
      <c r="FW880" s="59"/>
      <c r="FX880" s="59"/>
      <c r="FY880" s="59"/>
      <c r="FZ880" s="59"/>
      <c r="GA880" s="59"/>
      <c r="GB880" s="59"/>
      <c r="GC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  <c r="BV881" s="59"/>
      <c r="BW881" s="59"/>
      <c r="BX881" s="59"/>
      <c r="BY881" s="59"/>
      <c r="BZ881" s="59"/>
      <c r="CA881" s="59"/>
      <c r="CB881" s="59"/>
      <c r="CC881" s="59"/>
      <c r="CD881" s="59"/>
      <c r="CE881" s="59"/>
      <c r="CF881" s="59"/>
      <c r="CG881" s="59"/>
      <c r="CH881" s="59"/>
      <c r="CI881" s="59"/>
      <c r="CJ881" s="59"/>
      <c r="CK881" s="59"/>
      <c r="CL881" s="59"/>
      <c r="CM881" s="59"/>
      <c r="CN881" s="59"/>
      <c r="CO881" s="59"/>
      <c r="CP881" s="59"/>
      <c r="CQ881" s="59"/>
      <c r="CR881" s="59"/>
      <c r="CS881" s="59"/>
      <c r="CT881" s="59"/>
      <c r="CU881" s="59"/>
      <c r="CV881" s="59"/>
      <c r="CW881" s="59"/>
      <c r="CX881" s="59"/>
      <c r="CY881" s="59"/>
      <c r="CZ881" s="59"/>
      <c r="DA881" s="59"/>
      <c r="DB881" s="59"/>
      <c r="DC881" s="59"/>
      <c r="DD881" s="59"/>
      <c r="DE881" s="59"/>
      <c r="DF881" s="59"/>
      <c r="DG881" s="59"/>
      <c r="DH881" s="59"/>
      <c r="DI881" s="59"/>
      <c r="DJ881" s="59"/>
      <c r="DK881" s="59"/>
      <c r="DL881" s="59"/>
      <c r="DM881" s="59"/>
      <c r="DN881" s="59"/>
      <c r="DO881" s="59"/>
      <c r="DP881" s="59"/>
      <c r="DQ881" s="59"/>
      <c r="DR881" s="59"/>
      <c r="DS881" s="59"/>
      <c r="DT881" s="59"/>
      <c r="DU881" s="59"/>
      <c r="DV881" s="59"/>
      <c r="DW881" s="59"/>
      <c r="DX881" s="59"/>
      <c r="DY881" s="59"/>
      <c r="DZ881" s="59"/>
      <c r="EA881" s="59"/>
      <c r="EB881" s="59"/>
      <c r="EC881" s="59"/>
      <c r="ED881" s="59"/>
      <c r="EE881" s="59"/>
      <c r="EF881" s="59"/>
      <c r="EG881" s="59"/>
      <c r="EH881" s="59"/>
      <c r="EI881" s="59"/>
      <c r="EJ881" s="59"/>
      <c r="EK881" s="59"/>
      <c r="EL881" s="59"/>
      <c r="EM881" s="59"/>
      <c r="EN881" s="59"/>
      <c r="EO881" s="59"/>
      <c r="EP881" s="59"/>
      <c r="EQ881" s="59"/>
      <c r="ER881" s="59"/>
      <c r="ES881" s="59"/>
      <c r="ET881" s="59"/>
      <c r="EU881" s="59"/>
      <c r="EV881" s="59"/>
      <c r="EW881" s="59"/>
      <c r="EX881" s="59"/>
      <c r="EY881" s="59"/>
      <c r="EZ881" s="59"/>
      <c r="FA881" s="59"/>
      <c r="FB881" s="59"/>
      <c r="FC881" s="59"/>
      <c r="FD881" s="59"/>
      <c r="FE881" s="59"/>
      <c r="FF881" s="59"/>
      <c r="FG881" s="59"/>
      <c r="FH881" s="59"/>
      <c r="FI881" s="59"/>
      <c r="FJ881" s="59"/>
      <c r="FK881" s="59"/>
      <c r="FL881" s="59"/>
      <c r="FM881" s="59"/>
      <c r="FN881" s="59"/>
      <c r="FO881" s="59"/>
      <c r="FP881" s="59"/>
      <c r="FQ881" s="59"/>
      <c r="FR881" s="59"/>
      <c r="FS881" s="59"/>
      <c r="FT881" s="59"/>
      <c r="FU881" s="59"/>
      <c r="FV881" s="59"/>
      <c r="FW881" s="59"/>
      <c r="FX881" s="59"/>
      <c r="FY881" s="59"/>
      <c r="FZ881" s="59"/>
      <c r="GA881" s="59"/>
      <c r="GB881" s="59"/>
      <c r="GC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  <c r="BV882" s="59"/>
      <c r="BW882" s="59"/>
      <c r="BX882" s="59"/>
      <c r="BY882" s="59"/>
      <c r="BZ882" s="59"/>
      <c r="CA882" s="59"/>
      <c r="CB882" s="59"/>
      <c r="CC882" s="59"/>
      <c r="CD882" s="59"/>
      <c r="CE882" s="59"/>
      <c r="CF882" s="59"/>
      <c r="CG882" s="59"/>
      <c r="CH882" s="59"/>
      <c r="CI882" s="59"/>
      <c r="CJ882" s="59"/>
      <c r="CK882" s="59"/>
      <c r="CL882" s="59"/>
      <c r="CM882" s="59"/>
      <c r="CN882" s="59"/>
      <c r="CO882" s="59"/>
      <c r="CP882" s="59"/>
      <c r="CQ882" s="59"/>
      <c r="CR882" s="59"/>
      <c r="CS882" s="59"/>
      <c r="CT882" s="59"/>
      <c r="CU882" s="59"/>
      <c r="CV882" s="59"/>
      <c r="CW882" s="59"/>
      <c r="CX882" s="59"/>
      <c r="CY882" s="59"/>
      <c r="CZ882" s="59"/>
      <c r="DA882" s="59"/>
      <c r="DB882" s="59"/>
      <c r="DC882" s="59"/>
      <c r="DD882" s="59"/>
      <c r="DE882" s="59"/>
      <c r="DF882" s="59"/>
      <c r="DG882" s="59"/>
      <c r="DH882" s="59"/>
      <c r="DI882" s="59"/>
      <c r="DJ882" s="59"/>
      <c r="DK882" s="59"/>
      <c r="DL882" s="59"/>
      <c r="DM882" s="59"/>
      <c r="DN882" s="59"/>
      <c r="DO882" s="59"/>
      <c r="DP882" s="59"/>
      <c r="DQ882" s="59"/>
      <c r="DR882" s="59"/>
      <c r="DS882" s="59"/>
      <c r="DT882" s="59"/>
      <c r="DU882" s="59"/>
      <c r="DV882" s="59"/>
      <c r="DW882" s="59"/>
      <c r="DX882" s="59"/>
      <c r="DY882" s="59"/>
      <c r="DZ882" s="59"/>
      <c r="EA882" s="59"/>
      <c r="EB882" s="59"/>
      <c r="EC882" s="59"/>
      <c r="ED882" s="59"/>
      <c r="EE882" s="59"/>
      <c r="EF882" s="59"/>
      <c r="EG882" s="59"/>
      <c r="EH882" s="59"/>
      <c r="EI882" s="59"/>
      <c r="EJ882" s="59"/>
      <c r="EK882" s="59"/>
      <c r="EL882" s="59"/>
      <c r="EM882" s="59"/>
      <c r="EN882" s="59"/>
      <c r="EO882" s="59"/>
      <c r="EP882" s="59"/>
      <c r="EQ882" s="59"/>
      <c r="ER882" s="59"/>
      <c r="ES882" s="59"/>
      <c r="ET882" s="59"/>
      <c r="EU882" s="59"/>
      <c r="EV882" s="59"/>
      <c r="EW882" s="59"/>
      <c r="EX882" s="59"/>
      <c r="EY882" s="59"/>
      <c r="EZ882" s="59"/>
      <c r="FA882" s="59"/>
      <c r="FB882" s="59"/>
      <c r="FC882" s="59"/>
      <c r="FD882" s="59"/>
      <c r="FE882" s="59"/>
      <c r="FF882" s="59"/>
      <c r="FG882" s="59"/>
      <c r="FH882" s="59"/>
      <c r="FI882" s="59"/>
      <c r="FJ882" s="59"/>
      <c r="FK882" s="59"/>
      <c r="FL882" s="59"/>
      <c r="FM882" s="59"/>
      <c r="FN882" s="59"/>
      <c r="FO882" s="59"/>
      <c r="FP882" s="59"/>
      <c r="FQ882" s="59"/>
      <c r="FR882" s="59"/>
      <c r="FS882" s="59"/>
      <c r="FT882" s="59"/>
      <c r="FU882" s="59"/>
      <c r="FV882" s="59"/>
      <c r="FW882" s="59"/>
      <c r="FX882" s="59"/>
      <c r="FY882" s="59"/>
      <c r="FZ882" s="59"/>
      <c r="GA882" s="59"/>
      <c r="GB882" s="59"/>
      <c r="GC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  <c r="BV883" s="59"/>
      <c r="BW883" s="59"/>
      <c r="BX883" s="59"/>
      <c r="BY883" s="59"/>
      <c r="BZ883" s="59"/>
      <c r="CA883" s="59"/>
      <c r="CB883" s="59"/>
      <c r="CC883" s="59"/>
      <c r="CD883" s="59"/>
      <c r="CE883" s="59"/>
      <c r="CF883" s="59"/>
      <c r="CG883" s="59"/>
      <c r="CH883" s="59"/>
      <c r="CI883" s="59"/>
      <c r="CJ883" s="59"/>
      <c r="CK883" s="59"/>
      <c r="CL883" s="59"/>
      <c r="CM883" s="59"/>
      <c r="CN883" s="59"/>
      <c r="CO883" s="59"/>
      <c r="CP883" s="59"/>
      <c r="CQ883" s="59"/>
      <c r="CR883" s="59"/>
      <c r="CS883" s="59"/>
      <c r="CT883" s="59"/>
      <c r="CU883" s="59"/>
      <c r="CV883" s="59"/>
      <c r="CW883" s="59"/>
      <c r="CX883" s="59"/>
      <c r="CY883" s="59"/>
      <c r="CZ883" s="59"/>
      <c r="DA883" s="59"/>
      <c r="DB883" s="59"/>
      <c r="DC883" s="59"/>
      <c r="DD883" s="59"/>
      <c r="DE883" s="59"/>
      <c r="DF883" s="59"/>
      <c r="DG883" s="59"/>
      <c r="DH883" s="59"/>
      <c r="DI883" s="59"/>
      <c r="DJ883" s="59"/>
      <c r="DK883" s="59"/>
      <c r="DL883" s="59"/>
      <c r="DM883" s="59"/>
      <c r="DN883" s="59"/>
      <c r="DO883" s="59"/>
      <c r="DP883" s="59"/>
      <c r="DQ883" s="59"/>
      <c r="DR883" s="59"/>
      <c r="DS883" s="59"/>
      <c r="DT883" s="59"/>
      <c r="DU883" s="59"/>
      <c r="DV883" s="59"/>
      <c r="DW883" s="59"/>
      <c r="DX883" s="59"/>
      <c r="DY883" s="59"/>
      <c r="DZ883" s="59"/>
      <c r="EA883" s="59"/>
      <c r="EB883" s="59"/>
      <c r="EC883" s="59"/>
      <c r="ED883" s="59"/>
      <c r="EE883" s="59"/>
      <c r="EF883" s="59"/>
      <c r="EG883" s="59"/>
      <c r="EH883" s="59"/>
      <c r="EI883" s="59"/>
      <c r="EJ883" s="59"/>
      <c r="EK883" s="59"/>
      <c r="EL883" s="59"/>
      <c r="EM883" s="59"/>
      <c r="EN883" s="59"/>
      <c r="EO883" s="59"/>
      <c r="EP883" s="59"/>
      <c r="EQ883" s="59"/>
      <c r="ER883" s="59"/>
      <c r="ES883" s="59"/>
      <c r="ET883" s="59"/>
      <c r="EU883" s="59"/>
      <c r="EV883" s="59"/>
      <c r="EW883" s="59"/>
      <c r="EX883" s="59"/>
      <c r="EY883" s="59"/>
      <c r="EZ883" s="59"/>
      <c r="FA883" s="59"/>
      <c r="FB883" s="59"/>
      <c r="FC883" s="59"/>
      <c r="FD883" s="59"/>
      <c r="FE883" s="59"/>
      <c r="FF883" s="59"/>
      <c r="FG883" s="59"/>
      <c r="FH883" s="59"/>
      <c r="FI883" s="59"/>
      <c r="FJ883" s="59"/>
      <c r="FK883" s="59"/>
      <c r="FL883" s="59"/>
      <c r="FM883" s="59"/>
      <c r="FN883" s="59"/>
      <c r="FO883" s="59"/>
      <c r="FP883" s="59"/>
      <c r="FQ883" s="59"/>
      <c r="FR883" s="59"/>
      <c r="FS883" s="59"/>
      <c r="FT883" s="59"/>
      <c r="FU883" s="59"/>
      <c r="FV883" s="59"/>
      <c r="FW883" s="59"/>
      <c r="FX883" s="59"/>
      <c r="FY883" s="59"/>
      <c r="FZ883" s="59"/>
      <c r="GA883" s="59"/>
      <c r="GB883" s="59"/>
      <c r="GC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  <c r="BV884" s="59"/>
      <c r="BW884" s="59"/>
      <c r="BX884" s="59"/>
      <c r="BY884" s="59"/>
      <c r="BZ884" s="59"/>
      <c r="CA884" s="59"/>
      <c r="CB884" s="59"/>
      <c r="CC884" s="59"/>
      <c r="CD884" s="59"/>
      <c r="CE884" s="59"/>
      <c r="CF884" s="59"/>
      <c r="CG884" s="59"/>
      <c r="CH884" s="59"/>
      <c r="CI884" s="59"/>
      <c r="CJ884" s="59"/>
      <c r="CK884" s="59"/>
      <c r="CL884" s="59"/>
      <c r="CM884" s="59"/>
      <c r="CN884" s="59"/>
      <c r="CO884" s="59"/>
      <c r="CP884" s="59"/>
      <c r="CQ884" s="59"/>
      <c r="CR884" s="59"/>
      <c r="CS884" s="59"/>
      <c r="CT884" s="59"/>
      <c r="CU884" s="59"/>
      <c r="CV884" s="59"/>
      <c r="CW884" s="59"/>
      <c r="CX884" s="59"/>
      <c r="CY884" s="59"/>
      <c r="CZ884" s="59"/>
      <c r="DA884" s="59"/>
      <c r="DB884" s="59"/>
      <c r="DC884" s="59"/>
      <c r="DD884" s="59"/>
      <c r="DE884" s="59"/>
      <c r="DF884" s="59"/>
      <c r="DG884" s="59"/>
      <c r="DH884" s="59"/>
      <c r="DI884" s="59"/>
      <c r="DJ884" s="59"/>
      <c r="DK884" s="59"/>
      <c r="DL884" s="59"/>
      <c r="DM884" s="59"/>
      <c r="DN884" s="59"/>
      <c r="DO884" s="59"/>
      <c r="DP884" s="59"/>
      <c r="DQ884" s="59"/>
      <c r="DR884" s="59"/>
      <c r="DS884" s="59"/>
      <c r="DT884" s="59"/>
      <c r="DU884" s="59"/>
      <c r="DV884" s="59"/>
      <c r="DW884" s="59"/>
      <c r="DX884" s="59"/>
      <c r="DY884" s="59"/>
      <c r="DZ884" s="59"/>
      <c r="EA884" s="59"/>
      <c r="EB884" s="59"/>
      <c r="EC884" s="59"/>
      <c r="ED884" s="59"/>
      <c r="EE884" s="59"/>
      <c r="EF884" s="59"/>
      <c r="EG884" s="59"/>
      <c r="EH884" s="59"/>
      <c r="EI884" s="59"/>
      <c r="EJ884" s="59"/>
      <c r="EK884" s="59"/>
      <c r="EL884" s="59"/>
      <c r="EM884" s="59"/>
      <c r="EN884" s="59"/>
      <c r="EO884" s="59"/>
      <c r="EP884" s="59"/>
      <c r="EQ884" s="59"/>
      <c r="ER884" s="59"/>
      <c r="ES884" s="59"/>
      <c r="ET884" s="59"/>
      <c r="EU884" s="59"/>
      <c r="EV884" s="59"/>
      <c r="EW884" s="59"/>
      <c r="EX884" s="59"/>
      <c r="EY884" s="59"/>
      <c r="EZ884" s="59"/>
      <c r="FA884" s="59"/>
      <c r="FB884" s="59"/>
      <c r="FC884" s="59"/>
      <c r="FD884" s="59"/>
      <c r="FE884" s="59"/>
      <c r="FF884" s="59"/>
      <c r="FG884" s="59"/>
      <c r="FH884" s="59"/>
      <c r="FI884" s="59"/>
      <c r="FJ884" s="59"/>
      <c r="FK884" s="59"/>
      <c r="FL884" s="59"/>
      <c r="FM884" s="59"/>
      <c r="FN884" s="59"/>
      <c r="FO884" s="59"/>
      <c r="FP884" s="59"/>
      <c r="FQ884" s="59"/>
      <c r="FR884" s="59"/>
      <c r="FS884" s="59"/>
      <c r="FT884" s="59"/>
      <c r="FU884" s="59"/>
      <c r="FV884" s="59"/>
      <c r="FW884" s="59"/>
      <c r="FX884" s="59"/>
      <c r="FY884" s="59"/>
      <c r="FZ884" s="59"/>
      <c r="GA884" s="59"/>
      <c r="GB884" s="59"/>
      <c r="GC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  <c r="BW885" s="59"/>
      <c r="BX885" s="59"/>
      <c r="BY885" s="59"/>
      <c r="BZ885" s="59"/>
      <c r="CA885" s="59"/>
      <c r="CB885" s="59"/>
      <c r="CC885" s="59"/>
      <c r="CD885" s="59"/>
      <c r="CE885" s="59"/>
      <c r="CF885" s="59"/>
      <c r="CG885" s="59"/>
      <c r="CH885" s="59"/>
      <c r="CI885" s="59"/>
      <c r="CJ885" s="59"/>
      <c r="CK885" s="59"/>
      <c r="CL885" s="59"/>
      <c r="CM885" s="59"/>
      <c r="CN885" s="59"/>
      <c r="CO885" s="59"/>
      <c r="CP885" s="59"/>
      <c r="CQ885" s="59"/>
      <c r="CR885" s="59"/>
      <c r="CS885" s="59"/>
      <c r="CT885" s="59"/>
      <c r="CU885" s="59"/>
      <c r="CV885" s="59"/>
      <c r="CW885" s="59"/>
      <c r="CX885" s="59"/>
      <c r="CY885" s="59"/>
      <c r="CZ885" s="59"/>
      <c r="DA885" s="59"/>
      <c r="DB885" s="59"/>
      <c r="DC885" s="59"/>
      <c r="DD885" s="59"/>
      <c r="DE885" s="59"/>
      <c r="DF885" s="59"/>
      <c r="DG885" s="59"/>
      <c r="DH885" s="59"/>
      <c r="DI885" s="59"/>
      <c r="DJ885" s="59"/>
      <c r="DK885" s="59"/>
      <c r="DL885" s="59"/>
      <c r="DM885" s="59"/>
      <c r="DN885" s="59"/>
      <c r="DO885" s="59"/>
      <c r="DP885" s="59"/>
      <c r="DQ885" s="59"/>
      <c r="DR885" s="59"/>
      <c r="DS885" s="59"/>
      <c r="DT885" s="59"/>
      <c r="DU885" s="59"/>
      <c r="DV885" s="59"/>
      <c r="DW885" s="59"/>
      <c r="DX885" s="59"/>
      <c r="DY885" s="59"/>
      <c r="DZ885" s="59"/>
      <c r="EA885" s="59"/>
      <c r="EB885" s="59"/>
      <c r="EC885" s="59"/>
      <c r="ED885" s="59"/>
      <c r="EE885" s="59"/>
      <c r="EF885" s="59"/>
      <c r="EG885" s="59"/>
      <c r="EH885" s="59"/>
      <c r="EI885" s="59"/>
      <c r="EJ885" s="59"/>
      <c r="EK885" s="59"/>
      <c r="EL885" s="59"/>
      <c r="EM885" s="59"/>
      <c r="EN885" s="59"/>
      <c r="EO885" s="59"/>
      <c r="EP885" s="59"/>
      <c r="EQ885" s="59"/>
      <c r="ER885" s="59"/>
      <c r="ES885" s="59"/>
      <c r="ET885" s="59"/>
      <c r="EU885" s="59"/>
      <c r="EV885" s="59"/>
      <c r="EW885" s="59"/>
      <c r="EX885" s="59"/>
      <c r="EY885" s="59"/>
      <c r="EZ885" s="59"/>
      <c r="FA885" s="59"/>
      <c r="FB885" s="59"/>
      <c r="FC885" s="59"/>
      <c r="FD885" s="59"/>
      <c r="FE885" s="59"/>
      <c r="FF885" s="59"/>
      <c r="FG885" s="59"/>
      <c r="FH885" s="59"/>
      <c r="FI885" s="59"/>
      <c r="FJ885" s="59"/>
      <c r="FK885" s="59"/>
      <c r="FL885" s="59"/>
      <c r="FM885" s="59"/>
      <c r="FN885" s="59"/>
      <c r="FO885" s="59"/>
      <c r="FP885" s="59"/>
      <c r="FQ885" s="59"/>
      <c r="FR885" s="59"/>
      <c r="FS885" s="59"/>
      <c r="FT885" s="59"/>
      <c r="FU885" s="59"/>
      <c r="FV885" s="59"/>
      <c r="FW885" s="59"/>
      <c r="FX885" s="59"/>
      <c r="FY885" s="59"/>
      <c r="FZ885" s="59"/>
      <c r="GA885" s="59"/>
      <c r="GB885" s="59"/>
      <c r="GC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  <c r="BV886" s="59"/>
      <c r="BW886" s="59"/>
      <c r="BX886" s="59"/>
      <c r="BY886" s="59"/>
      <c r="BZ886" s="59"/>
      <c r="CA886" s="59"/>
      <c r="CB886" s="59"/>
      <c r="CC886" s="59"/>
      <c r="CD886" s="59"/>
      <c r="CE886" s="59"/>
      <c r="CF886" s="59"/>
      <c r="CG886" s="59"/>
      <c r="CH886" s="59"/>
      <c r="CI886" s="59"/>
      <c r="CJ886" s="59"/>
      <c r="CK886" s="59"/>
      <c r="CL886" s="59"/>
      <c r="CM886" s="59"/>
      <c r="CN886" s="59"/>
      <c r="CO886" s="59"/>
      <c r="CP886" s="59"/>
      <c r="CQ886" s="59"/>
      <c r="CR886" s="59"/>
      <c r="CS886" s="59"/>
      <c r="CT886" s="59"/>
      <c r="CU886" s="59"/>
      <c r="CV886" s="59"/>
      <c r="CW886" s="59"/>
      <c r="CX886" s="59"/>
      <c r="CY886" s="59"/>
      <c r="CZ886" s="59"/>
      <c r="DA886" s="59"/>
      <c r="DB886" s="59"/>
      <c r="DC886" s="59"/>
      <c r="DD886" s="59"/>
      <c r="DE886" s="59"/>
      <c r="DF886" s="59"/>
      <c r="DG886" s="59"/>
      <c r="DH886" s="59"/>
      <c r="DI886" s="59"/>
      <c r="DJ886" s="59"/>
      <c r="DK886" s="59"/>
      <c r="DL886" s="59"/>
      <c r="DM886" s="59"/>
      <c r="DN886" s="59"/>
      <c r="DO886" s="59"/>
      <c r="DP886" s="59"/>
      <c r="DQ886" s="59"/>
      <c r="DR886" s="59"/>
      <c r="DS886" s="59"/>
      <c r="DT886" s="59"/>
      <c r="DU886" s="59"/>
      <c r="DV886" s="59"/>
      <c r="DW886" s="59"/>
      <c r="DX886" s="59"/>
      <c r="DY886" s="59"/>
      <c r="DZ886" s="59"/>
      <c r="EA886" s="59"/>
      <c r="EB886" s="59"/>
      <c r="EC886" s="59"/>
      <c r="ED886" s="59"/>
      <c r="EE886" s="59"/>
      <c r="EF886" s="59"/>
      <c r="EG886" s="59"/>
      <c r="EH886" s="59"/>
      <c r="EI886" s="59"/>
      <c r="EJ886" s="59"/>
      <c r="EK886" s="59"/>
      <c r="EL886" s="59"/>
      <c r="EM886" s="59"/>
      <c r="EN886" s="59"/>
      <c r="EO886" s="59"/>
      <c r="EP886" s="59"/>
      <c r="EQ886" s="59"/>
      <c r="ER886" s="59"/>
      <c r="ES886" s="59"/>
      <c r="ET886" s="59"/>
      <c r="EU886" s="59"/>
      <c r="EV886" s="59"/>
      <c r="EW886" s="59"/>
      <c r="EX886" s="59"/>
      <c r="EY886" s="59"/>
      <c r="EZ886" s="59"/>
      <c r="FA886" s="59"/>
      <c r="FB886" s="59"/>
      <c r="FC886" s="59"/>
      <c r="FD886" s="59"/>
      <c r="FE886" s="59"/>
      <c r="FF886" s="59"/>
      <c r="FG886" s="59"/>
      <c r="FH886" s="59"/>
      <c r="FI886" s="59"/>
      <c r="FJ886" s="59"/>
      <c r="FK886" s="59"/>
      <c r="FL886" s="59"/>
      <c r="FM886" s="59"/>
      <c r="FN886" s="59"/>
      <c r="FO886" s="59"/>
      <c r="FP886" s="59"/>
      <c r="FQ886" s="59"/>
      <c r="FR886" s="59"/>
      <c r="FS886" s="59"/>
      <c r="FT886" s="59"/>
      <c r="FU886" s="59"/>
      <c r="FV886" s="59"/>
      <c r="FW886" s="59"/>
      <c r="FX886" s="59"/>
      <c r="FY886" s="59"/>
      <c r="FZ886" s="59"/>
      <c r="GA886" s="59"/>
      <c r="GB886" s="59"/>
      <c r="GC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  <c r="BV887" s="59"/>
      <c r="BW887" s="59"/>
      <c r="BX887" s="59"/>
      <c r="BY887" s="59"/>
      <c r="BZ887" s="59"/>
      <c r="CA887" s="59"/>
      <c r="CB887" s="59"/>
      <c r="CC887" s="59"/>
      <c r="CD887" s="59"/>
      <c r="CE887" s="59"/>
      <c r="CF887" s="59"/>
      <c r="CG887" s="59"/>
      <c r="CH887" s="59"/>
      <c r="CI887" s="59"/>
      <c r="CJ887" s="59"/>
      <c r="CK887" s="59"/>
      <c r="CL887" s="59"/>
      <c r="CM887" s="59"/>
      <c r="CN887" s="59"/>
      <c r="CO887" s="59"/>
      <c r="CP887" s="59"/>
      <c r="CQ887" s="59"/>
      <c r="CR887" s="59"/>
      <c r="CS887" s="59"/>
      <c r="CT887" s="59"/>
      <c r="CU887" s="59"/>
      <c r="CV887" s="59"/>
      <c r="CW887" s="59"/>
      <c r="CX887" s="59"/>
      <c r="CY887" s="59"/>
      <c r="CZ887" s="59"/>
      <c r="DA887" s="59"/>
      <c r="DB887" s="59"/>
      <c r="DC887" s="59"/>
      <c r="DD887" s="59"/>
      <c r="DE887" s="59"/>
      <c r="DF887" s="59"/>
      <c r="DG887" s="59"/>
      <c r="DH887" s="59"/>
      <c r="DI887" s="59"/>
      <c r="DJ887" s="59"/>
      <c r="DK887" s="59"/>
      <c r="DL887" s="59"/>
      <c r="DM887" s="59"/>
      <c r="DN887" s="59"/>
      <c r="DO887" s="59"/>
      <c r="DP887" s="59"/>
      <c r="DQ887" s="59"/>
      <c r="DR887" s="59"/>
      <c r="DS887" s="59"/>
      <c r="DT887" s="59"/>
      <c r="DU887" s="59"/>
      <c r="DV887" s="59"/>
      <c r="DW887" s="59"/>
      <c r="DX887" s="59"/>
      <c r="DY887" s="59"/>
      <c r="DZ887" s="59"/>
      <c r="EA887" s="59"/>
      <c r="EB887" s="59"/>
      <c r="EC887" s="59"/>
      <c r="ED887" s="59"/>
      <c r="EE887" s="59"/>
      <c r="EF887" s="59"/>
      <c r="EG887" s="59"/>
      <c r="EH887" s="59"/>
      <c r="EI887" s="59"/>
      <c r="EJ887" s="59"/>
      <c r="EK887" s="59"/>
      <c r="EL887" s="59"/>
      <c r="EM887" s="59"/>
      <c r="EN887" s="59"/>
      <c r="EO887" s="59"/>
      <c r="EP887" s="59"/>
      <c r="EQ887" s="59"/>
      <c r="ER887" s="59"/>
      <c r="ES887" s="59"/>
      <c r="ET887" s="59"/>
      <c r="EU887" s="59"/>
      <c r="EV887" s="59"/>
      <c r="EW887" s="59"/>
      <c r="EX887" s="59"/>
      <c r="EY887" s="59"/>
      <c r="EZ887" s="59"/>
      <c r="FA887" s="59"/>
      <c r="FB887" s="59"/>
      <c r="FC887" s="59"/>
      <c r="FD887" s="59"/>
      <c r="FE887" s="59"/>
      <c r="FF887" s="59"/>
      <c r="FG887" s="59"/>
      <c r="FH887" s="59"/>
      <c r="FI887" s="59"/>
      <c r="FJ887" s="59"/>
      <c r="FK887" s="59"/>
      <c r="FL887" s="59"/>
      <c r="FM887" s="59"/>
      <c r="FN887" s="59"/>
      <c r="FO887" s="59"/>
      <c r="FP887" s="59"/>
      <c r="FQ887" s="59"/>
      <c r="FR887" s="59"/>
      <c r="FS887" s="59"/>
      <c r="FT887" s="59"/>
      <c r="FU887" s="59"/>
      <c r="FV887" s="59"/>
      <c r="FW887" s="59"/>
      <c r="FX887" s="59"/>
      <c r="FY887" s="59"/>
      <c r="FZ887" s="59"/>
      <c r="GA887" s="59"/>
      <c r="GB887" s="59"/>
      <c r="GC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  <c r="BW888" s="59"/>
      <c r="BX888" s="59"/>
      <c r="BY888" s="59"/>
      <c r="BZ888" s="59"/>
      <c r="CA888" s="59"/>
      <c r="CB888" s="59"/>
      <c r="CC888" s="59"/>
      <c r="CD888" s="59"/>
      <c r="CE888" s="59"/>
      <c r="CF888" s="59"/>
      <c r="CG888" s="59"/>
      <c r="CH888" s="59"/>
      <c r="CI888" s="59"/>
      <c r="CJ888" s="59"/>
      <c r="CK888" s="59"/>
      <c r="CL888" s="59"/>
      <c r="CM888" s="59"/>
      <c r="CN888" s="59"/>
      <c r="CO888" s="59"/>
      <c r="CP888" s="59"/>
      <c r="CQ888" s="59"/>
      <c r="CR888" s="59"/>
      <c r="CS888" s="59"/>
      <c r="CT888" s="59"/>
      <c r="CU888" s="59"/>
      <c r="CV888" s="59"/>
      <c r="CW888" s="59"/>
      <c r="CX888" s="59"/>
      <c r="CY888" s="59"/>
      <c r="CZ888" s="59"/>
      <c r="DA888" s="59"/>
      <c r="DB888" s="59"/>
      <c r="DC888" s="59"/>
      <c r="DD888" s="59"/>
      <c r="DE888" s="59"/>
      <c r="DF888" s="59"/>
      <c r="DG888" s="59"/>
      <c r="DH888" s="59"/>
      <c r="DI888" s="59"/>
      <c r="DJ888" s="59"/>
      <c r="DK888" s="59"/>
      <c r="DL888" s="59"/>
      <c r="DM888" s="59"/>
      <c r="DN888" s="59"/>
      <c r="DO888" s="59"/>
      <c r="DP888" s="59"/>
      <c r="DQ888" s="59"/>
      <c r="DR888" s="59"/>
      <c r="DS888" s="59"/>
      <c r="DT888" s="59"/>
      <c r="DU888" s="59"/>
      <c r="DV888" s="59"/>
      <c r="DW888" s="59"/>
      <c r="DX888" s="59"/>
      <c r="DY888" s="59"/>
      <c r="DZ888" s="59"/>
      <c r="EA888" s="59"/>
      <c r="EB888" s="59"/>
      <c r="EC888" s="59"/>
      <c r="ED888" s="59"/>
      <c r="EE888" s="59"/>
      <c r="EF888" s="59"/>
      <c r="EG888" s="59"/>
      <c r="EH888" s="59"/>
      <c r="EI888" s="59"/>
      <c r="EJ888" s="59"/>
      <c r="EK888" s="59"/>
      <c r="EL888" s="59"/>
      <c r="EM888" s="59"/>
      <c r="EN888" s="59"/>
      <c r="EO888" s="59"/>
      <c r="EP888" s="59"/>
      <c r="EQ888" s="59"/>
      <c r="ER888" s="59"/>
      <c r="ES888" s="59"/>
      <c r="ET888" s="59"/>
      <c r="EU888" s="59"/>
      <c r="EV888" s="59"/>
      <c r="EW888" s="59"/>
      <c r="EX888" s="59"/>
      <c r="EY888" s="59"/>
      <c r="EZ888" s="59"/>
      <c r="FA888" s="59"/>
      <c r="FB888" s="59"/>
      <c r="FC888" s="59"/>
      <c r="FD888" s="59"/>
      <c r="FE888" s="59"/>
      <c r="FF888" s="59"/>
      <c r="FG888" s="59"/>
      <c r="FH888" s="59"/>
      <c r="FI888" s="59"/>
      <c r="FJ888" s="59"/>
      <c r="FK888" s="59"/>
      <c r="FL888" s="59"/>
      <c r="FM888" s="59"/>
      <c r="FN888" s="59"/>
      <c r="FO888" s="59"/>
      <c r="FP888" s="59"/>
      <c r="FQ888" s="59"/>
      <c r="FR888" s="59"/>
      <c r="FS888" s="59"/>
      <c r="FT888" s="59"/>
      <c r="FU888" s="59"/>
      <c r="FV888" s="59"/>
      <c r="FW888" s="59"/>
      <c r="FX888" s="59"/>
      <c r="FY888" s="59"/>
      <c r="FZ888" s="59"/>
      <c r="GA888" s="59"/>
      <c r="GB888" s="59"/>
      <c r="GC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  <c r="BV889" s="59"/>
      <c r="BW889" s="59"/>
      <c r="BX889" s="59"/>
      <c r="BY889" s="59"/>
      <c r="BZ889" s="59"/>
      <c r="CA889" s="59"/>
      <c r="CB889" s="59"/>
      <c r="CC889" s="59"/>
      <c r="CD889" s="59"/>
      <c r="CE889" s="59"/>
      <c r="CF889" s="59"/>
      <c r="CG889" s="59"/>
      <c r="CH889" s="59"/>
      <c r="CI889" s="59"/>
      <c r="CJ889" s="59"/>
      <c r="CK889" s="59"/>
      <c r="CL889" s="59"/>
      <c r="CM889" s="59"/>
      <c r="CN889" s="59"/>
      <c r="CO889" s="59"/>
      <c r="CP889" s="59"/>
      <c r="CQ889" s="59"/>
      <c r="CR889" s="59"/>
      <c r="CS889" s="59"/>
      <c r="CT889" s="59"/>
      <c r="CU889" s="59"/>
      <c r="CV889" s="59"/>
      <c r="CW889" s="59"/>
      <c r="CX889" s="59"/>
      <c r="CY889" s="59"/>
      <c r="CZ889" s="59"/>
      <c r="DA889" s="59"/>
      <c r="DB889" s="59"/>
      <c r="DC889" s="59"/>
      <c r="DD889" s="59"/>
      <c r="DE889" s="59"/>
      <c r="DF889" s="59"/>
      <c r="DG889" s="59"/>
      <c r="DH889" s="59"/>
      <c r="DI889" s="59"/>
      <c r="DJ889" s="59"/>
      <c r="DK889" s="59"/>
      <c r="DL889" s="59"/>
      <c r="DM889" s="59"/>
      <c r="DN889" s="59"/>
      <c r="DO889" s="59"/>
      <c r="DP889" s="59"/>
      <c r="DQ889" s="59"/>
      <c r="DR889" s="59"/>
      <c r="DS889" s="59"/>
      <c r="DT889" s="59"/>
      <c r="DU889" s="59"/>
      <c r="DV889" s="59"/>
      <c r="DW889" s="59"/>
      <c r="DX889" s="59"/>
      <c r="DY889" s="59"/>
      <c r="DZ889" s="59"/>
      <c r="EA889" s="59"/>
      <c r="EB889" s="59"/>
      <c r="EC889" s="59"/>
      <c r="ED889" s="59"/>
      <c r="EE889" s="59"/>
      <c r="EF889" s="59"/>
      <c r="EG889" s="59"/>
      <c r="EH889" s="59"/>
      <c r="EI889" s="59"/>
      <c r="EJ889" s="59"/>
      <c r="EK889" s="59"/>
      <c r="EL889" s="59"/>
      <c r="EM889" s="59"/>
      <c r="EN889" s="59"/>
      <c r="EO889" s="59"/>
      <c r="EP889" s="59"/>
      <c r="EQ889" s="59"/>
      <c r="ER889" s="59"/>
      <c r="ES889" s="59"/>
      <c r="ET889" s="59"/>
      <c r="EU889" s="59"/>
      <c r="EV889" s="59"/>
      <c r="EW889" s="59"/>
      <c r="EX889" s="59"/>
      <c r="EY889" s="59"/>
      <c r="EZ889" s="59"/>
      <c r="FA889" s="59"/>
      <c r="FB889" s="59"/>
      <c r="FC889" s="59"/>
      <c r="FD889" s="59"/>
      <c r="FE889" s="59"/>
      <c r="FF889" s="59"/>
      <c r="FG889" s="59"/>
      <c r="FH889" s="59"/>
      <c r="FI889" s="59"/>
      <c r="FJ889" s="59"/>
      <c r="FK889" s="59"/>
      <c r="FL889" s="59"/>
      <c r="FM889" s="59"/>
      <c r="FN889" s="59"/>
      <c r="FO889" s="59"/>
      <c r="FP889" s="59"/>
      <c r="FQ889" s="59"/>
      <c r="FR889" s="59"/>
      <c r="FS889" s="59"/>
      <c r="FT889" s="59"/>
      <c r="FU889" s="59"/>
      <c r="FV889" s="59"/>
      <c r="FW889" s="59"/>
      <c r="FX889" s="59"/>
      <c r="FY889" s="59"/>
      <c r="FZ889" s="59"/>
      <c r="GA889" s="59"/>
      <c r="GB889" s="59"/>
      <c r="GC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  <c r="BV890" s="59"/>
      <c r="BW890" s="59"/>
      <c r="BX890" s="59"/>
      <c r="BY890" s="59"/>
      <c r="BZ890" s="59"/>
      <c r="CA890" s="59"/>
      <c r="CB890" s="59"/>
      <c r="CC890" s="59"/>
      <c r="CD890" s="59"/>
      <c r="CE890" s="59"/>
      <c r="CF890" s="59"/>
      <c r="CG890" s="59"/>
      <c r="CH890" s="59"/>
      <c r="CI890" s="59"/>
      <c r="CJ890" s="59"/>
      <c r="CK890" s="59"/>
      <c r="CL890" s="59"/>
      <c r="CM890" s="59"/>
      <c r="CN890" s="59"/>
      <c r="CO890" s="59"/>
      <c r="CP890" s="59"/>
      <c r="CQ890" s="59"/>
      <c r="CR890" s="59"/>
      <c r="CS890" s="59"/>
      <c r="CT890" s="59"/>
      <c r="CU890" s="59"/>
      <c r="CV890" s="59"/>
      <c r="CW890" s="59"/>
      <c r="CX890" s="59"/>
      <c r="CY890" s="59"/>
      <c r="CZ890" s="59"/>
      <c r="DA890" s="59"/>
      <c r="DB890" s="59"/>
      <c r="DC890" s="59"/>
      <c r="DD890" s="59"/>
      <c r="DE890" s="59"/>
      <c r="DF890" s="59"/>
      <c r="DG890" s="59"/>
      <c r="DH890" s="59"/>
      <c r="DI890" s="59"/>
      <c r="DJ890" s="59"/>
      <c r="DK890" s="59"/>
      <c r="DL890" s="59"/>
      <c r="DM890" s="59"/>
      <c r="DN890" s="59"/>
      <c r="DO890" s="59"/>
      <c r="DP890" s="59"/>
      <c r="DQ890" s="59"/>
      <c r="DR890" s="59"/>
      <c r="DS890" s="59"/>
      <c r="DT890" s="59"/>
      <c r="DU890" s="59"/>
      <c r="DV890" s="59"/>
      <c r="DW890" s="59"/>
      <c r="DX890" s="59"/>
      <c r="DY890" s="59"/>
      <c r="DZ890" s="59"/>
      <c r="EA890" s="59"/>
      <c r="EB890" s="59"/>
      <c r="EC890" s="59"/>
      <c r="ED890" s="59"/>
      <c r="EE890" s="59"/>
      <c r="EF890" s="59"/>
      <c r="EG890" s="59"/>
      <c r="EH890" s="59"/>
      <c r="EI890" s="59"/>
      <c r="EJ890" s="59"/>
      <c r="EK890" s="59"/>
      <c r="EL890" s="59"/>
      <c r="EM890" s="59"/>
      <c r="EN890" s="59"/>
      <c r="EO890" s="59"/>
      <c r="EP890" s="59"/>
      <c r="EQ890" s="59"/>
      <c r="ER890" s="59"/>
      <c r="ES890" s="59"/>
      <c r="ET890" s="59"/>
      <c r="EU890" s="59"/>
      <c r="EV890" s="59"/>
      <c r="EW890" s="59"/>
      <c r="EX890" s="59"/>
      <c r="EY890" s="59"/>
      <c r="EZ890" s="59"/>
      <c r="FA890" s="59"/>
      <c r="FB890" s="59"/>
      <c r="FC890" s="59"/>
      <c r="FD890" s="59"/>
      <c r="FE890" s="59"/>
      <c r="FF890" s="59"/>
      <c r="FG890" s="59"/>
      <c r="FH890" s="59"/>
      <c r="FI890" s="59"/>
      <c r="FJ890" s="59"/>
      <c r="FK890" s="59"/>
      <c r="FL890" s="59"/>
      <c r="FM890" s="59"/>
      <c r="FN890" s="59"/>
      <c r="FO890" s="59"/>
      <c r="FP890" s="59"/>
      <c r="FQ890" s="59"/>
      <c r="FR890" s="59"/>
      <c r="FS890" s="59"/>
      <c r="FT890" s="59"/>
      <c r="FU890" s="59"/>
      <c r="FV890" s="59"/>
      <c r="FW890" s="59"/>
      <c r="FX890" s="59"/>
      <c r="FY890" s="59"/>
      <c r="FZ890" s="59"/>
      <c r="GA890" s="59"/>
      <c r="GB890" s="59"/>
      <c r="GC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  <c r="BV891" s="59"/>
      <c r="BW891" s="59"/>
      <c r="BX891" s="59"/>
      <c r="BY891" s="59"/>
      <c r="BZ891" s="59"/>
      <c r="CA891" s="59"/>
      <c r="CB891" s="59"/>
      <c r="CC891" s="59"/>
      <c r="CD891" s="59"/>
      <c r="CE891" s="59"/>
      <c r="CF891" s="59"/>
      <c r="CG891" s="59"/>
      <c r="CH891" s="59"/>
      <c r="CI891" s="59"/>
      <c r="CJ891" s="59"/>
      <c r="CK891" s="59"/>
      <c r="CL891" s="59"/>
      <c r="CM891" s="59"/>
      <c r="CN891" s="59"/>
      <c r="CO891" s="59"/>
      <c r="CP891" s="59"/>
      <c r="CQ891" s="59"/>
      <c r="CR891" s="59"/>
      <c r="CS891" s="59"/>
      <c r="CT891" s="59"/>
      <c r="CU891" s="59"/>
      <c r="CV891" s="59"/>
      <c r="CW891" s="59"/>
      <c r="CX891" s="59"/>
      <c r="CY891" s="59"/>
      <c r="CZ891" s="59"/>
      <c r="DA891" s="59"/>
      <c r="DB891" s="59"/>
      <c r="DC891" s="59"/>
      <c r="DD891" s="59"/>
      <c r="DE891" s="59"/>
      <c r="DF891" s="59"/>
      <c r="DG891" s="59"/>
      <c r="DH891" s="59"/>
      <c r="DI891" s="59"/>
      <c r="DJ891" s="59"/>
      <c r="DK891" s="59"/>
      <c r="DL891" s="59"/>
      <c r="DM891" s="59"/>
      <c r="DN891" s="59"/>
      <c r="DO891" s="59"/>
      <c r="DP891" s="59"/>
      <c r="DQ891" s="59"/>
      <c r="DR891" s="59"/>
      <c r="DS891" s="59"/>
      <c r="DT891" s="59"/>
      <c r="DU891" s="59"/>
      <c r="DV891" s="59"/>
      <c r="DW891" s="59"/>
      <c r="DX891" s="59"/>
      <c r="DY891" s="59"/>
      <c r="DZ891" s="59"/>
      <c r="EA891" s="59"/>
      <c r="EB891" s="59"/>
      <c r="EC891" s="59"/>
      <c r="ED891" s="59"/>
      <c r="EE891" s="59"/>
      <c r="EF891" s="59"/>
      <c r="EG891" s="59"/>
      <c r="EH891" s="59"/>
      <c r="EI891" s="59"/>
      <c r="EJ891" s="59"/>
      <c r="EK891" s="59"/>
      <c r="EL891" s="59"/>
      <c r="EM891" s="59"/>
      <c r="EN891" s="59"/>
      <c r="EO891" s="59"/>
      <c r="EP891" s="59"/>
      <c r="EQ891" s="59"/>
      <c r="ER891" s="59"/>
      <c r="ES891" s="59"/>
      <c r="ET891" s="59"/>
      <c r="EU891" s="59"/>
      <c r="EV891" s="59"/>
      <c r="EW891" s="59"/>
      <c r="EX891" s="59"/>
      <c r="EY891" s="59"/>
      <c r="EZ891" s="59"/>
      <c r="FA891" s="59"/>
      <c r="FB891" s="59"/>
      <c r="FC891" s="59"/>
      <c r="FD891" s="59"/>
      <c r="FE891" s="59"/>
      <c r="FF891" s="59"/>
      <c r="FG891" s="59"/>
      <c r="FH891" s="59"/>
      <c r="FI891" s="59"/>
      <c r="FJ891" s="59"/>
      <c r="FK891" s="59"/>
      <c r="FL891" s="59"/>
      <c r="FM891" s="59"/>
      <c r="FN891" s="59"/>
      <c r="FO891" s="59"/>
      <c r="FP891" s="59"/>
      <c r="FQ891" s="59"/>
      <c r="FR891" s="59"/>
      <c r="FS891" s="59"/>
      <c r="FT891" s="59"/>
      <c r="FU891" s="59"/>
      <c r="FV891" s="59"/>
      <c r="FW891" s="59"/>
      <c r="FX891" s="59"/>
      <c r="FY891" s="59"/>
      <c r="FZ891" s="59"/>
      <c r="GA891" s="59"/>
      <c r="GB891" s="59"/>
      <c r="GC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  <c r="BV892" s="59"/>
      <c r="BW892" s="59"/>
      <c r="BX892" s="59"/>
      <c r="BY892" s="59"/>
      <c r="BZ892" s="59"/>
      <c r="CA892" s="59"/>
      <c r="CB892" s="59"/>
      <c r="CC892" s="59"/>
      <c r="CD892" s="59"/>
      <c r="CE892" s="59"/>
      <c r="CF892" s="59"/>
      <c r="CG892" s="59"/>
      <c r="CH892" s="59"/>
      <c r="CI892" s="59"/>
      <c r="CJ892" s="59"/>
      <c r="CK892" s="59"/>
      <c r="CL892" s="59"/>
      <c r="CM892" s="59"/>
      <c r="CN892" s="59"/>
      <c r="CO892" s="59"/>
      <c r="CP892" s="59"/>
      <c r="CQ892" s="59"/>
      <c r="CR892" s="59"/>
      <c r="CS892" s="59"/>
      <c r="CT892" s="59"/>
      <c r="CU892" s="59"/>
      <c r="CV892" s="59"/>
      <c r="CW892" s="59"/>
      <c r="CX892" s="59"/>
      <c r="CY892" s="59"/>
      <c r="CZ892" s="59"/>
      <c r="DA892" s="59"/>
      <c r="DB892" s="59"/>
      <c r="DC892" s="59"/>
      <c r="DD892" s="59"/>
      <c r="DE892" s="59"/>
      <c r="DF892" s="59"/>
      <c r="DG892" s="59"/>
      <c r="DH892" s="59"/>
      <c r="DI892" s="59"/>
      <c r="DJ892" s="59"/>
      <c r="DK892" s="59"/>
      <c r="DL892" s="59"/>
      <c r="DM892" s="59"/>
      <c r="DN892" s="59"/>
      <c r="DO892" s="59"/>
      <c r="DP892" s="59"/>
      <c r="DQ892" s="59"/>
      <c r="DR892" s="59"/>
      <c r="DS892" s="59"/>
      <c r="DT892" s="59"/>
      <c r="DU892" s="59"/>
      <c r="DV892" s="59"/>
      <c r="DW892" s="59"/>
      <c r="DX892" s="59"/>
      <c r="DY892" s="59"/>
      <c r="DZ892" s="59"/>
      <c r="EA892" s="59"/>
      <c r="EB892" s="59"/>
      <c r="EC892" s="59"/>
      <c r="ED892" s="59"/>
      <c r="EE892" s="59"/>
      <c r="EF892" s="59"/>
      <c r="EG892" s="59"/>
      <c r="EH892" s="59"/>
      <c r="EI892" s="59"/>
      <c r="EJ892" s="59"/>
      <c r="EK892" s="59"/>
      <c r="EL892" s="59"/>
      <c r="EM892" s="59"/>
      <c r="EN892" s="59"/>
      <c r="EO892" s="59"/>
      <c r="EP892" s="59"/>
      <c r="EQ892" s="59"/>
      <c r="ER892" s="59"/>
      <c r="ES892" s="59"/>
      <c r="ET892" s="59"/>
      <c r="EU892" s="59"/>
      <c r="EV892" s="59"/>
      <c r="EW892" s="59"/>
      <c r="EX892" s="59"/>
      <c r="EY892" s="59"/>
      <c r="EZ892" s="59"/>
      <c r="FA892" s="59"/>
      <c r="FB892" s="59"/>
      <c r="FC892" s="59"/>
      <c r="FD892" s="59"/>
      <c r="FE892" s="59"/>
      <c r="FF892" s="59"/>
      <c r="FG892" s="59"/>
      <c r="FH892" s="59"/>
      <c r="FI892" s="59"/>
      <c r="FJ892" s="59"/>
      <c r="FK892" s="59"/>
      <c r="FL892" s="59"/>
      <c r="FM892" s="59"/>
      <c r="FN892" s="59"/>
      <c r="FO892" s="59"/>
      <c r="FP892" s="59"/>
      <c r="FQ892" s="59"/>
      <c r="FR892" s="59"/>
      <c r="FS892" s="59"/>
      <c r="FT892" s="59"/>
      <c r="FU892" s="59"/>
      <c r="FV892" s="59"/>
      <c r="FW892" s="59"/>
      <c r="FX892" s="59"/>
      <c r="FY892" s="59"/>
      <c r="FZ892" s="59"/>
      <c r="GA892" s="59"/>
      <c r="GB892" s="59"/>
      <c r="GC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  <c r="BW893" s="59"/>
      <c r="BX893" s="59"/>
      <c r="BY893" s="59"/>
      <c r="BZ893" s="59"/>
      <c r="CA893" s="59"/>
      <c r="CB893" s="59"/>
      <c r="CC893" s="59"/>
      <c r="CD893" s="59"/>
      <c r="CE893" s="59"/>
      <c r="CF893" s="59"/>
      <c r="CG893" s="59"/>
      <c r="CH893" s="59"/>
      <c r="CI893" s="59"/>
      <c r="CJ893" s="59"/>
      <c r="CK893" s="59"/>
      <c r="CL893" s="59"/>
      <c r="CM893" s="59"/>
      <c r="CN893" s="59"/>
      <c r="CO893" s="59"/>
      <c r="CP893" s="59"/>
      <c r="CQ893" s="59"/>
      <c r="CR893" s="59"/>
      <c r="CS893" s="59"/>
      <c r="CT893" s="59"/>
      <c r="CU893" s="59"/>
      <c r="CV893" s="59"/>
      <c r="CW893" s="59"/>
      <c r="CX893" s="59"/>
      <c r="CY893" s="59"/>
      <c r="CZ893" s="59"/>
      <c r="DA893" s="59"/>
      <c r="DB893" s="59"/>
      <c r="DC893" s="59"/>
      <c r="DD893" s="59"/>
      <c r="DE893" s="59"/>
      <c r="DF893" s="59"/>
      <c r="DG893" s="59"/>
      <c r="DH893" s="59"/>
      <c r="DI893" s="59"/>
      <c r="DJ893" s="59"/>
      <c r="DK893" s="59"/>
      <c r="DL893" s="59"/>
      <c r="DM893" s="59"/>
      <c r="DN893" s="59"/>
      <c r="DO893" s="59"/>
      <c r="DP893" s="59"/>
      <c r="DQ893" s="59"/>
      <c r="DR893" s="59"/>
      <c r="DS893" s="59"/>
      <c r="DT893" s="59"/>
      <c r="DU893" s="59"/>
      <c r="DV893" s="59"/>
      <c r="DW893" s="59"/>
      <c r="DX893" s="59"/>
      <c r="DY893" s="59"/>
      <c r="DZ893" s="59"/>
      <c r="EA893" s="59"/>
      <c r="EB893" s="59"/>
      <c r="EC893" s="59"/>
      <c r="ED893" s="59"/>
      <c r="EE893" s="59"/>
      <c r="EF893" s="59"/>
      <c r="EG893" s="59"/>
      <c r="EH893" s="59"/>
      <c r="EI893" s="59"/>
      <c r="EJ893" s="59"/>
      <c r="EK893" s="59"/>
      <c r="EL893" s="59"/>
      <c r="EM893" s="59"/>
      <c r="EN893" s="59"/>
      <c r="EO893" s="59"/>
      <c r="EP893" s="59"/>
      <c r="EQ893" s="59"/>
      <c r="ER893" s="59"/>
      <c r="ES893" s="59"/>
      <c r="ET893" s="59"/>
      <c r="EU893" s="59"/>
      <c r="EV893" s="59"/>
      <c r="EW893" s="59"/>
      <c r="EX893" s="59"/>
      <c r="EY893" s="59"/>
      <c r="EZ893" s="59"/>
      <c r="FA893" s="59"/>
      <c r="FB893" s="59"/>
      <c r="FC893" s="59"/>
      <c r="FD893" s="59"/>
      <c r="FE893" s="59"/>
      <c r="FF893" s="59"/>
      <c r="FG893" s="59"/>
      <c r="FH893" s="59"/>
      <c r="FI893" s="59"/>
      <c r="FJ893" s="59"/>
      <c r="FK893" s="59"/>
      <c r="FL893" s="59"/>
      <c r="FM893" s="59"/>
      <c r="FN893" s="59"/>
      <c r="FO893" s="59"/>
      <c r="FP893" s="59"/>
      <c r="FQ893" s="59"/>
      <c r="FR893" s="59"/>
      <c r="FS893" s="59"/>
      <c r="FT893" s="59"/>
      <c r="FU893" s="59"/>
      <c r="FV893" s="59"/>
      <c r="FW893" s="59"/>
      <c r="FX893" s="59"/>
      <c r="FY893" s="59"/>
      <c r="FZ893" s="59"/>
      <c r="GA893" s="59"/>
      <c r="GB893" s="59"/>
      <c r="GC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  <c r="BV894" s="59"/>
      <c r="BW894" s="59"/>
      <c r="BX894" s="59"/>
      <c r="BY894" s="59"/>
      <c r="BZ894" s="59"/>
      <c r="CA894" s="59"/>
      <c r="CB894" s="59"/>
      <c r="CC894" s="59"/>
      <c r="CD894" s="59"/>
      <c r="CE894" s="59"/>
      <c r="CF894" s="59"/>
      <c r="CG894" s="59"/>
      <c r="CH894" s="59"/>
      <c r="CI894" s="59"/>
      <c r="CJ894" s="59"/>
      <c r="CK894" s="59"/>
      <c r="CL894" s="59"/>
      <c r="CM894" s="59"/>
      <c r="CN894" s="59"/>
      <c r="CO894" s="59"/>
      <c r="CP894" s="59"/>
      <c r="CQ894" s="59"/>
      <c r="CR894" s="59"/>
      <c r="CS894" s="59"/>
      <c r="CT894" s="59"/>
      <c r="CU894" s="59"/>
      <c r="CV894" s="59"/>
      <c r="CW894" s="59"/>
      <c r="CX894" s="59"/>
      <c r="CY894" s="59"/>
      <c r="CZ894" s="59"/>
      <c r="DA894" s="59"/>
      <c r="DB894" s="59"/>
      <c r="DC894" s="59"/>
      <c r="DD894" s="59"/>
      <c r="DE894" s="59"/>
      <c r="DF894" s="59"/>
      <c r="DG894" s="59"/>
      <c r="DH894" s="59"/>
      <c r="DI894" s="59"/>
      <c r="DJ894" s="59"/>
      <c r="DK894" s="59"/>
      <c r="DL894" s="59"/>
      <c r="DM894" s="59"/>
      <c r="DN894" s="59"/>
      <c r="DO894" s="59"/>
      <c r="DP894" s="59"/>
      <c r="DQ894" s="59"/>
      <c r="DR894" s="59"/>
      <c r="DS894" s="59"/>
      <c r="DT894" s="59"/>
      <c r="DU894" s="59"/>
      <c r="DV894" s="59"/>
      <c r="DW894" s="59"/>
      <c r="DX894" s="59"/>
      <c r="DY894" s="59"/>
      <c r="DZ894" s="59"/>
      <c r="EA894" s="59"/>
      <c r="EB894" s="59"/>
      <c r="EC894" s="59"/>
      <c r="ED894" s="59"/>
      <c r="EE894" s="59"/>
      <c r="EF894" s="59"/>
      <c r="EG894" s="59"/>
      <c r="EH894" s="59"/>
      <c r="EI894" s="59"/>
      <c r="EJ894" s="59"/>
      <c r="EK894" s="59"/>
      <c r="EL894" s="59"/>
      <c r="EM894" s="59"/>
      <c r="EN894" s="59"/>
      <c r="EO894" s="59"/>
      <c r="EP894" s="59"/>
      <c r="EQ894" s="59"/>
      <c r="ER894" s="59"/>
      <c r="ES894" s="59"/>
      <c r="ET894" s="59"/>
      <c r="EU894" s="59"/>
      <c r="EV894" s="59"/>
      <c r="EW894" s="59"/>
      <c r="EX894" s="59"/>
      <c r="EY894" s="59"/>
      <c r="EZ894" s="59"/>
      <c r="FA894" s="59"/>
      <c r="FB894" s="59"/>
      <c r="FC894" s="59"/>
      <c r="FD894" s="59"/>
      <c r="FE894" s="59"/>
      <c r="FF894" s="59"/>
      <c r="FG894" s="59"/>
      <c r="FH894" s="59"/>
      <c r="FI894" s="59"/>
      <c r="FJ894" s="59"/>
      <c r="FK894" s="59"/>
      <c r="FL894" s="59"/>
      <c r="FM894" s="59"/>
      <c r="FN894" s="59"/>
      <c r="FO894" s="59"/>
      <c r="FP894" s="59"/>
      <c r="FQ894" s="59"/>
      <c r="FR894" s="59"/>
      <c r="FS894" s="59"/>
      <c r="FT894" s="59"/>
      <c r="FU894" s="59"/>
      <c r="FV894" s="59"/>
      <c r="FW894" s="59"/>
      <c r="FX894" s="59"/>
      <c r="FY894" s="59"/>
      <c r="FZ894" s="59"/>
      <c r="GA894" s="59"/>
      <c r="GB894" s="59"/>
      <c r="GC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  <c r="BW895" s="59"/>
      <c r="BX895" s="59"/>
      <c r="BY895" s="59"/>
      <c r="BZ895" s="59"/>
      <c r="CA895" s="59"/>
      <c r="CB895" s="59"/>
      <c r="CC895" s="59"/>
      <c r="CD895" s="59"/>
      <c r="CE895" s="59"/>
      <c r="CF895" s="59"/>
      <c r="CG895" s="59"/>
      <c r="CH895" s="59"/>
      <c r="CI895" s="59"/>
      <c r="CJ895" s="59"/>
      <c r="CK895" s="59"/>
      <c r="CL895" s="59"/>
      <c r="CM895" s="59"/>
      <c r="CN895" s="59"/>
      <c r="CO895" s="59"/>
      <c r="CP895" s="59"/>
      <c r="CQ895" s="59"/>
      <c r="CR895" s="59"/>
      <c r="CS895" s="59"/>
      <c r="CT895" s="59"/>
      <c r="CU895" s="59"/>
      <c r="CV895" s="59"/>
      <c r="CW895" s="59"/>
      <c r="CX895" s="59"/>
      <c r="CY895" s="59"/>
      <c r="CZ895" s="59"/>
      <c r="DA895" s="59"/>
      <c r="DB895" s="59"/>
      <c r="DC895" s="59"/>
      <c r="DD895" s="59"/>
      <c r="DE895" s="59"/>
      <c r="DF895" s="59"/>
      <c r="DG895" s="59"/>
      <c r="DH895" s="59"/>
      <c r="DI895" s="59"/>
      <c r="DJ895" s="59"/>
      <c r="DK895" s="59"/>
      <c r="DL895" s="59"/>
      <c r="DM895" s="59"/>
      <c r="DN895" s="59"/>
      <c r="DO895" s="59"/>
      <c r="DP895" s="59"/>
      <c r="DQ895" s="59"/>
      <c r="DR895" s="59"/>
      <c r="DS895" s="59"/>
      <c r="DT895" s="59"/>
      <c r="DU895" s="59"/>
      <c r="DV895" s="59"/>
      <c r="DW895" s="59"/>
      <c r="DX895" s="59"/>
      <c r="DY895" s="59"/>
      <c r="DZ895" s="59"/>
      <c r="EA895" s="59"/>
      <c r="EB895" s="59"/>
      <c r="EC895" s="59"/>
      <c r="ED895" s="59"/>
      <c r="EE895" s="59"/>
      <c r="EF895" s="59"/>
      <c r="EG895" s="59"/>
      <c r="EH895" s="59"/>
      <c r="EI895" s="59"/>
      <c r="EJ895" s="59"/>
      <c r="EK895" s="59"/>
      <c r="EL895" s="59"/>
      <c r="EM895" s="59"/>
      <c r="EN895" s="59"/>
      <c r="EO895" s="59"/>
      <c r="EP895" s="59"/>
      <c r="EQ895" s="59"/>
      <c r="ER895" s="59"/>
      <c r="ES895" s="59"/>
      <c r="ET895" s="59"/>
      <c r="EU895" s="59"/>
      <c r="EV895" s="59"/>
      <c r="EW895" s="59"/>
      <c r="EX895" s="59"/>
      <c r="EY895" s="59"/>
      <c r="EZ895" s="59"/>
      <c r="FA895" s="59"/>
      <c r="FB895" s="59"/>
      <c r="FC895" s="59"/>
      <c r="FD895" s="59"/>
      <c r="FE895" s="59"/>
      <c r="FF895" s="59"/>
      <c r="FG895" s="59"/>
      <c r="FH895" s="59"/>
      <c r="FI895" s="59"/>
      <c r="FJ895" s="59"/>
      <c r="FK895" s="59"/>
      <c r="FL895" s="59"/>
      <c r="FM895" s="59"/>
      <c r="FN895" s="59"/>
      <c r="FO895" s="59"/>
      <c r="FP895" s="59"/>
      <c r="FQ895" s="59"/>
      <c r="FR895" s="59"/>
      <c r="FS895" s="59"/>
      <c r="FT895" s="59"/>
      <c r="FU895" s="59"/>
      <c r="FV895" s="59"/>
      <c r="FW895" s="59"/>
      <c r="FX895" s="59"/>
      <c r="FY895" s="59"/>
      <c r="FZ895" s="59"/>
      <c r="GA895" s="59"/>
      <c r="GB895" s="59"/>
      <c r="GC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  <c r="BW896" s="59"/>
      <c r="BX896" s="59"/>
      <c r="BY896" s="59"/>
      <c r="BZ896" s="59"/>
      <c r="CA896" s="59"/>
      <c r="CB896" s="59"/>
      <c r="CC896" s="59"/>
      <c r="CD896" s="59"/>
      <c r="CE896" s="59"/>
      <c r="CF896" s="59"/>
      <c r="CG896" s="59"/>
      <c r="CH896" s="59"/>
      <c r="CI896" s="59"/>
      <c r="CJ896" s="59"/>
      <c r="CK896" s="59"/>
      <c r="CL896" s="59"/>
      <c r="CM896" s="59"/>
      <c r="CN896" s="59"/>
      <c r="CO896" s="59"/>
      <c r="CP896" s="59"/>
      <c r="CQ896" s="59"/>
      <c r="CR896" s="59"/>
      <c r="CS896" s="59"/>
      <c r="CT896" s="59"/>
      <c r="CU896" s="59"/>
      <c r="CV896" s="59"/>
      <c r="CW896" s="59"/>
      <c r="CX896" s="59"/>
      <c r="CY896" s="59"/>
      <c r="CZ896" s="59"/>
      <c r="DA896" s="59"/>
      <c r="DB896" s="59"/>
      <c r="DC896" s="59"/>
      <c r="DD896" s="59"/>
      <c r="DE896" s="59"/>
      <c r="DF896" s="59"/>
      <c r="DG896" s="59"/>
      <c r="DH896" s="59"/>
      <c r="DI896" s="59"/>
      <c r="DJ896" s="59"/>
      <c r="DK896" s="59"/>
      <c r="DL896" s="59"/>
      <c r="DM896" s="59"/>
      <c r="DN896" s="59"/>
      <c r="DO896" s="59"/>
      <c r="DP896" s="59"/>
      <c r="DQ896" s="59"/>
      <c r="DR896" s="59"/>
      <c r="DS896" s="59"/>
      <c r="DT896" s="59"/>
      <c r="DU896" s="59"/>
      <c r="DV896" s="59"/>
      <c r="DW896" s="59"/>
      <c r="DX896" s="59"/>
      <c r="DY896" s="59"/>
      <c r="DZ896" s="59"/>
      <c r="EA896" s="59"/>
      <c r="EB896" s="59"/>
      <c r="EC896" s="59"/>
      <c r="ED896" s="59"/>
      <c r="EE896" s="59"/>
      <c r="EF896" s="59"/>
      <c r="EG896" s="59"/>
      <c r="EH896" s="59"/>
      <c r="EI896" s="59"/>
      <c r="EJ896" s="59"/>
      <c r="EK896" s="59"/>
      <c r="EL896" s="59"/>
      <c r="EM896" s="59"/>
      <c r="EN896" s="59"/>
      <c r="EO896" s="59"/>
      <c r="EP896" s="59"/>
      <c r="EQ896" s="59"/>
      <c r="ER896" s="59"/>
      <c r="ES896" s="59"/>
      <c r="ET896" s="59"/>
      <c r="EU896" s="59"/>
      <c r="EV896" s="59"/>
      <c r="EW896" s="59"/>
      <c r="EX896" s="59"/>
      <c r="EY896" s="59"/>
      <c r="EZ896" s="59"/>
      <c r="FA896" s="59"/>
      <c r="FB896" s="59"/>
      <c r="FC896" s="59"/>
      <c r="FD896" s="59"/>
      <c r="FE896" s="59"/>
      <c r="FF896" s="59"/>
      <c r="FG896" s="59"/>
      <c r="FH896" s="59"/>
      <c r="FI896" s="59"/>
      <c r="FJ896" s="59"/>
      <c r="FK896" s="59"/>
      <c r="FL896" s="59"/>
      <c r="FM896" s="59"/>
      <c r="FN896" s="59"/>
      <c r="FO896" s="59"/>
      <c r="FP896" s="59"/>
      <c r="FQ896" s="59"/>
      <c r="FR896" s="59"/>
      <c r="FS896" s="59"/>
      <c r="FT896" s="59"/>
      <c r="FU896" s="59"/>
      <c r="FV896" s="59"/>
      <c r="FW896" s="59"/>
      <c r="FX896" s="59"/>
      <c r="FY896" s="59"/>
      <c r="FZ896" s="59"/>
      <c r="GA896" s="59"/>
      <c r="GB896" s="59"/>
      <c r="GC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  <c r="BV897" s="59"/>
      <c r="BW897" s="59"/>
      <c r="BX897" s="59"/>
      <c r="BY897" s="59"/>
      <c r="BZ897" s="59"/>
      <c r="CA897" s="59"/>
      <c r="CB897" s="59"/>
      <c r="CC897" s="59"/>
      <c r="CD897" s="59"/>
      <c r="CE897" s="59"/>
      <c r="CF897" s="59"/>
      <c r="CG897" s="59"/>
      <c r="CH897" s="59"/>
      <c r="CI897" s="59"/>
      <c r="CJ897" s="59"/>
      <c r="CK897" s="59"/>
      <c r="CL897" s="59"/>
      <c r="CM897" s="59"/>
      <c r="CN897" s="59"/>
      <c r="CO897" s="59"/>
      <c r="CP897" s="59"/>
      <c r="CQ897" s="59"/>
      <c r="CR897" s="59"/>
      <c r="CS897" s="59"/>
      <c r="CT897" s="59"/>
      <c r="CU897" s="59"/>
      <c r="CV897" s="59"/>
      <c r="CW897" s="59"/>
      <c r="CX897" s="59"/>
      <c r="CY897" s="59"/>
      <c r="CZ897" s="59"/>
      <c r="DA897" s="59"/>
      <c r="DB897" s="59"/>
      <c r="DC897" s="59"/>
      <c r="DD897" s="59"/>
      <c r="DE897" s="59"/>
      <c r="DF897" s="59"/>
      <c r="DG897" s="59"/>
      <c r="DH897" s="59"/>
      <c r="DI897" s="59"/>
      <c r="DJ897" s="59"/>
      <c r="DK897" s="59"/>
      <c r="DL897" s="59"/>
      <c r="DM897" s="59"/>
      <c r="DN897" s="59"/>
      <c r="DO897" s="59"/>
      <c r="DP897" s="59"/>
      <c r="DQ897" s="59"/>
      <c r="DR897" s="59"/>
      <c r="DS897" s="59"/>
      <c r="DT897" s="59"/>
      <c r="DU897" s="59"/>
      <c r="DV897" s="59"/>
      <c r="DW897" s="59"/>
      <c r="DX897" s="59"/>
      <c r="DY897" s="59"/>
      <c r="DZ897" s="59"/>
      <c r="EA897" s="59"/>
      <c r="EB897" s="59"/>
      <c r="EC897" s="59"/>
      <c r="ED897" s="59"/>
      <c r="EE897" s="59"/>
      <c r="EF897" s="59"/>
      <c r="EG897" s="59"/>
      <c r="EH897" s="59"/>
      <c r="EI897" s="59"/>
      <c r="EJ897" s="59"/>
      <c r="EK897" s="59"/>
      <c r="EL897" s="59"/>
      <c r="EM897" s="59"/>
      <c r="EN897" s="59"/>
      <c r="EO897" s="59"/>
      <c r="EP897" s="59"/>
      <c r="EQ897" s="59"/>
      <c r="ER897" s="59"/>
      <c r="ES897" s="59"/>
      <c r="ET897" s="59"/>
      <c r="EU897" s="59"/>
      <c r="EV897" s="59"/>
      <c r="EW897" s="59"/>
      <c r="EX897" s="59"/>
      <c r="EY897" s="59"/>
      <c r="EZ897" s="59"/>
      <c r="FA897" s="59"/>
      <c r="FB897" s="59"/>
      <c r="FC897" s="59"/>
      <c r="FD897" s="59"/>
      <c r="FE897" s="59"/>
      <c r="FF897" s="59"/>
      <c r="FG897" s="59"/>
      <c r="FH897" s="59"/>
      <c r="FI897" s="59"/>
      <c r="FJ897" s="59"/>
      <c r="FK897" s="59"/>
      <c r="FL897" s="59"/>
      <c r="FM897" s="59"/>
      <c r="FN897" s="59"/>
      <c r="FO897" s="59"/>
      <c r="FP897" s="59"/>
      <c r="FQ897" s="59"/>
      <c r="FR897" s="59"/>
      <c r="FS897" s="59"/>
      <c r="FT897" s="59"/>
      <c r="FU897" s="59"/>
      <c r="FV897" s="59"/>
      <c r="FW897" s="59"/>
      <c r="FX897" s="59"/>
      <c r="FY897" s="59"/>
      <c r="FZ897" s="59"/>
      <c r="GA897" s="59"/>
      <c r="GB897" s="59"/>
      <c r="GC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  <c r="BV898" s="59"/>
      <c r="BW898" s="59"/>
      <c r="BX898" s="59"/>
      <c r="BY898" s="59"/>
      <c r="BZ898" s="59"/>
      <c r="CA898" s="59"/>
      <c r="CB898" s="59"/>
      <c r="CC898" s="59"/>
      <c r="CD898" s="59"/>
      <c r="CE898" s="59"/>
      <c r="CF898" s="59"/>
      <c r="CG898" s="59"/>
      <c r="CH898" s="59"/>
      <c r="CI898" s="59"/>
      <c r="CJ898" s="59"/>
      <c r="CK898" s="59"/>
      <c r="CL898" s="59"/>
      <c r="CM898" s="59"/>
      <c r="CN898" s="59"/>
      <c r="CO898" s="59"/>
      <c r="CP898" s="59"/>
      <c r="CQ898" s="59"/>
      <c r="CR898" s="59"/>
      <c r="CS898" s="59"/>
      <c r="CT898" s="59"/>
      <c r="CU898" s="59"/>
      <c r="CV898" s="59"/>
      <c r="CW898" s="59"/>
      <c r="CX898" s="59"/>
      <c r="CY898" s="59"/>
      <c r="CZ898" s="59"/>
      <c r="DA898" s="59"/>
      <c r="DB898" s="59"/>
      <c r="DC898" s="59"/>
      <c r="DD898" s="59"/>
      <c r="DE898" s="59"/>
      <c r="DF898" s="59"/>
      <c r="DG898" s="59"/>
      <c r="DH898" s="59"/>
      <c r="DI898" s="59"/>
      <c r="DJ898" s="59"/>
      <c r="DK898" s="59"/>
      <c r="DL898" s="59"/>
      <c r="DM898" s="59"/>
      <c r="DN898" s="59"/>
      <c r="DO898" s="59"/>
      <c r="DP898" s="59"/>
      <c r="DQ898" s="59"/>
      <c r="DR898" s="59"/>
      <c r="DS898" s="59"/>
      <c r="DT898" s="59"/>
      <c r="DU898" s="59"/>
      <c r="DV898" s="59"/>
      <c r="DW898" s="59"/>
      <c r="DX898" s="59"/>
      <c r="DY898" s="59"/>
      <c r="DZ898" s="59"/>
      <c r="EA898" s="59"/>
      <c r="EB898" s="59"/>
      <c r="EC898" s="59"/>
      <c r="ED898" s="59"/>
      <c r="EE898" s="59"/>
      <c r="EF898" s="59"/>
      <c r="EG898" s="59"/>
      <c r="EH898" s="59"/>
      <c r="EI898" s="59"/>
      <c r="EJ898" s="59"/>
      <c r="EK898" s="59"/>
      <c r="EL898" s="59"/>
      <c r="EM898" s="59"/>
      <c r="EN898" s="59"/>
      <c r="EO898" s="59"/>
      <c r="EP898" s="59"/>
      <c r="EQ898" s="59"/>
      <c r="ER898" s="59"/>
      <c r="ES898" s="59"/>
      <c r="ET898" s="59"/>
      <c r="EU898" s="59"/>
      <c r="EV898" s="59"/>
      <c r="EW898" s="59"/>
      <c r="EX898" s="59"/>
      <c r="EY898" s="59"/>
      <c r="EZ898" s="59"/>
      <c r="FA898" s="59"/>
      <c r="FB898" s="59"/>
      <c r="FC898" s="59"/>
      <c r="FD898" s="59"/>
      <c r="FE898" s="59"/>
      <c r="FF898" s="59"/>
      <c r="FG898" s="59"/>
      <c r="FH898" s="59"/>
      <c r="FI898" s="59"/>
      <c r="FJ898" s="59"/>
      <c r="FK898" s="59"/>
      <c r="FL898" s="59"/>
      <c r="FM898" s="59"/>
      <c r="FN898" s="59"/>
      <c r="FO898" s="59"/>
      <c r="FP898" s="59"/>
      <c r="FQ898" s="59"/>
      <c r="FR898" s="59"/>
      <c r="FS898" s="59"/>
      <c r="FT898" s="59"/>
      <c r="FU898" s="59"/>
      <c r="FV898" s="59"/>
      <c r="FW898" s="59"/>
      <c r="FX898" s="59"/>
      <c r="FY898" s="59"/>
      <c r="FZ898" s="59"/>
      <c r="GA898" s="59"/>
      <c r="GB898" s="59"/>
      <c r="GC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  <c r="BV899" s="59"/>
      <c r="BW899" s="59"/>
      <c r="BX899" s="59"/>
      <c r="BY899" s="59"/>
      <c r="BZ899" s="59"/>
      <c r="CA899" s="59"/>
      <c r="CB899" s="59"/>
      <c r="CC899" s="59"/>
      <c r="CD899" s="59"/>
      <c r="CE899" s="59"/>
      <c r="CF899" s="59"/>
      <c r="CG899" s="59"/>
      <c r="CH899" s="59"/>
      <c r="CI899" s="59"/>
      <c r="CJ899" s="59"/>
      <c r="CK899" s="59"/>
      <c r="CL899" s="59"/>
      <c r="CM899" s="59"/>
      <c r="CN899" s="59"/>
      <c r="CO899" s="59"/>
      <c r="CP899" s="59"/>
      <c r="CQ899" s="59"/>
      <c r="CR899" s="59"/>
      <c r="CS899" s="59"/>
      <c r="CT899" s="59"/>
      <c r="CU899" s="59"/>
      <c r="CV899" s="59"/>
      <c r="CW899" s="59"/>
      <c r="CX899" s="59"/>
      <c r="CY899" s="59"/>
      <c r="CZ899" s="59"/>
      <c r="DA899" s="59"/>
      <c r="DB899" s="59"/>
      <c r="DC899" s="59"/>
      <c r="DD899" s="59"/>
      <c r="DE899" s="59"/>
      <c r="DF899" s="59"/>
      <c r="DG899" s="59"/>
      <c r="DH899" s="59"/>
      <c r="DI899" s="59"/>
      <c r="DJ899" s="59"/>
      <c r="DK899" s="59"/>
      <c r="DL899" s="59"/>
      <c r="DM899" s="59"/>
      <c r="DN899" s="59"/>
      <c r="DO899" s="59"/>
      <c r="DP899" s="59"/>
      <c r="DQ899" s="59"/>
      <c r="DR899" s="59"/>
      <c r="DS899" s="59"/>
      <c r="DT899" s="59"/>
      <c r="DU899" s="59"/>
      <c r="DV899" s="59"/>
      <c r="DW899" s="59"/>
      <c r="DX899" s="59"/>
      <c r="DY899" s="59"/>
      <c r="DZ899" s="59"/>
      <c r="EA899" s="59"/>
      <c r="EB899" s="59"/>
      <c r="EC899" s="59"/>
      <c r="ED899" s="59"/>
      <c r="EE899" s="59"/>
      <c r="EF899" s="59"/>
      <c r="EG899" s="59"/>
      <c r="EH899" s="59"/>
      <c r="EI899" s="59"/>
      <c r="EJ899" s="59"/>
      <c r="EK899" s="59"/>
      <c r="EL899" s="59"/>
      <c r="EM899" s="59"/>
      <c r="EN899" s="59"/>
      <c r="EO899" s="59"/>
      <c r="EP899" s="59"/>
      <c r="EQ899" s="59"/>
      <c r="ER899" s="59"/>
      <c r="ES899" s="59"/>
      <c r="ET899" s="59"/>
      <c r="EU899" s="59"/>
      <c r="EV899" s="59"/>
      <c r="EW899" s="59"/>
      <c r="EX899" s="59"/>
      <c r="EY899" s="59"/>
      <c r="EZ899" s="59"/>
      <c r="FA899" s="59"/>
      <c r="FB899" s="59"/>
      <c r="FC899" s="59"/>
      <c r="FD899" s="59"/>
      <c r="FE899" s="59"/>
      <c r="FF899" s="59"/>
      <c r="FG899" s="59"/>
      <c r="FH899" s="59"/>
      <c r="FI899" s="59"/>
      <c r="FJ899" s="59"/>
      <c r="FK899" s="59"/>
      <c r="FL899" s="59"/>
      <c r="FM899" s="59"/>
      <c r="FN899" s="59"/>
      <c r="FO899" s="59"/>
      <c r="FP899" s="59"/>
      <c r="FQ899" s="59"/>
      <c r="FR899" s="59"/>
      <c r="FS899" s="59"/>
      <c r="FT899" s="59"/>
      <c r="FU899" s="59"/>
      <c r="FV899" s="59"/>
      <c r="FW899" s="59"/>
      <c r="FX899" s="59"/>
      <c r="FY899" s="59"/>
      <c r="FZ899" s="59"/>
      <c r="GA899" s="59"/>
      <c r="GB899" s="59"/>
      <c r="GC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59"/>
      <c r="BX900" s="59"/>
      <c r="BY900" s="59"/>
      <c r="BZ900" s="59"/>
      <c r="CA900" s="59"/>
      <c r="CB900" s="59"/>
      <c r="CC900" s="59"/>
      <c r="CD900" s="59"/>
      <c r="CE900" s="59"/>
      <c r="CF900" s="59"/>
      <c r="CG900" s="59"/>
      <c r="CH900" s="59"/>
      <c r="CI900" s="59"/>
      <c r="CJ900" s="59"/>
      <c r="CK900" s="59"/>
      <c r="CL900" s="59"/>
      <c r="CM900" s="59"/>
      <c r="CN900" s="59"/>
      <c r="CO900" s="59"/>
      <c r="CP900" s="59"/>
      <c r="CQ900" s="59"/>
      <c r="CR900" s="59"/>
      <c r="CS900" s="59"/>
      <c r="CT900" s="59"/>
      <c r="CU900" s="59"/>
      <c r="CV900" s="59"/>
      <c r="CW900" s="59"/>
      <c r="CX900" s="59"/>
      <c r="CY900" s="59"/>
      <c r="CZ900" s="59"/>
      <c r="DA900" s="59"/>
      <c r="DB900" s="59"/>
      <c r="DC900" s="59"/>
      <c r="DD900" s="59"/>
      <c r="DE900" s="59"/>
      <c r="DF900" s="59"/>
      <c r="DG900" s="59"/>
      <c r="DH900" s="59"/>
      <c r="DI900" s="59"/>
      <c r="DJ900" s="59"/>
      <c r="DK900" s="59"/>
      <c r="DL900" s="59"/>
      <c r="DM900" s="59"/>
      <c r="DN900" s="59"/>
      <c r="DO900" s="59"/>
      <c r="DP900" s="59"/>
      <c r="DQ900" s="59"/>
      <c r="DR900" s="59"/>
      <c r="DS900" s="59"/>
      <c r="DT900" s="59"/>
      <c r="DU900" s="59"/>
      <c r="DV900" s="59"/>
      <c r="DW900" s="59"/>
      <c r="DX900" s="59"/>
      <c r="DY900" s="59"/>
      <c r="DZ900" s="59"/>
      <c r="EA900" s="59"/>
      <c r="EB900" s="59"/>
      <c r="EC900" s="59"/>
      <c r="ED900" s="59"/>
      <c r="EE900" s="59"/>
      <c r="EF900" s="59"/>
      <c r="EG900" s="59"/>
      <c r="EH900" s="59"/>
      <c r="EI900" s="59"/>
      <c r="EJ900" s="59"/>
      <c r="EK900" s="59"/>
      <c r="EL900" s="59"/>
      <c r="EM900" s="59"/>
      <c r="EN900" s="59"/>
      <c r="EO900" s="59"/>
      <c r="EP900" s="59"/>
      <c r="EQ900" s="59"/>
      <c r="ER900" s="59"/>
      <c r="ES900" s="59"/>
      <c r="ET900" s="59"/>
      <c r="EU900" s="59"/>
      <c r="EV900" s="59"/>
      <c r="EW900" s="59"/>
      <c r="EX900" s="59"/>
      <c r="EY900" s="59"/>
      <c r="EZ900" s="59"/>
      <c r="FA900" s="59"/>
      <c r="FB900" s="59"/>
      <c r="FC900" s="59"/>
      <c r="FD900" s="59"/>
      <c r="FE900" s="59"/>
      <c r="FF900" s="59"/>
      <c r="FG900" s="59"/>
      <c r="FH900" s="59"/>
      <c r="FI900" s="59"/>
      <c r="FJ900" s="59"/>
      <c r="FK900" s="59"/>
      <c r="FL900" s="59"/>
      <c r="FM900" s="59"/>
      <c r="FN900" s="59"/>
      <c r="FO900" s="59"/>
      <c r="FP900" s="59"/>
      <c r="FQ900" s="59"/>
      <c r="FR900" s="59"/>
      <c r="FS900" s="59"/>
      <c r="FT900" s="59"/>
      <c r="FU900" s="59"/>
      <c r="FV900" s="59"/>
      <c r="FW900" s="59"/>
      <c r="FX900" s="59"/>
      <c r="FY900" s="59"/>
      <c r="FZ900" s="59"/>
      <c r="GA900" s="59"/>
      <c r="GB900" s="59"/>
      <c r="GC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  <c r="BV901" s="59"/>
      <c r="BW901" s="59"/>
      <c r="BX901" s="59"/>
      <c r="BY901" s="59"/>
      <c r="BZ901" s="59"/>
      <c r="CA901" s="59"/>
      <c r="CB901" s="59"/>
      <c r="CC901" s="59"/>
      <c r="CD901" s="59"/>
      <c r="CE901" s="59"/>
      <c r="CF901" s="59"/>
      <c r="CG901" s="59"/>
      <c r="CH901" s="59"/>
      <c r="CI901" s="59"/>
      <c r="CJ901" s="59"/>
      <c r="CK901" s="59"/>
      <c r="CL901" s="59"/>
      <c r="CM901" s="59"/>
      <c r="CN901" s="59"/>
      <c r="CO901" s="59"/>
      <c r="CP901" s="59"/>
      <c r="CQ901" s="59"/>
      <c r="CR901" s="59"/>
      <c r="CS901" s="59"/>
      <c r="CT901" s="59"/>
      <c r="CU901" s="59"/>
      <c r="CV901" s="59"/>
      <c r="CW901" s="59"/>
      <c r="CX901" s="59"/>
      <c r="CY901" s="59"/>
      <c r="CZ901" s="59"/>
      <c r="DA901" s="59"/>
      <c r="DB901" s="59"/>
      <c r="DC901" s="59"/>
      <c r="DD901" s="59"/>
      <c r="DE901" s="59"/>
      <c r="DF901" s="59"/>
      <c r="DG901" s="59"/>
      <c r="DH901" s="59"/>
      <c r="DI901" s="59"/>
      <c r="DJ901" s="59"/>
      <c r="DK901" s="59"/>
      <c r="DL901" s="59"/>
      <c r="DM901" s="59"/>
      <c r="DN901" s="59"/>
      <c r="DO901" s="59"/>
      <c r="DP901" s="59"/>
      <c r="DQ901" s="59"/>
      <c r="DR901" s="59"/>
      <c r="DS901" s="59"/>
      <c r="DT901" s="59"/>
      <c r="DU901" s="59"/>
      <c r="DV901" s="59"/>
      <c r="DW901" s="59"/>
      <c r="DX901" s="59"/>
      <c r="DY901" s="59"/>
      <c r="DZ901" s="59"/>
      <c r="EA901" s="59"/>
      <c r="EB901" s="59"/>
      <c r="EC901" s="59"/>
      <c r="ED901" s="59"/>
      <c r="EE901" s="59"/>
      <c r="EF901" s="59"/>
      <c r="EG901" s="59"/>
      <c r="EH901" s="59"/>
      <c r="EI901" s="59"/>
      <c r="EJ901" s="59"/>
      <c r="EK901" s="59"/>
      <c r="EL901" s="59"/>
      <c r="EM901" s="59"/>
      <c r="EN901" s="59"/>
      <c r="EO901" s="59"/>
      <c r="EP901" s="59"/>
      <c r="EQ901" s="59"/>
      <c r="ER901" s="59"/>
      <c r="ES901" s="59"/>
      <c r="ET901" s="59"/>
      <c r="EU901" s="59"/>
      <c r="EV901" s="59"/>
      <c r="EW901" s="59"/>
      <c r="EX901" s="59"/>
      <c r="EY901" s="59"/>
      <c r="EZ901" s="59"/>
      <c r="FA901" s="59"/>
      <c r="FB901" s="59"/>
      <c r="FC901" s="59"/>
      <c r="FD901" s="59"/>
      <c r="FE901" s="59"/>
      <c r="FF901" s="59"/>
      <c r="FG901" s="59"/>
      <c r="FH901" s="59"/>
      <c r="FI901" s="59"/>
      <c r="FJ901" s="59"/>
      <c r="FK901" s="59"/>
      <c r="FL901" s="59"/>
      <c r="FM901" s="59"/>
      <c r="FN901" s="59"/>
      <c r="FO901" s="59"/>
      <c r="FP901" s="59"/>
      <c r="FQ901" s="59"/>
      <c r="FR901" s="59"/>
      <c r="FS901" s="59"/>
      <c r="FT901" s="59"/>
      <c r="FU901" s="59"/>
      <c r="FV901" s="59"/>
      <c r="FW901" s="59"/>
      <c r="FX901" s="59"/>
      <c r="FY901" s="59"/>
      <c r="FZ901" s="59"/>
      <c r="GA901" s="59"/>
      <c r="GB901" s="59"/>
      <c r="GC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  <c r="BV902" s="59"/>
      <c r="BW902" s="59"/>
      <c r="BX902" s="59"/>
      <c r="BY902" s="59"/>
      <c r="BZ902" s="59"/>
      <c r="CA902" s="59"/>
      <c r="CB902" s="59"/>
      <c r="CC902" s="59"/>
      <c r="CD902" s="59"/>
      <c r="CE902" s="59"/>
      <c r="CF902" s="59"/>
      <c r="CG902" s="59"/>
      <c r="CH902" s="59"/>
      <c r="CI902" s="59"/>
      <c r="CJ902" s="59"/>
      <c r="CK902" s="59"/>
      <c r="CL902" s="59"/>
      <c r="CM902" s="59"/>
      <c r="CN902" s="59"/>
      <c r="CO902" s="59"/>
      <c r="CP902" s="59"/>
      <c r="CQ902" s="59"/>
      <c r="CR902" s="59"/>
      <c r="CS902" s="59"/>
      <c r="CT902" s="59"/>
      <c r="CU902" s="59"/>
      <c r="CV902" s="59"/>
      <c r="CW902" s="59"/>
      <c r="CX902" s="59"/>
      <c r="CY902" s="59"/>
      <c r="CZ902" s="59"/>
      <c r="DA902" s="59"/>
      <c r="DB902" s="59"/>
      <c r="DC902" s="59"/>
      <c r="DD902" s="59"/>
      <c r="DE902" s="59"/>
      <c r="DF902" s="59"/>
      <c r="DG902" s="59"/>
      <c r="DH902" s="59"/>
      <c r="DI902" s="59"/>
      <c r="DJ902" s="59"/>
      <c r="DK902" s="59"/>
      <c r="DL902" s="59"/>
      <c r="DM902" s="59"/>
      <c r="DN902" s="59"/>
      <c r="DO902" s="59"/>
      <c r="DP902" s="59"/>
      <c r="DQ902" s="59"/>
      <c r="DR902" s="59"/>
      <c r="DS902" s="59"/>
      <c r="DT902" s="59"/>
      <c r="DU902" s="59"/>
      <c r="DV902" s="59"/>
      <c r="DW902" s="59"/>
      <c r="DX902" s="59"/>
      <c r="DY902" s="59"/>
      <c r="DZ902" s="59"/>
      <c r="EA902" s="59"/>
      <c r="EB902" s="59"/>
      <c r="EC902" s="59"/>
      <c r="ED902" s="59"/>
      <c r="EE902" s="59"/>
      <c r="EF902" s="59"/>
      <c r="EG902" s="59"/>
      <c r="EH902" s="59"/>
      <c r="EI902" s="59"/>
      <c r="EJ902" s="59"/>
      <c r="EK902" s="59"/>
      <c r="EL902" s="59"/>
      <c r="EM902" s="59"/>
      <c r="EN902" s="59"/>
      <c r="EO902" s="59"/>
      <c r="EP902" s="59"/>
      <c r="EQ902" s="59"/>
      <c r="ER902" s="59"/>
      <c r="ES902" s="59"/>
      <c r="ET902" s="59"/>
      <c r="EU902" s="59"/>
      <c r="EV902" s="59"/>
      <c r="EW902" s="59"/>
      <c r="EX902" s="59"/>
      <c r="EY902" s="59"/>
      <c r="EZ902" s="59"/>
      <c r="FA902" s="59"/>
      <c r="FB902" s="59"/>
      <c r="FC902" s="59"/>
      <c r="FD902" s="59"/>
      <c r="FE902" s="59"/>
      <c r="FF902" s="59"/>
      <c r="FG902" s="59"/>
      <c r="FH902" s="59"/>
      <c r="FI902" s="59"/>
      <c r="FJ902" s="59"/>
      <c r="FK902" s="59"/>
      <c r="FL902" s="59"/>
      <c r="FM902" s="59"/>
      <c r="FN902" s="59"/>
      <c r="FO902" s="59"/>
      <c r="FP902" s="59"/>
      <c r="FQ902" s="59"/>
      <c r="FR902" s="59"/>
      <c r="FS902" s="59"/>
      <c r="FT902" s="59"/>
      <c r="FU902" s="59"/>
      <c r="FV902" s="59"/>
      <c r="FW902" s="59"/>
      <c r="FX902" s="59"/>
      <c r="FY902" s="59"/>
      <c r="FZ902" s="59"/>
      <c r="GA902" s="59"/>
      <c r="GB902" s="59"/>
      <c r="GC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  <c r="BV903" s="59"/>
      <c r="BW903" s="59"/>
      <c r="BX903" s="59"/>
      <c r="BY903" s="59"/>
      <c r="BZ903" s="59"/>
      <c r="CA903" s="59"/>
      <c r="CB903" s="59"/>
      <c r="CC903" s="59"/>
      <c r="CD903" s="59"/>
      <c r="CE903" s="59"/>
      <c r="CF903" s="59"/>
      <c r="CG903" s="59"/>
      <c r="CH903" s="59"/>
      <c r="CI903" s="59"/>
      <c r="CJ903" s="59"/>
      <c r="CK903" s="59"/>
      <c r="CL903" s="59"/>
      <c r="CM903" s="59"/>
      <c r="CN903" s="59"/>
      <c r="CO903" s="59"/>
      <c r="CP903" s="59"/>
      <c r="CQ903" s="59"/>
      <c r="CR903" s="59"/>
      <c r="CS903" s="59"/>
      <c r="CT903" s="59"/>
      <c r="CU903" s="59"/>
      <c r="CV903" s="59"/>
      <c r="CW903" s="59"/>
      <c r="CX903" s="59"/>
      <c r="CY903" s="59"/>
      <c r="CZ903" s="59"/>
      <c r="DA903" s="59"/>
      <c r="DB903" s="59"/>
      <c r="DC903" s="59"/>
      <c r="DD903" s="59"/>
      <c r="DE903" s="59"/>
      <c r="DF903" s="59"/>
      <c r="DG903" s="59"/>
      <c r="DH903" s="59"/>
      <c r="DI903" s="59"/>
      <c r="DJ903" s="59"/>
      <c r="DK903" s="59"/>
      <c r="DL903" s="59"/>
      <c r="DM903" s="59"/>
      <c r="DN903" s="59"/>
      <c r="DO903" s="59"/>
      <c r="DP903" s="59"/>
      <c r="DQ903" s="59"/>
      <c r="DR903" s="59"/>
      <c r="DS903" s="59"/>
      <c r="DT903" s="59"/>
      <c r="DU903" s="59"/>
      <c r="DV903" s="59"/>
      <c r="DW903" s="59"/>
      <c r="DX903" s="59"/>
      <c r="DY903" s="59"/>
      <c r="DZ903" s="59"/>
      <c r="EA903" s="59"/>
      <c r="EB903" s="59"/>
      <c r="EC903" s="59"/>
      <c r="ED903" s="59"/>
      <c r="EE903" s="59"/>
      <c r="EF903" s="59"/>
      <c r="EG903" s="59"/>
      <c r="EH903" s="59"/>
      <c r="EI903" s="59"/>
      <c r="EJ903" s="59"/>
      <c r="EK903" s="59"/>
      <c r="EL903" s="59"/>
      <c r="EM903" s="59"/>
      <c r="EN903" s="59"/>
      <c r="EO903" s="59"/>
      <c r="EP903" s="59"/>
      <c r="EQ903" s="59"/>
      <c r="ER903" s="59"/>
      <c r="ES903" s="59"/>
      <c r="ET903" s="59"/>
      <c r="EU903" s="59"/>
      <c r="EV903" s="59"/>
      <c r="EW903" s="59"/>
      <c r="EX903" s="59"/>
      <c r="EY903" s="59"/>
      <c r="EZ903" s="59"/>
      <c r="FA903" s="59"/>
      <c r="FB903" s="59"/>
      <c r="FC903" s="59"/>
      <c r="FD903" s="59"/>
      <c r="FE903" s="59"/>
      <c r="FF903" s="59"/>
      <c r="FG903" s="59"/>
      <c r="FH903" s="59"/>
      <c r="FI903" s="59"/>
      <c r="FJ903" s="59"/>
      <c r="FK903" s="59"/>
      <c r="FL903" s="59"/>
      <c r="FM903" s="59"/>
      <c r="FN903" s="59"/>
      <c r="FO903" s="59"/>
      <c r="FP903" s="59"/>
      <c r="FQ903" s="59"/>
      <c r="FR903" s="59"/>
      <c r="FS903" s="59"/>
      <c r="FT903" s="59"/>
      <c r="FU903" s="59"/>
      <c r="FV903" s="59"/>
      <c r="FW903" s="59"/>
      <c r="FX903" s="59"/>
      <c r="FY903" s="59"/>
      <c r="FZ903" s="59"/>
      <c r="GA903" s="59"/>
      <c r="GB903" s="59"/>
      <c r="GC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  <c r="BV904" s="59"/>
      <c r="BW904" s="59"/>
      <c r="BX904" s="59"/>
      <c r="BY904" s="59"/>
      <c r="BZ904" s="59"/>
      <c r="CA904" s="59"/>
      <c r="CB904" s="59"/>
      <c r="CC904" s="59"/>
      <c r="CD904" s="59"/>
      <c r="CE904" s="59"/>
      <c r="CF904" s="59"/>
      <c r="CG904" s="59"/>
      <c r="CH904" s="59"/>
      <c r="CI904" s="59"/>
      <c r="CJ904" s="59"/>
      <c r="CK904" s="59"/>
      <c r="CL904" s="59"/>
      <c r="CM904" s="59"/>
      <c r="CN904" s="59"/>
      <c r="CO904" s="59"/>
      <c r="CP904" s="59"/>
      <c r="CQ904" s="59"/>
      <c r="CR904" s="59"/>
      <c r="CS904" s="59"/>
      <c r="CT904" s="59"/>
      <c r="CU904" s="59"/>
      <c r="CV904" s="59"/>
      <c r="CW904" s="59"/>
      <c r="CX904" s="59"/>
      <c r="CY904" s="59"/>
      <c r="CZ904" s="59"/>
      <c r="DA904" s="59"/>
      <c r="DB904" s="59"/>
      <c r="DC904" s="59"/>
      <c r="DD904" s="59"/>
      <c r="DE904" s="59"/>
      <c r="DF904" s="59"/>
      <c r="DG904" s="59"/>
      <c r="DH904" s="59"/>
      <c r="DI904" s="59"/>
      <c r="DJ904" s="59"/>
      <c r="DK904" s="59"/>
      <c r="DL904" s="59"/>
      <c r="DM904" s="59"/>
      <c r="DN904" s="59"/>
      <c r="DO904" s="59"/>
      <c r="DP904" s="59"/>
      <c r="DQ904" s="59"/>
      <c r="DR904" s="59"/>
      <c r="DS904" s="59"/>
      <c r="DT904" s="59"/>
      <c r="DU904" s="59"/>
      <c r="DV904" s="59"/>
      <c r="DW904" s="59"/>
      <c r="DX904" s="59"/>
      <c r="DY904" s="59"/>
      <c r="DZ904" s="59"/>
      <c r="EA904" s="59"/>
      <c r="EB904" s="59"/>
      <c r="EC904" s="59"/>
      <c r="ED904" s="59"/>
      <c r="EE904" s="59"/>
      <c r="EF904" s="59"/>
      <c r="EG904" s="59"/>
      <c r="EH904" s="59"/>
      <c r="EI904" s="59"/>
      <c r="EJ904" s="59"/>
      <c r="EK904" s="59"/>
      <c r="EL904" s="59"/>
      <c r="EM904" s="59"/>
      <c r="EN904" s="59"/>
      <c r="EO904" s="59"/>
      <c r="EP904" s="59"/>
      <c r="EQ904" s="59"/>
      <c r="ER904" s="59"/>
      <c r="ES904" s="59"/>
      <c r="ET904" s="59"/>
      <c r="EU904" s="59"/>
      <c r="EV904" s="59"/>
      <c r="EW904" s="59"/>
      <c r="EX904" s="59"/>
      <c r="EY904" s="59"/>
      <c r="EZ904" s="59"/>
      <c r="FA904" s="59"/>
      <c r="FB904" s="59"/>
      <c r="FC904" s="59"/>
      <c r="FD904" s="59"/>
      <c r="FE904" s="59"/>
      <c r="FF904" s="59"/>
      <c r="FG904" s="59"/>
      <c r="FH904" s="59"/>
      <c r="FI904" s="59"/>
      <c r="FJ904" s="59"/>
      <c r="FK904" s="59"/>
      <c r="FL904" s="59"/>
      <c r="FM904" s="59"/>
      <c r="FN904" s="59"/>
      <c r="FO904" s="59"/>
      <c r="FP904" s="59"/>
      <c r="FQ904" s="59"/>
      <c r="FR904" s="59"/>
      <c r="FS904" s="59"/>
      <c r="FT904" s="59"/>
      <c r="FU904" s="59"/>
      <c r="FV904" s="59"/>
      <c r="FW904" s="59"/>
      <c r="FX904" s="59"/>
      <c r="FY904" s="59"/>
      <c r="FZ904" s="59"/>
      <c r="GA904" s="59"/>
      <c r="GB904" s="59"/>
      <c r="GC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  <c r="BW905" s="59"/>
      <c r="BX905" s="59"/>
      <c r="BY905" s="59"/>
      <c r="BZ905" s="59"/>
      <c r="CA905" s="59"/>
      <c r="CB905" s="59"/>
      <c r="CC905" s="59"/>
      <c r="CD905" s="59"/>
      <c r="CE905" s="59"/>
      <c r="CF905" s="59"/>
      <c r="CG905" s="59"/>
      <c r="CH905" s="59"/>
      <c r="CI905" s="59"/>
      <c r="CJ905" s="59"/>
      <c r="CK905" s="59"/>
      <c r="CL905" s="59"/>
      <c r="CM905" s="59"/>
      <c r="CN905" s="59"/>
      <c r="CO905" s="59"/>
      <c r="CP905" s="59"/>
      <c r="CQ905" s="59"/>
      <c r="CR905" s="59"/>
      <c r="CS905" s="59"/>
      <c r="CT905" s="59"/>
      <c r="CU905" s="59"/>
      <c r="CV905" s="59"/>
      <c r="CW905" s="59"/>
      <c r="CX905" s="59"/>
      <c r="CY905" s="59"/>
      <c r="CZ905" s="59"/>
      <c r="DA905" s="59"/>
      <c r="DB905" s="59"/>
      <c r="DC905" s="59"/>
      <c r="DD905" s="59"/>
      <c r="DE905" s="59"/>
      <c r="DF905" s="59"/>
      <c r="DG905" s="59"/>
      <c r="DH905" s="59"/>
      <c r="DI905" s="59"/>
      <c r="DJ905" s="59"/>
      <c r="DK905" s="59"/>
      <c r="DL905" s="59"/>
      <c r="DM905" s="59"/>
      <c r="DN905" s="59"/>
      <c r="DO905" s="59"/>
      <c r="DP905" s="59"/>
      <c r="DQ905" s="59"/>
      <c r="DR905" s="59"/>
      <c r="DS905" s="59"/>
      <c r="DT905" s="59"/>
      <c r="DU905" s="59"/>
      <c r="DV905" s="59"/>
      <c r="DW905" s="59"/>
      <c r="DX905" s="59"/>
      <c r="DY905" s="59"/>
      <c r="DZ905" s="59"/>
      <c r="EA905" s="59"/>
      <c r="EB905" s="59"/>
      <c r="EC905" s="59"/>
      <c r="ED905" s="59"/>
      <c r="EE905" s="59"/>
      <c r="EF905" s="59"/>
      <c r="EG905" s="59"/>
      <c r="EH905" s="59"/>
      <c r="EI905" s="59"/>
      <c r="EJ905" s="59"/>
      <c r="EK905" s="59"/>
      <c r="EL905" s="59"/>
      <c r="EM905" s="59"/>
      <c r="EN905" s="59"/>
      <c r="EO905" s="59"/>
      <c r="EP905" s="59"/>
      <c r="EQ905" s="59"/>
      <c r="ER905" s="59"/>
      <c r="ES905" s="59"/>
      <c r="ET905" s="59"/>
      <c r="EU905" s="59"/>
      <c r="EV905" s="59"/>
      <c r="EW905" s="59"/>
      <c r="EX905" s="59"/>
      <c r="EY905" s="59"/>
      <c r="EZ905" s="59"/>
      <c r="FA905" s="59"/>
      <c r="FB905" s="59"/>
      <c r="FC905" s="59"/>
      <c r="FD905" s="59"/>
      <c r="FE905" s="59"/>
      <c r="FF905" s="59"/>
      <c r="FG905" s="59"/>
      <c r="FH905" s="59"/>
      <c r="FI905" s="59"/>
      <c r="FJ905" s="59"/>
      <c r="FK905" s="59"/>
      <c r="FL905" s="59"/>
      <c r="FM905" s="59"/>
      <c r="FN905" s="59"/>
      <c r="FO905" s="59"/>
      <c r="FP905" s="59"/>
      <c r="FQ905" s="59"/>
      <c r="FR905" s="59"/>
      <c r="FS905" s="59"/>
      <c r="FT905" s="59"/>
      <c r="FU905" s="59"/>
      <c r="FV905" s="59"/>
      <c r="FW905" s="59"/>
      <c r="FX905" s="59"/>
      <c r="FY905" s="59"/>
      <c r="FZ905" s="59"/>
      <c r="GA905" s="59"/>
      <c r="GB905" s="59"/>
      <c r="GC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  <c r="BW906" s="59"/>
      <c r="BX906" s="59"/>
      <c r="BY906" s="59"/>
      <c r="BZ906" s="59"/>
      <c r="CA906" s="59"/>
      <c r="CB906" s="59"/>
      <c r="CC906" s="59"/>
      <c r="CD906" s="59"/>
      <c r="CE906" s="59"/>
      <c r="CF906" s="59"/>
      <c r="CG906" s="59"/>
      <c r="CH906" s="59"/>
      <c r="CI906" s="59"/>
      <c r="CJ906" s="59"/>
      <c r="CK906" s="59"/>
      <c r="CL906" s="59"/>
      <c r="CM906" s="59"/>
      <c r="CN906" s="59"/>
      <c r="CO906" s="59"/>
      <c r="CP906" s="59"/>
      <c r="CQ906" s="59"/>
      <c r="CR906" s="59"/>
      <c r="CS906" s="59"/>
      <c r="CT906" s="59"/>
      <c r="CU906" s="59"/>
      <c r="CV906" s="59"/>
      <c r="CW906" s="59"/>
      <c r="CX906" s="59"/>
      <c r="CY906" s="59"/>
      <c r="CZ906" s="59"/>
      <c r="DA906" s="59"/>
      <c r="DB906" s="59"/>
      <c r="DC906" s="59"/>
      <c r="DD906" s="59"/>
      <c r="DE906" s="59"/>
      <c r="DF906" s="59"/>
      <c r="DG906" s="59"/>
      <c r="DH906" s="59"/>
      <c r="DI906" s="59"/>
      <c r="DJ906" s="59"/>
      <c r="DK906" s="59"/>
      <c r="DL906" s="59"/>
      <c r="DM906" s="59"/>
      <c r="DN906" s="59"/>
      <c r="DO906" s="59"/>
      <c r="DP906" s="59"/>
      <c r="DQ906" s="59"/>
      <c r="DR906" s="59"/>
      <c r="DS906" s="59"/>
      <c r="DT906" s="59"/>
      <c r="DU906" s="59"/>
      <c r="DV906" s="59"/>
      <c r="DW906" s="59"/>
      <c r="DX906" s="59"/>
      <c r="DY906" s="59"/>
      <c r="DZ906" s="59"/>
      <c r="EA906" s="59"/>
      <c r="EB906" s="59"/>
      <c r="EC906" s="59"/>
      <c r="ED906" s="59"/>
      <c r="EE906" s="59"/>
      <c r="EF906" s="59"/>
      <c r="EG906" s="59"/>
      <c r="EH906" s="59"/>
      <c r="EI906" s="59"/>
      <c r="EJ906" s="59"/>
      <c r="EK906" s="59"/>
      <c r="EL906" s="59"/>
      <c r="EM906" s="59"/>
      <c r="EN906" s="59"/>
      <c r="EO906" s="59"/>
      <c r="EP906" s="59"/>
      <c r="EQ906" s="59"/>
      <c r="ER906" s="59"/>
      <c r="ES906" s="59"/>
      <c r="ET906" s="59"/>
      <c r="EU906" s="59"/>
      <c r="EV906" s="59"/>
      <c r="EW906" s="59"/>
      <c r="EX906" s="59"/>
      <c r="EY906" s="59"/>
      <c r="EZ906" s="59"/>
      <c r="FA906" s="59"/>
      <c r="FB906" s="59"/>
      <c r="FC906" s="59"/>
      <c r="FD906" s="59"/>
      <c r="FE906" s="59"/>
      <c r="FF906" s="59"/>
      <c r="FG906" s="59"/>
      <c r="FH906" s="59"/>
      <c r="FI906" s="59"/>
      <c r="FJ906" s="59"/>
      <c r="FK906" s="59"/>
      <c r="FL906" s="59"/>
      <c r="FM906" s="59"/>
      <c r="FN906" s="59"/>
      <c r="FO906" s="59"/>
      <c r="FP906" s="59"/>
      <c r="FQ906" s="59"/>
      <c r="FR906" s="59"/>
      <c r="FS906" s="59"/>
      <c r="FT906" s="59"/>
      <c r="FU906" s="59"/>
      <c r="FV906" s="59"/>
      <c r="FW906" s="59"/>
      <c r="FX906" s="59"/>
      <c r="FY906" s="59"/>
      <c r="FZ906" s="59"/>
      <c r="GA906" s="59"/>
      <c r="GB906" s="59"/>
      <c r="GC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/>
      <c r="BW907" s="59"/>
      <c r="BX907" s="59"/>
      <c r="BY907" s="59"/>
      <c r="BZ907" s="59"/>
      <c r="CA907" s="59"/>
      <c r="CB907" s="59"/>
      <c r="CC907" s="59"/>
      <c r="CD907" s="59"/>
      <c r="CE907" s="59"/>
      <c r="CF907" s="59"/>
      <c r="CG907" s="59"/>
      <c r="CH907" s="59"/>
      <c r="CI907" s="59"/>
      <c r="CJ907" s="59"/>
      <c r="CK907" s="59"/>
      <c r="CL907" s="59"/>
      <c r="CM907" s="59"/>
      <c r="CN907" s="59"/>
      <c r="CO907" s="59"/>
      <c r="CP907" s="59"/>
      <c r="CQ907" s="59"/>
      <c r="CR907" s="59"/>
      <c r="CS907" s="59"/>
      <c r="CT907" s="59"/>
      <c r="CU907" s="59"/>
      <c r="CV907" s="59"/>
      <c r="CW907" s="59"/>
      <c r="CX907" s="59"/>
      <c r="CY907" s="59"/>
      <c r="CZ907" s="59"/>
      <c r="DA907" s="59"/>
      <c r="DB907" s="59"/>
      <c r="DC907" s="59"/>
      <c r="DD907" s="59"/>
      <c r="DE907" s="59"/>
      <c r="DF907" s="59"/>
      <c r="DG907" s="59"/>
      <c r="DH907" s="59"/>
      <c r="DI907" s="59"/>
      <c r="DJ907" s="59"/>
      <c r="DK907" s="59"/>
      <c r="DL907" s="59"/>
      <c r="DM907" s="59"/>
      <c r="DN907" s="59"/>
      <c r="DO907" s="59"/>
      <c r="DP907" s="59"/>
      <c r="DQ907" s="59"/>
      <c r="DR907" s="59"/>
      <c r="DS907" s="59"/>
      <c r="DT907" s="59"/>
      <c r="DU907" s="59"/>
      <c r="DV907" s="59"/>
      <c r="DW907" s="59"/>
      <c r="DX907" s="59"/>
      <c r="DY907" s="59"/>
      <c r="DZ907" s="59"/>
      <c r="EA907" s="59"/>
      <c r="EB907" s="59"/>
      <c r="EC907" s="59"/>
      <c r="ED907" s="59"/>
      <c r="EE907" s="59"/>
      <c r="EF907" s="59"/>
      <c r="EG907" s="59"/>
      <c r="EH907" s="59"/>
      <c r="EI907" s="59"/>
      <c r="EJ907" s="59"/>
      <c r="EK907" s="59"/>
      <c r="EL907" s="59"/>
      <c r="EM907" s="59"/>
      <c r="EN907" s="59"/>
      <c r="EO907" s="59"/>
      <c r="EP907" s="59"/>
      <c r="EQ907" s="59"/>
      <c r="ER907" s="59"/>
      <c r="ES907" s="59"/>
      <c r="ET907" s="59"/>
      <c r="EU907" s="59"/>
      <c r="EV907" s="59"/>
      <c r="EW907" s="59"/>
      <c r="EX907" s="59"/>
      <c r="EY907" s="59"/>
      <c r="EZ907" s="59"/>
      <c r="FA907" s="59"/>
      <c r="FB907" s="59"/>
      <c r="FC907" s="59"/>
      <c r="FD907" s="59"/>
      <c r="FE907" s="59"/>
      <c r="FF907" s="59"/>
      <c r="FG907" s="59"/>
      <c r="FH907" s="59"/>
      <c r="FI907" s="59"/>
      <c r="FJ907" s="59"/>
      <c r="FK907" s="59"/>
      <c r="FL907" s="59"/>
      <c r="FM907" s="59"/>
      <c r="FN907" s="59"/>
      <c r="FO907" s="59"/>
      <c r="FP907" s="59"/>
      <c r="FQ907" s="59"/>
      <c r="FR907" s="59"/>
      <c r="FS907" s="59"/>
      <c r="FT907" s="59"/>
      <c r="FU907" s="59"/>
      <c r="FV907" s="59"/>
      <c r="FW907" s="59"/>
      <c r="FX907" s="59"/>
      <c r="FY907" s="59"/>
      <c r="FZ907" s="59"/>
      <c r="GA907" s="59"/>
      <c r="GB907" s="59"/>
      <c r="GC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  <c r="BV908" s="59"/>
      <c r="BW908" s="59"/>
      <c r="BX908" s="59"/>
      <c r="BY908" s="59"/>
      <c r="BZ908" s="59"/>
      <c r="CA908" s="59"/>
      <c r="CB908" s="59"/>
      <c r="CC908" s="59"/>
      <c r="CD908" s="59"/>
      <c r="CE908" s="59"/>
      <c r="CF908" s="59"/>
      <c r="CG908" s="59"/>
      <c r="CH908" s="59"/>
      <c r="CI908" s="59"/>
      <c r="CJ908" s="59"/>
      <c r="CK908" s="59"/>
      <c r="CL908" s="59"/>
      <c r="CM908" s="59"/>
      <c r="CN908" s="59"/>
      <c r="CO908" s="59"/>
      <c r="CP908" s="59"/>
      <c r="CQ908" s="59"/>
      <c r="CR908" s="59"/>
      <c r="CS908" s="59"/>
      <c r="CT908" s="59"/>
      <c r="CU908" s="59"/>
      <c r="CV908" s="59"/>
      <c r="CW908" s="59"/>
      <c r="CX908" s="59"/>
      <c r="CY908" s="59"/>
      <c r="CZ908" s="59"/>
      <c r="DA908" s="59"/>
      <c r="DB908" s="59"/>
      <c r="DC908" s="59"/>
      <c r="DD908" s="59"/>
      <c r="DE908" s="59"/>
      <c r="DF908" s="59"/>
      <c r="DG908" s="59"/>
      <c r="DH908" s="59"/>
      <c r="DI908" s="59"/>
      <c r="DJ908" s="59"/>
      <c r="DK908" s="59"/>
      <c r="DL908" s="59"/>
      <c r="DM908" s="59"/>
      <c r="DN908" s="59"/>
      <c r="DO908" s="59"/>
      <c r="DP908" s="59"/>
      <c r="DQ908" s="59"/>
      <c r="DR908" s="59"/>
      <c r="DS908" s="59"/>
      <c r="DT908" s="59"/>
      <c r="DU908" s="59"/>
      <c r="DV908" s="59"/>
      <c r="DW908" s="59"/>
      <c r="DX908" s="59"/>
      <c r="DY908" s="59"/>
      <c r="DZ908" s="59"/>
      <c r="EA908" s="59"/>
      <c r="EB908" s="59"/>
      <c r="EC908" s="59"/>
      <c r="ED908" s="59"/>
      <c r="EE908" s="59"/>
      <c r="EF908" s="59"/>
      <c r="EG908" s="59"/>
      <c r="EH908" s="59"/>
      <c r="EI908" s="59"/>
      <c r="EJ908" s="59"/>
      <c r="EK908" s="59"/>
      <c r="EL908" s="59"/>
      <c r="EM908" s="59"/>
      <c r="EN908" s="59"/>
      <c r="EO908" s="59"/>
      <c r="EP908" s="59"/>
      <c r="EQ908" s="59"/>
      <c r="ER908" s="59"/>
      <c r="ES908" s="59"/>
      <c r="ET908" s="59"/>
      <c r="EU908" s="59"/>
      <c r="EV908" s="59"/>
      <c r="EW908" s="59"/>
      <c r="EX908" s="59"/>
      <c r="EY908" s="59"/>
      <c r="EZ908" s="59"/>
      <c r="FA908" s="59"/>
      <c r="FB908" s="59"/>
      <c r="FC908" s="59"/>
      <c r="FD908" s="59"/>
      <c r="FE908" s="59"/>
      <c r="FF908" s="59"/>
      <c r="FG908" s="59"/>
      <c r="FH908" s="59"/>
      <c r="FI908" s="59"/>
      <c r="FJ908" s="59"/>
      <c r="FK908" s="59"/>
      <c r="FL908" s="59"/>
      <c r="FM908" s="59"/>
      <c r="FN908" s="59"/>
      <c r="FO908" s="59"/>
      <c r="FP908" s="59"/>
      <c r="FQ908" s="59"/>
      <c r="FR908" s="59"/>
      <c r="FS908" s="59"/>
      <c r="FT908" s="59"/>
      <c r="FU908" s="59"/>
      <c r="FV908" s="59"/>
      <c r="FW908" s="59"/>
      <c r="FX908" s="59"/>
      <c r="FY908" s="59"/>
      <c r="FZ908" s="59"/>
      <c r="GA908" s="59"/>
      <c r="GB908" s="59"/>
      <c r="GC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  <c r="BW909" s="59"/>
      <c r="BX909" s="59"/>
      <c r="BY909" s="59"/>
      <c r="BZ909" s="59"/>
      <c r="CA909" s="59"/>
      <c r="CB909" s="59"/>
      <c r="CC909" s="59"/>
      <c r="CD909" s="59"/>
      <c r="CE909" s="59"/>
      <c r="CF909" s="59"/>
      <c r="CG909" s="59"/>
      <c r="CH909" s="59"/>
      <c r="CI909" s="59"/>
      <c r="CJ909" s="59"/>
      <c r="CK909" s="59"/>
      <c r="CL909" s="59"/>
      <c r="CM909" s="59"/>
      <c r="CN909" s="59"/>
      <c r="CO909" s="59"/>
      <c r="CP909" s="59"/>
      <c r="CQ909" s="59"/>
      <c r="CR909" s="59"/>
      <c r="CS909" s="59"/>
      <c r="CT909" s="59"/>
      <c r="CU909" s="59"/>
      <c r="CV909" s="59"/>
      <c r="CW909" s="59"/>
      <c r="CX909" s="59"/>
      <c r="CY909" s="59"/>
      <c r="CZ909" s="59"/>
      <c r="DA909" s="59"/>
      <c r="DB909" s="59"/>
      <c r="DC909" s="59"/>
      <c r="DD909" s="59"/>
      <c r="DE909" s="59"/>
      <c r="DF909" s="59"/>
      <c r="DG909" s="59"/>
      <c r="DH909" s="59"/>
      <c r="DI909" s="59"/>
      <c r="DJ909" s="59"/>
      <c r="DK909" s="59"/>
      <c r="DL909" s="59"/>
      <c r="DM909" s="59"/>
      <c r="DN909" s="59"/>
      <c r="DO909" s="59"/>
      <c r="DP909" s="59"/>
      <c r="DQ909" s="59"/>
      <c r="DR909" s="59"/>
      <c r="DS909" s="59"/>
      <c r="DT909" s="59"/>
      <c r="DU909" s="59"/>
      <c r="DV909" s="59"/>
      <c r="DW909" s="59"/>
      <c r="DX909" s="59"/>
      <c r="DY909" s="59"/>
      <c r="DZ909" s="59"/>
      <c r="EA909" s="59"/>
      <c r="EB909" s="59"/>
      <c r="EC909" s="59"/>
      <c r="ED909" s="59"/>
      <c r="EE909" s="59"/>
      <c r="EF909" s="59"/>
      <c r="EG909" s="59"/>
      <c r="EH909" s="59"/>
      <c r="EI909" s="59"/>
      <c r="EJ909" s="59"/>
      <c r="EK909" s="59"/>
      <c r="EL909" s="59"/>
      <c r="EM909" s="59"/>
      <c r="EN909" s="59"/>
      <c r="EO909" s="59"/>
      <c r="EP909" s="59"/>
      <c r="EQ909" s="59"/>
      <c r="ER909" s="59"/>
      <c r="ES909" s="59"/>
      <c r="ET909" s="59"/>
      <c r="EU909" s="59"/>
      <c r="EV909" s="59"/>
      <c r="EW909" s="59"/>
      <c r="EX909" s="59"/>
      <c r="EY909" s="59"/>
      <c r="EZ909" s="59"/>
      <c r="FA909" s="59"/>
      <c r="FB909" s="59"/>
      <c r="FC909" s="59"/>
      <c r="FD909" s="59"/>
      <c r="FE909" s="59"/>
      <c r="FF909" s="59"/>
      <c r="FG909" s="59"/>
      <c r="FH909" s="59"/>
      <c r="FI909" s="59"/>
      <c r="FJ909" s="59"/>
      <c r="FK909" s="59"/>
      <c r="FL909" s="59"/>
      <c r="FM909" s="59"/>
      <c r="FN909" s="59"/>
      <c r="FO909" s="59"/>
      <c r="FP909" s="59"/>
      <c r="FQ909" s="59"/>
      <c r="FR909" s="59"/>
      <c r="FS909" s="59"/>
      <c r="FT909" s="59"/>
      <c r="FU909" s="59"/>
      <c r="FV909" s="59"/>
      <c r="FW909" s="59"/>
      <c r="FX909" s="59"/>
      <c r="FY909" s="59"/>
      <c r="FZ909" s="59"/>
      <c r="GA909" s="59"/>
      <c r="GB909" s="59"/>
      <c r="GC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  <c r="BV910" s="59"/>
      <c r="BW910" s="59"/>
      <c r="BX910" s="59"/>
      <c r="BY910" s="59"/>
      <c r="BZ910" s="59"/>
      <c r="CA910" s="59"/>
      <c r="CB910" s="59"/>
      <c r="CC910" s="59"/>
      <c r="CD910" s="59"/>
      <c r="CE910" s="59"/>
      <c r="CF910" s="59"/>
      <c r="CG910" s="59"/>
      <c r="CH910" s="59"/>
      <c r="CI910" s="59"/>
      <c r="CJ910" s="59"/>
      <c r="CK910" s="59"/>
      <c r="CL910" s="59"/>
      <c r="CM910" s="59"/>
      <c r="CN910" s="59"/>
      <c r="CO910" s="59"/>
      <c r="CP910" s="59"/>
      <c r="CQ910" s="59"/>
      <c r="CR910" s="59"/>
      <c r="CS910" s="59"/>
      <c r="CT910" s="59"/>
      <c r="CU910" s="59"/>
      <c r="CV910" s="59"/>
      <c r="CW910" s="59"/>
      <c r="CX910" s="59"/>
      <c r="CY910" s="59"/>
      <c r="CZ910" s="59"/>
      <c r="DA910" s="59"/>
      <c r="DB910" s="59"/>
      <c r="DC910" s="59"/>
      <c r="DD910" s="59"/>
      <c r="DE910" s="59"/>
      <c r="DF910" s="59"/>
      <c r="DG910" s="59"/>
      <c r="DH910" s="59"/>
      <c r="DI910" s="59"/>
      <c r="DJ910" s="59"/>
      <c r="DK910" s="59"/>
      <c r="DL910" s="59"/>
      <c r="DM910" s="59"/>
      <c r="DN910" s="59"/>
      <c r="DO910" s="59"/>
      <c r="DP910" s="59"/>
      <c r="DQ910" s="59"/>
      <c r="DR910" s="59"/>
      <c r="DS910" s="59"/>
      <c r="DT910" s="59"/>
      <c r="DU910" s="59"/>
      <c r="DV910" s="59"/>
      <c r="DW910" s="59"/>
      <c r="DX910" s="59"/>
      <c r="DY910" s="59"/>
      <c r="DZ910" s="59"/>
      <c r="EA910" s="59"/>
      <c r="EB910" s="59"/>
      <c r="EC910" s="59"/>
      <c r="ED910" s="59"/>
      <c r="EE910" s="59"/>
      <c r="EF910" s="59"/>
      <c r="EG910" s="59"/>
      <c r="EH910" s="59"/>
      <c r="EI910" s="59"/>
      <c r="EJ910" s="59"/>
      <c r="EK910" s="59"/>
      <c r="EL910" s="59"/>
      <c r="EM910" s="59"/>
      <c r="EN910" s="59"/>
      <c r="EO910" s="59"/>
      <c r="EP910" s="59"/>
      <c r="EQ910" s="59"/>
      <c r="ER910" s="59"/>
      <c r="ES910" s="59"/>
      <c r="ET910" s="59"/>
      <c r="EU910" s="59"/>
      <c r="EV910" s="59"/>
      <c r="EW910" s="59"/>
      <c r="EX910" s="59"/>
      <c r="EY910" s="59"/>
      <c r="EZ910" s="59"/>
      <c r="FA910" s="59"/>
      <c r="FB910" s="59"/>
      <c r="FC910" s="59"/>
      <c r="FD910" s="59"/>
      <c r="FE910" s="59"/>
      <c r="FF910" s="59"/>
      <c r="FG910" s="59"/>
      <c r="FH910" s="59"/>
      <c r="FI910" s="59"/>
      <c r="FJ910" s="59"/>
      <c r="FK910" s="59"/>
      <c r="FL910" s="59"/>
      <c r="FM910" s="59"/>
      <c r="FN910" s="59"/>
      <c r="FO910" s="59"/>
      <c r="FP910" s="59"/>
      <c r="FQ910" s="59"/>
      <c r="FR910" s="59"/>
      <c r="FS910" s="59"/>
      <c r="FT910" s="59"/>
      <c r="FU910" s="59"/>
      <c r="FV910" s="59"/>
      <c r="FW910" s="59"/>
      <c r="FX910" s="59"/>
      <c r="FY910" s="59"/>
      <c r="FZ910" s="59"/>
      <c r="GA910" s="59"/>
      <c r="GB910" s="59"/>
      <c r="GC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  <c r="BV911" s="59"/>
      <c r="BW911" s="59"/>
      <c r="BX911" s="59"/>
      <c r="BY911" s="59"/>
      <c r="BZ911" s="59"/>
      <c r="CA911" s="59"/>
      <c r="CB911" s="59"/>
      <c r="CC911" s="59"/>
      <c r="CD911" s="59"/>
      <c r="CE911" s="59"/>
      <c r="CF911" s="59"/>
      <c r="CG911" s="59"/>
      <c r="CH911" s="59"/>
      <c r="CI911" s="59"/>
      <c r="CJ911" s="59"/>
      <c r="CK911" s="59"/>
      <c r="CL911" s="59"/>
      <c r="CM911" s="59"/>
      <c r="CN911" s="59"/>
      <c r="CO911" s="59"/>
      <c r="CP911" s="59"/>
      <c r="CQ911" s="59"/>
      <c r="CR911" s="59"/>
      <c r="CS911" s="59"/>
      <c r="CT911" s="59"/>
      <c r="CU911" s="59"/>
      <c r="CV911" s="59"/>
      <c r="CW911" s="59"/>
      <c r="CX911" s="59"/>
      <c r="CY911" s="59"/>
      <c r="CZ911" s="59"/>
      <c r="DA911" s="59"/>
      <c r="DB911" s="59"/>
      <c r="DC911" s="59"/>
      <c r="DD911" s="59"/>
      <c r="DE911" s="59"/>
      <c r="DF911" s="59"/>
      <c r="DG911" s="59"/>
      <c r="DH911" s="59"/>
      <c r="DI911" s="59"/>
      <c r="DJ911" s="59"/>
      <c r="DK911" s="59"/>
      <c r="DL911" s="59"/>
      <c r="DM911" s="59"/>
      <c r="DN911" s="59"/>
      <c r="DO911" s="59"/>
      <c r="DP911" s="59"/>
      <c r="DQ911" s="59"/>
      <c r="DR911" s="59"/>
      <c r="DS911" s="59"/>
      <c r="DT911" s="59"/>
      <c r="DU911" s="59"/>
      <c r="DV911" s="59"/>
      <c r="DW911" s="59"/>
      <c r="DX911" s="59"/>
      <c r="DY911" s="59"/>
      <c r="DZ911" s="59"/>
      <c r="EA911" s="59"/>
      <c r="EB911" s="59"/>
      <c r="EC911" s="59"/>
      <c r="ED911" s="59"/>
      <c r="EE911" s="59"/>
      <c r="EF911" s="59"/>
      <c r="EG911" s="59"/>
      <c r="EH911" s="59"/>
      <c r="EI911" s="59"/>
      <c r="EJ911" s="59"/>
      <c r="EK911" s="59"/>
      <c r="EL911" s="59"/>
      <c r="EM911" s="59"/>
      <c r="EN911" s="59"/>
      <c r="EO911" s="59"/>
      <c r="EP911" s="59"/>
      <c r="EQ911" s="59"/>
      <c r="ER911" s="59"/>
      <c r="ES911" s="59"/>
      <c r="ET911" s="59"/>
      <c r="EU911" s="59"/>
      <c r="EV911" s="59"/>
      <c r="EW911" s="59"/>
      <c r="EX911" s="59"/>
      <c r="EY911" s="59"/>
      <c r="EZ911" s="59"/>
      <c r="FA911" s="59"/>
      <c r="FB911" s="59"/>
      <c r="FC911" s="59"/>
      <c r="FD911" s="59"/>
      <c r="FE911" s="59"/>
      <c r="FF911" s="59"/>
      <c r="FG911" s="59"/>
      <c r="FH911" s="59"/>
      <c r="FI911" s="59"/>
      <c r="FJ911" s="59"/>
      <c r="FK911" s="59"/>
      <c r="FL911" s="59"/>
      <c r="FM911" s="59"/>
      <c r="FN911" s="59"/>
      <c r="FO911" s="59"/>
      <c r="FP911" s="59"/>
      <c r="FQ911" s="59"/>
      <c r="FR911" s="59"/>
      <c r="FS911" s="59"/>
      <c r="FT911" s="59"/>
      <c r="FU911" s="59"/>
      <c r="FV911" s="59"/>
      <c r="FW911" s="59"/>
      <c r="FX911" s="59"/>
      <c r="FY911" s="59"/>
      <c r="FZ911" s="59"/>
      <c r="GA911" s="59"/>
      <c r="GB911" s="59"/>
      <c r="GC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  <c r="BW912" s="59"/>
      <c r="BX912" s="59"/>
      <c r="BY912" s="59"/>
      <c r="BZ912" s="59"/>
      <c r="CA912" s="59"/>
      <c r="CB912" s="59"/>
      <c r="CC912" s="59"/>
      <c r="CD912" s="59"/>
      <c r="CE912" s="59"/>
      <c r="CF912" s="59"/>
      <c r="CG912" s="59"/>
      <c r="CH912" s="59"/>
      <c r="CI912" s="59"/>
      <c r="CJ912" s="59"/>
      <c r="CK912" s="59"/>
      <c r="CL912" s="59"/>
      <c r="CM912" s="59"/>
      <c r="CN912" s="59"/>
      <c r="CO912" s="59"/>
      <c r="CP912" s="59"/>
      <c r="CQ912" s="59"/>
      <c r="CR912" s="59"/>
      <c r="CS912" s="59"/>
      <c r="CT912" s="59"/>
      <c r="CU912" s="59"/>
      <c r="CV912" s="59"/>
      <c r="CW912" s="59"/>
      <c r="CX912" s="59"/>
      <c r="CY912" s="59"/>
      <c r="CZ912" s="59"/>
      <c r="DA912" s="59"/>
      <c r="DB912" s="59"/>
      <c r="DC912" s="59"/>
      <c r="DD912" s="59"/>
      <c r="DE912" s="59"/>
      <c r="DF912" s="59"/>
      <c r="DG912" s="59"/>
      <c r="DH912" s="59"/>
      <c r="DI912" s="59"/>
      <c r="DJ912" s="59"/>
      <c r="DK912" s="59"/>
      <c r="DL912" s="59"/>
      <c r="DM912" s="59"/>
      <c r="DN912" s="59"/>
      <c r="DO912" s="59"/>
      <c r="DP912" s="59"/>
      <c r="DQ912" s="59"/>
      <c r="DR912" s="59"/>
      <c r="DS912" s="59"/>
      <c r="DT912" s="59"/>
      <c r="DU912" s="59"/>
      <c r="DV912" s="59"/>
      <c r="DW912" s="59"/>
      <c r="DX912" s="59"/>
      <c r="DY912" s="59"/>
      <c r="DZ912" s="59"/>
      <c r="EA912" s="59"/>
      <c r="EB912" s="59"/>
      <c r="EC912" s="59"/>
      <c r="ED912" s="59"/>
      <c r="EE912" s="59"/>
      <c r="EF912" s="59"/>
      <c r="EG912" s="59"/>
      <c r="EH912" s="59"/>
      <c r="EI912" s="59"/>
      <c r="EJ912" s="59"/>
      <c r="EK912" s="59"/>
      <c r="EL912" s="59"/>
      <c r="EM912" s="59"/>
      <c r="EN912" s="59"/>
      <c r="EO912" s="59"/>
      <c r="EP912" s="59"/>
      <c r="EQ912" s="59"/>
      <c r="ER912" s="59"/>
      <c r="ES912" s="59"/>
      <c r="ET912" s="59"/>
      <c r="EU912" s="59"/>
      <c r="EV912" s="59"/>
      <c r="EW912" s="59"/>
      <c r="EX912" s="59"/>
      <c r="EY912" s="59"/>
      <c r="EZ912" s="59"/>
      <c r="FA912" s="59"/>
      <c r="FB912" s="59"/>
      <c r="FC912" s="59"/>
      <c r="FD912" s="59"/>
      <c r="FE912" s="59"/>
      <c r="FF912" s="59"/>
      <c r="FG912" s="59"/>
      <c r="FH912" s="59"/>
      <c r="FI912" s="59"/>
      <c r="FJ912" s="59"/>
      <c r="FK912" s="59"/>
      <c r="FL912" s="59"/>
      <c r="FM912" s="59"/>
      <c r="FN912" s="59"/>
      <c r="FO912" s="59"/>
      <c r="FP912" s="59"/>
      <c r="FQ912" s="59"/>
      <c r="FR912" s="59"/>
      <c r="FS912" s="59"/>
      <c r="FT912" s="59"/>
      <c r="FU912" s="59"/>
      <c r="FV912" s="59"/>
      <c r="FW912" s="59"/>
      <c r="FX912" s="59"/>
      <c r="FY912" s="59"/>
      <c r="FZ912" s="59"/>
      <c r="GA912" s="59"/>
      <c r="GB912" s="59"/>
      <c r="GC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  <c r="BV913" s="59"/>
      <c r="BW913" s="59"/>
      <c r="BX913" s="59"/>
      <c r="BY913" s="59"/>
      <c r="BZ913" s="59"/>
      <c r="CA913" s="59"/>
      <c r="CB913" s="59"/>
      <c r="CC913" s="59"/>
      <c r="CD913" s="59"/>
      <c r="CE913" s="59"/>
      <c r="CF913" s="59"/>
      <c r="CG913" s="59"/>
      <c r="CH913" s="59"/>
      <c r="CI913" s="59"/>
      <c r="CJ913" s="59"/>
      <c r="CK913" s="59"/>
      <c r="CL913" s="59"/>
      <c r="CM913" s="59"/>
      <c r="CN913" s="59"/>
      <c r="CO913" s="59"/>
      <c r="CP913" s="59"/>
      <c r="CQ913" s="59"/>
      <c r="CR913" s="59"/>
      <c r="CS913" s="59"/>
      <c r="CT913" s="59"/>
      <c r="CU913" s="59"/>
      <c r="CV913" s="59"/>
      <c r="CW913" s="59"/>
      <c r="CX913" s="59"/>
      <c r="CY913" s="59"/>
      <c r="CZ913" s="59"/>
      <c r="DA913" s="59"/>
      <c r="DB913" s="59"/>
      <c r="DC913" s="59"/>
      <c r="DD913" s="59"/>
      <c r="DE913" s="59"/>
      <c r="DF913" s="59"/>
      <c r="DG913" s="59"/>
      <c r="DH913" s="59"/>
      <c r="DI913" s="59"/>
      <c r="DJ913" s="59"/>
      <c r="DK913" s="59"/>
      <c r="DL913" s="59"/>
      <c r="DM913" s="59"/>
      <c r="DN913" s="59"/>
      <c r="DO913" s="59"/>
      <c r="DP913" s="59"/>
      <c r="DQ913" s="59"/>
      <c r="DR913" s="59"/>
      <c r="DS913" s="59"/>
      <c r="DT913" s="59"/>
      <c r="DU913" s="59"/>
      <c r="DV913" s="59"/>
      <c r="DW913" s="59"/>
      <c r="DX913" s="59"/>
      <c r="DY913" s="59"/>
      <c r="DZ913" s="59"/>
      <c r="EA913" s="59"/>
      <c r="EB913" s="59"/>
      <c r="EC913" s="59"/>
      <c r="ED913" s="59"/>
      <c r="EE913" s="59"/>
      <c r="EF913" s="59"/>
      <c r="EG913" s="59"/>
      <c r="EH913" s="59"/>
      <c r="EI913" s="59"/>
      <c r="EJ913" s="59"/>
      <c r="EK913" s="59"/>
      <c r="EL913" s="59"/>
      <c r="EM913" s="59"/>
      <c r="EN913" s="59"/>
      <c r="EO913" s="59"/>
      <c r="EP913" s="59"/>
      <c r="EQ913" s="59"/>
      <c r="ER913" s="59"/>
      <c r="ES913" s="59"/>
      <c r="ET913" s="59"/>
      <c r="EU913" s="59"/>
      <c r="EV913" s="59"/>
      <c r="EW913" s="59"/>
      <c r="EX913" s="59"/>
      <c r="EY913" s="59"/>
      <c r="EZ913" s="59"/>
      <c r="FA913" s="59"/>
      <c r="FB913" s="59"/>
      <c r="FC913" s="59"/>
      <c r="FD913" s="59"/>
      <c r="FE913" s="59"/>
      <c r="FF913" s="59"/>
      <c r="FG913" s="59"/>
      <c r="FH913" s="59"/>
      <c r="FI913" s="59"/>
      <c r="FJ913" s="59"/>
      <c r="FK913" s="59"/>
      <c r="FL913" s="59"/>
      <c r="FM913" s="59"/>
      <c r="FN913" s="59"/>
      <c r="FO913" s="59"/>
      <c r="FP913" s="59"/>
      <c r="FQ913" s="59"/>
      <c r="FR913" s="59"/>
      <c r="FS913" s="59"/>
      <c r="FT913" s="59"/>
      <c r="FU913" s="59"/>
      <c r="FV913" s="59"/>
      <c r="FW913" s="59"/>
      <c r="FX913" s="59"/>
      <c r="FY913" s="59"/>
      <c r="FZ913" s="59"/>
      <c r="GA913" s="59"/>
      <c r="GB913" s="59"/>
      <c r="GC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  <c r="BV914" s="59"/>
      <c r="BW914" s="59"/>
      <c r="BX914" s="59"/>
      <c r="BY914" s="59"/>
      <c r="BZ914" s="59"/>
      <c r="CA914" s="59"/>
      <c r="CB914" s="59"/>
      <c r="CC914" s="59"/>
      <c r="CD914" s="59"/>
      <c r="CE914" s="59"/>
      <c r="CF914" s="59"/>
      <c r="CG914" s="59"/>
      <c r="CH914" s="59"/>
      <c r="CI914" s="59"/>
      <c r="CJ914" s="59"/>
      <c r="CK914" s="59"/>
      <c r="CL914" s="59"/>
      <c r="CM914" s="59"/>
      <c r="CN914" s="59"/>
      <c r="CO914" s="59"/>
      <c r="CP914" s="59"/>
      <c r="CQ914" s="59"/>
      <c r="CR914" s="59"/>
      <c r="CS914" s="59"/>
      <c r="CT914" s="59"/>
      <c r="CU914" s="59"/>
      <c r="CV914" s="59"/>
      <c r="CW914" s="59"/>
      <c r="CX914" s="59"/>
      <c r="CY914" s="59"/>
      <c r="CZ914" s="59"/>
      <c r="DA914" s="59"/>
      <c r="DB914" s="59"/>
      <c r="DC914" s="59"/>
      <c r="DD914" s="59"/>
      <c r="DE914" s="59"/>
      <c r="DF914" s="59"/>
      <c r="DG914" s="59"/>
      <c r="DH914" s="59"/>
      <c r="DI914" s="59"/>
      <c r="DJ914" s="59"/>
      <c r="DK914" s="59"/>
      <c r="DL914" s="59"/>
      <c r="DM914" s="59"/>
      <c r="DN914" s="59"/>
      <c r="DO914" s="59"/>
      <c r="DP914" s="59"/>
      <c r="DQ914" s="59"/>
      <c r="DR914" s="59"/>
      <c r="DS914" s="59"/>
      <c r="DT914" s="59"/>
      <c r="DU914" s="59"/>
      <c r="DV914" s="59"/>
      <c r="DW914" s="59"/>
      <c r="DX914" s="59"/>
      <c r="DY914" s="59"/>
      <c r="DZ914" s="59"/>
      <c r="EA914" s="59"/>
      <c r="EB914" s="59"/>
      <c r="EC914" s="59"/>
      <c r="ED914" s="59"/>
      <c r="EE914" s="59"/>
      <c r="EF914" s="59"/>
      <c r="EG914" s="59"/>
      <c r="EH914" s="59"/>
      <c r="EI914" s="59"/>
      <c r="EJ914" s="59"/>
      <c r="EK914" s="59"/>
      <c r="EL914" s="59"/>
      <c r="EM914" s="59"/>
      <c r="EN914" s="59"/>
      <c r="EO914" s="59"/>
      <c r="EP914" s="59"/>
      <c r="EQ914" s="59"/>
      <c r="ER914" s="59"/>
      <c r="ES914" s="59"/>
      <c r="ET914" s="59"/>
      <c r="EU914" s="59"/>
      <c r="EV914" s="59"/>
      <c r="EW914" s="59"/>
      <c r="EX914" s="59"/>
      <c r="EY914" s="59"/>
      <c r="EZ914" s="59"/>
      <c r="FA914" s="59"/>
      <c r="FB914" s="59"/>
      <c r="FC914" s="59"/>
      <c r="FD914" s="59"/>
      <c r="FE914" s="59"/>
      <c r="FF914" s="59"/>
      <c r="FG914" s="59"/>
      <c r="FH914" s="59"/>
      <c r="FI914" s="59"/>
      <c r="FJ914" s="59"/>
      <c r="FK914" s="59"/>
      <c r="FL914" s="59"/>
      <c r="FM914" s="59"/>
      <c r="FN914" s="59"/>
      <c r="FO914" s="59"/>
      <c r="FP914" s="59"/>
      <c r="FQ914" s="59"/>
      <c r="FR914" s="59"/>
      <c r="FS914" s="59"/>
      <c r="FT914" s="59"/>
      <c r="FU914" s="59"/>
      <c r="FV914" s="59"/>
      <c r="FW914" s="59"/>
      <c r="FX914" s="59"/>
      <c r="FY914" s="59"/>
      <c r="FZ914" s="59"/>
      <c r="GA914" s="59"/>
      <c r="GB914" s="59"/>
      <c r="GC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/>
      <c r="BW915" s="59"/>
      <c r="BX915" s="59"/>
      <c r="BY915" s="59"/>
      <c r="BZ915" s="59"/>
      <c r="CA915" s="59"/>
      <c r="CB915" s="59"/>
      <c r="CC915" s="59"/>
      <c r="CD915" s="59"/>
      <c r="CE915" s="59"/>
      <c r="CF915" s="59"/>
      <c r="CG915" s="59"/>
      <c r="CH915" s="59"/>
      <c r="CI915" s="59"/>
      <c r="CJ915" s="59"/>
      <c r="CK915" s="59"/>
      <c r="CL915" s="59"/>
      <c r="CM915" s="59"/>
      <c r="CN915" s="59"/>
      <c r="CO915" s="59"/>
      <c r="CP915" s="59"/>
      <c r="CQ915" s="59"/>
      <c r="CR915" s="59"/>
      <c r="CS915" s="59"/>
      <c r="CT915" s="59"/>
      <c r="CU915" s="59"/>
      <c r="CV915" s="59"/>
      <c r="CW915" s="59"/>
      <c r="CX915" s="59"/>
      <c r="CY915" s="59"/>
      <c r="CZ915" s="59"/>
      <c r="DA915" s="59"/>
      <c r="DB915" s="59"/>
      <c r="DC915" s="59"/>
      <c r="DD915" s="59"/>
      <c r="DE915" s="59"/>
      <c r="DF915" s="59"/>
      <c r="DG915" s="59"/>
      <c r="DH915" s="59"/>
      <c r="DI915" s="59"/>
      <c r="DJ915" s="59"/>
      <c r="DK915" s="59"/>
      <c r="DL915" s="59"/>
      <c r="DM915" s="59"/>
      <c r="DN915" s="59"/>
      <c r="DO915" s="59"/>
      <c r="DP915" s="59"/>
      <c r="DQ915" s="59"/>
      <c r="DR915" s="59"/>
      <c r="DS915" s="59"/>
      <c r="DT915" s="59"/>
      <c r="DU915" s="59"/>
      <c r="DV915" s="59"/>
      <c r="DW915" s="59"/>
      <c r="DX915" s="59"/>
      <c r="DY915" s="59"/>
      <c r="DZ915" s="59"/>
      <c r="EA915" s="59"/>
      <c r="EB915" s="59"/>
      <c r="EC915" s="59"/>
      <c r="ED915" s="59"/>
      <c r="EE915" s="59"/>
      <c r="EF915" s="59"/>
      <c r="EG915" s="59"/>
      <c r="EH915" s="59"/>
      <c r="EI915" s="59"/>
      <c r="EJ915" s="59"/>
      <c r="EK915" s="59"/>
      <c r="EL915" s="59"/>
      <c r="EM915" s="59"/>
      <c r="EN915" s="59"/>
      <c r="EO915" s="59"/>
      <c r="EP915" s="59"/>
      <c r="EQ915" s="59"/>
      <c r="ER915" s="59"/>
      <c r="ES915" s="59"/>
      <c r="ET915" s="59"/>
      <c r="EU915" s="59"/>
      <c r="EV915" s="59"/>
      <c r="EW915" s="59"/>
      <c r="EX915" s="59"/>
      <c r="EY915" s="59"/>
      <c r="EZ915" s="59"/>
      <c r="FA915" s="59"/>
      <c r="FB915" s="59"/>
      <c r="FC915" s="59"/>
      <c r="FD915" s="59"/>
      <c r="FE915" s="59"/>
      <c r="FF915" s="59"/>
      <c r="FG915" s="59"/>
      <c r="FH915" s="59"/>
      <c r="FI915" s="59"/>
      <c r="FJ915" s="59"/>
      <c r="FK915" s="59"/>
      <c r="FL915" s="59"/>
      <c r="FM915" s="59"/>
      <c r="FN915" s="59"/>
      <c r="FO915" s="59"/>
      <c r="FP915" s="59"/>
      <c r="FQ915" s="59"/>
      <c r="FR915" s="59"/>
      <c r="FS915" s="59"/>
      <c r="FT915" s="59"/>
      <c r="FU915" s="59"/>
      <c r="FV915" s="59"/>
      <c r="FW915" s="59"/>
      <c r="FX915" s="59"/>
      <c r="FY915" s="59"/>
      <c r="FZ915" s="59"/>
      <c r="GA915" s="59"/>
      <c r="GB915" s="59"/>
      <c r="GC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  <c r="BV916" s="59"/>
      <c r="BW916" s="59"/>
      <c r="BX916" s="59"/>
      <c r="BY916" s="59"/>
      <c r="BZ916" s="59"/>
      <c r="CA916" s="59"/>
      <c r="CB916" s="59"/>
      <c r="CC916" s="59"/>
      <c r="CD916" s="59"/>
      <c r="CE916" s="59"/>
      <c r="CF916" s="59"/>
      <c r="CG916" s="59"/>
      <c r="CH916" s="59"/>
      <c r="CI916" s="59"/>
      <c r="CJ916" s="59"/>
      <c r="CK916" s="59"/>
      <c r="CL916" s="59"/>
      <c r="CM916" s="59"/>
      <c r="CN916" s="59"/>
      <c r="CO916" s="59"/>
      <c r="CP916" s="59"/>
      <c r="CQ916" s="59"/>
      <c r="CR916" s="59"/>
      <c r="CS916" s="59"/>
      <c r="CT916" s="59"/>
      <c r="CU916" s="59"/>
      <c r="CV916" s="59"/>
      <c r="CW916" s="59"/>
      <c r="CX916" s="59"/>
      <c r="CY916" s="59"/>
      <c r="CZ916" s="59"/>
      <c r="DA916" s="59"/>
      <c r="DB916" s="59"/>
      <c r="DC916" s="59"/>
      <c r="DD916" s="59"/>
      <c r="DE916" s="59"/>
      <c r="DF916" s="59"/>
      <c r="DG916" s="59"/>
      <c r="DH916" s="59"/>
      <c r="DI916" s="59"/>
      <c r="DJ916" s="59"/>
      <c r="DK916" s="59"/>
      <c r="DL916" s="59"/>
      <c r="DM916" s="59"/>
      <c r="DN916" s="59"/>
      <c r="DO916" s="59"/>
      <c r="DP916" s="59"/>
      <c r="DQ916" s="59"/>
      <c r="DR916" s="59"/>
      <c r="DS916" s="59"/>
      <c r="DT916" s="59"/>
      <c r="DU916" s="59"/>
      <c r="DV916" s="59"/>
      <c r="DW916" s="59"/>
      <c r="DX916" s="59"/>
      <c r="DY916" s="59"/>
      <c r="DZ916" s="59"/>
      <c r="EA916" s="59"/>
      <c r="EB916" s="59"/>
      <c r="EC916" s="59"/>
      <c r="ED916" s="59"/>
      <c r="EE916" s="59"/>
      <c r="EF916" s="59"/>
      <c r="EG916" s="59"/>
      <c r="EH916" s="59"/>
      <c r="EI916" s="59"/>
      <c r="EJ916" s="59"/>
      <c r="EK916" s="59"/>
      <c r="EL916" s="59"/>
      <c r="EM916" s="59"/>
      <c r="EN916" s="59"/>
      <c r="EO916" s="59"/>
      <c r="EP916" s="59"/>
      <c r="EQ916" s="59"/>
      <c r="ER916" s="59"/>
      <c r="ES916" s="59"/>
      <c r="ET916" s="59"/>
      <c r="EU916" s="59"/>
      <c r="EV916" s="59"/>
      <c r="EW916" s="59"/>
      <c r="EX916" s="59"/>
      <c r="EY916" s="59"/>
      <c r="EZ916" s="59"/>
      <c r="FA916" s="59"/>
      <c r="FB916" s="59"/>
      <c r="FC916" s="59"/>
      <c r="FD916" s="59"/>
      <c r="FE916" s="59"/>
      <c r="FF916" s="59"/>
      <c r="FG916" s="59"/>
      <c r="FH916" s="59"/>
      <c r="FI916" s="59"/>
      <c r="FJ916" s="59"/>
      <c r="FK916" s="59"/>
      <c r="FL916" s="59"/>
      <c r="FM916" s="59"/>
      <c r="FN916" s="59"/>
      <c r="FO916" s="59"/>
      <c r="FP916" s="59"/>
      <c r="FQ916" s="59"/>
      <c r="FR916" s="59"/>
      <c r="FS916" s="59"/>
      <c r="FT916" s="59"/>
      <c r="FU916" s="59"/>
      <c r="FV916" s="59"/>
      <c r="FW916" s="59"/>
      <c r="FX916" s="59"/>
      <c r="FY916" s="59"/>
      <c r="FZ916" s="59"/>
      <c r="GA916" s="59"/>
      <c r="GB916" s="59"/>
      <c r="GC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  <c r="BV917" s="59"/>
      <c r="BW917" s="59"/>
      <c r="BX917" s="59"/>
      <c r="BY917" s="59"/>
      <c r="BZ917" s="59"/>
      <c r="CA917" s="59"/>
      <c r="CB917" s="59"/>
      <c r="CC917" s="59"/>
      <c r="CD917" s="59"/>
      <c r="CE917" s="59"/>
      <c r="CF917" s="59"/>
      <c r="CG917" s="59"/>
      <c r="CH917" s="59"/>
      <c r="CI917" s="59"/>
      <c r="CJ917" s="59"/>
      <c r="CK917" s="59"/>
      <c r="CL917" s="59"/>
      <c r="CM917" s="59"/>
      <c r="CN917" s="59"/>
      <c r="CO917" s="59"/>
      <c r="CP917" s="59"/>
      <c r="CQ917" s="59"/>
      <c r="CR917" s="59"/>
      <c r="CS917" s="59"/>
      <c r="CT917" s="59"/>
      <c r="CU917" s="59"/>
      <c r="CV917" s="59"/>
      <c r="CW917" s="59"/>
      <c r="CX917" s="59"/>
      <c r="CY917" s="59"/>
      <c r="CZ917" s="59"/>
      <c r="DA917" s="59"/>
      <c r="DB917" s="59"/>
      <c r="DC917" s="59"/>
      <c r="DD917" s="59"/>
      <c r="DE917" s="59"/>
      <c r="DF917" s="59"/>
      <c r="DG917" s="59"/>
      <c r="DH917" s="59"/>
      <c r="DI917" s="59"/>
      <c r="DJ917" s="59"/>
      <c r="DK917" s="59"/>
      <c r="DL917" s="59"/>
      <c r="DM917" s="59"/>
      <c r="DN917" s="59"/>
      <c r="DO917" s="59"/>
      <c r="DP917" s="59"/>
      <c r="DQ917" s="59"/>
      <c r="DR917" s="59"/>
      <c r="DS917" s="59"/>
      <c r="DT917" s="59"/>
      <c r="DU917" s="59"/>
      <c r="DV917" s="59"/>
      <c r="DW917" s="59"/>
      <c r="DX917" s="59"/>
      <c r="DY917" s="59"/>
      <c r="DZ917" s="59"/>
      <c r="EA917" s="59"/>
      <c r="EB917" s="59"/>
      <c r="EC917" s="59"/>
      <c r="ED917" s="59"/>
      <c r="EE917" s="59"/>
      <c r="EF917" s="59"/>
      <c r="EG917" s="59"/>
      <c r="EH917" s="59"/>
      <c r="EI917" s="59"/>
      <c r="EJ917" s="59"/>
      <c r="EK917" s="59"/>
      <c r="EL917" s="59"/>
      <c r="EM917" s="59"/>
      <c r="EN917" s="59"/>
      <c r="EO917" s="59"/>
      <c r="EP917" s="59"/>
      <c r="EQ917" s="59"/>
      <c r="ER917" s="59"/>
      <c r="ES917" s="59"/>
      <c r="ET917" s="59"/>
      <c r="EU917" s="59"/>
      <c r="EV917" s="59"/>
      <c r="EW917" s="59"/>
      <c r="EX917" s="59"/>
      <c r="EY917" s="59"/>
      <c r="EZ917" s="59"/>
      <c r="FA917" s="59"/>
      <c r="FB917" s="59"/>
      <c r="FC917" s="59"/>
      <c r="FD917" s="59"/>
      <c r="FE917" s="59"/>
      <c r="FF917" s="59"/>
      <c r="FG917" s="59"/>
      <c r="FH917" s="59"/>
      <c r="FI917" s="59"/>
      <c r="FJ917" s="59"/>
      <c r="FK917" s="59"/>
      <c r="FL917" s="59"/>
      <c r="FM917" s="59"/>
      <c r="FN917" s="59"/>
      <c r="FO917" s="59"/>
      <c r="FP917" s="59"/>
      <c r="FQ917" s="59"/>
      <c r="FR917" s="59"/>
      <c r="FS917" s="59"/>
      <c r="FT917" s="59"/>
      <c r="FU917" s="59"/>
      <c r="FV917" s="59"/>
      <c r="FW917" s="59"/>
      <c r="FX917" s="59"/>
      <c r="FY917" s="59"/>
      <c r="FZ917" s="59"/>
      <c r="GA917" s="59"/>
      <c r="GB917" s="59"/>
      <c r="GC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  <c r="BW918" s="59"/>
      <c r="BX918" s="59"/>
      <c r="BY918" s="59"/>
      <c r="BZ918" s="59"/>
      <c r="CA918" s="59"/>
      <c r="CB918" s="59"/>
      <c r="CC918" s="59"/>
      <c r="CD918" s="59"/>
      <c r="CE918" s="59"/>
      <c r="CF918" s="59"/>
      <c r="CG918" s="59"/>
      <c r="CH918" s="59"/>
      <c r="CI918" s="59"/>
      <c r="CJ918" s="59"/>
      <c r="CK918" s="59"/>
      <c r="CL918" s="59"/>
      <c r="CM918" s="59"/>
      <c r="CN918" s="59"/>
      <c r="CO918" s="59"/>
      <c r="CP918" s="59"/>
      <c r="CQ918" s="59"/>
      <c r="CR918" s="59"/>
      <c r="CS918" s="59"/>
      <c r="CT918" s="59"/>
      <c r="CU918" s="59"/>
      <c r="CV918" s="59"/>
      <c r="CW918" s="59"/>
      <c r="CX918" s="59"/>
      <c r="CY918" s="59"/>
      <c r="CZ918" s="59"/>
      <c r="DA918" s="59"/>
      <c r="DB918" s="59"/>
      <c r="DC918" s="59"/>
      <c r="DD918" s="59"/>
      <c r="DE918" s="59"/>
      <c r="DF918" s="59"/>
      <c r="DG918" s="59"/>
      <c r="DH918" s="59"/>
      <c r="DI918" s="59"/>
      <c r="DJ918" s="59"/>
      <c r="DK918" s="59"/>
      <c r="DL918" s="59"/>
      <c r="DM918" s="59"/>
      <c r="DN918" s="59"/>
      <c r="DO918" s="59"/>
      <c r="DP918" s="59"/>
      <c r="DQ918" s="59"/>
      <c r="DR918" s="59"/>
      <c r="DS918" s="59"/>
      <c r="DT918" s="59"/>
      <c r="DU918" s="59"/>
      <c r="DV918" s="59"/>
      <c r="DW918" s="59"/>
      <c r="DX918" s="59"/>
      <c r="DY918" s="59"/>
      <c r="DZ918" s="59"/>
      <c r="EA918" s="59"/>
      <c r="EB918" s="59"/>
      <c r="EC918" s="59"/>
      <c r="ED918" s="59"/>
      <c r="EE918" s="59"/>
      <c r="EF918" s="59"/>
      <c r="EG918" s="59"/>
      <c r="EH918" s="59"/>
      <c r="EI918" s="59"/>
      <c r="EJ918" s="59"/>
      <c r="EK918" s="59"/>
      <c r="EL918" s="59"/>
      <c r="EM918" s="59"/>
      <c r="EN918" s="59"/>
      <c r="EO918" s="59"/>
      <c r="EP918" s="59"/>
      <c r="EQ918" s="59"/>
      <c r="ER918" s="59"/>
      <c r="ES918" s="59"/>
      <c r="ET918" s="59"/>
      <c r="EU918" s="59"/>
      <c r="EV918" s="59"/>
      <c r="EW918" s="59"/>
      <c r="EX918" s="59"/>
      <c r="EY918" s="59"/>
      <c r="EZ918" s="59"/>
      <c r="FA918" s="59"/>
      <c r="FB918" s="59"/>
      <c r="FC918" s="59"/>
      <c r="FD918" s="59"/>
      <c r="FE918" s="59"/>
      <c r="FF918" s="59"/>
      <c r="FG918" s="59"/>
      <c r="FH918" s="59"/>
      <c r="FI918" s="59"/>
      <c r="FJ918" s="59"/>
      <c r="FK918" s="59"/>
      <c r="FL918" s="59"/>
      <c r="FM918" s="59"/>
      <c r="FN918" s="59"/>
      <c r="FO918" s="59"/>
      <c r="FP918" s="59"/>
      <c r="FQ918" s="59"/>
      <c r="FR918" s="59"/>
      <c r="FS918" s="59"/>
      <c r="FT918" s="59"/>
      <c r="FU918" s="59"/>
      <c r="FV918" s="59"/>
      <c r="FW918" s="59"/>
      <c r="FX918" s="59"/>
      <c r="FY918" s="59"/>
      <c r="FZ918" s="59"/>
      <c r="GA918" s="59"/>
      <c r="GB918" s="59"/>
      <c r="GC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  <c r="BW919" s="59"/>
      <c r="BX919" s="59"/>
      <c r="BY919" s="59"/>
      <c r="BZ919" s="59"/>
      <c r="CA919" s="59"/>
      <c r="CB919" s="59"/>
      <c r="CC919" s="59"/>
      <c r="CD919" s="59"/>
      <c r="CE919" s="59"/>
      <c r="CF919" s="59"/>
      <c r="CG919" s="59"/>
      <c r="CH919" s="59"/>
      <c r="CI919" s="59"/>
      <c r="CJ919" s="59"/>
      <c r="CK919" s="59"/>
      <c r="CL919" s="59"/>
      <c r="CM919" s="59"/>
      <c r="CN919" s="59"/>
      <c r="CO919" s="59"/>
      <c r="CP919" s="59"/>
      <c r="CQ919" s="59"/>
      <c r="CR919" s="59"/>
      <c r="CS919" s="59"/>
      <c r="CT919" s="59"/>
      <c r="CU919" s="59"/>
      <c r="CV919" s="59"/>
      <c r="CW919" s="59"/>
      <c r="CX919" s="59"/>
      <c r="CY919" s="59"/>
      <c r="CZ919" s="59"/>
      <c r="DA919" s="59"/>
      <c r="DB919" s="59"/>
      <c r="DC919" s="59"/>
      <c r="DD919" s="59"/>
      <c r="DE919" s="59"/>
      <c r="DF919" s="59"/>
      <c r="DG919" s="59"/>
      <c r="DH919" s="59"/>
      <c r="DI919" s="59"/>
      <c r="DJ919" s="59"/>
      <c r="DK919" s="59"/>
      <c r="DL919" s="59"/>
      <c r="DM919" s="59"/>
      <c r="DN919" s="59"/>
      <c r="DO919" s="59"/>
      <c r="DP919" s="59"/>
      <c r="DQ919" s="59"/>
      <c r="DR919" s="59"/>
      <c r="DS919" s="59"/>
      <c r="DT919" s="59"/>
      <c r="DU919" s="59"/>
      <c r="DV919" s="59"/>
      <c r="DW919" s="59"/>
      <c r="DX919" s="59"/>
      <c r="DY919" s="59"/>
      <c r="DZ919" s="59"/>
      <c r="EA919" s="59"/>
      <c r="EB919" s="59"/>
      <c r="EC919" s="59"/>
      <c r="ED919" s="59"/>
      <c r="EE919" s="59"/>
      <c r="EF919" s="59"/>
      <c r="EG919" s="59"/>
      <c r="EH919" s="59"/>
      <c r="EI919" s="59"/>
      <c r="EJ919" s="59"/>
      <c r="EK919" s="59"/>
      <c r="EL919" s="59"/>
      <c r="EM919" s="59"/>
      <c r="EN919" s="59"/>
      <c r="EO919" s="59"/>
      <c r="EP919" s="59"/>
      <c r="EQ919" s="59"/>
      <c r="ER919" s="59"/>
      <c r="ES919" s="59"/>
      <c r="ET919" s="59"/>
      <c r="EU919" s="59"/>
      <c r="EV919" s="59"/>
      <c r="EW919" s="59"/>
      <c r="EX919" s="59"/>
      <c r="EY919" s="59"/>
      <c r="EZ919" s="59"/>
      <c r="FA919" s="59"/>
      <c r="FB919" s="59"/>
      <c r="FC919" s="59"/>
      <c r="FD919" s="59"/>
      <c r="FE919" s="59"/>
      <c r="FF919" s="59"/>
      <c r="FG919" s="59"/>
      <c r="FH919" s="59"/>
      <c r="FI919" s="59"/>
      <c r="FJ919" s="59"/>
      <c r="FK919" s="59"/>
      <c r="FL919" s="59"/>
      <c r="FM919" s="59"/>
      <c r="FN919" s="59"/>
      <c r="FO919" s="59"/>
      <c r="FP919" s="59"/>
      <c r="FQ919" s="59"/>
      <c r="FR919" s="59"/>
      <c r="FS919" s="59"/>
      <c r="FT919" s="59"/>
      <c r="FU919" s="59"/>
      <c r="FV919" s="59"/>
      <c r="FW919" s="59"/>
      <c r="FX919" s="59"/>
      <c r="FY919" s="59"/>
      <c r="FZ919" s="59"/>
      <c r="GA919" s="59"/>
      <c r="GB919" s="59"/>
      <c r="GC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  <c r="BW920" s="59"/>
      <c r="BX920" s="59"/>
      <c r="BY920" s="59"/>
      <c r="BZ920" s="59"/>
      <c r="CA920" s="59"/>
      <c r="CB920" s="59"/>
      <c r="CC920" s="59"/>
      <c r="CD920" s="59"/>
      <c r="CE920" s="59"/>
      <c r="CF920" s="59"/>
      <c r="CG920" s="59"/>
      <c r="CH920" s="59"/>
      <c r="CI920" s="59"/>
      <c r="CJ920" s="59"/>
      <c r="CK920" s="59"/>
      <c r="CL920" s="59"/>
      <c r="CM920" s="59"/>
      <c r="CN920" s="59"/>
      <c r="CO920" s="59"/>
      <c r="CP920" s="59"/>
      <c r="CQ920" s="59"/>
      <c r="CR920" s="59"/>
      <c r="CS920" s="59"/>
      <c r="CT920" s="59"/>
      <c r="CU920" s="59"/>
      <c r="CV920" s="59"/>
      <c r="CW920" s="59"/>
      <c r="CX920" s="59"/>
      <c r="CY920" s="59"/>
      <c r="CZ920" s="59"/>
      <c r="DA920" s="59"/>
      <c r="DB920" s="59"/>
      <c r="DC920" s="59"/>
      <c r="DD920" s="59"/>
      <c r="DE920" s="59"/>
      <c r="DF920" s="59"/>
      <c r="DG920" s="59"/>
      <c r="DH920" s="59"/>
      <c r="DI920" s="59"/>
      <c r="DJ920" s="59"/>
      <c r="DK920" s="59"/>
      <c r="DL920" s="59"/>
      <c r="DM920" s="59"/>
      <c r="DN920" s="59"/>
      <c r="DO920" s="59"/>
      <c r="DP920" s="59"/>
      <c r="DQ920" s="59"/>
      <c r="DR920" s="59"/>
      <c r="DS920" s="59"/>
      <c r="DT920" s="59"/>
      <c r="DU920" s="59"/>
      <c r="DV920" s="59"/>
      <c r="DW920" s="59"/>
      <c r="DX920" s="59"/>
      <c r="DY920" s="59"/>
      <c r="DZ920" s="59"/>
      <c r="EA920" s="59"/>
      <c r="EB920" s="59"/>
      <c r="EC920" s="59"/>
      <c r="ED920" s="59"/>
      <c r="EE920" s="59"/>
      <c r="EF920" s="59"/>
      <c r="EG920" s="59"/>
      <c r="EH920" s="59"/>
      <c r="EI920" s="59"/>
      <c r="EJ920" s="59"/>
      <c r="EK920" s="59"/>
      <c r="EL920" s="59"/>
      <c r="EM920" s="59"/>
      <c r="EN920" s="59"/>
      <c r="EO920" s="59"/>
      <c r="EP920" s="59"/>
      <c r="EQ920" s="59"/>
      <c r="ER920" s="59"/>
      <c r="ES920" s="59"/>
      <c r="ET920" s="59"/>
      <c r="EU920" s="59"/>
      <c r="EV920" s="59"/>
      <c r="EW920" s="59"/>
      <c r="EX920" s="59"/>
      <c r="EY920" s="59"/>
      <c r="EZ920" s="59"/>
      <c r="FA920" s="59"/>
      <c r="FB920" s="59"/>
      <c r="FC920" s="59"/>
      <c r="FD920" s="59"/>
      <c r="FE920" s="59"/>
      <c r="FF920" s="59"/>
      <c r="FG920" s="59"/>
      <c r="FH920" s="59"/>
      <c r="FI920" s="59"/>
      <c r="FJ920" s="59"/>
      <c r="FK920" s="59"/>
      <c r="FL920" s="59"/>
      <c r="FM920" s="59"/>
      <c r="FN920" s="59"/>
      <c r="FO920" s="59"/>
      <c r="FP920" s="59"/>
      <c r="FQ920" s="59"/>
      <c r="FR920" s="59"/>
      <c r="FS920" s="59"/>
      <c r="FT920" s="59"/>
      <c r="FU920" s="59"/>
      <c r="FV920" s="59"/>
      <c r="FW920" s="59"/>
      <c r="FX920" s="59"/>
      <c r="FY920" s="59"/>
      <c r="FZ920" s="59"/>
      <c r="GA920" s="59"/>
      <c r="GB920" s="59"/>
      <c r="GC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  <c r="BV921" s="59"/>
      <c r="BW921" s="59"/>
      <c r="BX921" s="59"/>
      <c r="BY921" s="59"/>
      <c r="BZ921" s="59"/>
      <c r="CA921" s="59"/>
      <c r="CB921" s="59"/>
      <c r="CC921" s="59"/>
      <c r="CD921" s="59"/>
      <c r="CE921" s="59"/>
      <c r="CF921" s="59"/>
      <c r="CG921" s="59"/>
      <c r="CH921" s="59"/>
      <c r="CI921" s="59"/>
      <c r="CJ921" s="59"/>
      <c r="CK921" s="59"/>
      <c r="CL921" s="59"/>
      <c r="CM921" s="59"/>
      <c r="CN921" s="59"/>
      <c r="CO921" s="59"/>
      <c r="CP921" s="59"/>
      <c r="CQ921" s="59"/>
      <c r="CR921" s="59"/>
      <c r="CS921" s="59"/>
      <c r="CT921" s="59"/>
      <c r="CU921" s="59"/>
      <c r="CV921" s="59"/>
      <c r="CW921" s="59"/>
      <c r="CX921" s="59"/>
      <c r="CY921" s="59"/>
      <c r="CZ921" s="59"/>
      <c r="DA921" s="59"/>
      <c r="DB921" s="59"/>
      <c r="DC921" s="59"/>
      <c r="DD921" s="59"/>
      <c r="DE921" s="59"/>
      <c r="DF921" s="59"/>
      <c r="DG921" s="59"/>
      <c r="DH921" s="59"/>
      <c r="DI921" s="59"/>
      <c r="DJ921" s="59"/>
      <c r="DK921" s="59"/>
      <c r="DL921" s="59"/>
      <c r="DM921" s="59"/>
      <c r="DN921" s="59"/>
      <c r="DO921" s="59"/>
      <c r="DP921" s="59"/>
      <c r="DQ921" s="59"/>
      <c r="DR921" s="59"/>
      <c r="DS921" s="59"/>
      <c r="DT921" s="59"/>
      <c r="DU921" s="59"/>
      <c r="DV921" s="59"/>
      <c r="DW921" s="59"/>
      <c r="DX921" s="59"/>
      <c r="DY921" s="59"/>
      <c r="DZ921" s="59"/>
      <c r="EA921" s="59"/>
      <c r="EB921" s="59"/>
      <c r="EC921" s="59"/>
      <c r="ED921" s="59"/>
      <c r="EE921" s="59"/>
      <c r="EF921" s="59"/>
      <c r="EG921" s="59"/>
      <c r="EH921" s="59"/>
      <c r="EI921" s="59"/>
      <c r="EJ921" s="59"/>
      <c r="EK921" s="59"/>
      <c r="EL921" s="59"/>
      <c r="EM921" s="59"/>
      <c r="EN921" s="59"/>
      <c r="EO921" s="59"/>
      <c r="EP921" s="59"/>
      <c r="EQ921" s="59"/>
      <c r="ER921" s="59"/>
      <c r="ES921" s="59"/>
      <c r="ET921" s="59"/>
      <c r="EU921" s="59"/>
      <c r="EV921" s="59"/>
      <c r="EW921" s="59"/>
      <c r="EX921" s="59"/>
      <c r="EY921" s="59"/>
      <c r="EZ921" s="59"/>
      <c r="FA921" s="59"/>
      <c r="FB921" s="59"/>
      <c r="FC921" s="59"/>
      <c r="FD921" s="59"/>
      <c r="FE921" s="59"/>
      <c r="FF921" s="59"/>
      <c r="FG921" s="59"/>
      <c r="FH921" s="59"/>
      <c r="FI921" s="59"/>
      <c r="FJ921" s="59"/>
      <c r="FK921" s="59"/>
      <c r="FL921" s="59"/>
      <c r="FM921" s="59"/>
      <c r="FN921" s="59"/>
      <c r="FO921" s="59"/>
      <c r="FP921" s="59"/>
      <c r="FQ921" s="59"/>
      <c r="FR921" s="59"/>
      <c r="FS921" s="59"/>
      <c r="FT921" s="59"/>
      <c r="FU921" s="59"/>
      <c r="FV921" s="59"/>
      <c r="FW921" s="59"/>
      <c r="FX921" s="59"/>
      <c r="FY921" s="59"/>
      <c r="FZ921" s="59"/>
      <c r="GA921" s="59"/>
      <c r="GB921" s="59"/>
      <c r="GC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  <c r="BV922" s="59"/>
      <c r="BW922" s="59"/>
      <c r="BX922" s="59"/>
      <c r="BY922" s="59"/>
      <c r="BZ922" s="59"/>
      <c r="CA922" s="59"/>
      <c r="CB922" s="59"/>
      <c r="CC922" s="59"/>
      <c r="CD922" s="59"/>
      <c r="CE922" s="59"/>
      <c r="CF922" s="59"/>
      <c r="CG922" s="59"/>
      <c r="CH922" s="59"/>
      <c r="CI922" s="59"/>
      <c r="CJ922" s="59"/>
      <c r="CK922" s="59"/>
      <c r="CL922" s="59"/>
      <c r="CM922" s="59"/>
      <c r="CN922" s="59"/>
      <c r="CO922" s="59"/>
      <c r="CP922" s="59"/>
      <c r="CQ922" s="59"/>
      <c r="CR922" s="59"/>
      <c r="CS922" s="59"/>
      <c r="CT922" s="59"/>
      <c r="CU922" s="59"/>
      <c r="CV922" s="59"/>
      <c r="CW922" s="59"/>
      <c r="CX922" s="59"/>
      <c r="CY922" s="59"/>
      <c r="CZ922" s="59"/>
      <c r="DA922" s="59"/>
      <c r="DB922" s="59"/>
      <c r="DC922" s="59"/>
      <c r="DD922" s="59"/>
      <c r="DE922" s="59"/>
      <c r="DF922" s="59"/>
      <c r="DG922" s="59"/>
      <c r="DH922" s="59"/>
      <c r="DI922" s="59"/>
      <c r="DJ922" s="59"/>
      <c r="DK922" s="59"/>
      <c r="DL922" s="59"/>
      <c r="DM922" s="59"/>
      <c r="DN922" s="59"/>
      <c r="DO922" s="59"/>
      <c r="DP922" s="59"/>
      <c r="DQ922" s="59"/>
      <c r="DR922" s="59"/>
      <c r="DS922" s="59"/>
      <c r="DT922" s="59"/>
      <c r="DU922" s="59"/>
      <c r="DV922" s="59"/>
      <c r="DW922" s="59"/>
      <c r="DX922" s="59"/>
      <c r="DY922" s="59"/>
      <c r="DZ922" s="59"/>
      <c r="EA922" s="59"/>
      <c r="EB922" s="59"/>
      <c r="EC922" s="59"/>
      <c r="ED922" s="59"/>
      <c r="EE922" s="59"/>
      <c r="EF922" s="59"/>
      <c r="EG922" s="59"/>
      <c r="EH922" s="59"/>
      <c r="EI922" s="59"/>
      <c r="EJ922" s="59"/>
      <c r="EK922" s="59"/>
      <c r="EL922" s="59"/>
      <c r="EM922" s="59"/>
      <c r="EN922" s="59"/>
      <c r="EO922" s="59"/>
      <c r="EP922" s="59"/>
      <c r="EQ922" s="59"/>
      <c r="ER922" s="59"/>
      <c r="ES922" s="59"/>
      <c r="ET922" s="59"/>
      <c r="EU922" s="59"/>
      <c r="EV922" s="59"/>
      <c r="EW922" s="59"/>
      <c r="EX922" s="59"/>
      <c r="EY922" s="59"/>
      <c r="EZ922" s="59"/>
      <c r="FA922" s="59"/>
      <c r="FB922" s="59"/>
      <c r="FC922" s="59"/>
      <c r="FD922" s="59"/>
      <c r="FE922" s="59"/>
      <c r="FF922" s="59"/>
      <c r="FG922" s="59"/>
      <c r="FH922" s="59"/>
      <c r="FI922" s="59"/>
      <c r="FJ922" s="59"/>
      <c r="FK922" s="59"/>
      <c r="FL922" s="59"/>
      <c r="FM922" s="59"/>
      <c r="FN922" s="59"/>
      <c r="FO922" s="59"/>
      <c r="FP922" s="59"/>
      <c r="FQ922" s="59"/>
      <c r="FR922" s="59"/>
      <c r="FS922" s="59"/>
      <c r="FT922" s="59"/>
      <c r="FU922" s="59"/>
      <c r="FV922" s="59"/>
      <c r="FW922" s="59"/>
      <c r="FX922" s="59"/>
      <c r="FY922" s="59"/>
      <c r="FZ922" s="59"/>
      <c r="GA922" s="59"/>
      <c r="GB922" s="59"/>
      <c r="GC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  <c r="BV923" s="59"/>
      <c r="BW923" s="59"/>
      <c r="BX923" s="59"/>
      <c r="BY923" s="59"/>
      <c r="BZ923" s="59"/>
      <c r="CA923" s="59"/>
      <c r="CB923" s="59"/>
      <c r="CC923" s="59"/>
      <c r="CD923" s="59"/>
      <c r="CE923" s="59"/>
      <c r="CF923" s="59"/>
      <c r="CG923" s="59"/>
      <c r="CH923" s="59"/>
      <c r="CI923" s="59"/>
      <c r="CJ923" s="59"/>
      <c r="CK923" s="59"/>
      <c r="CL923" s="59"/>
      <c r="CM923" s="59"/>
      <c r="CN923" s="59"/>
      <c r="CO923" s="59"/>
      <c r="CP923" s="59"/>
      <c r="CQ923" s="59"/>
      <c r="CR923" s="59"/>
      <c r="CS923" s="59"/>
      <c r="CT923" s="59"/>
      <c r="CU923" s="59"/>
      <c r="CV923" s="59"/>
      <c r="CW923" s="59"/>
      <c r="CX923" s="59"/>
      <c r="CY923" s="59"/>
      <c r="CZ923" s="59"/>
      <c r="DA923" s="59"/>
      <c r="DB923" s="59"/>
      <c r="DC923" s="59"/>
      <c r="DD923" s="59"/>
      <c r="DE923" s="59"/>
      <c r="DF923" s="59"/>
      <c r="DG923" s="59"/>
      <c r="DH923" s="59"/>
      <c r="DI923" s="59"/>
      <c r="DJ923" s="59"/>
      <c r="DK923" s="59"/>
      <c r="DL923" s="59"/>
      <c r="DM923" s="59"/>
      <c r="DN923" s="59"/>
      <c r="DO923" s="59"/>
      <c r="DP923" s="59"/>
      <c r="DQ923" s="59"/>
      <c r="DR923" s="59"/>
      <c r="DS923" s="59"/>
      <c r="DT923" s="59"/>
      <c r="DU923" s="59"/>
      <c r="DV923" s="59"/>
      <c r="DW923" s="59"/>
      <c r="DX923" s="59"/>
      <c r="DY923" s="59"/>
      <c r="DZ923" s="59"/>
      <c r="EA923" s="59"/>
      <c r="EB923" s="59"/>
      <c r="EC923" s="59"/>
      <c r="ED923" s="59"/>
      <c r="EE923" s="59"/>
      <c r="EF923" s="59"/>
      <c r="EG923" s="59"/>
      <c r="EH923" s="59"/>
      <c r="EI923" s="59"/>
      <c r="EJ923" s="59"/>
      <c r="EK923" s="59"/>
      <c r="EL923" s="59"/>
      <c r="EM923" s="59"/>
      <c r="EN923" s="59"/>
      <c r="EO923" s="59"/>
      <c r="EP923" s="59"/>
      <c r="EQ923" s="59"/>
      <c r="ER923" s="59"/>
      <c r="ES923" s="59"/>
      <c r="ET923" s="59"/>
      <c r="EU923" s="59"/>
      <c r="EV923" s="59"/>
      <c r="EW923" s="59"/>
      <c r="EX923" s="59"/>
      <c r="EY923" s="59"/>
      <c r="EZ923" s="59"/>
      <c r="FA923" s="59"/>
      <c r="FB923" s="59"/>
      <c r="FC923" s="59"/>
      <c r="FD923" s="59"/>
      <c r="FE923" s="59"/>
      <c r="FF923" s="59"/>
      <c r="FG923" s="59"/>
      <c r="FH923" s="59"/>
      <c r="FI923" s="59"/>
      <c r="FJ923" s="59"/>
      <c r="FK923" s="59"/>
      <c r="FL923" s="59"/>
      <c r="FM923" s="59"/>
      <c r="FN923" s="59"/>
      <c r="FO923" s="59"/>
      <c r="FP923" s="59"/>
      <c r="FQ923" s="59"/>
      <c r="FR923" s="59"/>
      <c r="FS923" s="59"/>
      <c r="FT923" s="59"/>
      <c r="FU923" s="59"/>
      <c r="FV923" s="59"/>
      <c r="FW923" s="59"/>
      <c r="FX923" s="59"/>
      <c r="FY923" s="59"/>
      <c r="FZ923" s="59"/>
      <c r="GA923" s="59"/>
      <c r="GB923" s="59"/>
      <c r="GC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  <c r="BW924" s="59"/>
      <c r="BX924" s="59"/>
      <c r="BY924" s="59"/>
      <c r="BZ924" s="59"/>
      <c r="CA924" s="59"/>
      <c r="CB924" s="59"/>
      <c r="CC924" s="59"/>
      <c r="CD924" s="59"/>
      <c r="CE924" s="59"/>
      <c r="CF924" s="59"/>
      <c r="CG924" s="59"/>
      <c r="CH924" s="59"/>
      <c r="CI924" s="59"/>
      <c r="CJ924" s="59"/>
      <c r="CK924" s="59"/>
      <c r="CL924" s="59"/>
      <c r="CM924" s="59"/>
      <c r="CN924" s="59"/>
      <c r="CO924" s="59"/>
      <c r="CP924" s="59"/>
      <c r="CQ924" s="59"/>
      <c r="CR924" s="59"/>
      <c r="CS924" s="59"/>
      <c r="CT924" s="59"/>
      <c r="CU924" s="59"/>
      <c r="CV924" s="59"/>
      <c r="CW924" s="59"/>
      <c r="CX924" s="59"/>
      <c r="CY924" s="59"/>
      <c r="CZ924" s="59"/>
      <c r="DA924" s="59"/>
      <c r="DB924" s="59"/>
      <c r="DC924" s="59"/>
      <c r="DD924" s="59"/>
      <c r="DE924" s="59"/>
      <c r="DF924" s="59"/>
      <c r="DG924" s="59"/>
      <c r="DH924" s="59"/>
      <c r="DI924" s="59"/>
      <c r="DJ924" s="59"/>
      <c r="DK924" s="59"/>
      <c r="DL924" s="59"/>
      <c r="DM924" s="59"/>
      <c r="DN924" s="59"/>
      <c r="DO924" s="59"/>
      <c r="DP924" s="59"/>
      <c r="DQ924" s="59"/>
      <c r="DR924" s="59"/>
      <c r="DS924" s="59"/>
      <c r="DT924" s="59"/>
      <c r="DU924" s="59"/>
      <c r="DV924" s="59"/>
      <c r="DW924" s="59"/>
      <c r="DX924" s="59"/>
      <c r="DY924" s="59"/>
      <c r="DZ924" s="59"/>
      <c r="EA924" s="59"/>
      <c r="EB924" s="59"/>
      <c r="EC924" s="59"/>
      <c r="ED924" s="59"/>
      <c r="EE924" s="59"/>
      <c r="EF924" s="59"/>
      <c r="EG924" s="59"/>
      <c r="EH924" s="59"/>
      <c r="EI924" s="59"/>
      <c r="EJ924" s="59"/>
      <c r="EK924" s="59"/>
      <c r="EL924" s="59"/>
      <c r="EM924" s="59"/>
      <c r="EN924" s="59"/>
      <c r="EO924" s="59"/>
      <c r="EP924" s="59"/>
      <c r="EQ924" s="59"/>
      <c r="ER924" s="59"/>
      <c r="ES924" s="59"/>
      <c r="ET924" s="59"/>
      <c r="EU924" s="59"/>
      <c r="EV924" s="59"/>
      <c r="EW924" s="59"/>
      <c r="EX924" s="59"/>
      <c r="EY924" s="59"/>
      <c r="EZ924" s="59"/>
      <c r="FA924" s="59"/>
      <c r="FB924" s="59"/>
      <c r="FC924" s="59"/>
      <c r="FD924" s="59"/>
      <c r="FE924" s="59"/>
      <c r="FF924" s="59"/>
      <c r="FG924" s="59"/>
      <c r="FH924" s="59"/>
      <c r="FI924" s="59"/>
      <c r="FJ924" s="59"/>
      <c r="FK924" s="59"/>
      <c r="FL924" s="59"/>
      <c r="FM924" s="59"/>
      <c r="FN924" s="59"/>
      <c r="FO924" s="59"/>
      <c r="FP924" s="59"/>
      <c r="FQ924" s="59"/>
      <c r="FR924" s="59"/>
      <c r="FS924" s="59"/>
      <c r="FT924" s="59"/>
      <c r="FU924" s="59"/>
      <c r="FV924" s="59"/>
      <c r="FW924" s="59"/>
      <c r="FX924" s="59"/>
      <c r="FY924" s="59"/>
      <c r="FZ924" s="59"/>
      <c r="GA924" s="59"/>
      <c r="GB924" s="59"/>
      <c r="GC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  <c r="BV925" s="59"/>
      <c r="BW925" s="59"/>
      <c r="BX925" s="59"/>
      <c r="BY925" s="59"/>
      <c r="BZ925" s="59"/>
      <c r="CA925" s="59"/>
      <c r="CB925" s="59"/>
      <c r="CC925" s="59"/>
      <c r="CD925" s="59"/>
      <c r="CE925" s="59"/>
      <c r="CF925" s="59"/>
      <c r="CG925" s="59"/>
      <c r="CH925" s="59"/>
      <c r="CI925" s="59"/>
      <c r="CJ925" s="59"/>
      <c r="CK925" s="59"/>
      <c r="CL925" s="59"/>
      <c r="CM925" s="59"/>
      <c r="CN925" s="59"/>
      <c r="CO925" s="59"/>
      <c r="CP925" s="59"/>
      <c r="CQ925" s="59"/>
      <c r="CR925" s="59"/>
      <c r="CS925" s="59"/>
      <c r="CT925" s="59"/>
      <c r="CU925" s="59"/>
      <c r="CV925" s="59"/>
      <c r="CW925" s="59"/>
      <c r="CX925" s="59"/>
      <c r="CY925" s="59"/>
      <c r="CZ925" s="59"/>
      <c r="DA925" s="59"/>
      <c r="DB925" s="59"/>
      <c r="DC925" s="59"/>
      <c r="DD925" s="59"/>
      <c r="DE925" s="59"/>
      <c r="DF925" s="59"/>
      <c r="DG925" s="59"/>
      <c r="DH925" s="59"/>
      <c r="DI925" s="59"/>
      <c r="DJ925" s="59"/>
      <c r="DK925" s="59"/>
      <c r="DL925" s="59"/>
      <c r="DM925" s="59"/>
      <c r="DN925" s="59"/>
      <c r="DO925" s="59"/>
      <c r="DP925" s="59"/>
      <c r="DQ925" s="59"/>
      <c r="DR925" s="59"/>
      <c r="DS925" s="59"/>
      <c r="DT925" s="59"/>
      <c r="DU925" s="59"/>
      <c r="DV925" s="59"/>
      <c r="DW925" s="59"/>
      <c r="DX925" s="59"/>
      <c r="DY925" s="59"/>
      <c r="DZ925" s="59"/>
      <c r="EA925" s="59"/>
      <c r="EB925" s="59"/>
      <c r="EC925" s="59"/>
      <c r="ED925" s="59"/>
      <c r="EE925" s="59"/>
      <c r="EF925" s="59"/>
      <c r="EG925" s="59"/>
      <c r="EH925" s="59"/>
      <c r="EI925" s="59"/>
      <c r="EJ925" s="59"/>
      <c r="EK925" s="59"/>
      <c r="EL925" s="59"/>
      <c r="EM925" s="59"/>
      <c r="EN925" s="59"/>
      <c r="EO925" s="59"/>
      <c r="EP925" s="59"/>
      <c r="EQ925" s="59"/>
      <c r="ER925" s="59"/>
      <c r="ES925" s="59"/>
      <c r="ET925" s="59"/>
      <c r="EU925" s="59"/>
      <c r="EV925" s="59"/>
      <c r="EW925" s="59"/>
      <c r="EX925" s="59"/>
      <c r="EY925" s="59"/>
      <c r="EZ925" s="59"/>
      <c r="FA925" s="59"/>
      <c r="FB925" s="59"/>
      <c r="FC925" s="59"/>
      <c r="FD925" s="59"/>
      <c r="FE925" s="59"/>
      <c r="FF925" s="59"/>
      <c r="FG925" s="59"/>
      <c r="FH925" s="59"/>
      <c r="FI925" s="59"/>
      <c r="FJ925" s="59"/>
      <c r="FK925" s="59"/>
      <c r="FL925" s="59"/>
      <c r="FM925" s="59"/>
      <c r="FN925" s="59"/>
      <c r="FO925" s="59"/>
      <c r="FP925" s="59"/>
      <c r="FQ925" s="59"/>
      <c r="FR925" s="59"/>
      <c r="FS925" s="59"/>
      <c r="FT925" s="59"/>
      <c r="FU925" s="59"/>
      <c r="FV925" s="59"/>
      <c r="FW925" s="59"/>
      <c r="FX925" s="59"/>
      <c r="FY925" s="59"/>
      <c r="FZ925" s="59"/>
      <c r="GA925" s="59"/>
      <c r="GB925" s="59"/>
      <c r="GC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  <c r="BW926" s="59"/>
      <c r="BX926" s="59"/>
      <c r="BY926" s="59"/>
      <c r="BZ926" s="59"/>
      <c r="CA926" s="59"/>
      <c r="CB926" s="59"/>
      <c r="CC926" s="59"/>
      <c r="CD926" s="59"/>
      <c r="CE926" s="59"/>
      <c r="CF926" s="59"/>
      <c r="CG926" s="59"/>
      <c r="CH926" s="59"/>
      <c r="CI926" s="59"/>
      <c r="CJ926" s="59"/>
      <c r="CK926" s="59"/>
      <c r="CL926" s="59"/>
      <c r="CM926" s="59"/>
      <c r="CN926" s="59"/>
      <c r="CO926" s="59"/>
      <c r="CP926" s="59"/>
      <c r="CQ926" s="59"/>
      <c r="CR926" s="59"/>
      <c r="CS926" s="59"/>
      <c r="CT926" s="59"/>
      <c r="CU926" s="59"/>
      <c r="CV926" s="59"/>
      <c r="CW926" s="59"/>
      <c r="CX926" s="59"/>
      <c r="CY926" s="59"/>
      <c r="CZ926" s="59"/>
      <c r="DA926" s="59"/>
      <c r="DB926" s="59"/>
      <c r="DC926" s="59"/>
      <c r="DD926" s="59"/>
      <c r="DE926" s="59"/>
      <c r="DF926" s="59"/>
      <c r="DG926" s="59"/>
      <c r="DH926" s="59"/>
      <c r="DI926" s="59"/>
      <c r="DJ926" s="59"/>
      <c r="DK926" s="59"/>
      <c r="DL926" s="59"/>
      <c r="DM926" s="59"/>
      <c r="DN926" s="59"/>
      <c r="DO926" s="59"/>
      <c r="DP926" s="59"/>
      <c r="DQ926" s="59"/>
      <c r="DR926" s="59"/>
      <c r="DS926" s="59"/>
      <c r="DT926" s="59"/>
      <c r="DU926" s="59"/>
      <c r="DV926" s="59"/>
      <c r="DW926" s="59"/>
      <c r="DX926" s="59"/>
      <c r="DY926" s="59"/>
      <c r="DZ926" s="59"/>
      <c r="EA926" s="59"/>
      <c r="EB926" s="59"/>
      <c r="EC926" s="59"/>
      <c r="ED926" s="59"/>
      <c r="EE926" s="59"/>
      <c r="EF926" s="59"/>
      <c r="EG926" s="59"/>
      <c r="EH926" s="59"/>
      <c r="EI926" s="59"/>
      <c r="EJ926" s="59"/>
      <c r="EK926" s="59"/>
      <c r="EL926" s="59"/>
      <c r="EM926" s="59"/>
      <c r="EN926" s="59"/>
      <c r="EO926" s="59"/>
      <c r="EP926" s="59"/>
      <c r="EQ926" s="59"/>
      <c r="ER926" s="59"/>
      <c r="ES926" s="59"/>
      <c r="ET926" s="59"/>
      <c r="EU926" s="59"/>
      <c r="EV926" s="59"/>
      <c r="EW926" s="59"/>
      <c r="EX926" s="59"/>
      <c r="EY926" s="59"/>
      <c r="EZ926" s="59"/>
      <c r="FA926" s="59"/>
      <c r="FB926" s="59"/>
      <c r="FC926" s="59"/>
      <c r="FD926" s="59"/>
      <c r="FE926" s="59"/>
      <c r="FF926" s="59"/>
      <c r="FG926" s="59"/>
      <c r="FH926" s="59"/>
      <c r="FI926" s="59"/>
      <c r="FJ926" s="59"/>
      <c r="FK926" s="59"/>
      <c r="FL926" s="59"/>
      <c r="FM926" s="59"/>
      <c r="FN926" s="59"/>
      <c r="FO926" s="59"/>
      <c r="FP926" s="59"/>
      <c r="FQ926" s="59"/>
      <c r="FR926" s="59"/>
      <c r="FS926" s="59"/>
      <c r="FT926" s="59"/>
      <c r="FU926" s="59"/>
      <c r="FV926" s="59"/>
      <c r="FW926" s="59"/>
      <c r="FX926" s="59"/>
      <c r="FY926" s="59"/>
      <c r="FZ926" s="59"/>
      <c r="GA926" s="59"/>
      <c r="GB926" s="59"/>
      <c r="GC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  <c r="BW927" s="59"/>
      <c r="BX927" s="59"/>
      <c r="BY927" s="59"/>
      <c r="BZ927" s="59"/>
      <c r="CA927" s="59"/>
      <c r="CB927" s="59"/>
      <c r="CC927" s="59"/>
      <c r="CD927" s="59"/>
      <c r="CE927" s="59"/>
      <c r="CF927" s="59"/>
      <c r="CG927" s="59"/>
      <c r="CH927" s="59"/>
      <c r="CI927" s="59"/>
      <c r="CJ927" s="59"/>
      <c r="CK927" s="59"/>
      <c r="CL927" s="59"/>
      <c r="CM927" s="59"/>
      <c r="CN927" s="59"/>
      <c r="CO927" s="59"/>
      <c r="CP927" s="59"/>
      <c r="CQ927" s="59"/>
      <c r="CR927" s="59"/>
      <c r="CS927" s="59"/>
      <c r="CT927" s="59"/>
      <c r="CU927" s="59"/>
      <c r="CV927" s="59"/>
      <c r="CW927" s="59"/>
      <c r="CX927" s="59"/>
      <c r="CY927" s="59"/>
      <c r="CZ927" s="59"/>
      <c r="DA927" s="59"/>
      <c r="DB927" s="59"/>
      <c r="DC927" s="59"/>
      <c r="DD927" s="59"/>
      <c r="DE927" s="59"/>
      <c r="DF927" s="59"/>
      <c r="DG927" s="59"/>
      <c r="DH927" s="59"/>
      <c r="DI927" s="59"/>
      <c r="DJ927" s="59"/>
      <c r="DK927" s="59"/>
      <c r="DL927" s="59"/>
      <c r="DM927" s="59"/>
      <c r="DN927" s="59"/>
      <c r="DO927" s="59"/>
      <c r="DP927" s="59"/>
      <c r="DQ927" s="59"/>
      <c r="DR927" s="59"/>
      <c r="DS927" s="59"/>
      <c r="DT927" s="59"/>
      <c r="DU927" s="59"/>
      <c r="DV927" s="59"/>
      <c r="DW927" s="59"/>
      <c r="DX927" s="59"/>
      <c r="DY927" s="59"/>
      <c r="DZ927" s="59"/>
      <c r="EA927" s="59"/>
      <c r="EB927" s="59"/>
      <c r="EC927" s="59"/>
      <c r="ED927" s="59"/>
      <c r="EE927" s="59"/>
      <c r="EF927" s="59"/>
      <c r="EG927" s="59"/>
      <c r="EH927" s="59"/>
      <c r="EI927" s="59"/>
      <c r="EJ927" s="59"/>
      <c r="EK927" s="59"/>
      <c r="EL927" s="59"/>
      <c r="EM927" s="59"/>
      <c r="EN927" s="59"/>
      <c r="EO927" s="59"/>
      <c r="EP927" s="59"/>
      <c r="EQ927" s="59"/>
      <c r="ER927" s="59"/>
      <c r="ES927" s="59"/>
      <c r="ET927" s="59"/>
      <c r="EU927" s="59"/>
      <c r="EV927" s="59"/>
      <c r="EW927" s="59"/>
      <c r="EX927" s="59"/>
      <c r="EY927" s="59"/>
      <c r="EZ927" s="59"/>
      <c r="FA927" s="59"/>
      <c r="FB927" s="59"/>
      <c r="FC927" s="59"/>
      <c r="FD927" s="59"/>
      <c r="FE927" s="59"/>
      <c r="FF927" s="59"/>
      <c r="FG927" s="59"/>
      <c r="FH927" s="59"/>
      <c r="FI927" s="59"/>
      <c r="FJ927" s="59"/>
      <c r="FK927" s="59"/>
      <c r="FL927" s="59"/>
      <c r="FM927" s="59"/>
      <c r="FN927" s="59"/>
      <c r="FO927" s="59"/>
      <c r="FP927" s="59"/>
      <c r="FQ927" s="59"/>
      <c r="FR927" s="59"/>
      <c r="FS927" s="59"/>
      <c r="FT927" s="59"/>
      <c r="FU927" s="59"/>
      <c r="FV927" s="59"/>
      <c r="FW927" s="59"/>
      <c r="FX927" s="59"/>
      <c r="FY927" s="59"/>
      <c r="FZ927" s="59"/>
      <c r="GA927" s="59"/>
      <c r="GB927" s="59"/>
      <c r="GC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/>
      <c r="BY928" s="59"/>
      <c r="BZ928" s="59"/>
      <c r="CA928" s="59"/>
      <c r="CB928" s="59"/>
      <c r="CC928" s="59"/>
      <c r="CD928" s="59"/>
      <c r="CE928" s="59"/>
      <c r="CF928" s="59"/>
      <c r="CG928" s="59"/>
      <c r="CH928" s="59"/>
      <c r="CI928" s="59"/>
      <c r="CJ928" s="59"/>
      <c r="CK928" s="59"/>
      <c r="CL928" s="59"/>
      <c r="CM928" s="59"/>
      <c r="CN928" s="59"/>
      <c r="CO928" s="59"/>
      <c r="CP928" s="59"/>
      <c r="CQ928" s="59"/>
      <c r="CR928" s="59"/>
      <c r="CS928" s="59"/>
      <c r="CT928" s="59"/>
      <c r="CU928" s="59"/>
      <c r="CV928" s="59"/>
      <c r="CW928" s="59"/>
      <c r="CX928" s="59"/>
      <c r="CY928" s="59"/>
      <c r="CZ928" s="59"/>
      <c r="DA928" s="59"/>
      <c r="DB928" s="59"/>
      <c r="DC928" s="59"/>
      <c r="DD928" s="59"/>
      <c r="DE928" s="59"/>
      <c r="DF928" s="59"/>
      <c r="DG928" s="59"/>
      <c r="DH928" s="59"/>
      <c r="DI928" s="59"/>
      <c r="DJ928" s="59"/>
      <c r="DK928" s="59"/>
      <c r="DL928" s="59"/>
      <c r="DM928" s="59"/>
      <c r="DN928" s="59"/>
      <c r="DO928" s="59"/>
      <c r="DP928" s="59"/>
      <c r="DQ928" s="59"/>
      <c r="DR928" s="59"/>
      <c r="DS928" s="59"/>
      <c r="DT928" s="59"/>
      <c r="DU928" s="59"/>
      <c r="DV928" s="59"/>
      <c r="DW928" s="59"/>
      <c r="DX928" s="59"/>
      <c r="DY928" s="59"/>
      <c r="DZ928" s="59"/>
      <c r="EA928" s="59"/>
      <c r="EB928" s="59"/>
      <c r="EC928" s="59"/>
      <c r="ED928" s="59"/>
      <c r="EE928" s="59"/>
      <c r="EF928" s="59"/>
      <c r="EG928" s="59"/>
      <c r="EH928" s="59"/>
      <c r="EI928" s="59"/>
      <c r="EJ928" s="59"/>
      <c r="EK928" s="59"/>
      <c r="EL928" s="59"/>
      <c r="EM928" s="59"/>
      <c r="EN928" s="59"/>
      <c r="EO928" s="59"/>
      <c r="EP928" s="59"/>
      <c r="EQ928" s="59"/>
      <c r="ER928" s="59"/>
      <c r="ES928" s="59"/>
      <c r="ET928" s="59"/>
      <c r="EU928" s="59"/>
      <c r="EV928" s="59"/>
      <c r="EW928" s="59"/>
      <c r="EX928" s="59"/>
      <c r="EY928" s="59"/>
      <c r="EZ928" s="59"/>
      <c r="FA928" s="59"/>
      <c r="FB928" s="59"/>
      <c r="FC928" s="59"/>
      <c r="FD928" s="59"/>
      <c r="FE928" s="59"/>
      <c r="FF928" s="59"/>
      <c r="FG928" s="59"/>
      <c r="FH928" s="59"/>
      <c r="FI928" s="59"/>
      <c r="FJ928" s="59"/>
      <c r="FK928" s="59"/>
      <c r="FL928" s="59"/>
      <c r="FM928" s="59"/>
      <c r="FN928" s="59"/>
      <c r="FO928" s="59"/>
      <c r="FP928" s="59"/>
      <c r="FQ928" s="59"/>
      <c r="FR928" s="59"/>
      <c r="FS928" s="59"/>
      <c r="FT928" s="59"/>
      <c r="FU928" s="59"/>
      <c r="FV928" s="59"/>
      <c r="FW928" s="59"/>
      <c r="FX928" s="59"/>
      <c r="FY928" s="59"/>
      <c r="FZ928" s="59"/>
      <c r="GA928" s="59"/>
      <c r="GB928" s="59"/>
      <c r="GC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  <c r="BW929" s="59"/>
      <c r="BX929" s="59"/>
      <c r="BY929" s="59"/>
      <c r="BZ929" s="59"/>
      <c r="CA929" s="59"/>
      <c r="CB929" s="59"/>
      <c r="CC929" s="59"/>
      <c r="CD929" s="59"/>
      <c r="CE929" s="59"/>
      <c r="CF929" s="59"/>
      <c r="CG929" s="59"/>
      <c r="CH929" s="59"/>
      <c r="CI929" s="59"/>
      <c r="CJ929" s="59"/>
      <c r="CK929" s="59"/>
      <c r="CL929" s="59"/>
      <c r="CM929" s="59"/>
      <c r="CN929" s="59"/>
      <c r="CO929" s="59"/>
      <c r="CP929" s="59"/>
      <c r="CQ929" s="59"/>
      <c r="CR929" s="59"/>
      <c r="CS929" s="59"/>
      <c r="CT929" s="59"/>
      <c r="CU929" s="59"/>
      <c r="CV929" s="59"/>
      <c r="CW929" s="59"/>
      <c r="CX929" s="59"/>
      <c r="CY929" s="59"/>
      <c r="CZ929" s="59"/>
      <c r="DA929" s="59"/>
      <c r="DB929" s="59"/>
      <c r="DC929" s="59"/>
      <c r="DD929" s="59"/>
      <c r="DE929" s="59"/>
      <c r="DF929" s="59"/>
      <c r="DG929" s="59"/>
      <c r="DH929" s="59"/>
      <c r="DI929" s="59"/>
      <c r="DJ929" s="59"/>
      <c r="DK929" s="59"/>
      <c r="DL929" s="59"/>
      <c r="DM929" s="59"/>
      <c r="DN929" s="59"/>
      <c r="DO929" s="59"/>
      <c r="DP929" s="59"/>
      <c r="DQ929" s="59"/>
      <c r="DR929" s="59"/>
      <c r="DS929" s="59"/>
      <c r="DT929" s="59"/>
      <c r="DU929" s="59"/>
      <c r="DV929" s="59"/>
      <c r="DW929" s="59"/>
      <c r="DX929" s="59"/>
      <c r="DY929" s="59"/>
      <c r="DZ929" s="59"/>
      <c r="EA929" s="59"/>
      <c r="EB929" s="59"/>
      <c r="EC929" s="59"/>
      <c r="ED929" s="59"/>
      <c r="EE929" s="59"/>
      <c r="EF929" s="59"/>
      <c r="EG929" s="59"/>
      <c r="EH929" s="59"/>
      <c r="EI929" s="59"/>
      <c r="EJ929" s="59"/>
      <c r="EK929" s="59"/>
      <c r="EL929" s="59"/>
      <c r="EM929" s="59"/>
      <c r="EN929" s="59"/>
      <c r="EO929" s="59"/>
      <c r="EP929" s="59"/>
      <c r="EQ929" s="59"/>
      <c r="ER929" s="59"/>
      <c r="ES929" s="59"/>
      <c r="ET929" s="59"/>
      <c r="EU929" s="59"/>
      <c r="EV929" s="59"/>
      <c r="EW929" s="59"/>
      <c r="EX929" s="59"/>
      <c r="EY929" s="59"/>
      <c r="EZ929" s="59"/>
      <c r="FA929" s="59"/>
      <c r="FB929" s="59"/>
      <c r="FC929" s="59"/>
      <c r="FD929" s="59"/>
      <c r="FE929" s="59"/>
      <c r="FF929" s="59"/>
      <c r="FG929" s="59"/>
      <c r="FH929" s="59"/>
      <c r="FI929" s="59"/>
      <c r="FJ929" s="59"/>
      <c r="FK929" s="59"/>
      <c r="FL929" s="59"/>
      <c r="FM929" s="59"/>
      <c r="FN929" s="59"/>
      <c r="FO929" s="59"/>
      <c r="FP929" s="59"/>
      <c r="FQ929" s="59"/>
      <c r="FR929" s="59"/>
      <c r="FS929" s="59"/>
      <c r="FT929" s="59"/>
      <c r="FU929" s="59"/>
      <c r="FV929" s="59"/>
      <c r="FW929" s="59"/>
      <c r="FX929" s="59"/>
      <c r="FY929" s="59"/>
      <c r="FZ929" s="59"/>
      <c r="GA929" s="59"/>
      <c r="GB929" s="59"/>
      <c r="GC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  <c r="BV930" s="59"/>
      <c r="BW930" s="59"/>
      <c r="BX930" s="59"/>
      <c r="BY930" s="59"/>
      <c r="BZ930" s="59"/>
      <c r="CA930" s="59"/>
      <c r="CB930" s="59"/>
      <c r="CC930" s="59"/>
      <c r="CD930" s="59"/>
      <c r="CE930" s="59"/>
      <c r="CF930" s="59"/>
      <c r="CG930" s="59"/>
      <c r="CH930" s="59"/>
      <c r="CI930" s="59"/>
      <c r="CJ930" s="59"/>
      <c r="CK930" s="59"/>
      <c r="CL930" s="59"/>
      <c r="CM930" s="59"/>
      <c r="CN930" s="59"/>
      <c r="CO930" s="59"/>
      <c r="CP930" s="59"/>
      <c r="CQ930" s="59"/>
      <c r="CR930" s="59"/>
      <c r="CS930" s="59"/>
      <c r="CT930" s="59"/>
      <c r="CU930" s="59"/>
      <c r="CV930" s="59"/>
      <c r="CW930" s="59"/>
      <c r="CX930" s="59"/>
      <c r="CY930" s="59"/>
      <c r="CZ930" s="59"/>
      <c r="DA930" s="59"/>
      <c r="DB930" s="59"/>
      <c r="DC930" s="59"/>
      <c r="DD930" s="59"/>
      <c r="DE930" s="59"/>
      <c r="DF930" s="59"/>
      <c r="DG930" s="59"/>
      <c r="DH930" s="59"/>
      <c r="DI930" s="59"/>
      <c r="DJ930" s="59"/>
      <c r="DK930" s="59"/>
      <c r="DL930" s="59"/>
      <c r="DM930" s="59"/>
      <c r="DN930" s="59"/>
      <c r="DO930" s="59"/>
      <c r="DP930" s="59"/>
      <c r="DQ930" s="59"/>
      <c r="DR930" s="59"/>
      <c r="DS930" s="59"/>
      <c r="DT930" s="59"/>
      <c r="DU930" s="59"/>
      <c r="DV930" s="59"/>
      <c r="DW930" s="59"/>
      <c r="DX930" s="59"/>
      <c r="DY930" s="59"/>
      <c r="DZ930" s="59"/>
      <c r="EA930" s="59"/>
      <c r="EB930" s="59"/>
      <c r="EC930" s="59"/>
      <c r="ED930" s="59"/>
      <c r="EE930" s="59"/>
      <c r="EF930" s="59"/>
      <c r="EG930" s="59"/>
      <c r="EH930" s="59"/>
      <c r="EI930" s="59"/>
      <c r="EJ930" s="59"/>
      <c r="EK930" s="59"/>
      <c r="EL930" s="59"/>
      <c r="EM930" s="59"/>
      <c r="EN930" s="59"/>
      <c r="EO930" s="59"/>
      <c r="EP930" s="59"/>
      <c r="EQ930" s="59"/>
      <c r="ER930" s="59"/>
      <c r="ES930" s="59"/>
      <c r="ET930" s="59"/>
      <c r="EU930" s="59"/>
      <c r="EV930" s="59"/>
      <c r="EW930" s="59"/>
      <c r="EX930" s="59"/>
      <c r="EY930" s="59"/>
      <c r="EZ930" s="59"/>
      <c r="FA930" s="59"/>
      <c r="FB930" s="59"/>
      <c r="FC930" s="59"/>
      <c r="FD930" s="59"/>
      <c r="FE930" s="59"/>
      <c r="FF930" s="59"/>
      <c r="FG930" s="59"/>
      <c r="FH930" s="59"/>
      <c r="FI930" s="59"/>
      <c r="FJ930" s="59"/>
      <c r="FK930" s="59"/>
      <c r="FL930" s="59"/>
      <c r="FM930" s="59"/>
      <c r="FN930" s="59"/>
      <c r="FO930" s="59"/>
      <c r="FP930" s="59"/>
      <c r="FQ930" s="59"/>
      <c r="FR930" s="59"/>
      <c r="FS930" s="59"/>
      <c r="FT930" s="59"/>
      <c r="FU930" s="59"/>
      <c r="FV930" s="59"/>
      <c r="FW930" s="59"/>
      <c r="FX930" s="59"/>
      <c r="FY930" s="59"/>
      <c r="FZ930" s="59"/>
      <c r="GA930" s="59"/>
      <c r="GB930" s="59"/>
      <c r="GC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  <c r="BW931" s="59"/>
      <c r="BX931" s="59"/>
      <c r="BY931" s="59"/>
      <c r="BZ931" s="59"/>
      <c r="CA931" s="59"/>
      <c r="CB931" s="59"/>
      <c r="CC931" s="59"/>
      <c r="CD931" s="59"/>
      <c r="CE931" s="59"/>
      <c r="CF931" s="59"/>
      <c r="CG931" s="59"/>
      <c r="CH931" s="59"/>
      <c r="CI931" s="59"/>
      <c r="CJ931" s="59"/>
      <c r="CK931" s="59"/>
      <c r="CL931" s="59"/>
      <c r="CM931" s="59"/>
      <c r="CN931" s="59"/>
      <c r="CO931" s="59"/>
      <c r="CP931" s="59"/>
      <c r="CQ931" s="59"/>
      <c r="CR931" s="59"/>
      <c r="CS931" s="59"/>
      <c r="CT931" s="59"/>
      <c r="CU931" s="59"/>
      <c r="CV931" s="59"/>
      <c r="CW931" s="59"/>
      <c r="CX931" s="59"/>
      <c r="CY931" s="59"/>
      <c r="CZ931" s="59"/>
      <c r="DA931" s="59"/>
      <c r="DB931" s="59"/>
      <c r="DC931" s="59"/>
      <c r="DD931" s="59"/>
      <c r="DE931" s="59"/>
      <c r="DF931" s="59"/>
      <c r="DG931" s="59"/>
      <c r="DH931" s="59"/>
      <c r="DI931" s="59"/>
      <c r="DJ931" s="59"/>
      <c r="DK931" s="59"/>
      <c r="DL931" s="59"/>
      <c r="DM931" s="59"/>
      <c r="DN931" s="59"/>
      <c r="DO931" s="59"/>
      <c r="DP931" s="59"/>
      <c r="DQ931" s="59"/>
      <c r="DR931" s="59"/>
      <c r="DS931" s="59"/>
      <c r="DT931" s="59"/>
      <c r="DU931" s="59"/>
      <c r="DV931" s="59"/>
      <c r="DW931" s="59"/>
      <c r="DX931" s="59"/>
      <c r="DY931" s="59"/>
      <c r="DZ931" s="59"/>
      <c r="EA931" s="59"/>
      <c r="EB931" s="59"/>
      <c r="EC931" s="59"/>
      <c r="ED931" s="59"/>
      <c r="EE931" s="59"/>
      <c r="EF931" s="59"/>
      <c r="EG931" s="59"/>
      <c r="EH931" s="59"/>
      <c r="EI931" s="59"/>
      <c r="EJ931" s="59"/>
      <c r="EK931" s="59"/>
      <c r="EL931" s="59"/>
      <c r="EM931" s="59"/>
      <c r="EN931" s="59"/>
      <c r="EO931" s="59"/>
      <c r="EP931" s="59"/>
      <c r="EQ931" s="59"/>
      <c r="ER931" s="59"/>
      <c r="ES931" s="59"/>
      <c r="ET931" s="59"/>
      <c r="EU931" s="59"/>
      <c r="EV931" s="59"/>
      <c r="EW931" s="59"/>
      <c r="EX931" s="59"/>
      <c r="EY931" s="59"/>
      <c r="EZ931" s="59"/>
      <c r="FA931" s="59"/>
      <c r="FB931" s="59"/>
      <c r="FC931" s="59"/>
      <c r="FD931" s="59"/>
      <c r="FE931" s="59"/>
      <c r="FF931" s="59"/>
      <c r="FG931" s="59"/>
      <c r="FH931" s="59"/>
      <c r="FI931" s="59"/>
      <c r="FJ931" s="59"/>
      <c r="FK931" s="59"/>
      <c r="FL931" s="59"/>
      <c r="FM931" s="59"/>
      <c r="FN931" s="59"/>
      <c r="FO931" s="59"/>
      <c r="FP931" s="59"/>
      <c r="FQ931" s="59"/>
      <c r="FR931" s="59"/>
      <c r="FS931" s="59"/>
      <c r="FT931" s="59"/>
      <c r="FU931" s="59"/>
      <c r="FV931" s="59"/>
      <c r="FW931" s="59"/>
      <c r="FX931" s="59"/>
      <c r="FY931" s="59"/>
      <c r="FZ931" s="59"/>
      <c r="GA931" s="59"/>
      <c r="GB931" s="59"/>
      <c r="GC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  <c r="BW932" s="59"/>
      <c r="BX932" s="59"/>
      <c r="BY932" s="59"/>
      <c r="BZ932" s="59"/>
      <c r="CA932" s="59"/>
      <c r="CB932" s="59"/>
      <c r="CC932" s="59"/>
      <c r="CD932" s="59"/>
      <c r="CE932" s="59"/>
      <c r="CF932" s="59"/>
      <c r="CG932" s="59"/>
      <c r="CH932" s="59"/>
      <c r="CI932" s="59"/>
      <c r="CJ932" s="59"/>
      <c r="CK932" s="59"/>
      <c r="CL932" s="59"/>
      <c r="CM932" s="59"/>
      <c r="CN932" s="59"/>
      <c r="CO932" s="59"/>
      <c r="CP932" s="59"/>
      <c r="CQ932" s="59"/>
      <c r="CR932" s="59"/>
      <c r="CS932" s="59"/>
      <c r="CT932" s="59"/>
      <c r="CU932" s="59"/>
      <c r="CV932" s="59"/>
      <c r="CW932" s="59"/>
      <c r="CX932" s="59"/>
      <c r="CY932" s="59"/>
      <c r="CZ932" s="59"/>
      <c r="DA932" s="59"/>
      <c r="DB932" s="59"/>
      <c r="DC932" s="59"/>
      <c r="DD932" s="59"/>
      <c r="DE932" s="59"/>
      <c r="DF932" s="59"/>
      <c r="DG932" s="59"/>
      <c r="DH932" s="59"/>
      <c r="DI932" s="59"/>
      <c r="DJ932" s="59"/>
      <c r="DK932" s="59"/>
      <c r="DL932" s="59"/>
      <c r="DM932" s="59"/>
      <c r="DN932" s="59"/>
      <c r="DO932" s="59"/>
      <c r="DP932" s="59"/>
      <c r="DQ932" s="59"/>
      <c r="DR932" s="59"/>
      <c r="DS932" s="59"/>
      <c r="DT932" s="59"/>
      <c r="DU932" s="59"/>
      <c r="DV932" s="59"/>
      <c r="DW932" s="59"/>
      <c r="DX932" s="59"/>
      <c r="DY932" s="59"/>
      <c r="DZ932" s="59"/>
      <c r="EA932" s="59"/>
      <c r="EB932" s="59"/>
      <c r="EC932" s="59"/>
      <c r="ED932" s="59"/>
      <c r="EE932" s="59"/>
      <c r="EF932" s="59"/>
      <c r="EG932" s="59"/>
      <c r="EH932" s="59"/>
      <c r="EI932" s="59"/>
      <c r="EJ932" s="59"/>
      <c r="EK932" s="59"/>
      <c r="EL932" s="59"/>
      <c r="EM932" s="59"/>
      <c r="EN932" s="59"/>
      <c r="EO932" s="59"/>
      <c r="EP932" s="59"/>
      <c r="EQ932" s="59"/>
      <c r="ER932" s="59"/>
      <c r="ES932" s="59"/>
      <c r="ET932" s="59"/>
      <c r="EU932" s="59"/>
      <c r="EV932" s="59"/>
      <c r="EW932" s="59"/>
      <c r="EX932" s="59"/>
      <c r="EY932" s="59"/>
      <c r="EZ932" s="59"/>
      <c r="FA932" s="59"/>
      <c r="FB932" s="59"/>
      <c r="FC932" s="59"/>
      <c r="FD932" s="59"/>
      <c r="FE932" s="59"/>
      <c r="FF932" s="59"/>
      <c r="FG932" s="59"/>
      <c r="FH932" s="59"/>
      <c r="FI932" s="59"/>
      <c r="FJ932" s="59"/>
      <c r="FK932" s="59"/>
      <c r="FL932" s="59"/>
      <c r="FM932" s="59"/>
      <c r="FN932" s="59"/>
      <c r="FO932" s="59"/>
      <c r="FP932" s="59"/>
      <c r="FQ932" s="59"/>
      <c r="FR932" s="59"/>
      <c r="FS932" s="59"/>
      <c r="FT932" s="59"/>
      <c r="FU932" s="59"/>
      <c r="FV932" s="59"/>
      <c r="FW932" s="59"/>
      <c r="FX932" s="59"/>
      <c r="FY932" s="59"/>
      <c r="FZ932" s="59"/>
      <c r="GA932" s="59"/>
      <c r="GB932" s="59"/>
      <c r="GC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  <c r="BW933" s="59"/>
      <c r="BX933" s="59"/>
      <c r="BY933" s="59"/>
      <c r="BZ933" s="59"/>
      <c r="CA933" s="59"/>
      <c r="CB933" s="59"/>
      <c r="CC933" s="59"/>
      <c r="CD933" s="59"/>
      <c r="CE933" s="59"/>
      <c r="CF933" s="59"/>
      <c r="CG933" s="59"/>
      <c r="CH933" s="59"/>
      <c r="CI933" s="59"/>
      <c r="CJ933" s="59"/>
      <c r="CK933" s="59"/>
      <c r="CL933" s="59"/>
      <c r="CM933" s="59"/>
      <c r="CN933" s="59"/>
      <c r="CO933" s="59"/>
      <c r="CP933" s="59"/>
      <c r="CQ933" s="59"/>
      <c r="CR933" s="59"/>
      <c r="CS933" s="59"/>
      <c r="CT933" s="59"/>
      <c r="CU933" s="59"/>
      <c r="CV933" s="59"/>
      <c r="CW933" s="59"/>
      <c r="CX933" s="59"/>
      <c r="CY933" s="59"/>
      <c r="CZ933" s="59"/>
      <c r="DA933" s="59"/>
      <c r="DB933" s="59"/>
      <c r="DC933" s="59"/>
      <c r="DD933" s="59"/>
      <c r="DE933" s="59"/>
      <c r="DF933" s="59"/>
      <c r="DG933" s="59"/>
      <c r="DH933" s="59"/>
      <c r="DI933" s="59"/>
      <c r="DJ933" s="59"/>
      <c r="DK933" s="59"/>
      <c r="DL933" s="59"/>
      <c r="DM933" s="59"/>
      <c r="DN933" s="59"/>
      <c r="DO933" s="59"/>
      <c r="DP933" s="59"/>
      <c r="DQ933" s="59"/>
      <c r="DR933" s="59"/>
      <c r="DS933" s="59"/>
      <c r="DT933" s="59"/>
      <c r="DU933" s="59"/>
      <c r="DV933" s="59"/>
      <c r="DW933" s="59"/>
      <c r="DX933" s="59"/>
      <c r="DY933" s="59"/>
      <c r="DZ933" s="59"/>
      <c r="EA933" s="59"/>
      <c r="EB933" s="59"/>
      <c r="EC933" s="59"/>
      <c r="ED933" s="59"/>
      <c r="EE933" s="59"/>
      <c r="EF933" s="59"/>
      <c r="EG933" s="59"/>
      <c r="EH933" s="59"/>
      <c r="EI933" s="59"/>
      <c r="EJ933" s="59"/>
      <c r="EK933" s="59"/>
      <c r="EL933" s="59"/>
      <c r="EM933" s="59"/>
      <c r="EN933" s="59"/>
      <c r="EO933" s="59"/>
      <c r="EP933" s="59"/>
      <c r="EQ933" s="59"/>
      <c r="ER933" s="59"/>
      <c r="ES933" s="59"/>
      <c r="ET933" s="59"/>
      <c r="EU933" s="59"/>
      <c r="EV933" s="59"/>
      <c r="EW933" s="59"/>
      <c r="EX933" s="59"/>
      <c r="EY933" s="59"/>
      <c r="EZ933" s="59"/>
      <c r="FA933" s="59"/>
      <c r="FB933" s="59"/>
      <c r="FC933" s="59"/>
      <c r="FD933" s="59"/>
      <c r="FE933" s="59"/>
      <c r="FF933" s="59"/>
      <c r="FG933" s="59"/>
      <c r="FH933" s="59"/>
      <c r="FI933" s="59"/>
      <c r="FJ933" s="59"/>
      <c r="FK933" s="59"/>
      <c r="FL933" s="59"/>
      <c r="FM933" s="59"/>
      <c r="FN933" s="59"/>
      <c r="FO933" s="59"/>
      <c r="FP933" s="59"/>
      <c r="FQ933" s="59"/>
      <c r="FR933" s="59"/>
      <c r="FS933" s="59"/>
      <c r="FT933" s="59"/>
      <c r="FU933" s="59"/>
      <c r="FV933" s="59"/>
      <c r="FW933" s="59"/>
      <c r="FX933" s="59"/>
      <c r="FY933" s="59"/>
      <c r="FZ933" s="59"/>
      <c r="GA933" s="59"/>
      <c r="GB933" s="59"/>
      <c r="GC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  <c r="BV934" s="59"/>
      <c r="BW934" s="59"/>
      <c r="BX934" s="59"/>
      <c r="BY934" s="59"/>
      <c r="BZ934" s="59"/>
      <c r="CA934" s="59"/>
      <c r="CB934" s="59"/>
      <c r="CC934" s="59"/>
      <c r="CD934" s="59"/>
      <c r="CE934" s="59"/>
      <c r="CF934" s="59"/>
      <c r="CG934" s="59"/>
      <c r="CH934" s="59"/>
      <c r="CI934" s="59"/>
      <c r="CJ934" s="59"/>
      <c r="CK934" s="59"/>
      <c r="CL934" s="59"/>
      <c r="CM934" s="59"/>
      <c r="CN934" s="59"/>
      <c r="CO934" s="59"/>
      <c r="CP934" s="59"/>
      <c r="CQ934" s="59"/>
      <c r="CR934" s="59"/>
      <c r="CS934" s="59"/>
      <c r="CT934" s="59"/>
      <c r="CU934" s="59"/>
      <c r="CV934" s="59"/>
      <c r="CW934" s="59"/>
      <c r="CX934" s="59"/>
      <c r="CY934" s="59"/>
      <c r="CZ934" s="59"/>
      <c r="DA934" s="59"/>
      <c r="DB934" s="59"/>
      <c r="DC934" s="59"/>
      <c r="DD934" s="59"/>
      <c r="DE934" s="59"/>
      <c r="DF934" s="59"/>
      <c r="DG934" s="59"/>
      <c r="DH934" s="59"/>
      <c r="DI934" s="59"/>
      <c r="DJ934" s="59"/>
      <c r="DK934" s="59"/>
      <c r="DL934" s="59"/>
      <c r="DM934" s="59"/>
      <c r="DN934" s="59"/>
      <c r="DO934" s="59"/>
      <c r="DP934" s="59"/>
      <c r="DQ934" s="59"/>
      <c r="DR934" s="59"/>
      <c r="DS934" s="59"/>
      <c r="DT934" s="59"/>
      <c r="DU934" s="59"/>
      <c r="DV934" s="59"/>
      <c r="DW934" s="59"/>
      <c r="DX934" s="59"/>
      <c r="DY934" s="59"/>
      <c r="DZ934" s="59"/>
      <c r="EA934" s="59"/>
      <c r="EB934" s="59"/>
      <c r="EC934" s="59"/>
      <c r="ED934" s="59"/>
      <c r="EE934" s="59"/>
      <c r="EF934" s="59"/>
      <c r="EG934" s="59"/>
      <c r="EH934" s="59"/>
      <c r="EI934" s="59"/>
      <c r="EJ934" s="59"/>
      <c r="EK934" s="59"/>
      <c r="EL934" s="59"/>
      <c r="EM934" s="59"/>
      <c r="EN934" s="59"/>
      <c r="EO934" s="59"/>
      <c r="EP934" s="59"/>
      <c r="EQ934" s="59"/>
      <c r="ER934" s="59"/>
      <c r="ES934" s="59"/>
      <c r="ET934" s="59"/>
      <c r="EU934" s="59"/>
      <c r="EV934" s="59"/>
      <c r="EW934" s="59"/>
      <c r="EX934" s="59"/>
      <c r="EY934" s="59"/>
      <c r="EZ934" s="59"/>
      <c r="FA934" s="59"/>
      <c r="FB934" s="59"/>
      <c r="FC934" s="59"/>
      <c r="FD934" s="59"/>
      <c r="FE934" s="59"/>
      <c r="FF934" s="59"/>
      <c r="FG934" s="59"/>
      <c r="FH934" s="59"/>
      <c r="FI934" s="59"/>
      <c r="FJ934" s="59"/>
      <c r="FK934" s="59"/>
      <c r="FL934" s="59"/>
      <c r="FM934" s="59"/>
      <c r="FN934" s="59"/>
      <c r="FO934" s="59"/>
      <c r="FP934" s="59"/>
      <c r="FQ934" s="59"/>
      <c r="FR934" s="59"/>
      <c r="FS934" s="59"/>
      <c r="FT934" s="59"/>
      <c r="FU934" s="59"/>
      <c r="FV934" s="59"/>
      <c r="FW934" s="59"/>
      <c r="FX934" s="59"/>
      <c r="FY934" s="59"/>
      <c r="FZ934" s="59"/>
      <c r="GA934" s="59"/>
      <c r="GB934" s="59"/>
      <c r="GC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  <c r="BV935" s="59"/>
      <c r="BW935" s="59"/>
      <c r="BX935" s="59"/>
      <c r="BY935" s="59"/>
      <c r="BZ935" s="59"/>
      <c r="CA935" s="59"/>
      <c r="CB935" s="59"/>
      <c r="CC935" s="59"/>
      <c r="CD935" s="59"/>
      <c r="CE935" s="59"/>
      <c r="CF935" s="59"/>
      <c r="CG935" s="59"/>
      <c r="CH935" s="59"/>
      <c r="CI935" s="59"/>
      <c r="CJ935" s="59"/>
      <c r="CK935" s="59"/>
      <c r="CL935" s="59"/>
      <c r="CM935" s="59"/>
      <c r="CN935" s="59"/>
      <c r="CO935" s="59"/>
      <c r="CP935" s="59"/>
      <c r="CQ935" s="59"/>
      <c r="CR935" s="59"/>
      <c r="CS935" s="59"/>
      <c r="CT935" s="59"/>
      <c r="CU935" s="59"/>
      <c r="CV935" s="59"/>
      <c r="CW935" s="59"/>
      <c r="CX935" s="59"/>
      <c r="CY935" s="59"/>
      <c r="CZ935" s="59"/>
      <c r="DA935" s="59"/>
      <c r="DB935" s="59"/>
      <c r="DC935" s="59"/>
      <c r="DD935" s="59"/>
      <c r="DE935" s="59"/>
      <c r="DF935" s="59"/>
      <c r="DG935" s="59"/>
      <c r="DH935" s="59"/>
      <c r="DI935" s="59"/>
      <c r="DJ935" s="59"/>
      <c r="DK935" s="59"/>
      <c r="DL935" s="59"/>
      <c r="DM935" s="59"/>
      <c r="DN935" s="59"/>
      <c r="DO935" s="59"/>
      <c r="DP935" s="59"/>
      <c r="DQ935" s="59"/>
      <c r="DR935" s="59"/>
      <c r="DS935" s="59"/>
      <c r="DT935" s="59"/>
      <c r="DU935" s="59"/>
      <c r="DV935" s="59"/>
      <c r="DW935" s="59"/>
      <c r="DX935" s="59"/>
      <c r="DY935" s="59"/>
      <c r="DZ935" s="59"/>
      <c r="EA935" s="59"/>
      <c r="EB935" s="59"/>
      <c r="EC935" s="59"/>
      <c r="ED935" s="59"/>
      <c r="EE935" s="59"/>
      <c r="EF935" s="59"/>
      <c r="EG935" s="59"/>
      <c r="EH935" s="59"/>
      <c r="EI935" s="59"/>
      <c r="EJ935" s="59"/>
      <c r="EK935" s="59"/>
      <c r="EL935" s="59"/>
      <c r="EM935" s="59"/>
      <c r="EN935" s="59"/>
      <c r="EO935" s="59"/>
      <c r="EP935" s="59"/>
      <c r="EQ935" s="59"/>
      <c r="ER935" s="59"/>
      <c r="ES935" s="59"/>
      <c r="ET935" s="59"/>
      <c r="EU935" s="59"/>
      <c r="EV935" s="59"/>
      <c r="EW935" s="59"/>
      <c r="EX935" s="59"/>
      <c r="EY935" s="59"/>
      <c r="EZ935" s="59"/>
      <c r="FA935" s="59"/>
      <c r="FB935" s="59"/>
      <c r="FC935" s="59"/>
      <c r="FD935" s="59"/>
      <c r="FE935" s="59"/>
      <c r="FF935" s="59"/>
      <c r="FG935" s="59"/>
      <c r="FH935" s="59"/>
      <c r="FI935" s="59"/>
      <c r="FJ935" s="59"/>
      <c r="FK935" s="59"/>
      <c r="FL935" s="59"/>
      <c r="FM935" s="59"/>
      <c r="FN935" s="59"/>
      <c r="FO935" s="59"/>
      <c r="FP935" s="59"/>
      <c r="FQ935" s="59"/>
      <c r="FR935" s="59"/>
      <c r="FS935" s="59"/>
      <c r="FT935" s="59"/>
      <c r="FU935" s="59"/>
      <c r="FV935" s="59"/>
      <c r="FW935" s="59"/>
      <c r="FX935" s="59"/>
      <c r="FY935" s="59"/>
      <c r="FZ935" s="59"/>
      <c r="GA935" s="59"/>
      <c r="GB935" s="59"/>
      <c r="GC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  <c r="BV936" s="59"/>
      <c r="BW936" s="59"/>
      <c r="BX936" s="59"/>
      <c r="BY936" s="59"/>
      <c r="BZ936" s="59"/>
      <c r="CA936" s="59"/>
      <c r="CB936" s="59"/>
      <c r="CC936" s="59"/>
      <c r="CD936" s="59"/>
      <c r="CE936" s="59"/>
      <c r="CF936" s="59"/>
      <c r="CG936" s="59"/>
      <c r="CH936" s="59"/>
      <c r="CI936" s="59"/>
      <c r="CJ936" s="59"/>
      <c r="CK936" s="59"/>
      <c r="CL936" s="59"/>
      <c r="CM936" s="59"/>
      <c r="CN936" s="59"/>
      <c r="CO936" s="59"/>
      <c r="CP936" s="59"/>
      <c r="CQ936" s="59"/>
      <c r="CR936" s="59"/>
      <c r="CS936" s="59"/>
      <c r="CT936" s="59"/>
      <c r="CU936" s="59"/>
      <c r="CV936" s="59"/>
      <c r="CW936" s="59"/>
      <c r="CX936" s="59"/>
      <c r="CY936" s="59"/>
      <c r="CZ936" s="59"/>
      <c r="DA936" s="59"/>
      <c r="DB936" s="59"/>
      <c r="DC936" s="59"/>
      <c r="DD936" s="59"/>
      <c r="DE936" s="59"/>
      <c r="DF936" s="59"/>
      <c r="DG936" s="59"/>
      <c r="DH936" s="59"/>
      <c r="DI936" s="59"/>
      <c r="DJ936" s="59"/>
      <c r="DK936" s="59"/>
      <c r="DL936" s="59"/>
      <c r="DM936" s="59"/>
      <c r="DN936" s="59"/>
      <c r="DO936" s="59"/>
      <c r="DP936" s="59"/>
      <c r="DQ936" s="59"/>
      <c r="DR936" s="59"/>
      <c r="DS936" s="59"/>
      <c r="DT936" s="59"/>
      <c r="DU936" s="59"/>
      <c r="DV936" s="59"/>
      <c r="DW936" s="59"/>
      <c r="DX936" s="59"/>
      <c r="DY936" s="59"/>
      <c r="DZ936" s="59"/>
      <c r="EA936" s="59"/>
      <c r="EB936" s="59"/>
      <c r="EC936" s="59"/>
      <c r="ED936" s="59"/>
      <c r="EE936" s="59"/>
      <c r="EF936" s="59"/>
      <c r="EG936" s="59"/>
      <c r="EH936" s="59"/>
      <c r="EI936" s="59"/>
      <c r="EJ936" s="59"/>
      <c r="EK936" s="59"/>
      <c r="EL936" s="59"/>
      <c r="EM936" s="59"/>
      <c r="EN936" s="59"/>
      <c r="EO936" s="59"/>
      <c r="EP936" s="59"/>
      <c r="EQ936" s="59"/>
      <c r="ER936" s="59"/>
      <c r="ES936" s="59"/>
      <c r="ET936" s="59"/>
      <c r="EU936" s="59"/>
      <c r="EV936" s="59"/>
      <c r="EW936" s="59"/>
      <c r="EX936" s="59"/>
      <c r="EY936" s="59"/>
      <c r="EZ936" s="59"/>
      <c r="FA936" s="59"/>
      <c r="FB936" s="59"/>
      <c r="FC936" s="59"/>
      <c r="FD936" s="59"/>
      <c r="FE936" s="59"/>
      <c r="FF936" s="59"/>
      <c r="FG936" s="59"/>
      <c r="FH936" s="59"/>
      <c r="FI936" s="59"/>
      <c r="FJ936" s="59"/>
      <c r="FK936" s="59"/>
      <c r="FL936" s="59"/>
      <c r="FM936" s="59"/>
      <c r="FN936" s="59"/>
      <c r="FO936" s="59"/>
      <c r="FP936" s="59"/>
      <c r="FQ936" s="59"/>
      <c r="FR936" s="59"/>
      <c r="FS936" s="59"/>
      <c r="FT936" s="59"/>
      <c r="FU936" s="59"/>
      <c r="FV936" s="59"/>
      <c r="FW936" s="59"/>
      <c r="FX936" s="59"/>
      <c r="FY936" s="59"/>
      <c r="FZ936" s="59"/>
      <c r="GA936" s="59"/>
      <c r="GB936" s="59"/>
      <c r="GC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  <c r="BV937" s="59"/>
      <c r="BW937" s="59"/>
      <c r="BX937" s="59"/>
      <c r="BY937" s="59"/>
      <c r="BZ937" s="59"/>
      <c r="CA937" s="59"/>
      <c r="CB937" s="59"/>
      <c r="CC937" s="59"/>
      <c r="CD937" s="59"/>
      <c r="CE937" s="59"/>
      <c r="CF937" s="59"/>
      <c r="CG937" s="59"/>
      <c r="CH937" s="59"/>
      <c r="CI937" s="59"/>
      <c r="CJ937" s="59"/>
      <c r="CK937" s="59"/>
      <c r="CL937" s="59"/>
      <c r="CM937" s="59"/>
      <c r="CN937" s="59"/>
      <c r="CO937" s="59"/>
      <c r="CP937" s="59"/>
      <c r="CQ937" s="59"/>
      <c r="CR937" s="59"/>
      <c r="CS937" s="59"/>
      <c r="CT937" s="59"/>
      <c r="CU937" s="59"/>
      <c r="CV937" s="59"/>
      <c r="CW937" s="59"/>
      <c r="CX937" s="59"/>
      <c r="CY937" s="59"/>
      <c r="CZ937" s="59"/>
      <c r="DA937" s="59"/>
      <c r="DB937" s="59"/>
      <c r="DC937" s="59"/>
      <c r="DD937" s="59"/>
      <c r="DE937" s="59"/>
      <c r="DF937" s="59"/>
      <c r="DG937" s="59"/>
      <c r="DH937" s="59"/>
      <c r="DI937" s="59"/>
      <c r="DJ937" s="59"/>
      <c r="DK937" s="59"/>
      <c r="DL937" s="59"/>
      <c r="DM937" s="59"/>
      <c r="DN937" s="59"/>
      <c r="DO937" s="59"/>
      <c r="DP937" s="59"/>
      <c r="DQ937" s="59"/>
      <c r="DR937" s="59"/>
      <c r="DS937" s="59"/>
      <c r="DT937" s="59"/>
      <c r="DU937" s="59"/>
      <c r="DV937" s="59"/>
      <c r="DW937" s="59"/>
      <c r="DX937" s="59"/>
      <c r="DY937" s="59"/>
      <c r="DZ937" s="59"/>
      <c r="EA937" s="59"/>
      <c r="EB937" s="59"/>
      <c r="EC937" s="59"/>
      <c r="ED937" s="59"/>
      <c r="EE937" s="59"/>
      <c r="EF937" s="59"/>
      <c r="EG937" s="59"/>
      <c r="EH937" s="59"/>
      <c r="EI937" s="59"/>
      <c r="EJ937" s="59"/>
      <c r="EK937" s="59"/>
      <c r="EL937" s="59"/>
      <c r="EM937" s="59"/>
      <c r="EN937" s="59"/>
      <c r="EO937" s="59"/>
      <c r="EP937" s="59"/>
      <c r="EQ937" s="59"/>
      <c r="ER937" s="59"/>
      <c r="ES937" s="59"/>
      <c r="ET937" s="59"/>
      <c r="EU937" s="59"/>
      <c r="EV937" s="59"/>
      <c r="EW937" s="59"/>
      <c r="EX937" s="59"/>
      <c r="EY937" s="59"/>
      <c r="EZ937" s="59"/>
      <c r="FA937" s="59"/>
      <c r="FB937" s="59"/>
      <c r="FC937" s="59"/>
      <c r="FD937" s="59"/>
      <c r="FE937" s="59"/>
      <c r="FF937" s="59"/>
      <c r="FG937" s="59"/>
      <c r="FH937" s="59"/>
      <c r="FI937" s="59"/>
      <c r="FJ937" s="59"/>
      <c r="FK937" s="59"/>
      <c r="FL937" s="59"/>
      <c r="FM937" s="59"/>
      <c r="FN937" s="59"/>
      <c r="FO937" s="59"/>
      <c r="FP937" s="59"/>
      <c r="FQ937" s="59"/>
      <c r="FR937" s="59"/>
      <c r="FS937" s="59"/>
      <c r="FT937" s="59"/>
      <c r="FU937" s="59"/>
      <c r="FV937" s="59"/>
      <c r="FW937" s="59"/>
      <c r="FX937" s="59"/>
      <c r="FY937" s="59"/>
      <c r="FZ937" s="59"/>
      <c r="GA937" s="59"/>
      <c r="GB937" s="59"/>
      <c r="GC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  <c r="BV938" s="59"/>
      <c r="BW938" s="59"/>
      <c r="BX938" s="59"/>
      <c r="BY938" s="59"/>
      <c r="BZ938" s="59"/>
      <c r="CA938" s="59"/>
      <c r="CB938" s="59"/>
      <c r="CC938" s="59"/>
      <c r="CD938" s="59"/>
      <c r="CE938" s="59"/>
      <c r="CF938" s="59"/>
      <c r="CG938" s="59"/>
      <c r="CH938" s="59"/>
      <c r="CI938" s="59"/>
      <c r="CJ938" s="59"/>
      <c r="CK938" s="59"/>
      <c r="CL938" s="59"/>
      <c r="CM938" s="59"/>
      <c r="CN938" s="59"/>
      <c r="CO938" s="59"/>
      <c r="CP938" s="59"/>
      <c r="CQ938" s="59"/>
      <c r="CR938" s="59"/>
      <c r="CS938" s="59"/>
      <c r="CT938" s="59"/>
      <c r="CU938" s="59"/>
      <c r="CV938" s="59"/>
      <c r="CW938" s="59"/>
      <c r="CX938" s="59"/>
      <c r="CY938" s="59"/>
      <c r="CZ938" s="59"/>
      <c r="DA938" s="59"/>
      <c r="DB938" s="59"/>
      <c r="DC938" s="59"/>
      <c r="DD938" s="59"/>
      <c r="DE938" s="59"/>
      <c r="DF938" s="59"/>
      <c r="DG938" s="59"/>
      <c r="DH938" s="59"/>
      <c r="DI938" s="59"/>
      <c r="DJ938" s="59"/>
      <c r="DK938" s="59"/>
      <c r="DL938" s="59"/>
      <c r="DM938" s="59"/>
      <c r="DN938" s="59"/>
      <c r="DO938" s="59"/>
      <c r="DP938" s="59"/>
      <c r="DQ938" s="59"/>
      <c r="DR938" s="59"/>
      <c r="DS938" s="59"/>
      <c r="DT938" s="59"/>
      <c r="DU938" s="59"/>
      <c r="DV938" s="59"/>
      <c r="DW938" s="59"/>
      <c r="DX938" s="59"/>
      <c r="DY938" s="59"/>
      <c r="DZ938" s="59"/>
      <c r="EA938" s="59"/>
      <c r="EB938" s="59"/>
      <c r="EC938" s="59"/>
      <c r="ED938" s="59"/>
      <c r="EE938" s="59"/>
      <c r="EF938" s="59"/>
      <c r="EG938" s="59"/>
      <c r="EH938" s="59"/>
      <c r="EI938" s="59"/>
      <c r="EJ938" s="59"/>
      <c r="EK938" s="59"/>
      <c r="EL938" s="59"/>
      <c r="EM938" s="59"/>
      <c r="EN938" s="59"/>
      <c r="EO938" s="59"/>
      <c r="EP938" s="59"/>
      <c r="EQ938" s="59"/>
      <c r="ER938" s="59"/>
      <c r="ES938" s="59"/>
      <c r="ET938" s="59"/>
      <c r="EU938" s="59"/>
      <c r="EV938" s="59"/>
      <c r="EW938" s="59"/>
      <c r="EX938" s="59"/>
      <c r="EY938" s="59"/>
      <c r="EZ938" s="59"/>
      <c r="FA938" s="59"/>
      <c r="FB938" s="59"/>
      <c r="FC938" s="59"/>
      <c r="FD938" s="59"/>
      <c r="FE938" s="59"/>
      <c r="FF938" s="59"/>
      <c r="FG938" s="59"/>
      <c r="FH938" s="59"/>
      <c r="FI938" s="59"/>
      <c r="FJ938" s="59"/>
      <c r="FK938" s="59"/>
      <c r="FL938" s="59"/>
      <c r="FM938" s="59"/>
      <c r="FN938" s="59"/>
      <c r="FO938" s="59"/>
      <c r="FP938" s="59"/>
      <c r="FQ938" s="59"/>
      <c r="FR938" s="59"/>
      <c r="FS938" s="59"/>
      <c r="FT938" s="59"/>
      <c r="FU938" s="59"/>
      <c r="FV938" s="59"/>
      <c r="FW938" s="59"/>
      <c r="FX938" s="59"/>
      <c r="FY938" s="59"/>
      <c r="FZ938" s="59"/>
      <c r="GA938" s="59"/>
      <c r="GB938" s="59"/>
      <c r="GC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  <c r="BV939" s="59"/>
      <c r="BW939" s="59"/>
      <c r="BX939" s="59"/>
      <c r="BY939" s="59"/>
      <c r="BZ939" s="59"/>
      <c r="CA939" s="59"/>
      <c r="CB939" s="59"/>
      <c r="CC939" s="59"/>
      <c r="CD939" s="59"/>
      <c r="CE939" s="59"/>
      <c r="CF939" s="59"/>
      <c r="CG939" s="59"/>
      <c r="CH939" s="59"/>
      <c r="CI939" s="59"/>
      <c r="CJ939" s="59"/>
      <c r="CK939" s="59"/>
      <c r="CL939" s="59"/>
      <c r="CM939" s="59"/>
      <c r="CN939" s="59"/>
      <c r="CO939" s="59"/>
      <c r="CP939" s="59"/>
      <c r="CQ939" s="59"/>
      <c r="CR939" s="59"/>
      <c r="CS939" s="59"/>
      <c r="CT939" s="59"/>
      <c r="CU939" s="59"/>
      <c r="CV939" s="59"/>
      <c r="CW939" s="59"/>
      <c r="CX939" s="59"/>
      <c r="CY939" s="59"/>
      <c r="CZ939" s="59"/>
      <c r="DA939" s="59"/>
      <c r="DB939" s="59"/>
      <c r="DC939" s="59"/>
      <c r="DD939" s="59"/>
      <c r="DE939" s="59"/>
      <c r="DF939" s="59"/>
      <c r="DG939" s="59"/>
      <c r="DH939" s="59"/>
      <c r="DI939" s="59"/>
      <c r="DJ939" s="59"/>
      <c r="DK939" s="59"/>
      <c r="DL939" s="59"/>
      <c r="DM939" s="59"/>
      <c r="DN939" s="59"/>
      <c r="DO939" s="59"/>
      <c r="DP939" s="59"/>
      <c r="DQ939" s="59"/>
      <c r="DR939" s="59"/>
      <c r="DS939" s="59"/>
      <c r="DT939" s="59"/>
      <c r="DU939" s="59"/>
      <c r="DV939" s="59"/>
      <c r="DW939" s="59"/>
      <c r="DX939" s="59"/>
      <c r="DY939" s="59"/>
      <c r="DZ939" s="59"/>
      <c r="EA939" s="59"/>
      <c r="EB939" s="59"/>
      <c r="EC939" s="59"/>
      <c r="ED939" s="59"/>
      <c r="EE939" s="59"/>
      <c r="EF939" s="59"/>
      <c r="EG939" s="59"/>
      <c r="EH939" s="59"/>
      <c r="EI939" s="59"/>
      <c r="EJ939" s="59"/>
      <c r="EK939" s="59"/>
      <c r="EL939" s="59"/>
      <c r="EM939" s="59"/>
      <c r="EN939" s="59"/>
      <c r="EO939" s="59"/>
      <c r="EP939" s="59"/>
      <c r="EQ939" s="59"/>
      <c r="ER939" s="59"/>
      <c r="ES939" s="59"/>
      <c r="ET939" s="59"/>
      <c r="EU939" s="59"/>
      <c r="EV939" s="59"/>
      <c r="EW939" s="59"/>
      <c r="EX939" s="59"/>
      <c r="EY939" s="59"/>
      <c r="EZ939" s="59"/>
      <c r="FA939" s="59"/>
      <c r="FB939" s="59"/>
      <c r="FC939" s="59"/>
      <c r="FD939" s="59"/>
      <c r="FE939" s="59"/>
      <c r="FF939" s="59"/>
      <c r="FG939" s="59"/>
      <c r="FH939" s="59"/>
      <c r="FI939" s="59"/>
      <c r="FJ939" s="59"/>
      <c r="FK939" s="59"/>
      <c r="FL939" s="59"/>
      <c r="FM939" s="59"/>
      <c r="FN939" s="59"/>
      <c r="FO939" s="59"/>
      <c r="FP939" s="59"/>
      <c r="FQ939" s="59"/>
      <c r="FR939" s="59"/>
      <c r="FS939" s="59"/>
      <c r="FT939" s="59"/>
      <c r="FU939" s="59"/>
      <c r="FV939" s="59"/>
      <c r="FW939" s="59"/>
      <c r="FX939" s="59"/>
      <c r="FY939" s="59"/>
      <c r="FZ939" s="59"/>
      <c r="GA939" s="59"/>
      <c r="GB939" s="59"/>
      <c r="GC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  <c r="BV940" s="59"/>
      <c r="BW940" s="59"/>
      <c r="BX940" s="59"/>
      <c r="BY940" s="59"/>
      <c r="BZ940" s="59"/>
      <c r="CA940" s="59"/>
      <c r="CB940" s="59"/>
      <c r="CC940" s="59"/>
      <c r="CD940" s="59"/>
      <c r="CE940" s="59"/>
      <c r="CF940" s="59"/>
      <c r="CG940" s="59"/>
      <c r="CH940" s="59"/>
      <c r="CI940" s="59"/>
      <c r="CJ940" s="59"/>
      <c r="CK940" s="59"/>
      <c r="CL940" s="59"/>
      <c r="CM940" s="59"/>
      <c r="CN940" s="59"/>
      <c r="CO940" s="59"/>
      <c r="CP940" s="59"/>
      <c r="CQ940" s="59"/>
      <c r="CR940" s="59"/>
      <c r="CS940" s="59"/>
      <c r="CT940" s="59"/>
      <c r="CU940" s="59"/>
      <c r="CV940" s="59"/>
      <c r="CW940" s="59"/>
      <c r="CX940" s="59"/>
      <c r="CY940" s="59"/>
      <c r="CZ940" s="59"/>
      <c r="DA940" s="59"/>
      <c r="DB940" s="59"/>
      <c r="DC940" s="59"/>
      <c r="DD940" s="59"/>
      <c r="DE940" s="59"/>
      <c r="DF940" s="59"/>
      <c r="DG940" s="59"/>
      <c r="DH940" s="59"/>
      <c r="DI940" s="59"/>
      <c r="DJ940" s="59"/>
      <c r="DK940" s="59"/>
      <c r="DL940" s="59"/>
      <c r="DM940" s="59"/>
      <c r="DN940" s="59"/>
      <c r="DO940" s="59"/>
      <c r="DP940" s="59"/>
      <c r="DQ940" s="59"/>
      <c r="DR940" s="59"/>
      <c r="DS940" s="59"/>
      <c r="DT940" s="59"/>
      <c r="DU940" s="59"/>
      <c r="DV940" s="59"/>
      <c r="DW940" s="59"/>
      <c r="DX940" s="59"/>
      <c r="DY940" s="59"/>
      <c r="DZ940" s="59"/>
      <c r="EA940" s="59"/>
      <c r="EB940" s="59"/>
      <c r="EC940" s="59"/>
      <c r="ED940" s="59"/>
      <c r="EE940" s="59"/>
      <c r="EF940" s="59"/>
      <c r="EG940" s="59"/>
      <c r="EH940" s="59"/>
      <c r="EI940" s="59"/>
      <c r="EJ940" s="59"/>
      <c r="EK940" s="59"/>
      <c r="EL940" s="59"/>
      <c r="EM940" s="59"/>
      <c r="EN940" s="59"/>
      <c r="EO940" s="59"/>
      <c r="EP940" s="59"/>
      <c r="EQ940" s="59"/>
      <c r="ER940" s="59"/>
      <c r="ES940" s="59"/>
      <c r="ET940" s="59"/>
      <c r="EU940" s="59"/>
      <c r="EV940" s="59"/>
      <c r="EW940" s="59"/>
      <c r="EX940" s="59"/>
      <c r="EY940" s="59"/>
      <c r="EZ940" s="59"/>
      <c r="FA940" s="59"/>
      <c r="FB940" s="59"/>
      <c r="FC940" s="59"/>
      <c r="FD940" s="59"/>
      <c r="FE940" s="59"/>
      <c r="FF940" s="59"/>
      <c r="FG940" s="59"/>
      <c r="FH940" s="59"/>
      <c r="FI940" s="59"/>
      <c r="FJ940" s="59"/>
      <c r="FK940" s="59"/>
      <c r="FL940" s="59"/>
      <c r="FM940" s="59"/>
      <c r="FN940" s="59"/>
      <c r="FO940" s="59"/>
      <c r="FP940" s="59"/>
      <c r="FQ940" s="59"/>
      <c r="FR940" s="59"/>
      <c r="FS940" s="59"/>
      <c r="FT940" s="59"/>
      <c r="FU940" s="59"/>
      <c r="FV940" s="59"/>
      <c r="FW940" s="59"/>
      <c r="FX940" s="59"/>
      <c r="FY940" s="59"/>
      <c r="FZ940" s="59"/>
      <c r="GA940" s="59"/>
      <c r="GB940" s="59"/>
      <c r="GC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  <c r="BV941" s="59"/>
      <c r="BW941" s="59"/>
      <c r="BX941" s="59"/>
      <c r="BY941" s="59"/>
      <c r="BZ941" s="59"/>
      <c r="CA941" s="59"/>
      <c r="CB941" s="59"/>
      <c r="CC941" s="59"/>
      <c r="CD941" s="59"/>
      <c r="CE941" s="59"/>
      <c r="CF941" s="59"/>
      <c r="CG941" s="59"/>
      <c r="CH941" s="59"/>
      <c r="CI941" s="59"/>
      <c r="CJ941" s="59"/>
      <c r="CK941" s="59"/>
      <c r="CL941" s="59"/>
      <c r="CM941" s="59"/>
      <c r="CN941" s="59"/>
      <c r="CO941" s="59"/>
      <c r="CP941" s="59"/>
      <c r="CQ941" s="59"/>
      <c r="CR941" s="59"/>
      <c r="CS941" s="59"/>
      <c r="CT941" s="59"/>
      <c r="CU941" s="59"/>
      <c r="CV941" s="59"/>
      <c r="CW941" s="59"/>
      <c r="CX941" s="59"/>
      <c r="CY941" s="59"/>
      <c r="CZ941" s="59"/>
      <c r="DA941" s="59"/>
      <c r="DB941" s="59"/>
      <c r="DC941" s="59"/>
      <c r="DD941" s="59"/>
      <c r="DE941" s="59"/>
      <c r="DF941" s="59"/>
      <c r="DG941" s="59"/>
      <c r="DH941" s="59"/>
      <c r="DI941" s="59"/>
      <c r="DJ941" s="59"/>
      <c r="DK941" s="59"/>
      <c r="DL941" s="59"/>
      <c r="DM941" s="59"/>
      <c r="DN941" s="59"/>
      <c r="DO941" s="59"/>
      <c r="DP941" s="59"/>
      <c r="DQ941" s="59"/>
      <c r="DR941" s="59"/>
      <c r="DS941" s="59"/>
      <c r="DT941" s="59"/>
      <c r="DU941" s="59"/>
      <c r="DV941" s="59"/>
      <c r="DW941" s="59"/>
      <c r="DX941" s="59"/>
      <c r="DY941" s="59"/>
      <c r="DZ941" s="59"/>
      <c r="EA941" s="59"/>
      <c r="EB941" s="59"/>
      <c r="EC941" s="59"/>
      <c r="ED941" s="59"/>
      <c r="EE941" s="59"/>
      <c r="EF941" s="59"/>
      <c r="EG941" s="59"/>
      <c r="EH941" s="59"/>
      <c r="EI941" s="59"/>
      <c r="EJ941" s="59"/>
      <c r="EK941" s="59"/>
      <c r="EL941" s="59"/>
      <c r="EM941" s="59"/>
      <c r="EN941" s="59"/>
      <c r="EO941" s="59"/>
      <c r="EP941" s="59"/>
      <c r="EQ941" s="59"/>
      <c r="ER941" s="59"/>
      <c r="ES941" s="59"/>
      <c r="ET941" s="59"/>
      <c r="EU941" s="59"/>
      <c r="EV941" s="59"/>
      <c r="EW941" s="59"/>
      <c r="EX941" s="59"/>
      <c r="EY941" s="59"/>
      <c r="EZ941" s="59"/>
      <c r="FA941" s="59"/>
      <c r="FB941" s="59"/>
      <c r="FC941" s="59"/>
      <c r="FD941" s="59"/>
      <c r="FE941" s="59"/>
      <c r="FF941" s="59"/>
      <c r="FG941" s="59"/>
      <c r="FH941" s="59"/>
      <c r="FI941" s="59"/>
      <c r="FJ941" s="59"/>
      <c r="FK941" s="59"/>
      <c r="FL941" s="59"/>
      <c r="FM941" s="59"/>
      <c r="FN941" s="59"/>
      <c r="FO941" s="59"/>
      <c r="FP941" s="59"/>
      <c r="FQ941" s="59"/>
      <c r="FR941" s="59"/>
      <c r="FS941" s="59"/>
      <c r="FT941" s="59"/>
      <c r="FU941" s="59"/>
      <c r="FV941" s="59"/>
      <c r="FW941" s="59"/>
      <c r="FX941" s="59"/>
      <c r="FY941" s="59"/>
      <c r="FZ941" s="59"/>
      <c r="GA941" s="59"/>
      <c r="GB941" s="59"/>
      <c r="GC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  <c r="BV942" s="59"/>
      <c r="BW942" s="59"/>
      <c r="BX942" s="59"/>
      <c r="BY942" s="59"/>
      <c r="BZ942" s="59"/>
      <c r="CA942" s="59"/>
      <c r="CB942" s="59"/>
      <c r="CC942" s="59"/>
      <c r="CD942" s="59"/>
      <c r="CE942" s="59"/>
      <c r="CF942" s="59"/>
      <c r="CG942" s="59"/>
      <c r="CH942" s="59"/>
      <c r="CI942" s="59"/>
      <c r="CJ942" s="59"/>
      <c r="CK942" s="59"/>
      <c r="CL942" s="59"/>
      <c r="CM942" s="59"/>
      <c r="CN942" s="59"/>
      <c r="CO942" s="59"/>
      <c r="CP942" s="59"/>
      <c r="CQ942" s="59"/>
      <c r="CR942" s="59"/>
      <c r="CS942" s="59"/>
      <c r="CT942" s="59"/>
      <c r="CU942" s="59"/>
      <c r="CV942" s="59"/>
      <c r="CW942" s="59"/>
      <c r="CX942" s="59"/>
      <c r="CY942" s="59"/>
      <c r="CZ942" s="59"/>
      <c r="DA942" s="59"/>
      <c r="DB942" s="59"/>
      <c r="DC942" s="59"/>
      <c r="DD942" s="59"/>
      <c r="DE942" s="59"/>
      <c r="DF942" s="59"/>
      <c r="DG942" s="59"/>
      <c r="DH942" s="59"/>
      <c r="DI942" s="59"/>
      <c r="DJ942" s="59"/>
      <c r="DK942" s="59"/>
      <c r="DL942" s="59"/>
      <c r="DM942" s="59"/>
      <c r="DN942" s="59"/>
      <c r="DO942" s="59"/>
      <c r="DP942" s="59"/>
      <c r="DQ942" s="59"/>
      <c r="DR942" s="59"/>
      <c r="DS942" s="59"/>
      <c r="DT942" s="59"/>
      <c r="DU942" s="59"/>
      <c r="DV942" s="59"/>
      <c r="DW942" s="59"/>
      <c r="DX942" s="59"/>
      <c r="DY942" s="59"/>
      <c r="DZ942" s="59"/>
      <c r="EA942" s="59"/>
      <c r="EB942" s="59"/>
      <c r="EC942" s="59"/>
      <c r="ED942" s="59"/>
      <c r="EE942" s="59"/>
      <c r="EF942" s="59"/>
      <c r="EG942" s="59"/>
      <c r="EH942" s="59"/>
      <c r="EI942" s="59"/>
      <c r="EJ942" s="59"/>
      <c r="EK942" s="59"/>
      <c r="EL942" s="59"/>
      <c r="EM942" s="59"/>
      <c r="EN942" s="59"/>
      <c r="EO942" s="59"/>
      <c r="EP942" s="59"/>
      <c r="EQ942" s="59"/>
      <c r="ER942" s="59"/>
      <c r="ES942" s="59"/>
      <c r="ET942" s="59"/>
      <c r="EU942" s="59"/>
      <c r="EV942" s="59"/>
      <c r="EW942" s="59"/>
      <c r="EX942" s="59"/>
      <c r="EY942" s="59"/>
      <c r="EZ942" s="59"/>
      <c r="FA942" s="59"/>
      <c r="FB942" s="59"/>
      <c r="FC942" s="59"/>
      <c r="FD942" s="59"/>
      <c r="FE942" s="59"/>
      <c r="FF942" s="59"/>
      <c r="FG942" s="59"/>
      <c r="FH942" s="59"/>
      <c r="FI942" s="59"/>
      <c r="FJ942" s="59"/>
      <c r="FK942" s="59"/>
      <c r="FL942" s="59"/>
      <c r="FM942" s="59"/>
      <c r="FN942" s="59"/>
      <c r="FO942" s="59"/>
      <c r="FP942" s="59"/>
      <c r="FQ942" s="59"/>
      <c r="FR942" s="59"/>
      <c r="FS942" s="59"/>
      <c r="FT942" s="59"/>
      <c r="FU942" s="59"/>
      <c r="FV942" s="59"/>
      <c r="FW942" s="59"/>
      <c r="FX942" s="59"/>
      <c r="FY942" s="59"/>
      <c r="FZ942" s="59"/>
      <c r="GA942" s="59"/>
      <c r="GB942" s="59"/>
      <c r="GC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  <c r="BV943" s="59"/>
      <c r="BW943" s="59"/>
      <c r="BX943" s="59"/>
      <c r="BY943" s="59"/>
      <c r="BZ943" s="59"/>
      <c r="CA943" s="59"/>
      <c r="CB943" s="59"/>
      <c r="CC943" s="59"/>
      <c r="CD943" s="59"/>
      <c r="CE943" s="59"/>
      <c r="CF943" s="59"/>
      <c r="CG943" s="59"/>
      <c r="CH943" s="59"/>
      <c r="CI943" s="59"/>
      <c r="CJ943" s="59"/>
      <c r="CK943" s="59"/>
      <c r="CL943" s="59"/>
      <c r="CM943" s="59"/>
      <c r="CN943" s="59"/>
      <c r="CO943" s="59"/>
      <c r="CP943" s="59"/>
      <c r="CQ943" s="59"/>
      <c r="CR943" s="59"/>
      <c r="CS943" s="59"/>
      <c r="CT943" s="59"/>
      <c r="CU943" s="59"/>
      <c r="CV943" s="59"/>
      <c r="CW943" s="59"/>
      <c r="CX943" s="59"/>
      <c r="CY943" s="59"/>
      <c r="CZ943" s="59"/>
      <c r="DA943" s="59"/>
      <c r="DB943" s="59"/>
      <c r="DC943" s="59"/>
      <c r="DD943" s="59"/>
      <c r="DE943" s="59"/>
      <c r="DF943" s="59"/>
      <c r="DG943" s="59"/>
      <c r="DH943" s="59"/>
      <c r="DI943" s="59"/>
      <c r="DJ943" s="59"/>
      <c r="DK943" s="59"/>
      <c r="DL943" s="59"/>
      <c r="DM943" s="59"/>
      <c r="DN943" s="59"/>
      <c r="DO943" s="59"/>
      <c r="DP943" s="59"/>
      <c r="DQ943" s="59"/>
      <c r="DR943" s="59"/>
      <c r="DS943" s="59"/>
      <c r="DT943" s="59"/>
      <c r="DU943" s="59"/>
      <c r="DV943" s="59"/>
      <c r="DW943" s="59"/>
      <c r="DX943" s="59"/>
      <c r="DY943" s="59"/>
      <c r="DZ943" s="59"/>
      <c r="EA943" s="59"/>
      <c r="EB943" s="59"/>
      <c r="EC943" s="59"/>
      <c r="ED943" s="59"/>
      <c r="EE943" s="59"/>
      <c r="EF943" s="59"/>
      <c r="EG943" s="59"/>
      <c r="EH943" s="59"/>
      <c r="EI943" s="59"/>
      <c r="EJ943" s="59"/>
      <c r="EK943" s="59"/>
      <c r="EL943" s="59"/>
      <c r="EM943" s="59"/>
      <c r="EN943" s="59"/>
      <c r="EO943" s="59"/>
      <c r="EP943" s="59"/>
      <c r="EQ943" s="59"/>
      <c r="ER943" s="59"/>
      <c r="ES943" s="59"/>
      <c r="ET943" s="59"/>
      <c r="EU943" s="59"/>
      <c r="EV943" s="59"/>
      <c r="EW943" s="59"/>
      <c r="EX943" s="59"/>
      <c r="EY943" s="59"/>
      <c r="EZ943" s="59"/>
      <c r="FA943" s="59"/>
      <c r="FB943" s="59"/>
      <c r="FC943" s="59"/>
      <c r="FD943" s="59"/>
      <c r="FE943" s="59"/>
      <c r="FF943" s="59"/>
      <c r="FG943" s="59"/>
      <c r="FH943" s="59"/>
      <c r="FI943" s="59"/>
      <c r="FJ943" s="59"/>
      <c r="FK943" s="59"/>
      <c r="FL943" s="59"/>
      <c r="FM943" s="59"/>
      <c r="FN943" s="59"/>
      <c r="FO943" s="59"/>
      <c r="FP943" s="59"/>
      <c r="FQ943" s="59"/>
      <c r="FR943" s="59"/>
      <c r="FS943" s="59"/>
      <c r="FT943" s="59"/>
      <c r="FU943" s="59"/>
      <c r="FV943" s="59"/>
      <c r="FW943" s="59"/>
      <c r="FX943" s="59"/>
      <c r="FY943" s="59"/>
      <c r="FZ943" s="59"/>
      <c r="GA943" s="59"/>
      <c r="GB943" s="59"/>
      <c r="GC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  <c r="BV944" s="59"/>
      <c r="BW944" s="59"/>
      <c r="BX944" s="59"/>
      <c r="BY944" s="59"/>
      <c r="BZ944" s="59"/>
      <c r="CA944" s="59"/>
      <c r="CB944" s="59"/>
      <c r="CC944" s="59"/>
      <c r="CD944" s="59"/>
      <c r="CE944" s="59"/>
      <c r="CF944" s="59"/>
      <c r="CG944" s="59"/>
      <c r="CH944" s="59"/>
      <c r="CI944" s="59"/>
      <c r="CJ944" s="59"/>
      <c r="CK944" s="59"/>
      <c r="CL944" s="59"/>
      <c r="CM944" s="59"/>
      <c r="CN944" s="59"/>
      <c r="CO944" s="59"/>
      <c r="CP944" s="59"/>
      <c r="CQ944" s="59"/>
      <c r="CR944" s="59"/>
      <c r="CS944" s="59"/>
      <c r="CT944" s="59"/>
      <c r="CU944" s="59"/>
      <c r="CV944" s="59"/>
      <c r="CW944" s="59"/>
      <c r="CX944" s="59"/>
      <c r="CY944" s="59"/>
      <c r="CZ944" s="59"/>
      <c r="DA944" s="59"/>
      <c r="DB944" s="59"/>
      <c r="DC944" s="59"/>
      <c r="DD944" s="59"/>
      <c r="DE944" s="59"/>
      <c r="DF944" s="59"/>
      <c r="DG944" s="59"/>
      <c r="DH944" s="59"/>
      <c r="DI944" s="59"/>
      <c r="DJ944" s="59"/>
      <c r="DK944" s="59"/>
      <c r="DL944" s="59"/>
      <c r="DM944" s="59"/>
      <c r="DN944" s="59"/>
      <c r="DO944" s="59"/>
      <c r="DP944" s="59"/>
      <c r="DQ944" s="59"/>
      <c r="DR944" s="59"/>
      <c r="DS944" s="59"/>
      <c r="DT944" s="59"/>
      <c r="DU944" s="59"/>
      <c r="DV944" s="59"/>
      <c r="DW944" s="59"/>
      <c r="DX944" s="59"/>
      <c r="DY944" s="59"/>
      <c r="DZ944" s="59"/>
      <c r="EA944" s="59"/>
      <c r="EB944" s="59"/>
      <c r="EC944" s="59"/>
      <c r="ED944" s="59"/>
      <c r="EE944" s="59"/>
      <c r="EF944" s="59"/>
      <c r="EG944" s="59"/>
      <c r="EH944" s="59"/>
      <c r="EI944" s="59"/>
      <c r="EJ944" s="59"/>
      <c r="EK944" s="59"/>
      <c r="EL944" s="59"/>
      <c r="EM944" s="59"/>
      <c r="EN944" s="59"/>
      <c r="EO944" s="59"/>
      <c r="EP944" s="59"/>
      <c r="EQ944" s="59"/>
      <c r="ER944" s="59"/>
      <c r="ES944" s="59"/>
      <c r="ET944" s="59"/>
      <c r="EU944" s="59"/>
      <c r="EV944" s="59"/>
      <c r="EW944" s="59"/>
      <c r="EX944" s="59"/>
      <c r="EY944" s="59"/>
      <c r="EZ944" s="59"/>
      <c r="FA944" s="59"/>
      <c r="FB944" s="59"/>
      <c r="FC944" s="59"/>
      <c r="FD944" s="59"/>
      <c r="FE944" s="59"/>
      <c r="FF944" s="59"/>
      <c r="FG944" s="59"/>
      <c r="FH944" s="59"/>
      <c r="FI944" s="59"/>
      <c r="FJ944" s="59"/>
      <c r="FK944" s="59"/>
      <c r="FL944" s="59"/>
      <c r="FM944" s="59"/>
      <c r="FN944" s="59"/>
      <c r="FO944" s="59"/>
      <c r="FP944" s="59"/>
      <c r="FQ944" s="59"/>
      <c r="FR944" s="59"/>
      <c r="FS944" s="59"/>
      <c r="FT944" s="59"/>
      <c r="FU944" s="59"/>
      <c r="FV944" s="59"/>
      <c r="FW944" s="59"/>
      <c r="FX944" s="59"/>
      <c r="FY944" s="59"/>
      <c r="FZ944" s="59"/>
      <c r="GA944" s="59"/>
      <c r="GB944" s="59"/>
      <c r="GC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  <c r="BV945" s="59"/>
      <c r="BW945" s="59"/>
      <c r="BX945" s="59"/>
      <c r="BY945" s="59"/>
      <c r="BZ945" s="59"/>
      <c r="CA945" s="59"/>
      <c r="CB945" s="59"/>
      <c r="CC945" s="59"/>
      <c r="CD945" s="59"/>
      <c r="CE945" s="59"/>
      <c r="CF945" s="59"/>
      <c r="CG945" s="59"/>
      <c r="CH945" s="59"/>
      <c r="CI945" s="59"/>
      <c r="CJ945" s="59"/>
      <c r="CK945" s="59"/>
      <c r="CL945" s="59"/>
      <c r="CM945" s="59"/>
      <c r="CN945" s="59"/>
      <c r="CO945" s="59"/>
      <c r="CP945" s="59"/>
      <c r="CQ945" s="59"/>
      <c r="CR945" s="59"/>
      <c r="CS945" s="59"/>
      <c r="CT945" s="59"/>
      <c r="CU945" s="59"/>
      <c r="CV945" s="59"/>
      <c r="CW945" s="59"/>
      <c r="CX945" s="59"/>
      <c r="CY945" s="59"/>
      <c r="CZ945" s="59"/>
      <c r="DA945" s="59"/>
      <c r="DB945" s="59"/>
      <c r="DC945" s="59"/>
      <c r="DD945" s="59"/>
      <c r="DE945" s="59"/>
      <c r="DF945" s="59"/>
      <c r="DG945" s="59"/>
      <c r="DH945" s="59"/>
      <c r="DI945" s="59"/>
      <c r="DJ945" s="59"/>
      <c r="DK945" s="59"/>
      <c r="DL945" s="59"/>
      <c r="DM945" s="59"/>
      <c r="DN945" s="59"/>
      <c r="DO945" s="59"/>
      <c r="DP945" s="59"/>
      <c r="DQ945" s="59"/>
      <c r="DR945" s="59"/>
      <c r="DS945" s="59"/>
      <c r="DT945" s="59"/>
      <c r="DU945" s="59"/>
      <c r="DV945" s="59"/>
      <c r="DW945" s="59"/>
      <c r="DX945" s="59"/>
      <c r="DY945" s="59"/>
      <c r="DZ945" s="59"/>
      <c r="EA945" s="59"/>
      <c r="EB945" s="59"/>
      <c r="EC945" s="59"/>
      <c r="ED945" s="59"/>
      <c r="EE945" s="59"/>
      <c r="EF945" s="59"/>
      <c r="EG945" s="59"/>
      <c r="EH945" s="59"/>
      <c r="EI945" s="59"/>
      <c r="EJ945" s="59"/>
      <c r="EK945" s="59"/>
      <c r="EL945" s="59"/>
      <c r="EM945" s="59"/>
      <c r="EN945" s="59"/>
      <c r="EO945" s="59"/>
      <c r="EP945" s="59"/>
      <c r="EQ945" s="59"/>
      <c r="ER945" s="59"/>
      <c r="ES945" s="59"/>
      <c r="ET945" s="59"/>
      <c r="EU945" s="59"/>
      <c r="EV945" s="59"/>
      <c r="EW945" s="59"/>
      <c r="EX945" s="59"/>
      <c r="EY945" s="59"/>
      <c r="EZ945" s="59"/>
      <c r="FA945" s="59"/>
      <c r="FB945" s="59"/>
      <c r="FC945" s="59"/>
      <c r="FD945" s="59"/>
      <c r="FE945" s="59"/>
      <c r="FF945" s="59"/>
      <c r="FG945" s="59"/>
      <c r="FH945" s="59"/>
      <c r="FI945" s="59"/>
      <c r="FJ945" s="59"/>
      <c r="FK945" s="59"/>
      <c r="FL945" s="59"/>
      <c r="FM945" s="59"/>
      <c r="FN945" s="59"/>
      <c r="FO945" s="59"/>
      <c r="FP945" s="59"/>
      <c r="FQ945" s="59"/>
      <c r="FR945" s="59"/>
      <c r="FS945" s="59"/>
      <c r="FT945" s="59"/>
      <c r="FU945" s="59"/>
      <c r="FV945" s="59"/>
      <c r="FW945" s="59"/>
      <c r="FX945" s="59"/>
      <c r="FY945" s="59"/>
      <c r="FZ945" s="59"/>
      <c r="GA945" s="59"/>
      <c r="GB945" s="59"/>
      <c r="GC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  <c r="BV946" s="59"/>
      <c r="BW946" s="59"/>
      <c r="BX946" s="59"/>
      <c r="BY946" s="59"/>
      <c r="BZ946" s="59"/>
      <c r="CA946" s="59"/>
      <c r="CB946" s="59"/>
      <c r="CC946" s="59"/>
      <c r="CD946" s="59"/>
      <c r="CE946" s="59"/>
      <c r="CF946" s="59"/>
      <c r="CG946" s="59"/>
      <c r="CH946" s="59"/>
      <c r="CI946" s="59"/>
      <c r="CJ946" s="59"/>
      <c r="CK946" s="59"/>
      <c r="CL946" s="59"/>
      <c r="CM946" s="59"/>
      <c r="CN946" s="59"/>
      <c r="CO946" s="59"/>
      <c r="CP946" s="59"/>
      <c r="CQ946" s="59"/>
      <c r="CR946" s="59"/>
      <c r="CS946" s="59"/>
      <c r="CT946" s="59"/>
      <c r="CU946" s="59"/>
      <c r="CV946" s="59"/>
      <c r="CW946" s="59"/>
      <c r="CX946" s="59"/>
      <c r="CY946" s="59"/>
      <c r="CZ946" s="59"/>
      <c r="DA946" s="59"/>
      <c r="DB946" s="59"/>
      <c r="DC946" s="59"/>
      <c r="DD946" s="59"/>
      <c r="DE946" s="59"/>
      <c r="DF946" s="59"/>
      <c r="DG946" s="59"/>
      <c r="DH946" s="59"/>
      <c r="DI946" s="59"/>
      <c r="DJ946" s="59"/>
      <c r="DK946" s="59"/>
      <c r="DL946" s="59"/>
      <c r="DM946" s="59"/>
      <c r="DN946" s="59"/>
      <c r="DO946" s="59"/>
      <c r="DP946" s="59"/>
      <c r="DQ946" s="59"/>
      <c r="DR946" s="59"/>
      <c r="DS946" s="59"/>
      <c r="DT946" s="59"/>
      <c r="DU946" s="59"/>
      <c r="DV946" s="59"/>
      <c r="DW946" s="59"/>
      <c r="DX946" s="59"/>
      <c r="DY946" s="59"/>
      <c r="DZ946" s="59"/>
      <c r="EA946" s="59"/>
      <c r="EB946" s="59"/>
      <c r="EC946" s="59"/>
      <c r="ED946" s="59"/>
      <c r="EE946" s="59"/>
      <c r="EF946" s="59"/>
      <c r="EG946" s="59"/>
      <c r="EH946" s="59"/>
      <c r="EI946" s="59"/>
      <c r="EJ946" s="59"/>
      <c r="EK946" s="59"/>
      <c r="EL946" s="59"/>
      <c r="EM946" s="59"/>
      <c r="EN946" s="59"/>
      <c r="EO946" s="59"/>
      <c r="EP946" s="59"/>
      <c r="EQ946" s="59"/>
      <c r="ER946" s="59"/>
      <c r="ES946" s="59"/>
      <c r="ET946" s="59"/>
      <c r="EU946" s="59"/>
      <c r="EV946" s="59"/>
      <c r="EW946" s="59"/>
      <c r="EX946" s="59"/>
      <c r="EY946" s="59"/>
      <c r="EZ946" s="59"/>
      <c r="FA946" s="59"/>
      <c r="FB946" s="59"/>
      <c r="FC946" s="59"/>
      <c r="FD946" s="59"/>
      <c r="FE946" s="59"/>
      <c r="FF946" s="59"/>
      <c r="FG946" s="59"/>
      <c r="FH946" s="59"/>
      <c r="FI946" s="59"/>
      <c r="FJ946" s="59"/>
      <c r="FK946" s="59"/>
      <c r="FL946" s="59"/>
      <c r="FM946" s="59"/>
      <c r="FN946" s="59"/>
      <c r="FO946" s="59"/>
      <c r="FP946" s="59"/>
      <c r="FQ946" s="59"/>
      <c r="FR946" s="59"/>
      <c r="FS946" s="59"/>
      <c r="FT946" s="59"/>
      <c r="FU946" s="59"/>
      <c r="FV946" s="59"/>
      <c r="FW946" s="59"/>
      <c r="FX946" s="59"/>
      <c r="FY946" s="59"/>
      <c r="FZ946" s="59"/>
      <c r="GA946" s="59"/>
      <c r="GB946" s="59"/>
      <c r="GC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  <c r="BV947" s="59"/>
      <c r="BW947" s="59"/>
      <c r="BX947" s="59"/>
      <c r="BY947" s="59"/>
      <c r="BZ947" s="59"/>
      <c r="CA947" s="59"/>
      <c r="CB947" s="59"/>
      <c r="CC947" s="59"/>
      <c r="CD947" s="59"/>
      <c r="CE947" s="59"/>
      <c r="CF947" s="59"/>
      <c r="CG947" s="59"/>
      <c r="CH947" s="59"/>
      <c r="CI947" s="59"/>
      <c r="CJ947" s="59"/>
      <c r="CK947" s="59"/>
      <c r="CL947" s="59"/>
      <c r="CM947" s="59"/>
      <c r="CN947" s="59"/>
      <c r="CO947" s="59"/>
      <c r="CP947" s="59"/>
      <c r="CQ947" s="59"/>
      <c r="CR947" s="59"/>
      <c r="CS947" s="59"/>
      <c r="CT947" s="59"/>
      <c r="CU947" s="59"/>
      <c r="CV947" s="59"/>
      <c r="CW947" s="59"/>
      <c r="CX947" s="59"/>
      <c r="CY947" s="59"/>
      <c r="CZ947" s="59"/>
      <c r="DA947" s="59"/>
      <c r="DB947" s="59"/>
      <c r="DC947" s="59"/>
      <c r="DD947" s="59"/>
      <c r="DE947" s="59"/>
      <c r="DF947" s="59"/>
      <c r="DG947" s="59"/>
      <c r="DH947" s="59"/>
      <c r="DI947" s="59"/>
      <c r="DJ947" s="59"/>
      <c r="DK947" s="59"/>
      <c r="DL947" s="59"/>
      <c r="DM947" s="59"/>
      <c r="DN947" s="59"/>
      <c r="DO947" s="59"/>
      <c r="DP947" s="59"/>
      <c r="DQ947" s="59"/>
      <c r="DR947" s="59"/>
      <c r="DS947" s="59"/>
      <c r="DT947" s="59"/>
      <c r="DU947" s="59"/>
      <c r="DV947" s="59"/>
      <c r="DW947" s="59"/>
      <c r="DX947" s="59"/>
      <c r="DY947" s="59"/>
      <c r="DZ947" s="59"/>
      <c r="EA947" s="59"/>
      <c r="EB947" s="59"/>
      <c r="EC947" s="59"/>
      <c r="ED947" s="59"/>
      <c r="EE947" s="59"/>
      <c r="EF947" s="59"/>
      <c r="EG947" s="59"/>
      <c r="EH947" s="59"/>
      <c r="EI947" s="59"/>
      <c r="EJ947" s="59"/>
      <c r="EK947" s="59"/>
      <c r="EL947" s="59"/>
      <c r="EM947" s="59"/>
      <c r="EN947" s="59"/>
      <c r="EO947" s="59"/>
      <c r="EP947" s="59"/>
      <c r="EQ947" s="59"/>
      <c r="ER947" s="59"/>
      <c r="ES947" s="59"/>
      <c r="ET947" s="59"/>
      <c r="EU947" s="59"/>
      <c r="EV947" s="59"/>
      <c r="EW947" s="59"/>
      <c r="EX947" s="59"/>
      <c r="EY947" s="59"/>
      <c r="EZ947" s="59"/>
      <c r="FA947" s="59"/>
      <c r="FB947" s="59"/>
      <c r="FC947" s="59"/>
      <c r="FD947" s="59"/>
      <c r="FE947" s="59"/>
      <c r="FF947" s="59"/>
      <c r="FG947" s="59"/>
      <c r="FH947" s="59"/>
      <c r="FI947" s="59"/>
      <c r="FJ947" s="59"/>
      <c r="FK947" s="59"/>
      <c r="FL947" s="59"/>
      <c r="FM947" s="59"/>
      <c r="FN947" s="59"/>
      <c r="FO947" s="59"/>
      <c r="FP947" s="59"/>
      <c r="FQ947" s="59"/>
      <c r="FR947" s="59"/>
      <c r="FS947" s="59"/>
      <c r="FT947" s="59"/>
      <c r="FU947" s="59"/>
      <c r="FV947" s="59"/>
      <c r="FW947" s="59"/>
      <c r="FX947" s="59"/>
      <c r="FY947" s="59"/>
      <c r="FZ947" s="59"/>
      <c r="GA947" s="59"/>
      <c r="GB947" s="59"/>
      <c r="GC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  <c r="BV948" s="59"/>
      <c r="BW948" s="59"/>
      <c r="BX948" s="59"/>
      <c r="BY948" s="59"/>
      <c r="BZ948" s="59"/>
      <c r="CA948" s="59"/>
      <c r="CB948" s="59"/>
      <c r="CC948" s="59"/>
      <c r="CD948" s="59"/>
      <c r="CE948" s="59"/>
      <c r="CF948" s="59"/>
      <c r="CG948" s="59"/>
      <c r="CH948" s="59"/>
      <c r="CI948" s="59"/>
      <c r="CJ948" s="59"/>
      <c r="CK948" s="59"/>
      <c r="CL948" s="59"/>
      <c r="CM948" s="59"/>
      <c r="CN948" s="59"/>
      <c r="CO948" s="59"/>
      <c r="CP948" s="59"/>
      <c r="CQ948" s="59"/>
      <c r="CR948" s="59"/>
      <c r="CS948" s="59"/>
      <c r="CT948" s="59"/>
      <c r="CU948" s="59"/>
      <c r="CV948" s="59"/>
      <c r="CW948" s="59"/>
      <c r="CX948" s="59"/>
      <c r="CY948" s="59"/>
      <c r="CZ948" s="59"/>
      <c r="DA948" s="59"/>
      <c r="DB948" s="59"/>
      <c r="DC948" s="59"/>
      <c r="DD948" s="59"/>
      <c r="DE948" s="59"/>
      <c r="DF948" s="59"/>
      <c r="DG948" s="59"/>
      <c r="DH948" s="59"/>
      <c r="DI948" s="59"/>
      <c r="DJ948" s="59"/>
      <c r="DK948" s="59"/>
      <c r="DL948" s="59"/>
      <c r="DM948" s="59"/>
      <c r="DN948" s="59"/>
      <c r="DO948" s="59"/>
      <c r="DP948" s="59"/>
      <c r="DQ948" s="59"/>
      <c r="DR948" s="59"/>
      <c r="DS948" s="59"/>
      <c r="DT948" s="59"/>
      <c r="DU948" s="59"/>
      <c r="DV948" s="59"/>
      <c r="DW948" s="59"/>
      <c r="DX948" s="59"/>
      <c r="DY948" s="59"/>
      <c r="DZ948" s="59"/>
      <c r="EA948" s="59"/>
      <c r="EB948" s="59"/>
      <c r="EC948" s="59"/>
      <c r="ED948" s="59"/>
      <c r="EE948" s="59"/>
      <c r="EF948" s="59"/>
      <c r="EG948" s="59"/>
      <c r="EH948" s="59"/>
      <c r="EI948" s="59"/>
      <c r="EJ948" s="59"/>
      <c r="EK948" s="59"/>
      <c r="EL948" s="59"/>
      <c r="EM948" s="59"/>
      <c r="EN948" s="59"/>
      <c r="EO948" s="59"/>
      <c r="EP948" s="59"/>
      <c r="EQ948" s="59"/>
      <c r="ER948" s="59"/>
      <c r="ES948" s="59"/>
      <c r="ET948" s="59"/>
      <c r="EU948" s="59"/>
      <c r="EV948" s="59"/>
      <c r="EW948" s="59"/>
      <c r="EX948" s="59"/>
      <c r="EY948" s="59"/>
      <c r="EZ948" s="59"/>
      <c r="FA948" s="59"/>
      <c r="FB948" s="59"/>
      <c r="FC948" s="59"/>
      <c r="FD948" s="59"/>
      <c r="FE948" s="59"/>
      <c r="FF948" s="59"/>
      <c r="FG948" s="59"/>
      <c r="FH948" s="59"/>
      <c r="FI948" s="59"/>
      <c r="FJ948" s="59"/>
      <c r="FK948" s="59"/>
      <c r="FL948" s="59"/>
      <c r="FM948" s="59"/>
      <c r="FN948" s="59"/>
      <c r="FO948" s="59"/>
      <c r="FP948" s="59"/>
      <c r="FQ948" s="59"/>
      <c r="FR948" s="59"/>
      <c r="FS948" s="59"/>
      <c r="FT948" s="59"/>
      <c r="FU948" s="59"/>
      <c r="FV948" s="59"/>
      <c r="FW948" s="59"/>
      <c r="FX948" s="59"/>
      <c r="FY948" s="59"/>
      <c r="FZ948" s="59"/>
      <c r="GA948" s="59"/>
      <c r="GB948" s="59"/>
      <c r="GC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  <c r="BV949" s="59"/>
      <c r="BW949" s="59"/>
      <c r="BX949" s="59"/>
      <c r="BY949" s="59"/>
      <c r="BZ949" s="59"/>
      <c r="CA949" s="59"/>
      <c r="CB949" s="59"/>
      <c r="CC949" s="59"/>
      <c r="CD949" s="59"/>
      <c r="CE949" s="59"/>
      <c r="CF949" s="59"/>
      <c r="CG949" s="59"/>
      <c r="CH949" s="59"/>
      <c r="CI949" s="59"/>
      <c r="CJ949" s="59"/>
      <c r="CK949" s="59"/>
      <c r="CL949" s="59"/>
      <c r="CM949" s="59"/>
      <c r="CN949" s="59"/>
      <c r="CO949" s="59"/>
      <c r="CP949" s="59"/>
      <c r="CQ949" s="59"/>
      <c r="CR949" s="59"/>
      <c r="CS949" s="59"/>
      <c r="CT949" s="59"/>
      <c r="CU949" s="59"/>
      <c r="CV949" s="59"/>
      <c r="CW949" s="59"/>
      <c r="CX949" s="59"/>
      <c r="CY949" s="59"/>
      <c r="CZ949" s="59"/>
      <c r="DA949" s="59"/>
      <c r="DB949" s="59"/>
      <c r="DC949" s="59"/>
      <c r="DD949" s="59"/>
      <c r="DE949" s="59"/>
      <c r="DF949" s="59"/>
      <c r="DG949" s="59"/>
      <c r="DH949" s="59"/>
      <c r="DI949" s="59"/>
      <c r="DJ949" s="59"/>
      <c r="DK949" s="59"/>
      <c r="DL949" s="59"/>
      <c r="DM949" s="59"/>
      <c r="DN949" s="59"/>
      <c r="DO949" s="59"/>
      <c r="DP949" s="59"/>
      <c r="DQ949" s="59"/>
      <c r="DR949" s="59"/>
      <c r="DS949" s="59"/>
      <c r="DT949" s="59"/>
      <c r="DU949" s="59"/>
      <c r="DV949" s="59"/>
      <c r="DW949" s="59"/>
      <c r="DX949" s="59"/>
      <c r="DY949" s="59"/>
      <c r="DZ949" s="59"/>
      <c r="EA949" s="59"/>
      <c r="EB949" s="59"/>
      <c r="EC949" s="59"/>
      <c r="ED949" s="59"/>
      <c r="EE949" s="59"/>
      <c r="EF949" s="59"/>
      <c r="EG949" s="59"/>
      <c r="EH949" s="59"/>
      <c r="EI949" s="59"/>
      <c r="EJ949" s="59"/>
      <c r="EK949" s="59"/>
      <c r="EL949" s="59"/>
      <c r="EM949" s="59"/>
      <c r="EN949" s="59"/>
      <c r="EO949" s="59"/>
      <c r="EP949" s="59"/>
      <c r="EQ949" s="59"/>
      <c r="ER949" s="59"/>
      <c r="ES949" s="59"/>
      <c r="ET949" s="59"/>
      <c r="EU949" s="59"/>
      <c r="EV949" s="59"/>
      <c r="EW949" s="59"/>
      <c r="EX949" s="59"/>
      <c r="EY949" s="59"/>
      <c r="EZ949" s="59"/>
      <c r="FA949" s="59"/>
      <c r="FB949" s="59"/>
      <c r="FC949" s="59"/>
      <c r="FD949" s="59"/>
      <c r="FE949" s="59"/>
      <c r="FF949" s="59"/>
      <c r="FG949" s="59"/>
      <c r="FH949" s="59"/>
      <c r="FI949" s="59"/>
      <c r="FJ949" s="59"/>
      <c r="FK949" s="59"/>
      <c r="FL949" s="59"/>
      <c r="FM949" s="59"/>
      <c r="FN949" s="59"/>
      <c r="FO949" s="59"/>
      <c r="FP949" s="59"/>
      <c r="FQ949" s="59"/>
      <c r="FR949" s="59"/>
      <c r="FS949" s="59"/>
      <c r="FT949" s="59"/>
      <c r="FU949" s="59"/>
      <c r="FV949" s="59"/>
      <c r="FW949" s="59"/>
      <c r="FX949" s="59"/>
      <c r="FY949" s="59"/>
      <c r="FZ949" s="59"/>
      <c r="GA949" s="59"/>
      <c r="GB949" s="59"/>
      <c r="GC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  <c r="BV950" s="59"/>
      <c r="BW950" s="59"/>
      <c r="BX950" s="59"/>
      <c r="BY950" s="59"/>
      <c r="BZ950" s="59"/>
      <c r="CA950" s="59"/>
      <c r="CB950" s="59"/>
      <c r="CC950" s="59"/>
      <c r="CD950" s="59"/>
      <c r="CE950" s="59"/>
      <c r="CF950" s="59"/>
      <c r="CG950" s="59"/>
      <c r="CH950" s="59"/>
      <c r="CI950" s="59"/>
      <c r="CJ950" s="59"/>
      <c r="CK950" s="59"/>
      <c r="CL950" s="59"/>
      <c r="CM950" s="59"/>
      <c r="CN950" s="59"/>
      <c r="CO950" s="59"/>
      <c r="CP950" s="59"/>
      <c r="CQ950" s="59"/>
      <c r="CR950" s="59"/>
      <c r="CS950" s="59"/>
      <c r="CT950" s="59"/>
      <c r="CU950" s="59"/>
      <c r="CV950" s="59"/>
      <c r="CW950" s="59"/>
      <c r="CX950" s="59"/>
      <c r="CY950" s="59"/>
      <c r="CZ950" s="59"/>
      <c r="DA950" s="59"/>
      <c r="DB950" s="59"/>
      <c r="DC950" s="59"/>
      <c r="DD950" s="59"/>
      <c r="DE950" s="59"/>
      <c r="DF950" s="59"/>
      <c r="DG950" s="59"/>
      <c r="DH950" s="59"/>
      <c r="DI950" s="59"/>
      <c r="DJ950" s="59"/>
      <c r="DK950" s="59"/>
      <c r="DL950" s="59"/>
      <c r="DM950" s="59"/>
      <c r="DN950" s="59"/>
      <c r="DO950" s="59"/>
      <c r="DP950" s="59"/>
      <c r="DQ950" s="59"/>
      <c r="DR950" s="59"/>
      <c r="DS950" s="59"/>
      <c r="DT950" s="59"/>
      <c r="DU950" s="59"/>
      <c r="DV950" s="59"/>
      <c r="DW950" s="59"/>
      <c r="DX950" s="59"/>
      <c r="DY950" s="59"/>
      <c r="DZ950" s="59"/>
      <c r="EA950" s="59"/>
      <c r="EB950" s="59"/>
      <c r="EC950" s="59"/>
      <c r="ED950" s="59"/>
      <c r="EE950" s="59"/>
      <c r="EF950" s="59"/>
      <c r="EG950" s="59"/>
      <c r="EH950" s="59"/>
      <c r="EI950" s="59"/>
      <c r="EJ950" s="59"/>
      <c r="EK950" s="59"/>
      <c r="EL950" s="59"/>
      <c r="EM950" s="59"/>
      <c r="EN950" s="59"/>
      <c r="EO950" s="59"/>
      <c r="EP950" s="59"/>
      <c r="EQ950" s="59"/>
      <c r="ER950" s="59"/>
      <c r="ES950" s="59"/>
      <c r="ET950" s="59"/>
      <c r="EU950" s="59"/>
      <c r="EV950" s="59"/>
      <c r="EW950" s="59"/>
      <c r="EX950" s="59"/>
      <c r="EY950" s="59"/>
      <c r="EZ950" s="59"/>
      <c r="FA950" s="59"/>
      <c r="FB950" s="59"/>
      <c r="FC950" s="59"/>
      <c r="FD950" s="59"/>
      <c r="FE950" s="59"/>
      <c r="FF950" s="59"/>
      <c r="FG950" s="59"/>
      <c r="FH950" s="59"/>
      <c r="FI950" s="59"/>
      <c r="FJ950" s="59"/>
      <c r="FK950" s="59"/>
      <c r="FL950" s="59"/>
      <c r="FM950" s="59"/>
      <c r="FN950" s="59"/>
      <c r="FO950" s="59"/>
      <c r="FP950" s="59"/>
      <c r="FQ950" s="59"/>
      <c r="FR950" s="59"/>
      <c r="FS950" s="59"/>
      <c r="FT950" s="59"/>
      <c r="FU950" s="59"/>
      <c r="FV950" s="59"/>
      <c r="FW950" s="59"/>
      <c r="FX950" s="59"/>
      <c r="FY950" s="59"/>
      <c r="FZ950" s="59"/>
      <c r="GA950" s="59"/>
      <c r="GB950" s="59"/>
      <c r="GC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  <c r="BV951" s="59"/>
      <c r="BW951" s="59"/>
      <c r="BX951" s="59"/>
      <c r="BY951" s="59"/>
      <c r="BZ951" s="59"/>
      <c r="CA951" s="59"/>
      <c r="CB951" s="59"/>
      <c r="CC951" s="59"/>
      <c r="CD951" s="59"/>
      <c r="CE951" s="59"/>
      <c r="CF951" s="59"/>
      <c r="CG951" s="59"/>
      <c r="CH951" s="59"/>
      <c r="CI951" s="59"/>
      <c r="CJ951" s="59"/>
      <c r="CK951" s="59"/>
      <c r="CL951" s="59"/>
      <c r="CM951" s="59"/>
      <c r="CN951" s="59"/>
      <c r="CO951" s="59"/>
      <c r="CP951" s="59"/>
      <c r="CQ951" s="59"/>
      <c r="CR951" s="59"/>
      <c r="CS951" s="59"/>
      <c r="CT951" s="59"/>
      <c r="CU951" s="59"/>
      <c r="CV951" s="59"/>
      <c r="CW951" s="59"/>
      <c r="CX951" s="59"/>
      <c r="CY951" s="59"/>
      <c r="CZ951" s="59"/>
      <c r="DA951" s="59"/>
      <c r="DB951" s="59"/>
      <c r="DC951" s="59"/>
      <c r="DD951" s="59"/>
      <c r="DE951" s="59"/>
      <c r="DF951" s="59"/>
      <c r="DG951" s="59"/>
      <c r="DH951" s="59"/>
      <c r="DI951" s="59"/>
      <c r="DJ951" s="59"/>
      <c r="DK951" s="59"/>
      <c r="DL951" s="59"/>
      <c r="DM951" s="59"/>
      <c r="DN951" s="59"/>
      <c r="DO951" s="59"/>
      <c r="DP951" s="59"/>
      <c r="DQ951" s="59"/>
      <c r="DR951" s="59"/>
      <c r="DS951" s="59"/>
      <c r="DT951" s="59"/>
      <c r="DU951" s="59"/>
      <c r="DV951" s="59"/>
      <c r="DW951" s="59"/>
      <c r="DX951" s="59"/>
      <c r="DY951" s="59"/>
      <c r="DZ951" s="59"/>
      <c r="EA951" s="59"/>
      <c r="EB951" s="59"/>
      <c r="EC951" s="59"/>
      <c r="ED951" s="59"/>
      <c r="EE951" s="59"/>
      <c r="EF951" s="59"/>
      <c r="EG951" s="59"/>
      <c r="EH951" s="59"/>
      <c r="EI951" s="59"/>
      <c r="EJ951" s="59"/>
      <c r="EK951" s="59"/>
      <c r="EL951" s="59"/>
      <c r="EM951" s="59"/>
      <c r="EN951" s="59"/>
      <c r="EO951" s="59"/>
      <c r="EP951" s="59"/>
      <c r="EQ951" s="59"/>
      <c r="ER951" s="59"/>
      <c r="ES951" s="59"/>
      <c r="ET951" s="59"/>
      <c r="EU951" s="59"/>
      <c r="EV951" s="59"/>
      <c r="EW951" s="59"/>
      <c r="EX951" s="59"/>
      <c r="EY951" s="59"/>
      <c r="EZ951" s="59"/>
      <c r="FA951" s="59"/>
      <c r="FB951" s="59"/>
      <c r="FC951" s="59"/>
      <c r="FD951" s="59"/>
      <c r="FE951" s="59"/>
      <c r="FF951" s="59"/>
      <c r="FG951" s="59"/>
      <c r="FH951" s="59"/>
      <c r="FI951" s="59"/>
      <c r="FJ951" s="59"/>
      <c r="FK951" s="59"/>
      <c r="FL951" s="59"/>
      <c r="FM951" s="59"/>
      <c r="FN951" s="59"/>
      <c r="FO951" s="59"/>
      <c r="FP951" s="59"/>
      <c r="FQ951" s="59"/>
      <c r="FR951" s="59"/>
      <c r="FS951" s="59"/>
      <c r="FT951" s="59"/>
      <c r="FU951" s="59"/>
      <c r="FV951" s="59"/>
      <c r="FW951" s="59"/>
      <c r="FX951" s="59"/>
      <c r="FY951" s="59"/>
      <c r="FZ951" s="59"/>
      <c r="GA951" s="59"/>
      <c r="GB951" s="59"/>
      <c r="GC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  <c r="BV952" s="59"/>
      <c r="BW952" s="59"/>
      <c r="BX952" s="59"/>
      <c r="BY952" s="59"/>
      <c r="BZ952" s="59"/>
      <c r="CA952" s="59"/>
      <c r="CB952" s="59"/>
      <c r="CC952" s="59"/>
      <c r="CD952" s="59"/>
      <c r="CE952" s="59"/>
      <c r="CF952" s="59"/>
      <c r="CG952" s="59"/>
      <c r="CH952" s="59"/>
      <c r="CI952" s="59"/>
      <c r="CJ952" s="59"/>
      <c r="CK952" s="59"/>
      <c r="CL952" s="59"/>
      <c r="CM952" s="59"/>
      <c r="CN952" s="59"/>
      <c r="CO952" s="59"/>
      <c r="CP952" s="59"/>
      <c r="CQ952" s="59"/>
      <c r="CR952" s="59"/>
      <c r="CS952" s="59"/>
      <c r="CT952" s="59"/>
      <c r="CU952" s="59"/>
      <c r="CV952" s="59"/>
      <c r="CW952" s="59"/>
      <c r="CX952" s="59"/>
      <c r="CY952" s="59"/>
      <c r="CZ952" s="59"/>
      <c r="DA952" s="59"/>
      <c r="DB952" s="59"/>
      <c r="DC952" s="59"/>
      <c r="DD952" s="59"/>
      <c r="DE952" s="59"/>
      <c r="DF952" s="59"/>
      <c r="DG952" s="59"/>
      <c r="DH952" s="59"/>
      <c r="DI952" s="59"/>
      <c r="DJ952" s="59"/>
      <c r="DK952" s="59"/>
      <c r="DL952" s="59"/>
      <c r="DM952" s="59"/>
      <c r="DN952" s="59"/>
      <c r="DO952" s="59"/>
      <c r="DP952" s="59"/>
      <c r="DQ952" s="59"/>
      <c r="DR952" s="59"/>
      <c r="DS952" s="59"/>
      <c r="DT952" s="59"/>
      <c r="DU952" s="59"/>
      <c r="DV952" s="59"/>
      <c r="DW952" s="59"/>
      <c r="DX952" s="59"/>
      <c r="DY952" s="59"/>
      <c r="DZ952" s="59"/>
      <c r="EA952" s="59"/>
      <c r="EB952" s="59"/>
      <c r="EC952" s="59"/>
      <c r="ED952" s="59"/>
      <c r="EE952" s="59"/>
      <c r="EF952" s="59"/>
      <c r="EG952" s="59"/>
      <c r="EH952" s="59"/>
      <c r="EI952" s="59"/>
      <c r="EJ952" s="59"/>
      <c r="EK952" s="59"/>
      <c r="EL952" s="59"/>
      <c r="EM952" s="59"/>
      <c r="EN952" s="59"/>
      <c r="EO952" s="59"/>
      <c r="EP952" s="59"/>
      <c r="EQ952" s="59"/>
      <c r="ER952" s="59"/>
      <c r="ES952" s="59"/>
      <c r="ET952" s="59"/>
      <c r="EU952" s="59"/>
      <c r="EV952" s="59"/>
      <c r="EW952" s="59"/>
      <c r="EX952" s="59"/>
      <c r="EY952" s="59"/>
      <c r="EZ952" s="59"/>
      <c r="FA952" s="59"/>
      <c r="FB952" s="59"/>
      <c r="FC952" s="59"/>
      <c r="FD952" s="59"/>
      <c r="FE952" s="59"/>
      <c r="FF952" s="59"/>
      <c r="FG952" s="59"/>
      <c r="FH952" s="59"/>
      <c r="FI952" s="59"/>
      <c r="FJ952" s="59"/>
      <c r="FK952" s="59"/>
      <c r="FL952" s="59"/>
      <c r="FM952" s="59"/>
      <c r="FN952" s="59"/>
      <c r="FO952" s="59"/>
      <c r="FP952" s="59"/>
      <c r="FQ952" s="59"/>
      <c r="FR952" s="59"/>
      <c r="FS952" s="59"/>
      <c r="FT952" s="59"/>
      <c r="FU952" s="59"/>
      <c r="FV952" s="59"/>
      <c r="FW952" s="59"/>
      <c r="FX952" s="59"/>
      <c r="FY952" s="59"/>
      <c r="FZ952" s="59"/>
      <c r="GA952" s="59"/>
      <c r="GB952" s="59"/>
      <c r="GC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  <c r="BV953" s="59"/>
      <c r="BW953" s="59"/>
      <c r="BX953" s="59"/>
      <c r="BY953" s="59"/>
      <c r="BZ953" s="59"/>
      <c r="CA953" s="59"/>
      <c r="CB953" s="59"/>
      <c r="CC953" s="59"/>
      <c r="CD953" s="59"/>
      <c r="CE953" s="59"/>
      <c r="CF953" s="59"/>
      <c r="CG953" s="59"/>
      <c r="CH953" s="59"/>
      <c r="CI953" s="59"/>
      <c r="CJ953" s="59"/>
      <c r="CK953" s="59"/>
      <c r="CL953" s="59"/>
      <c r="CM953" s="59"/>
      <c r="CN953" s="59"/>
      <c r="CO953" s="59"/>
      <c r="CP953" s="59"/>
      <c r="CQ953" s="59"/>
      <c r="CR953" s="59"/>
      <c r="CS953" s="59"/>
      <c r="CT953" s="59"/>
      <c r="CU953" s="59"/>
      <c r="CV953" s="59"/>
      <c r="CW953" s="59"/>
      <c r="CX953" s="59"/>
      <c r="CY953" s="59"/>
      <c r="CZ953" s="59"/>
      <c r="DA953" s="59"/>
      <c r="DB953" s="59"/>
      <c r="DC953" s="59"/>
      <c r="DD953" s="59"/>
      <c r="DE953" s="59"/>
      <c r="DF953" s="59"/>
      <c r="DG953" s="59"/>
      <c r="DH953" s="59"/>
      <c r="DI953" s="59"/>
      <c r="DJ953" s="59"/>
      <c r="DK953" s="59"/>
      <c r="DL953" s="59"/>
      <c r="DM953" s="59"/>
      <c r="DN953" s="59"/>
      <c r="DO953" s="59"/>
      <c r="DP953" s="59"/>
      <c r="DQ953" s="59"/>
      <c r="DR953" s="59"/>
      <c r="DS953" s="59"/>
      <c r="DT953" s="59"/>
      <c r="DU953" s="59"/>
      <c r="DV953" s="59"/>
      <c r="DW953" s="59"/>
      <c r="DX953" s="59"/>
      <c r="DY953" s="59"/>
      <c r="DZ953" s="59"/>
      <c r="EA953" s="59"/>
      <c r="EB953" s="59"/>
      <c r="EC953" s="59"/>
      <c r="ED953" s="59"/>
      <c r="EE953" s="59"/>
      <c r="EF953" s="59"/>
      <c r="EG953" s="59"/>
      <c r="EH953" s="59"/>
      <c r="EI953" s="59"/>
      <c r="EJ953" s="59"/>
      <c r="EK953" s="59"/>
      <c r="EL953" s="59"/>
      <c r="EM953" s="59"/>
      <c r="EN953" s="59"/>
      <c r="EO953" s="59"/>
      <c r="EP953" s="59"/>
      <c r="EQ953" s="59"/>
      <c r="ER953" s="59"/>
      <c r="ES953" s="59"/>
      <c r="ET953" s="59"/>
      <c r="EU953" s="59"/>
      <c r="EV953" s="59"/>
      <c r="EW953" s="59"/>
      <c r="EX953" s="59"/>
      <c r="EY953" s="59"/>
      <c r="EZ953" s="59"/>
      <c r="FA953" s="59"/>
      <c r="FB953" s="59"/>
      <c r="FC953" s="59"/>
      <c r="FD953" s="59"/>
      <c r="FE953" s="59"/>
      <c r="FF953" s="59"/>
      <c r="FG953" s="59"/>
      <c r="FH953" s="59"/>
      <c r="FI953" s="59"/>
      <c r="FJ953" s="59"/>
      <c r="FK953" s="59"/>
      <c r="FL953" s="59"/>
      <c r="FM953" s="59"/>
      <c r="FN953" s="59"/>
      <c r="FO953" s="59"/>
      <c r="FP953" s="59"/>
      <c r="FQ953" s="59"/>
      <c r="FR953" s="59"/>
      <c r="FS953" s="59"/>
      <c r="FT953" s="59"/>
      <c r="FU953" s="59"/>
      <c r="FV953" s="59"/>
      <c r="FW953" s="59"/>
      <c r="FX953" s="59"/>
      <c r="FY953" s="59"/>
      <c r="FZ953" s="59"/>
      <c r="GA953" s="59"/>
      <c r="GB953" s="59"/>
      <c r="GC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  <c r="BV954" s="59"/>
      <c r="BW954" s="59"/>
      <c r="BX954" s="59"/>
      <c r="BY954" s="59"/>
      <c r="BZ954" s="59"/>
      <c r="CA954" s="59"/>
      <c r="CB954" s="59"/>
      <c r="CC954" s="59"/>
      <c r="CD954" s="59"/>
      <c r="CE954" s="59"/>
      <c r="CF954" s="59"/>
      <c r="CG954" s="59"/>
      <c r="CH954" s="59"/>
      <c r="CI954" s="59"/>
      <c r="CJ954" s="59"/>
      <c r="CK954" s="59"/>
      <c r="CL954" s="59"/>
      <c r="CM954" s="59"/>
      <c r="CN954" s="59"/>
      <c r="CO954" s="59"/>
      <c r="CP954" s="59"/>
      <c r="CQ954" s="59"/>
      <c r="CR954" s="59"/>
      <c r="CS954" s="59"/>
      <c r="CT954" s="59"/>
      <c r="CU954" s="59"/>
      <c r="CV954" s="59"/>
      <c r="CW954" s="59"/>
      <c r="CX954" s="59"/>
      <c r="CY954" s="59"/>
      <c r="CZ954" s="59"/>
      <c r="DA954" s="59"/>
      <c r="DB954" s="59"/>
      <c r="DC954" s="59"/>
      <c r="DD954" s="59"/>
      <c r="DE954" s="59"/>
      <c r="DF954" s="59"/>
      <c r="DG954" s="59"/>
      <c r="DH954" s="59"/>
      <c r="DI954" s="59"/>
      <c r="DJ954" s="59"/>
      <c r="DK954" s="59"/>
      <c r="DL954" s="59"/>
      <c r="DM954" s="59"/>
      <c r="DN954" s="59"/>
      <c r="DO954" s="59"/>
      <c r="DP954" s="59"/>
      <c r="DQ954" s="59"/>
      <c r="DR954" s="59"/>
      <c r="DS954" s="59"/>
      <c r="DT954" s="59"/>
      <c r="DU954" s="59"/>
      <c r="DV954" s="59"/>
      <c r="DW954" s="59"/>
      <c r="DX954" s="59"/>
      <c r="DY954" s="59"/>
      <c r="DZ954" s="59"/>
      <c r="EA954" s="59"/>
      <c r="EB954" s="59"/>
      <c r="EC954" s="59"/>
      <c r="ED954" s="59"/>
      <c r="EE954" s="59"/>
      <c r="EF954" s="59"/>
      <c r="EG954" s="59"/>
      <c r="EH954" s="59"/>
      <c r="EI954" s="59"/>
      <c r="EJ954" s="59"/>
      <c r="EK954" s="59"/>
      <c r="EL954" s="59"/>
      <c r="EM954" s="59"/>
      <c r="EN954" s="59"/>
      <c r="EO954" s="59"/>
      <c r="EP954" s="59"/>
      <c r="EQ954" s="59"/>
      <c r="ER954" s="59"/>
      <c r="ES954" s="59"/>
      <c r="ET954" s="59"/>
      <c r="EU954" s="59"/>
      <c r="EV954" s="59"/>
      <c r="EW954" s="59"/>
      <c r="EX954" s="59"/>
      <c r="EY954" s="59"/>
      <c r="EZ954" s="59"/>
      <c r="FA954" s="59"/>
      <c r="FB954" s="59"/>
      <c r="FC954" s="59"/>
      <c r="FD954" s="59"/>
      <c r="FE954" s="59"/>
      <c r="FF954" s="59"/>
      <c r="FG954" s="59"/>
      <c r="FH954" s="59"/>
      <c r="FI954" s="59"/>
      <c r="FJ954" s="59"/>
      <c r="FK954" s="59"/>
      <c r="FL954" s="59"/>
      <c r="FM954" s="59"/>
      <c r="FN954" s="59"/>
      <c r="FO954" s="59"/>
      <c r="FP954" s="59"/>
      <c r="FQ954" s="59"/>
      <c r="FR954" s="59"/>
      <c r="FS954" s="59"/>
      <c r="FT954" s="59"/>
      <c r="FU954" s="59"/>
      <c r="FV954" s="59"/>
      <c r="FW954" s="59"/>
      <c r="FX954" s="59"/>
      <c r="FY954" s="59"/>
      <c r="FZ954" s="59"/>
      <c r="GA954" s="59"/>
      <c r="GB954" s="59"/>
      <c r="GC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  <c r="BV955" s="59"/>
      <c r="BW955" s="59"/>
      <c r="BX955" s="59"/>
      <c r="BY955" s="59"/>
      <c r="BZ955" s="59"/>
      <c r="CA955" s="59"/>
      <c r="CB955" s="59"/>
      <c r="CC955" s="59"/>
      <c r="CD955" s="59"/>
      <c r="CE955" s="59"/>
      <c r="CF955" s="59"/>
      <c r="CG955" s="59"/>
      <c r="CH955" s="59"/>
      <c r="CI955" s="59"/>
      <c r="CJ955" s="59"/>
      <c r="CK955" s="59"/>
      <c r="CL955" s="59"/>
      <c r="CM955" s="59"/>
      <c r="CN955" s="59"/>
      <c r="CO955" s="59"/>
      <c r="CP955" s="59"/>
      <c r="CQ955" s="59"/>
      <c r="CR955" s="59"/>
      <c r="CS955" s="59"/>
      <c r="CT955" s="59"/>
      <c r="CU955" s="59"/>
      <c r="CV955" s="59"/>
      <c r="CW955" s="59"/>
      <c r="CX955" s="59"/>
      <c r="CY955" s="59"/>
      <c r="CZ955" s="59"/>
      <c r="DA955" s="59"/>
      <c r="DB955" s="59"/>
      <c r="DC955" s="59"/>
      <c r="DD955" s="59"/>
      <c r="DE955" s="59"/>
      <c r="DF955" s="59"/>
      <c r="DG955" s="59"/>
      <c r="DH955" s="59"/>
      <c r="DI955" s="59"/>
      <c r="DJ955" s="59"/>
      <c r="DK955" s="59"/>
      <c r="DL955" s="59"/>
      <c r="DM955" s="59"/>
      <c r="DN955" s="59"/>
      <c r="DO955" s="59"/>
      <c r="DP955" s="59"/>
      <c r="DQ955" s="59"/>
      <c r="DR955" s="59"/>
      <c r="DS955" s="59"/>
      <c r="DT955" s="59"/>
      <c r="DU955" s="59"/>
      <c r="DV955" s="59"/>
      <c r="DW955" s="59"/>
      <c r="DX955" s="59"/>
      <c r="DY955" s="59"/>
      <c r="DZ955" s="59"/>
      <c r="EA955" s="59"/>
      <c r="EB955" s="59"/>
      <c r="EC955" s="59"/>
      <c r="ED955" s="59"/>
      <c r="EE955" s="59"/>
      <c r="EF955" s="59"/>
      <c r="EG955" s="59"/>
      <c r="EH955" s="59"/>
      <c r="EI955" s="59"/>
      <c r="EJ955" s="59"/>
      <c r="EK955" s="59"/>
      <c r="EL955" s="59"/>
      <c r="EM955" s="59"/>
      <c r="EN955" s="59"/>
      <c r="EO955" s="59"/>
      <c r="EP955" s="59"/>
      <c r="EQ955" s="59"/>
      <c r="ER955" s="59"/>
      <c r="ES955" s="59"/>
      <c r="ET955" s="59"/>
      <c r="EU955" s="59"/>
      <c r="EV955" s="59"/>
      <c r="EW955" s="59"/>
      <c r="EX955" s="59"/>
      <c r="EY955" s="59"/>
      <c r="EZ955" s="59"/>
      <c r="FA955" s="59"/>
      <c r="FB955" s="59"/>
      <c r="FC955" s="59"/>
      <c r="FD955" s="59"/>
      <c r="FE955" s="59"/>
      <c r="FF955" s="59"/>
      <c r="FG955" s="59"/>
      <c r="FH955" s="59"/>
      <c r="FI955" s="59"/>
      <c r="FJ955" s="59"/>
      <c r="FK955" s="59"/>
      <c r="FL955" s="59"/>
      <c r="FM955" s="59"/>
      <c r="FN955" s="59"/>
      <c r="FO955" s="59"/>
      <c r="FP955" s="59"/>
      <c r="FQ955" s="59"/>
      <c r="FR955" s="59"/>
      <c r="FS955" s="59"/>
      <c r="FT955" s="59"/>
      <c r="FU955" s="59"/>
      <c r="FV955" s="59"/>
      <c r="FW955" s="59"/>
      <c r="FX955" s="59"/>
      <c r="FY955" s="59"/>
      <c r="FZ955" s="59"/>
      <c r="GA955" s="59"/>
      <c r="GB955" s="59"/>
      <c r="GC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  <c r="BV956" s="59"/>
      <c r="BW956" s="59"/>
      <c r="BX956" s="59"/>
      <c r="BY956" s="59"/>
      <c r="BZ956" s="59"/>
      <c r="CA956" s="59"/>
      <c r="CB956" s="59"/>
      <c r="CC956" s="59"/>
      <c r="CD956" s="59"/>
      <c r="CE956" s="59"/>
      <c r="CF956" s="59"/>
      <c r="CG956" s="59"/>
      <c r="CH956" s="59"/>
      <c r="CI956" s="59"/>
      <c r="CJ956" s="59"/>
      <c r="CK956" s="59"/>
      <c r="CL956" s="59"/>
      <c r="CM956" s="59"/>
      <c r="CN956" s="59"/>
      <c r="CO956" s="59"/>
      <c r="CP956" s="59"/>
      <c r="CQ956" s="59"/>
      <c r="CR956" s="59"/>
      <c r="CS956" s="59"/>
      <c r="CT956" s="59"/>
      <c r="CU956" s="59"/>
      <c r="CV956" s="59"/>
      <c r="CW956" s="59"/>
      <c r="CX956" s="59"/>
      <c r="CY956" s="59"/>
      <c r="CZ956" s="59"/>
      <c r="DA956" s="59"/>
      <c r="DB956" s="59"/>
      <c r="DC956" s="59"/>
      <c r="DD956" s="59"/>
      <c r="DE956" s="59"/>
      <c r="DF956" s="59"/>
      <c r="DG956" s="59"/>
      <c r="DH956" s="59"/>
      <c r="DI956" s="59"/>
      <c r="DJ956" s="59"/>
      <c r="DK956" s="59"/>
      <c r="DL956" s="59"/>
      <c r="DM956" s="59"/>
      <c r="DN956" s="59"/>
      <c r="DO956" s="59"/>
      <c r="DP956" s="59"/>
      <c r="DQ956" s="59"/>
      <c r="DR956" s="59"/>
      <c r="DS956" s="59"/>
      <c r="DT956" s="59"/>
      <c r="DU956" s="59"/>
      <c r="DV956" s="59"/>
      <c r="DW956" s="59"/>
      <c r="DX956" s="59"/>
      <c r="DY956" s="59"/>
      <c r="DZ956" s="59"/>
      <c r="EA956" s="59"/>
      <c r="EB956" s="59"/>
      <c r="EC956" s="59"/>
      <c r="ED956" s="59"/>
      <c r="EE956" s="59"/>
      <c r="EF956" s="59"/>
      <c r="EG956" s="59"/>
      <c r="EH956" s="59"/>
      <c r="EI956" s="59"/>
      <c r="EJ956" s="59"/>
      <c r="EK956" s="59"/>
      <c r="EL956" s="59"/>
      <c r="EM956" s="59"/>
      <c r="EN956" s="59"/>
      <c r="EO956" s="59"/>
      <c r="EP956" s="59"/>
      <c r="EQ956" s="59"/>
      <c r="ER956" s="59"/>
      <c r="ES956" s="59"/>
      <c r="ET956" s="59"/>
      <c r="EU956" s="59"/>
      <c r="EV956" s="59"/>
      <c r="EW956" s="59"/>
      <c r="EX956" s="59"/>
      <c r="EY956" s="59"/>
      <c r="EZ956" s="59"/>
      <c r="FA956" s="59"/>
      <c r="FB956" s="59"/>
      <c r="FC956" s="59"/>
      <c r="FD956" s="59"/>
      <c r="FE956" s="59"/>
      <c r="FF956" s="59"/>
      <c r="FG956" s="59"/>
      <c r="FH956" s="59"/>
      <c r="FI956" s="59"/>
      <c r="FJ956" s="59"/>
      <c r="FK956" s="59"/>
      <c r="FL956" s="59"/>
      <c r="FM956" s="59"/>
      <c r="FN956" s="59"/>
      <c r="FO956" s="59"/>
      <c r="FP956" s="59"/>
      <c r="FQ956" s="59"/>
      <c r="FR956" s="59"/>
      <c r="FS956" s="59"/>
      <c r="FT956" s="59"/>
      <c r="FU956" s="59"/>
      <c r="FV956" s="59"/>
      <c r="FW956" s="59"/>
      <c r="FX956" s="59"/>
      <c r="FY956" s="59"/>
      <c r="FZ956" s="59"/>
      <c r="GA956" s="59"/>
      <c r="GB956" s="59"/>
      <c r="GC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  <c r="BV957" s="59"/>
      <c r="BW957" s="59"/>
      <c r="BX957" s="59"/>
      <c r="BY957" s="59"/>
      <c r="BZ957" s="59"/>
      <c r="CA957" s="59"/>
      <c r="CB957" s="59"/>
      <c r="CC957" s="59"/>
      <c r="CD957" s="59"/>
      <c r="CE957" s="59"/>
      <c r="CF957" s="59"/>
      <c r="CG957" s="59"/>
      <c r="CH957" s="59"/>
      <c r="CI957" s="59"/>
      <c r="CJ957" s="59"/>
      <c r="CK957" s="59"/>
      <c r="CL957" s="59"/>
      <c r="CM957" s="59"/>
      <c r="CN957" s="59"/>
      <c r="CO957" s="59"/>
      <c r="CP957" s="59"/>
      <c r="CQ957" s="59"/>
      <c r="CR957" s="59"/>
      <c r="CS957" s="59"/>
      <c r="CT957" s="59"/>
      <c r="CU957" s="59"/>
      <c r="CV957" s="59"/>
      <c r="CW957" s="59"/>
      <c r="CX957" s="59"/>
      <c r="CY957" s="59"/>
      <c r="CZ957" s="59"/>
      <c r="DA957" s="59"/>
      <c r="DB957" s="59"/>
      <c r="DC957" s="59"/>
      <c r="DD957" s="59"/>
      <c r="DE957" s="59"/>
      <c r="DF957" s="59"/>
      <c r="DG957" s="59"/>
      <c r="DH957" s="59"/>
      <c r="DI957" s="59"/>
      <c r="DJ957" s="59"/>
      <c r="DK957" s="59"/>
      <c r="DL957" s="59"/>
      <c r="DM957" s="59"/>
      <c r="DN957" s="59"/>
      <c r="DO957" s="59"/>
      <c r="DP957" s="59"/>
      <c r="DQ957" s="59"/>
      <c r="DR957" s="59"/>
      <c r="DS957" s="59"/>
      <c r="DT957" s="59"/>
      <c r="DU957" s="59"/>
      <c r="DV957" s="59"/>
      <c r="DW957" s="59"/>
      <c r="DX957" s="59"/>
      <c r="DY957" s="59"/>
      <c r="DZ957" s="59"/>
      <c r="EA957" s="59"/>
      <c r="EB957" s="59"/>
      <c r="EC957" s="59"/>
      <c r="ED957" s="59"/>
      <c r="EE957" s="59"/>
      <c r="EF957" s="59"/>
      <c r="EG957" s="59"/>
      <c r="EH957" s="59"/>
      <c r="EI957" s="59"/>
      <c r="EJ957" s="59"/>
      <c r="EK957" s="59"/>
      <c r="EL957" s="59"/>
      <c r="EM957" s="59"/>
      <c r="EN957" s="59"/>
      <c r="EO957" s="59"/>
      <c r="EP957" s="59"/>
      <c r="EQ957" s="59"/>
      <c r="ER957" s="59"/>
      <c r="ES957" s="59"/>
      <c r="ET957" s="59"/>
      <c r="EU957" s="59"/>
      <c r="EV957" s="59"/>
      <c r="EW957" s="59"/>
      <c r="EX957" s="59"/>
      <c r="EY957" s="59"/>
      <c r="EZ957" s="59"/>
      <c r="FA957" s="59"/>
      <c r="FB957" s="59"/>
      <c r="FC957" s="59"/>
      <c r="FD957" s="59"/>
      <c r="FE957" s="59"/>
      <c r="FF957" s="59"/>
      <c r="FG957" s="59"/>
      <c r="FH957" s="59"/>
      <c r="FI957" s="59"/>
      <c r="FJ957" s="59"/>
      <c r="FK957" s="59"/>
      <c r="FL957" s="59"/>
      <c r="FM957" s="59"/>
      <c r="FN957" s="59"/>
      <c r="FO957" s="59"/>
      <c r="FP957" s="59"/>
      <c r="FQ957" s="59"/>
      <c r="FR957" s="59"/>
      <c r="FS957" s="59"/>
      <c r="FT957" s="59"/>
      <c r="FU957" s="59"/>
      <c r="FV957" s="59"/>
      <c r="FW957" s="59"/>
      <c r="FX957" s="59"/>
      <c r="FY957" s="59"/>
      <c r="FZ957" s="59"/>
      <c r="GA957" s="59"/>
      <c r="GB957" s="59"/>
      <c r="GC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  <c r="BV958" s="59"/>
      <c r="BW958" s="59"/>
      <c r="BX958" s="59"/>
      <c r="BY958" s="59"/>
      <c r="BZ958" s="59"/>
      <c r="CA958" s="59"/>
      <c r="CB958" s="59"/>
      <c r="CC958" s="59"/>
      <c r="CD958" s="59"/>
      <c r="CE958" s="59"/>
      <c r="CF958" s="59"/>
      <c r="CG958" s="59"/>
      <c r="CH958" s="59"/>
      <c r="CI958" s="59"/>
      <c r="CJ958" s="59"/>
      <c r="CK958" s="59"/>
      <c r="CL958" s="59"/>
      <c r="CM958" s="59"/>
      <c r="CN958" s="59"/>
      <c r="CO958" s="59"/>
      <c r="CP958" s="59"/>
      <c r="CQ958" s="59"/>
      <c r="CR958" s="59"/>
      <c r="CS958" s="59"/>
      <c r="CT958" s="59"/>
      <c r="CU958" s="59"/>
      <c r="CV958" s="59"/>
      <c r="CW958" s="59"/>
      <c r="CX958" s="59"/>
      <c r="CY958" s="59"/>
      <c r="CZ958" s="59"/>
      <c r="DA958" s="59"/>
      <c r="DB958" s="59"/>
      <c r="DC958" s="59"/>
      <c r="DD958" s="59"/>
      <c r="DE958" s="59"/>
      <c r="DF958" s="59"/>
      <c r="DG958" s="59"/>
      <c r="DH958" s="59"/>
      <c r="DI958" s="59"/>
      <c r="DJ958" s="59"/>
      <c r="DK958" s="59"/>
      <c r="DL958" s="59"/>
      <c r="DM958" s="59"/>
      <c r="DN958" s="59"/>
      <c r="DO958" s="59"/>
      <c r="DP958" s="59"/>
      <c r="DQ958" s="59"/>
      <c r="DR958" s="59"/>
      <c r="DS958" s="59"/>
      <c r="DT958" s="59"/>
      <c r="DU958" s="59"/>
      <c r="DV958" s="59"/>
      <c r="DW958" s="59"/>
      <c r="DX958" s="59"/>
      <c r="DY958" s="59"/>
      <c r="DZ958" s="59"/>
      <c r="EA958" s="59"/>
      <c r="EB958" s="59"/>
      <c r="EC958" s="59"/>
      <c r="ED958" s="59"/>
      <c r="EE958" s="59"/>
      <c r="EF958" s="59"/>
      <c r="EG958" s="59"/>
      <c r="EH958" s="59"/>
      <c r="EI958" s="59"/>
      <c r="EJ958" s="59"/>
      <c r="EK958" s="59"/>
      <c r="EL958" s="59"/>
      <c r="EM958" s="59"/>
      <c r="EN958" s="59"/>
      <c r="EO958" s="59"/>
      <c r="EP958" s="59"/>
      <c r="EQ958" s="59"/>
      <c r="ER958" s="59"/>
      <c r="ES958" s="59"/>
      <c r="ET958" s="59"/>
      <c r="EU958" s="59"/>
      <c r="EV958" s="59"/>
      <c r="EW958" s="59"/>
      <c r="EX958" s="59"/>
      <c r="EY958" s="59"/>
      <c r="EZ958" s="59"/>
      <c r="FA958" s="59"/>
      <c r="FB958" s="59"/>
      <c r="FC958" s="59"/>
      <c r="FD958" s="59"/>
      <c r="FE958" s="59"/>
      <c r="FF958" s="59"/>
      <c r="FG958" s="59"/>
      <c r="FH958" s="59"/>
      <c r="FI958" s="59"/>
      <c r="FJ958" s="59"/>
      <c r="FK958" s="59"/>
      <c r="FL958" s="59"/>
      <c r="FM958" s="59"/>
      <c r="FN958" s="59"/>
      <c r="FO958" s="59"/>
      <c r="FP958" s="59"/>
      <c r="FQ958" s="59"/>
      <c r="FR958" s="59"/>
      <c r="FS958" s="59"/>
      <c r="FT958" s="59"/>
      <c r="FU958" s="59"/>
      <c r="FV958" s="59"/>
      <c r="FW958" s="59"/>
      <c r="FX958" s="59"/>
      <c r="FY958" s="59"/>
      <c r="FZ958" s="59"/>
      <c r="GA958" s="59"/>
      <c r="GB958" s="59"/>
      <c r="GC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  <c r="BV959" s="59"/>
      <c r="BW959" s="59"/>
      <c r="BX959" s="59"/>
      <c r="BY959" s="59"/>
      <c r="BZ959" s="59"/>
      <c r="CA959" s="59"/>
      <c r="CB959" s="59"/>
      <c r="CC959" s="59"/>
      <c r="CD959" s="59"/>
      <c r="CE959" s="59"/>
      <c r="CF959" s="59"/>
      <c r="CG959" s="59"/>
      <c r="CH959" s="59"/>
      <c r="CI959" s="59"/>
      <c r="CJ959" s="59"/>
      <c r="CK959" s="59"/>
      <c r="CL959" s="59"/>
      <c r="CM959" s="59"/>
      <c r="CN959" s="59"/>
      <c r="CO959" s="59"/>
      <c r="CP959" s="59"/>
      <c r="CQ959" s="59"/>
      <c r="CR959" s="59"/>
      <c r="CS959" s="59"/>
      <c r="CT959" s="59"/>
      <c r="CU959" s="59"/>
      <c r="CV959" s="59"/>
      <c r="CW959" s="59"/>
      <c r="CX959" s="59"/>
      <c r="CY959" s="59"/>
      <c r="CZ959" s="59"/>
      <c r="DA959" s="59"/>
      <c r="DB959" s="59"/>
      <c r="DC959" s="59"/>
      <c r="DD959" s="59"/>
      <c r="DE959" s="59"/>
      <c r="DF959" s="59"/>
      <c r="DG959" s="59"/>
      <c r="DH959" s="59"/>
      <c r="DI959" s="59"/>
      <c r="DJ959" s="59"/>
      <c r="DK959" s="59"/>
      <c r="DL959" s="59"/>
      <c r="DM959" s="59"/>
      <c r="DN959" s="59"/>
      <c r="DO959" s="59"/>
      <c r="DP959" s="59"/>
      <c r="DQ959" s="59"/>
      <c r="DR959" s="59"/>
      <c r="DS959" s="59"/>
      <c r="DT959" s="59"/>
      <c r="DU959" s="59"/>
      <c r="DV959" s="59"/>
      <c r="DW959" s="59"/>
      <c r="DX959" s="59"/>
      <c r="DY959" s="59"/>
      <c r="DZ959" s="59"/>
      <c r="EA959" s="59"/>
      <c r="EB959" s="59"/>
      <c r="EC959" s="59"/>
      <c r="ED959" s="59"/>
      <c r="EE959" s="59"/>
      <c r="EF959" s="59"/>
      <c r="EG959" s="59"/>
      <c r="EH959" s="59"/>
      <c r="EI959" s="59"/>
      <c r="EJ959" s="59"/>
      <c r="EK959" s="59"/>
      <c r="EL959" s="59"/>
      <c r="EM959" s="59"/>
      <c r="EN959" s="59"/>
      <c r="EO959" s="59"/>
      <c r="EP959" s="59"/>
      <c r="EQ959" s="59"/>
      <c r="ER959" s="59"/>
      <c r="ES959" s="59"/>
      <c r="ET959" s="59"/>
      <c r="EU959" s="59"/>
      <c r="EV959" s="59"/>
      <c r="EW959" s="59"/>
      <c r="EX959" s="59"/>
      <c r="EY959" s="59"/>
      <c r="EZ959" s="59"/>
      <c r="FA959" s="59"/>
      <c r="FB959" s="59"/>
      <c r="FC959" s="59"/>
      <c r="FD959" s="59"/>
      <c r="FE959" s="59"/>
      <c r="FF959" s="59"/>
      <c r="FG959" s="59"/>
      <c r="FH959" s="59"/>
      <c r="FI959" s="59"/>
      <c r="FJ959" s="59"/>
      <c r="FK959" s="59"/>
      <c r="FL959" s="59"/>
      <c r="FM959" s="59"/>
      <c r="FN959" s="59"/>
      <c r="FO959" s="59"/>
      <c r="FP959" s="59"/>
      <c r="FQ959" s="59"/>
      <c r="FR959" s="59"/>
      <c r="FS959" s="59"/>
      <c r="FT959" s="59"/>
      <c r="FU959" s="59"/>
      <c r="FV959" s="59"/>
      <c r="FW959" s="59"/>
      <c r="FX959" s="59"/>
      <c r="FY959" s="59"/>
      <c r="FZ959" s="59"/>
      <c r="GA959" s="59"/>
      <c r="GB959" s="59"/>
      <c r="GC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  <c r="BV960" s="59"/>
      <c r="BW960" s="59"/>
      <c r="BX960" s="59"/>
      <c r="BY960" s="59"/>
      <c r="BZ960" s="59"/>
      <c r="CA960" s="59"/>
      <c r="CB960" s="59"/>
      <c r="CC960" s="59"/>
      <c r="CD960" s="59"/>
      <c r="CE960" s="59"/>
      <c r="CF960" s="59"/>
      <c r="CG960" s="59"/>
      <c r="CH960" s="59"/>
      <c r="CI960" s="59"/>
      <c r="CJ960" s="59"/>
      <c r="CK960" s="59"/>
      <c r="CL960" s="59"/>
      <c r="CM960" s="59"/>
      <c r="CN960" s="59"/>
      <c r="CO960" s="59"/>
      <c r="CP960" s="59"/>
      <c r="CQ960" s="59"/>
      <c r="CR960" s="59"/>
      <c r="CS960" s="59"/>
      <c r="CT960" s="59"/>
      <c r="CU960" s="59"/>
      <c r="CV960" s="59"/>
      <c r="CW960" s="59"/>
      <c r="CX960" s="59"/>
      <c r="CY960" s="59"/>
      <c r="CZ960" s="59"/>
      <c r="DA960" s="59"/>
      <c r="DB960" s="59"/>
      <c r="DC960" s="59"/>
      <c r="DD960" s="59"/>
      <c r="DE960" s="59"/>
      <c r="DF960" s="59"/>
      <c r="DG960" s="59"/>
      <c r="DH960" s="59"/>
      <c r="DI960" s="59"/>
      <c r="DJ960" s="59"/>
      <c r="DK960" s="59"/>
      <c r="DL960" s="59"/>
      <c r="DM960" s="59"/>
      <c r="DN960" s="59"/>
      <c r="DO960" s="59"/>
      <c r="DP960" s="59"/>
      <c r="DQ960" s="59"/>
      <c r="DR960" s="59"/>
      <c r="DS960" s="59"/>
      <c r="DT960" s="59"/>
      <c r="DU960" s="59"/>
      <c r="DV960" s="59"/>
      <c r="DW960" s="59"/>
      <c r="DX960" s="59"/>
      <c r="DY960" s="59"/>
      <c r="DZ960" s="59"/>
      <c r="EA960" s="59"/>
      <c r="EB960" s="59"/>
      <c r="EC960" s="59"/>
      <c r="ED960" s="59"/>
      <c r="EE960" s="59"/>
      <c r="EF960" s="59"/>
      <c r="EG960" s="59"/>
      <c r="EH960" s="59"/>
      <c r="EI960" s="59"/>
      <c r="EJ960" s="59"/>
      <c r="EK960" s="59"/>
      <c r="EL960" s="59"/>
      <c r="EM960" s="59"/>
      <c r="EN960" s="59"/>
      <c r="EO960" s="59"/>
      <c r="EP960" s="59"/>
      <c r="EQ960" s="59"/>
      <c r="ER960" s="59"/>
      <c r="ES960" s="59"/>
      <c r="ET960" s="59"/>
      <c r="EU960" s="59"/>
      <c r="EV960" s="59"/>
      <c r="EW960" s="59"/>
      <c r="EX960" s="59"/>
      <c r="EY960" s="59"/>
      <c r="EZ960" s="59"/>
      <c r="FA960" s="59"/>
      <c r="FB960" s="59"/>
      <c r="FC960" s="59"/>
      <c r="FD960" s="59"/>
      <c r="FE960" s="59"/>
      <c r="FF960" s="59"/>
      <c r="FG960" s="59"/>
      <c r="FH960" s="59"/>
      <c r="FI960" s="59"/>
      <c r="FJ960" s="59"/>
      <c r="FK960" s="59"/>
      <c r="FL960" s="59"/>
      <c r="FM960" s="59"/>
      <c r="FN960" s="59"/>
      <c r="FO960" s="59"/>
      <c r="FP960" s="59"/>
      <c r="FQ960" s="59"/>
      <c r="FR960" s="59"/>
      <c r="FS960" s="59"/>
      <c r="FT960" s="59"/>
      <c r="FU960" s="59"/>
      <c r="FV960" s="59"/>
      <c r="FW960" s="59"/>
      <c r="FX960" s="59"/>
      <c r="FY960" s="59"/>
      <c r="FZ960" s="59"/>
      <c r="GA960" s="59"/>
      <c r="GB960" s="59"/>
      <c r="GC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  <c r="BV961" s="59"/>
      <c r="BW961" s="59"/>
      <c r="BX961" s="59"/>
      <c r="BY961" s="59"/>
      <c r="BZ961" s="59"/>
      <c r="CA961" s="59"/>
      <c r="CB961" s="59"/>
      <c r="CC961" s="59"/>
      <c r="CD961" s="59"/>
      <c r="CE961" s="59"/>
      <c r="CF961" s="59"/>
      <c r="CG961" s="59"/>
      <c r="CH961" s="59"/>
      <c r="CI961" s="59"/>
      <c r="CJ961" s="59"/>
      <c r="CK961" s="59"/>
      <c r="CL961" s="59"/>
      <c r="CM961" s="59"/>
      <c r="CN961" s="59"/>
      <c r="CO961" s="59"/>
      <c r="CP961" s="59"/>
      <c r="CQ961" s="59"/>
      <c r="CR961" s="59"/>
      <c r="CS961" s="59"/>
      <c r="CT961" s="59"/>
      <c r="CU961" s="59"/>
      <c r="CV961" s="59"/>
      <c r="CW961" s="59"/>
      <c r="CX961" s="59"/>
      <c r="CY961" s="59"/>
      <c r="CZ961" s="59"/>
      <c r="DA961" s="59"/>
      <c r="DB961" s="59"/>
      <c r="DC961" s="59"/>
      <c r="DD961" s="59"/>
      <c r="DE961" s="59"/>
      <c r="DF961" s="59"/>
      <c r="DG961" s="59"/>
      <c r="DH961" s="59"/>
      <c r="DI961" s="59"/>
      <c r="DJ961" s="59"/>
      <c r="DK961" s="59"/>
      <c r="DL961" s="59"/>
      <c r="DM961" s="59"/>
      <c r="DN961" s="59"/>
      <c r="DO961" s="59"/>
      <c r="DP961" s="59"/>
      <c r="DQ961" s="59"/>
      <c r="DR961" s="59"/>
      <c r="DS961" s="59"/>
      <c r="DT961" s="59"/>
      <c r="DU961" s="59"/>
      <c r="DV961" s="59"/>
      <c r="DW961" s="59"/>
      <c r="DX961" s="59"/>
      <c r="DY961" s="59"/>
      <c r="DZ961" s="59"/>
      <c r="EA961" s="59"/>
      <c r="EB961" s="59"/>
      <c r="EC961" s="59"/>
      <c r="ED961" s="59"/>
      <c r="EE961" s="59"/>
      <c r="EF961" s="59"/>
      <c r="EG961" s="59"/>
      <c r="EH961" s="59"/>
      <c r="EI961" s="59"/>
      <c r="EJ961" s="59"/>
      <c r="EK961" s="59"/>
      <c r="EL961" s="59"/>
      <c r="EM961" s="59"/>
      <c r="EN961" s="59"/>
      <c r="EO961" s="59"/>
      <c r="EP961" s="59"/>
      <c r="EQ961" s="59"/>
      <c r="ER961" s="59"/>
      <c r="ES961" s="59"/>
      <c r="ET961" s="59"/>
      <c r="EU961" s="59"/>
      <c r="EV961" s="59"/>
      <c r="EW961" s="59"/>
      <c r="EX961" s="59"/>
      <c r="EY961" s="59"/>
      <c r="EZ961" s="59"/>
      <c r="FA961" s="59"/>
      <c r="FB961" s="59"/>
      <c r="FC961" s="59"/>
      <c r="FD961" s="59"/>
      <c r="FE961" s="59"/>
      <c r="FF961" s="59"/>
      <c r="FG961" s="59"/>
      <c r="FH961" s="59"/>
      <c r="FI961" s="59"/>
      <c r="FJ961" s="59"/>
      <c r="FK961" s="59"/>
      <c r="FL961" s="59"/>
      <c r="FM961" s="59"/>
      <c r="FN961" s="59"/>
      <c r="FO961" s="59"/>
      <c r="FP961" s="59"/>
      <c r="FQ961" s="59"/>
      <c r="FR961" s="59"/>
      <c r="FS961" s="59"/>
      <c r="FT961" s="59"/>
      <c r="FU961" s="59"/>
      <c r="FV961" s="59"/>
      <c r="FW961" s="59"/>
      <c r="FX961" s="59"/>
      <c r="FY961" s="59"/>
      <c r="FZ961" s="59"/>
      <c r="GA961" s="59"/>
      <c r="GB961" s="59"/>
      <c r="GC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  <c r="BV962" s="59"/>
      <c r="BW962" s="59"/>
      <c r="BX962" s="59"/>
      <c r="BY962" s="59"/>
      <c r="BZ962" s="59"/>
      <c r="CA962" s="59"/>
      <c r="CB962" s="59"/>
      <c r="CC962" s="59"/>
      <c r="CD962" s="59"/>
      <c r="CE962" s="59"/>
      <c r="CF962" s="59"/>
      <c r="CG962" s="59"/>
      <c r="CH962" s="59"/>
      <c r="CI962" s="59"/>
      <c r="CJ962" s="59"/>
      <c r="CK962" s="59"/>
      <c r="CL962" s="59"/>
      <c r="CM962" s="59"/>
      <c r="CN962" s="59"/>
      <c r="CO962" s="59"/>
      <c r="CP962" s="59"/>
      <c r="CQ962" s="59"/>
      <c r="CR962" s="59"/>
      <c r="CS962" s="59"/>
      <c r="CT962" s="59"/>
      <c r="CU962" s="59"/>
      <c r="CV962" s="59"/>
      <c r="CW962" s="59"/>
      <c r="CX962" s="59"/>
      <c r="CY962" s="59"/>
      <c r="CZ962" s="59"/>
      <c r="DA962" s="59"/>
      <c r="DB962" s="59"/>
      <c r="DC962" s="59"/>
      <c r="DD962" s="59"/>
      <c r="DE962" s="59"/>
      <c r="DF962" s="59"/>
      <c r="DG962" s="59"/>
      <c r="DH962" s="59"/>
      <c r="DI962" s="59"/>
      <c r="DJ962" s="59"/>
      <c r="DK962" s="59"/>
      <c r="DL962" s="59"/>
      <c r="DM962" s="59"/>
      <c r="DN962" s="59"/>
      <c r="DO962" s="59"/>
      <c r="DP962" s="59"/>
      <c r="DQ962" s="59"/>
      <c r="DR962" s="59"/>
      <c r="DS962" s="59"/>
      <c r="DT962" s="59"/>
      <c r="DU962" s="59"/>
      <c r="DV962" s="59"/>
      <c r="DW962" s="59"/>
      <c r="DX962" s="59"/>
      <c r="DY962" s="59"/>
      <c r="DZ962" s="59"/>
      <c r="EA962" s="59"/>
      <c r="EB962" s="59"/>
      <c r="EC962" s="59"/>
      <c r="ED962" s="59"/>
      <c r="EE962" s="59"/>
      <c r="EF962" s="59"/>
      <c r="EG962" s="59"/>
      <c r="EH962" s="59"/>
      <c r="EI962" s="59"/>
      <c r="EJ962" s="59"/>
      <c r="EK962" s="59"/>
      <c r="EL962" s="59"/>
      <c r="EM962" s="59"/>
      <c r="EN962" s="59"/>
      <c r="EO962" s="59"/>
      <c r="EP962" s="59"/>
      <c r="EQ962" s="59"/>
      <c r="ER962" s="59"/>
      <c r="ES962" s="59"/>
      <c r="ET962" s="59"/>
      <c r="EU962" s="59"/>
      <c r="EV962" s="59"/>
      <c r="EW962" s="59"/>
      <c r="EX962" s="59"/>
      <c r="EY962" s="59"/>
      <c r="EZ962" s="59"/>
      <c r="FA962" s="59"/>
      <c r="FB962" s="59"/>
      <c r="FC962" s="59"/>
      <c r="FD962" s="59"/>
      <c r="FE962" s="59"/>
      <c r="FF962" s="59"/>
      <c r="FG962" s="59"/>
      <c r="FH962" s="59"/>
      <c r="FI962" s="59"/>
      <c r="FJ962" s="59"/>
      <c r="FK962" s="59"/>
      <c r="FL962" s="59"/>
      <c r="FM962" s="59"/>
      <c r="FN962" s="59"/>
      <c r="FO962" s="59"/>
      <c r="FP962" s="59"/>
      <c r="FQ962" s="59"/>
      <c r="FR962" s="59"/>
      <c r="FS962" s="59"/>
      <c r="FT962" s="59"/>
      <c r="FU962" s="59"/>
      <c r="FV962" s="59"/>
      <c r="FW962" s="59"/>
      <c r="FX962" s="59"/>
      <c r="FY962" s="59"/>
      <c r="FZ962" s="59"/>
      <c r="GA962" s="59"/>
      <c r="GB962" s="59"/>
      <c r="GC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59"/>
      <c r="BX963" s="59"/>
      <c r="BY963" s="59"/>
      <c r="BZ963" s="59"/>
      <c r="CA963" s="59"/>
      <c r="CB963" s="59"/>
      <c r="CC963" s="59"/>
      <c r="CD963" s="59"/>
      <c r="CE963" s="59"/>
      <c r="CF963" s="59"/>
      <c r="CG963" s="59"/>
      <c r="CH963" s="59"/>
      <c r="CI963" s="59"/>
      <c r="CJ963" s="59"/>
      <c r="CK963" s="59"/>
      <c r="CL963" s="59"/>
      <c r="CM963" s="59"/>
      <c r="CN963" s="59"/>
      <c r="CO963" s="59"/>
      <c r="CP963" s="59"/>
      <c r="CQ963" s="59"/>
      <c r="CR963" s="59"/>
      <c r="CS963" s="59"/>
      <c r="CT963" s="59"/>
      <c r="CU963" s="59"/>
      <c r="CV963" s="59"/>
      <c r="CW963" s="59"/>
      <c r="CX963" s="59"/>
      <c r="CY963" s="59"/>
      <c r="CZ963" s="59"/>
      <c r="DA963" s="59"/>
      <c r="DB963" s="59"/>
      <c r="DC963" s="59"/>
      <c r="DD963" s="59"/>
      <c r="DE963" s="59"/>
      <c r="DF963" s="59"/>
      <c r="DG963" s="59"/>
      <c r="DH963" s="59"/>
      <c r="DI963" s="59"/>
      <c r="DJ963" s="59"/>
      <c r="DK963" s="59"/>
      <c r="DL963" s="59"/>
      <c r="DM963" s="59"/>
      <c r="DN963" s="59"/>
      <c r="DO963" s="59"/>
      <c r="DP963" s="59"/>
      <c r="DQ963" s="59"/>
      <c r="DR963" s="59"/>
      <c r="DS963" s="59"/>
      <c r="DT963" s="59"/>
      <c r="DU963" s="59"/>
      <c r="DV963" s="59"/>
      <c r="DW963" s="59"/>
      <c r="DX963" s="59"/>
      <c r="DY963" s="59"/>
      <c r="DZ963" s="59"/>
      <c r="EA963" s="59"/>
      <c r="EB963" s="59"/>
      <c r="EC963" s="59"/>
      <c r="ED963" s="59"/>
      <c r="EE963" s="59"/>
      <c r="EF963" s="59"/>
      <c r="EG963" s="59"/>
      <c r="EH963" s="59"/>
      <c r="EI963" s="59"/>
      <c r="EJ963" s="59"/>
      <c r="EK963" s="59"/>
      <c r="EL963" s="59"/>
      <c r="EM963" s="59"/>
      <c r="EN963" s="59"/>
      <c r="EO963" s="59"/>
      <c r="EP963" s="59"/>
      <c r="EQ963" s="59"/>
      <c r="ER963" s="59"/>
      <c r="ES963" s="59"/>
      <c r="ET963" s="59"/>
      <c r="EU963" s="59"/>
      <c r="EV963" s="59"/>
      <c r="EW963" s="59"/>
      <c r="EX963" s="59"/>
      <c r="EY963" s="59"/>
      <c r="EZ963" s="59"/>
      <c r="FA963" s="59"/>
      <c r="FB963" s="59"/>
      <c r="FC963" s="59"/>
      <c r="FD963" s="59"/>
      <c r="FE963" s="59"/>
      <c r="FF963" s="59"/>
      <c r="FG963" s="59"/>
      <c r="FH963" s="59"/>
      <c r="FI963" s="59"/>
      <c r="FJ963" s="59"/>
      <c r="FK963" s="59"/>
      <c r="FL963" s="59"/>
      <c r="FM963" s="59"/>
      <c r="FN963" s="59"/>
      <c r="FO963" s="59"/>
      <c r="FP963" s="59"/>
      <c r="FQ963" s="59"/>
      <c r="FR963" s="59"/>
      <c r="FS963" s="59"/>
      <c r="FT963" s="59"/>
      <c r="FU963" s="59"/>
      <c r="FV963" s="59"/>
      <c r="FW963" s="59"/>
      <c r="FX963" s="59"/>
      <c r="FY963" s="59"/>
      <c r="FZ963" s="59"/>
      <c r="GA963" s="59"/>
      <c r="GB963" s="59"/>
      <c r="GC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  <c r="BV964" s="59"/>
      <c r="BW964" s="59"/>
      <c r="BX964" s="59"/>
      <c r="BY964" s="59"/>
      <c r="BZ964" s="59"/>
      <c r="CA964" s="59"/>
      <c r="CB964" s="59"/>
      <c r="CC964" s="59"/>
      <c r="CD964" s="59"/>
      <c r="CE964" s="59"/>
      <c r="CF964" s="59"/>
      <c r="CG964" s="59"/>
      <c r="CH964" s="59"/>
      <c r="CI964" s="59"/>
      <c r="CJ964" s="59"/>
      <c r="CK964" s="59"/>
      <c r="CL964" s="59"/>
      <c r="CM964" s="59"/>
      <c r="CN964" s="59"/>
      <c r="CO964" s="59"/>
      <c r="CP964" s="59"/>
      <c r="CQ964" s="59"/>
      <c r="CR964" s="59"/>
      <c r="CS964" s="59"/>
      <c r="CT964" s="59"/>
      <c r="CU964" s="59"/>
      <c r="CV964" s="59"/>
      <c r="CW964" s="59"/>
      <c r="CX964" s="59"/>
      <c r="CY964" s="59"/>
      <c r="CZ964" s="59"/>
      <c r="DA964" s="59"/>
      <c r="DB964" s="59"/>
      <c r="DC964" s="59"/>
      <c r="DD964" s="59"/>
      <c r="DE964" s="59"/>
      <c r="DF964" s="59"/>
      <c r="DG964" s="59"/>
      <c r="DH964" s="59"/>
      <c r="DI964" s="59"/>
      <c r="DJ964" s="59"/>
      <c r="DK964" s="59"/>
      <c r="DL964" s="59"/>
      <c r="DM964" s="59"/>
      <c r="DN964" s="59"/>
      <c r="DO964" s="59"/>
      <c r="DP964" s="59"/>
      <c r="DQ964" s="59"/>
      <c r="DR964" s="59"/>
      <c r="DS964" s="59"/>
      <c r="DT964" s="59"/>
      <c r="DU964" s="59"/>
      <c r="DV964" s="59"/>
      <c r="DW964" s="59"/>
      <c r="DX964" s="59"/>
      <c r="DY964" s="59"/>
      <c r="DZ964" s="59"/>
      <c r="EA964" s="59"/>
      <c r="EB964" s="59"/>
      <c r="EC964" s="59"/>
      <c r="ED964" s="59"/>
      <c r="EE964" s="59"/>
      <c r="EF964" s="59"/>
      <c r="EG964" s="59"/>
      <c r="EH964" s="59"/>
      <c r="EI964" s="59"/>
      <c r="EJ964" s="59"/>
      <c r="EK964" s="59"/>
      <c r="EL964" s="59"/>
      <c r="EM964" s="59"/>
      <c r="EN964" s="59"/>
      <c r="EO964" s="59"/>
      <c r="EP964" s="59"/>
      <c r="EQ964" s="59"/>
      <c r="ER964" s="59"/>
      <c r="ES964" s="59"/>
      <c r="ET964" s="59"/>
      <c r="EU964" s="59"/>
      <c r="EV964" s="59"/>
      <c r="EW964" s="59"/>
      <c r="EX964" s="59"/>
      <c r="EY964" s="59"/>
      <c r="EZ964" s="59"/>
      <c r="FA964" s="59"/>
      <c r="FB964" s="59"/>
      <c r="FC964" s="59"/>
      <c r="FD964" s="59"/>
      <c r="FE964" s="59"/>
      <c r="FF964" s="59"/>
      <c r="FG964" s="59"/>
      <c r="FH964" s="59"/>
      <c r="FI964" s="59"/>
      <c r="FJ964" s="59"/>
      <c r="FK964" s="59"/>
      <c r="FL964" s="59"/>
      <c r="FM964" s="59"/>
      <c r="FN964" s="59"/>
      <c r="FO964" s="59"/>
      <c r="FP964" s="59"/>
      <c r="FQ964" s="59"/>
      <c r="FR964" s="59"/>
      <c r="FS964" s="59"/>
      <c r="FT964" s="59"/>
      <c r="FU964" s="59"/>
      <c r="FV964" s="59"/>
      <c r="FW964" s="59"/>
      <c r="FX964" s="59"/>
      <c r="FY964" s="59"/>
      <c r="FZ964" s="59"/>
      <c r="GA964" s="59"/>
      <c r="GB964" s="59"/>
      <c r="GC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  <c r="BV965" s="59"/>
      <c r="BW965" s="59"/>
      <c r="BX965" s="59"/>
      <c r="BY965" s="59"/>
      <c r="BZ965" s="59"/>
      <c r="CA965" s="59"/>
      <c r="CB965" s="59"/>
      <c r="CC965" s="59"/>
      <c r="CD965" s="59"/>
      <c r="CE965" s="59"/>
      <c r="CF965" s="59"/>
      <c r="CG965" s="59"/>
      <c r="CH965" s="59"/>
      <c r="CI965" s="59"/>
      <c r="CJ965" s="59"/>
      <c r="CK965" s="59"/>
      <c r="CL965" s="59"/>
      <c r="CM965" s="59"/>
      <c r="CN965" s="59"/>
      <c r="CO965" s="59"/>
      <c r="CP965" s="59"/>
      <c r="CQ965" s="59"/>
      <c r="CR965" s="59"/>
      <c r="CS965" s="59"/>
      <c r="CT965" s="59"/>
      <c r="CU965" s="59"/>
      <c r="CV965" s="59"/>
      <c r="CW965" s="59"/>
      <c r="CX965" s="59"/>
      <c r="CY965" s="59"/>
      <c r="CZ965" s="59"/>
      <c r="DA965" s="59"/>
      <c r="DB965" s="59"/>
      <c r="DC965" s="59"/>
      <c r="DD965" s="59"/>
      <c r="DE965" s="59"/>
      <c r="DF965" s="59"/>
      <c r="DG965" s="59"/>
      <c r="DH965" s="59"/>
      <c r="DI965" s="59"/>
      <c r="DJ965" s="59"/>
      <c r="DK965" s="59"/>
      <c r="DL965" s="59"/>
      <c r="DM965" s="59"/>
      <c r="DN965" s="59"/>
      <c r="DO965" s="59"/>
      <c r="DP965" s="59"/>
      <c r="DQ965" s="59"/>
      <c r="DR965" s="59"/>
      <c r="DS965" s="59"/>
      <c r="DT965" s="59"/>
      <c r="DU965" s="59"/>
      <c r="DV965" s="59"/>
      <c r="DW965" s="59"/>
      <c r="DX965" s="59"/>
      <c r="DY965" s="59"/>
      <c r="DZ965" s="59"/>
      <c r="EA965" s="59"/>
      <c r="EB965" s="59"/>
      <c r="EC965" s="59"/>
      <c r="ED965" s="59"/>
      <c r="EE965" s="59"/>
      <c r="EF965" s="59"/>
      <c r="EG965" s="59"/>
      <c r="EH965" s="59"/>
      <c r="EI965" s="59"/>
      <c r="EJ965" s="59"/>
      <c r="EK965" s="59"/>
      <c r="EL965" s="59"/>
      <c r="EM965" s="59"/>
      <c r="EN965" s="59"/>
      <c r="EO965" s="59"/>
      <c r="EP965" s="59"/>
      <c r="EQ965" s="59"/>
      <c r="ER965" s="59"/>
      <c r="ES965" s="59"/>
      <c r="ET965" s="59"/>
      <c r="EU965" s="59"/>
      <c r="EV965" s="59"/>
      <c r="EW965" s="59"/>
      <c r="EX965" s="59"/>
      <c r="EY965" s="59"/>
      <c r="EZ965" s="59"/>
      <c r="FA965" s="59"/>
      <c r="FB965" s="59"/>
      <c r="FC965" s="59"/>
      <c r="FD965" s="59"/>
      <c r="FE965" s="59"/>
      <c r="FF965" s="59"/>
      <c r="FG965" s="59"/>
      <c r="FH965" s="59"/>
      <c r="FI965" s="59"/>
      <c r="FJ965" s="59"/>
      <c r="FK965" s="59"/>
      <c r="FL965" s="59"/>
      <c r="FM965" s="59"/>
      <c r="FN965" s="59"/>
      <c r="FO965" s="59"/>
      <c r="FP965" s="59"/>
      <c r="FQ965" s="59"/>
      <c r="FR965" s="59"/>
      <c r="FS965" s="59"/>
      <c r="FT965" s="59"/>
      <c r="FU965" s="59"/>
      <c r="FV965" s="59"/>
      <c r="FW965" s="59"/>
      <c r="FX965" s="59"/>
      <c r="FY965" s="59"/>
      <c r="FZ965" s="59"/>
      <c r="GA965" s="59"/>
      <c r="GB965" s="59"/>
      <c r="GC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  <c r="BV966" s="59"/>
      <c r="BW966" s="59"/>
      <c r="BX966" s="59"/>
      <c r="BY966" s="59"/>
      <c r="BZ966" s="59"/>
      <c r="CA966" s="59"/>
      <c r="CB966" s="59"/>
      <c r="CC966" s="59"/>
      <c r="CD966" s="59"/>
      <c r="CE966" s="59"/>
      <c r="CF966" s="59"/>
      <c r="CG966" s="59"/>
      <c r="CH966" s="59"/>
      <c r="CI966" s="59"/>
      <c r="CJ966" s="59"/>
      <c r="CK966" s="59"/>
      <c r="CL966" s="59"/>
      <c r="CM966" s="59"/>
      <c r="CN966" s="59"/>
      <c r="CO966" s="59"/>
      <c r="CP966" s="59"/>
      <c r="CQ966" s="59"/>
      <c r="CR966" s="59"/>
      <c r="CS966" s="59"/>
      <c r="CT966" s="59"/>
      <c r="CU966" s="59"/>
      <c r="CV966" s="59"/>
      <c r="CW966" s="59"/>
      <c r="CX966" s="59"/>
      <c r="CY966" s="59"/>
      <c r="CZ966" s="59"/>
      <c r="DA966" s="59"/>
      <c r="DB966" s="59"/>
      <c r="DC966" s="59"/>
      <c r="DD966" s="59"/>
      <c r="DE966" s="59"/>
      <c r="DF966" s="59"/>
      <c r="DG966" s="59"/>
      <c r="DH966" s="59"/>
      <c r="DI966" s="59"/>
      <c r="DJ966" s="59"/>
      <c r="DK966" s="59"/>
      <c r="DL966" s="59"/>
      <c r="DM966" s="59"/>
      <c r="DN966" s="59"/>
      <c r="DO966" s="59"/>
      <c r="DP966" s="59"/>
      <c r="DQ966" s="59"/>
      <c r="DR966" s="59"/>
      <c r="DS966" s="59"/>
      <c r="DT966" s="59"/>
      <c r="DU966" s="59"/>
      <c r="DV966" s="59"/>
      <c r="DW966" s="59"/>
      <c r="DX966" s="59"/>
      <c r="DY966" s="59"/>
      <c r="DZ966" s="59"/>
      <c r="EA966" s="59"/>
      <c r="EB966" s="59"/>
      <c r="EC966" s="59"/>
      <c r="ED966" s="59"/>
      <c r="EE966" s="59"/>
      <c r="EF966" s="59"/>
      <c r="EG966" s="59"/>
      <c r="EH966" s="59"/>
      <c r="EI966" s="59"/>
      <c r="EJ966" s="59"/>
      <c r="EK966" s="59"/>
      <c r="EL966" s="59"/>
      <c r="EM966" s="59"/>
      <c r="EN966" s="59"/>
      <c r="EO966" s="59"/>
      <c r="EP966" s="59"/>
      <c r="EQ966" s="59"/>
      <c r="ER966" s="59"/>
      <c r="ES966" s="59"/>
      <c r="ET966" s="59"/>
      <c r="EU966" s="59"/>
      <c r="EV966" s="59"/>
      <c r="EW966" s="59"/>
      <c r="EX966" s="59"/>
      <c r="EY966" s="59"/>
      <c r="EZ966" s="59"/>
      <c r="FA966" s="59"/>
      <c r="FB966" s="59"/>
      <c r="FC966" s="59"/>
      <c r="FD966" s="59"/>
      <c r="FE966" s="59"/>
      <c r="FF966" s="59"/>
      <c r="FG966" s="59"/>
      <c r="FH966" s="59"/>
      <c r="FI966" s="59"/>
      <c r="FJ966" s="59"/>
      <c r="FK966" s="59"/>
      <c r="FL966" s="59"/>
      <c r="FM966" s="59"/>
      <c r="FN966" s="59"/>
      <c r="FO966" s="59"/>
      <c r="FP966" s="59"/>
      <c r="FQ966" s="59"/>
      <c r="FR966" s="59"/>
      <c r="FS966" s="59"/>
      <c r="FT966" s="59"/>
      <c r="FU966" s="59"/>
      <c r="FV966" s="59"/>
      <c r="FW966" s="59"/>
      <c r="FX966" s="59"/>
      <c r="FY966" s="59"/>
      <c r="FZ966" s="59"/>
      <c r="GA966" s="59"/>
      <c r="GB966" s="59"/>
      <c r="GC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  <c r="BV967" s="59"/>
      <c r="BW967" s="59"/>
      <c r="BX967" s="59"/>
      <c r="BY967" s="59"/>
      <c r="BZ967" s="59"/>
      <c r="CA967" s="59"/>
      <c r="CB967" s="59"/>
      <c r="CC967" s="59"/>
      <c r="CD967" s="59"/>
      <c r="CE967" s="59"/>
      <c r="CF967" s="59"/>
      <c r="CG967" s="59"/>
      <c r="CH967" s="59"/>
      <c r="CI967" s="59"/>
      <c r="CJ967" s="59"/>
      <c r="CK967" s="59"/>
      <c r="CL967" s="59"/>
      <c r="CM967" s="59"/>
      <c r="CN967" s="59"/>
      <c r="CO967" s="59"/>
      <c r="CP967" s="59"/>
      <c r="CQ967" s="59"/>
      <c r="CR967" s="59"/>
      <c r="CS967" s="59"/>
      <c r="CT967" s="59"/>
      <c r="CU967" s="59"/>
      <c r="CV967" s="59"/>
      <c r="CW967" s="59"/>
      <c r="CX967" s="59"/>
      <c r="CY967" s="59"/>
      <c r="CZ967" s="59"/>
      <c r="DA967" s="59"/>
      <c r="DB967" s="59"/>
      <c r="DC967" s="59"/>
      <c r="DD967" s="59"/>
      <c r="DE967" s="59"/>
      <c r="DF967" s="59"/>
      <c r="DG967" s="59"/>
      <c r="DH967" s="59"/>
      <c r="DI967" s="59"/>
      <c r="DJ967" s="59"/>
      <c r="DK967" s="59"/>
      <c r="DL967" s="59"/>
      <c r="DM967" s="59"/>
      <c r="DN967" s="59"/>
      <c r="DO967" s="59"/>
      <c r="DP967" s="59"/>
      <c r="DQ967" s="59"/>
      <c r="DR967" s="59"/>
      <c r="DS967" s="59"/>
      <c r="DT967" s="59"/>
      <c r="DU967" s="59"/>
      <c r="DV967" s="59"/>
      <c r="DW967" s="59"/>
      <c r="DX967" s="59"/>
      <c r="DY967" s="59"/>
      <c r="DZ967" s="59"/>
      <c r="EA967" s="59"/>
      <c r="EB967" s="59"/>
      <c r="EC967" s="59"/>
      <c r="ED967" s="59"/>
      <c r="EE967" s="59"/>
      <c r="EF967" s="59"/>
      <c r="EG967" s="59"/>
      <c r="EH967" s="59"/>
      <c r="EI967" s="59"/>
      <c r="EJ967" s="59"/>
      <c r="EK967" s="59"/>
      <c r="EL967" s="59"/>
      <c r="EM967" s="59"/>
      <c r="EN967" s="59"/>
      <c r="EO967" s="59"/>
      <c r="EP967" s="59"/>
      <c r="EQ967" s="59"/>
      <c r="ER967" s="59"/>
      <c r="ES967" s="59"/>
      <c r="ET967" s="59"/>
      <c r="EU967" s="59"/>
      <c r="EV967" s="59"/>
      <c r="EW967" s="59"/>
      <c r="EX967" s="59"/>
      <c r="EY967" s="59"/>
      <c r="EZ967" s="59"/>
      <c r="FA967" s="59"/>
      <c r="FB967" s="59"/>
      <c r="FC967" s="59"/>
      <c r="FD967" s="59"/>
      <c r="FE967" s="59"/>
      <c r="FF967" s="59"/>
      <c r="FG967" s="59"/>
      <c r="FH967" s="59"/>
      <c r="FI967" s="59"/>
      <c r="FJ967" s="59"/>
      <c r="FK967" s="59"/>
      <c r="FL967" s="59"/>
      <c r="FM967" s="59"/>
      <c r="FN967" s="59"/>
      <c r="FO967" s="59"/>
      <c r="FP967" s="59"/>
      <c r="FQ967" s="59"/>
      <c r="FR967" s="59"/>
      <c r="FS967" s="59"/>
      <c r="FT967" s="59"/>
      <c r="FU967" s="59"/>
      <c r="FV967" s="59"/>
      <c r="FW967" s="59"/>
      <c r="FX967" s="59"/>
      <c r="FY967" s="59"/>
      <c r="FZ967" s="59"/>
      <c r="GA967" s="59"/>
      <c r="GB967" s="59"/>
      <c r="GC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  <c r="BV968" s="59"/>
      <c r="BW968" s="59"/>
      <c r="BX968" s="59"/>
      <c r="BY968" s="59"/>
      <c r="BZ968" s="59"/>
      <c r="CA968" s="59"/>
      <c r="CB968" s="59"/>
      <c r="CC968" s="59"/>
      <c r="CD968" s="59"/>
      <c r="CE968" s="59"/>
      <c r="CF968" s="59"/>
      <c r="CG968" s="59"/>
      <c r="CH968" s="59"/>
      <c r="CI968" s="59"/>
      <c r="CJ968" s="59"/>
      <c r="CK968" s="59"/>
      <c r="CL968" s="59"/>
      <c r="CM968" s="59"/>
      <c r="CN968" s="59"/>
      <c r="CO968" s="59"/>
      <c r="CP968" s="59"/>
      <c r="CQ968" s="59"/>
      <c r="CR968" s="59"/>
      <c r="CS968" s="59"/>
      <c r="CT968" s="59"/>
      <c r="CU968" s="59"/>
      <c r="CV968" s="59"/>
      <c r="CW968" s="59"/>
      <c r="CX968" s="59"/>
      <c r="CY968" s="59"/>
      <c r="CZ968" s="59"/>
      <c r="DA968" s="59"/>
      <c r="DB968" s="59"/>
      <c r="DC968" s="59"/>
      <c r="DD968" s="59"/>
      <c r="DE968" s="59"/>
      <c r="DF968" s="59"/>
      <c r="DG968" s="59"/>
      <c r="DH968" s="59"/>
      <c r="DI968" s="59"/>
      <c r="DJ968" s="59"/>
      <c r="DK968" s="59"/>
      <c r="DL968" s="59"/>
      <c r="DM968" s="59"/>
      <c r="DN968" s="59"/>
      <c r="DO968" s="59"/>
      <c r="DP968" s="59"/>
      <c r="DQ968" s="59"/>
      <c r="DR968" s="59"/>
      <c r="DS968" s="59"/>
      <c r="DT968" s="59"/>
      <c r="DU968" s="59"/>
      <c r="DV968" s="59"/>
      <c r="DW968" s="59"/>
      <c r="DX968" s="59"/>
      <c r="DY968" s="59"/>
      <c r="DZ968" s="59"/>
      <c r="EA968" s="59"/>
      <c r="EB968" s="59"/>
      <c r="EC968" s="59"/>
      <c r="ED968" s="59"/>
      <c r="EE968" s="59"/>
      <c r="EF968" s="59"/>
      <c r="EG968" s="59"/>
      <c r="EH968" s="59"/>
      <c r="EI968" s="59"/>
      <c r="EJ968" s="59"/>
      <c r="EK968" s="59"/>
      <c r="EL968" s="59"/>
      <c r="EM968" s="59"/>
      <c r="EN968" s="59"/>
      <c r="EO968" s="59"/>
      <c r="EP968" s="59"/>
      <c r="EQ968" s="59"/>
      <c r="ER968" s="59"/>
      <c r="ES968" s="59"/>
      <c r="ET968" s="59"/>
      <c r="EU968" s="59"/>
      <c r="EV968" s="59"/>
      <c r="EW968" s="59"/>
      <c r="EX968" s="59"/>
      <c r="EY968" s="59"/>
      <c r="EZ968" s="59"/>
      <c r="FA968" s="59"/>
      <c r="FB968" s="59"/>
      <c r="FC968" s="59"/>
      <c r="FD968" s="59"/>
      <c r="FE968" s="59"/>
      <c r="FF968" s="59"/>
      <c r="FG968" s="59"/>
      <c r="FH968" s="59"/>
      <c r="FI968" s="59"/>
      <c r="FJ968" s="59"/>
      <c r="FK968" s="59"/>
      <c r="FL968" s="59"/>
      <c r="FM968" s="59"/>
      <c r="FN968" s="59"/>
      <c r="FO968" s="59"/>
      <c r="FP968" s="59"/>
      <c r="FQ968" s="59"/>
      <c r="FR968" s="59"/>
      <c r="FS968" s="59"/>
      <c r="FT968" s="59"/>
      <c r="FU968" s="59"/>
      <c r="FV968" s="59"/>
      <c r="FW968" s="59"/>
      <c r="FX968" s="59"/>
      <c r="FY968" s="59"/>
      <c r="FZ968" s="59"/>
      <c r="GA968" s="59"/>
      <c r="GB968" s="59"/>
      <c r="GC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  <c r="BV969" s="59"/>
      <c r="BW969" s="59"/>
      <c r="BX969" s="59"/>
      <c r="BY969" s="59"/>
      <c r="BZ969" s="59"/>
      <c r="CA969" s="59"/>
      <c r="CB969" s="59"/>
      <c r="CC969" s="59"/>
      <c r="CD969" s="59"/>
      <c r="CE969" s="59"/>
      <c r="CF969" s="59"/>
      <c r="CG969" s="59"/>
      <c r="CH969" s="59"/>
      <c r="CI969" s="59"/>
      <c r="CJ969" s="59"/>
      <c r="CK969" s="59"/>
      <c r="CL969" s="59"/>
      <c r="CM969" s="59"/>
      <c r="CN969" s="59"/>
      <c r="CO969" s="59"/>
      <c r="CP969" s="59"/>
      <c r="CQ969" s="59"/>
      <c r="CR969" s="59"/>
      <c r="CS969" s="59"/>
      <c r="CT969" s="59"/>
      <c r="CU969" s="59"/>
      <c r="CV969" s="59"/>
      <c r="CW969" s="59"/>
      <c r="CX969" s="59"/>
      <c r="CY969" s="59"/>
      <c r="CZ969" s="59"/>
      <c r="DA969" s="59"/>
      <c r="DB969" s="59"/>
      <c r="DC969" s="59"/>
      <c r="DD969" s="59"/>
      <c r="DE969" s="59"/>
      <c r="DF969" s="59"/>
      <c r="DG969" s="59"/>
      <c r="DH969" s="59"/>
      <c r="DI969" s="59"/>
      <c r="DJ969" s="59"/>
      <c r="DK969" s="59"/>
      <c r="DL969" s="59"/>
      <c r="DM969" s="59"/>
      <c r="DN969" s="59"/>
      <c r="DO969" s="59"/>
      <c r="DP969" s="59"/>
      <c r="DQ969" s="59"/>
      <c r="DR969" s="59"/>
      <c r="DS969" s="59"/>
      <c r="DT969" s="59"/>
      <c r="DU969" s="59"/>
      <c r="DV969" s="59"/>
      <c r="DW969" s="59"/>
      <c r="DX969" s="59"/>
      <c r="DY969" s="59"/>
      <c r="DZ969" s="59"/>
      <c r="EA969" s="59"/>
      <c r="EB969" s="59"/>
      <c r="EC969" s="59"/>
      <c r="ED969" s="59"/>
      <c r="EE969" s="59"/>
      <c r="EF969" s="59"/>
      <c r="EG969" s="59"/>
      <c r="EH969" s="59"/>
      <c r="EI969" s="59"/>
      <c r="EJ969" s="59"/>
      <c r="EK969" s="59"/>
      <c r="EL969" s="59"/>
      <c r="EM969" s="59"/>
      <c r="EN969" s="59"/>
      <c r="EO969" s="59"/>
      <c r="EP969" s="59"/>
      <c r="EQ969" s="59"/>
      <c r="ER969" s="59"/>
      <c r="ES969" s="59"/>
      <c r="ET969" s="59"/>
      <c r="EU969" s="59"/>
      <c r="EV969" s="59"/>
      <c r="EW969" s="59"/>
      <c r="EX969" s="59"/>
      <c r="EY969" s="59"/>
      <c r="EZ969" s="59"/>
      <c r="FA969" s="59"/>
      <c r="FB969" s="59"/>
      <c r="FC969" s="59"/>
      <c r="FD969" s="59"/>
      <c r="FE969" s="59"/>
      <c r="FF969" s="59"/>
      <c r="FG969" s="59"/>
      <c r="FH969" s="59"/>
      <c r="FI969" s="59"/>
      <c r="FJ969" s="59"/>
      <c r="FK969" s="59"/>
      <c r="FL969" s="59"/>
      <c r="FM969" s="59"/>
      <c r="FN969" s="59"/>
      <c r="FO969" s="59"/>
      <c r="FP969" s="59"/>
      <c r="FQ969" s="59"/>
      <c r="FR969" s="59"/>
      <c r="FS969" s="59"/>
      <c r="FT969" s="59"/>
      <c r="FU969" s="59"/>
      <c r="FV969" s="59"/>
      <c r="FW969" s="59"/>
      <c r="FX969" s="59"/>
      <c r="FY969" s="59"/>
      <c r="FZ969" s="59"/>
      <c r="GA969" s="59"/>
      <c r="GB969" s="59"/>
      <c r="GC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  <c r="BV970" s="59"/>
      <c r="BW970" s="59"/>
      <c r="BX970" s="59"/>
      <c r="BY970" s="59"/>
      <c r="BZ970" s="59"/>
      <c r="CA970" s="59"/>
      <c r="CB970" s="59"/>
      <c r="CC970" s="59"/>
      <c r="CD970" s="59"/>
      <c r="CE970" s="59"/>
      <c r="CF970" s="59"/>
      <c r="CG970" s="59"/>
      <c r="CH970" s="59"/>
      <c r="CI970" s="59"/>
      <c r="CJ970" s="59"/>
      <c r="CK970" s="59"/>
      <c r="CL970" s="59"/>
      <c r="CM970" s="59"/>
      <c r="CN970" s="59"/>
      <c r="CO970" s="59"/>
      <c r="CP970" s="59"/>
      <c r="CQ970" s="59"/>
      <c r="CR970" s="59"/>
      <c r="CS970" s="59"/>
      <c r="CT970" s="59"/>
      <c r="CU970" s="59"/>
      <c r="CV970" s="59"/>
      <c r="CW970" s="59"/>
      <c r="CX970" s="59"/>
      <c r="CY970" s="59"/>
      <c r="CZ970" s="59"/>
      <c r="DA970" s="59"/>
      <c r="DB970" s="59"/>
      <c r="DC970" s="59"/>
      <c r="DD970" s="59"/>
      <c r="DE970" s="59"/>
      <c r="DF970" s="59"/>
      <c r="DG970" s="59"/>
      <c r="DH970" s="59"/>
      <c r="DI970" s="59"/>
      <c r="DJ970" s="59"/>
      <c r="DK970" s="59"/>
      <c r="DL970" s="59"/>
      <c r="DM970" s="59"/>
      <c r="DN970" s="59"/>
      <c r="DO970" s="59"/>
      <c r="DP970" s="59"/>
      <c r="DQ970" s="59"/>
      <c r="DR970" s="59"/>
      <c r="DS970" s="59"/>
      <c r="DT970" s="59"/>
      <c r="DU970" s="59"/>
      <c r="DV970" s="59"/>
      <c r="DW970" s="59"/>
      <c r="DX970" s="59"/>
      <c r="DY970" s="59"/>
      <c r="DZ970" s="59"/>
      <c r="EA970" s="59"/>
      <c r="EB970" s="59"/>
      <c r="EC970" s="59"/>
      <c r="ED970" s="59"/>
      <c r="EE970" s="59"/>
      <c r="EF970" s="59"/>
      <c r="EG970" s="59"/>
      <c r="EH970" s="59"/>
      <c r="EI970" s="59"/>
      <c r="EJ970" s="59"/>
      <c r="EK970" s="59"/>
      <c r="EL970" s="59"/>
      <c r="EM970" s="59"/>
      <c r="EN970" s="59"/>
      <c r="EO970" s="59"/>
      <c r="EP970" s="59"/>
      <c r="EQ970" s="59"/>
      <c r="ER970" s="59"/>
      <c r="ES970" s="59"/>
      <c r="ET970" s="59"/>
      <c r="EU970" s="59"/>
      <c r="EV970" s="59"/>
      <c r="EW970" s="59"/>
      <c r="EX970" s="59"/>
      <c r="EY970" s="59"/>
      <c r="EZ970" s="59"/>
      <c r="FA970" s="59"/>
      <c r="FB970" s="59"/>
      <c r="FC970" s="59"/>
      <c r="FD970" s="59"/>
      <c r="FE970" s="59"/>
      <c r="FF970" s="59"/>
      <c r="FG970" s="59"/>
      <c r="FH970" s="59"/>
      <c r="FI970" s="59"/>
      <c r="FJ970" s="59"/>
      <c r="FK970" s="59"/>
      <c r="FL970" s="59"/>
      <c r="FM970" s="59"/>
      <c r="FN970" s="59"/>
      <c r="FO970" s="59"/>
      <c r="FP970" s="59"/>
      <c r="FQ970" s="59"/>
      <c r="FR970" s="59"/>
      <c r="FS970" s="59"/>
      <c r="FT970" s="59"/>
      <c r="FU970" s="59"/>
      <c r="FV970" s="59"/>
      <c r="FW970" s="59"/>
      <c r="FX970" s="59"/>
      <c r="FY970" s="59"/>
      <c r="FZ970" s="59"/>
      <c r="GA970" s="59"/>
      <c r="GB970" s="59"/>
      <c r="GC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  <c r="BV971" s="59"/>
      <c r="BW971" s="59"/>
      <c r="BX971" s="59"/>
      <c r="BY971" s="59"/>
      <c r="BZ971" s="59"/>
      <c r="CA971" s="59"/>
      <c r="CB971" s="59"/>
      <c r="CC971" s="59"/>
      <c r="CD971" s="59"/>
      <c r="CE971" s="59"/>
      <c r="CF971" s="59"/>
      <c r="CG971" s="59"/>
      <c r="CH971" s="59"/>
      <c r="CI971" s="59"/>
      <c r="CJ971" s="59"/>
      <c r="CK971" s="59"/>
      <c r="CL971" s="59"/>
      <c r="CM971" s="59"/>
      <c r="CN971" s="59"/>
      <c r="CO971" s="59"/>
      <c r="CP971" s="59"/>
      <c r="CQ971" s="59"/>
      <c r="CR971" s="59"/>
      <c r="CS971" s="59"/>
      <c r="CT971" s="59"/>
      <c r="CU971" s="59"/>
      <c r="CV971" s="59"/>
      <c r="CW971" s="59"/>
      <c r="CX971" s="59"/>
      <c r="CY971" s="59"/>
      <c r="CZ971" s="59"/>
      <c r="DA971" s="59"/>
      <c r="DB971" s="59"/>
      <c r="DC971" s="59"/>
      <c r="DD971" s="59"/>
      <c r="DE971" s="59"/>
      <c r="DF971" s="59"/>
      <c r="DG971" s="59"/>
      <c r="DH971" s="59"/>
      <c r="DI971" s="59"/>
      <c r="DJ971" s="59"/>
      <c r="DK971" s="59"/>
      <c r="DL971" s="59"/>
      <c r="DM971" s="59"/>
      <c r="DN971" s="59"/>
      <c r="DO971" s="59"/>
      <c r="DP971" s="59"/>
      <c r="DQ971" s="59"/>
      <c r="DR971" s="59"/>
      <c r="DS971" s="59"/>
      <c r="DT971" s="59"/>
      <c r="DU971" s="59"/>
      <c r="DV971" s="59"/>
      <c r="DW971" s="59"/>
      <c r="DX971" s="59"/>
      <c r="DY971" s="59"/>
      <c r="DZ971" s="59"/>
      <c r="EA971" s="59"/>
      <c r="EB971" s="59"/>
      <c r="EC971" s="59"/>
      <c r="ED971" s="59"/>
      <c r="EE971" s="59"/>
      <c r="EF971" s="59"/>
      <c r="EG971" s="59"/>
      <c r="EH971" s="59"/>
      <c r="EI971" s="59"/>
      <c r="EJ971" s="59"/>
      <c r="EK971" s="59"/>
      <c r="EL971" s="59"/>
      <c r="EM971" s="59"/>
      <c r="EN971" s="59"/>
      <c r="EO971" s="59"/>
      <c r="EP971" s="59"/>
      <c r="EQ971" s="59"/>
      <c r="ER971" s="59"/>
      <c r="ES971" s="59"/>
      <c r="ET971" s="59"/>
      <c r="EU971" s="59"/>
      <c r="EV971" s="59"/>
      <c r="EW971" s="59"/>
      <c r="EX971" s="59"/>
      <c r="EY971" s="59"/>
      <c r="EZ971" s="59"/>
      <c r="FA971" s="59"/>
      <c r="FB971" s="59"/>
      <c r="FC971" s="59"/>
      <c r="FD971" s="59"/>
      <c r="FE971" s="59"/>
      <c r="FF971" s="59"/>
      <c r="FG971" s="59"/>
      <c r="FH971" s="59"/>
      <c r="FI971" s="59"/>
      <c r="FJ971" s="59"/>
      <c r="FK971" s="59"/>
      <c r="FL971" s="59"/>
      <c r="FM971" s="59"/>
      <c r="FN971" s="59"/>
      <c r="FO971" s="59"/>
      <c r="FP971" s="59"/>
      <c r="FQ971" s="59"/>
      <c r="FR971" s="59"/>
      <c r="FS971" s="59"/>
      <c r="FT971" s="59"/>
      <c r="FU971" s="59"/>
      <c r="FV971" s="59"/>
      <c r="FW971" s="59"/>
      <c r="FX971" s="59"/>
      <c r="FY971" s="59"/>
      <c r="FZ971" s="59"/>
      <c r="GA971" s="59"/>
      <c r="GB971" s="59"/>
      <c r="GC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  <c r="BV972" s="59"/>
      <c r="BW972" s="59"/>
      <c r="BX972" s="59"/>
      <c r="BY972" s="59"/>
      <c r="BZ972" s="59"/>
      <c r="CA972" s="59"/>
      <c r="CB972" s="59"/>
      <c r="CC972" s="59"/>
      <c r="CD972" s="59"/>
      <c r="CE972" s="59"/>
      <c r="CF972" s="59"/>
      <c r="CG972" s="59"/>
      <c r="CH972" s="59"/>
      <c r="CI972" s="59"/>
      <c r="CJ972" s="59"/>
      <c r="CK972" s="59"/>
      <c r="CL972" s="59"/>
      <c r="CM972" s="59"/>
      <c r="CN972" s="59"/>
      <c r="CO972" s="59"/>
      <c r="CP972" s="59"/>
      <c r="CQ972" s="59"/>
      <c r="CR972" s="59"/>
      <c r="CS972" s="59"/>
      <c r="CT972" s="59"/>
      <c r="CU972" s="59"/>
      <c r="CV972" s="59"/>
      <c r="CW972" s="59"/>
      <c r="CX972" s="59"/>
      <c r="CY972" s="59"/>
      <c r="CZ972" s="59"/>
      <c r="DA972" s="59"/>
      <c r="DB972" s="59"/>
      <c r="DC972" s="59"/>
      <c r="DD972" s="59"/>
      <c r="DE972" s="59"/>
      <c r="DF972" s="59"/>
      <c r="DG972" s="59"/>
      <c r="DH972" s="59"/>
      <c r="DI972" s="59"/>
      <c r="DJ972" s="59"/>
      <c r="DK972" s="59"/>
      <c r="DL972" s="59"/>
      <c r="DM972" s="59"/>
      <c r="DN972" s="59"/>
      <c r="DO972" s="59"/>
      <c r="DP972" s="59"/>
      <c r="DQ972" s="59"/>
      <c r="DR972" s="59"/>
      <c r="DS972" s="59"/>
      <c r="DT972" s="59"/>
      <c r="DU972" s="59"/>
      <c r="DV972" s="59"/>
      <c r="DW972" s="59"/>
      <c r="DX972" s="59"/>
      <c r="DY972" s="59"/>
      <c r="DZ972" s="59"/>
      <c r="EA972" s="59"/>
      <c r="EB972" s="59"/>
      <c r="EC972" s="59"/>
      <c r="ED972" s="59"/>
      <c r="EE972" s="59"/>
      <c r="EF972" s="59"/>
      <c r="EG972" s="59"/>
      <c r="EH972" s="59"/>
      <c r="EI972" s="59"/>
      <c r="EJ972" s="59"/>
      <c r="EK972" s="59"/>
      <c r="EL972" s="59"/>
      <c r="EM972" s="59"/>
      <c r="EN972" s="59"/>
      <c r="EO972" s="59"/>
      <c r="EP972" s="59"/>
      <c r="EQ972" s="59"/>
      <c r="ER972" s="59"/>
      <c r="ES972" s="59"/>
      <c r="ET972" s="59"/>
      <c r="EU972" s="59"/>
      <c r="EV972" s="59"/>
      <c r="EW972" s="59"/>
      <c r="EX972" s="59"/>
      <c r="EY972" s="59"/>
      <c r="EZ972" s="59"/>
      <c r="FA972" s="59"/>
      <c r="FB972" s="59"/>
      <c r="FC972" s="59"/>
      <c r="FD972" s="59"/>
      <c r="FE972" s="59"/>
      <c r="FF972" s="59"/>
      <c r="FG972" s="59"/>
      <c r="FH972" s="59"/>
      <c r="FI972" s="59"/>
      <c r="FJ972" s="59"/>
      <c r="FK972" s="59"/>
      <c r="FL972" s="59"/>
      <c r="FM972" s="59"/>
      <c r="FN972" s="59"/>
      <c r="FO972" s="59"/>
      <c r="FP972" s="59"/>
      <c r="FQ972" s="59"/>
      <c r="FR972" s="59"/>
      <c r="FS972" s="59"/>
      <c r="FT972" s="59"/>
      <c r="FU972" s="59"/>
      <c r="FV972" s="59"/>
      <c r="FW972" s="59"/>
      <c r="FX972" s="59"/>
      <c r="FY972" s="59"/>
      <c r="FZ972" s="59"/>
      <c r="GA972" s="59"/>
      <c r="GB972" s="59"/>
      <c r="GC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  <c r="BV973" s="59"/>
      <c r="BW973" s="59"/>
      <c r="BX973" s="59"/>
      <c r="BY973" s="59"/>
      <c r="BZ973" s="59"/>
      <c r="CA973" s="59"/>
      <c r="CB973" s="59"/>
      <c r="CC973" s="59"/>
      <c r="CD973" s="59"/>
      <c r="CE973" s="59"/>
      <c r="CF973" s="59"/>
      <c r="CG973" s="59"/>
      <c r="CH973" s="59"/>
      <c r="CI973" s="59"/>
      <c r="CJ973" s="59"/>
      <c r="CK973" s="59"/>
      <c r="CL973" s="59"/>
      <c r="CM973" s="59"/>
      <c r="CN973" s="59"/>
      <c r="CO973" s="59"/>
      <c r="CP973" s="59"/>
      <c r="CQ973" s="59"/>
      <c r="CR973" s="59"/>
      <c r="CS973" s="59"/>
      <c r="CT973" s="59"/>
      <c r="CU973" s="59"/>
      <c r="CV973" s="59"/>
      <c r="CW973" s="59"/>
      <c r="CX973" s="59"/>
      <c r="CY973" s="59"/>
      <c r="CZ973" s="59"/>
      <c r="DA973" s="59"/>
      <c r="DB973" s="59"/>
      <c r="DC973" s="59"/>
      <c r="DD973" s="59"/>
      <c r="DE973" s="59"/>
      <c r="DF973" s="59"/>
      <c r="DG973" s="59"/>
      <c r="DH973" s="59"/>
      <c r="DI973" s="59"/>
      <c r="DJ973" s="59"/>
      <c r="DK973" s="59"/>
      <c r="DL973" s="59"/>
      <c r="DM973" s="59"/>
      <c r="DN973" s="59"/>
      <c r="DO973" s="59"/>
      <c r="DP973" s="59"/>
      <c r="DQ973" s="59"/>
      <c r="DR973" s="59"/>
      <c r="DS973" s="59"/>
      <c r="DT973" s="59"/>
      <c r="DU973" s="59"/>
      <c r="DV973" s="59"/>
      <c r="DW973" s="59"/>
      <c r="DX973" s="59"/>
      <c r="DY973" s="59"/>
      <c r="DZ973" s="59"/>
      <c r="EA973" s="59"/>
      <c r="EB973" s="59"/>
      <c r="EC973" s="59"/>
      <c r="ED973" s="59"/>
      <c r="EE973" s="59"/>
      <c r="EF973" s="59"/>
      <c r="EG973" s="59"/>
      <c r="EH973" s="59"/>
      <c r="EI973" s="59"/>
      <c r="EJ973" s="59"/>
      <c r="EK973" s="59"/>
      <c r="EL973" s="59"/>
      <c r="EM973" s="59"/>
      <c r="EN973" s="59"/>
      <c r="EO973" s="59"/>
      <c r="EP973" s="59"/>
      <c r="EQ973" s="59"/>
      <c r="ER973" s="59"/>
      <c r="ES973" s="59"/>
      <c r="ET973" s="59"/>
      <c r="EU973" s="59"/>
      <c r="EV973" s="59"/>
      <c r="EW973" s="59"/>
      <c r="EX973" s="59"/>
      <c r="EY973" s="59"/>
      <c r="EZ973" s="59"/>
      <c r="FA973" s="59"/>
      <c r="FB973" s="59"/>
      <c r="FC973" s="59"/>
      <c r="FD973" s="59"/>
      <c r="FE973" s="59"/>
      <c r="FF973" s="59"/>
      <c r="FG973" s="59"/>
      <c r="FH973" s="59"/>
      <c r="FI973" s="59"/>
      <c r="FJ973" s="59"/>
      <c r="FK973" s="59"/>
      <c r="FL973" s="59"/>
      <c r="FM973" s="59"/>
      <c r="FN973" s="59"/>
      <c r="FO973" s="59"/>
      <c r="FP973" s="59"/>
      <c r="FQ973" s="59"/>
      <c r="FR973" s="59"/>
      <c r="FS973" s="59"/>
      <c r="FT973" s="59"/>
      <c r="FU973" s="59"/>
      <c r="FV973" s="59"/>
      <c r="FW973" s="59"/>
      <c r="FX973" s="59"/>
      <c r="FY973" s="59"/>
      <c r="FZ973" s="59"/>
      <c r="GA973" s="59"/>
      <c r="GB973" s="59"/>
      <c r="GC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  <c r="BV974" s="59"/>
      <c r="BW974" s="59"/>
      <c r="BX974" s="59"/>
      <c r="BY974" s="59"/>
      <c r="BZ974" s="59"/>
      <c r="CA974" s="59"/>
      <c r="CB974" s="59"/>
      <c r="CC974" s="59"/>
      <c r="CD974" s="59"/>
      <c r="CE974" s="59"/>
      <c r="CF974" s="59"/>
      <c r="CG974" s="59"/>
      <c r="CH974" s="59"/>
      <c r="CI974" s="59"/>
      <c r="CJ974" s="59"/>
      <c r="CK974" s="59"/>
      <c r="CL974" s="59"/>
      <c r="CM974" s="59"/>
      <c r="CN974" s="59"/>
      <c r="CO974" s="59"/>
      <c r="CP974" s="59"/>
      <c r="CQ974" s="59"/>
      <c r="CR974" s="59"/>
      <c r="CS974" s="59"/>
      <c r="CT974" s="59"/>
      <c r="CU974" s="59"/>
      <c r="CV974" s="59"/>
      <c r="CW974" s="59"/>
      <c r="CX974" s="59"/>
      <c r="CY974" s="59"/>
      <c r="CZ974" s="59"/>
      <c r="DA974" s="59"/>
      <c r="DB974" s="59"/>
      <c r="DC974" s="59"/>
      <c r="DD974" s="59"/>
      <c r="DE974" s="59"/>
      <c r="DF974" s="59"/>
      <c r="DG974" s="59"/>
      <c r="DH974" s="59"/>
      <c r="DI974" s="59"/>
      <c r="DJ974" s="59"/>
      <c r="DK974" s="59"/>
      <c r="DL974" s="59"/>
      <c r="DM974" s="59"/>
      <c r="DN974" s="59"/>
      <c r="DO974" s="59"/>
      <c r="DP974" s="59"/>
      <c r="DQ974" s="59"/>
      <c r="DR974" s="59"/>
      <c r="DS974" s="59"/>
      <c r="DT974" s="59"/>
      <c r="DU974" s="59"/>
      <c r="DV974" s="59"/>
      <c r="DW974" s="59"/>
      <c r="DX974" s="59"/>
      <c r="DY974" s="59"/>
      <c r="DZ974" s="59"/>
      <c r="EA974" s="59"/>
      <c r="EB974" s="59"/>
      <c r="EC974" s="59"/>
      <c r="ED974" s="59"/>
      <c r="EE974" s="59"/>
      <c r="EF974" s="59"/>
      <c r="EG974" s="59"/>
      <c r="EH974" s="59"/>
      <c r="EI974" s="59"/>
      <c r="EJ974" s="59"/>
      <c r="EK974" s="59"/>
      <c r="EL974" s="59"/>
      <c r="EM974" s="59"/>
      <c r="EN974" s="59"/>
      <c r="EO974" s="59"/>
      <c r="EP974" s="59"/>
      <c r="EQ974" s="59"/>
      <c r="ER974" s="59"/>
      <c r="ES974" s="59"/>
      <c r="ET974" s="59"/>
      <c r="EU974" s="59"/>
      <c r="EV974" s="59"/>
      <c r="EW974" s="59"/>
      <c r="EX974" s="59"/>
      <c r="EY974" s="59"/>
      <c r="EZ974" s="59"/>
      <c r="FA974" s="59"/>
      <c r="FB974" s="59"/>
      <c r="FC974" s="59"/>
      <c r="FD974" s="59"/>
      <c r="FE974" s="59"/>
      <c r="FF974" s="59"/>
      <c r="FG974" s="59"/>
      <c r="FH974" s="59"/>
      <c r="FI974" s="59"/>
      <c r="FJ974" s="59"/>
      <c r="FK974" s="59"/>
      <c r="FL974" s="59"/>
      <c r="FM974" s="59"/>
      <c r="FN974" s="59"/>
      <c r="FO974" s="59"/>
      <c r="FP974" s="59"/>
      <c r="FQ974" s="59"/>
      <c r="FR974" s="59"/>
      <c r="FS974" s="59"/>
      <c r="FT974" s="59"/>
      <c r="FU974" s="59"/>
      <c r="FV974" s="59"/>
      <c r="FW974" s="59"/>
      <c r="FX974" s="59"/>
      <c r="FY974" s="59"/>
      <c r="FZ974" s="59"/>
      <c r="GA974" s="59"/>
      <c r="GB974" s="59"/>
      <c r="GC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  <c r="BV975" s="59"/>
      <c r="BW975" s="59"/>
      <c r="BX975" s="59"/>
      <c r="BY975" s="59"/>
      <c r="BZ975" s="59"/>
      <c r="CA975" s="59"/>
      <c r="CB975" s="59"/>
      <c r="CC975" s="59"/>
      <c r="CD975" s="59"/>
      <c r="CE975" s="59"/>
      <c r="CF975" s="59"/>
      <c r="CG975" s="59"/>
      <c r="CH975" s="59"/>
      <c r="CI975" s="59"/>
      <c r="CJ975" s="59"/>
      <c r="CK975" s="59"/>
      <c r="CL975" s="59"/>
      <c r="CM975" s="59"/>
      <c r="CN975" s="59"/>
      <c r="CO975" s="59"/>
      <c r="CP975" s="59"/>
      <c r="CQ975" s="59"/>
      <c r="CR975" s="59"/>
      <c r="CS975" s="59"/>
      <c r="CT975" s="59"/>
      <c r="CU975" s="59"/>
      <c r="CV975" s="59"/>
      <c r="CW975" s="59"/>
      <c r="CX975" s="59"/>
      <c r="CY975" s="59"/>
      <c r="CZ975" s="59"/>
      <c r="DA975" s="59"/>
      <c r="DB975" s="59"/>
      <c r="DC975" s="59"/>
      <c r="DD975" s="59"/>
      <c r="DE975" s="59"/>
      <c r="DF975" s="59"/>
      <c r="DG975" s="59"/>
      <c r="DH975" s="59"/>
      <c r="DI975" s="59"/>
      <c r="DJ975" s="59"/>
      <c r="DK975" s="59"/>
      <c r="DL975" s="59"/>
      <c r="DM975" s="59"/>
      <c r="DN975" s="59"/>
      <c r="DO975" s="59"/>
      <c r="DP975" s="59"/>
      <c r="DQ975" s="59"/>
      <c r="DR975" s="59"/>
      <c r="DS975" s="59"/>
      <c r="DT975" s="59"/>
      <c r="DU975" s="59"/>
      <c r="DV975" s="59"/>
      <c r="DW975" s="59"/>
      <c r="DX975" s="59"/>
      <c r="DY975" s="59"/>
      <c r="DZ975" s="59"/>
      <c r="EA975" s="59"/>
      <c r="EB975" s="59"/>
      <c r="EC975" s="59"/>
      <c r="ED975" s="59"/>
      <c r="EE975" s="59"/>
      <c r="EF975" s="59"/>
      <c r="EG975" s="59"/>
      <c r="EH975" s="59"/>
      <c r="EI975" s="59"/>
      <c r="EJ975" s="59"/>
      <c r="EK975" s="59"/>
      <c r="EL975" s="59"/>
      <c r="EM975" s="59"/>
      <c r="EN975" s="59"/>
      <c r="EO975" s="59"/>
      <c r="EP975" s="59"/>
      <c r="EQ975" s="59"/>
      <c r="ER975" s="59"/>
      <c r="ES975" s="59"/>
      <c r="ET975" s="59"/>
      <c r="EU975" s="59"/>
      <c r="EV975" s="59"/>
      <c r="EW975" s="59"/>
      <c r="EX975" s="59"/>
      <c r="EY975" s="59"/>
      <c r="EZ975" s="59"/>
      <c r="FA975" s="59"/>
      <c r="FB975" s="59"/>
      <c r="FC975" s="59"/>
      <c r="FD975" s="59"/>
      <c r="FE975" s="59"/>
      <c r="FF975" s="59"/>
      <c r="FG975" s="59"/>
      <c r="FH975" s="59"/>
      <c r="FI975" s="59"/>
      <c r="FJ975" s="59"/>
      <c r="FK975" s="59"/>
      <c r="FL975" s="59"/>
      <c r="FM975" s="59"/>
      <c r="FN975" s="59"/>
      <c r="FO975" s="59"/>
      <c r="FP975" s="59"/>
      <c r="FQ975" s="59"/>
      <c r="FR975" s="59"/>
      <c r="FS975" s="59"/>
      <c r="FT975" s="59"/>
      <c r="FU975" s="59"/>
      <c r="FV975" s="59"/>
      <c r="FW975" s="59"/>
      <c r="FX975" s="59"/>
      <c r="FY975" s="59"/>
      <c r="FZ975" s="59"/>
      <c r="GA975" s="59"/>
      <c r="GB975" s="59"/>
      <c r="GC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  <c r="BV976" s="59"/>
      <c r="BW976" s="59"/>
      <c r="BX976" s="59"/>
      <c r="BY976" s="59"/>
      <c r="BZ976" s="59"/>
      <c r="CA976" s="59"/>
      <c r="CB976" s="59"/>
      <c r="CC976" s="59"/>
      <c r="CD976" s="59"/>
      <c r="CE976" s="59"/>
      <c r="CF976" s="59"/>
      <c r="CG976" s="59"/>
      <c r="CH976" s="59"/>
      <c r="CI976" s="59"/>
      <c r="CJ976" s="59"/>
      <c r="CK976" s="59"/>
      <c r="CL976" s="59"/>
      <c r="CM976" s="59"/>
      <c r="CN976" s="59"/>
      <c r="CO976" s="59"/>
      <c r="CP976" s="59"/>
      <c r="CQ976" s="59"/>
      <c r="CR976" s="59"/>
      <c r="CS976" s="59"/>
      <c r="CT976" s="59"/>
      <c r="CU976" s="59"/>
      <c r="CV976" s="59"/>
      <c r="CW976" s="59"/>
      <c r="CX976" s="59"/>
      <c r="CY976" s="59"/>
      <c r="CZ976" s="59"/>
      <c r="DA976" s="59"/>
      <c r="DB976" s="59"/>
      <c r="DC976" s="59"/>
      <c r="DD976" s="59"/>
      <c r="DE976" s="59"/>
      <c r="DF976" s="59"/>
      <c r="DG976" s="59"/>
      <c r="DH976" s="59"/>
      <c r="DI976" s="59"/>
      <c r="DJ976" s="59"/>
      <c r="DK976" s="59"/>
      <c r="DL976" s="59"/>
      <c r="DM976" s="59"/>
      <c r="DN976" s="59"/>
      <c r="DO976" s="59"/>
      <c r="DP976" s="59"/>
      <c r="DQ976" s="59"/>
      <c r="DR976" s="59"/>
      <c r="DS976" s="59"/>
      <c r="DT976" s="59"/>
      <c r="DU976" s="59"/>
      <c r="DV976" s="59"/>
      <c r="DW976" s="59"/>
      <c r="DX976" s="59"/>
      <c r="DY976" s="59"/>
      <c r="DZ976" s="59"/>
      <c r="EA976" s="59"/>
      <c r="EB976" s="59"/>
      <c r="EC976" s="59"/>
      <c r="ED976" s="59"/>
      <c r="EE976" s="59"/>
      <c r="EF976" s="59"/>
      <c r="EG976" s="59"/>
      <c r="EH976" s="59"/>
      <c r="EI976" s="59"/>
      <c r="EJ976" s="59"/>
      <c r="EK976" s="59"/>
      <c r="EL976" s="59"/>
      <c r="EM976" s="59"/>
      <c r="EN976" s="59"/>
      <c r="EO976" s="59"/>
      <c r="EP976" s="59"/>
      <c r="EQ976" s="59"/>
      <c r="ER976" s="59"/>
      <c r="ES976" s="59"/>
      <c r="ET976" s="59"/>
      <c r="EU976" s="59"/>
      <c r="EV976" s="59"/>
      <c r="EW976" s="59"/>
      <c r="EX976" s="59"/>
      <c r="EY976" s="59"/>
      <c r="EZ976" s="59"/>
      <c r="FA976" s="59"/>
      <c r="FB976" s="59"/>
      <c r="FC976" s="59"/>
      <c r="FD976" s="59"/>
      <c r="FE976" s="59"/>
      <c r="FF976" s="59"/>
      <c r="FG976" s="59"/>
      <c r="FH976" s="59"/>
      <c r="FI976" s="59"/>
      <c r="FJ976" s="59"/>
      <c r="FK976" s="59"/>
      <c r="FL976" s="59"/>
      <c r="FM976" s="59"/>
      <c r="FN976" s="59"/>
      <c r="FO976" s="59"/>
      <c r="FP976" s="59"/>
      <c r="FQ976" s="59"/>
      <c r="FR976" s="59"/>
      <c r="FS976" s="59"/>
      <c r="FT976" s="59"/>
      <c r="FU976" s="59"/>
      <c r="FV976" s="59"/>
      <c r="FW976" s="59"/>
      <c r="FX976" s="59"/>
      <c r="FY976" s="59"/>
      <c r="FZ976" s="59"/>
      <c r="GA976" s="59"/>
      <c r="GB976" s="59"/>
      <c r="GC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  <c r="BV977" s="59"/>
      <c r="BW977" s="59"/>
      <c r="BX977" s="59"/>
      <c r="BY977" s="59"/>
      <c r="BZ977" s="59"/>
      <c r="CA977" s="59"/>
      <c r="CB977" s="59"/>
      <c r="CC977" s="59"/>
      <c r="CD977" s="59"/>
      <c r="CE977" s="59"/>
      <c r="CF977" s="59"/>
      <c r="CG977" s="59"/>
      <c r="CH977" s="59"/>
      <c r="CI977" s="59"/>
      <c r="CJ977" s="59"/>
      <c r="CK977" s="59"/>
      <c r="CL977" s="59"/>
      <c r="CM977" s="59"/>
      <c r="CN977" s="59"/>
      <c r="CO977" s="59"/>
      <c r="CP977" s="59"/>
      <c r="CQ977" s="59"/>
      <c r="CR977" s="59"/>
      <c r="CS977" s="59"/>
      <c r="CT977" s="59"/>
      <c r="CU977" s="59"/>
      <c r="CV977" s="59"/>
      <c r="CW977" s="59"/>
      <c r="CX977" s="59"/>
      <c r="CY977" s="59"/>
      <c r="CZ977" s="59"/>
      <c r="DA977" s="59"/>
      <c r="DB977" s="59"/>
      <c r="DC977" s="59"/>
      <c r="DD977" s="59"/>
      <c r="DE977" s="59"/>
      <c r="DF977" s="59"/>
      <c r="DG977" s="59"/>
      <c r="DH977" s="59"/>
      <c r="DI977" s="59"/>
      <c r="DJ977" s="59"/>
      <c r="DK977" s="59"/>
      <c r="DL977" s="59"/>
      <c r="DM977" s="59"/>
      <c r="DN977" s="59"/>
      <c r="DO977" s="59"/>
      <c r="DP977" s="59"/>
      <c r="DQ977" s="59"/>
      <c r="DR977" s="59"/>
      <c r="DS977" s="59"/>
      <c r="DT977" s="59"/>
      <c r="DU977" s="59"/>
      <c r="DV977" s="59"/>
      <c r="DW977" s="59"/>
      <c r="DX977" s="59"/>
      <c r="DY977" s="59"/>
      <c r="DZ977" s="59"/>
      <c r="EA977" s="59"/>
      <c r="EB977" s="59"/>
      <c r="EC977" s="59"/>
      <c r="ED977" s="59"/>
      <c r="EE977" s="59"/>
      <c r="EF977" s="59"/>
      <c r="EG977" s="59"/>
      <c r="EH977" s="59"/>
      <c r="EI977" s="59"/>
      <c r="EJ977" s="59"/>
      <c r="EK977" s="59"/>
      <c r="EL977" s="59"/>
      <c r="EM977" s="59"/>
      <c r="EN977" s="59"/>
      <c r="EO977" s="59"/>
      <c r="EP977" s="59"/>
      <c r="EQ977" s="59"/>
      <c r="ER977" s="59"/>
      <c r="ES977" s="59"/>
      <c r="ET977" s="59"/>
      <c r="EU977" s="59"/>
      <c r="EV977" s="59"/>
      <c r="EW977" s="59"/>
      <c r="EX977" s="59"/>
      <c r="EY977" s="59"/>
      <c r="EZ977" s="59"/>
      <c r="FA977" s="59"/>
      <c r="FB977" s="59"/>
      <c r="FC977" s="59"/>
      <c r="FD977" s="59"/>
      <c r="FE977" s="59"/>
      <c r="FF977" s="59"/>
      <c r="FG977" s="59"/>
      <c r="FH977" s="59"/>
      <c r="FI977" s="59"/>
      <c r="FJ977" s="59"/>
      <c r="FK977" s="59"/>
      <c r="FL977" s="59"/>
      <c r="FM977" s="59"/>
      <c r="FN977" s="59"/>
      <c r="FO977" s="59"/>
      <c r="FP977" s="59"/>
      <c r="FQ977" s="59"/>
      <c r="FR977" s="59"/>
      <c r="FS977" s="59"/>
      <c r="FT977" s="59"/>
      <c r="FU977" s="59"/>
      <c r="FV977" s="59"/>
      <c r="FW977" s="59"/>
      <c r="FX977" s="59"/>
      <c r="FY977" s="59"/>
      <c r="FZ977" s="59"/>
      <c r="GA977" s="59"/>
      <c r="GB977" s="59"/>
      <c r="GC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  <c r="BV978" s="59"/>
      <c r="BW978" s="59"/>
      <c r="BX978" s="59"/>
      <c r="BY978" s="59"/>
      <c r="BZ978" s="59"/>
      <c r="CA978" s="59"/>
      <c r="CB978" s="59"/>
      <c r="CC978" s="59"/>
      <c r="CD978" s="59"/>
      <c r="CE978" s="59"/>
      <c r="CF978" s="59"/>
      <c r="CG978" s="59"/>
      <c r="CH978" s="59"/>
      <c r="CI978" s="59"/>
      <c r="CJ978" s="59"/>
      <c r="CK978" s="59"/>
      <c r="CL978" s="59"/>
      <c r="CM978" s="59"/>
      <c r="CN978" s="59"/>
      <c r="CO978" s="59"/>
      <c r="CP978" s="59"/>
      <c r="CQ978" s="59"/>
      <c r="CR978" s="59"/>
      <c r="CS978" s="59"/>
      <c r="CT978" s="59"/>
      <c r="CU978" s="59"/>
      <c r="CV978" s="59"/>
      <c r="CW978" s="59"/>
      <c r="CX978" s="59"/>
      <c r="CY978" s="59"/>
      <c r="CZ978" s="59"/>
      <c r="DA978" s="59"/>
      <c r="DB978" s="59"/>
      <c r="DC978" s="59"/>
      <c r="DD978" s="59"/>
      <c r="DE978" s="59"/>
      <c r="DF978" s="59"/>
      <c r="DG978" s="59"/>
      <c r="DH978" s="59"/>
      <c r="DI978" s="59"/>
      <c r="DJ978" s="59"/>
      <c r="DK978" s="59"/>
      <c r="DL978" s="59"/>
      <c r="DM978" s="59"/>
      <c r="DN978" s="59"/>
      <c r="DO978" s="59"/>
      <c r="DP978" s="59"/>
      <c r="DQ978" s="59"/>
      <c r="DR978" s="59"/>
      <c r="DS978" s="59"/>
      <c r="DT978" s="59"/>
      <c r="DU978" s="59"/>
      <c r="DV978" s="59"/>
      <c r="DW978" s="59"/>
      <c r="DX978" s="59"/>
      <c r="DY978" s="59"/>
      <c r="DZ978" s="59"/>
      <c r="EA978" s="59"/>
      <c r="EB978" s="59"/>
      <c r="EC978" s="59"/>
      <c r="ED978" s="59"/>
      <c r="EE978" s="59"/>
      <c r="EF978" s="59"/>
      <c r="EG978" s="59"/>
      <c r="EH978" s="59"/>
      <c r="EI978" s="59"/>
      <c r="EJ978" s="59"/>
      <c r="EK978" s="59"/>
      <c r="EL978" s="59"/>
      <c r="EM978" s="59"/>
      <c r="EN978" s="59"/>
      <c r="EO978" s="59"/>
      <c r="EP978" s="59"/>
      <c r="EQ978" s="59"/>
      <c r="ER978" s="59"/>
      <c r="ES978" s="59"/>
      <c r="ET978" s="59"/>
      <c r="EU978" s="59"/>
      <c r="EV978" s="59"/>
      <c r="EW978" s="59"/>
      <c r="EX978" s="59"/>
      <c r="EY978" s="59"/>
      <c r="EZ978" s="59"/>
      <c r="FA978" s="59"/>
      <c r="FB978" s="59"/>
      <c r="FC978" s="59"/>
      <c r="FD978" s="59"/>
      <c r="FE978" s="59"/>
      <c r="FF978" s="59"/>
      <c r="FG978" s="59"/>
      <c r="FH978" s="59"/>
      <c r="FI978" s="59"/>
      <c r="FJ978" s="59"/>
      <c r="FK978" s="59"/>
      <c r="FL978" s="59"/>
      <c r="FM978" s="59"/>
      <c r="FN978" s="59"/>
      <c r="FO978" s="59"/>
      <c r="FP978" s="59"/>
      <c r="FQ978" s="59"/>
      <c r="FR978" s="59"/>
      <c r="FS978" s="59"/>
      <c r="FT978" s="59"/>
      <c r="FU978" s="59"/>
      <c r="FV978" s="59"/>
      <c r="FW978" s="59"/>
      <c r="FX978" s="59"/>
      <c r="FY978" s="59"/>
      <c r="FZ978" s="59"/>
      <c r="GA978" s="59"/>
      <c r="GB978" s="59"/>
      <c r="GC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  <c r="BV979" s="59"/>
      <c r="BW979" s="59"/>
      <c r="BX979" s="59"/>
      <c r="BY979" s="59"/>
      <c r="BZ979" s="59"/>
      <c r="CA979" s="59"/>
      <c r="CB979" s="59"/>
      <c r="CC979" s="59"/>
      <c r="CD979" s="59"/>
      <c r="CE979" s="59"/>
      <c r="CF979" s="59"/>
      <c r="CG979" s="59"/>
      <c r="CH979" s="59"/>
      <c r="CI979" s="59"/>
      <c r="CJ979" s="59"/>
      <c r="CK979" s="59"/>
      <c r="CL979" s="59"/>
      <c r="CM979" s="59"/>
      <c r="CN979" s="59"/>
      <c r="CO979" s="59"/>
      <c r="CP979" s="59"/>
      <c r="CQ979" s="59"/>
      <c r="CR979" s="59"/>
      <c r="CS979" s="59"/>
      <c r="CT979" s="59"/>
      <c r="CU979" s="59"/>
      <c r="CV979" s="59"/>
      <c r="CW979" s="59"/>
      <c r="CX979" s="59"/>
      <c r="CY979" s="59"/>
      <c r="CZ979" s="59"/>
      <c r="DA979" s="59"/>
      <c r="DB979" s="59"/>
      <c r="DC979" s="59"/>
      <c r="DD979" s="59"/>
      <c r="DE979" s="59"/>
      <c r="DF979" s="59"/>
      <c r="DG979" s="59"/>
      <c r="DH979" s="59"/>
      <c r="DI979" s="59"/>
      <c r="DJ979" s="59"/>
      <c r="DK979" s="59"/>
      <c r="DL979" s="59"/>
      <c r="DM979" s="59"/>
      <c r="DN979" s="59"/>
      <c r="DO979" s="59"/>
      <c r="DP979" s="59"/>
      <c r="DQ979" s="59"/>
      <c r="DR979" s="59"/>
      <c r="DS979" s="59"/>
      <c r="DT979" s="59"/>
      <c r="DU979" s="59"/>
      <c r="DV979" s="59"/>
      <c r="DW979" s="59"/>
      <c r="DX979" s="59"/>
      <c r="DY979" s="59"/>
      <c r="DZ979" s="59"/>
      <c r="EA979" s="59"/>
      <c r="EB979" s="59"/>
      <c r="EC979" s="59"/>
      <c r="ED979" s="59"/>
      <c r="EE979" s="59"/>
      <c r="EF979" s="59"/>
      <c r="EG979" s="59"/>
      <c r="EH979" s="59"/>
      <c r="EI979" s="59"/>
      <c r="EJ979" s="59"/>
      <c r="EK979" s="59"/>
      <c r="EL979" s="59"/>
      <c r="EM979" s="59"/>
      <c r="EN979" s="59"/>
      <c r="EO979" s="59"/>
      <c r="EP979" s="59"/>
      <c r="EQ979" s="59"/>
      <c r="ER979" s="59"/>
      <c r="ES979" s="59"/>
      <c r="ET979" s="59"/>
      <c r="EU979" s="59"/>
      <c r="EV979" s="59"/>
      <c r="EW979" s="59"/>
      <c r="EX979" s="59"/>
      <c r="EY979" s="59"/>
      <c r="EZ979" s="59"/>
      <c r="FA979" s="59"/>
      <c r="FB979" s="59"/>
      <c r="FC979" s="59"/>
      <c r="FD979" s="59"/>
      <c r="FE979" s="59"/>
      <c r="FF979" s="59"/>
      <c r="FG979" s="59"/>
      <c r="FH979" s="59"/>
      <c r="FI979" s="59"/>
      <c r="FJ979" s="59"/>
      <c r="FK979" s="59"/>
      <c r="FL979" s="59"/>
      <c r="FM979" s="59"/>
      <c r="FN979" s="59"/>
      <c r="FO979" s="59"/>
      <c r="FP979" s="59"/>
      <c r="FQ979" s="59"/>
      <c r="FR979" s="59"/>
      <c r="FS979" s="59"/>
      <c r="FT979" s="59"/>
      <c r="FU979" s="59"/>
      <c r="FV979" s="59"/>
      <c r="FW979" s="59"/>
      <c r="FX979" s="59"/>
      <c r="FY979" s="59"/>
      <c r="FZ979" s="59"/>
      <c r="GA979" s="59"/>
      <c r="GB979" s="59"/>
      <c r="GC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  <c r="BV980" s="59"/>
      <c r="BW980" s="59"/>
      <c r="BX980" s="59"/>
      <c r="BY980" s="59"/>
      <c r="BZ980" s="59"/>
      <c r="CA980" s="59"/>
      <c r="CB980" s="59"/>
      <c r="CC980" s="59"/>
      <c r="CD980" s="59"/>
      <c r="CE980" s="59"/>
      <c r="CF980" s="59"/>
      <c r="CG980" s="59"/>
      <c r="CH980" s="59"/>
      <c r="CI980" s="59"/>
      <c r="CJ980" s="59"/>
      <c r="CK980" s="59"/>
      <c r="CL980" s="59"/>
      <c r="CM980" s="59"/>
      <c r="CN980" s="59"/>
      <c r="CO980" s="59"/>
      <c r="CP980" s="59"/>
      <c r="CQ980" s="59"/>
      <c r="CR980" s="59"/>
      <c r="CS980" s="59"/>
      <c r="CT980" s="59"/>
      <c r="CU980" s="59"/>
      <c r="CV980" s="59"/>
      <c r="CW980" s="59"/>
      <c r="CX980" s="59"/>
      <c r="CY980" s="59"/>
      <c r="CZ980" s="59"/>
      <c r="DA980" s="59"/>
      <c r="DB980" s="59"/>
      <c r="DC980" s="59"/>
      <c r="DD980" s="59"/>
      <c r="DE980" s="59"/>
      <c r="DF980" s="59"/>
      <c r="DG980" s="59"/>
      <c r="DH980" s="59"/>
      <c r="DI980" s="59"/>
      <c r="DJ980" s="59"/>
      <c r="DK980" s="59"/>
      <c r="DL980" s="59"/>
      <c r="DM980" s="59"/>
      <c r="DN980" s="59"/>
      <c r="DO980" s="59"/>
      <c r="DP980" s="59"/>
      <c r="DQ980" s="59"/>
      <c r="DR980" s="59"/>
      <c r="DS980" s="59"/>
      <c r="DT980" s="59"/>
      <c r="DU980" s="59"/>
      <c r="DV980" s="59"/>
      <c r="DW980" s="59"/>
      <c r="DX980" s="59"/>
      <c r="DY980" s="59"/>
      <c r="DZ980" s="59"/>
      <c r="EA980" s="59"/>
      <c r="EB980" s="59"/>
      <c r="EC980" s="59"/>
      <c r="ED980" s="59"/>
      <c r="EE980" s="59"/>
      <c r="EF980" s="59"/>
      <c r="EG980" s="59"/>
      <c r="EH980" s="59"/>
      <c r="EI980" s="59"/>
      <c r="EJ980" s="59"/>
      <c r="EK980" s="59"/>
      <c r="EL980" s="59"/>
      <c r="EM980" s="59"/>
      <c r="EN980" s="59"/>
      <c r="EO980" s="59"/>
      <c r="EP980" s="59"/>
      <c r="EQ980" s="59"/>
      <c r="ER980" s="59"/>
      <c r="ES980" s="59"/>
      <c r="ET980" s="59"/>
      <c r="EU980" s="59"/>
      <c r="EV980" s="59"/>
      <c r="EW980" s="59"/>
      <c r="EX980" s="59"/>
      <c r="EY980" s="59"/>
      <c r="EZ980" s="59"/>
      <c r="FA980" s="59"/>
      <c r="FB980" s="59"/>
      <c r="FC980" s="59"/>
      <c r="FD980" s="59"/>
      <c r="FE980" s="59"/>
      <c r="FF980" s="59"/>
      <c r="FG980" s="59"/>
      <c r="FH980" s="59"/>
      <c r="FI980" s="59"/>
      <c r="FJ980" s="59"/>
      <c r="FK980" s="59"/>
      <c r="FL980" s="59"/>
      <c r="FM980" s="59"/>
      <c r="FN980" s="59"/>
      <c r="FO980" s="59"/>
      <c r="FP980" s="59"/>
      <c r="FQ980" s="59"/>
      <c r="FR980" s="59"/>
      <c r="FS980" s="59"/>
      <c r="FT980" s="59"/>
      <c r="FU980" s="59"/>
      <c r="FV980" s="59"/>
      <c r="FW980" s="59"/>
      <c r="FX980" s="59"/>
      <c r="FY980" s="59"/>
      <c r="FZ980" s="59"/>
      <c r="GA980" s="59"/>
      <c r="GB980" s="59"/>
      <c r="GC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  <c r="BV981" s="59"/>
      <c r="BW981" s="59"/>
      <c r="BX981" s="59"/>
      <c r="BY981" s="59"/>
      <c r="BZ981" s="59"/>
      <c r="CA981" s="59"/>
      <c r="CB981" s="59"/>
      <c r="CC981" s="59"/>
      <c r="CD981" s="59"/>
      <c r="CE981" s="59"/>
      <c r="CF981" s="59"/>
      <c r="CG981" s="59"/>
      <c r="CH981" s="59"/>
      <c r="CI981" s="59"/>
      <c r="CJ981" s="59"/>
      <c r="CK981" s="59"/>
      <c r="CL981" s="59"/>
      <c r="CM981" s="59"/>
      <c r="CN981" s="59"/>
      <c r="CO981" s="59"/>
      <c r="CP981" s="59"/>
      <c r="CQ981" s="59"/>
      <c r="CR981" s="59"/>
      <c r="CS981" s="59"/>
      <c r="CT981" s="59"/>
      <c r="CU981" s="59"/>
      <c r="CV981" s="59"/>
      <c r="CW981" s="59"/>
      <c r="CX981" s="59"/>
      <c r="CY981" s="59"/>
      <c r="CZ981" s="59"/>
      <c r="DA981" s="59"/>
      <c r="DB981" s="59"/>
      <c r="DC981" s="59"/>
      <c r="DD981" s="59"/>
      <c r="DE981" s="59"/>
      <c r="DF981" s="59"/>
      <c r="DG981" s="59"/>
      <c r="DH981" s="59"/>
      <c r="DI981" s="59"/>
      <c r="DJ981" s="59"/>
      <c r="DK981" s="59"/>
      <c r="DL981" s="59"/>
      <c r="DM981" s="59"/>
      <c r="DN981" s="59"/>
      <c r="DO981" s="59"/>
      <c r="DP981" s="59"/>
      <c r="DQ981" s="59"/>
      <c r="DR981" s="59"/>
      <c r="DS981" s="59"/>
      <c r="DT981" s="59"/>
      <c r="DU981" s="59"/>
      <c r="DV981" s="59"/>
      <c r="DW981" s="59"/>
      <c r="DX981" s="59"/>
      <c r="DY981" s="59"/>
      <c r="DZ981" s="59"/>
      <c r="EA981" s="59"/>
      <c r="EB981" s="59"/>
      <c r="EC981" s="59"/>
      <c r="ED981" s="59"/>
      <c r="EE981" s="59"/>
      <c r="EF981" s="59"/>
      <c r="EG981" s="59"/>
      <c r="EH981" s="59"/>
      <c r="EI981" s="59"/>
      <c r="EJ981" s="59"/>
      <c r="EK981" s="59"/>
      <c r="EL981" s="59"/>
      <c r="EM981" s="59"/>
      <c r="EN981" s="59"/>
      <c r="EO981" s="59"/>
      <c r="EP981" s="59"/>
      <c r="EQ981" s="59"/>
      <c r="ER981" s="59"/>
      <c r="ES981" s="59"/>
      <c r="ET981" s="59"/>
      <c r="EU981" s="59"/>
      <c r="EV981" s="59"/>
      <c r="EW981" s="59"/>
      <c r="EX981" s="59"/>
      <c r="EY981" s="59"/>
      <c r="EZ981" s="59"/>
      <c r="FA981" s="59"/>
      <c r="FB981" s="59"/>
      <c r="FC981" s="59"/>
      <c r="FD981" s="59"/>
      <c r="FE981" s="59"/>
      <c r="FF981" s="59"/>
      <c r="FG981" s="59"/>
      <c r="FH981" s="59"/>
      <c r="FI981" s="59"/>
      <c r="FJ981" s="59"/>
      <c r="FK981" s="59"/>
      <c r="FL981" s="59"/>
      <c r="FM981" s="59"/>
      <c r="FN981" s="59"/>
      <c r="FO981" s="59"/>
      <c r="FP981" s="59"/>
      <c r="FQ981" s="59"/>
      <c r="FR981" s="59"/>
      <c r="FS981" s="59"/>
      <c r="FT981" s="59"/>
      <c r="FU981" s="59"/>
      <c r="FV981" s="59"/>
      <c r="FW981" s="59"/>
      <c r="FX981" s="59"/>
      <c r="FY981" s="59"/>
      <c r="FZ981" s="59"/>
      <c r="GA981" s="59"/>
      <c r="GB981" s="59"/>
      <c r="GC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  <c r="BV982" s="59"/>
      <c r="BW982" s="59"/>
      <c r="BX982" s="59"/>
      <c r="BY982" s="59"/>
      <c r="BZ982" s="59"/>
      <c r="CA982" s="59"/>
      <c r="CB982" s="59"/>
      <c r="CC982" s="59"/>
      <c r="CD982" s="59"/>
      <c r="CE982" s="59"/>
      <c r="CF982" s="59"/>
      <c r="CG982" s="59"/>
      <c r="CH982" s="59"/>
      <c r="CI982" s="59"/>
      <c r="CJ982" s="59"/>
      <c r="CK982" s="59"/>
      <c r="CL982" s="59"/>
      <c r="CM982" s="59"/>
      <c r="CN982" s="59"/>
      <c r="CO982" s="59"/>
      <c r="CP982" s="59"/>
      <c r="CQ982" s="59"/>
      <c r="CR982" s="59"/>
      <c r="CS982" s="59"/>
      <c r="CT982" s="59"/>
      <c r="CU982" s="59"/>
      <c r="CV982" s="59"/>
      <c r="CW982" s="59"/>
      <c r="CX982" s="59"/>
      <c r="CY982" s="59"/>
      <c r="CZ982" s="59"/>
      <c r="DA982" s="59"/>
      <c r="DB982" s="59"/>
      <c r="DC982" s="59"/>
      <c r="DD982" s="59"/>
      <c r="DE982" s="59"/>
      <c r="DF982" s="59"/>
      <c r="DG982" s="59"/>
      <c r="DH982" s="59"/>
      <c r="DI982" s="59"/>
      <c r="DJ982" s="59"/>
      <c r="DK982" s="59"/>
      <c r="DL982" s="59"/>
      <c r="DM982" s="59"/>
      <c r="DN982" s="59"/>
      <c r="DO982" s="59"/>
      <c r="DP982" s="59"/>
      <c r="DQ982" s="59"/>
      <c r="DR982" s="59"/>
      <c r="DS982" s="59"/>
      <c r="DT982" s="59"/>
      <c r="DU982" s="59"/>
      <c r="DV982" s="59"/>
      <c r="DW982" s="59"/>
      <c r="DX982" s="59"/>
      <c r="DY982" s="59"/>
      <c r="DZ982" s="59"/>
      <c r="EA982" s="59"/>
      <c r="EB982" s="59"/>
      <c r="EC982" s="59"/>
      <c r="ED982" s="59"/>
      <c r="EE982" s="59"/>
      <c r="EF982" s="59"/>
      <c r="EG982" s="59"/>
      <c r="EH982" s="59"/>
      <c r="EI982" s="59"/>
      <c r="EJ982" s="59"/>
      <c r="EK982" s="59"/>
      <c r="EL982" s="59"/>
      <c r="EM982" s="59"/>
      <c r="EN982" s="59"/>
      <c r="EO982" s="59"/>
      <c r="EP982" s="59"/>
      <c r="EQ982" s="59"/>
      <c r="ER982" s="59"/>
      <c r="ES982" s="59"/>
      <c r="ET982" s="59"/>
      <c r="EU982" s="59"/>
      <c r="EV982" s="59"/>
      <c r="EW982" s="59"/>
      <c r="EX982" s="59"/>
      <c r="EY982" s="59"/>
      <c r="EZ982" s="59"/>
      <c r="FA982" s="59"/>
      <c r="FB982" s="59"/>
      <c r="FC982" s="59"/>
      <c r="FD982" s="59"/>
      <c r="FE982" s="59"/>
      <c r="FF982" s="59"/>
      <c r="FG982" s="59"/>
      <c r="FH982" s="59"/>
      <c r="FI982" s="59"/>
      <c r="FJ982" s="59"/>
      <c r="FK982" s="59"/>
      <c r="FL982" s="59"/>
      <c r="FM982" s="59"/>
      <c r="FN982" s="59"/>
      <c r="FO982" s="59"/>
      <c r="FP982" s="59"/>
      <c r="FQ982" s="59"/>
      <c r="FR982" s="59"/>
      <c r="FS982" s="59"/>
      <c r="FT982" s="59"/>
      <c r="FU982" s="59"/>
      <c r="FV982" s="59"/>
      <c r="FW982" s="59"/>
      <c r="FX982" s="59"/>
      <c r="FY982" s="59"/>
      <c r="FZ982" s="59"/>
      <c r="GA982" s="59"/>
      <c r="GB982" s="59"/>
      <c r="GC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  <c r="BV983" s="59"/>
      <c r="BW983" s="59"/>
      <c r="BX983" s="59"/>
      <c r="BY983" s="59"/>
      <c r="BZ983" s="59"/>
      <c r="CA983" s="59"/>
      <c r="CB983" s="59"/>
      <c r="CC983" s="59"/>
      <c r="CD983" s="59"/>
      <c r="CE983" s="59"/>
      <c r="CF983" s="59"/>
      <c r="CG983" s="59"/>
      <c r="CH983" s="59"/>
      <c r="CI983" s="59"/>
      <c r="CJ983" s="59"/>
      <c r="CK983" s="59"/>
      <c r="CL983" s="59"/>
      <c r="CM983" s="59"/>
      <c r="CN983" s="59"/>
      <c r="CO983" s="59"/>
      <c r="CP983" s="59"/>
      <c r="CQ983" s="59"/>
      <c r="CR983" s="59"/>
      <c r="CS983" s="59"/>
      <c r="CT983" s="59"/>
      <c r="CU983" s="59"/>
      <c r="CV983" s="59"/>
      <c r="CW983" s="59"/>
      <c r="CX983" s="59"/>
      <c r="CY983" s="59"/>
      <c r="CZ983" s="59"/>
      <c r="DA983" s="59"/>
      <c r="DB983" s="59"/>
      <c r="DC983" s="59"/>
      <c r="DD983" s="59"/>
      <c r="DE983" s="59"/>
      <c r="DF983" s="59"/>
      <c r="DG983" s="59"/>
      <c r="DH983" s="59"/>
      <c r="DI983" s="59"/>
      <c r="DJ983" s="59"/>
      <c r="DK983" s="59"/>
      <c r="DL983" s="59"/>
      <c r="DM983" s="59"/>
      <c r="DN983" s="59"/>
      <c r="DO983" s="59"/>
      <c r="DP983" s="59"/>
      <c r="DQ983" s="59"/>
      <c r="DR983" s="59"/>
      <c r="DS983" s="59"/>
      <c r="DT983" s="59"/>
      <c r="DU983" s="59"/>
      <c r="DV983" s="59"/>
      <c r="DW983" s="59"/>
      <c r="DX983" s="59"/>
      <c r="DY983" s="59"/>
      <c r="DZ983" s="59"/>
      <c r="EA983" s="59"/>
      <c r="EB983" s="59"/>
      <c r="EC983" s="59"/>
      <c r="ED983" s="59"/>
      <c r="EE983" s="59"/>
      <c r="EF983" s="59"/>
      <c r="EG983" s="59"/>
      <c r="EH983" s="59"/>
      <c r="EI983" s="59"/>
      <c r="EJ983" s="59"/>
      <c r="EK983" s="59"/>
      <c r="EL983" s="59"/>
      <c r="EM983" s="59"/>
      <c r="EN983" s="59"/>
      <c r="EO983" s="59"/>
      <c r="EP983" s="59"/>
      <c r="EQ983" s="59"/>
      <c r="ER983" s="59"/>
      <c r="ES983" s="59"/>
      <c r="ET983" s="59"/>
      <c r="EU983" s="59"/>
      <c r="EV983" s="59"/>
      <c r="EW983" s="59"/>
      <c r="EX983" s="59"/>
      <c r="EY983" s="59"/>
      <c r="EZ983" s="59"/>
      <c r="FA983" s="59"/>
      <c r="FB983" s="59"/>
      <c r="FC983" s="59"/>
      <c r="FD983" s="59"/>
      <c r="FE983" s="59"/>
      <c r="FF983" s="59"/>
      <c r="FG983" s="59"/>
      <c r="FH983" s="59"/>
      <c r="FI983" s="59"/>
      <c r="FJ983" s="59"/>
      <c r="FK983" s="59"/>
      <c r="FL983" s="59"/>
      <c r="FM983" s="59"/>
      <c r="FN983" s="59"/>
      <c r="FO983" s="59"/>
      <c r="FP983" s="59"/>
      <c r="FQ983" s="59"/>
      <c r="FR983" s="59"/>
      <c r="FS983" s="59"/>
      <c r="FT983" s="59"/>
      <c r="FU983" s="59"/>
      <c r="FV983" s="59"/>
      <c r="FW983" s="59"/>
      <c r="FX983" s="59"/>
      <c r="FY983" s="59"/>
      <c r="FZ983" s="59"/>
      <c r="GA983" s="59"/>
      <c r="GB983" s="59"/>
      <c r="GC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  <c r="BV984" s="59"/>
      <c r="BW984" s="59"/>
      <c r="BX984" s="59"/>
      <c r="BY984" s="59"/>
      <c r="BZ984" s="59"/>
      <c r="CA984" s="59"/>
      <c r="CB984" s="59"/>
      <c r="CC984" s="59"/>
      <c r="CD984" s="59"/>
      <c r="CE984" s="59"/>
      <c r="CF984" s="59"/>
      <c r="CG984" s="59"/>
      <c r="CH984" s="59"/>
      <c r="CI984" s="59"/>
      <c r="CJ984" s="59"/>
      <c r="CK984" s="59"/>
      <c r="CL984" s="59"/>
      <c r="CM984" s="59"/>
      <c r="CN984" s="59"/>
      <c r="CO984" s="59"/>
      <c r="CP984" s="59"/>
      <c r="CQ984" s="59"/>
      <c r="CR984" s="59"/>
      <c r="CS984" s="59"/>
      <c r="CT984" s="59"/>
      <c r="CU984" s="59"/>
      <c r="CV984" s="59"/>
      <c r="CW984" s="59"/>
      <c r="CX984" s="59"/>
      <c r="CY984" s="59"/>
      <c r="CZ984" s="59"/>
      <c r="DA984" s="59"/>
      <c r="DB984" s="59"/>
      <c r="DC984" s="59"/>
      <c r="DD984" s="59"/>
      <c r="DE984" s="59"/>
      <c r="DF984" s="59"/>
      <c r="DG984" s="59"/>
      <c r="DH984" s="59"/>
      <c r="DI984" s="59"/>
      <c r="DJ984" s="59"/>
      <c r="DK984" s="59"/>
      <c r="DL984" s="59"/>
      <c r="DM984" s="59"/>
      <c r="DN984" s="59"/>
      <c r="DO984" s="59"/>
      <c r="DP984" s="59"/>
      <c r="DQ984" s="59"/>
      <c r="DR984" s="59"/>
      <c r="DS984" s="59"/>
      <c r="DT984" s="59"/>
      <c r="DU984" s="59"/>
      <c r="DV984" s="59"/>
      <c r="DW984" s="59"/>
      <c r="DX984" s="59"/>
      <c r="DY984" s="59"/>
      <c r="DZ984" s="59"/>
      <c r="EA984" s="59"/>
      <c r="EB984" s="59"/>
      <c r="EC984" s="59"/>
      <c r="ED984" s="59"/>
      <c r="EE984" s="59"/>
      <c r="EF984" s="59"/>
      <c r="EG984" s="59"/>
      <c r="EH984" s="59"/>
      <c r="EI984" s="59"/>
      <c r="EJ984" s="59"/>
      <c r="EK984" s="59"/>
      <c r="EL984" s="59"/>
      <c r="EM984" s="59"/>
      <c r="EN984" s="59"/>
      <c r="EO984" s="59"/>
      <c r="EP984" s="59"/>
      <c r="EQ984" s="59"/>
      <c r="ER984" s="59"/>
      <c r="ES984" s="59"/>
      <c r="ET984" s="59"/>
      <c r="EU984" s="59"/>
      <c r="EV984" s="59"/>
      <c r="EW984" s="59"/>
      <c r="EX984" s="59"/>
      <c r="EY984" s="59"/>
      <c r="EZ984" s="59"/>
      <c r="FA984" s="59"/>
      <c r="FB984" s="59"/>
      <c r="FC984" s="59"/>
      <c r="FD984" s="59"/>
      <c r="FE984" s="59"/>
      <c r="FF984" s="59"/>
      <c r="FG984" s="59"/>
      <c r="FH984" s="59"/>
      <c r="FI984" s="59"/>
      <c r="FJ984" s="59"/>
      <c r="FK984" s="59"/>
      <c r="FL984" s="59"/>
      <c r="FM984" s="59"/>
      <c r="FN984" s="59"/>
      <c r="FO984" s="59"/>
      <c r="FP984" s="59"/>
      <c r="FQ984" s="59"/>
      <c r="FR984" s="59"/>
      <c r="FS984" s="59"/>
      <c r="FT984" s="59"/>
      <c r="FU984" s="59"/>
      <c r="FV984" s="59"/>
      <c r="FW984" s="59"/>
      <c r="FX984" s="59"/>
      <c r="FY984" s="59"/>
      <c r="FZ984" s="59"/>
      <c r="GA984" s="59"/>
      <c r="GB984" s="59"/>
      <c r="GC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  <c r="BV985" s="59"/>
      <c r="BW985" s="59"/>
      <c r="BX985" s="59"/>
      <c r="BY985" s="59"/>
      <c r="BZ985" s="59"/>
      <c r="CA985" s="59"/>
      <c r="CB985" s="59"/>
      <c r="CC985" s="59"/>
      <c r="CD985" s="59"/>
      <c r="CE985" s="59"/>
      <c r="CF985" s="59"/>
      <c r="CG985" s="59"/>
      <c r="CH985" s="59"/>
      <c r="CI985" s="59"/>
      <c r="CJ985" s="59"/>
      <c r="CK985" s="59"/>
      <c r="CL985" s="59"/>
      <c r="CM985" s="59"/>
      <c r="CN985" s="59"/>
      <c r="CO985" s="59"/>
      <c r="CP985" s="59"/>
      <c r="CQ985" s="59"/>
      <c r="CR985" s="59"/>
      <c r="CS985" s="59"/>
      <c r="CT985" s="59"/>
      <c r="CU985" s="59"/>
      <c r="CV985" s="59"/>
      <c r="CW985" s="59"/>
      <c r="CX985" s="59"/>
      <c r="CY985" s="59"/>
      <c r="CZ985" s="59"/>
      <c r="DA985" s="59"/>
      <c r="DB985" s="59"/>
      <c r="DC985" s="59"/>
      <c r="DD985" s="59"/>
      <c r="DE985" s="59"/>
      <c r="DF985" s="59"/>
      <c r="DG985" s="59"/>
      <c r="DH985" s="59"/>
      <c r="DI985" s="59"/>
      <c r="DJ985" s="59"/>
      <c r="DK985" s="59"/>
      <c r="DL985" s="59"/>
      <c r="DM985" s="59"/>
      <c r="DN985" s="59"/>
      <c r="DO985" s="59"/>
      <c r="DP985" s="59"/>
      <c r="DQ985" s="59"/>
      <c r="DR985" s="59"/>
      <c r="DS985" s="59"/>
      <c r="DT985" s="59"/>
      <c r="DU985" s="59"/>
      <c r="DV985" s="59"/>
      <c r="DW985" s="59"/>
      <c r="DX985" s="59"/>
      <c r="DY985" s="59"/>
      <c r="DZ985" s="59"/>
      <c r="EA985" s="59"/>
      <c r="EB985" s="59"/>
      <c r="EC985" s="59"/>
      <c r="ED985" s="59"/>
      <c r="EE985" s="59"/>
      <c r="EF985" s="59"/>
      <c r="EG985" s="59"/>
      <c r="EH985" s="59"/>
      <c r="EI985" s="59"/>
      <c r="EJ985" s="59"/>
      <c r="EK985" s="59"/>
      <c r="EL985" s="59"/>
      <c r="EM985" s="59"/>
      <c r="EN985" s="59"/>
      <c r="EO985" s="59"/>
      <c r="EP985" s="59"/>
      <c r="EQ985" s="59"/>
      <c r="ER985" s="59"/>
      <c r="ES985" s="59"/>
      <c r="ET985" s="59"/>
      <c r="EU985" s="59"/>
      <c r="EV985" s="59"/>
      <c r="EW985" s="59"/>
      <c r="EX985" s="59"/>
      <c r="EY985" s="59"/>
      <c r="EZ985" s="59"/>
      <c r="FA985" s="59"/>
      <c r="FB985" s="59"/>
      <c r="FC985" s="59"/>
      <c r="FD985" s="59"/>
      <c r="FE985" s="59"/>
      <c r="FF985" s="59"/>
      <c r="FG985" s="59"/>
      <c r="FH985" s="59"/>
      <c r="FI985" s="59"/>
      <c r="FJ985" s="59"/>
      <c r="FK985" s="59"/>
      <c r="FL985" s="59"/>
      <c r="FM985" s="59"/>
      <c r="FN985" s="59"/>
      <c r="FO985" s="59"/>
      <c r="FP985" s="59"/>
      <c r="FQ985" s="59"/>
      <c r="FR985" s="59"/>
      <c r="FS985" s="59"/>
      <c r="FT985" s="59"/>
      <c r="FU985" s="59"/>
      <c r="FV985" s="59"/>
      <c r="FW985" s="59"/>
      <c r="FX985" s="59"/>
      <c r="FY985" s="59"/>
      <c r="FZ985" s="59"/>
      <c r="GA985" s="59"/>
      <c r="GB985" s="59"/>
      <c r="GC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  <c r="BV986" s="59"/>
      <c r="BW986" s="59"/>
      <c r="BX986" s="59"/>
      <c r="BY986" s="59"/>
      <c r="BZ986" s="59"/>
      <c r="CA986" s="59"/>
      <c r="CB986" s="59"/>
      <c r="CC986" s="59"/>
      <c r="CD986" s="59"/>
      <c r="CE986" s="59"/>
      <c r="CF986" s="59"/>
      <c r="CG986" s="59"/>
      <c r="CH986" s="59"/>
      <c r="CI986" s="59"/>
      <c r="CJ986" s="59"/>
      <c r="CK986" s="59"/>
      <c r="CL986" s="59"/>
      <c r="CM986" s="59"/>
      <c r="CN986" s="59"/>
      <c r="CO986" s="59"/>
      <c r="CP986" s="59"/>
      <c r="CQ986" s="59"/>
      <c r="CR986" s="59"/>
      <c r="CS986" s="59"/>
      <c r="CT986" s="59"/>
      <c r="CU986" s="59"/>
      <c r="CV986" s="59"/>
      <c r="CW986" s="59"/>
      <c r="CX986" s="59"/>
      <c r="CY986" s="59"/>
      <c r="CZ986" s="59"/>
      <c r="DA986" s="59"/>
      <c r="DB986" s="59"/>
      <c r="DC986" s="59"/>
      <c r="DD986" s="59"/>
      <c r="DE986" s="59"/>
      <c r="DF986" s="59"/>
      <c r="DG986" s="59"/>
      <c r="DH986" s="59"/>
      <c r="DI986" s="59"/>
      <c r="DJ986" s="59"/>
      <c r="DK986" s="59"/>
      <c r="DL986" s="59"/>
      <c r="DM986" s="59"/>
      <c r="DN986" s="59"/>
      <c r="DO986" s="59"/>
      <c r="DP986" s="59"/>
      <c r="DQ986" s="59"/>
      <c r="DR986" s="59"/>
      <c r="DS986" s="59"/>
      <c r="DT986" s="59"/>
      <c r="DU986" s="59"/>
      <c r="DV986" s="59"/>
      <c r="DW986" s="59"/>
      <c r="DX986" s="59"/>
      <c r="DY986" s="59"/>
      <c r="DZ986" s="59"/>
      <c r="EA986" s="59"/>
      <c r="EB986" s="59"/>
      <c r="EC986" s="59"/>
      <c r="ED986" s="59"/>
      <c r="EE986" s="59"/>
      <c r="EF986" s="59"/>
      <c r="EG986" s="59"/>
      <c r="EH986" s="59"/>
      <c r="EI986" s="59"/>
      <c r="EJ986" s="59"/>
      <c r="EK986" s="59"/>
      <c r="EL986" s="59"/>
      <c r="EM986" s="59"/>
      <c r="EN986" s="59"/>
      <c r="EO986" s="59"/>
      <c r="EP986" s="59"/>
      <c r="EQ986" s="59"/>
      <c r="ER986" s="59"/>
      <c r="ES986" s="59"/>
      <c r="ET986" s="59"/>
      <c r="EU986" s="59"/>
      <c r="EV986" s="59"/>
      <c r="EW986" s="59"/>
      <c r="EX986" s="59"/>
      <c r="EY986" s="59"/>
      <c r="EZ986" s="59"/>
      <c r="FA986" s="59"/>
      <c r="FB986" s="59"/>
      <c r="FC986" s="59"/>
      <c r="FD986" s="59"/>
      <c r="FE986" s="59"/>
      <c r="FF986" s="59"/>
      <c r="FG986" s="59"/>
      <c r="FH986" s="59"/>
      <c r="FI986" s="59"/>
      <c r="FJ986" s="59"/>
      <c r="FK986" s="59"/>
      <c r="FL986" s="59"/>
      <c r="FM986" s="59"/>
      <c r="FN986" s="59"/>
      <c r="FO986" s="59"/>
      <c r="FP986" s="59"/>
      <c r="FQ986" s="59"/>
      <c r="FR986" s="59"/>
      <c r="FS986" s="59"/>
      <c r="FT986" s="59"/>
      <c r="FU986" s="59"/>
      <c r="FV986" s="59"/>
      <c r="FW986" s="59"/>
      <c r="FX986" s="59"/>
      <c r="FY986" s="59"/>
      <c r="FZ986" s="59"/>
      <c r="GA986" s="59"/>
      <c r="GB986" s="59"/>
      <c r="GC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  <c r="BV987" s="59"/>
      <c r="BW987" s="59"/>
      <c r="BX987" s="59"/>
      <c r="BY987" s="59"/>
      <c r="BZ987" s="59"/>
      <c r="CA987" s="59"/>
      <c r="CB987" s="59"/>
      <c r="CC987" s="59"/>
      <c r="CD987" s="59"/>
      <c r="CE987" s="59"/>
      <c r="CF987" s="59"/>
      <c r="CG987" s="59"/>
      <c r="CH987" s="59"/>
      <c r="CI987" s="59"/>
      <c r="CJ987" s="59"/>
      <c r="CK987" s="59"/>
      <c r="CL987" s="59"/>
      <c r="CM987" s="59"/>
      <c r="CN987" s="59"/>
      <c r="CO987" s="59"/>
      <c r="CP987" s="59"/>
      <c r="CQ987" s="59"/>
      <c r="CR987" s="59"/>
      <c r="CS987" s="59"/>
      <c r="CT987" s="59"/>
      <c r="CU987" s="59"/>
      <c r="CV987" s="59"/>
      <c r="CW987" s="59"/>
      <c r="CX987" s="59"/>
      <c r="CY987" s="59"/>
      <c r="CZ987" s="59"/>
      <c r="DA987" s="59"/>
      <c r="DB987" s="59"/>
      <c r="DC987" s="59"/>
      <c r="DD987" s="59"/>
      <c r="DE987" s="59"/>
      <c r="DF987" s="59"/>
      <c r="DG987" s="59"/>
      <c r="DH987" s="59"/>
      <c r="DI987" s="59"/>
      <c r="DJ987" s="59"/>
      <c r="DK987" s="59"/>
      <c r="DL987" s="59"/>
      <c r="DM987" s="59"/>
      <c r="DN987" s="59"/>
      <c r="DO987" s="59"/>
      <c r="DP987" s="59"/>
      <c r="DQ987" s="59"/>
      <c r="DR987" s="59"/>
      <c r="DS987" s="59"/>
      <c r="DT987" s="59"/>
      <c r="DU987" s="59"/>
      <c r="DV987" s="59"/>
      <c r="DW987" s="59"/>
      <c r="DX987" s="59"/>
      <c r="DY987" s="59"/>
      <c r="DZ987" s="59"/>
      <c r="EA987" s="59"/>
      <c r="EB987" s="59"/>
      <c r="EC987" s="59"/>
      <c r="ED987" s="59"/>
      <c r="EE987" s="59"/>
      <c r="EF987" s="59"/>
      <c r="EG987" s="59"/>
      <c r="EH987" s="59"/>
      <c r="EI987" s="59"/>
      <c r="EJ987" s="59"/>
      <c r="EK987" s="59"/>
      <c r="EL987" s="59"/>
      <c r="EM987" s="59"/>
      <c r="EN987" s="59"/>
      <c r="EO987" s="59"/>
      <c r="EP987" s="59"/>
      <c r="EQ987" s="59"/>
      <c r="ER987" s="59"/>
      <c r="ES987" s="59"/>
      <c r="ET987" s="59"/>
      <c r="EU987" s="59"/>
      <c r="EV987" s="59"/>
      <c r="EW987" s="59"/>
      <c r="EX987" s="59"/>
      <c r="EY987" s="59"/>
      <c r="EZ987" s="59"/>
      <c r="FA987" s="59"/>
      <c r="FB987" s="59"/>
      <c r="FC987" s="59"/>
      <c r="FD987" s="59"/>
      <c r="FE987" s="59"/>
      <c r="FF987" s="59"/>
      <c r="FG987" s="59"/>
      <c r="FH987" s="59"/>
      <c r="FI987" s="59"/>
      <c r="FJ987" s="59"/>
      <c r="FK987" s="59"/>
      <c r="FL987" s="59"/>
      <c r="FM987" s="59"/>
      <c r="FN987" s="59"/>
      <c r="FO987" s="59"/>
      <c r="FP987" s="59"/>
      <c r="FQ987" s="59"/>
      <c r="FR987" s="59"/>
      <c r="FS987" s="59"/>
      <c r="FT987" s="59"/>
      <c r="FU987" s="59"/>
      <c r="FV987" s="59"/>
      <c r="FW987" s="59"/>
      <c r="FX987" s="59"/>
      <c r="FY987" s="59"/>
      <c r="FZ987" s="59"/>
      <c r="GA987" s="59"/>
      <c r="GB987" s="59"/>
      <c r="GC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  <c r="BV988" s="59"/>
      <c r="BW988" s="59"/>
      <c r="BX988" s="59"/>
      <c r="BY988" s="59"/>
      <c r="BZ988" s="59"/>
      <c r="CA988" s="59"/>
      <c r="CB988" s="59"/>
      <c r="CC988" s="59"/>
      <c r="CD988" s="59"/>
      <c r="CE988" s="59"/>
      <c r="CF988" s="59"/>
      <c r="CG988" s="59"/>
      <c r="CH988" s="59"/>
      <c r="CI988" s="59"/>
      <c r="CJ988" s="59"/>
      <c r="CK988" s="59"/>
      <c r="CL988" s="59"/>
      <c r="CM988" s="59"/>
      <c r="CN988" s="59"/>
      <c r="CO988" s="59"/>
      <c r="CP988" s="59"/>
      <c r="CQ988" s="59"/>
      <c r="CR988" s="59"/>
      <c r="CS988" s="59"/>
      <c r="CT988" s="59"/>
      <c r="CU988" s="59"/>
      <c r="CV988" s="59"/>
      <c r="CW988" s="59"/>
      <c r="CX988" s="59"/>
      <c r="CY988" s="59"/>
      <c r="CZ988" s="59"/>
      <c r="DA988" s="59"/>
      <c r="DB988" s="59"/>
      <c r="DC988" s="59"/>
      <c r="DD988" s="59"/>
      <c r="DE988" s="59"/>
      <c r="DF988" s="59"/>
      <c r="DG988" s="59"/>
      <c r="DH988" s="59"/>
      <c r="DI988" s="59"/>
      <c r="DJ988" s="59"/>
      <c r="DK988" s="59"/>
      <c r="DL988" s="59"/>
      <c r="DM988" s="59"/>
      <c r="DN988" s="59"/>
      <c r="DO988" s="59"/>
      <c r="DP988" s="59"/>
      <c r="DQ988" s="59"/>
      <c r="DR988" s="59"/>
      <c r="DS988" s="59"/>
      <c r="DT988" s="59"/>
      <c r="DU988" s="59"/>
      <c r="DV988" s="59"/>
      <c r="DW988" s="59"/>
      <c r="DX988" s="59"/>
      <c r="DY988" s="59"/>
      <c r="DZ988" s="59"/>
      <c r="EA988" s="59"/>
      <c r="EB988" s="59"/>
      <c r="EC988" s="59"/>
      <c r="ED988" s="59"/>
      <c r="EE988" s="59"/>
      <c r="EF988" s="59"/>
      <c r="EG988" s="59"/>
      <c r="EH988" s="59"/>
      <c r="EI988" s="59"/>
      <c r="EJ988" s="59"/>
      <c r="EK988" s="59"/>
      <c r="EL988" s="59"/>
      <c r="EM988" s="59"/>
      <c r="EN988" s="59"/>
      <c r="EO988" s="59"/>
      <c r="EP988" s="59"/>
      <c r="EQ988" s="59"/>
      <c r="ER988" s="59"/>
      <c r="ES988" s="59"/>
      <c r="ET988" s="59"/>
      <c r="EU988" s="59"/>
      <c r="EV988" s="59"/>
      <c r="EW988" s="59"/>
      <c r="EX988" s="59"/>
      <c r="EY988" s="59"/>
      <c r="EZ988" s="59"/>
      <c r="FA988" s="59"/>
      <c r="FB988" s="59"/>
      <c r="FC988" s="59"/>
      <c r="FD988" s="59"/>
      <c r="FE988" s="59"/>
      <c r="FF988" s="59"/>
      <c r="FG988" s="59"/>
      <c r="FH988" s="59"/>
      <c r="FI988" s="59"/>
      <c r="FJ988" s="59"/>
      <c r="FK988" s="59"/>
      <c r="FL988" s="59"/>
      <c r="FM988" s="59"/>
      <c r="FN988" s="59"/>
      <c r="FO988" s="59"/>
      <c r="FP988" s="59"/>
      <c r="FQ988" s="59"/>
      <c r="FR988" s="59"/>
      <c r="FS988" s="59"/>
      <c r="FT988" s="59"/>
      <c r="FU988" s="59"/>
      <c r="FV988" s="59"/>
      <c r="FW988" s="59"/>
      <c r="FX988" s="59"/>
      <c r="FY988" s="59"/>
      <c r="FZ988" s="59"/>
      <c r="GA988" s="59"/>
      <c r="GB988" s="59"/>
      <c r="GC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  <c r="BV989" s="59"/>
      <c r="BW989" s="59"/>
      <c r="BX989" s="59"/>
      <c r="BY989" s="59"/>
      <c r="BZ989" s="59"/>
      <c r="CA989" s="59"/>
      <c r="CB989" s="59"/>
      <c r="CC989" s="59"/>
      <c r="CD989" s="59"/>
      <c r="CE989" s="59"/>
      <c r="CF989" s="59"/>
      <c r="CG989" s="59"/>
      <c r="CH989" s="59"/>
      <c r="CI989" s="59"/>
      <c r="CJ989" s="59"/>
      <c r="CK989" s="59"/>
      <c r="CL989" s="59"/>
      <c r="CM989" s="59"/>
      <c r="CN989" s="59"/>
      <c r="CO989" s="59"/>
      <c r="CP989" s="59"/>
      <c r="CQ989" s="59"/>
      <c r="CR989" s="59"/>
      <c r="CS989" s="59"/>
      <c r="CT989" s="59"/>
      <c r="CU989" s="59"/>
      <c r="CV989" s="59"/>
      <c r="CW989" s="59"/>
      <c r="CX989" s="59"/>
      <c r="CY989" s="59"/>
      <c r="CZ989" s="59"/>
      <c r="DA989" s="59"/>
      <c r="DB989" s="59"/>
      <c r="DC989" s="59"/>
      <c r="DD989" s="59"/>
      <c r="DE989" s="59"/>
      <c r="DF989" s="59"/>
      <c r="DG989" s="59"/>
      <c r="DH989" s="59"/>
      <c r="DI989" s="59"/>
      <c r="DJ989" s="59"/>
      <c r="DK989" s="59"/>
      <c r="DL989" s="59"/>
      <c r="DM989" s="59"/>
      <c r="DN989" s="59"/>
      <c r="DO989" s="59"/>
      <c r="DP989" s="59"/>
      <c r="DQ989" s="59"/>
      <c r="DR989" s="59"/>
      <c r="DS989" s="59"/>
      <c r="DT989" s="59"/>
      <c r="DU989" s="59"/>
      <c r="DV989" s="59"/>
      <c r="DW989" s="59"/>
      <c r="DX989" s="59"/>
      <c r="DY989" s="59"/>
      <c r="DZ989" s="59"/>
      <c r="EA989" s="59"/>
      <c r="EB989" s="59"/>
      <c r="EC989" s="59"/>
      <c r="ED989" s="59"/>
      <c r="EE989" s="59"/>
      <c r="EF989" s="59"/>
      <c r="EG989" s="59"/>
      <c r="EH989" s="59"/>
      <c r="EI989" s="59"/>
      <c r="EJ989" s="59"/>
      <c r="EK989" s="59"/>
      <c r="EL989" s="59"/>
      <c r="EM989" s="59"/>
      <c r="EN989" s="59"/>
      <c r="EO989" s="59"/>
      <c r="EP989" s="59"/>
      <c r="EQ989" s="59"/>
      <c r="ER989" s="59"/>
      <c r="ES989" s="59"/>
      <c r="ET989" s="59"/>
      <c r="EU989" s="59"/>
      <c r="EV989" s="59"/>
      <c r="EW989" s="59"/>
      <c r="EX989" s="59"/>
      <c r="EY989" s="59"/>
      <c r="EZ989" s="59"/>
      <c r="FA989" s="59"/>
      <c r="FB989" s="59"/>
      <c r="FC989" s="59"/>
      <c r="FD989" s="59"/>
      <c r="FE989" s="59"/>
      <c r="FF989" s="59"/>
      <c r="FG989" s="59"/>
      <c r="FH989" s="59"/>
      <c r="FI989" s="59"/>
      <c r="FJ989" s="59"/>
      <c r="FK989" s="59"/>
      <c r="FL989" s="59"/>
      <c r="FM989" s="59"/>
      <c r="FN989" s="59"/>
      <c r="FO989" s="59"/>
      <c r="FP989" s="59"/>
      <c r="FQ989" s="59"/>
      <c r="FR989" s="59"/>
      <c r="FS989" s="59"/>
      <c r="FT989" s="59"/>
      <c r="FU989" s="59"/>
      <c r="FV989" s="59"/>
      <c r="FW989" s="59"/>
      <c r="FX989" s="59"/>
      <c r="FY989" s="59"/>
      <c r="FZ989" s="59"/>
      <c r="GA989" s="59"/>
      <c r="GB989" s="59"/>
      <c r="GC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  <c r="BV990" s="59"/>
      <c r="BW990" s="59"/>
      <c r="BX990" s="59"/>
      <c r="BY990" s="59"/>
      <c r="BZ990" s="59"/>
      <c r="CA990" s="59"/>
      <c r="CB990" s="59"/>
      <c r="CC990" s="59"/>
      <c r="CD990" s="59"/>
      <c r="CE990" s="59"/>
      <c r="CF990" s="59"/>
      <c r="CG990" s="59"/>
      <c r="CH990" s="59"/>
      <c r="CI990" s="59"/>
      <c r="CJ990" s="59"/>
      <c r="CK990" s="59"/>
      <c r="CL990" s="59"/>
      <c r="CM990" s="59"/>
      <c r="CN990" s="59"/>
      <c r="CO990" s="59"/>
      <c r="CP990" s="59"/>
      <c r="CQ990" s="59"/>
      <c r="CR990" s="59"/>
      <c r="CS990" s="59"/>
      <c r="CT990" s="59"/>
      <c r="CU990" s="59"/>
      <c r="CV990" s="59"/>
      <c r="CW990" s="59"/>
      <c r="CX990" s="59"/>
      <c r="CY990" s="59"/>
      <c r="CZ990" s="59"/>
      <c r="DA990" s="59"/>
      <c r="DB990" s="59"/>
      <c r="DC990" s="59"/>
      <c r="DD990" s="59"/>
      <c r="DE990" s="59"/>
      <c r="DF990" s="59"/>
      <c r="DG990" s="59"/>
      <c r="DH990" s="59"/>
      <c r="DI990" s="59"/>
      <c r="DJ990" s="59"/>
      <c r="DK990" s="59"/>
      <c r="DL990" s="59"/>
      <c r="DM990" s="59"/>
      <c r="DN990" s="59"/>
      <c r="DO990" s="59"/>
      <c r="DP990" s="59"/>
      <c r="DQ990" s="59"/>
      <c r="DR990" s="59"/>
      <c r="DS990" s="59"/>
      <c r="DT990" s="59"/>
      <c r="DU990" s="59"/>
      <c r="DV990" s="59"/>
      <c r="DW990" s="59"/>
      <c r="DX990" s="59"/>
      <c r="DY990" s="59"/>
      <c r="DZ990" s="59"/>
      <c r="EA990" s="59"/>
      <c r="EB990" s="59"/>
      <c r="EC990" s="59"/>
      <c r="ED990" s="59"/>
      <c r="EE990" s="59"/>
      <c r="EF990" s="59"/>
      <c r="EG990" s="59"/>
      <c r="EH990" s="59"/>
      <c r="EI990" s="59"/>
      <c r="EJ990" s="59"/>
      <c r="EK990" s="59"/>
      <c r="EL990" s="59"/>
      <c r="EM990" s="59"/>
      <c r="EN990" s="59"/>
      <c r="EO990" s="59"/>
      <c r="EP990" s="59"/>
      <c r="EQ990" s="59"/>
      <c r="ER990" s="59"/>
      <c r="ES990" s="59"/>
      <c r="ET990" s="59"/>
      <c r="EU990" s="59"/>
      <c r="EV990" s="59"/>
      <c r="EW990" s="59"/>
      <c r="EX990" s="59"/>
      <c r="EY990" s="59"/>
      <c r="EZ990" s="59"/>
      <c r="FA990" s="59"/>
      <c r="FB990" s="59"/>
      <c r="FC990" s="59"/>
      <c r="FD990" s="59"/>
      <c r="FE990" s="59"/>
      <c r="FF990" s="59"/>
      <c r="FG990" s="59"/>
      <c r="FH990" s="59"/>
      <c r="FI990" s="59"/>
      <c r="FJ990" s="59"/>
      <c r="FK990" s="59"/>
      <c r="FL990" s="59"/>
      <c r="FM990" s="59"/>
      <c r="FN990" s="59"/>
      <c r="FO990" s="59"/>
      <c r="FP990" s="59"/>
      <c r="FQ990" s="59"/>
      <c r="FR990" s="59"/>
      <c r="FS990" s="59"/>
      <c r="FT990" s="59"/>
      <c r="FU990" s="59"/>
      <c r="FV990" s="59"/>
      <c r="FW990" s="59"/>
      <c r="FX990" s="59"/>
      <c r="FY990" s="59"/>
      <c r="FZ990" s="59"/>
      <c r="GA990" s="59"/>
      <c r="GB990" s="59"/>
      <c r="GC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  <c r="BV991" s="59"/>
      <c r="BW991" s="59"/>
      <c r="BX991" s="59"/>
      <c r="BY991" s="59"/>
      <c r="BZ991" s="59"/>
      <c r="CA991" s="59"/>
      <c r="CB991" s="59"/>
      <c r="CC991" s="59"/>
      <c r="CD991" s="59"/>
      <c r="CE991" s="59"/>
      <c r="CF991" s="59"/>
      <c r="CG991" s="59"/>
      <c r="CH991" s="59"/>
      <c r="CI991" s="59"/>
      <c r="CJ991" s="59"/>
      <c r="CK991" s="59"/>
      <c r="CL991" s="59"/>
      <c r="CM991" s="59"/>
      <c r="CN991" s="59"/>
      <c r="CO991" s="59"/>
      <c r="CP991" s="59"/>
      <c r="CQ991" s="59"/>
      <c r="CR991" s="59"/>
      <c r="CS991" s="59"/>
      <c r="CT991" s="59"/>
      <c r="CU991" s="59"/>
      <c r="CV991" s="59"/>
      <c r="CW991" s="59"/>
      <c r="CX991" s="59"/>
      <c r="CY991" s="59"/>
      <c r="CZ991" s="59"/>
      <c r="DA991" s="59"/>
      <c r="DB991" s="59"/>
      <c r="DC991" s="59"/>
      <c r="DD991" s="59"/>
      <c r="DE991" s="59"/>
      <c r="DF991" s="59"/>
      <c r="DG991" s="59"/>
      <c r="DH991" s="59"/>
      <c r="DI991" s="59"/>
      <c r="DJ991" s="59"/>
      <c r="DK991" s="59"/>
      <c r="DL991" s="59"/>
      <c r="DM991" s="59"/>
      <c r="DN991" s="59"/>
      <c r="DO991" s="59"/>
      <c r="DP991" s="59"/>
      <c r="DQ991" s="59"/>
      <c r="DR991" s="59"/>
      <c r="DS991" s="59"/>
      <c r="DT991" s="59"/>
      <c r="DU991" s="59"/>
      <c r="DV991" s="59"/>
      <c r="DW991" s="59"/>
      <c r="DX991" s="59"/>
      <c r="DY991" s="59"/>
      <c r="DZ991" s="59"/>
      <c r="EA991" s="59"/>
      <c r="EB991" s="59"/>
      <c r="EC991" s="59"/>
      <c r="ED991" s="59"/>
      <c r="EE991" s="59"/>
      <c r="EF991" s="59"/>
      <c r="EG991" s="59"/>
      <c r="EH991" s="59"/>
      <c r="EI991" s="59"/>
      <c r="EJ991" s="59"/>
      <c r="EK991" s="59"/>
      <c r="EL991" s="59"/>
      <c r="EM991" s="59"/>
      <c r="EN991" s="59"/>
      <c r="EO991" s="59"/>
      <c r="EP991" s="59"/>
      <c r="EQ991" s="59"/>
      <c r="ER991" s="59"/>
      <c r="ES991" s="59"/>
      <c r="ET991" s="59"/>
      <c r="EU991" s="59"/>
      <c r="EV991" s="59"/>
      <c r="EW991" s="59"/>
      <c r="EX991" s="59"/>
      <c r="EY991" s="59"/>
      <c r="EZ991" s="59"/>
      <c r="FA991" s="59"/>
      <c r="FB991" s="59"/>
      <c r="FC991" s="59"/>
      <c r="FD991" s="59"/>
      <c r="FE991" s="59"/>
      <c r="FF991" s="59"/>
      <c r="FG991" s="59"/>
      <c r="FH991" s="59"/>
      <c r="FI991" s="59"/>
      <c r="FJ991" s="59"/>
      <c r="FK991" s="59"/>
      <c r="FL991" s="59"/>
      <c r="FM991" s="59"/>
      <c r="FN991" s="59"/>
      <c r="FO991" s="59"/>
      <c r="FP991" s="59"/>
      <c r="FQ991" s="59"/>
      <c r="FR991" s="59"/>
      <c r="FS991" s="59"/>
      <c r="FT991" s="59"/>
      <c r="FU991" s="59"/>
      <c r="FV991" s="59"/>
      <c r="FW991" s="59"/>
      <c r="FX991" s="59"/>
      <c r="FY991" s="59"/>
      <c r="FZ991" s="59"/>
      <c r="GA991" s="59"/>
      <c r="GB991" s="59"/>
      <c r="GC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  <c r="BV992" s="59"/>
      <c r="BW992" s="59"/>
      <c r="BX992" s="59"/>
      <c r="BY992" s="59"/>
      <c r="BZ992" s="59"/>
      <c r="CA992" s="59"/>
      <c r="CB992" s="59"/>
      <c r="CC992" s="59"/>
      <c r="CD992" s="59"/>
      <c r="CE992" s="59"/>
      <c r="CF992" s="59"/>
      <c r="CG992" s="59"/>
      <c r="CH992" s="59"/>
      <c r="CI992" s="59"/>
      <c r="CJ992" s="59"/>
      <c r="CK992" s="59"/>
      <c r="CL992" s="59"/>
      <c r="CM992" s="59"/>
      <c r="CN992" s="59"/>
      <c r="CO992" s="59"/>
      <c r="CP992" s="59"/>
      <c r="CQ992" s="59"/>
      <c r="CR992" s="59"/>
      <c r="CS992" s="59"/>
      <c r="CT992" s="59"/>
      <c r="CU992" s="59"/>
      <c r="CV992" s="59"/>
      <c r="CW992" s="59"/>
      <c r="CX992" s="59"/>
      <c r="CY992" s="59"/>
      <c r="CZ992" s="59"/>
      <c r="DA992" s="59"/>
      <c r="DB992" s="59"/>
      <c r="DC992" s="59"/>
      <c r="DD992" s="59"/>
      <c r="DE992" s="59"/>
      <c r="DF992" s="59"/>
      <c r="DG992" s="59"/>
      <c r="DH992" s="59"/>
      <c r="DI992" s="59"/>
      <c r="DJ992" s="59"/>
      <c r="DK992" s="59"/>
      <c r="DL992" s="59"/>
      <c r="DM992" s="59"/>
      <c r="DN992" s="59"/>
      <c r="DO992" s="59"/>
      <c r="DP992" s="59"/>
      <c r="DQ992" s="59"/>
      <c r="DR992" s="59"/>
      <c r="DS992" s="59"/>
      <c r="DT992" s="59"/>
      <c r="DU992" s="59"/>
      <c r="DV992" s="59"/>
      <c r="DW992" s="59"/>
      <c r="DX992" s="59"/>
      <c r="DY992" s="59"/>
      <c r="DZ992" s="59"/>
      <c r="EA992" s="59"/>
      <c r="EB992" s="59"/>
      <c r="EC992" s="59"/>
      <c r="ED992" s="59"/>
      <c r="EE992" s="59"/>
      <c r="EF992" s="59"/>
      <c r="EG992" s="59"/>
      <c r="EH992" s="59"/>
      <c r="EI992" s="59"/>
      <c r="EJ992" s="59"/>
      <c r="EK992" s="59"/>
      <c r="EL992" s="59"/>
      <c r="EM992" s="59"/>
      <c r="EN992" s="59"/>
      <c r="EO992" s="59"/>
      <c r="EP992" s="59"/>
      <c r="EQ992" s="59"/>
      <c r="ER992" s="59"/>
      <c r="ES992" s="59"/>
      <c r="ET992" s="59"/>
      <c r="EU992" s="59"/>
      <c r="EV992" s="59"/>
      <c r="EW992" s="59"/>
      <c r="EX992" s="59"/>
      <c r="EY992" s="59"/>
      <c r="EZ992" s="59"/>
      <c r="FA992" s="59"/>
      <c r="FB992" s="59"/>
      <c r="FC992" s="59"/>
      <c r="FD992" s="59"/>
      <c r="FE992" s="59"/>
      <c r="FF992" s="59"/>
      <c r="FG992" s="59"/>
      <c r="FH992" s="59"/>
      <c r="FI992" s="59"/>
      <c r="FJ992" s="59"/>
      <c r="FK992" s="59"/>
      <c r="FL992" s="59"/>
      <c r="FM992" s="59"/>
      <c r="FN992" s="59"/>
      <c r="FO992" s="59"/>
      <c r="FP992" s="59"/>
      <c r="FQ992" s="59"/>
      <c r="FR992" s="59"/>
      <c r="FS992" s="59"/>
      <c r="FT992" s="59"/>
      <c r="FU992" s="59"/>
      <c r="FV992" s="59"/>
      <c r="FW992" s="59"/>
      <c r="FX992" s="59"/>
      <c r="FY992" s="59"/>
      <c r="FZ992" s="59"/>
      <c r="GA992" s="59"/>
      <c r="GB992" s="59"/>
      <c r="GC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  <c r="BV993" s="59"/>
      <c r="BW993" s="59"/>
      <c r="BX993" s="59"/>
      <c r="BY993" s="59"/>
      <c r="BZ993" s="59"/>
      <c r="CA993" s="59"/>
      <c r="CB993" s="59"/>
      <c r="CC993" s="59"/>
      <c r="CD993" s="59"/>
      <c r="CE993" s="59"/>
      <c r="CF993" s="59"/>
      <c r="CG993" s="59"/>
      <c r="CH993" s="59"/>
      <c r="CI993" s="59"/>
      <c r="CJ993" s="59"/>
      <c r="CK993" s="59"/>
      <c r="CL993" s="59"/>
      <c r="CM993" s="59"/>
      <c r="CN993" s="59"/>
      <c r="CO993" s="59"/>
      <c r="CP993" s="59"/>
      <c r="CQ993" s="59"/>
      <c r="CR993" s="59"/>
      <c r="CS993" s="59"/>
      <c r="CT993" s="59"/>
      <c r="CU993" s="59"/>
      <c r="CV993" s="59"/>
      <c r="CW993" s="59"/>
      <c r="CX993" s="59"/>
      <c r="CY993" s="59"/>
      <c r="CZ993" s="59"/>
      <c r="DA993" s="59"/>
      <c r="DB993" s="59"/>
      <c r="DC993" s="59"/>
      <c r="DD993" s="59"/>
      <c r="DE993" s="59"/>
      <c r="DF993" s="59"/>
      <c r="DG993" s="59"/>
      <c r="DH993" s="59"/>
      <c r="DI993" s="59"/>
      <c r="DJ993" s="59"/>
      <c r="DK993" s="59"/>
      <c r="DL993" s="59"/>
      <c r="DM993" s="59"/>
      <c r="DN993" s="59"/>
      <c r="DO993" s="59"/>
      <c r="DP993" s="59"/>
      <c r="DQ993" s="59"/>
      <c r="DR993" s="59"/>
      <c r="DS993" s="59"/>
      <c r="DT993" s="59"/>
      <c r="DU993" s="59"/>
      <c r="DV993" s="59"/>
      <c r="DW993" s="59"/>
      <c r="DX993" s="59"/>
      <c r="DY993" s="59"/>
      <c r="DZ993" s="59"/>
      <c r="EA993" s="59"/>
      <c r="EB993" s="59"/>
      <c r="EC993" s="59"/>
      <c r="ED993" s="59"/>
      <c r="EE993" s="59"/>
      <c r="EF993" s="59"/>
      <c r="EG993" s="59"/>
      <c r="EH993" s="59"/>
      <c r="EI993" s="59"/>
      <c r="EJ993" s="59"/>
      <c r="EK993" s="59"/>
      <c r="EL993" s="59"/>
      <c r="EM993" s="59"/>
      <c r="EN993" s="59"/>
      <c r="EO993" s="59"/>
      <c r="EP993" s="59"/>
      <c r="EQ993" s="59"/>
      <c r="ER993" s="59"/>
      <c r="ES993" s="59"/>
      <c r="ET993" s="59"/>
      <c r="EU993" s="59"/>
      <c r="EV993" s="59"/>
      <c r="EW993" s="59"/>
      <c r="EX993" s="59"/>
      <c r="EY993" s="59"/>
      <c r="EZ993" s="59"/>
      <c r="FA993" s="59"/>
      <c r="FB993" s="59"/>
      <c r="FC993" s="59"/>
      <c r="FD993" s="59"/>
      <c r="FE993" s="59"/>
      <c r="FF993" s="59"/>
      <c r="FG993" s="59"/>
      <c r="FH993" s="59"/>
      <c r="FI993" s="59"/>
      <c r="FJ993" s="59"/>
      <c r="FK993" s="59"/>
      <c r="FL993" s="59"/>
      <c r="FM993" s="59"/>
      <c r="FN993" s="59"/>
      <c r="FO993" s="59"/>
      <c r="FP993" s="59"/>
      <c r="FQ993" s="59"/>
      <c r="FR993" s="59"/>
      <c r="FS993" s="59"/>
      <c r="FT993" s="59"/>
      <c r="FU993" s="59"/>
      <c r="FV993" s="59"/>
      <c r="FW993" s="59"/>
      <c r="FX993" s="59"/>
      <c r="FY993" s="59"/>
      <c r="FZ993" s="59"/>
      <c r="GA993" s="59"/>
      <c r="GB993" s="59"/>
      <c r="GC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  <c r="BV994" s="59"/>
      <c r="BW994" s="59"/>
      <c r="BX994" s="59"/>
      <c r="BY994" s="59"/>
      <c r="BZ994" s="59"/>
      <c r="CA994" s="59"/>
      <c r="CB994" s="59"/>
      <c r="CC994" s="59"/>
      <c r="CD994" s="59"/>
      <c r="CE994" s="59"/>
      <c r="CF994" s="59"/>
      <c r="CG994" s="59"/>
      <c r="CH994" s="59"/>
      <c r="CI994" s="59"/>
      <c r="CJ994" s="59"/>
      <c r="CK994" s="59"/>
      <c r="CL994" s="59"/>
      <c r="CM994" s="59"/>
      <c r="CN994" s="59"/>
      <c r="CO994" s="59"/>
      <c r="CP994" s="59"/>
      <c r="CQ994" s="59"/>
      <c r="CR994" s="59"/>
      <c r="CS994" s="59"/>
      <c r="CT994" s="59"/>
      <c r="CU994" s="59"/>
      <c r="CV994" s="59"/>
      <c r="CW994" s="59"/>
      <c r="CX994" s="59"/>
      <c r="CY994" s="59"/>
      <c r="CZ994" s="59"/>
      <c r="DA994" s="59"/>
      <c r="DB994" s="59"/>
      <c r="DC994" s="59"/>
      <c r="DD994" s="59"/>
      <c r="DE994" s="59"/>
      <c r="DF994" s="59"/>
      <c r="DG994" s="59"/>
      <c r="DH994" s="59"/>
      <c r="DI994" s="59"/>
      <c r="DJ994" s="59"/>
      <c r="DK994" s="59"/>
      <c r="DL994" s="59"/>
      <c r="DM994" s="59"/>
      <c r="DN994" s="59"/>
      <c r="DO994" s="59"/>
      <c r="DP994" s="59"/>
      <c r="DQ994" s="59"/>
      <c r="DR994" s="59"/>
      <c r="DS994" s="59"/>
      <c r="DT994" s="59"/>
      <c r="DU994" s="59"/>
      <c r="DV994" s="59"/>
      <c r="DW994" s="59"/>
      <c r="DX994" s="59"/>
      <c r="DY994" s="59"/>
      <c r="DZ994" s="59"/>
      <c r="EA994" s="59"/>
      <c r="EB994" s="59"/>
      <c r="EC994" s="59"/>
      <c r="ED994" s="59"/>
      <c r="EE994" s="59"/>
      <c r="EF994" s="59"/>
      <c r="EG994" s="59"/>
      <c r="EH994" s="59"/>
      <c r="EI994" s="59"/>
      <c r="EJ994" s="59"/>
      <c r="EK994" s="59"/>
      <c r="EL994" s="59"/>
      <c r="EM994" s="59"/>
      <c r="EN994" s="59"/>
      <c r="EO994" s="59"/>
      <c r="EP994" s="59"/>
      <c r="EQ994" s="59"/>
      <c r="ER994" s="59"/>
      <c r="ES994" s="59"/>
      <c r="ET994" s="59"/>
      <c r="EU994" s="59"/>
      <c r="EV994" s="59"/>
      <c r="EW994" s="59"/>
      <c r="EX994" s="59"/>
      <c r="EY994" s="59"/>
      <c r="EZ994" s="59"/>
      <c r="FA994" s="59"/>
      <c r="FB994" s="59"/>
      <c r="FC994" s="59"/>
      <c r="FD994" s="59"/>
      <c r="FE994" s="59"/>
      <c r="FF994" s="59"/>
      <c r="FG994" s="59"/>
      <c r="FH994" s="59"/>
      <c r="FI994" s="59"/>
      <c r="FJ994" s="59"/>
      <c r="FK994" s="59"/>
      <c r="FL994" s="59"/>
      <c r="FM994" s="59"/>
      <c r="FN994" s="59"/>
      <c r="FO994" s="59"/>
      <c r="FP994" s="59"/>
      <c r="FQ994" s="59"/>
      <c r="FR994" s="59"/>
      <c r="FS994" s="59"/>
      <c r="FT994" s="59"/>
      <c r="FU994" s="59"/>
      <c r="FV994" s="59"/>
      <c r="FW994" s="59"/>
      <c r="FX994" s="59"/>
      <c r="FY994" s="59"/>
      <c r="FZ994" s="59"/>
      <c r="GA994" s="59"/>
      <c r="GB994" s="59"/>
      <c r="GC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  <c r="BV995" s="59"/>
      <c r="BW995" s="59"/>
      <c r="BX995" s="59"/>
      <c r="BY995" s="59"/>
      <c r="BZ995" s="59"/>
      <c r="CA995" s="59"/>
      <c r="CB995" s="59"/>
      <c r="CC995" s="59"/>
      <c r="CD995" s="59"/>
      <c r="CE995" s="59"/>
      <c r="CF995" s="59"/>
      <c r="CG995" s="59"/>
      <c r="CH995" s="59"/>
      <c r="CI995" s="59"/>
      <c r="CJ995" s="59"/>
      <c r="CK995" s="59"/>
      <c r="CL995" s="59"/>
      <c r="CM995" s="59"/>
      <c r="CN995" s="59"/>
      <c r="CO995" s="59"/>
      <c r="CP995" s="59"/>
      <c r="CQ995" s="59"/>
      <c r="CR995" s="59"/>
      <c r="CS995" s="59"/>
      <c r="CT995" s="59"/>
      <c r="CU995" s="59"/>
      <c r="CV995" s="59"/>
      <c r="CW995" s="59"/>
      <c r="CX995" s="59"/>
      <c r="CY995" s="59"/>
      <c r="CZ995" s="59"/>
      <c r="DA995" s="59"/>
      <c r="DB995" s="59"/>
      <c r="DC995" s="59"/>
      <c r="DD995" s="59"/>
      <c r="DE995" s="59"/>
      <c r="DF995" s="59"/>
      <c r="DG995" s="59"/>
      <c r="DH995" s="59"/>
      <c r="DI995" s="59"/>
      <c r="DJ995" s="59"/>
      <c r="DK995" s="59"/>
      <c r="DL995" s="59"/>
      <c r="DM995" s="59"/>
      <c r="DN995" s="59"/>
      <c r="DO995" s="59"/>
      <c r="DP995" s="59"/>
      <c r="DQ995" s="59"/>
      <c r="DR995" s="59"/>
      <c r="DS995" s="59"/>
      <c r="DT995" s="59"/>
      <c r="DU995" s="59"/>
      <c r="DV995" s="59"/>
      <c r="DW995" s="59"/>
      <c r="DX995" s="59"/>
      <c r="DY995" s="59"/>
      <c r="DZ995" s="59"/>
      <c r="EA995" s="59"/>
      <c r="EB995" s="59"/>
      <c r="EC995" s="59"/>
      <c r="ED995" s="59"/>
      <c r="EE995" s="59"/>
      <c r="EF995" s="59"/>
      <c r="EG995" s="59"/>
      <c r="EH995" s="59"/>
      <c r="EI995" s="59"/>
      <c r="EJ995" s="59"/>
      <c r="EK995" s="59"/>
      <c r="EL995" s="59"/>
      <c r="EM995" s="59"/>
      <c r="EN995" s="59"/>
      <c r="EO995" s="59"/>
      <c r="EP995" s="59"/>
      <c r="EQ995" s="59"/>
      <c r="ER995" s="59"/>
      <c r="ES995" s="59"/>
      <c r="ET995" s="59"/>
      <c r="EU995" s="59"/>
      <c r="EV995" s="59"/>
      <c r="EW995" s="59"/>
      <c r="EX995" s="59"/>
      <c r="EY995" s="59"/>
      <c r="EZ995" s="59"/>
      <c r="FA995" s="59"/>
      <c r="FB995" s="59"/>
      <c r="FC995" s="59"/>
      <c r="FD995" s="59"/>
      <c r="FE995" s="59"/>
      <c r="FF995" s="59"/>
      <c r="FG995" s="59"/>
      <c r="FH995" s="59"/>
      <c r="FI995" s="59"/>
      <c r="FJ995" s="59"/>
      <c r="FK995" s="59"/>
      <c r="FL995" s="59"/>
      <c r="FM995" s="59"/>
      <c r="FN995" s="59"/>
      <c r="FO995" s="59"/>
      <c r="FP995" s="59"/>
      <c r="FQ995" s="59"/>
      <c r="FR995" s="59"/>
      <c r="FS995" s="59"/>
      <c r="FT995" s="59"/>
      <c r="FU995" s="59"/>
      <c r="FV995" s="59"/>
      <c r="FW995" s="59"/>
      <c r="FX995" s="59"/>
      <c r="FY995" s="59"/>
      <c r="FZ995" s="59"/>
      <c r="GA995" s="59"/>
      <c r="GB995" s="59"/>
      <c r="GC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  <c r="BV996" s="59"/>
      <c r="BW996" s="59"/>
      <c r="BX996" s="59"/>
      <c r="BY996" s="59"/>
      <c r="BZ996" s="59"/>
      <c r="CA996" s="59"/>
      <c r="CB996" s="59"/>
      <c r="CC996" s="59"/>
      <c r="CD996" s="59"/>
      <c r="CE996" s="59"/>
      <c r="CF996" s="59"/>
      <c r="CG996" s="59"/>
      <c r="CH996" s="59"/>
      <c r="CI996" s="59"/>
      <c r="CJ996" s="59"/>
      <c r="CK996" s="59"/>
      <c r="CL996" s="59"/>
      <c r="CM996" s="59"/>
      <c r="CN996" s="59"/>
      <c r="CO996" s="59"/>
      <c r="CP996" s="59"/>
      <c r="CQ996" s="59"/>
      <c r="CR996" s="59"/>
      <c r="CS996" s="59"/>
      <c r="CT996" s="59"/>
      <c r="CU996" s="59"/>
      <c r="CV996" s="59"/>
      <c r="CW996" s="59"/>
      <c r="CX996" s="59"/>
      <c r="CY996" s="59"/>
      <c r="CZ996" s="59"/>
      <c r="DA996" s="59"/>
      <c r="DB996" s="59"/>
      <c r="DC996" s="59"/>
      <c r="DD996" s="59"/>
      <c r="DE996" s="59"/>
      <c r="DF996" s="59"/>
      <c r="DG996" s="59"/>
      <c r="DH996" s="59"/>
      <c r="DI996" s="59"/>
      <c r="DJ996" s="59"/>
      <c r="DK996" s="59"/>
      <c r="DL996" s="59"/>
      <c r="DM996" s="59"/>
      <c r="DN996" s="59"/>
      <c r="DO996" s="59"/>
      <c r="DP996" s="59"/>
      <c r="DQ996" s="59"/>
      <c r="DR996" s="59"/>
      <c r="DS996" s="59"/>
      <c r="DT996" s="59"/>
      <c r="DU996" s="59"/>
      <c r="DV996" s="59"/>
      <c r="DW996" s="59"/>
      <c r="DX996" s="59"/>
      <c r="DY996" s="59"/>
      <c r="DZ996" s="59"/>
      <c r="EA996" s="59"/>
      <c r="EB996" s="59"/>
      <c r="EC996" s="59"/>
      <c r="ED996" s="59"/>
      <c r="EE996" s="59"/>
      <c r="EF996" s="59"/>
      <c r="EG996" s="59"/>
      <c r="EH996" s="59"/>
      <c r="EI996" s="59"/>
      <c r="EJ996" s="59"/>
      <c r="EK996" s="59"/>
      <c r="EL996" s="59"/>
      <c r="EM996" s="59"/>
      <c r="EN996" s="59"/>
      <c r="EO996" s="59"/>
      <c r="EP996" s="59"/>
      <c r="EQ996" s="59"/>
      <c r="ER996" s="59"/>
      <c r="ES996" s="59"/>
      <c r="ET996" s="59"/>
      <c r="EU996" s="59"/>
      <c r="EV996" s="59"/>
      <c r="EW996" s="59"/>
      <c r="EX996" s="59"/>
      <c r="EY996" s="59"/>
      <c r="EZ996" s="59"/>
      <c r="FA996" s="59"/>
      <c r="FB996" s="59"/>
      <c r="FC996" s="59"/>
      <c r="FD996" s="59"/>
      <c r="FE996" s="59"/>
      <c r="FF996" s="59"/>
      <c r="FG996" s="59"/>
      <c r="FH996" s="59"/>
      <c r="FI996" s="59"/>
      <c r="FJ996" s="59"/>
      <c r="FK996" s="59"/>
      <c r="FL996" s="59"/>
      <c r="FM996" s="59"/>
      <c r="FN996" s="59"/>
      <c r="FO996" s="59"/>
      <c r="FP996" s="59"/>
      <c r="FQ996" s="59"/>
      <c r="FR996" s="59"/>
      <c r="FS996" s="59"/>
      <c r="FT996" s="59"/>
      <c r="FU996" s="59"/>
      <c r="FV996" s="59"/>
      <c r="FW996" s="59"/>
      <c r="FX996" s="59"/>
      <c r="FY996" s="59"/>
      <c r="FZ996" s="59"/>
      <c r="GA996" s="59"/>
      <c r="GB996" s="59"/>
      <c r="GC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  <c r="BV997" s="59"/>
      <c r="BW997" s="59"/>
      <c r="BX997" s="59"/>
      <c r="BY997" s="59"/>
      <c r="BZ997" s="59"/>
      <c r="CA997" s="59"/>
      <c r="CB997" s="59"/>
      <c r="CC997" s="59"/>
      <c r="CD997" s="59"/>
      <c r="CE997" s="59"/>
      <c r="CF997" s="59"/>
      <c r="CG997" s="59"/>
      <c r="CH997" s="59"/>
      <c r="CI997" s="59"/>
      <c r="CJ997" s="59"/>
      <c r="CK997" s="59"/>
      <c r="CL997" s="59"/>
      <c r="CM997" s="59"/>
      <c r="CN997" s="59"/>
      <c r="CO997" s="59"/>
      <c r="CP997" s="59"/>
      <c r="CQ997" s="59"/>
      <c r="CR997" s="59"/>
      <c r="CS997" s="59"/>
      <c r="CT997" s="59"/>
      <c r="CU997" s="59"/>
      <c r="CV997" s="59"/>
      <c r="CW997" s="59"/>
      <c r="CX997" s="59"/>
      <c r="CY997" s="59"/>
      <c r="CZ997" s="59"/>
      <c r="DA997" s="59"/>
      <c r="DB997" s="59"/>
      <c r="DC997" s="59"/>
      <c r="DD997" s="59"/>
      <c r="DE997" s="59"/>
      <c r="DF997" s="59"/>
      <c r="DG997" s="59"/>
      <c r="DH997" s="59"/>
      <c r="DI997" s="59"/>
      <c r="DJ997" s="59"/>
      <c r="DK997" s="59"/>
      <c r="DL997" s="59"/>
      <c r="DM997" s="59"/>
      <c r="DN997" s="59"/>
      <c r="DO997" s="59"/>
      <c r="DP997" s="59"/>
      <c r="DQ997" s="59"/>
      <c r="DR997" s="59"/>
      <c r="DS997" s="59"/>
      <c r="DT997" s="59"/>
      <c r="DU997" s="59"/>
      <c r="DV997" s="59"/>
      <c r="DW997" s="59"/>
      <c r="DX997" s="59"/>
      <c r="DY997" s="59"/>
      <c r="DZ997" s="59"/>
      <c r="EA997" s="59"/>
      <c r="EB997" s="59"/>
      <c r="EC997" s="59"/>
      <c r="ED997" s="59"/>
      <c r="EE997" s="59"/>
      <c r="EF997" s="59"/>
      <c r="EG997" s="59"/>
      <c r="EH997" s="59"/>
      <c r="EI997" s="59"/>
      <c r="EJ997" s="59"/>
      <c r="EK997" s="59"/>
      <c r="EL997" s="59"/>
      <c r="EM997" s="59"/>
      <c r="EN997" s="59"/>
      <c r="EO997" s="59"/>
      <c r="EP997" s="59"/>
      <c r="EQ997" s="59"/>
      <c r="ER997" s="59"/>
      <c r="ES997" s="59"/>
      <c r="ET997" s="59"/>
      <c r="EU997" s="59"/>
      <c r="EV997" s="59"/>
      <c r="EW997" s="59"/>
      <c r="EX997" s="59"/>
      <c r="EY997" s="59"/>
      <c r="EZ997" s="59"/>
      <c r="FA997" s="59"/>
      <c r="FB997" s="59"/>
      <c r="FC997" s="59"/>
      <c r="FD997" s="59"/>
      <c r="FE997" s="59"/>
      <c r="FF997" s="59"/>
      <c r="FG997" s="59"/>
      <c r="FH997" s="59"/>
      <c r="FI997" s="59"/>
      <c r="FJ997" s="59"/>
      <c r="FK997" s="59"/>
      <c r="FL997" s="59"/>
      <c r="FM997" s="59"/>
      <c r="FN997" s="59"/>
      <c r="FO997" s="59"/>
      <c r="FP997" s="59"/>
      <c r="FQ997" s="59"/>
      <c r="FR997" s="59"/>
      <c r="FS997" s="59"/>
      <c r="FT997" s="59"/>
      <c r="FU997" s="59"/>
      <c r="FV997" s="59"/>
      <c r="FW997" s="59"/>
      <c r="FX997" s="59"/>
      <c r="FY997" s="59"/>
      <c r="FZ997" s="59"/>
      <c r="GA997" s="59"/>
      <c r="GB997" s="59"/>
      <c r="GC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  <c r="BV998" s="59"/>
      <c r="BW998" s="59"/>
      <c r="BX998" s="59"/>
      <c r="BY998" s="59"/>
      <c r="BZ998" s="59"/>
      <c r="CA998" s="59"/>
      <c r="CB998" s="59"/>
      <c r="CC998" s="59"/>
      <c r="CD998" s="59"/>
      <c r="CE998" s="59"/>
      <c r="CF998" s="59"/>
      <c r="CG998" s="59"/>
      <c r="CH998" s="59"/>
      <c r="CI998" s="59"/>
      <c r="CJ998" s="59"/>
      <c r="CK998" s="59"/>
      <c r="CL998" s="59"/>
      <c r="CM998" s="59"/>
      <c r="CN998" s="59"/>
      <c r="CO998" s="59"/>
      <c r="CP998" s="59"/>
      <c r="CQ998" s="59"/>
      <c r="CR998" s="59"/>
      <c r="CS998" s="59"/>
      <c r="CT998" s="59"/>
      <c r="CU998" s="59"/>
      <c r="CV998" s="59"/>
      <c r="CW998" s="59"/>
      <c r="CX998" s="59"/>
      <c r="CY998" s="59"/>
      <c r="CZ998" s="59"/>
      <c r="DA998" s="59"/>
      <c r="DB998" s="59"/>
      <c r="DC998" s="59"/>
      <c r="DD998" s="59"/>
      <c r="DE998" s="59"/>
      <c r="DF998" s="59"/>
      <c r="DG998" s="59"/>
      <c r="DH998" s="59"/>
      <c r="DI998" s="59"/>
      <c r="DJ998" s="59"/>
      <c r="DK998" s="59"/>
      <c r="DL998" s="59"/>
      <c r="DM998" s="59"/>
      <c r="DN998" s="59"/>
      <c r="DO998" s="59"/>
      <c r="DP998" s="59"/>
      <c r="DQ998" s="59"/>
      <c r="DR998" s="59"/>
      <c r="DS998" s="59"/>
      <c r="DT998" s="59"/>
      <c r="DU998" s="59"/>
      <c r="DV998" s="59"/>
      <c r="DW998" s="59"/>
      <c r="DX998" s="59"/>
      <c r="DY998" s="59"/>
      <c r="DZ998" s="59"/>
      <c r="EA998" s="59"/>
      <c r="EB998" s="59"/>
      <c r="EC998" s="59"/>
      <c r="ED998" s="59"/>
      <c r="EE998" s="59"/>
      <c r="EF998" s="59"/>
      <c r="EG998" s="59"/>
      <c r="EH998" s="59"/>
      <c r="EI998" s="59"/>
      <c r="EJ998" s="59"/>
      <c r="EK998" s="59"/>
      <c r="EL998" s="59"/>
      <c r="EM998" s="59"/>
      <c r="EN998" s="59"/>
      <c r="EO998" s="59"/>
      <c r="EP998" s="59"/>
      <c r="EQ998" s="59"/>
      <c r="ER998" s="59"/>
      <c r="ES998" s="59"/>
      <c r="ET998" s="59"/>
      <c r="EU998" s="59"/>
      <c r="EV998" s="59"/>
      <c r="EW998" s="59"/>
      <c r="EX998" s="59"/>
      <c r="EY998" s="59"/>
      <c r="EZ998" s="59"/>
      <c r="FA998" s="59"/>
      <c r="FB998" s="59"/>
      <c r="FC998" s="59"/>
      <c r="FD998" s="59"/>
      <c r="FE998" s="59"/>
      <c r="FF998" s="59"/>
      <c r="FG998" s="59"/>
      <c r="FH998" s="59"/>
      <c r="FI998" s="59"/>
      <c r="FJ998" s="59"/>
      <c r="FK998" s="59"/>
      <c r="FL998" s="59"/>
      <c r="FM998" s="59"/>
      <c r="FN998" s="59"/>
      <c r="FO998" s="59"/>
      <c r="FP998" s="59"/>
      <c r="FQ998" s="59"/>
      <c r="FR998" s="59"/>
      <c r="FS998" s="59"/>
      <c r="FT998" s="59"/>
      <c r="FU998" s="59"/>
      <c r="FV998" s="59"/>
      <c r="FW998" s="59"/>
      <c r="FX998" s="59"/>
      <c r="FY998" s="59"/>
      <c r="FZ998" s="59"/>
      <c r="GA998" s="59"/>
      <c r="GB998" s="59"/>
      <c r="GC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  <c r="BV999" s="59"/>
      <c r="BW999" s="59"/>
      <c r="BX999" s="59"/>
      <c r="BY999" s="59"/>
      <c r="BZ999" s="59"/>
      <c r="CA999" s="59"/>
      <c r="CB999" s="59"/>
      <c r="CC999" s="59"/>
      <c r="CD999" s="59"/>
      <c r="CE999" s="59"/>
      <c r="CF999" s="59"/>
      <c r="CG999" s="59"/>
      <c r="CH999" s="59"/>
      <c r="CI999" s="59"/>
      <c r="CJ999" s="59"/>
      <c r="CK999" s="59"/>
      <c r="CL999" s="59"/>
      <c r="CM999" s="59"/>
      <c r="CN999" s="59"/>
      <c r="CO999" s="59"/>
      <c r="CP999" s="59"/>
      <c r="CQ999" s="59"/>
      <c r="CR999" s="59"/>
      <c r="CS999" s="59"/>
      <c r="CT999" s="59"/>
      <c r="CU999" s="59"/>
      <c r="CV999" s="59"/>
      <c r="CW999" s="59"/>
      <c r="CX999" s="59"/>
      <c r="CY999" s="59"/>
      <c r="CZ999" s="59"/>
      <c r="DA999" s="59"/>
      <c r="DB999" s="59"/>
      <c r="DC999" s="59"/>
      <c r="DD999" s="59"/>
      <c r="DE999" s="59"/>
      <c r="DF999" s="59"/>
      <c r="DG999" s="59"/>
      <c r="DH999" s="59"/>
      <c r="DI999" s="59"/>
      <c r="DJ999" s="59"/>
      <c r="DK999" s="59"/>
      <c r="DL999" s="59"/>
      <c r="DM999" s="59"/>
      <c r="DN999" s="59"/>
      <c r="DO999" s="59"/>
      <c r="DP999" s="59"/>
      <c r="DQ999" s="59"/>
      <c r="DR999" s="59"/>
      <c r="DS999" s="59"/>
      <c r="DT999" s="59"/>
      <c r="DU999" s="59"/>
      <c r="DV999" s="59"/>
      <c r="DW999" s="59"/>
      <c r="DX999" s="59"/>
      <c r="DY999" s="59"/>
      <c r="DZ999" s="59"/>
      <c r="EA999" s="59"/>
      <c r="EB999" s="59"/>
      <c r="EC999" s="59"/>
      <c r="ED999" s="59"/>
      <c r="EE999" s="59"/>
      <c r="EF999" s="59"/>
      <c r="EG999" s="59"/>
      <c r="EH999" s="59"/>
      <c r="EI999" s="59"/>
      <c r="EJ999" s="59"/>
      <c r="EK999" s="59"/>
      <c r="EL999" s="59"/>
      <c r="EM999" s="59"/>
      <c r="EN999" s="59"/>
      <c r="EO999" s="59"/>
      <c r="EP999" s="59"/>
      <c r="EQ999" s="59"/>
      <c r="ER999" s="59"/>
      <c r="ES999" s="59"/>
      <c r="ET999" s="59"/>
      <c r="EU999" s="59"/>
      <c r="EV999" s="59"/>
      <c r="EW999" s="59"/>
      <c r="EX999" s="59"/>
      <c r="EY999" s="59"/>
      <c r="EZ999" s="59"/>
      <c r="FA999" s="59"/>
      <c r="FB999" s="59"/>
      <c r="FC999" s="59"/>
      <c r="FD999" s="59"/>
      <c r="FE999" s="59"/>
      <c r="FF999" s="59"/>
      <c r="FG999" s="59"/>
      <c r="FH999" s="59"/>
      <c r="FI999" s="59"/>
      <c r="FJ999" s="59"/>
      <c r="FK999" s="59"/>
      <c r="FL999" s="59"/>
      <c r="FM999" s="59"/>
      <c r="FN999" s="59"/>
      <c r="FO999" s="59"/>
      <c r="FP999" s="59"/>
      <c r="FQ999" s="59"/>
      <c r="FR999" s="59"/>
      <c r="FS999" s="59"/>
      <c r="FT999" s="59"/>
      <c r="FU999" s="59"/>
      <c r="FV999" s="59"/>
      <c r="FW999" s="59"/>
      <c r="FX999" s="59"/>
      <c r="FY999" s="59"/>
      <c r="FZ999" s="59"/>
      <c r="GA999" s="59"/>
      <c r="GB999" s="59"/>
      <c r="GC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  <c r="BV1000" s="59"/>
      <c r="BW1000" s="59"/>
      <c r="BX1000" s="59"/>
      <c r="BY1000" s="59"/>
      <c r="BZ1000" s="59"/>
      <c r="CA1000" s="59"/>
      <c r="CB1000" s="59"/>
      <c r="CC1000" s="59"/>
      <c r="CD1000" s="59"/>
      <c r="CE1000" s="59"/>
      <c r="CF1000" s="59"/>
      <c r="CG1000" s="59"/>
      <c r="CH1000" s="59"/>
      <c r="CI1000" s="59"/>
      <c r="CJ1000" s="59"/>
      <c r="CK1000" s="59"/>
      <c r="CL1000" s="59"/>
      <c r="CM1000" s="59"/>
      <c r="CN1000" s="59"/>
      <c r="CO1000" s="59"/>
      <c r="CP1000" s="59"/>
      <c r="CQ1000" s="59"/>
      <c r="CR1000" s="59"/>
      <c r="CS1000" s="59"/>
      <c r="CT1000" s="59"/>
      <c r="CU1000" s="59"/>
      <c r="CV1000" s="59"/>
      <c r="CW1000" s="59"/>
      <c r="CX1000" s="59"/>
      <c r="CY1000" s="59"/>
      <c r="CZ1000" s="59"/>
      <c r="DA1000" s="59"/>
      <c r="DB1000" s="59"/>
      <c r="DC1000" s="59"/>
      <c r="DD1000" s="59"/>
      <c r="DE1000" s="59"/>
      <c r="DF1000" s="59"/>
      <c r="DG1000" s="59"/>
      <c r="DH1000" s="59"/>
      <c r="DI1000" s="59"/>
      <c r="DJ1000" s="59"/>
      <c r="DK1000" s="59"/>
      <c r="DL1000" s="59"/>
      <c r="DM1000" s="59"/>
      <c r="DN1000" s="59"/>
      <c r="DO1000" s="59"/>
      <c r="DP1000" s="59"/>
      <c r="DQ1000" s="59"/>
      <c r="DR1000" s="59"/>
      <c r="DS1000" s="59"/>
      <c r="DT1000" s="59"/>
      <c r="DU1000" s="59"/>
      <c r="DV1000" s="59"/>
      <c r="DW1000" s="59"/>
      <c r="DX1000" s="59"/>
      <c r="DY1000" s="59"/>
      <c r="DZ1000" s="59"/>
      <c r="EA1000" s="59"/>
      <c r="EB1000" s="59"/>
      <c r="EC1000" s="59"/>
      <c r="ED1000" s="59"/>
      <c r="EE1000" s="59"/>
      <c r="EF1000" s="59"/>
      <c r="EG1000" s="59"/>
      <c r="EH1000" s="59"/>
      <c r="EI1000" s="59"/>
      <c r="EJ1000" s="59"/>
      <c r="EK1000" s="59"/>
      <c r="EL1000" s="59"/>
      <c r="EM1000" s="59"/>
      <c r="EN1000" s="59"/>
      <c r="EO1000" s="59"/>
      <c r="EP1000" s="59"/>
      <c r="EQ1000" s="59"/>
      <c r="ER1000" s="59"/>
      <c r="ES1000" s="59"/>
      <c r="ET1000" s="59"/>
      <c r="EU1000" s="59"/>
      <c r="EV1000" s="59"/>
      <c r="EW1000" s="59"/>
      <c r="EX1000" s="59"/>
      <c r="EY1000" s="59"/>
      <c r="EZ1000" s="59"/>
      <c r="FA1000" s="59"/>
      <c r="FB1000" s="59"/>
      <c r="FC1000" s="59"/>
      <c r="FD1000" s="59"/>
      <c r="FE1000" s="59"/>
      <c r="FF1000" s="59"/>
      <c r="FG1000" s="59"/>
      <c r="FH1000" s="59"/>
      <c r="FI1000" s="59"/>
      <c r="FJ1000" s="59"/>
      <c r="FK1000" s="59"/>
      <c r="FL1000" s="59"/>
      <c r="FM1000" s="59"/>
      <c r="FN1000" s="59"/>
      <c r="FO1000" s="59"/>
      <c r="FP1000" s="59"/>
      <c r="FQ1000" s="59"/>
      <c r="FR1000" s="59"/>
      <c r="FS1000" s="59"/>
      <c r="FT1000" s="59"/>
      <c r="FU1000" s="59"/>
      <c r="FV1000" s="59"/>
      <c r="FW1000" s="59"/>
      <c r="FX1000" s="59"/>
      <c r="FY1000" s="59"/>
      <c r="FZ1000" s="59"/>
      <c r="GA1000" s="59"/>
      <c r="GB1000" s="59"/>
      <c r="GC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  <c r="BV1001" s="59"/>
      <c r="BW1001" s="59"/>
      <c r="BX1001" s="59"/>
      <c r="BY1001" s="59"/>
      <c r="BZ1001" s="59"/>
      <c r="CA1001" s="59"/>
      <c r="CB1001" s="59"/>
      <c r="CC1001" s="59"/>
      <c r="CD1001" s="59"/>
      <c r="CE1001" s="59"/>
      <c r="CF1001" s="59"/>
      <c r="CG1001" s="59"/>
      <c r="CH1001" s="59"/>
      <c r="CI1001" s="59"/>
      <c r="CJ1001" s="59"/>
      <c r="CK1001" s="59"/>
      <c r="CL1001" s="59"/>
      <c r="CM1001" s="59"/>
      <c r="CN1001" s="59"/>
      <c r="CO1001" s="59"/>
      <c r="CP1001" s="59"/>
      <c r="CQ1001" s="59"/>
      <c r="CR1001" s="59"/>
      <c r="CS1001" s="59"/>
      <c r="CT1001" s="59"/>
      <c r="CU1001" s="59"/>
      <c r="CV1001" s="59"/>
      <c r="CW1001" s="59"/>
      <c r="CX1001" s="59"/>
      <c r="CY1001" s="59"/>
      <c r="CZ1001" s="59"/>
      <c r="DA1001" s="59"/>
      <c r="DB1001" s="59"/>
      <c r="DC1001" s="59"/>
      <c r="DD1001" s="59"/>
      <c r="DE1001" s="59"/>
      <c r="DF1001" s="59"/>
      <c r="DG1001" s="59"/>
      <c r="DH1001" s="59"/>
      <c r="DI1001" s="59"/>
      <c r="DJ1001" s="59"/>
      <c r="DK1001" s="59"/>
      <c r="DL1001" s="59"/>
      <c r="DM1001" s="59"/>
      <c r="DN1001" s="59"/>
      <c r="DO1001" s="59"/>
      <c r="DP1001" s="59"/>
      <c r="DQ1001" s="59"/>
      <c r="DR1001" s="59"/>
      <c r="DS1001" s="59"/>
      <c r="DT1001" s="59"/>
      <c r="DU1001" s="59"/>
      <c r="DV1001" s="59"/>
      <c r="DW1001" s="59"/>
      <c r="DX1001" s="59"/>
      <c r="DY1001" s="59"/>
      <c r="DZ1001" s="59"/>
      <c r="EA1001" s="59"/>
      <c r="EB1001" s="59"/>
      <c r="EC1001" s="59"/>
      <c r="ED1001" s="59"/>
      <c r="EE1001" s="59"/>
      <c r="EF1001" s="59"/>
      <c r="EG1001" s="59"/>
      <c r="EH1001" s="59"/>
      <c r="EI1001" s="59"/>
      <c r="EJ1001" s="59"/>
      <c r="EK1001" s="59"/>
      <c r="EL1001" s="59"/>
      <c r="EM1001" s="59"/>
      <c r="EN1001" s="59"/>
      <c r="EO1001" s="59"/>
      <c r="EP1001" s="59"/>
      <c r="EQ1001" s="59"/>
      <c r="ER1001" s="59"/>
      <c r="ES1001" s="59"/>
      <c r="ET1001" s="59"/>
      <c r="EU1001" s="59"/>
      <c r="EV1001" s="59"/>
      <c r="EW1001" s="59"/>
      <c r="EX1001" s="59"/>
      <c r="EY1001" s="59"/>
      <c r="EZ1001" s="59"/>
      <c r="FA1001" s="59"/>
      <c r="FB1001" s="59"/>
      <c r="FC1001" s="59"/>
      <c r="FD1001" s="59"/>
      <c r="FE1001" s="59"/>
      <c r="FF1001" s="59"/>
      <c r="FG1001" s="59"/>
      <c r="FH1001" s="59"/>
      <c r="FI1001" s="59"/>
      <c r="FJ1001" s="59"/>
      <c r="FK1001" s="59"/>
      <c r="FL1001" s="59"/>
      <c r="FM1001" s="59"/>
      <c r="FN1001" s="59"/>
      <c r="FO1001" s="59"/>
      <c r="FP1001" s="59"/>
      <c r="FQ1001" s="59"/>
      <c r="FR1001" s="59"/>
      <c r="FS1001" s="59"/>
      <c r="FT1001" s="59"/>
      <c r="FU1001" s="59"/>
      <c r="FV1001" s="59"/>
      <c r="FW1001" s="59"/>
      <c r="FX1001" s="59"/>
      <c r="FY1001" s="59"/>
      <c r="FZ1001" s="59"/>
      <c r="GA1001" s="59"/>
      <c r="GB1001" s="59"/>
      <c r="GC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  <c r="BV1002" s="59"/>
      <c r="BW1002" s="59"/>
      <c r="BX1002" s="59"/>
      <c r="BY1002" s="59"/>
      <c r="BZ1002" s="59"/>
      <c r="CA1002" s="59"/>
      <c r="CB1002" s="59"/>
      <c r="CC1002" s="59"/>
      <c r="CD1002" s="59"/>
      <c r="CE1002" s="59"/>
      <c r="CF1002" s="59"/>
      <c r="CG1002" s="59"/>
      <c r="CH1002" s="59"/>
      <c r="CI1002" s="59"/>
      <c r="CJ1002" s="59"/>
      <c r="CK1002" s="59"/>
      <c r="CL1002" s="59"/>
      <c r="CM1002" s="59"/>
      <c r="CN1002" s="59"/>
      <c r="CO1002" s="59"/>
      <c r="CP1002" s="59"/>
      <c r="CQ1002" s="59"/>
      <c r="CR1002" s="59"/>
      <c r="CS1002" s="59"/>
      <c r="CT1002" s="59"/>
      <c r="CU1002" s="59"/>
      <c r="CV1002" s="59"/>
      <c r="CW1002" s="59"/>
      <c r="CX1002" s="59"/>
      <c r="CY1002" s="59"/>
      <c r="CZ1002" s="59"/>
      <c r="DA1002" s="59"/>
      <c r="DB1002" s="59"/>
      <c r="DC1002" s="59"/>
      <c r="DD1002" s="59"/>
      <c r="DE1002" s="59"/>
      <c r="DF1002" s="59"/>
      <c r="DG1002" s="59"/>
      <c r="DH1002" s="59"/>
      <c r="DI1002" s="59"/>
      <c r="DJ1002" s="59"/>
      <c r="DK1002" s="59"/>
      <c r="DL1002" s="59"/>
      <c r="DM1002" s="59"/>
      <c r="DN1002" s="59"/>
      <c r="DO1002" s="59"/>
      <c r="DP1002" s="59"/>
      <c r="DQ1002" s="59"/>
      <c r="DR1002" s="59"/>
      <c r="DS1002" s="59"/>
      <c r="DT1002" s="59"/>
      <c r="DU1002" s="59"/>
      <c r="DV1002" s="59"/>
      <c r="DW1002" s="59"/>
      <c r="DX1002" s="59"/>
      <c r="DY1002" s="59"/>
      <c r="DZ1002" s="59"/>
      <c r="EA1002" s="59"/>
      <c r="EB1002" s="59"/>
      <c r="EC1002" s="59"/>
      <c r="ED1002" s="59"/>
      <c r="EE1002" s="59"/>
      <c r="EF1002" s="59"/>
      <c r="EG1002" s="59"/>
      <c r="EH1002" s="59"/>
      <c r="EI1002" s="59"/>
      <c r="EJ1002" s="59"/>
      <c r="EK1002" s="59"/>
      <c r="EL1002" s="59"/>
      <c r="EM1002" s="59"/>
      <c r="EN1002" s="59"/>
      <c r="EO1002" s="59"/>
      <c r="EP1002" s="59"/>
      <c r="EQ1002" s="59"/>
      <c r="ER1002" s="59"/>
      <c r="ES1002" s="59"/>
      <c r="ET1002" s="59"/>
      <c r="EU1002" s="59"/>
      <c r="EV1002" s="59"/>
      <c r="EW1002" s="59"/>
      <c r="EX1002" s="59"/>
      <c r="EY1002" s="59"/>
      <c r="EZ1002" s="59"/>
      <c r="FA1002" s="59"/>
      <c r="FB1002" s="59"/>
      <c r="FC1002" s="59"/>
      <c r="FD1002" s="59"/>
      <c r="FE1002" s="59"/>
      <c r="FF1002" s="59"/>
      <c r="FG1002" s="59"/>
      <c r="FH1002" s="59"/>
      <c r="FI1002" s="59"/>
      <c r="FJ1002" s="59"/>
      <c r="FK1002" s="59"/>
      <c r="FL1002" s="59"/>
      <c r="FM1002" s="59"/>
      <c r="FN1002" s="59"/>
      <c r="FO1002" s="59"/>
      <c r="FP1002" s="59"/>
      <c r="FQ1002" s="59"/>
      <c r="FR1002" s="59"/>
      <c r="FS1002" s="59"/>
      <c r="FT1002" s="59"/>
      <c r="FU1002" s="59"/>
      <c r="FV1002" s="59"/>
      <c r="FW1002" s="59"/>
      <c r="FX1002" s="59"/>
      <c r="FY1002" s="59"/>
      <c r="FZ1002" s="59"/>
      <c r="GA1002" s="59"/>
      <c r="GB1002" s="59"/>
      <c r="GC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  <c r="BV1003" s="59"/>
      <c r="BW1003" s="59"/>
      <c r="BX1003" s="59"/>
      <c r="BY1003" s="59"/>
      <c r="BZ1003" s="59"/>
      <c r="CA1003" s="59"/>
      <c r="CB1003" s="59"/>
      <c r="CC1003" s="59"/>
      <c r="CD1003" s="59"/>
      <c r="CE1003" s="59"/>
      <c r="CF1003" s="59"/>
      <c r="CG1003" s="59"/>
      <c r="CH1003" s="59"/>
      <c r="CI1003" s="59"/>
      <c r="CJ1003" s="59"/>
      <c r="CK1003" s="59"/>
      <c r="CL1003" s="59"/>
      <c r="CM1003" s="59"/>
      <c r="CN1003" s="59"/>
      <c r="CO1003" s="59"/>
      <c r="CP1003" s="59"/>
      <c r="CQ1003" s="59"/>
      <c r="CR1003" s="59"/>
      <c r="CS1003" s="59"/>
      <c r="CT1003" s="59"/>
      <c r="CU1003" s="59"/>
      <c r="CV1003" s="59"/>
      <c r="CW1003" s="59"/>
      <c r="CX1003" s="59"/>
      <c r="CY1003" s="59"/>
      <c r="CZ1003" s="59"/>
      <c r="DA1003" s="59"/>
      <c r="DB1003" s="59"/>
      <c r="DC1003" s="59"/>
      <c r="DD1003" s="59"/>
      <c r="DE1003" s="59"/>
      <c r="DF1003" s="59"/>
      <c r="DG1003" s="59"/>
      <c r="DH1003" s="59"/>
      <c r="DI1003" s="59"/>
      <c r="DJ1003" s="59"/>
      <c r="DK1003" s="59"/>
      <c r="DL1003" s="59"/>
      <c r="DM1003" s="59"/>
      <c r="DN1003" s="59"/>
      <c r="DO1003" s="59"/>
      <c r="DP1003" s="59"/>
      <c r="DQ1003" s="59"/>
      <c r="DR1003" s="59"/>
      <c r="DS1003" s="59"/>
      <c r="DT1003" s="59"/>
      <c r="DU1003" s="59"/>
      <c r="DV1003" s="59"/>
      <c r="DW1003" s="59"/>
      <c r="DX1003" s="59"/>
      <c r="DY1003" s="59"/>
      <c r="DZ1003" s="59"/>
      <c r="EA1003" s="59"/>
      <c r="EB1003" s="59"/>
      <c r="EC1003" s="59"/>
      <c r="ED1003" s="59"/>
      <c r="EE1003" s="59"/>
      <c r="EF1003" s="59"/>
      <c r="EG1003" s="59"/>
      <c r="EH1003" s="59"/>
      <c r="EI1003" s="59"/>
      <c r="EJ1003" s="59"/>
      <c r="EK1003" s="59"/>
      <c r="EL1003" s="59"/>
      <c r="EM1003" s="59"/>
      <c r="EN1003" s="59"/>
      <c r="EO1003" s="59"/>
      <c r="EP1003" s="59"/>
      <c r="EQ1003" s="59"/>
      <c r="ER1003" s="59"/>
      <c r="ES1003" s="59"/>
      <c r="ET1003" s="59"/>
      <c r="EU1003" s="59"/>
      <c r="EV1003" s="59"/>
      <c r="EW1003" s="59"/>
      <c r="EX1003" s="59"/>
      <c r="EY1003" s="59"/>
      <c r="EZ1003" s="59"/>
      <c r="FA1003" s="59"/>
      <c r="FB1003" s="59"/>
      <c r="FC1003" s="59"/>
      <c r="FD1003" s="59"/>
      <c r="FE1003" s="59"/>
      <c r="FF1003" s="59"/>
      <c r="FG1003" s="59"/>
      <c r="FH1003" s="59"/>
      <c r="FI1003" s="59"/>
      <c r="FJ1003" s="59"/>
      <c r="FK1003" s="59"/>
      <c r="FL1003" s="59"/>
      <c r="FM1003" s="59"/>
      <c r="FN1003" s="59"/>
      <c r="FO1003" s="59"/>
      <c r="FP1003" s="59"/>
      <c r="FQ1003" s="59"/>
      <c r="FR1003" s="59"/>
      <c r="FS1003" s="59"/>
      <c r="FT1003" s="59"/>
      <c r="FU1003" s="59"/>
      <c r="FV1003" s="59"/>
      <c r="FW1003" s="59"/>
      <c r="FX1003" s="59"/>
      <c r="FY1003" s="59"/>
      <c r="FZ1003" s="59"/>
      <c r="GA1003" s="59"/>
      <c r="GB1003" s="59"/>
      <c r="GC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  <c r="BV1004" s="59"/>
      <c r="BW1004" s="59"/>
      <c r="BX1004" s="59"/>
      <c r="BY1004" s="59"/>
      <c r="BZ1004" s="59"/>
      <c r="CA1004" s="59"/>
      <c r="CB1004" s="59"/>
      <c r="CC1004" s="59"/>
      <c r="CD1004" s="59"/>
      <c r="CE1004" s="59"/>
      <c r="CF1004" s="59"/>
      <c r="CG1004" s="59"/>
      <c r="CH1004" s="59"/>
      <c r="CI1004" s="59"/>
      <c r="CJ1004" s="59"/>
      <c r="CK1004" s="59"/>
      <c r="CL1004" s="59"/>
      <c r="CM1004" s="59"/>
      <c r="CN1004" s="59"/>
      <c r="CO1004" s="59"/>
      <c r="CP1004" s="59"/>
      <c r="CQ1004" s="59"/>
      <c r="CR1004" s="59"/>
      <c r="CS1004" s="59"/>
      <c r="CT1004" s="59"/>
      <c r="CU1004" s="59"/>
      <c r="CV1004" s="59"/>
      <c r="CW1004" s="59"/>
      <c r="CX1004" s="59"/>
      <c r="CY1004" s="59"/>
      <c r="CZ1004" s="59"/>
      <c r="DA1004" s="59"/>
      <c r="DB1004" s="59"/>
      <c r="DC1004" s="59"/>
      <c r="DD1004" s="59"/>
      <c r="DE1004" s="59"/>
      <c r="DF1004" s="59"/>
      <c r="DG1004" s="59"/>
      <c r="DH1004" s="59"/>
      <c r="DI1004" s="59"/>
      <c r="DJ1004" s="59"/>
      <c r="DK1004" s="59"/>
      <c r="DL1004" s="59"/>
      <c r="DM1004" s="59"/>
      <c r="DN1004" s="59"/>
      <c r="DO1004" s="59"/>
      <c r="DP1004" s="59"/>
      <c r="DQ1004" s="59"/>
      <c r="DR1004" s="59"/>
      <c r="DS1004" s="59"/>
      <c r="DT1004" s="59"/>
      <c r="DU1004" s="59"/>
      <c r="DV1004" s="59"/>
      <c r="DW1004" s="59"/>
      <c r="DX1004" s="59"/>
      <c r="DY1004" s="59"/>
      <c r="DZ1004" s="59"/>
      <c r="EA1004" s="59"/>
      <c r="EB1004" s="59"/>
      <c r="EC1004" s="59"/>
      <c r="ED1004" s="59"/>
      <c r="EE1004" s="59"/>
      <c r="EF1004" s="59"/>
      <c r="EG1004" s="59"/>
      <c r="EH1004" s="59"/>
      <c r="EI1004" s="59"/>
      <c r="EJ1004" s="59"/>
      <c r="EK1004" s="59"/>
      <c r="EL1004" s="59"/>
      <c r="EM1004" s="59"/>
      <c r="EN1004" s="59"/>
      <c r="EO1004" s="59"/>
      <c r="EP1004" s="59"/>
      <c r="EQ1004" s="59"/>
      <c r="ER1004" s="59"/>
      <c r="ES1004" s="59"/>
      <c r="ET1004" s="59"/>
      <c r="EU1004" s="59"/>
      <c r="EV1004" s="59"/>
      <c r="EW1004" s="59"/>
      <c r="EX1004" s="59"/>
      <c r="EY1004" s="59"/>
      <c r="EZ1004" s="59"/>
      <c r="FA1004" s="59"/>
      <c r="FB1004" s="59"/>
      <c r="FC1004" s="59"/>
      <c r="FD1004" s="59"/>
      <c r="FE1004" s="59"/>
      <c r="FF1004" s="59"/>
      <c r="FG1004" s="59"/>
      <c r="FH1004" s="59"/>
      <c r="FI1004" s="59"/>
      <c r="FJ1004" s="59"/>
      <c r="FK1004" s="59"/>
      <c r="FL1004" s="59"/>
      <c r="FM1004" s="59"/>
      <c r="FN1004" s="59"/>
      <c r="FO1004" s="59"/>
      <c r="FP1004" s="59"/>
      <c r="FQ1004" s="59"/>
      <c r="FR1004" s="59"/>
      <c r="FS1004" s="59"/>
      <c r="FT1004" s="59"/>
      <c r="FU1004" s="59"/>
      <c r="FV1004" s="59"/>
      <c r="FW1004" s="59"/>
      <c r="FX1004" s="59"/>
      <c r="FY1004" s="59"/>
      <c r="FZ1004" s="59"/>
      <c r="GA1004" s="59"/>
      <c r="GB1004" s="59"/>
      <c r="GC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  <c r="BV1005" s="59"/>
      <c r="BW1005" s="59"/>
      <c r="BX1005" s="59"/>
      <c r="BY1005" s="59"/>
      <c r="BZ1005" s="59"/>
      <c r="CA1005" s="59"/>
      <c r="CB1005" s="59"/>
      <c r="CC1005" s="59"/>
      <c r="CD1005" s="59"/>
      <c r="CE1005" s="59"/>
      <c r="CF1005" s="59"/>
      <c r="CG1005" s="59"/>
      <c r="CH1005" s="59"/>
      <c r="CI1005" s="59"/>
      <c r="CJ1005" s="59"/>
      <c r="CK1005" s="59"/>
      <c r="CL1005" s="59"/>
      <c r="CM1005" s="59"/>
      <c r="CN1005" s="59"/>
      <c r="CO1005" s="59"/>
      <c r="CP1005" s="59"/>
      <c r="CQ1005" s="59"/>
      <c r="CR1005" s="59"/>
      <c r="CS1005" s="59"/>
      <c r="CT1005" s="59"/>
      <c r="CU1005" s="59"/>
      <c r="CV1005" s="59"/>
      <c r="CW1005" s="59"/>
      <c r="CX1005" s="59"/>
      <c r="CY1005" s="59"/>
      <c r="CZ1005" s="59"/>
      <c r="DA1005" s="59"/>
      <c r="DB1005" s="59"/>
      <c r="DC1005" s="59"/>
      <c r="DD1005" s="59"/>
      <c r="DE1005" s="59"/>
      <c r="DF1005" s="59"/>
      <c r="DG1005" s="59"/>
      <c r="DH1005" s="59"/>
      <c r="DI1005" s="59"/>
      <c r="DJ1005" s="59"/>
      <c r="DK1005" s="59"/>
      <c r="DL1005" s="59"/>
      <c r="DM1005" s="59"/>
      <c r="DN1005" s="59"/>
      <c r="DO1005" s="59"/>
      <c r="DP1005" s="59"/>
      <c r="DQ1005" s="59"/>
      <c r="DR1005" s="59"/>
      <c r="DS1005" s="59"/>
      <c r="DT1005" s="59"/>
      <c r="DU1005" s="59"/>
      <c r="DV1005" s="59"/>
      <c r="DW1005" s="59"/>
      <c r="DX1005" s="59"/>
      <c r="DY1005" s="59"/>
      <c r="DZ1005" s="59"/>
      <c r="EA1005" s="59"/>
      <c r="EB1005" s="59"/>
      <c r="EC1005" s="59"/>
      <c r="ED1005" s="59"/>
      <c r="EE1005" s="59"/>
      <c r="EF1005" s="59"/>
      <c r="EG1005" s="59"/>
      <c r="EH1005" s="59"/>
      <c r="EI1005" s="59"/>
      <c r="EJ1005" s="59"/>
      <c r="EK1005" s="59"/>
      <c r="EL1005" s="59"/>
      <c r="EM1005" s="59"/>
      <c r="EN1005" s="59"/>
      <c r="EO1005" s="59"/>
      <c r="EP1005" s="59"/>
      <c r="EQ1005" s="59"/>
      <c r="ER1005" s="59"/>
      <c r="ES1005" s="59"/>
      <c r="ET1005" s="59"/>
      <c r="EU1005" s="59"/>
      <c r="EV1005" s="59"/>
      <c r="EW1005" s="59"/>
      <c r="EX1005" s="59"/>
      <c r="EY1005" s="59"/>
      <c r="EZ1005" s="59"/>
      <c r="FA1005" s="59"/>
      <c r="FB1005" s="59"/>
      <c r="FC1005" s="59"/>
      <c r="FD1005" s="59"/>
      <c r="FE1005" s="59"/>
      <c r="FF1005" s="59"/>
      <c r="FG1005" s="59"/>
      <c r="FH1005" s="59"/>
      <c r="FI1005" s="59"/>
      <c r="FJ1005" s="59"/>
      <c r="FK1005" s="59"/>
      <c r="FL1005" s="59"/>
      <c r="FM1005" s="59"/>
      <c r="FN1005" s="59"/>
      <c r="FO1005" s="59"/>
      <c r="FP1005" s="59"/>
      <c r="FQ1005" s="59"/>
      <c r="FR1005" s="59"/>
      <c r="FS1005" s="59"/>
      <c r="FT1005" s="59"/>
      <c r="FU1005" s="59"/>
      <c r="FV1005" s="59"/>
      <c r="FW1005" s="59"/>
      <c r="FX1005" s="59"/>
      <c r="FY1005" s="59"/>
      <c r="FZ1005" s="59"/>
      <c r="GA1005" s="59"/>
      <c r="GB1005" s="59"/>
      <c r="GC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  <c r="BV1006" s="59"/>
      <c r="BW1006" s="59"/>
      <c r="BX1006" s="59"/>
      <c r="BY1006" s="59"/>
      <c r="BZ1006" s="59"/>
      <c r="CA1006" s="59"/>
      <c r="CB1006" s="59"/>
      <c r="CC1006" s="59"/>
      <c r="CD1006" s="59"/>
      <c r="CE1006" s="59"/>
      <c r="CF1006" s="59"/>
      <c r="CG1006" s="59"/>
      <c r="CH1006" s="59"/>
      <c r="CI1006" s="59"/>
      <c r="CJ1006" s="59"/>
      <c r="CK1006" s="59"/>
      <c r="CL1006" s="59"/>
      <c r="CM1006" s="59"/>
      <c r="CN1006" s="59"/>
      <c r="CO1006" s="59"/>
      <c r="CP1006" s="59"/>
      <c r="CQ1006" s="59"/>
      <c r="CR1006" s="59"/>
      <c r="CS1006" s="59"/>
      <c r="CT1006" s="59"/>
      <c r="CU1006" s="59"/>
      <c r="CV1006" s="59"/>
      <c r="CW1006" s="59"/>
      <c r="CX1006" s="59"/>
      <c r="CY1006" s="59"/>
      <c r="CZ1006" s="59"/>
      <c r="DA1006" s="59"/>
      <c r="DB1006" s="59"/>
      <c r="DC1006" s="59"/>
      <c r="DD1006" s="59"/>
      <c r="DE1006" s="59"/>
      <c r="DF1006" s="59"/>
      <c r="DG1006" s="59"/>
      <c r="DH1006" s="59"/>
      <c r="DI1006" s="59"/>
      <c r="DJ1006" s="59"/>
      <c r="DK1006" s="59"/>
      <c r="DL1006" s="59"/>
      <c r="DM1006" s="59"/>
      <c r="DN1006" s="59"/>
      <c r="DO1006" s="59"/>
      <c r="DP1006" s="59"/>
      <c r="DQ1006" s="59"/>
      <c r="DR1006" s="59"/>
      <c r="DS1006" s="59"/>
      <c r="DT1006" s="59"/>
      <c r="DU1006" s="59"/>
      <c r="DV1006" s="59"/>
      <c r="DW1006" s="59"/>
      <c r="DX1006" s="59"/>
      <c r="DY1006" s="59"/>
      <c r="DZ1006" s="59"/>
      <c r="EA1006" s="59"/>
      <c r="EB1006" s="59"/>
      <c r="EC1006" s="59"/>
      <c r="ED1006" s="59"/>
      <c r="EE1006" s="59"/>
      <c r="EF1006" s="59"/>
      <c r="EG1006" s="59"/>
      <c r="EH1006" s="59"/>
      <c r="EI1006" s="59"/>
      <c r="EJ1006" s="59"/>
      <c r="EK1006" s="59"/>
      <c r="EL1006" s="59"/>
      <c r="EM1006" s="59"/>
      <c r="EN1006" s="59"/>
      <c r="EO1006" s="59"/>
      <c r="EP1006" s="59"/>
      <c r="EQ1006" s="59"/>
      <c r="ER1006" s="59"/>
      <c r="ES1006" s="59"/>
      <c r="ET1006" s="59"/>
      <c r="EU1006" s="59"/>
      <c r="EV1006" s="59"/>
      <c r="EW1006" s="59"/>
      <c r="EX1006" s="59"/>
      <c r="EY1006" s="59"/>
      <c r="EZ1006" s="59"/>
      <c r="FA1006" s="59"/>
      <c r="FB1006" s="59"/>
      <c r="FC1006" s="59"/>
      <c r="FD1006" s="59"/>
      <c r="FE1006" s="59"/>
      <c r="FF1006" s="59"/>
      <c r="FG1006" s="59"/>
      <c r="FH1006" s="59"/>
      <c r="FI1006" s="59"/>
      <c r="FJ1006" s="59"/>
      <c r="FK1006" s="59"/>
      <c r="FL1006" s="59"/>
      <c r="FM1006" s="59"/>
      <c r="FN1006" s="59"/>
      <c r="FO1006" s="59"/>
      <c r="FP1006" s="59"/>
      <c r="FQ1006" s="59"/>
      <c r="FR1006" s="59"/>
      <c r="FS1006" s="59"/>
      <c r="FT1006" s="59"/>
      <c r="FU1006" s="59"/>
      <c r="FV1006" s="59"/>
      <c r="FW1006" s="59"/>
      <c r="FX1006" s="59"/>
      <c r="FY1006" s="59"/>
      <c r="FZ1006" s="59"/>
      <c r="GA1006" s="59"/>
      <c r="GB1006" s="59"/>
      <c r="GC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  <c r="BV1007" s="59"/>
      <c r="BW1007" s="59"/>
      <c r="BX1007" s="59"/>
      <c r="BY1007" s="59"/>
      <c r="BZ1007" s="59"/>
      <c r="CA1007" s="59"/>
      <c r="CB1007" s="59"/>
      <c r="CC1007" s="59"/>
      <c r="CD1007" s="59"/>
      <c r="CE1007" s="59"/>
      <c r="CF1007" s="59"/>
      <c r="CG1007" s="59"/>
      <c r="CH1007" s="59"/>
      <c r="CI1007" s="59"/>
      <c r="CJ1007" s="59"/>
      <c r="CK1007" s="59"/>
      <c r="CL1007" s="59"/>
      <c r="CM1007" s="59"/>
      <c r="CN1007" s="59"/>
      <c r="CO1007" s="59"/>
      <c r="CP1007" s="59"/>
      <c r="CQ1007" s="59"/>
      <c r="CR1007" s="59"/>
      <c r="CS1007" s="59"/>
      <c r="CT1007" s="59"/>
      <c r="CU1007" s="59"/>
      <c r="CV1007" s="59"/>
      <c r="CW1007" s="59"/>
      <c r="CX1007" s="59"/>
      <c r="CY1007" s="59"/>
      <c r="CZ1007" s="59"/>
      <c r="DA1007" s="59"/>
      <c r="DB1007" s="59"/>
      <c r="DC1007" s="59"/>
      <c r="DD1007" s="59"/>
      <c r="DE1007" s="59"/>
      <c r="DF1007" s="59"/>
      <c r="DG1007" s="59"/>
      <c r="DH1007" s="59"/>
      <c r="DI1007" s="59"/>
      <c r="DJ1007" s="59"/>
      <c r="DK1007" s="59"/>
      <c r="DL1007" s="59"/>
      <c r="DM1007" s="59"/>
      <c r="DN1007" s="59"/>
      <c r="DO1007" s="59"/>
      <c r="DP1007" s="59"/>
      <c r="DQ1007" s="59"/>
      <c r="DR1007" s="59"/>
      <c r="DS1007" s="59"/>
      <c r="DT1007" s="59"/>
      <c r="DU1007" s="59"/>
      <c r="DV1007" s="59"/>
      <c r="DW1007" s="59"/>
      <c r="DX1007" s="59"/>
      <c r="DY1007" s="59"/>
      <c r="DZ1007" s="59"/>
      <c r="EA1007" s="59"/>
      <c r="EB1007" s="59"/>
      <c r="EC1007" s="59"/>
      <c r="ED1007" s="59"/>
      <c r="EE1007" s="59"/>
      <c r="EF1007" s="59"/>
      <c r="EG1007" s="59"/>
      <c r="EH1007" s="59"/>
      <c r="EI1007" s="59"/>
      <c r="EJ1007" s="59"/>
      <c r="EK1007" s="59"/>
      <c r="EL1007" s="59"/>
      <c r="EM1007" s="59"/>
      <c r="EN1007" s="59"/>
      <c r="EO1007" s="59"/>
      <c r="EP1007" s="59"/>
      <c r="EQ1007" s="59"/>
      <c r="ER1007" s="59"/>
      <c r="ES1007" s="59"/>
      <c r="ET1007" s="59"/>
      <c r="EU1007" s="59"/>
      <c r="EV1007" s="59"/>
      <c r="EW1007" s="59"/>
      <c r="EX1007" s="59"/>
      <c r="EY1007" s="59"/>
      <c r="EZ1007" s="59"/>
      <c r="FA1007" s="59"/>
      <c r="FB1007" s="59"/>
      <c r="FC1007" s="59"/>
      <c r="FD1007" s="59"/>
      <c r="FE1007" s="59"/>
      <c r="FF1007" s="59"/>
      <c r="FG1007" s="59"/>
      <c r="FH1007" s="59"/>
      <c r="FI1007" s="59"/>
      <c r="FJ1007" s="59"/>
      <c r="FK1007" s="59"/>
      <c r="FL1007" s="59"/>
      <c r="FM1007" s="59"/>
      <c r="FN1007" s="59"/>
      <c r="FO1007" s="59"/>
      <c r="FP1007" s="59"/>
      <c r="FQ1007" s="59"/>
      <c r="FR1007" s="59"/>
      <c r="FS1007" s="59"/>
      <c r="FT1007" s="59"/>
      <c r="FU1007" s="59"/>
      <c r="FV1007" s="59"/>
      <c r="FW1007" s="59"/>
      <c r="FX1007" s="59"/>
      <c r="FY1007" s="59"/>
      <c r="FZ1007" s="59"/>
      <c r="GA1007" s="59"/>
      <c r="GB1007" s="59"/>
      <c r="GC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  <c r="BV1008" s="59"/>
      <c r="BW1008" s="59"/>
      <c r="BX1008" s="59"/>
      <c r="BY1008" s="59"/>
      <c r="BZ1008" s="59"/>
      <c r="CA1008" s="59"/>
      <c r="CB1008" s="59"/>
      <c r="CC1008" s="59"/>
      <c r="CD1008" s="59"/>
      <c r="CE1008" s="59"/>
      <c r="CF1008" s="59"/>
      <c r="CG1008" s="59"/>
      <c r="CH1008" s="59"/>
      <c r="CI1008" s="59"/>
      <c r="CJ1008" s="59"/>
      <c r="CK1008" s="59"/>
      <c r="CL1008" s="59"/>
      <c r="CM1008" s="59"/>
      <c r="CN1008" s="59"/>
      <c r="CO1008" s="59"/>
      <c r="CP1008" s="59"/>
      <c r="CQ1008" s="59"/>
      <c r="CR1008" s="59"/>
      <c r="CS1008" s="59"/>
      <c r="CT1008" s="59"/>
      <c r="CU1008" s="59"/>
      <c r="CV1008" s="59"/>
      <c r="CW1008" s="59"/>
      <c r="CX1008" s="59"/>
      <c r="CY1008" s="59"/>
      <c r="CZ1008" s="59"/>
      <c r="DA1008" s="59"/>
      <c r="DB1008" s="59"/>
      <c r="DC1008" s="59"/>
      <c r="DD1008" s="59"/>
      <c r="DE1008" s="59"/>
      <c r="DF1008" s="59"/>
      <c r="DG1008" s="59"/>
      <c r="DH1008" s="59"/>
      <c r="DI1008" s="59"/>
      <c r="DJ1008" s="59"/>
      <c r="DK1008" s="59"/>
      <c r="DL1008" s="59"/>
      <c r="DM1008" s="59"/>
      <c r="DN1008" s="59"/>
      <c r="DO1008" s="59"/>
      <c r="DP1008" s="59"/>
      <c r="DQ1008" s="59"/>
      <c r="DR1008" s="59"/>
      <c r="DS1008" s="59"/>
      <c r="DT1008" s="59"/>
      <c r="DU1008" s="59"/>
      <c r="DV1008" s="59"/>
      <c r="DW1008" s="59"/>
      <c r="DX1008" s="59"/>
      <c r="DY1008" s="59"/>
      <c r="DZ1008" s="59"/>
      <c r="EA1008" s="59"/>
      <c r="EB1008" s="59"/>
      <c r="EC1008" s="59"/>
      <c r="ED1008" s="59"/>
      <c r="EE1008" s="59"/>
      <c r="EF1008" s="59"/>
      <c r="EG1008" s="59"/>
      <c r="EH1008" s="59"/>
      <c r="EI1008" s="59"/>
      <c r="EJ1008" s="59"/>
      <c r="EK1008" s="59"/>
      <c r="EL1008" s="59"/>
      <c r="EM1008" s="59"/>
      <c r="EN1008" s="59"/>
      <c r="EO1008" s="59"/>
      <c r="EP1008" s="59"/>
      <c r="EQ1008" s="59"/>
      <c r="ER1008" s="59"/>
      <c r="ES1008" s="59"/>
      <c r="ET1008" s="59"/>
      <c r="EU1008" s="59"/>
      <c r="EV1008" s="59"/>
      <c r="EW1008" s="59"/>
      <c r="EX1008" s="59"/>
      <c r="EY1008" s="59"/>
      <c r="EZ1008" s="59"/>
      <c r="FA1008" s="59"/>
      <c r="FB1008" s="59"/>
      <c r="FC1008" s="59"/>
      <c r="FD1008" s="59"/>
      <c r="FE1008" s="59"/>
      <c r="FF1008" s="59"/>
      <c r="FG1008" s="59"/>
      <c r="FH1008" s="59"/>
      <c r="FI1008" s="59"/>
      <c r="FJ1008" s="59"/>
      <c r="FK1008" s="59"/>
      <c r="FL1008" s="59"/>
      <c r="FM1008" s="59"/>
      <c r="FN1008" s="59"/>
      <c r="FO1008" s="59"/>
      <c r="FP1008" s="59"/>
      <c r="FQ1008" s="59"/>
      <c r="FR1008" s="59"/>
      <c r="FS1008" s="59"/>
      <c r="FT1008" s="59"/>
      <c r="FU1008" s="59"/>
      <c r="FV1008" s="59"/>
      <c r="FW1008" s="59"/>
      <c r="FX1008" s="59"/>
      <c r="FY1008" s="59"/>
      <c r="FZ1008" s="59"/>
      <c r="GA1008" s="59"/>
      <c r="GB1008" s="59"/>
      <c r="GC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  <c r="BV1009" s="59"/>
      <c r="BW1009" s="59"/>
      <c r="BX1009" s="59"/>
      <c r="BY1009" s="59"/>
      <c r="BZ1009" s="59"/>
      <c r="CA1009" s="59"/>
      <c r="CB1009" s="59"/>
      <c r="CC1009" s="59"/>
      <c r="CD1009" s="59"/>
      <c r="CE1009" s="59"/>
      <c r="CF1009" s="59"/>
      <c r="CG1009" s="59"/>
      <c r="CH1009" s="59"/>
      <c r="CI1009" s="59"/>
      <c r="CJ1009" s="59"/>
      <c r="CK1009" s="59"/>
      <c r="CL1009" s="59"/>
      <c r="CM1009" s="59"/>
      <c r="CN1009" s="59"/>
      <c r="CO1009" s="59"/>
      <c r="CP1009" s="59"/>
      <c r="CQ1009" s="59"/>
      <c r="CR1009" s="59"/>
      <c r="CS1009" s="59"/>
      <c r="CT1009" s="59"/>
      <c r="CU1009" s="59"/>
      <c r="CV1009" s="59"/>
      <c r="CW1009" s="59"/>
      <c r="CX1009" s="59"/>
      <c r="CY1009" s="59"/>
      <c r="CZ1009" s="59"/>
      <c r="DA1009" s="59"/>
      <c r="DB1009" s="59"/>
      <c r="DC1009" s="59"/>
      <c r="DD1009" s="59"/>
      <c r="DE1009" s="59"/>
      <c r="DF1009" s="59"/>
      <c r="DG1009" s="59"/>
      <c r="DH1009" s="59"/>
      <c r="DI1009" s="59"/>
      <c r="DJ1009" s="59"/>
      <c r="DK1009" s="59"/>
      <c r="DL1009" s="59"/>
      <c r="DM1009" s="59"/>
      <c r="DN1009" s="59"/>
      <c r="DO1009" s="59"/>
      <c r="DP1009" s="59"/>
      <c r="DQ1009" s="59"/>
      <c r="DR1009" s="59"/>
      <c r="DS1009" s="59"/>
      <c r="DT1009" s="59"/>
      <c r="DU1009" s="59"/>
      <c r="DV1009" s="59"/>
      <c r="DW1009" s="59"/>
      <c r="DX1009" s="59"/>
      <c r="DY1009" s="59"/>
      <c r="DZ1009" s="59"/>
      <c r="EA1009" s="59"/>
      <c r="EB1009" s="59"/>
      <c r="EC1009" s="59"/>
      <c r="ED1009" s="59"/>
      <c r="EE1009" s="59"/>
      <c r="EF1009" s="59"/>
      <c r="EG1009" s="59"/>
      <c r="EH1009" s="59"/>
      <c r="EI1009" s="59"/>
      <c r="EJ1009" s="59"/>
      <c r="EK1009" s="59"/>
      <c r="EL1009" s="59"/>
      <c r="EM1009" s="59"/>
      <c r="EN1009" s="59"/>
      <c r="EO1009" s="59"/>
      <c r="EP1009" s="59"/>
      <c r="EQ1009" s="59"/>
      <c r="ER1009" s="59"/>
      <c r="ES1009" s="59"/>
      <c r="ET1009" s="59"/>
      <c r="EU1009" s="59"/>
      <c r="EV1009" s="59"/>
      <c r="EW1009" s="59"/>
      <c r="EX1009" s="59"/>
      <c r="EY1009" s="59"/>
      <c r="EZ1009" s="59"/>
      <c r="FA1009" s="59"/>
      <c r="FB1009" s="59"/>
      <c r="FC1009" s="59"/>
      <c r="FD1009" s="59"/>
      <c r="FE1009" s="59"/>
      <c r="FF1009" s="59"/>
      <c r="FG1009" s="59"/>
      <c r="FH1009" s="59"/>
      <c r="FI1009" s="59"/>
      <c r="FJ1009" s="59"/>
      <c r="FK1009" s="59"/>
      <c r="FL1009" s="59"/>
      <c r="FM1009" s="59"/>
      <c r="FN1009" s="59"/>
      <c r="FO1009" s="59"/>
      <c r="FP1009" s="59"/>
      <c r="FQ1009" s="59"/>
      <c r="FR1009" s="59"/>
      <c r="FS1009" s="59"/>
      <c r="FT1009" s="59"/>
      <c r="FU1009" s="59"/>
      <c r="FV1009" s="59"/>
      <c r="FW1009" s="59"/>
      <c r="FX1009" s="59"/>
      <c r="FY1009" s="59"/>
      <c r="FZ1009" s="59"/>
      <c r="GA1009" s="59"/>
      <c r="GB1009" s="59"/>
      <c r="GC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  <c r="BV1010" s="59"/>
      <c r="BW1010" s="59"/>
      <c r="BX1010" s="59"/>
      <c r="BY1010" s="59"/>
      <c r="BZ1010" s="59"/>
      <c r="CA1010" s="59"/>
      <c r="CB1010" s="59"/>
      <c r="CC1010" s="59"/>
      <c r="CD1010" s="59"/>
      <c r="CE1010" s="59"/>
      <c r="CF1010" s="59"/>
      <c r="CG1010" s="59"/>
      <c r="CH1010" s="59"/>
      <c r="CI1010" s="59"/>
      <c r="CJ1010" s="59"/>
      <c r="CK1010" s="59"/>
      <c r="CL1010" s="59"/>
      <c r="CM1010" s="59"/>
      <c r="CN1010" s="59"/>
      <c r="CO1010" s="59"/>
      <c r="CP1010" s="59"/>
      <c r="CQ1010" s="59"/>
      <c r="CR1010" s="59"/>
      <c r="CS1010" s="59"/>
      <c r="CT1010" s="59"/>
      <c r="CU1010" s="59"/>
      <c r="CV1010" s="59"/>
      <c r="CW1010" s="59"/>
      <c r="CX1010" s="59"/>
      <c r="CY1010" s="59"/>
      <c r="CZ1010" s="59"/>
      <c r="DA1010" s="59"/>
      <c r="DB1010" s="59"/>
      <c r="DC1010" s="59"/>
      <c r="DD1010" s="59"/>
      <c r="DE1010" s="59"/>
      <c r="DF1010" s="59"/>
      <c r="DG1010" s="59"/>
      <c r="DH1010" s="59"/>
      <c r="DI1010" s="59"/>
      <c r="DJ1010" s="59"/>
      <c r="DK1010" s="59"/>
      <c r="DL1010" s="59"/>
      <c r="DM1010" s="59"/>
      <c r="DN1010" s="59"/>
      <c r="DO1010" s="59"/>
      <c r="DP1010" s="59"/>
      <c r="DQ1010" s="59"/>
      <c r="DR1010" s="59"/>
      <c r="DS1010" s="59"/>
      <c r="DT1010" s="59"/>
      <c r="DU1010" s="59"/>
      <c r="DV1010" s="59"/>
      <c r="DW1010" s="59"/>
      <c r="DX1010" s="59"/>
      <c r="DY1010" s="59"/>
      <c r="DZ1010" s="59"/>
      <c r="EA1010" s="59"/>
      <c r="EB1010" s="59"/>
      <c r="EC1010" s="59"/>
      <c r="ED1010" s="59"/>
      <c r="EE1010" s="59"/>
      <c r="EF1010" s="59"/>
      <c r="EG1010" s="59"/>
      <c r="EH1010" s="59"/>
      <c r="EI1010" s="59"/>
      <c r="EJ1010" s="59"/>
      <c r="EK1010" s="59"/>
      <c r="EL1010" s="59"/>
      <c r="EM1010" s="59"/>
      <c r="EN1010" s="59"/>
      <c r="EO1010" s="59"/>
      <c r="EP1010" s="59"/>
      <c r="EQ1010" s="59"/>
      <c r="ER1010" s="59"/>
      <c r="ES1010" s="59"/>
      <c r="ET1010" s="59"/>
      <c r="EU1010" s="59"/>
      <c r="EV1010" s="59"/>
      <c r="EW1010" s="59"/>
      <c r="EX1010" s="59"/>
      <c r="EY1010" s="59"/>
      <c r="EZ1010" s="59"/>
      <c r="FA1010" s="59"/>
      <c r="FB1010" s="59"/>
      <c r="FC1010" s="59"/>
      <c r="FD1010" s="59"/>
      <c r="FE1010" s="59"/>
      <c r="FF1010" s="59"/>
      <c r="FG1010" s="59"/>
      <c r="FH1010" s="59"/>
      <c r="FI1010" s="59"/>
      <c r="FJ1010" s="59"/>
      <c r="FK1010" s="59"/>
      <c r="FL1010" s="59"/>
      <c r="FM1010" s="59"/>
      <c r="FN1010" s="59"/>
      <c r="FO1010" s="59"/>
      <c r="FP1010" s="59"/>
      <c r="FQ1010" s="59"/>
      <c r="FR1010" s="59"/>
      <c r="FS1010" s="59"/>
      <c r="FT1010" s="59"/>
      <c r="FU1010" s="59"/>
      <c r="FV1010" s="59"/>
      <c r="FW1010" s="59"/>
      <c r="FX1010" s="59"/>
      <c r="FY1010" s="59"/>
      <c r="FZ1010" s="59"/>
      <c r="GA1010" s="59"/>
      <c r="GB1010" s="59"/>
      <c r="GC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  <c r="BV1011" s="59"/>
      <c r="BW1011" s="59"/>
      <c r="BX1011" s="59"/>
      <c r="BY1011" s="59"/>
      <c r="BZ1011" s="59"/>
      <c r="CA1011" s="59"/>
      <c r="CB1011" s="59"/>
      <c r="CC1011" s="59"/>
      <c r="CD1011" s="59"/>
      <c r="CE1011" s="59"/>
      <c r="CF1011" s="59"/>
      <c r="CG1011" s="59"/>
      <c r="CH1011" s="59"/>
      <c r="CI1011" s="59"/>
      <c r="CJ1011" s="59"/>
      <c r="CK1011" s="59"/>
      <c r="CL1011" s="59"/>
      <c r="CM1011" s="59"/>
      <c r="CN1011" s="59"/>
      <c r="CO1011" s="59"/>
      <c r="CP1011" s="59"/>
      <c r="CQ1011" s="59"/>
      <c r="CR1011" s="59"/>
      <c r="CS1011" s="59"/>
      <c r="CT1011" s="59"/>
      <c r="CU1011" s="59"/>
      <c r="CV1011" s="59"/>
      <c r="CW1011" s="59"/>
      <c r="CX1011" s="59"/>
      <c r="CY1011" s="59"/>
      <c r="CZ1011" s="59"/>
      <c r="DA1011" s="59"/>
      <c r="DB1011" s="59"/>
      <c r="DC1011" s="59"/>
      <c r="DD1011" s="59"/>
      <c r="DE1011" s="59"/>
      <c r="DF1011" s="59"/>
      <c r="DG1011" s="59"/>
      <c r="DH1011" s="59"/>
      <c r="DI1011" s="59"/>
      <c r="DJ1011" s="59"/>
      <c r="DK1011" s="59"/>
      <c r="DL1011" s="59"/>
      <c r="DM1011" s="59"/>
      <c r="DN1011" s="59"/>
      <c r="DO1011" s="59"/>
      <c r="DP1011" s="59"/>
      <c r="DQ1011" s="59"/>
      <c r="DR1011" s="59"/>
      <c r="DS1011" s="59"/>
      <c r="DT1011" s="59"/>
      <c r="DU1011" s="59"/>
      <c r="DV1011" s="59"/>
      <c r="DW1011" s="59"/>
      <c r="DX1011" s="59"/>
      <c r="DY1011" s="59"/>
      <c r="DZ1011" s="59"/>
      <c r="EA1011" s="59"/>
      <c r="EB1011" s="59"/>
      <c r="EC1011" s="59"/>
      <c r="ED1011" s="59"/>
      <c r="EE1011" s="59"/>
      <c r="EF1011" s="59"/>
      <c r="EG1011" s="59"/>
      <c r="EH1011" s="59"/>
      <c r="EI1011" s="59"/>
      <c r="EJ1011" s="59"/>
      <c r="EK1011" s="59"/>
      <c r="EL1011" s="59"/>
      <c r="EM1011" s="59"/>
      <c r="EN1011" s="59"/>
      <c r="EO1011" s="59"/>
      <c r="EP1011" s="59"/>
      <c r="EQ1011" s="59"/>
      <c r="ER1011" s="59"/>
      <c r="ES1011" s="59"/>
      <c r="ET1011" s="59"/>
      <c r="EU1011" s="59"/>
      <c r="EV1011" s="59"/>
      <c r="EW1011" s="59"/>
      <c r="EX1011" s="59"/>
      <c r="EY1011" s="59"/>
      <c r="EZ1011" s="59"/>
      <c r="FA1011" s="59"/>
      <c r="FB1011" s="59"/>
      <c r="FC1011" s="59"/>
      <c r="FD1011" s="59"/>
      <c r="FE1011" s="59"/>
      <c r="FF1011" s="59"/>
      <c r="FG1011" s="59"/>
      <c r="FH1011" s="59"/>
      <c r="FI1011" s="59"/>
      <c r="FJ1011" s="59"/>
      <c r="FK1011" s="59"/>
      <c r="FL1011" s="59"/>
      <c r="FM1011" s="59"/>
      <c r="FN1011" s="59"/>
      <c r="FO1011" s="59"/>
      <c r="FP1011" s="59"/>
      <c r="FQ1011" s="59"/>
      <c r="FR1011" s="59"/>
      <c r="FS1011" s="59"/>
      <c r="FT1011" s="59"/>
      <c r="FU1011" s="59"/>
      <c r="FV1011" s="59"/>
      <c r="FW1011" s="59"/>
      <c r="FX1011" s="59"/>
      <c r="FY1011" s="59"/>
      <c r="FZ1011" s="59"/>
      <c r="GA1011" s="59"/>
      <c r="GB1011" s="59"/>
      <c r="GC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  <c r="BV1012" s="59"/>
      <c r="BW1012" s="59"/>
      <c r="BX1012" s="59"/>
      <c r="BY1012" s="59"/>
      <c r="BZ1012" s="59"/>
      <c r="CA1012" s="59"/>
      <c r="CB1012" s="59"/>
      <c r="CC1012" s="59"/>
      <c r="CD1012" s="59"/>
      <c r="CE1012" s="59"/>
      <c r="CF1012" s="59"/>
      <c r="CG1012" s="59"/>
      <c r="CH1012" s="59"/>
      <c r="CI1012" s="59"/>
      <c r="CJ1012" s="59"/>
      <c r="CK1012" s="59"/>
      <c r="CL1012" s="59"/>
      <c r="CM1012" s="59"/>
      <c r="CN1012" s="59"/>
      <c r="CO1012" s="59"/>
      <c r="CP1012" s="59"/>
      <c r="CQ1012" s="59"/>
      <c r="CR1012" s="59"/>
      <c r="CS1012" s="59"/>
      <c r="CT1012" s="59"/>
      <c r="CU1012" s="59"/>
      <c r="CV1012" s="59"/>
      <c r="CW1012" s="59"/>
      <c r="CX1012" s="59"/>
      <c r="CY1012" s="59"/>
      <c r="CZ1012" s="59"/>
      <c r="DA1012" s="59"/>
      <c r="DB1012" s="59"/>
      <c r="DC1012" s="59"/>
      <c r="DD1012" s="59"/>
      <c r="DE1012" s="59"/>
      <c r="DF1012" s="59"/>
      <c r="DG1012" s="59"/>
      <c r="DH1012" s="59"/>
      <c r="DI1012" s="59"/>
      <c r="DJ1012" s="59"/>
      <c r="DK1012" s="59"/>
      <c r="DL1012" s="59"/>
      <c r="DM1012" s="59"/>
      <c r="DN1012" s="59"/>
      <c r="DO1012" s="59"/>
      <c r="DP1012" s="59"/>
      <c r="DQ1012" s="59"/>
      <c r="DR1012" s="59"/>
      <c r="DS1012" s="59"/>
      <c r="DT1012" s="59"/>
      <c r="DU1012" s="59"/>
      <c r="DV1012" s="59"/>
      <c r="DW1012" s="59"/>
      <c r="DX1012" s="59"/>
      <c r="DY1012" s="59"/>
      <c r="DZ1012" s="59"/>
      <c r="EA1012" s="59"/>
      <c r="EB1012" s="59"/>
      <c r="EC1012" s="59"/>
      <c r="ED1012" s="59"/>
      <c r="EE1012" s="59"/>
      <c r="EF1012" s="59"/>
      <c r="EG1012" s="59"/>
      <c r="EH1012" s="59"/>
      <c r="EI1012" s="59"/>
      <c r="EJ1012" s="59"/>
      <c r="EK1012" s="59"/>
      <c r="EL1012" s="59"/>
      <c r="EM1012" s="59"/>
      <c r="EN1012" s="59"/>
      <c r="EO1012" s="59"/>
      <c r="EP1012" s="59"/>
      <c r="EQ1012" s="59"/>
      <c r="ER1012" s="59"/>
      <c r="ES1012" s="59"/>
      <c r="ET1012" s="59"/>
      <c r="EU1012" s="59"/>
      <c r="EV1012" s="59"/>
      <c r="EW1012" s="59"/>
      <c r="EX1012" s="59"/>
      <c r="EY1012" s="59"/>
      <c r="EZ1012" s="59"/>
      <c r="FA1012" s="59"/>
      <c r="FB1012" s="59"/>
      <c r="FC1012" s="59"/>
      <c r="FD1012" s="59"/>
      <c r="FE1012" s="59"/>
      <c r="FF1012" s="59"/>
      <c r="FG1012" s="59"/>
      <c r="FH1012" s="59"/>
      <c r="FI1012" s="59"/>
      <c r="FJ1012" s="59"/>
      <c r="FK1012" s="59"/>
      <c r="FL1012" s="59"/>
      <c r="FM1012" s="59"/>
      <c r="FN1012" s="59"/>
      <c r="FO1012" s="59"/>
      <c r="FP1012" s="59"/>
      <c r="FQ1012" s="59"/>
      <c r="FR1012" s="59"/>
      <c r="FS1012" s="59"/>
      <c r="FT1012" s="59"/>
      <c r="FU1012" s="59"/>
      <c r="FV1012" s="59"/>
      <c r="FW1012" s="59"/>
      <c r="FX1012" s="59"/>
      <c r="FY1012" s="59"/>
      <c r="FZ1012" s="59"/>
      <c r="GA1012" s="59"/>
      <c r="GB1012" s="59"/>
      <c r="GC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  <c r="BV1013" s="59"/>
      <c r="BW1013" s="59"/>
      <c r="BX1013" s="59"/>
      <c r="BY1013" s="59"/>
      <c r="BZ1013" s="59"/>
      <c r="CA1013" s="59"/>
      <c r="CB1013" s="59"/>
      <c r="CC1013" s="59"/>
      <c r="CD1013" s="59"/>
      <c r="CE1013" s="59"/>
      <c r="CF1013" s="59"/>
      <c r="CG1013" s="59"/>
      <c r="CH1013" s="59"/>
      <c r="CI1013" s="59"/>
      <c r="CJ1013" s="59"/>
      <c r="CK1013" s="59"/>
      <c r="CL1013" s="59"/>
      <c r="CM1013" s="59"/>
      <c r="CN1013" s="59"/>
      <c r="CO1013" s="59"/>
      <c r="CP1013" s="59"/>
      <c r="CQ1013" s="59"/>
      <c r="CR1013" s="59"/>
      <c r="CS1013" s="59"/>
      <c r="CT1013" s="59"/>
      <c r="CU1013" s="59"/>
      <c r="CV1013" s="59"/>
      <c r="CW1013" s="59"/>
      <c r="CX1013" s="59"/>
      <c r="CY1013" s="59"/>
      <c r="CZ1013" s="59"/>
      <c r="DA1013" s="59"/>
      <c r="DB1013" s="59"/>
      <c r="DC1013" s="59"/>
      <c r="DD1013" s="59"/>
      <c r="DE1013" s="59"/>
      <c r="DF1013" s="59"/>
      <c r="DG1013" s="59"/>
      <c r="DH1013" s="59"/>
      <c r="DI1013" s="59"/>
      <c r="DJ1013" s="59"/>
      <c r="DK1013" s="59"/>
      <c r="DL1013" s="59"/>
      <c r="DM1013" s="59"/>
      <c r="DN1013" s="59"/>
      <c r="DO1013" s="59"/>
      <c r="DP1013" s="59"/>
      <c r="DQ1013" s="59"/>
      <c r="DR1013" s="59"/>
      <c r="DS1013" s="59"/>
      <c r="DT1013" s="59"/>
      <c r="DU1013" s="59"/>
      <c r="DV1013" s="59"/>
      <c r="DW1013" s="59"/>
      <c r="DX1013" s="59"/>
      <c r="DY1013" s="59"/>
      <c r="DZ1013" s="59"/>
      <c r="EA1013" s="59"/>
      <c r="EB1013" s="59"/>
      <c r="EC1013" s="59"/>
      <c r="ED1013" s="59"/>
      <c r="EE1013" s="59"/>
      <c r="EF1013" s="59"/>
      <c r="EG1013" s="59"/>
      <c r="EH1013" s="59"/>
      <c r="EI1013" s="59"/>
      <c r="EJ1013" s="59"/>
      <c r="EK1013" s="59"/>
      <c r="EL1013" s="59"/>
      <c r="EM1013" s="59"/>
      <c r="EN1013" s="59"/>
      <c r="EO1013" s="59"/>
      <c r="EP1013" s="59"/>
      <c r="EQ1013" s="59"/>
      <c r="ER1013" s="59"/>
      <c r="ES1013" s="59"/>
      <c r="ET1013" s="59"/>
      <c r="EU1013" s="59"/>
      <c r="EV1013" s="59"/>
      <c r="EW1013" s="59"/>
      <c r="EX1013" s="59"/>
      <c r="EY1013" s="59"/>
      <c r="EZ1013" s="59"/>
      <c r="FA1013" s="59"/>
      <c r="FB1013" s="59"/>
      <c r="FC1013" s="59"/>
      <c r="FD1013" s="59"/>
      <c r="FE1013" s="59"/>
      <c r="FF1013" s="59"/>
      <c r="FG1013" s="59"/>
      <c r="FH1013" s="59"/>
      <c r="FI1013" s="59"/>
      <c r="FJ1013" s="59"/>
      <c r="FK1013" s="59"/>
      <c r="FL1013" s="59"/>
      <c r="FM1013" s="59"/>
      <c r="FN1013" s="59"/>
      <c r="FO1013" s="59"/>
      <c r="FP1013" s="59"/>
      <c r="FQ1013" s="59"/>
      <c r="FR1013" s="59"/>
      <c r="FS1013" s="59"/>
      <c r="FT1013" s="59"/>
      <c r="FU1013" s="59"/>
      <c r="FV1013" s="59"/>
      <c r="FW1013" s="59"/>
      <c r="FX1013" s="59"/>
      <c r="FY1013" s="59"/>
      <c r="FZ1013" s="59"/>
      <c r="GA1013" s="59"/>
      <c r="GB1013" s="59"/>
      <c r="GC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  <c r="BV1014" s="59"/>
      <c r="BW1014" s="59"/>
      <c r="BX1014" s="59"/>
      <c r="BY1014" s="59"/>
      <c r="BZ1014" s="59"/>
      <c r="CA1014" s="59"/>
      <c r="CB1014" s="59"/>
      <c r="CC1014" s="59"/>
      <c r="CD1014" s="59"/>
      <c r="CE1014" s="59"/>
      <c r="CF1014" s="59"/>
      <c r="CG1014" s="59"/>
      <c r="CH1014" s="59"/>
      <c r="CI1014" s="59"/>
      <c r="CJ1014" s="59"/>
      <c r="CK1014" s="59"/>
      <c r="CL1014" s="59"/>
      <c r="CM1014" s="59"/>
      <c r="CN1014" s="59"/>
      <c r="CO1014" s="59"/>
      <c r="CP1014" s="59"/>
      <c r="CQ1014" s="59"/>
      <c r="CR1014" s="59"/>
      <c r="CS1014" s="59"/>
      <c r="CT1014" s="59"/>
      <c r="CU1014" s="59"/>
      <c r="CV1014" s="59"/>
      <c r="CW1014" s="59"/>
      <c r="CX1014" s="59"/>
      <c r="CY1014" s="59"/>
      <c r="CZ1014" s="59"/>
      <c r="DA1014" s="59"/>
      <c r="DB1014" s="59"/>
      <c r="DC1014" s="59"/>
      <c r="DD1014" s="59"/>
      <c r="DE1014" s="59"/>
      <c r="DF1014" s="59"/>
      <c r="DG1014" s="59"/>
      <c r="DH1014" s="59"/>
      <c r="DI1014" s="59"/>
      <c r="DJ1014" s="59"/>
      <c r="DK1014" s="59"/>
      <c r="DL1014" s="59"/>
      <c r="DM1014" s="59"/>
      <c r="DN1014" s="59"/>
      <c r="DO1014" s="59"/>
      <c r="DP1014" s="59"/>
      <c r="DQ1014" s="59"/>
      <c r="DR1014" s="59"/>
      <c r="DS1014" s="59"/>
      <c r="DT1014" s="59"/>
      <c r="DU1014" s="59"/>
      <c r="DV1014" s="59"/>
      <c r="DW1014" s="59"/>
      <c r="DX1014" s="59"/>
      <c r="DY1014" s="59"/>
      <c r="DZ1014" s="59"/>
      <c r="EA1014" s="59"/>
      <c r="EB1014" s="59"/>
      <c r="EC1014" s="59"/>
      <c r="ED1014" s="59"/>
      <c r="EE1014" s="59"/>
      <c r="EF1014" s="59"/>
      <c r="EG1014" s="59"/>
      <c r="EH1014" s="59"/>
      <c r="EI1014" s="59"/>
      <c r="EJ1014" s="59"/>
      <c r="EK1014" s="59"/>
      <c r="EL1014" s="59"/>
      <c r="EM1014" s="59"/>
      <c r="EN1014" s="59"/>
      <c r="EO1014" s="59"/>
      <c r="EP1014" s="59"/>
      <c r="EQ1014" s="59"/>
      <c r="ER1014" s="59"/>
      <c r="ES1014" s="59"/>
      <c r="ET1014" s="59"/>
      <c r="EU1014" s="59"/>
      <c r="EV1014" s="59"/>
      <c r="EW1014" s="59"/>
      <c r="EX1014" s="59"/>
      <c r="EY1014" s="59"/>
      <c r="EZ1014" s="59"/>
      <c r="FA1014" s="59"/>
      <c r="FB1014" s="59"/>
      <c r="FC1014" s="59"/>
      <c r="FD1014" s="59"/>
      <c r="FE1014" s="59"/>
      <c r="FF1014" s="59"/>
      <c r="FG1014" s="59"/>
      <c r="FH1014" s="59"/>
      <c r="FI1014" s="59"/>
      <c r="FJ1014" s="59"/>
      <c r="FK1014" s="59"/>
      <c r="FL1014" s="59"/>
      <c r="FM1014" s="59"/>
      <c r="FN1014" s="59"/>
      <c r="FO1014" s="59"/>
      <c r="FP1014" s="59"/>
      <c r="FQ1014" s="59"/>
      <c r="FR1014" s="59"/>
      <c r="FS1014" s="59"/>
      <c r="FT1014" s="59"/>
      <c r="FU1014" s="59"/>
      <c r="FV1014" s="59"/>
      <c r="FW1014" s="59"/>
      <c r="FX1014" s="59"/>
      <c r="FY1014" s="59"/>
      <c r="FZ1014" s="59"/>
      <c r="GA1014" s="59"/>
      <c r="GB1014" s="59"/>
      <c r="GC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  <c r="BV1015" s="59"/>
      <c r="BW1015" s="59"/>
      <c r="BX1015" s="59"/>
      <c r="BY1015" s="59"/>
      <c r="BZ1015" s="59"/>
      <c r="CA1015" s="59"/>
      <c r="CB1015" s="59"/>
      <c r="CC1015" s="59"/>
      <c r="CD1015" s="59"/>
      <c r="CE1015" s="59"/>
      <c r="CF1015" s="59"/>
      <c r="CG1015" s="59"/>
      <c r="CH1015" s="59"/>
      <c r="CI1015" s="59"/>
      <c r="CJ1015" s="59"/>
      <c r="CK1015" s="59"/>
      <c r="CL1015" s="59"/>
      <c r="CM1015" s="59"/>
      <c r="CN1015" s="59"/>
      <c r="CO1015" s="59"/>
      <c r="CP1015" s="59"/>
      <c r="CQ1015" s="59"/>
      <c r="CR1015" s="59"/>
      <c r="CS1015" s="59"/>
      <c r="CT1015" s="59"/>
      <c r="CU1015" s="59"/>
      <c r="CV1015" s="59"/>
      <c r="CW1015" s="59"/>
      <c r="CX1015" s="59"/>
      <c r="CY1015" s="59"/>
      <c r="CZ1015" s="59"/>
      <c r="DA1015" s="59"/>
      <c r="DB1015" s="59"/>
      <c r="DC1015" s="59"/>
      <c r="DD1015" s="59"/>
      <c r="DE1015" s="59"/>
      <c r="DF1015" s="59"/>
      <c r="DG1015" s="59"/>
      <c r="DH1015" s="59"/>
      <c r="DI1015" s="59"/>
      <c r="DJ1015" s="59"/>
      <c r="DK1015" s="59"/>
      <c r="DL1015" s="59"/>
      <c r="DM1015" s="59"/>
      <c r="DN1015" s="59"/>
      <c r="DO1015" s="59"/>
      <c r="DP1015" s="59"/>
      <c r="DQ1015" s="59"/>
      <c r="DR1015" s="59"/>
      <c r="DS1015" s="59"/>
      <c r="DT1015" s="59"/>
      <c r="DU1015" s="59"/>
      <c r="DV1015" s="59"/>
      <c r="DW1015" s="59"/>
      <c r="DX1015" s="59"/>
      <c r="DY1015" s="59"/>
      <c r="DZ1015" s="59"/>
      <c r="EA1015" s="59"/>
      <c r="EB1015" s="59"/>
      <c r="EC1015" s="59"/>
      <c r="ED1015" s="59"/>
      <c r="EE1015" s="59"/>
      <c r="EF1015" s="59"/>
      <c r="EG1015" s="59"/>
      <c r="EH1015" s="59"/>
      <c r="EI1015" s="59"/>
      <c r="EJ1015" s="59"/>
      <c r="EK1015" s="59"/>
      <c r="EL1015" s="59"/>
      <c r="EM1015" s="59"/>
      <c r="EN1015" s="59"/>
      <c r="EO1015" s="59"/>
      <c r="EP1015" s="59"/>
      <c r="EQ1015" s="59"/>
      <c r="ER1015" s="59"/>
      <c r="ES1015" s="59"/>
      <c r="ET1015" s="59"/>
      <c r="EU1015" s="59"/>
      <c r="EV1015" s="59"/>
      <c r="EW1015" s="59"/>
      <c r="EX1015" s="59"/>
      <c r="EY1015" s="59"/>
      <c r="EZ1015" s="59"/>
      <c r="FA1015" s="59"/>
      <c r="FB1015" s="59"/>
      <c r="FC1015" s="59"/>
      <c r="FD1015" s="59"/>
      <c r="FE1015" s="59"/>
      <c r="FF1015" s="59"/>
      <c r="FG1015" s="59"/>
      <c r="FH1015" s="59"/>
      <c r="FI1015" s="59"/>
      <c r="FJ1015" s="59"/>
      <c r="FK1015" s="59"/>
      <c r="FL1015" s="59"/>
      <c r="FM1015" s="59"/>
      <c r="FN1015" s="59"/>
      <c r="FO1015" s="59"/>
      <c r="FP1015" s="59"/>
      <c r="FQ1015" s="59"/>
      <c r="FR1015" s="59"/>
      <c r="FS1015" s="59"/>
      <c r="FT1015" s="59"/>
      <c r="FU1015" s="59"/>
      <c r="FV1015" s="59"/>
      <c r="FW1015" s="59"/>
      <c r="FX1015" s="59"/>
      <c r="FY1015" s="59"/>
      <c r="FZ1015" s="59"/>
      <c r="GA1015" s="59"/>
      <c r="GB1015" s="59"/>
      <c r="GC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  <c r="BV1016" s="59"/>
      <c r="BW1016" s="59"/>
      <c r="BX1016" s="59"/>
      <c r="BY1016" s="59"/>
      <c r="BZ1016" s="59"/>
      <c r="CA1016" s="59"/>
      <c r="CB1016" s="59"/>
      <c r="CC1016" s="59"/>
      <c r="CD1016" s="59"/>
      <c r="CE1016" s="59"/>
      <c r="CF1016" s="59"/>
      <c r="CG1016" s="59"/>
      <c r="CH1016" s="59"/>
      <c r="CI1016" s="59"/>
      <c r="CJ1016" s="59"/>
      <c r="CK1016" s="59"/>
      <c r="CL1016" s="59"/>
      <c r="CM1016" s="59"/>
      <c r="CN1016" s="59"/>
      <c r="CO1016" s="59"/>
      <c r="CP1016" s="59"/>
      <c r="CQ1016" s="59"/>
      <c r="CR1016" s="59"/>
      <c r="CS1016" s="59"/>
      <c r="CT1016" s="59"/>
      <c r="CU1016" s="59"/>
      <c r="CV1016" s="59"/>
      <c r="CW1016" s="59"/>
      <c r="CX1016" s="59"/>
      <c r="CY1016" s="59"/>
      <c r="CZ1016" s="59"/>
      <c r="DA1016" s="59"/>
      <c r="DB1016" s="59"/>
      <c r="DC1016" s="59"/>
      <c r="DD1016" s="59"/>
      <c r="DE1016" s="59"/>
      <c r="DF1016" s="59"/>
      <c r="DG1016" s="59"/>
      <c r="DH1016" s="59"/>
      <c r="DI1016" s="59"/>
      <c r="DJ1016" s="59"/>
      <c r="DK1016" s="59"/>
      <c r="DL1016" s="59"/>
      <c r="DM1016" s="59"/>
      <c r="DN1016" s="59"/>
      <c r="DO1016" s="59"/>
      <c r="DP1016" s="59"/>
      <c r="DQ1016" s="59"/>
      <c r="DR1016" s="59"/>
      <c r="DS1016" s="59"/>
      <c r="DT1016" s="59"/>
      <c r="DU1016" s="59"/>
      <c r="DV1016" s="59"/>
      <c r="DW1016" s="59"/>
      <c r="DX1016" s="59"/>
      <c r="DY1016" s="59"/>
      <c r="DZ1016" s="59"/>
      <c r="EA1016" s="59"/>
      <c r="EB1016" s="59"/>
      <c r="EC1016" s="59"/>
      <c r="ED1016" s="59"/>
      <c r="EE1016" s="59"/>
      <c r="EF1016" s="59"/>
      <c r="EG1016" s="59"/>
      <c r="EH1016" s="59"/>
      <c r="EI1016" s="59"/>
      <c r="EJ1016" s="59"/>
      <c r="EK1016" s="59"/>
      <c r="EL1016" s="59"/>
      <c r="EM1016" s="59"/>
      <c r="EN1016" s="59"/>
      <c r="EO1016" s="59"/>
      <c r="EP1016" s="59"/>
      <c r="EQ1016" s="59"/>
      <c r="ER1016" s="59"/>
      <c r="ES1016" s="59"/>
      <c r="ET1016" s="59"/>
      <c r="EU1016" s="59"/>
      <c r="EV1016" s="59"/>
      <c r="EW1016" s="59"/>
      <c r="EX1016" s="59"/>
      <c r="EY1016" s="59"/>
      <c r="EZ1016" s="59"/>
      <c r="FA1016" s="59"/>
      <c r="FB1016" s="59"/>
      <c r="FC1016" s="59"/>
      <c r="FD1016" s="59"/>
      <c r="FE1016" s="59"/>
      <c r="FF1016" s="59"/>
      <c r="FG1016" s="59"/>
      <c r="FH1016" s="59"/>
      <c r="FI1016" s="59"/>
      <c r="FJ1016" s="59"/>
      <c r="FK1016" s="59"/>
      <c r="FL1016" s="59"/>
      <c r="FM1016" s="59"/>
      <c r="FN1016" s="59"/>
      <c r="FO1016" s="59"/>
      <c r="FP1016" s="59"/>
      <c r="FQ1016" s="59"/>
      <c r="FR1016" s="59"/>
      <c r="FS1016" s="59"/>
      <c r="FT1016" s="59"/>
      <c r="FU1016" s="59"/>
      <c r="FV1016" s="59"/>
      <c r="FW1016" s="59"/>
      <c r="FX1016" s="59"/>
      <c r="FY1016" s="59"/>
      <c r="FZ1016" s="59"/>
      <c r="GA1016" s="59"/>
      <c r="GB1016" s="59"/>
      <c r="GC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  <c r="BV1017" s="59"/>
      <c r="BW1017" s="59"/>
      <c r="BX1017" s="59"/>
      <c r="BY1017" s="59"/>
      <c r="BZ1017" s="59"/>
      <c r="CA1017" s="59"/>
      <c r="CB1017" s="59"/>
      <c r="CC1017" s="59"/>
      <c r="CD1017" s="59"/>
      <c r="CE1017" s="59"/>
      <c r="CF1017" s="59"/>
      <c r="CG1017" s="59"/>
      <c r="CH1017" s="59"/>
      <c r="CI1017" s="59"/>
      <c r="CJ1017" s="59"/>
      <c r="CK1017" s="59"/>
      <c r="CL1017" s="59"/>
      <c r="CM1017" s="59"/>
      <c r="CN1017" s="59"/>
      <c r="CO1017" s="59"/>
      <c r="CP1017" s="59"/>
      <c r="CQ1017" s="59"/>
      <c r="CR1017" s="59"/>
      <c r="CS1017" s="59"/>
      <c r="CT1017" s="59"/>
      <c r="CU1017" s="59"/>
      <c r="CV1017" s="59"/>
      <c r="CW1017" s="59"/>
      <c r="CX1017" s="59"/>
      <c r="CY1017" s="59"/>
      <c r="CZ1017" s="59"/>
      <c r="DA1017" s="59"/>
      <c r="DB1017" s="59"/>
      <c r="DC1017" s="59"/>
      <c r="DD1017" s="59"/>
      <c r="DE1017" s="59"/>
      <c r="DF1017" s="59"/>
      <c r="DG1017" s="59"/>
      <c r="DH1017" s="59"/>
      <c r="DI1017" s="59"/>
      <c r="DJ1017" s="59"/>
      <c r="DK1017" s="59"/>
      <c r="DL1017" s="59"/>
      <c r="DM1017" s="59"/>
      <c r="DN1017" s="59"/>
      <c r="DO1017" s="59"/>
      <c r="DP1017" s="59"/>
      <c r="DQ1017" s="59"/>
      <c r="DR1017" s="59"/>
      <c r="DS1017" s="59"/>
      <c r="DT1017" s="59"/>
      <c r="DU1017" s="59"/>
      <c r="DV1017" s="59"/>
      <c r="DW1017" s="59"/>
      <c r="DX1017" s="59"/>
      <c r="DY1017" s="59"/>
      <c r="DZ1017" s="59"/>
      <c r="EA1017" s="59"/>
      <c r="EB1017" s="59"/>
      <c r="EC1017" s="59"/>
      <c r="ED1017" s="59"/>
      <c r="EE1017" s="59"/>
      <c r="EF1017" s="59"/>
      <c r="EG1017" s="59"/>
      <c r="EH1017" s="59"/>
      <c r="EI1017" s="59"/>
      <c r="EJ1017" s="59"/>
      <c r="EK1017" s="59"/>
      <c r="EL1017" s="59"/>
      <c r="EM1017" s="59"/>
      <c r="EN1017" s="59"/>
      <c r="EO1017" s="59"/>
      <c r="EP1017" s="59"/>
      <c r="EQ1017" s="59"/>
      <c r="ER1017" s="59"/>
      <c r="ES1017" s="59"/>
      <c r="ET1017" s="59"/>
      <c r="EU1017" s="59"/>
      <c r="EV1017" s="59"/>
      <c r="EW1017" s="59"/>
      <c r="EX1017" s="59"/>
      <c r="EY1017" s="59"/>
      <c r="EZ1017" s="59"/>
      <c r="FA1017" s="59"/>
      <c r="FB1017" s="59"/>
      <c r="FC1017" s="59"/>
      <c r="FD1017" s="59"/>
      <c r="FE1017" s="59"/>
      <c r="FF1017" s="59"/>
      <c r="FG1017" s="59"/>
      <c r="FH1017" s="59"/>
      <c r="FI1017" s="59"/>
      <c r="FJ1017" s="59"/>
      <c r="FK1017" s="59"/>
      <c r="FL1017" s="59"/>
      <c r="FM1017" s="59"/>
      <c r="FN1017" s="59"/>
      <c r="FO1017" s="59"/>
      <c r="FP1017" s="59"/>
      <c r="FQ1017" s="59"/>
      <c r="FR1017" s="59"/>
      <c r="FS1017" s="59"/>
      <c r="FT1017" s="59"/>
      <c r="FU1017" s="59"/>
      <c r="FV1017" s="59"/>
      <c r="FW1017" s="59"/>
      <c r="FX1017" s="59"/>
      <c r="FY1017" s="59"/>
      <c r="FZ1017" s="59"/>
      <c r="GA1017" s="59"/>
      <c r="GB1017" s="59"/>
      <c r="GC1017" s="59"/>
    </row>
    <row r="1018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  <c r="BV1018" s="59"/>
      <c r="BW1018" s="59"/>
      <c r="BX1018" s="59"/>
      <c r="BY1018" s="59"/>
      <c r="BZ1018" s="59"/>
      <c r="CA1018" s="59"/>
      <c r="CB1018" s="59"/>
      <c r="CC1018" s="59"/>
      <c r="CD1018" s="59"/>
      <c r="CE1018" s="59"/>
      <c r="CF1018" s="59"/>
      <c r="CG1018" s="59"/>
      <c r="CH1018" s="59"/>
      <c r="CI1018" s="59"/>
      <c r="CJ1018" s="59"/>
      <c r="CK1018" s="59"/>
      <c r="CL1018" s="59"/>
      <c r="CM1018" s="59"/>
      <c r="CN1018" s="59"/>
      <c r="CO1018" s="59"/>
      <c r="CP1018" s="59"/>
      <c r="CQ1018" s="59"/>
      <c r="CR1018" s="59"/>
      <c r="CS1018" s="59"/>
      <c r="CT1018" s="59"/>
      <c r="CU1018" s="59"/>
      <c r="CV1018" s="59"/>
      <c r="CW1018" s="59"/>
      <c r="CX1018" s="59"/>
      <c r="CY1018" s="59"/>
      <c r="CZ1018" s="59"/>
      <c r="DA1018" s="59"/>
      <c r="DB1018" s="59"/>
      <c r="DC1018" s="59"/>
      <c r="DD1018" s="59"/>
      <c r="DE1018" s="59"/>
      <c r="DF1018" s="59"/>
      <c r="DG1018" s="59"/>
      <c r="DH1018" s="59"/>
      <c r="DI1018" s="59"/>
      <c r="DJ1018" s="59"/>
      <c r="DK1018" s="59"/>
      <c r="DL1018" s="59"/>
      <c r="DM1018" s="59"/>
      <c r="DN1018" s="59"/>
      <c r="DO1018" s="59"/>
      <c r="DP1018" s="59"/>
      <c r="DQ1018" s="59"/>
      <c r="DR1018" s="59"/>
      <c r="DS1018" s="59"/>
      <c r="DT1018" s="59"/>
      <c r="DU1018" s="59"/>
      <c r="DV1018" s="59"/>
      <c r="DW1018" s="59"/>
      <c r="DX1018" s="59"/>
      <c r="DY1018" s="59"/>
      <c r="DZ1018" s="59"/>
      <c r="EA1018" s="59"/>
      <c r="EB1018" s="59"/>
      <c r="EC1018" s="59"/>
      <c r="ED1018" s="59"/>
      <c r="EE1018" s="59"/>
      <c r="EF1018" s="59"/>
      <c r="EG1018" s="59"/>
      <c r="EH1018" s="59"/>
      <c r="EI1018" s="59"/>
      <c r="EJ1018" s="59"/>
      <c r="EK1018" s="59"/>
      <c r="EL1018" s="59"/>
      <c r="EM1018" s="59"/>
      <c r="EN1018" s="59"/>
      <c r="EO1018" s="59"/>
      <c r="EP1018" s="59"/>
      <c r="EQ1018" s="59"/>
      <c r="ER1018" s="59"/>
      <c r="ES1018" s="59"/>
      <c r="ET1018" s="59"/>
      <c r="EU1018" s="59"/>
      <c r="EV1018" s="59"/>
      <c r="EW1018" s="59"/>
      <c r="EX1018" s="59"/>
      <c r="EY1018" s="59"/>
      <c r="EZ1018" s="59"/>
      <c r="FA1018" s="59"/>
      <c r="FB1018" s="59"/>
      <c r="FC1018" s="59"/>
      <c r="FD1018" s="59"/>
      <c r="FE1018" s="59"/>
      <c r="FF1018" s="59"/>
      <c r="FG1018" s="59"/>
      <c r="FH1018" s="59"/>
      <c r="FI1018" s="59"/>
      <c r="FJ1018" s="59"/>
      <c r="FK1018" s="59"/>
      <c r="FL1018" s="59"/>
      <c r="FM1018" s="59"/>
      <c r="FN1018" s="59"/>
      <c r="FO1018" s="59"/>
      <c r="FP1018" s="59"/>
      <c r="FQ1018" s="59"/>
      <c r="FR1018" s="59"/>
      <c r="FS1018" s="59"/>
      <c r="FT1018" s="59"/>
      <c r="FU1018" s="59"/>
      <c r="FV1018" s="59"/>
      <c r="FW1018" s="59"/>
      <c r="FX1018" s="59"/>
      <c r="FY1018" s="59"/>
      <c r="FZ1018" s="59"/>
      <c r="GA1018" s="59"/>
      <c r="GB1018" s="59"/>
      <c r="GC1018" s="59"/>
    </row>
    <row r="1019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  <c r="BV1019" s="59"/>
      <c r="BW1019" s="59"/>
      <c r="BX1019" s="59"/>
      <c r="BY1019" s="59"/>
      <c r="BZ1019" s="59"/>
      <c r="CA1019" s="59"/>
      <c r="CB1019" s="59"/>
      <c r="CC1019" s="59"/>
      <c r="CD1019" s="59"/>
      <c r="CE1019" s="59"/>
      <c r="CF1019" s="59"/>
      <c r="CG1019" s="59"/>
      <c r="CH1019" s="59"/>
      <c r="CI1019" s="59"/>
      <c r="CJ1019" s="59"/>
      <c r="CK1019" s="59"/>
      <c r="CL1019" s="59"/>
      <c r="CM1019" s="59"/>
      <c r="CN1019" s="59"/>
      <c r="CO1019" s="59"/>
      <c r="CP1019" s="59"/>
      <c r="CQ1019" s="59"/>
      <c r="CR1019" s="59"/>
      <c r="CS1019" s="59"/>
      <c r="CT1019" s="59"/>
      <c r="CU1019" s="59"/>
      <c r="CV1019" s="59"/>
      <c r="CW1019" s="59"/>
      <c r="CX1019" s="59"/>
      <c r="CY1019" s="59"/>
      <c r="CZ1019" s="59"/>
      <c r="DA1019" s="59"/>
      <c r="DB1019" s="59"/>
      <c r="DC1019" s="59"/>
      <c r="DD1019" s="59"/>
      <c r="DE1019" s="59"/>
      <c r="DF1019" s="59"/>
      <c r="DG1019" s="59"/>
      <c r="DH1019" s="59"/>
      <c r="DI1019" s="59"/>
      <c r="DJ1019" s="59"/>
      <c r="DK1019" s="59"/>
      <c r="DL1019" s="59"/>
      <c r="DM1019" s="59"/>
      <c r="DN1019" s="59"/>
      <c r="DO1019" s="59"/>
      <c r="DP1019" s="59"/>
      <c r="DQ1019" s="59"/>
      <c r="DR1019" s="59"/>
      <c r="DS1019" s="59"/>
      <c r="DT1019" s="59"/>
      <c r="DU1019" s="59"/>
      <c r="DV1019" s="59"/>
      <c r="DW1019" s="59"/>
      <c r="DX1019" s="59"/>
      <c r="DY1019" s="59"/>
      <c r="DZ1019" s="59"/>
      <c r="EA1019" s="59"/>
      <c r="EB1019" s="59"/>
      <c r="EC1019" s="59"/>
      <c r="ED1019" s="59"/>
      <c r="EE1019" s="59"/>
      <c r="EF1019" s="59"/>
      <c r="EG1019" s="59"/>
      <c r="EH1019" s="59"/>
      <c r="EI1019" s="59"/>
      <c r="EJ1019" s="59"/>
      <c r="EK1019" s="59"/>
      <c r="EL1019" s="59"/>
      <c r="EM1019" s="59"/>
      <c r="EN1019" s="59"/>
      <c r="EO1019" s="59"/>
      <c r="EP1019" s="59"/>
      <c r="EQ1019" s="59"/>
      <c r="ER1019" s="59"/>
      <c r="ES1019" s="59"/>
      <c r="ET1019" s="59"/>
      <c r="EU1019" s="59"/>
      <c r="EV1019" s="59"/>
      <c r="EW1019" s="59"/>
      <c r="EX1019" s="59"/>
      <c r="EY1019" s="59"/>
      <c r="EZ1019" s="59"/>
      <c r="FA1019" s="59"/>
      <c r="FB1019" s="59"/>
      <c r="FC1019" s="59"/>
      <c r="FD1019" s="59"/>
      <c r="FE1019" s="59"/>
      <c r="FF1019" s="59"/>
      <c r="FG1019" s="59"/>
      <c r="FH1019" s="59"/>
      <c r="FI1019" s="59"/>
      <c r="FJ1019" s="59"/>
      <c r="FK1019" s="59"/>
      <c r="FL1019" s="59"/>
      <c r="FM1019" s="59"/>
      <c r="FN1019" s="59"/>
      <c r="FO1019" s="59"/>
      <c r="FP1019" s="59"/>
      <c r="FQ1019" s="59"/>
      <c r="FR1019" s="59"/>
      <c r="FS1019" s="59"/>
      <c r="FT1019" s="59"/>
      <c r="FU1019" s="59"/>
      <c r="FV1019" s="59"/>
      <c r="FW1019" s="59"/>
      <c r="FX1019" s="59"/>
      <c r="FY1019" s="59"/>
      <c r="FZ1019" s="59"/>
      <c r="GA1019" s="59"/>
      <c r="GB1019" s="59"/>
      <c r="GC1019" s="59"/>
    </row>
    <row r="1020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  <c r="BV1020" s="59"/>
      <c r="BW1020" s="59"/>
      <c r="BX1020" s="59"/>
      <c r="BY1020" s="59"/>
      <c r="BZ1020" s="59"/>
      <c r="CA1020" s="59"/>
      <c r="CB1020" s="59"/>
      <c r="CC1020" s="59"/>
      <c r="CD1020" s="59"/>
      <c r="CE1020" s="59"/>
      <c r="CF1020" s="59"/>
      <c r="CG1020" s="59"/>
      <c r="CH1020" s="59"/>
      <c r="CI1020" s="59"/>
      <c r="CJ1020" s="59"/>
      <c r="CK1020" s="59"/>
      <c r="CL1020" s="59"/>
      <c r="CM1020" s="59"/>
      <c r="CN1020" s="59"/>
      <c r="CO1020" s="59"/>
      <c r="CP1020" s="59"/>
      <c r="CQ1020" s="59"/>
      <c r="CR1020" s="59"/>
      <c r="CS1020" s="59"/>
      <c r="CT1020" s="59"/>
      <c r="CU1020" s="59"/>
      <c r="CV1020" s="59"/>
      <c r="CW1020" s="59"/>
      <c r="CX1020" s="59"/>
      <c r="CY1020" s="59"/>
      <c r="CZ1020" s="59"/>
      <c r="DA1020" s="59"/>
      <c r="DB1020" s="59"/>
      <c r="DC1020" s="59"/>
      <c r="DD1020" s="59"/>
      <c r="DE1020" s="59"/>
      <c r="DF1020" s="59"/>
      <c r="DG1020" s="59"/>
      <c r="DH1020" s="59"/>
      <c r="DI1020" s="59"/>
      <c r="DJ1020" s="59"/>
      <c r="DK1020" s="59"/>
      <c r="DL1020" s="59"/>
      <c r="DM1020" s="59"/>
      <c r="DN1020" s="59"/>
      <c r="DO1020" s="59"/>
      <c r="DP1020" s="59"/>
      <c r="DQ1020" s="59"/>
      <c r="DR1020" s="59"/>
      <c r="DS1020" s="59"/>
      <c r="DT1020" s="59"/>
      <c r="DU1020" s="59"/>
      <c r="DV1020" s="59"/>
      <c r="DW1020" s="59"/>
      <c r="DX1020" s="59"/>
      <c r="DY1020" s="59"/>
      <c r="DZ1020" s="59"/>
      <c r="EA1020" s="59"/>
      <c r="EB1020" s="59"/>
      <c r="EC1020" s="59"/>
      <c r="ED1020" s="59"/>
      <c r="EE1020" s="59"/>
      <c r="EF1020" s="59"/>
      <c r="EG1020" s="59"/>
      <c r="EH1020" s="59"/>
      <c r="EI1020" s="59"/>
      <c r="EJ1020" s="59"/>
      <c r="EK1020" s="59"/>
      <c r="EL1020" s="59"/>
      <c r="EM1020" s="59"/>
      <c r="EN1020" s="59"/>
      <c r="EO1020" s="59"/>
      <c r="EP1020" s="59"/>
      <c r="EQ1020" s="59"/>
      <c r="ER1020" s="59"/>
      <c r="ES1020" s="59"/>
      <c r="ET1020" s="59"/>
      <c r="EU1020" s="59"/>
      <c r="EV1020" s="59"/>
      <c r="EW1020" s="59"/>
      <c r="EX1020" s="59"/>
      <c r="EY1020" s="59"/>
      <c r="EZ1020" s="59"/>
      <c r="FA1020" s="59"/>
      <c r="FB1020" s="59"/>
      <c r="FC1020" s="59"/>
      <c r="FD1020" s="59"/>
      <c r="FE1020" s="59"/>
      <c r="FF1020" s="59"/>
      <c r="FG1020" s="59"/>
      <c r="FH1020" s="59"/>
      <c r="FI1020" s="59"/>
      <c r="FJ1020" s="59"/>
      <c r="FK1020" s="59"/>
      <c r="FL1020" s="59"/>
      <c r="FM1020" s="59"/>
      <c r="FN1020" s="59"/>
      <c r="FO1020" s="59"/>
      <c r="FP1020" s="59"/>
      <c r="FQ1020" s="59"/>
      <c r="FR1020" s="59"/>
      <c r="FS1020" s="59"/>
      <c r="FT1020" s="59"/>
      <c r="FU1020" s="59"/>
      <c r="FV1020" s="59"/>
      <c r="FW1020" s="59"/>
      <c r="FX1020" s="59"/>
      <c r="FY1020" s="59"/>
      <c r="FZ1020" s="59"/>
      <c r="GA1020" s="59"/>
      <c r="GB1020" s="59"/>
      <c r="GC1020" s="59"/>
    </row>
    <row r="1021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  <c r="BV1021" s="59"/>
      <c r="BW1021" s="59"/>
      <c r="BX1021" s="59"/>
      <c r="BY1021" s="59"/>
      <c r="BZ1021" s="59"/>
      <c r="CA1021" s="59"/>
      <c r="CB1021" s="59"/>
      <c r="CC1021" s="59"/>
      <c r="CD1021" s="59"/>
      <c r="CE1021" s="59"/>
      <c r="CF1021" s="59"/>
      <c r="CG1021" s="59"/>
      <c r="CH1021" s="59"/>
      <c r="CI1021" s="59"/>
      <c r="CJ1021" s="59"/>
      <c r="CK1021" s="59"/>
      <c r="CL1021" s="59"/>
      <c r="CM1021" s="59"/>
      <c r="CN1021" s="59"/>
      <c r="CO1021" s="59"/>
      <c r="CP1021" s="59"/>
      <c r="CQ1021" s="59"/>
      <c r="CR1021" s="59"/>
      <c r="CS1021" s="59"/>
      <c r="CT1021" s="59"/>
      <c r="CU1021" s="59"/>
      <c r="CV1021" s="59"/>
      <c r="CW1021" s="59"/>
      <c r="CX1021" s="59"/>
      <c r="CY1021" s="59"/>
      <c r="CZ1021" s="59"/>
      <c r="DA1021" s="59"/>
      <c r="DB1021" s="59"/>
      <c r="DC1021" s="59"/>
      <c r="DD1021" s="59"/>
      <c r="DE1021" s="59"/>
      <c r="DF1021" s="59"/>
      <c r="DG1021" s="59"/>
      <c r="DH1021" s="59"/>
      <c r="DI1021" s="59"/>
      <c r="DJ1021" s="59"/>
      <c r="DK1021" s="59"/>
      <c r="DL1021" s="59"/>
      <c r="DM1021" s="59"/>
      <c r="DN1021" s="59"/>
      <c r="DO1021" s="59"/>
      <c r="DP1021" s="59"/>
      <c r="DQ1021" s="59"/>
      <c r="DR1021" s="59"/>
      <c r="DS1021" s="59"/>
      <c r="DT1021" s="59"/>
      <c r="DU1021" s="59"/>
      <c r="DV1021" s="59"/>
      <c r="DW1021" s="59"/>
      <c r="DX1021" s="59"/>
      <c r="DY1021" s="59"/>
      <c r="DZ1021" s="59"/>
      <c r="EA1021" s="59"/>
      <c r="EB1021" s="59"/>
      <c r="EC1021" s="59"/>
      <c r="ED1021" s="59"/>
      <c r="EE1021" s="59"/>
      <c r="EF1021" s="59"/>
      <c r="EG1021" s="59"/>
      <c r="EH1021" s="59"/>
      <c r="EI1021" s="59"/>
      <c r="EJ1021" s="59"/>
      <c r="EK1021" s="59"/>
      <c r="EL1021" s="59"/>
      <c r="EM1021" s="59"/>
      <c r="EN1021" s="59"/>
      <c r="EO1021" s="59"/>
      <c r="EP1021" s="59"/>
      <c r="EQ1021" s="59"/>
      <c r="ER1021" s="59"/>
      <c r="ES1021" s="59"/>
      <c r="ET1021" s="59"/>
      <c r="EU1021" s="59"/>
      <c r="EV1021" s="59"/>
      <c r="EW1021" s="59"/>
      <c r="EX1021" s="59"/>
      <c r="EY1021" s="59"/>
      <c r="EZ1021" s="59"/>
      <c r="FA1021" s="59"/>
      <c r="FB1021" s="59"/>
      <c r="FC1021" s="59"/>
      <c r="FD1021" s="59"/>
      <c r="FE1021" s="59"/>
      <c r="FF1021" s="59"/>
      <c r="FG1021" s="59"/>
      <c r="FH1021" s="59"/>
      <c r="FI1021" s="59"/>
      <c r="FJ1021" s="59"/>
      <c r="FK1021" s="59"/>
      <c r="FL1021" s="59"/>
      <c r="FM1021" s="59"/>
      <c r="FN1021" s="59"/>
      <c r="FO1021" s="59"/>
      <c r="FP1021" s="59"/>
      <c r="FQ1021" s="59"/>
      <c r="FR1021" s="59"/>
      <c r="FS1021" s="59"/>
      <c r="FT1021" s="59"/>
      <c r="FU1021" s="59"/>
      <c r="FV1021" s="59"/>
      <c r="FW1021" s="59"/>
      <c r="FX1021" s="59"/>
      <c r="FY1021" s="59"/>
      <c r="FZ1021" s="59"/>
      <c r="GA1021" s="59"/>
      <c r="GB1021" s="59"/>
      <c r="GC1021" s="59"/>
    </row>
    <row r="1022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  <c r="BV1022" s="59"/>
      <c r="BW1022" s="59"/>
      <c r="BX1022" s="59"/>
      <c r="BY1022" s="59"/>
      <c r="BZ1022" s="59"/>
      <c r="CA1022" s="59"/>
      <c r="CB1022" s="59"/>
      <c r="CC1022" s="59"/>
      <c r="CD1022" s="59"/>
      <c r="CE1022" s="59"/>
      <c r="CF1022" s="59"/>
      <c r="CG1022" s="59"/>
      <c r="CH1022" s="59"/>
      <c r="CI1022" s="59"/>
      <c r="CJ1022" s="59"/>
      <c r="CK1022" s="59"/>
      <c r="CL1022" s="59"/>
      <c r="CM1022" s="59"/>
      <c r="CN1022" s="59"/>
      <c r="CO1022" s="59"/>
      <c r="CP1022" s="59"/>
      <c r="CQ1022" s="59"/>
      <c r="CR1022" s="59"/>
      <c r="CS1022" s="59"/>
      <c r="CT1022" s="59"/>
      <c r="CU1022" s="59"/>
      <c r="CV1022" s="59"/>
      <c r="CW1022" s="59"/>
      <c r="CX1022" s="59"/>
      <c r="CY1022" s="59"/>
      <c r="CZ1022" s="59"/>
      <c r="DA1022" s="59"/>
      <c r="DB1022" s="59"/>
      <c r="DC1022" s="59"/>
      <c r="DD1022" s="59"/>
      <c r="DE1022" s="59"/>
      <c r="DF1022" s="59"/>
      <c r="DG1022" s="59"/>
      <c r="DH1022" s="59"/>
      <c r="DI1022" s="59"/>
      <c r="DJ1022" s="59"/>
      <c r="DK1022" s="59"/>
      <c r="DL1022" s="59"/>
      <c r="DM1022" s="59"/>
      <c r="DN1022" s="59"/>
      <c r="DO1022" s="59"/>
      <c r="DP1022" s="59"/>
      <c r="DQ1022" s="59"/>
      <c r="DR1022" s="59"/>
      <c r="DS1022" s="59"/>
      <c r="DT1022" s="59"/>
      <c r="DU1022" s="59"/>
      <c r="DV1022" s="59"/>
      <c r="DW1022" s="59"/>
      <c r="DX1022" s="59"/>
      <c r="DY1022" s="59"/>
      <c r="DZ1022" s="59"/>
      <c r="EA1022" s="59"/>
      <c r="EB1022" s="59"/>
      <c r="EC1022" s="59"/>
      <c r="ED1022" s="59"/>
      <c r="EE1022" s="59"/>
      <c r="EF1022" s="59"/>
      <c r="EG1022" s="59"/>
      <c r="EH1022" s="59"/>
      <c r="EI1022" s="59"/>
      <c r="EJ1022" s="59"/>
      <c r="EK1022" s="59"/>
      <c r="EL1022" s="59"/>
      <c r="EM1022" s="59"/>
      <c r="EN1022" s="59"/>
      <c r="EO1022" s="59"/>
      <c r="EP1022" s="59"/>
      <c r="EQ1022" s="59"/>
      <c r="ER1022" s="59"/>
      <c r="ES1022" s="59"/>
      <c r="ET1022" s="59"/>
      <c r="EU1022" s="59"/>
      <c r="EV1022" s="59"/>
      <c r="EW1022" s="59"/>
      <c r="EX1022" s="59"/>
      <c r="EY1022" s="59"/>
      <c r="EZ1022" s="59"/>
      <c r="FA1022" s="59"/>
      <c r="FB1022" s="59"/>
      <c r="FC1022" s="59"/>
      <c r="FD1022" s="59"/>
      <c r="FE1022" s="59"/>
      <c r="FF1022" s="59"/>
      <c r="FG1022" s="59"/>
      <c r="FH1022" s="59"/>
      <c r="FI1022" s="59"/>
      <c r="FJ1022" s="59"/>
      <c r="FK1022" s="59"/>
      <c r="FL1022" s="59"/>
      <c r="FM1022" s="59"/>
      <c r="FN1022" s="59"/>
      <c r="FO1022" s="59"/>
      <c r="FP1022" s="59"/>
      <c r="FQ1022" s="59"/>
      <c r="FR1022" s="59"/>
      <c r="FS1022" s="59"/>
      <c r="FT1022" s="59"/>
      <c r="FU1022" s="59"/>
      <c r="FV1022" s="59"/>
      <c r="FW1022" s="59"/>
      <c r="FX1022" s="59"/>
      <c r="FY1022" s="59"/>
      <c r="FZ1022" s="59"/>
      <c r="GA1022" s="59"/>
      <c r="GB1022" s="59"/>
      <c r="GC1022" s="59"/>
    </row>
    <row r="1023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  <c r="BV1023" s="59"/>
      <c r="BW1023" s="59"/>
      <c r="BX1023" s="59"/>
      <c r="BY1023" s="59"/>
      <c r="BZ1023" s="59"/>
      <c r="CA1023" s="59"/>
      <c r="CB1023" s="59"/>
      <c r="CC1023" s="59"/>
      <c r="CD1023" s="59"/>
      <c r="CE1023" s="59"/>
      <c r="CF1023" s="59"/>
      <c r="CG1023" s="59"/>
      <c r="CH1023" s="59"/>
      <c r="CI1023" s="59"/>
      <c r="CJ1023" s="59"/>
      <c r="CK1023" s="59"/>
      <c r="CL1023" s="59"/>
      <c r="CM1023" s="59"/>
      <c r="CN1023" s="59"/>
      <c r="CO1023" s="59"/>
      <c r="CP1023" s="59"/>
      <c r="CQ1023" s="59"/>
      <c r="CR1023" s="59"/>
      <c r="CS1023" s="59"/>
      <c r="CT1023" s="59"/>
      <c r="CU1023" s="59"/>
      <c r="CV1023" s="59"/>
      <c r="CW1023" s="59"/>
      <c r="CX1023" s="59"/>
      <c r="CY1023" s="59"/>
      <c r="CZ1023" s="59"/>
      <c r="DA1023" s="59"/>
      <c r="DB1023" s="59"/>
      <c r="DC1023" s="59"/>
      <c r="DD1023" s="59"/>
      <c r="DE1023" s="59"/>
      <c r="DF1023" s="59"/>
      <c r="DG1023" s="59"/>
      <c r="DH1023" s="59"/>
      <c r="DI1023" s="59"/>
      <c r="DJ1023" s="59"/>
      <c r="DK1023" s="59"/>
      <c r="DL1023" s="59"/>
      <c r="DM1023" s="59"/>
      <c r="DN1023" s="59"/>
      <c r="DO1023" s="59"/>
      <c r="DP1023" s="59"/>
      <c r="DQ1023" s="59"/>
      <c r="DR1023" s="59"/>
      <c r="DS1023" s="59"/>
      <c r="DT1023" s="59"/>
      <c r="DU1023" s="59"/>
      <c r="DV1023" s="59"/>
      <c r="DW1023" s="59"/>
      <c r="DX1023" s="59"/>
      <c r="DY1023" s="59"/>
      <c r="DZ1023" s="59"/>
      <c r="EA1023" s="59"/>
      <c r="EB1023" s="59"/>
      <c r="EC1023" s="59"/>
      <c r="ED1023" s="59"/>
      <c r="EE1023" s="59"/>
      <c r="EF1023" s="59"/>
      <c r="EG1023" s="59"/>
      <c r="EH1023" s="59"/>
      <c r="EI1023" s="59"/>
      <c r="EJ1023" s="59"/>
      <c r="EK1023" s="59"/>
      <c r="EL1023" s="59"/>
      <c r="EM1023" s="59"/>
      <c r="EN1023" s="59"/>
      <c r="EO1023" s="59"/>
      <c r="EP1023" s="59"/>
      <c r="EQ1023" s="59"/>
      <c r="ER1023" s="59"/>
      <c r="ES1023" s="59"/>
      <c r="ET1023" s="59"/>
      <c r="EU1023" s="59"/>
      <c r="EV1023" s="59"/>
      <c r="EW1023" s="59"/>
      <c r="EX1023" s="59"/>
      <c r="EY1023" s="59"/>
      <c r="EZ1023" s="59"/>
      <c r="FA1023" s="59"/>
      <c r="FB1023" s="59"/>
      <c r="FC1023" s="59"/>
      <c r="FD1023" s="59"/>
      <c r="FE1023" s="59"/>
      <c r="FF1023" s="59"/>
      <c r="FG1023" s="59"/>
      <c r="FH1023" s="59"/>
      <c r="FI1023" s="59"/>
      <c r="FJ1023" s="59"/>
      <c r="FK1023" s="59"/>
      <c r="FL1023" s="59"/>
      <c r="FM1023" s="59"/>
      <c r="FN1023" s="59"/>
      <c r="FO1023" s="59"/>
      <c r="FP1023" s="59"/>
      <c r="FQ1023" s="59"/>
      <c r="FR1023" s="59"/>
      <c r="FS1023" s="59"/>
      <c r="FT1023" s="59"/>
      <c r="FU1023" s="59"/>
      <c r="FV1023" s="59"/>
      <c r="FW1023" s="59"/>
      <c r="FX1023" s="59"/>
      <c r="FY1023" s="59"/>
      <c r="FZ1023" s="59"/>
      <c r="GA1023" s="59"/>
      <c r="GB1023" s="59"/>
      <c r="GC1023" s="59"/>
    </row>
    <row r="1024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  <c r="BV1024" s="59"/>
      <c r="BW1024" s="59"/>
      <c r="BX1024" s="59"/>
      <c r="BY1024" s="59"/>
      <c r="BZ1024" s="59"/>
      <c r="CA1024" s="59"/>
      <c r="CB1024" s="59"/>
      <c r="CC1024" s="59"/>
      <c r="CD1024" s="59"/>
      <c r="CE1024" s="59"/>
      <c r="CF1024" s="59"/>
      <c r="CG1024" s="59"/>
      <c r="CH1024" s="59"/>
      <c r="CI1024" s="59"/>
      <c r="CJ1024" s="59"/>
      <c r="CK1024" s="59"/>
      <c r="CL1024" s="59"/>
      <c r="CM1024" s="59"/>
      <c r="CN1024" s="59"/>
      <c r="CO1024" s="59"/>
      <c r="CP1024" s="59"/>
      <c r="CQ1024" s="59"/>
      <c r="CR1024" s="59"/>
      <c r="CS1024" s="59"/>
      <c r="CT1024" s="59"/>
      <c r="CU1024" s="59"/>
      <c r="CV1024" s="59"/>
      <c r="CW1024" s="59"/>
      <c r="CX1024" s="59"/>
      <c r="CY1024" s="59"/>
      <c r="CZ1024" s="59"/>
      <c r="DA1024" s="59"/>
      <c r="DB1024" s="59"/>
      <c r="DC1024" s="59"/>
      <c r="DD1024" s="59"/>
      <c r="DE1024" s="59"/>
      <c r="DF1024" s="59"/>
      <c r="DG1024" s="59"/>
      <c r="DH1024" s="59"/>
      <c r="DI1024" s="59"/>
      <c r="DJ1024" s="59"/>
      <c r="DK1024" s="59"/>
      <c r="DL1024" s="59"/>
      <c r="DM1024" s="59"/>
      <c r="DN1024" s="59"/>
      <c r="DO1024" s="59"/>
      <c r="DP1024" s="59"/>
      <c r="DQ1024" s="59"/>
      <c r="DR1024" s="59"/>
      <c r="DS1024" s="59"/>
      <c r="DT1024" s="59"/>
      <c r="DU1024" s="59"/>
      <c r="DV1024" s="59"/>
      <c r="DW1024" s="59"/>
      <c r="DX1024" s="59"/>
      <c r="DY1024" s="59"/>
      <c r="DZ1024" s="59"/>
      <c r="EA1024" s="59"/>
      <c r="EB1024" s="59"/>
      <c r="EC1024" s="59"/>
      <c r="ED1024" s="59"/>
      <c r="EE1024" s="59"/>
      <c r="EF1024" s="59"/>
      <c r="EG1024" s="59"/>
      <c r="EH1024" s="59"/>
      <c r="EI1024" s="59"/>
      <c r="EJ1024" s="59"/>
      <c r="EK1024" s="59"/>
      <c r="EL1024" s="59"/>
      <c r="EM1024" s="59"/>
      <c r="EN1024" s="59"/>
      <c r="EO1024" s="59"/>
      <c r="EP1024" s="59"/>
      <c r="EQ1024" s="59"/>
      <c r="ER1024" s="59"/>
      <c r="ES1024" s="59"/>
      <c r="ET1024" s="59"/>
      <c r="EU1024" s="59"/>
      <c r="EV1024" s="59"/>
      <c r="EW1024" s="59"/>
      <c r="EX1024" s="59"/>
      <c r="EY1024" s="59"/>
      <c r="EZ1024" s="59"/>
      <c r="FA1024" s="59"/>
      <c r="FB1024" s="59"/>
      <c r="FC1024" s="59"/>
      <c r="FD1024" s="59"/>
      <c r="FE1024" s="59"/>
      <c r="FF1024" s="59"/>
      <c r="FG1024" s="59"/>
      <c r="FH1024" s="59"/>
      <c r="FI1024" s="59"/>
      <c r="FJ1024" s="59"/>
      <c r="FK1024" s="59"/>
      <c r="FL1024" s="59"/>
      <c r="FM1024" s="59"/>
      <c r="FN1024" s="59"/>
      <c r="FO1024" s="59"/>
      <c r="FP1024" s="59"/>
      <c r="FQ1024" s="59"/>
      <c r="FR1024" s="59"/>
      <c r="FS1024" s="59"/>
      <c r="FT1024" s="59"/>
      <c r="FU1024" s="59"/>
      <c r="FV1024" s="59"/>
      <c r="FW1024" s="59"/>
      <c r="FX1024" s="59"/>
      <c r="FY1024" s="59"/>
      <c r="FZ1024" s="59"/>
      <c r="GA1024" s="59"/>
      <c r="GB1024" s="59"/>
      <c r="GC1024" s="59"/>
    </row>
    <row r="10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  <c r="BV1025" s="59"/>
      <c r="BW1025" s="59"/>
      <c r="BX1025" s="59"/>
      <c r="BY1025" s="59"/>
      <c r="BZ1025" s="59"/>
      <c r="CA1025" s="59"/>
      <c r="CB1025" s="59"/>
      <c r="CC1025" s="59"/>
      <c r="CD1025" s="59"/>
      <c r="CE1025" s="59"/>
      <c r="CF1025" s="59"/>
      <c r="CG1025" s="59"/>
      <c r="CH1025" s="59"/>
      <c r="CI1025" s="59"/>
      <c r="CJ1025" s="59"/>
      <c r="CK1025" s="59"/>
      <c r="CL1025" s="59"/>
      <c r="CM1025" s="59"/>
      <c r="CN1025" s="59"/>
      <c r="CO1025" s="59"/>
      <c r="CP1025" s="59"/>
      <c r="CQ1025" s="59"/>
      <c r="CR1025" s="59"/>
      <c r="CS1025" s="59"/>
      <c r="CT1025" s="59"/>
      <c r="CU1025" s="59"/>
      <c r="CV1025" s="59"/>
      <c r="CW1025" s="59"/>
      <c r="CX1025" s="59"/>
      <c r="CY1025" s="59"/>
      <c r="CZ1025" s="59"/>
      <c r="DA1025" s="59"/>
      <c r="DB1025" s="59"/>
      <c r="DC1025" s="59"/>
      <c r="DD1025" s="59"/>
      <c r="DE1025" s="59"/>
      <c r="DF1025" s="59"/>
      <c r="DG1025" s="59"/>
      <c r="DH1025" s="59"/>
      <c r="DI1025" s="59"/>
      <c r="DJ1025" s="59"/>
      <c r="DK1025" s="59"/>
      <c r="DL1025" s="59"/>
      <c r="DM1025" s="59"/>
      <c r="DN1025" s="59"/>
      <c r="DO1025" s="59"/>
      <c r="DP1025" s="59"/>
      <c r="DQ1025" s="59"/>
      <c r="DR1025" s="59"/>
      <c r="DS1025" s="59"/>
      <c r="DT1025" s="59"/>
      <c r="DU1025" s="59"/>
      <c r="DV1025" s="59"/>
      <c r="DW1025" s="59"/>
      <c r="DX1025" s="59"/>
      <c r="DY1025" s="59"/>
      <c r="DZ1025" s="59"/>
      <c r="EA1025" s="59"/>
      <c r="EB1025" s="59"/>
      <c r="EC1025" s="59"/>
      <c r="ED1025" s="59"/>
      <c r="EE1025" s="59"/>
      <c r="EF1025" s="59"/>
      <c r="EG1025" s="59"/>
      <c r="EH1025" s="59"/>
      <c r="EI1025" s="59"/>
      <c r="EJ1025" s="59"/>
      <c r="EK1025" s="59"/>
      <c r="EL1025" s="59"/>
      <c r="EM1025" s="59"/>
      <c r="EN1025" s="59"/>
      <c r="EO1025" s="59"/>
      <c r="EP1025" s="59"/>
      <c r="EQ1025" s="59"/>
      <c r="ER1025" s="59"/>
      <c r="ES1025" s="59"/>
      <c r="ET1025" s="59"/>
      <c r="EU1025" s="59"/>
      <c r="EV1025" s="59"/>
      <c r="EW1025" s="59"/>
      <c r="EX1025" s="59"/>
      <c r="EY1025" s="59"/>
      <c r="EZ1025" s="59"/>
      <c r="FA1025" s="59"/>
      <c r="FB1025" s="59"/>
      <c r="FC1025" s="59"/>
      <c r="FD1025" s="59"/>
      <c r="FE1025" s="59"/>
      <c r="FF1025" s="59"/>
      <c r="FG1025" s="59"/>
      <c r="FH1025" s="59"/>
      <c r="FI1025" s="59"/>
      <c r="FJ1025" s="59"/>
      <c r="FK1025" s="59"/>
      <c r="FL1025" s="59"/>
      <c r="FM1025" s="59"/>
      <c r="FN1025" s="59"/>
      <c r="FO1025" s="59"/>
      <c r="FP1025" s="59"/>
      <c r="FQ1025" s="59"/>
      <c r="FR1025" s="59"/>
      <c r="FS1025" s="59"/>
      <c r="FT1025" s="59"/>
      <c r="FU1025" s="59"/>
      <c r="FV1025" s="59"/>
      <c r="FW1025" s="59"/>
      <c r="FX1025" s="59"/>
      <c r="FY1025" s="59"/>
      <c r="FZ1025" s="59"/>
      <c r="GA1025" s="59"/>
      <c r="GB1025" s="59"/>
      <c r="GC1025" s="59"/>
    </row>
    <row r="1026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  <c r="BV1026" s="59"/>
      <c r="BW1026" s="59"/>
      <c r="BX1026" s="59"/>
      <c r="BY1026" s="59"/>
      <c r="BZ1026" s="59"/>
      <c r="CA1026" s="59"/>
      <c r="CB1026" s="59"/>
      <c r="CC1026" s="59"/>
      <c r="CD1026" s="59"/>
      <c r="CE1026" s="59"/>
      <c r="CF1026" s="59"/>
      <c r="CG1026" s="59"/>
      <c r="CH1026" s="59"/>
      <c r="CI1026" s="59"/>
      <c r="CJ1026" s="59"/>
      <c r="CK1026" s="59"/>
      <c r="CL1026" s="59"/>
      <c r="CM1026" s="59"/>
      <c r="CN1026" s="59"/>
      <c r="CO1026" s="59"/>
      <c r="CP1026" s="59"/>
      <c r="CQ1026" s="59"/>
      <c r="CR1026" s="59"/>
      <c r="CS1026" s="59"/>
      <c r="CT1026" s="59"/>
      <c r="CU1026" s="59"/>
      <c r="CV1026" s="59"/>
      <c r="CW1026" s="59"/>
      <c r="CX1026" s="59"/>
      <c r="CY1026" s="59"/>
      <c r="CZ1026" s="59"/>
      <c r="DA1026" s="59"/>
      <c r="DB1026" s="59"/>
      <c r="DC1026" s="59"/>
      <c r="DD1026" s="59"/>
      <c r="DE1026" s="59"/>
      <c r="DF1026" s="59"/>
      <c r="DG1026" s="59"/>
      <c r="DH1026" s="59"/>
      <c r="DI1026" s="59"/>
      <c r="DJ1026" s="59"/>
      <c r="DK1026" s="59"/>
      <c r="DL1026" s="59"/>
      <c r="DM1026" s="59"/>
      <c r="DN1026" s="59"/>
      <c r="DO1026" s="59"/>
      <c r="DP1026" s="59"/>
      <c r="DQ1026" s="59"/>
      <c r="DR1026" s="59"/>
      <c r="DS1026" s="59"/>
      <c r="DT1026" s="59"/>
      <c r="DU1026" s="59"/>
      <c r="DV1026" s="59"/>
      <c r="DW1026" s="59"/>
      <c r="DX1026" s="59"/>
      <c r="DY1026" s="59"/>
      <c r="DZ1026" s="59"/>
      <c r="EA1026" s="59"/>
      <c r="EB1026" s="59"/>
      <c r="EC1026" s="59"/>
      <c r="ED1026" s="59"/>
      <c r="EE1026" s="59"/>
      <c r="EF1026" s="59"/>
      <c r="EG1026" s="59"/>
      <c r="EH1026" s="59"/>
      <c r="EI1026" s="59"/>
      <c r="EJ1026" s="59"/>
      <c r="EK1026" s="59"/>
      <c r="EL1026" s="59"/>
      <c r="EM1026" s="59"/>
      <c r="EN1026" s="59"/>
      <c r="EO1026" s="59"/>
      <c r="EP1026" s="59"/>
      <c r="EQ1026" s="59"/>
      <c r="ER1026" s="59"/>
      <c r="ES1026" s="59"/>
      <c r="ET1026" s="59"/>
      <c r="EU1026" s="59"/>
      <c r="EV1026" s="59"/>
      <c r="EW1026" s="59"/>
      <c r="EX1026" s="59"/>
      <c r="EY1026" s="59"/>
      <c r="EZ1026" s="59"/>
      <c r="FA1026" s="59"/>
      <c r="FB1026" s="59"/>
      <c r="FC1026" s="59"/>
      <c r="FD1026" s="59"/>
      <c r="FE1026" s="59"/>
      <c r="FF1026" s="59"/>
      <c r="FG1026" s="59"/>
      <c r="FH1026" s="59"/>
      <c r="FI1026" s="59"/>
      <c r="FJ1026" s="59"/>
      <c r="FK1026" s="59"/>
      <c r="FL1026" s="59"/>
      <c r="FM1026" s="59"/>
      <c r="FN1026" s="59"/>
      <c r="FO1026" s="59"/>
      <c r="FP1026" s="59"/>
      <c r="FQ1026" s="59"/>
      <c r="FR1026" s="59"/>
      <c r="FS1026" s="59"/>
      <c r="FT1026" s="59"/>
      <c r="FU1026" s="59"/>
      <c r="FV1026" s="59"/>
      <c r="FW1026" s="59"/>
      <c r="FX1026" s="59"/>
      <c r="FY1026" s="59"/>
      <c r="FZ1026" s="59"/>
      <c r="GA1026" s="59"/>
      <c r="GB1026" s="59"/>
      <c r="GC1026" s="59"/>
    </row>
    <row r="1027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  <c r="BV1027" s="59"/>
      <c r="BW1027" s="59"/>
      <c r="BX1027" s="59"/>
      <c r="BY1027" s="59"/>
      <c r="BZ1027" s="59"/>
      <c r="CA1027" s="59"/>
      <c r="CB1027" s="59"/>
      <c r="CC1027" s="59"/>
      <c r="CD1027" s="59"/>
      <c r="CE1027" s="59"/>
      <c r="CF1027" s="59"/>
      <c r="CG1027" s="59"/>
      <c r="CH1027" s="59"/>
      <c r="CI1027" s="59"/>
      <c r="CJ1027" s="59"/>
      <c r="CK1027" s="59"/>
      <c r="CL1027" s="59"/>
      <c r="CM1027" s="59"/>
      <c r="CN1027" s="59"/>
      <c r="CO1027" s="59"/>
      <c r="CP1027" s="59"/>
      <c r="CQ1027" s="59"/>
      <c r="CR1027" s="59"/>
      <c r="CS1027" s="59"/>
      <c r="CT1027" s="59"/>
      <c r="CU1027" s="59"/>
      <c r="CV1027" s="59"/>
      <c r="CW1027" s="59"/>
      <c r="CX1027" s="59"/>
      <c r="CY1027" s="59"/>
      <c r="CZ1027" s="59"/>
      <c r="DA1027" s="59"/>
      <c r="DB1027" s="59"/>
      <c r="DC1027" s="59"/>
      <c r="DD1027" s="59"/>
      <c r="DE1027" s="59"/>
      <c r="DF1027" s="59"/>
      <c r="DG1027" s="59"/>
      <c r="DH1027" s="59"/>
      <c r="DI1027" s="59"/>
      <c r="DJ1027" s="59"/>
      <c r="DK1027" s="59"/>
      <c r="DL1027" s="59"/>
      <c r="DM1027" s="59"/>
      <c r="DN1027" s="59"/>
      <c r="DO1027" s="59"/>
      <c r="DP1027" s="59"/>
      <c r="DQ1027" s="59"/>
      <c r="DR1027" s="59"/>
      <c r="DS1027" s="59"/>
      <c r="DT1027" s="59"/>
      <c r="DU1027" s="59"/>
      <c r="DV1027" s="59"/>
      <c r="DW1027" s="59"/>
      <c r="DX1027" s="59"/>
      <c r="DY1027" s="59"/>
      <c r="DZ1027" s="59"/>
      <c r="EA1027" s="59"/>
      <c r="EB1027" s="59"/>
      <c r="EC1027" s="59"/>
      <c r="ED1027" s="59"/>
      <c r="EE1027" s="59"/>
      <c r="EF1027" s="59"/>
      <c r="EG1027" s="59"/>
      <c r="EH1027" s="59"/>
      <c r="EI1027" s="59"/>
      <c r="EJ1027" s="59"/>
      <c r="EK1027" s="59"/>
      <c r="EL1027" s="59"/>
      <c r="EM1027" s="59"/>
      <c r="EN1027" s="59"/>
      <c r="EO1027" s="59"/>
      <c r="EP1027" s="59"/>
      <c r="EQ1027" s="59"/>
      <c r="ER1027" s="59"/>
      <c r="ES1027" s="59"/>
      <c r="ET1027" s="59"/>
      <c r="EU1027" s="59"/>
      <c r="EV1027" s="59"/>
      <c r="EW1027" s="59"/>
      <c r="EX1027" s="59"/>
      <c r="EY1027" s="59"/>
      <c r="EZ1027" s="59"/>
      <c r="FA1027" s="59"/>
      <c r="FB1027" s="59"/>
      <c r="FC1027" s="59"/>
      <c r="FD1027" s="59"/>
      <c r="FE1027" s="59"/>
      <c r="FF1027" s="59"/>
      <c r="FG1027" s="59"/>
      <c r="FH1027" s="59"/>
      <c r="FI1027" s="59"/>
      <c r="FJ1027" s="59"/>
      <c r="FK1027" s="59"/>
      <c r="FL1027" s="59"/>
      <c r="FM1027" s="59"/>
      <c r="FN1027" s="59"/>
      <c r="FO1027" s="59"/>
      <c r="FP1027" s="59"/>
      <c r="FQ1027" s="59"/>
      <c r="FR1027" s="59"/>
      <c r="FS1027" s="59"/>
      <c r="FT1027" s="59"/>
      <c r="FU1027" s="59"/>
      <c r="FV1027" s="59"/>
      <c r="FW1027" s="59"/>
      <c r="FX1027" s="59"/>
      <c r="FY1027" s="59"/>
      <c r="FZ1027" s="59"/>
      <c r="GA1027" s="59"/>
      <c r="GB1027" s="59"/>
      <c r="GC1027" s="59"/>
    </row>
    <row r="1028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  <c r="BV1028" s="59"/>
      <c r="BW1028" s="59"/>
      <c r="BX1028" s="59"/>
      <c r="BY1028" s="59"/>
      <c r="BZ1028" s="59"/>
      <c r="CA1028" s="59"/>
      <c r="CB1028" s="59"/>
      <c r="CC1028" s="59"/>
      <c r="CD1028" s="59"/>
      <c r="CE1028" s="59"/>
      <c r="CF1028" s="59"/>
      <c r="CG1028" s="59"/>
      <c r="CH1028" s="59"/>
      <c r="CI1028" s="59"/>
      <c r="CJ1028" s="59"/>
      <c r="CK1028" s="59"/>
      <c r="CL1028" s="59"/>
      <c r="CM1028" s="59"/>
      <c r="CN1028" s="59"/>
      <c r="CO1028" s="59"/>
      <c r="CP1028" s="59"/>
      <c r="CQ1028" s="59"/>
      <c r="CR1028" s="59"/>
      <c r="CS1028" s="59"/>
      <c r="CT1028" s="59"/>
      <c r="CU1028" s="59"/>
      <c r="CV1028" s="59"/>
      <c r="CW1028" s="59"/>
      <c r="CX1028" s="59"/>
      <c r="CY1028" s="59"/>
      <c r="CZ1028" s="59"/>
      <c r="DA1028" s="59"/>
      <c r="DB1028" s="59"/>
      <c r="DC1028" s="59"/>
      <c r="DD1028" s="59"/>
      <c r="DE1028" s="59"/>
      <c r="DF1028" s="59"/>
      <c r="DG1028" s="59"/>
      <c r="DH1028" s="59"/>
      <c r="DI1028" s="59"/>
      <c r="DJ1028" s="59"/>
      <c r="DK1028" s="59"/>
      <c r="DL1028" s="59"/>
      <c r="DM1028" s="59"/>
      <c r="DN1028" s="59"/>
      <c r="DO1028" s="59"/>
      <c r="DP1028" s="59"/>
      <c r="DQ1028" s="59"/>
      <c r="DR1028" s="59"/>
      <c r="DS1028" s="59"/>
      <c r="DT1028" s="59"/>
      <c r="DU1028" s="59"/>
      <c r="DV1028" s="59"/>
      <c r="DW1028" s="59"/>
      <c r="DX1028" s="59"/>
      <c r="DY1028" s="59"/>
      <c r="DZ1028" s="59"/>
      <c r="EA1028" s="59"/>
      <c r="EB1028" s="59"/>
      <c r="EC1028" s="59"/>
      <c r="ED1028" s="59"/>
      <c r="EE1028" s="59"/>
      <c r="EF1028" s="59"/>
      <c r="EG1028" s="59"/>
      <c r="EH1028" s="59"/>
      <c r="EI1028" s="59"/>
      <c r="EJ1028" s="59"/>
      <c r="EK1028" s="59"/>
      <c r="EL1028" s="59"/>
      <c r="EM1028" s="59"/>
      <c r="EN1028" s="59"/>
      <c r="EO1028" s="59"/>
      <c r="EP1028" s="59"/>
      <c r="EQ1028" s="59"/>
      <c r="ER1028" s="59"/>
      <c r="ES1028" s="59"/>
      <c r="ET1028" s="59"/>
      <c r="EU1028" s="59"/>
      <c r="EV1028" s="59"/>
      <c r="EW1028" s="59"/>
      <c r="EX1028" s="59"/>
      <c r="EY1028" s="59"/>
      <c r="EZ1028" s="59"/>
      <c r="FA1028" s="59"/>
      <c r="FB1028" s="59"/>
      <c r="FC1028" s="59"/>
      <c r="FD1028" s="59"/>
      <c r="FE1028" s="59"/>
      <c r="FF1028" s="59"/>
      <c r="FG1028" s="59"/>
      <c r="FH1028" s="59"/>
      <c r="FI1028" s="59"/>
      <c r="FJ1028" s="59"/>
      <c r="FK1028" s="59"/>
      <c r="FL1028" s="59"/>
      <c r="FM1028" s="59"/>
      <c r="FN1028" s="59"/>
      <c r="FO1028" s="59"/>
      <c r="FP1028" s="59"/>
      <c r="FQ1028" s="59"/>
      <c r="FR1028" s="59"/>
      <c r="FS1028" s="59"/>
      <c r="FT1028" s="59"/>
      <c r="FU1028" s="59"/>
      <c r="FV1028" s="59"/>
      <c r="FW1028" s="59"/>
      <c r="FX1028" s="59"/>
      <c r="FY1028" s="59"/>
      <c r="FZ1028" s="59"/>
      <c r="GA1028" s="59"/>
      <c r="GB1028" s="59"/>
      <c r="GC1028" s="59"/>
    </row>
    <row r="1029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  <c r="BV1029" s="59"/>
      <c r="BW1029" s="59"/>
      <c r="BX1029" s="59"/>
      <c r="BY1029" s="59"/>
      <c r="BZ1029" s="59"/>
      <c r="CA1029" s="59"/>
      <c r="CB1029" s="59"/>
      <c r="CC1029" s="59"/>
      <c r="CD1029" s="59"/>
      <c r="CE1029" s="59"/>
      <c r="CF1029" s="59"/>
      <c r="CG1029" s="59"/>
      <c r="CH1029" s="59"/>
      <c r="CI1029" s="59"/>
      <c r="CJ1029" s="59"/>
      <c r="CK1029" s="59"/>
      <c r="CL1029" s="59"/>
      <c r="CM1029" s="59"/>
      <c r="CN1029" s="59"/>
      <c r="CO1029" s="59"/>
      <c r="CP1029" s="59"/>
      <c r="CQ1029" s="59"/>
      <c r="CR1029" s="59"/>
      <c r="CS1029" s="59"/>
      <c r="CT1029" s="59"/>
      <c r="CU1029" s="59"/>
      <c r="CV1029" s="59"/>
      <c r="CW1029" s="59"/>
      <c r="CX1029" s="59"/>
      <c r="CY1029" s="59"/>
      <c r="CZ1029" s="59"/>
      <c r="DA1029" s="59"/>
      <c r="DB1029" s="59"/>
      <c r="DC1029" s="59"/>
      <c r="DD1029" s="59"/>
      <c r="DE1029" s="59"/>
      <c r="DF1029" s="59"/>
      <c r="DG1029" s="59"/>
      <c r="DH1029" s="59"/>
      <c r="DI1029" s="59"/>
      <c r="DJ1029" s="59"/>
      <c r="DK1029" s="59"/>
      <c r="DL1029" s="59"/>
      <c r="DM1029" s="59"/>
      <c r="DN1029" s="59"/>
      <c r="DO1029" s="59"/>
      <c r="DP1029" s="59"/>
      <c r="DQ1029" s="59"/>
      <c r="DR1029" s="59"/>
      <c r="DS1029" s="59"/>
      <c r="DT1029" s="59"/>
      <c r="DU1029" s="59"/>
      <c r="DV1029" s="59"/>
      <c r="DW1029" s="59"/>
      <c r="DX1029" s="59"/>
      <c r="DY1029" s="59"/>
      <c r="DZ1029" s="59"/>
      <c r="EA1029" s="59"/>
      <c r="EB1029" s="59"/>
      <c r="EC1029" s="59"/>
      <c r="ED1029" s="59"/>
      <c r="EE1029" s="59"/>
      <c r="EF1029" s="59"/>
      <c r="EG1029" s="59"/>
      <c r="EH1029" s="59"/>
      <c r="EI1029" s="59"/>
      <c r="EJ1029" s="59"/>
      <c r="EK1029" s="59"/>
      <c r="EL1029" s="59"/>
      <c r="EM1029" s="59"/>
      <c r="EN1029" s="59"/>
      <c r="EO1029" s="59"/>
      <c r="EP1029" s="59"/>
      <c r="EQ1029" s="59"/>
      <c r="ER1029" s="59"/>
      <c r="ES1029" s="59"/>
      <c r="ET1029" s="59"/>
      <c r="EU1029" s="59"/>
      <c r="EV1029" s="59"/>
      <c r="EW1029" s="59"/>
      <c r="EX1029" s="59"/>
      <c r="EY1029" s="59"/>
      <c r="EZ1029" s="59"/>
      <c r="FA1029" s="59"/>
      <c r="FB1029" s="59"/>
      <c r="FC1029" s="59"/>
      <c r="FD1029" s="59"/>
      <c r="FE1029" s="59"/>
      <c r="FF1029" s="59"/>
      <c r="FG1029" s="59"/>
      <c r="FH1029" s="59"/>
      <c r="FI1029" s="59"/>
      <c r="FJ1029" s="59"/>
      <c r="FK1029" s="59"/>
      <c r="FL1029" s="59"/>
      <c r="FM1029" s="59"/>
      <c r="FN1029" s="59"/>
      <c r="FO1029" s="59"/>
      <c r="FP1029" s="59"/>
      <c r="FQ1029" s="59"/>
      <c r="FR1029" s="59"/>
      <c r="FS1029" s="59"/>
      <c r="FT1029" s="59"/>
      <c r="FU1029" s="59"/>
      <c r="FV1029" s="59"/>
      <c r="FW1029" s="59"/>
      <c r="FX1029" s="59"/>
      <c r="FY1029" s="59"/>
      <c r="FZ1029" s="59"/>
      <c r="GA1029" s="59"/>
      <c r="GB1029" s="59"/>
      <c r="GC1029" s="59"/>
    </row>
    <row r="1030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  <c r="BV1030" s="59"/>
      <c r="BW1030" s="59"/>
      <c r="BX1030" s="59"/>
      <c r="BY1030" s="59"/>
      <c r="BZ1030" s="59"/>
      <c r="CA1030" s="59"/>
      <c r="CB1030" s="59"/>
      <c r="CC1030" s="59"/>
      <c r="CD1030" s="59"/>
      <c r="CE1030" s="59"/>
      <c r="CF1030" s="59"/>
      <c r="CG1030" s="59"/>
      <c r="CH1030" s="59"/>
      <c r="CI1030" s="59"/>
      <c r="CJ1030" s="59"/>
      <c r="CK1030" s="59"/>
      <c r="CL1030" s="59"/>
      <c r="CM1030" s="59"/>
      <c r="CN1030" s="59"/>
      <c r="CO1030" s="59"/>
      <c r="CP1030" s="59"/>
      <c r="CQ1030" s="59"/>
      <c r="CR1030" s="59"/>
      <c r="CS1030" s="59"/>
      <c r="CT1030" s="59"/>
      <c r="CU1030" s="59"/>
      <c r="CV1030" s="59"/>
      <c r="CW1030" s="59"/>
      <c r="CX1030" s="59"/>
      <c r="CY1030" s="59"/>
      <c r="CZ1030" s="59"/>
      <c r="DA1030" s="59"/>
      <c r="DB1030" s="59"/>
      <c r="DC1030" s="59"/>
      <c r="DD1030" s="59"/>
      <c r="DE1030" s="59"/>
      <c r="DF1030" s="59"/>
      <c r="DG1030" s="59"/>
      <c r="DH1030" s="59"/>
      <c r="DI1030" s="59"/>
      <c r="DJ1030" s="59"/>
      <c r="DK1030" s="59"/>
      <c r="DL1030" s="59"/>
      <c r="DM1030" s="59"/>
      <c r="DN1030" s="59"/>
      <c r="DO1030" s="59"/>
      <c r="DP1030" s="59"/>
      <c r="DQ1030" s="59"/>
      <c r="DR1030" s="59"/>
      <c r="DS1030" s="59"/>
      <c r="DT1030" s="59"/>
      <c r="DU1030" s="59"/>
      <c r="DV1030" s="59"/>
      <c r="DW1030" s="59"/>
      <c r="DX1030" s="59"/>
      <c r="DY1030" s="59"/>
      <c r="DZ1030" s="59"/>
      <c r="EA1030" s="59"/>
      <c r="EB1030" s="59"/>
      <c r="EC1030" s="59"/>
      <c r="ED1030" s="59"/>
      <c r="EE1030" s="59"/>
      <c r="EF1030" s="59"/>
      <c r="EG1030" s="59"/>
      <c r="EH1030" s="59"/>
      <c r="EI1030" s="59"/>
      <c r="EJ1030" s="59"/>
      <c r="EK1030" s="59"/>
      <c r="EL1030" s="59"/>
      <c r="EM1030" s="59"/>
      <c r="EN1030" s="59"/>
      <c r="EO1030" s="59"/>
      <c r="EP1030" s="59"/>
      <c r="EQ1030" s="59"/>
      <c r="ER1030" s="59"/>
      <c r="ES1030" s="59"/>
      <c r="ET1030" s="59"/>
      <c r="EU1030" s="59"/>
      <c r="EV1030" s="59"/>
      <c r="EW1030" s="59"/>
      <c r="EX1030" s="59"/>
      <c r="EY1030" s="59"/>
      <c r="EZ1030" s="59"/>
      <c r="FA1030" s="59"/>
      <c r="FB1030" s="59"/>
      <c r="FC1030" s="59"/>
      <c r="FD1030" s="59"/>
      <c r="FE1030" s="59"/>
      <c r="FF1030" s="59"/>
      <c r="FG1030" s="59"/>
      <c r="FH1030" s="59"/>
      <c r="FI1030" s="59"/>
      <c r="FJ1030" s="59"/>
      <c r="FK1030" s="59"/>
      <c r="FL1030" s="59"/>
      <c r="FM1030" s="59"/>
      <c r="FN1030" s="59"/>
      <c r="FO1030" s="59"/>
      <c r="FP1030" s="59"/>
      <c r="FQ1030" s="59"/>
      <c r="FR1030" s="59"/>
      <c r="FS1030" s="59"/>
      <c r="FT1030" s="59"/>
      <c r="FU1030" s="59"/>
      <c r="FV1030" s="59"/>
      <c r="FW1030" s="59"/>
      <c r="FX1030" s="59"/>
      <c r="FY1030" s="59"/>
      <c r="FZ1030" s="59"/>
      <c r="GA1030" s="59"/>
      <c r="GB1030" s="59"/>
      <c r="GC1030" s="59"/>
    </row>
    <row r="1031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  <c r="BV1031" s="59"/>
      <c r="BW1031" s="59"/>
      <c r="BX1031" s="59"/>
      <c r="BY1031" s="59"/>
      <c r="BZ1031" s="59"/>
      <c r="CA1031" s="59"/>
      <c r="CB1031" s="59"/>
      <c r="CC1031" s="59"/>
      <c r="CD1031" s="59"/>
      <c r="CE1031" s="59"/>
      <c r="CF1031" s="59"/>
      <c r="CG1031" s="59"/>
      <c r="CH1031" s="59"/>
      <c r="CI1031" s="59"/>
      <c r="CJ1031" s="59"/>
      <c r="CK1031" s="59"/>
      <c r="CL1031" s="59"/>
      <c r="CM1031" s="59"/>
      <c r="CN1031" s="59"/>
      <c r="CO1031" s="59"/>
      <c r="CP1031" s="59"/>
      <c r="CQ1031" s="59"/>
      <c r="CR1031" s="59"/>
      <c r="CS1031" s="59"/>
      <c r="CT1031" s="59"/>
      <c r="CU1031" s="59"/>
      <c r="CV1031" s="59"/>
      <c r="CW1031" s="59"/>
      <c r="CX1031" s="59"/>
      <c r="CY1031" s="59"/>
      <c r="CZ1031" s="59"/>
      <c r="DA1031" s="59"/>
      <c r="DB1031" s="59"/>
      <c r="DC1031" s="59"/>
      <c r="DD1031" s="59"/>
      <c r="DE1031" s="59"/>
      <c r="DF1031" s="59"/>
      <c r="DG1031" s="59"/>
      <c r="DH1031" s="59"/>
      <c r="DI1031" s="59"/>
      <c r="DJ1031" s="59"/>
      <c r="DK1031" s="59"/>
      <c r="DL1031" s="59"/>
      <c r="DM1031" s="59"/>
      <c r="DN1031" s="59"/>
      <c r="DO1031" s="59"/>
      <c r="DP1031" s="59"/>
      <c r="DQ1031" s="59"/>
      <c r="DR1031" s="59"/>
      <c r="DS1031" s="59"/>
      <c r="DT1031" s="59"/>
      <c r="DU1031" s="59"/>
      <c r="DV1031" s="59"/>
      <c r="DW1031" s="59"/>
      <c r="DX1031" s="59"/>
      <c r="DY1031" s="59"/>
      <c r="DZ1031" s="59"/>
      <c r="EA1031" s="59"/>
      <c r="EB1031" s="59"/>
      <c r="EC1031" s="59"/>
      <c r="ED1031" s="59"/>
      <c r="EE1031" s="59"/>
      <c r="EF1031" s="59"/>
      <c r="EG1031" s="59"/>
      <c r="EH1031" s="59"/>
      <c r="EI1031" s="59"/>
      <c r="EJ1031" s="59"/>
      <c r="EK1031" s="59"/>
      <c r="EL1031" s="59"/>
      <c r="EM1031" s="59"/>
      <c r="EN1031" s="59"/>
      <c r="EO1031" s="59"/>
      <c r="EP1031" s="59"/>
      <c r="EQ1031" s="59"/>
      <c r="ER1031" s="59"/>
      <c r="ES1031" s="59"/>
      <c r="ET1031" s="59"/>
      <c r="EU1031" s="59"/>
      <c r="EV1031" s="59"/>
      <c r="EW1031" s="59"/>
      <c r="EX1031" s="59"/>
      <c r="EY1031" s="59"/>
      <c r="EZ1031" s="59"/>
      <c r="FA1031" s="59"/>
      <c r="FB1031" s="59"/>
      <c r="FC1031" s="59"/>
      <c r="FD1031" s="59"/>
      <c r="FE1031" s="59"/>
      <c r="FF1031" s="59"/>
      <c r="FG1031" s="59"/>
      <c r="FH1031" s="59"/>
      <c r="FI1031" s="59"/>
      <c r="FJ1031" s="59"/>
      <c r="FK1031" s="59"/>
      <c r="FL1031" s="59"/>
      <c r="FM1031" s="59"/>
      <c r="FN1031" s="59"/>
      <c r="FO1031" s="59"/>
      <c r="FP1031" s="59"/>
      <c r="FQ1031" s="59"/>
      <c r="FR1031" s="59"/>
      <c r="FS1031" s="59"/>
      <c r="FT1031" s="59"/>
      <c r="FU1031" s="59"/>
      <c r="FV1031" s="59"/>
      <c r="FW1031" s="59"/>
      <c r="FX1031" s="59"/>
      <c r="FY1031" s="59"/>
      <c r="FZ1031" s="59"/>
      <c r="GA1031" s="59"/>
      <c r="GB1031" s="59"/>
      <c r="GC1031" s="59"/>
    </row>
    <row r="1032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  <c r="BV1032" s="59"/>
      <c r="BW1032" s="59"/>
      <c r="BX1032" s="59"/>
      <c r="BY1032" s="59"/>
      <c r="BZ1032" s="59"/>
      <c r="CA1032" s="59"/>
      <c r="CB1032" s="59"/>
      <c r="CC1032" s="59"/>
      <c r="CD1032" s="59"/>
      <c r="CE1032" s="59"/>
      <c r="CF1032" s="59"/>
      <c r="CG1032" s="59"/>
      <c r="CH1032" s="59"/>
      <c r="CI1032" s="59"/>
      <c r="CJ1032" s="59"/>
      <c r="CK1032" s="59"/>
      <c r="CL1032" s="59"/>
      <c r="CM1032" s="59"/>
      <c r="CN1032" s="59"/>
      <c r="CO1032" s="59"/>
      <c r="CP1032" s="59"/>
      <c r="CQ1032" s="59"/>
      <c r="CR1032" s="59"/>
      <c r="CS1032" s="59"/>
      <c r="CT1032" s="59"/>
      <c r="CU1032" s="59"/>
      <c r="CV1032" s="59"/>
      <c r="CW1032" s="59"/>
      <c r="CX1032" s="59"/>
      <c r="CY1032" s="59"/>
      <c r="CZ1032" s="59"/>
      <c r="DA1032" s="59"/>
      <c r="DB1032" s="59"/>
      <c r="DC1032" s="59"/>
      <c r="DD1032" s="59"/>
      <c r="DE1032" s="59"/>
      <c r="DF1032" s="59"/>
      <c r="DG1032" s="59"/>
      <c r="DH1032" s="59"/>
      <c r="DI1032" s="59"/>
      <c r="DJ1032" s="59"/>
      <c r="DK1032" s="59"/>
      <c r="DL1032" s="59"/>
      <c r="DM1032" s="59"/>
      <c r="DN1032" s="59"/>
      <c r="DO1032" s="59"/>
      <c r="DP1032" s="59"/>
      <c r="DQ1032" s="59"/>
      <c r="DR1032" s="59"/>
      <c r="DS1032" s="59"/>
      <c r="DT1032" s="59"/>
      <c r="DU1032" s="59"/>
      <c r="DV1032" s="59"/>
      <c r="DW1032" s="59"/>
      <c r="DX1032" s="59"/>
      <c r="DY1032" s="59"/>
      <c r="DZ1032" s="59"/>
      <c r="EA1032" s="59"/>
      <c r="EB1032" s="59"/>
      <c r="EC1032" s="59"/>
      <c r="ED1032" s="59"/>
      <c r="EE1032" s="59"/>
      <c r="EF1032" s="59"/>
      <c r="EG1032" s="59"/>
      <c r="EH1032" s="59"/>
      <c r="EI1032" s="59"/>
      <c r="EJ1032" s="59"/>
      <c r="EK1032" s="59"/>
      <c r="EL1032" s="59"/>
      <c r="EM1032" s="59"/>
      <c r="EN1032" s="59"/>
      <c r="EO1032" s="59"/>
      <c r="EP1032" s="59"/>
      <c r="EQ1032" s="59"/>
      <c r="ER1032" s="59"/>
      <c r="ES1032" s="59"/>
      <c r="ET1032" s="59"/>
      <c r="EU1032" s="59"/>
      <c r="EV1032" s="59"/>
      <c r="EW1032" s="59"/>
      <c r="EX1032" s="59"/>
      <c r="EY1032" s="59"/>
      <c r="EZ1032" s="59"/>
      <c r="FA1032" s="59"/>
      <c r="FB1032" s="59"/>
      <c r="FC1032" s="59"/>
      <c r="FD1032" s="59"/>
      <c r="FE1032" s="59"/>
      <c r="FF1032" s="59"/>
      <c r="FG1032" s="59"/>
      <c r="FH1032" s="59"/>
      <c r="FI1032" s="59"/>
      <c r="FJ1032" s="59"/>
      <c r="FK1032" s="59"/>
      <c r="FL1032" s="59"/>
      <c r="FM1032" s="59"/>
      <c r="FN1032" s="59"/>
      <c r="FO1032" s="59"/>
      <c r="FP1032" s="59"/>
      <c r="FQ1032" s="59"/>
      <c r="FR1032" s="59"/>
      <c r="FS1032" s="59"/>
      <c r="FT1032" s="59"/>
      <c r="FU1032" s="59"/>
      <c r="FV1032" s="59"/>
      <c r="FW1032" s="59"/>
      <c r="FX1032" s="59"/>
      <c r="FY1032" s="59"/>
      <c r="FZ1032" s="59"/>
      <c r="GA1032" s="59"/>
      <c r="GB1032" s="59"/>
      <c r="GC1032" s="59"/>
    </row>
    <row r="1033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  <c r="BV1033" s="59"/>
      <c r="BW1033" s="59"/>
      <c r="BX1033" s="59"/>
      <c r="BY1033" s="59"/>
      <c r="BZ1033" s="59"/>
      <c r="CA1033" s="59"/>
      <c r="CB1033" s="59"/>
      <c r="CC1033" s="59"/>
      <c r="CD1033" s="59"/>
      <c r="CE1033" s="59"/>
      <c r="CF1033" s="59"/>
      <c r="CG1033" s="59"/>
      <c r="CH1033" s="59"/>
      <c r="CI1033" s="59"/>
      <c r="CJ1033" s="59"/>
      <c r="CK1033" s="59"/>
      <c r="CL1033" s="59"/>
      <c r="CM1033" s="59"/>
      <c r="CN1033" s="59"/>
      <c r="CO1033" s="59"/>
      <c r="CP1033" s="59"/>
      <c r="CQ1033" s="59"/>
      <c r="CR1033" s="59"/>
      <c r="CS1033" s="59"/>
      <c r="CT1033" s="59"/>
      <c r="CU1033" s="59"/>
      <c r="CV1033" s="59"/>
      <c r="CW1033" s="59"/>
      <c r="CX1033" s="59"/>
      <c r="CY1033" s="59"/>
      <c r="CZ1033" s="59"/>
      <c r="DA1033" s="59"/>
      <c r="DB1033" s="59"/>
      <c r="DC1033" s="59"/>
      <c r="DD1033" s="59"/>
      <c r="DE1033" s="59"/>
      <c r="DF1033" s="59"/>
      <c r="DG1033" s="59"/>
      <c r="DH1033" s="59"/>
      <c r="DI1033" s="59"/>
      <c r="DJ1033" s="59"/>
      <c r="DK1033" s="59"/>
      <c r="DL1033" s="59"/>
      <c r="DM1033" s="59"/>
      <c r="DN1033" s="59"/>
      <c r="DO1033" s="59"/>
      <c r="DP1033" s="59"/>
      <c r="DQ1033" s="59"/>
      <c r="DR1033" s="59"/>
      <c r="DS1033" s="59"/>
      <c r="DT1033" s="59"/>
      <c r="DU1033" s="59"/>
      <c r="DV1033" s="59"/>
      <c r="DW1033" s="59"/>
      <c r="DX1033" s="59"/>
      <c r="DY1033" s="59"/>
      <c r="DZ1033" s="59"/>
      <c r="EA1033" s="59"/>
      <c r="EB1033" s="59"/>
      <c r="EC1033" s="59"/>
      <c r="ED1033" s="59"/>
      <c r="EE1033" s="59"/>
      <c r="EF1033" s="59"/>
      <c r="EG1033" s="59"/>
      <c r="EH1033" s="59"/>
      <c r="EI1033" s="59"/>
      <c r="EJ1033" s="59"/>
      <c r="EK1033" s="59"/>
      <c r="EL1033" s="59"/>
      <c r="EM1033" s="59"/>
      <c r="EN1033" s="59"/>
      <c r="EO1033" s="59"/>
      <c r="EP1033" s="59"/>
      <c r="EQ1033" s="59"/>
      <c r="ER1033" s="59"/>
      <c r="ES1033" s="59"/>
      <c r="ET1033" s="59"/>
      <c r="EU1033" s="59"/>
      <c r="EV1033" s="59"/>
      <c r="EW1033" s="59"/>
      <c r="EX1033" s="59"/>
      <c r="EY1033" s="59"/>
      <c r="EZ1033" s="59"/>
      <c r="FA1033" s="59"/>
      <c r="FB1033" s="59"/>
      <c r="FC1033" s="59"/>
      <c r="FD1033" s="59"/>
      <c r="FE1033" s="59"/>
      <c r="FF1033" s="59"/>
      <c r="FG1033" s="59"/>
      <c r="FH1033" s="59"/>
      <c r="FI1033" s="59"/>
      <c r="FJ1033" s="59"/>
      <c r="FK1033" s="59"/>
      <c r="FL1033" s="59"/>
      <c r="FM1033" s="59"/>
      <c r="FN1033" s="59"/>
      <c r="FO1033" s="59"/>
      <c r="FP1033" s="59"/>
      <c r="FQ1033" s="59"/>
      <c r="FR1033" s="59"/>
      <c r="FS1033" s="59"/>
      <c r="FT1033" s="59"/>
      <c r="FU1033" s="59"/>
      <c r="FV1033" s="59"/>
      <c r="FW1033" s="59"/>
      <c r="FX1033" s="59"/>
      <c r="FY1033" s="59"/>
      <c r="FZ1033" s="59"/>
      <c r="GA1033" s="59"/>
      <c r="GB1033" s="59"/>
      <c r="GC1033" s="59"/>
    </row>
    <row r="1034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  <c r="BV1034" s="59"/>
      <c r="BW1034" s="59"/>
      <c r="BX1034" s="59"/>
      <c r="BY1034" s="59"/>
      <c r="BZ1034" s="59"/>
      <c r="CA1034" s="59"/>
      <c r="CB1034" s="59"/>
      <c r="CC1034" s="59"/>
      <c r="CD1034" s="59"/>
      <c r="CE1034" s="59"/>
      <c r="CF1034" s="59"/>
      <c r="CG1034" s="59"/>
      <c r="CH1034" s="59"/>
      <c r="CI1034" s="59"/>
      <c r="CJ1034" s="59"/>
      <c r="CK1034" s="59"/>
      <c r="CL1034" s="59"/>
      <c r="CM1034" s="59"/>
      <c r="CN1034" s="59"/>
      <c r="CO1034" s="59"/>
      <c r="CP1034" s="59"/>
      <c r="CQ1034" s="59"/>
      <c r="CR1034" s="59"/>
      <c r="CS1034" s="59"/>
      <c r="CT1034" s="59"/>
      <c r="CU1034" s="59"/>
      <c r="CV1034" s="59"/>
      <c r="CW1034" s="59"/>
      <c r="CX1034" s="59"/>
      <c r="CY1034" s="59"/>
      <c r="CZ1034" s="59"/>
      <c r="DA1034" s="59"/>
      <c r="DB1034" s="59"/>
      <c r="DC1034" s="59"/>
      <c r="DD1034" s="59"/>
      <c r="DE1034" s="59"/>
      <c r="DF1034" s="59"/>
      <c r="DG1034" s="59"/>
      <c r="DH1034" s="59"/>
      <c r="DI1034" s="59"/>
      <c r="DJ1034" s="59"/>
      <c r="DK1034" s="59"/>
      <c r="DL1034" s="59"/>
      <c r="DM1034" s="59"/>
      <c r="DN1034" s="59"/>
      <c r="DO1034" s="59"/>
      <c r="DP1034" s="59"/>
      <c r="DQ1034" s="59"/>
      <c r="DR1034" s="59"/>
      <c r="DS1034" s="59"/>
      <c r="DT1034" s="59"/>
      <c r="DU1034" s="59"/>
      <c r="DV1034" s="59"/>
      <c r="DW1034" s="59"/>
      <c r="DX1034" s="59"/>
      <c r="DY1034" s="59"/>
      <c r="DZ1034" s="59"/>
      <c r="EA1034" s="59"/>
      <c r="EB1034" s="59"/>
      <c r="EC1034" s="59"/>
      <c r="ED1034" s="59"/>
      <c r="EE1034" s="59"/>
      <c r="EF1034" s="59"/>
      <c r="EG1034" s="59"/>
      <c r="EH1034" s="59"/>
      <c r="EI1034" s="59"/>
      <c r="EJ1034" s="59"/>
      <c r="EK1034" s="59"/>
      <c r="EL1034" s="59"/>
      <c r="EM1034" s="59"/>
      <c r="EN1034" s="59"/>
      <c r="EO1034" s="59"/>
      <c r="EP1034" s="59"/>
      <c r="EQ1034" s="59"/>
      <c r="ER1034" s="59"/>
      <c r="ES1034" s="59"/>
      <c r="ET1034" s="59"/>
      <c r="EU1034" s="59"/>
      <c r="EV1034" s="59"/>
      <c r="EW1034" s="59"/>
      <c r="EX1034" s="59"/>
      <c r="EY1034" s="59"/>
      <c r="EZ1034" s="59"/>
      <c r="FA1034" s="59"/>
      <c r="FB1034" s="59"/>
      <c r="FC1034" s="59"/>
      <c r="FD1034" s="59"/>
      <c r="FE1034" s="59"/>
      <c r="FF1034" s="59"/>
      <c r="FG1034" s="59"/>
      <c r="FH1034" s="59"/>
      <c r="FI1034" s="59"/>
      <c r="FJ1034" s="59"/>
      <c r="FK1034" s="59"/>
      <c r="FL1034" s="59"/>
      <c r="FM1034" s="59"/>
      <c r="FN1034" s="59"/>
      <c r="FO1034" s="59"/>
      <c r="FP1034" s="59"/>
      <c r="FQ1034" s="59"/>
      <c r="FR1034" s="59"/>
      <c r="FS1034" s="59"/>
      <c r="FT1034" s="59"/>
      <c r="FU1034" s="59"/>
      <c r="FV1034" s="59"/>
      <c r="FW1034" s="59"/>
      <c r="FX1034" s="59"/>
      <c r="FY1034" s="59"/>
      <c r="FZ1034" s="59"/>
      <c r="GA1034" s="59"/>
      <c r="GB1034" s="59"/>
      <c r="GC1034" s="59"/>
    </row>
    <row r="103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  <c r="BV1035" s="59"/>
      <c r="BW1035" s="59"/>
      <c r="BX1035" s="59"/>
      <c r="BY1035" s="59"/>
      <c r="BZ1035" s="59"/>
      <c r="CA1035" s="59"/>
      <c r="CB1035" s="59"/>
      <c r="CC1035" s="59"/>
      <c r="CD1035" s="59"/>
      <c r="CE1035" s="59"/>
      <c r="CF1035" s="59"/>
      <c r="CG1035" s="59"/>
      <c r="CH1035" s="59"/>
      <c r="CI1035" s="59"/>
      <c r="CJ1035" s="59"/>
      <c r="CK1035" s="59"/>
      <c r="CL1035" s="59"/>
      <c r="CM1035" s="59"/>
      <c r="CN1035" s="59"/>
      <c r="CO1035" s="59"/>
      <c r="CP1035" s="59"/>
      <c r="CQ1035" s="59"/>
      <c r="CR1035" s="59"/>
      <c r="CS1035" s="59"/>
      <c r="CT1035" s="59"/>
      <c r="CU1035" s="59"/>
      <c r="CV1035" s="59"/>
      <c r="CW1035" s="59"/>
      <c r="CX1035" s="59"/>
      <c r="CY1035" s="59"/>
      <c r="CZ1035" s="59"/>
      <c r="DA1035" s="59"/>
      <c r="DB1035" s="59"/>
      <c r="DC1035" s="59"/>
      <c r="DD1035" s="59"/>
      <c r="DE1035" s="59"/>
      <c r="DF1035" s="59"/>
      <c r="DG1035" s="59"/>
      <c r="DH1035" s="59"/>
      <c r="DI1035" s="59"/>
      <c r="DJ1035" s="59"/>
      <c r="DK1035" s="59"/>
      <c r="DL1035" s="59"/>
      <c r="DM1035" s="59"/>
      <c r="DN1035" s="59"/>
      <c r="DO1035" s="59"/>
      <c r="DP1035" s="59"/>
      <c r="DQ1035" s="59"/>
      <c r="DR1035" s="59"/>
      <c r="DS1035" s="59"/>
      <c r="DT1035" s="59"/>
      <c r="DU1035" s="59"/>
      <c r="DV1035" s="59"/>
      <c r="DW1035" s="59"/>
      <c r="DX1035" s="59"/>
      <c r="DY1035" s="59"/>
      <c r="DZ1035" s="59"/>
      <c r="EA1035" s="59"/>
      <c r="EB1035" s="59"/>
      <c r="EC1035" s="59"/>
      <c r="ED1035" s="59"/>
      <c r="EE1035" s="59"/>
      <c r="EF1035" s="59"/>
      <c r="EG1035" s="59"/>
      <c r="EH1035" s="59"/>
      <c r="EI1035" s="59"/>
      <c r="EJ1035" s="59"/>
      <c r="EK1035" s="59"/>
      <c r="EL1035" s="59"/>
      <c r="EM1035" s="59"/>
      <c r="EN1035" s="59"/>
      <c r="EO1035" s="59"/>
      <c r="EP1035" s="59"/>
      <c r="EQ1035" s="59"/>
      <c r="ER1035" s="59"/>
      <c r="ES1035" s="59"/>
      <c r="ET1035" s="59"/>
      <c r="EU1035" s="59"/>
      <c r="EV1035" s="59"/>
      <c r="EW1035" s="59"/>
      <c r="EX1035" s="59"/>
      <c r="EY1035" s="59"/>
      <c r="EZ1035" s="59"/>
      <c r="FA1035" s="59"/>
      <c r="FB1035" s="59"/>
      <c r="FC1035" s="59"/>
      <c r="FD1035" s="59"/>
      <c r="FE1035" s="59"/>
      <c r="FF1035" s="59"/>
      <c r="FG1035" s="59"/>
      <c r="FH1035" s="59"/>
      <c r="FI1035" s="59"/>
      <c r="FJ1035" s="59"/>
      <c r="FK1035" s="59"/>
      <c r="FL1035" s="59"/>
      <c r="FM1035" s="59"/>
      <c r="FN1035" s="59"/>
      <c r="FO1035" s="59"/>
      <c r="FP1035" s="59"/>
      <c r="FQ1035" s="59"/>
      <c r="FR1035" s="59"/>
      <c r="FS1035" s="59"/>
      <c r="FT1035" s="59"/>
      <c r="FU1035" s="59"/>
      <c r="FV1035" s="59"/>
      <c r="FW1035" s="59"/>
      <c r="FX1035" s="59"/>
      <c r="FY1035" s="59"/>
      <c r="FZ1035" s="59"/>
      <c r="GA1035" s="59"/>
      <c r="GB1035" s="59"/>
      <c r="GC1035" s="59"/>
    </row>
    <row r="1036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  <c r="BV1036" s="59"/>
      <c r="BW1036" s="59"/>
      <c r="BX1036" s="59"/>
      <c r="BY1036" s="59"/>
      <c r="BZ1036" s="59"/>
      <c r="CA1036" s="59"/>
      <c r="CB1036" s="59"/>
      <c r="CC1036" s="59"/>
      <c r="CD1036" s="59"/>
      <c r="CE1036" s="59"/>
      <c r="CF1036" s="59"/>
      <c r="CG1036" s="59"/>
      <c r="CH1036" s="59"/>
      <c r="CI1036" s="59"/>
      <c r="CJ1036" s="59"/>
      <c r="CK1036" s="59"/>
      <c r="CL1036" s="59"/>
      <c r="CM1036" s="59"/>
      <c r="CN1036" s="59"/>
      <c r="CO1036" s="59"/>
      <c r="CP1036" s="59"/>
      <c r="CQ1036" s="59"/>
      <c r="CR1036" s="59"/>
      <c r="CS1036" s="59"/>
      <c r="CT1036" s="59"/>
      <c r="CU1036" s="59"/>
      <c r="CV1036" s="59"/>
      <c r="CW1036" s="59"/>
      <c r="CX1036" s="59"/>
      <c r="CY1036" s="59"/>
      <c r="CZ1036" s="59"/>
      <c r="DA1036" s="59"/>
      <c r="DB1036" s="59"/>
      <c r="DC1036" s="59"/>
      <c r="DD1036" s="59"/>
      <c r="DE1036" s="59"/>
      <c r="DF1036" s="59"/>
      <c r="DG1036" s="59"/>
      <c r="DH1036" s="59"/>
      <c r="DI1036" s="59"/>
      <c r="DJ1036" s="59"/>
      <c r="DK1036" s="59"/>
      <c r="DL1036" s="59"/>
      <c r="DM1036" s="59"/>
      <c r="DN1036" s="59"/>
      <c r="DO1036" s="59"/>
      <c r="DP1036" s="59"/>
      <c r="DQ1036" s="59"/>
      <c r="DR1036" s="59"/>
      <c r="DS1036" s="59"/>
      <c r="DT1036" s="59"/>
      <c r="DU1036" s="59"/>
      <c r="DV1036" s="59"/>
      <c r="DW1036" s="59"/>
      <c r="DX1036" s="59"/>
      <c r="DY1036" s="59"/>
      <c r="DZ1036" s="59"/>
      <c r="EA1036" s="59"/>
      <c r="EB1036" s="59"/>
      <c r="EC1036" s="59"/>
      <c r="ED1036" s="59"/>
      <c r="EE1036" s="59"/>
      <c r="EF1036" s="59"/>
      <c r="EG1036" s="59"/>
      <c r="EH1036" s="59"/>
      <c r="EI1036" s="59"/>
      <c r="EJ1036" s="59"/>
      <c r="EK1036" s="59"/>
      <c r="EL1036" s="59"/>
      <c r="EM1036" s="59"/>
      <c r="EN1036" s="59"/>
      <c r="EO1036" s="59"/>
      <c r="EP1036" s="59"/>
      <c r="EQ1036" s="59"/>
      <c r="ER1036" s="59"/>
      <c r="ES1036" s="59"/>
      <c r="ET1036" s="59"/>
      <c r="EU1036" s="59"/>
      <c r="EV1036" s="59"/>
      <c r="EW1036" s="59"/>
      <c r="EX1036" s="59"/>
      <c r="EY1036" s="59"/>
      <c r="EZ1036" s="59"/>
      <c r="FA1036" s="59"/>
      <c r="FB1036" s="59"/>
      <c r="FC1036" s="59"/>
      <c r="FD1036" s="59"/>
      <c r="FE1036" s="59"/>
      <c r="FF1036" s="59"/>
      <c r="FG1036" s="59"/>
      <c r="FH1036" s="59"/>
      <c r="FI1036" s="59"/>
      <c r="FJ1036" s="59"/>
      <c r="FK1036" s="59"/>
      <c r="FL1036" s="59"/>
      <c r="FM1036" s="59"/>
      <c r="FN1036" s="59"/>
      <c r="FO1036" s="59"/>
      <c r="FP1036" s="59"/>
      <c r="FQ1036" s="59"/>
      <c r="FR1036" s="59"/>
      <c r="FS1036" s="59"/>
      <c r="FT1036" s="59"/>
      <c r="FU1036" s="59"/>
      <c r="FV1036" s="59"/>
      <c r="FW1036" s="59"/>
      <c r="FX1036" s="59"/>
      <c r="FY1036" s="59"/>
      <c r="FZ1036" s="59"/>
      <c r="GA1036" s="59"/>
      <c r="GB1036" s="59"/>
      <c r="GC1036" s="59"/>
    </row>
    <row r="1037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  <c r="BV1037" s="59"/>
      <c r="BW1037" s="59"/>
      <c r="BX1037" s="59"/>
      <c r="BY1037" s="59"/>
      <c r="BZ1037" s="59"/>
      <c r="CA1037" s="59"/>
      <c r="CB1037" s="59"/>
      <c r="CC1037" s="59"/>
      <c r="CD1037" s="59"/>
      <c r="CE1037" s="59"/>
      <c r="CF1037" s="59"/>
      <c r="CG1037" s="59"/>
      <c r="CH1037" s="59"/>
      <c r="CI1037" s="59"/>
      <c r="CJ1037" s="59"/>
      <c r="CK1037" s="59"/>
      <c r="CL1037" s="59"/>
      <c r="CM1037" s="59"/>
      <c r="CN1037" s="59"/>
      <c r="CO1037" s="59"/>
      <c r="CP1037" s="59"/>
      <c r="CQ1037" s="59"/>
      <c r="CR1037" s="59"/>
      <c r="CS1037" s="59"/>
      <c r="CT1037" s="59"/>
      <c r="CU1037" s="59"/>
      <c r="CV1037" s="59"/>
      <c r="CW1037" s="59"/>
      <c r="CX1037" s="59"/>
      <c r="CY1037" s="59"/>
      <c r="CZ1037" s="59"/>
      <c r="DA1037" s="59"/>
      <c r="DB1037" s="59"/>
      <c r="DC1037" s="59"/>
      <c r="DD1037" s="59"/>
      <c r="DE1037" s="59"/>
      <c r="DF1037" s="59"/>
      <c r="DG1037" s="59"/>
      <c r="DH1037" s="59"/>
      <c r="DI1037" s="59"/>
      <c r="DJ1037" s="59"/>
      <c r="DK1037" s="59"/>
      <c r="DL1037" s="59"/>
      <c r="DM1037" s="59"/>
      <c r="DN1037" s="59"/>
      <c r="DO1037" s="59"/>
      <c r="DP1037" s="59"/>
      <c r="DQ1037" s="59"/>
      <c r="DR1037" s="59"/>
      <c r="DS1037" s="59"/>
      <c r="DT1037" s="59"/>
      <c r="DU1037" s="59"/>
      <c r="DV1037" s="59"/>
      <c r="DW1037" s="59"/>
      <c r="DX1037" s="59"/>
      <c r="DY1037" s="59"/>
      <c r="DZ1037" s="59"/>
      <c r="EA1037" s="59"/>
      <c r="EB1037" s="59"/>
      <c r="EC1037" s="59"/>
      <c r="ED1037" s="59"/>
      <c r="EE1037" s="59"/>
      <c r="EF1037" s="59"/>
      <c r="EG1037" s="59"/>
      <c r="EH1037" s="59"/>
      <c r="EI1037" s="59"/>
      <c r="EJ1037" s="59"/>
      <c r="EK1037" s="59"/>
      <c r="EL1037" s="59"/>
      <c r="EM1037" s="59"/>
      <c r="EN1037" s="59"/>
      <c r="EO1037" s="59"/>
      <c r="EP1037" s="59"/>
      <c r="EQ1037" s="59"/>
      <c r="ER1037" s="59"/>
      <c r="ES1037" s="59"/>
      <c r="ET1037" s="59"/>
      <c r="EU1037" s="59"/>
      <c r="EV1037" s="59"/>
      <c r="EW1037" s="59"/>
      <c r="EX1037" s="59"/>
      <c r="EY1037" s="59"/>
      <c r="EZ1037" s="59"/>
      <c r="FA1037" s="59"/>
      <c r="FB1037" s="59"/>
      <c r="FC1037" s="59"/>
      <c r="FD1037" s="59"/>
      <c r="FE1037" s="59"/>
      <c r="FF1037" s="59"/>
      <c r="FG1037" s="59"/>
      <c r="FH1037" s="59"/>
      <c r="FI1037" s="59"/>
      <c r="FJ1037" s="59"/>
      <c r="FK1037" s="59"/>
      <c r="FL1037" s="59"/>
      <c r="FM1037" s="59"/>
      <c r="FN1037" s="59"/>
      <c r="FO1037" s="59"/>
      <c r="FP1037" s="59"/>
      <c r="FQ1037" s="59"/>
      <c r="FR1037" s="59"/>
      <c r="FS1037" s="59"/>
      <c r="FT1037" s="59"/>
      <c r="FU1037" s="59"/>
      <c r="FV1037" s="59"/>
      <c r="FW1037" s="59"/>
      <c r="FX1037" s="59"/>
      <c r="FY1037" s="59"/>
      <c r="FZ1037" s="59"/>
      <c r="GA1037" s="59"/>
      <c r="GB1037" s="59"/>
      <c r="GC1037" s="59"/>
    </row>
    <row r="1038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  <c r="BV1038" s="59"/>
      <c r="BW1038" s="59"/>
      <c r="BX1038" s="59"/>
      <c r="BY1038" s="59"/>
      <c r="BZ1038" s="59"/>
      <c r="CA1038" s="59"/>
      <c r="CB1038" s="59"/>
      <c r="CC1038" s="59"/>
      <c r="CD1038" s="59"/>
      <c r="CE1038" s="59"/>
      <c r="CF1038" s="59"/>
      <c r="CG1038" s="59"/>
      <c r="CH1038" s="59"/>
      <c r="CI1038" s="59"/>
      <c r="CJ1038" s="59"/>
      <c r="CK1038" s="59"/>
      <c r="CL1038" s="59"/>
      <c r="CM1038" s="59"/>
      <c r="CN1038" s="59"/>
      <c r="CO1038" s="59"/>
      <c r="CP1038" s="59"/>
      <c r="CQ1038" s="59"/>
      <c r="CR1038" s="59"/>
      <c r="CS1038" s="59"/>
      <c r="CT1038" s="59"/>
      <c r="CU1038" s="59"/>
      <c r="CV1038" s="59"/>
      <c r="CW1038" s="59"/>
      <c r="CX1038" s="59"/>
      <c r="CY1038" s="59"/>
      <c r="CZ1038" s="59"/>
      <c r="DA1038" s="59"/>
      <c r="DB1038" s="59"/>
      <c r="DC1038" s="59"/>
      <c r="DD1038" s="59"/>
      <c r="DE1038" s="59"/>
      <c r="DF1038" s="59"/>
      <c r="DG1038" s="59"/>
      <c r="DH1038" s="59"/>
      <c r="DI1038" s="59"/>
      <c r="DJ1038" s="59"/>
      <c r="DK1038" s="59"/>
      <c r="DL1038" s="59"/>
      <c r="DM1038" s="59"/>
      <c r="DN1038" s="59"/>
      <c r="DO1038" s="59"/>
      <c r="DP1038" s="59"/>
      <c r="DQ1038" s="59"/>
      <c r="DR1038" s="59"/>
      <c r="DS1038" s="59"/>
      <c r="DT1038" s="59"/>
      <c r="DU1038" s="59"/>
      <c r="DV1038" s="59"/>
      <c r="DW1038" s="59"/>
      <c r="DX1038" s="59"/>
      <c r="DY1038" s="59"/>
      <c r="DZ1038" s="59"/>
      <c r="EA1038" s="59"/>
      <c r="EB1038" s="59"/>
      <c r="EC1038" s="59"/>
      <c r="ED1038" s="59"/>
      <c r="EE1038" s="59"/>
      <c r="EF1038" s="59"/>
      <c r="EG1038" s="59"/>
      <c r="EH1038" s="59"/>
      <c r="EI1038" s="59"/>
      <c r="EJ1038" s="59"/>
      <c r="EK1038" s="59"/>
      <c r="EL1038" s="59"/>
      <c r="EM1038" s="59"/>
      <c r="EN1038" s="59"/>
      <c r="EO1038" s="59"/>
      <c r="EP1038" s="59"/>
      <c r="EQ1038" s="59"/>
      <c r="ER1038" s="59"/>
      <c r="ES1038" s="59"/>
      <c r="ET1038" s="59"/>
      <c r="EU1038" s="59"/>
      <c r="EV1038" s="59"/>
      <c r="EW1038" s="59"/>
      <c r="EX1038" s="59"/>
      <c r="EY1038" s="59"/>
      <c r="EZ1038" s="59"/>
      <c r="FA1038" s="59"/>
      <c r="FB1038" s="59"/>
      <c r="FC1038" s="59"/>
      <c r="FD1038" s="59"/>
      <c r="FE1038" s="59"/>
      <c r="FF1038" s="59"/>
      <c r="FG1038" s="59"/>
      <c r="FH1038" s="59"/>
      <c r="FI1038" s="59"/>
      <c r="FJ1038" s="59"/>
      <c r="FK1038" s="59"/>
      <c r="FL1038" s="59"/>
      <c r="FM1038" s="59"/>
      <c r="FN1038" s="59"/>
      <c r="FO1038" s="59"/>
      <c r="FP1038" s="59"/>
      <c r="FQ1038" s="59"/>
      <c r="FR1038" s="59"/>
      <c r="FS1038" s="59"/>
      <c r="FT1038" s="59"/>
      <c r="FU1038" s="59"/>
      <c r="FV1038" s="59"/>
      <c r="FW1038" s="59"/>
      <c r="FX1038" s="59"/>
      <c r="FY1038" s="59"/>
      <c r="FZ1038" s="59"/>
      <c r="GA1038" s="59"/>
      <c r="GB1038" s="59"/>
      <c r="GC1038" s="59"/>
    </row>
    <row r="1039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  <c r="BV1039" s="59"/>
      <c r="BW1039" s="59"/>
      <c r="BX1039" s="59"/>
      <c r="BY1039" s="59"/>
      <c r="BZ1039" s="59"/>
      <c r="CA1039" s="59"/>
      <c r="CB1039" s="59"/>
      <c r="CC1039" s="59"/>
      <c r="CD1039" s="59"/>
      <c r="CE1039" s="59"/>
      <c r="CF1039" s="59"/>
      <c r="CG1039" s="59"/>
      <c r="CH1039" s="59"/>
      <c r="CI1039" s="59"/>
      <c r="CJ1039" s="59"/>
      <c r="CK1039" s="59"/>
      <c r="CL1039" s="59"/>
      <c r="CM1039" s="59"/>
      <c r="CN1039" s="59"/>
      <c r="CO1039" s="59"/>
      <c r="CP1039" s="59"/>
      <c r="CQ1039" s="59"/>
      <c r="CR1039" s="59"/>
      <c r="CS1039" s="59"/>
      <c r="CT1039" s="59"/>
      <c r="CU1039" s="59"/>
      <c r="CV1039" s="59"/>
      <c r="CW1039" s="59"/>
      <c r="CX1039" s="59"/>
      <c r="CY1039" s="59"/>
      <c r="CZ1039" s="59"/>
      <c r="DA1039" s="59"/>
      <c r="DB1039" s="59"/>
      <c r="DC1039" s="59"/>
      <c r="DD1039" s="59"/>
      <c r="DE1039" s="59"/>
      <c r="DF1039" s="59"/>
      <c r="DG1039" s="59"/>
      <c r="DH1039" s="59"/>
      <c r="DI1039" s="59"/>
      <c r="DJ1039" s="59"/>
      <c r="DK1039" s="59"/>
      <c r="DL1039" s="59"/>
      <c r="DM1039" s="59"/>
      <c r="DN1039" s="59"/>
      <c r="DO1039" s="59"/>
      <c r="DP1039" s="59"/>
      <c r="DQ1039" s="59"/>
      <c r="DR1039" s="59"/>
      <c r="DS1039" s="59"/>
      <c r="DT1039" s="59"/>
      <c r="DU1039" s="59"/>
      <c r="DV1039" s="59"/>
      <c r="DW1039" s="59"/>
      <c r="DX1039" s="59"/>
      <c r="DY1039" s="59"/>
      <c r="DZ1039" s="59"/>
      <c r="EA1039" s="59"/>
      <c r="EB1039" s="59"/>
      <c r="EC1039" s="59"/>
      <c r="ED1039" s="59"/>
      <c r="EE1039" s="59"/>
      <c r="EF1039" s="59"/>
      <c r="EG1039" s="59"/>
      <c r="EH1039" s="59"/>
      <c r="EI1039" s="59"/>
      <c r="EJ1039" s="59"/>
      <c r="EK1039" s="59"/>
      <c r="EL1039" s="59"/>
      <c r="EM1039" s="59"/>
      <c r="EN1039" s="59"/>
      <c r="EO1039" s="59"/>
      <c r="EP1039" s="59"/>
      <c r="EQ1039" s="59"/>
      <c r="ER1039" s="59"/>
      <c r="ES1039" s="59"/>
      <c r="ET1039" s="59"/>
      <c r="EU1039" s="59"/>
      <c r="EV1039" s="59"/>
      <c r="EW1039" s="59"/>
      <c r="EX1039" s="59"/>
      <c r="EY1039" s="59"/>
      <c r="EZ1039" s="59"/>
      <c r="FA1039" s="59"/>
      <c r="FB1039" s="59"/>
      <c r="FC1039" s="59"/>
      <c r="FD1039" s="59"/>
      <c r="FE1039" s="59"/>
      <c r="FF1039" s="59"/>
      <c r="FG1039" s="59"/>
      <c r="FH1039" s="59"/>
      <c r="FI1039" s="59"/>
      <c r="FJ1039" s="59"/>
      <c r="FK1039" s="59"/>
      <c r="FL1039" s="59"/>
      <c r="FM1039" s="59"/>
      <c r="FN1039" s="59"/>
      <c r="FO1039" s="59"/>
      <c r="FP1039" s="59"/>
      <c r="FQ1039" s="59"/>
      <c r="FR1039" s="59"/>
      <c r="FS1039" s="59"/>
      <c r="FT1039" s="59"/>
      <c r="FU1039" s="59"/>
      <c r="FV1039" s="59"/>
      <c r="FW1039" s="59"/>
      <c r="FX1039" s="59"/>
      <c r="FY1039" s="59"/>
      <c r="FZ1039" s="59"/>
      <c r="GA1039" s="59"/>
      <c r="GB1039" s="59"/>
      <c r="GC1039" s="59"/>
    </row>
    <row r="1040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  <c r="BV1040" s="59"/>
      <c r="BW1040" s="59"/>
      <c r="BX1040" s="59"/>
      <c r="BY1040" s="59"/>
      <c r="BZ1040" s="59"/>
      <c r="CA1040" s="59"/>
      <c r="CB1040" s="59"/>
      <c r="CC1040" s="59"/>
      <c r="CD1040" s="59"/>
      <c r="CE1040" s="59"/>
      <c r="CF1040" s="59"/>
      <c r="CG1040" s="59"/>
      <c r="CH1040" s="59"/>
      <c r="CI1040" s="59"/>
      <c r="CJ1040" s="59"/>
      <c r="CK1040" s="59"/>
      <c r="CL1040" s="59"/>
      <c r="CM1040" s="59"/>
      <c r="CN1040" s="59"/>
      <c r="CO1040" s="59"/>
      <c r="CP1040" s="59"/>
      <c r="CQ1040" s="59"/>
      <c r="CR1040" s="59"/>
      <c r="CS1040" s="59"/>
      <c r="CT1040" s="59"/>
      <c r="CU1040" s="59"/>
      <c r="CV1040" s="59"/>
      <c r="CW1040" s="59"/>
      <c r="CX1040" s="59"/>
      <c r="CY1040" s="59"/>
      <c r="CZ1040" s="59"/>
      <c r="DA1040" s="59"/>
      <c r="DB1040" s="59"/>
      <c r="DC1040" s="59"/>
      <c r="DD1040" s="59"/>
      <c r="DE1040" s="59"/>
      <c r="DF1040" s="59"/>
      <c r="DG1040" s="59"/>
      <c r="DH1040" s="59"/>
      <c r="DI1040" s="59"/>
      <c r="DJ1040" s="59"/>
      <c r="DK1040" s="59"/>
      <c r="DL1040" s="59"/>
      <c r="DM1040" s="59"/>
      <c r="DN1040" s="59"/>
      <c r="DO1040" s="59"/>
      <c r="DP1040" s="59"/>
      <c r="DQ1040" s="59"/>
      <c r="DR1040" s="59"/>
      <c r="DS1040" s="59"/>
      <c r="DT1040" s="59"/>
      <c r="DU1040" s="59"/>
      <c r="DV1040" s="59"/>
      <c r="DW1040" s="59"/>
      <c r="DX1040" s="59"/>
      <c r="DY1040" s="59"/>
      <c r="DZ1040" s="59"/>
      <c r="EA1040" s="59"/>
      <c r="EB1040" s="59"/>
      <c r="EC1040" s="59"/>
      <c r="ED1040" s="59"/>
      <c r="EE1040" s="59"/>
      <c r="EF1040" s="59"/>
      <c r="EG1040" s="59"/>
      <c r="EH1040" s="59"/>
      <c r="EI1040" s="59"/>
      <c r="EJ1040" s="59"/>
      <c r="EK1040" s="59"/>
      <c r="EL1040" s="59"/>
      <c r="EM1040" s="59"/>
      <c r="EN1040" s="59"/>
      <c r="EO1040" s="59"/>
      <c r="EP1040" s="59"/>
      <c r="EQ1040" s="59"/>
      <c r="ER1040" s="59"/>
      <c r="ES1040" s="59"/>
      <c r="ET1040" s="59"/>
      <c r="EU1040" s="59"/>
      <c r="EV1040" s="59"/>
      <c r="EW1040" s="59"/>
      <c r="EX1040" s="59"/>
      <c r="EY1040" s="59"/>
      <c r="EZ1040" s="59"/>
      <c r="FA1040" s="59"/>
      <c r="FB1040" s="59"/>
      <c r="FC1040" s="59"/>
      <c r="FD1040" s="59"/>
      <c r="FE1040" s="59"/>
      <c r="FF1040" s="59"/>
      <c r="FG1040" s="59"/>
      <c r="FH1040" s="59"/>
      <c r="FI1040" s="59"/>
      <c r="FJ1040" s="59"/>
      <c r="FK1040" s="59"/>
      <c r="FL1040" s="59"/>
      <c r="FM1040" s="59"/>
      <c r="FN1040" s="59"/>
      <c r="FO1040" s="59"/>
      <c r="FP1040" s="59"/>
      <c r="FQ1040" s="59"/>
      <c r="FR1040" s="59"/>
      <c r="FS1040" s="59"/>
      <c r="FT1040" s="59"/>
      <c r="FU1040" s="59"/>
      <c r="FV1040" s="59"/>
      <c r="FW1040" s="59"/>
      <c r="FX1040" s="59"/>
      <c r="FY1040" s="59"/>
      <c r="FZ1040" s="59"/>
      <c r="GA1040" s="59"/>
      <c r="GB1040" s="59"/>
      <c r="GC1040" s="59"/>
    </row>
    <row r="1041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  <c r="BV1041" s="59"/>
      <c r="BW1041" s="59"/>
      <c r="BX1041" s="59"/>
      <c r="BY1041" s="59"/>
      <c r="BZ1041" s="59"/>
      <c r="CA1041" s="59"/>
      <c r="CB1041" s="59"/>
      <c r="CC1041" s="59"/>
      <c r="CD1041" s="59"/>
      <c r="CE1041" s="59"/>
      <c r="CF1041" s="59"/>
      <c r="CG1041" s="59"/>
      <c r="CH1041" s="59"/>
      <c r="CI1041" s="59"/>
      <c r="CJ1041" s="59"/>
      <c r="CK1041" s="59"/>
      <c r="CL1041" s="59"/>
      <c r="CM1041" s="59"/>
      <c r="CN1041" s="59"/>
      <c r="CO1041" s="59"/>
      <c r="CP1041" s="59"/>
      <c r="CQ1041" s="59"/>
      <c r="CR1041" s="59"/>
      <c r="CS1041" s="59"/>
      <c r="CT1041" s="59"/>
      <c r="CU1041" s="59"/>
      <c r="CV1041" s="59"/>
      <c r="CW1041" s="59"/>
      <c r="CX1041" s="59"/>
      <c r="CY1041" s="59"/>
      <c r="CZ1041" s="59"/>
      <c r="DA1041" s="59"/>
      <c r="DB1041" s="59"/>
      <c r="DC1041" s="59"/>
      <c r="DD1041" s="59"/>
      <c r="DE1041" s="59"/>
      <c r="DF1041" s="59"/>
      <c r="DG1041" s="59"/>
      <c r="DH1041" s="59"/>
      <c r="DI1041" s="59"/>
      <c r="DJ1041" s="59"/>
      <c r="DK1041" s="59"/>
      <c r="DL1041" s="59"/>
      <c r="DM1041" s="59"/>
      <c r="DN1041" s="59"/>
      <c r="DO1041" s="59"/>
      <c r="DP1041" s="59"/>
      <c r="DQ1041" s="59"/>
      <c r="DR1041" s="59"/>
      <c r="DS1041" s="59"/>
      <c r="DT1041" s="59"/>
      <c r="DU1041" s="59"/>
      <c r="DV1041" s="59"/>
      <c r="DW1041" s="59"/>
      <c r="DX1041" s="59"/>
      <c r="DY1041" s="59"/>
      <c r="DZ1041" s="59"/>
      <c r="EA1041" s="59"/>
      <c r="EB1041" s="59"/>
      <c r="EC1041" s="59"/>
      <c r="ED1041" s="59"/>
      <c r="EE1041" s="59"/>
      <c r="EF1041" s="59"/>
      <c r="EG1041" s="59"/>
      <c r="EH1041" s="59"/>
      <c r="EI1041" s="59"/>
      <c r="EJ1041" s="59"/>
      <c r="EK1041" s="59"/>
      <c r="EL1041" s="59"/>
      <c r="EM1041" s="59"/>
      <c r="EN1041" s="59"/>
      <c r="EO1041" s="59"/>
      <c r="EP1041" s="59"/>
      <c r="EQ1041" s="59"/>
      <c r="ER1041" s="59"/>
      <c r="ES1041" s="59"/>
      <c r="ET1041" s="59"/>
      <c r="EU1041" s="59"/>
      <c r="EV1041" s="59"/>
      <c r="EW1041" s="59"/>
      <c r="EX1041" s="59"/>
      <c r="EY1041" s="59"/>
      <c r="EZ1041" s="59"/>
      <c r="FA1041" s="59"/>
      <c r="FB1041" s="59"/>
      <c r="FC1041" s="59"/>
      <c r="FD1041" s="59"/>
      <c r="FE1041" s="59"/>
      <c r="FF1041" s="59"/>
      <c r="FG1041" s="59"/>
      <c r="FH1041" s="59"/>
      <c r="FI1041" s="59"/>
      <c r="FJ1041" s="59"/>
      <c r="FK1041" s="59"/>
      <c r="FL1041" s="59"/>
      <c r="FM1041" s="59"/>
      <c r="FN1041" s="59"/>
      <c r="FO1041" s="59"/>
      <c r="FP1041" s="59"/>
      <c r="FQ1041" s="59"/>
      <c r="FR1041" s="59"/>
      <c r="FS1041" s="59"/>
      <c r="FT1041" s="59"/>
      <c r="FU1041" s="59"/>
      <c r="FV1041" s="59"/>
      <c r="FW1041" s="59"/>
      <c r="FX1041" s="59"/>
      <c r="FY1041" s="59"/>
      <c r="FZ1041" s="59"/>
      <c r="GA1041" s="59"/>
      <c r="GB1041" s="59"/>
      <c r="GC1041" s="59"/>
    </row>
    <row r="1042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  <c r="BV1042" s="59"/>
      <c r="BW1042" s="59"/>
      <c r="BX1042" s="59"/>
      <c r="BY1042" s="59"/>
      <c r="BZ1042" s="59"/>
      <c r="CA1042" s="59"/>
      <c r="CB1042" s="59"/>
      <c r="CC1042" s="59"/>
      <c r="CD1042" s="59"/>
      <c r="CE1042" s="59"/>
      <c r="CF1042" s="59"/>
      <c r="CG1042" s="59"/>
      <c r="CH1042" s="59"/>
      <c r="CI1042" s="59"/>
      <c r="CJ1042" s="59"/>
      <c r="CK1042" s="59"/>
      <c r="CL1042" s="59"/>
      <c r="CM1042" s="59"/>
      <c r="CN1042" s="59"/>
      <c r="CO1042" s="59"/>
      <c r="CP1042" s="59"/>
      <c r="CQ1042" s="59"/>
      <c r="CR1042" s="59"/>
      <c r="CS1042" s="59"/>
      <c r="CT1042" s="59"/>
      <c r="CU1042" s="59"/>
      <c r="CV1042" s="59"/>
      <c r="CW1042" s="59"/>
      <c r="CX1042" s="59"/>
      <c r="CY1042" s="59"/>
      <c r="CZ1042" s="59"/>
      <c r="DA1042" s="59"/>
      <c r="DB1042" s="59"/>
      <c r="DC1042" s="59"/>
      <c r="DD1042" s="59"/>
      <c r="DE1042" s="59"/>
      <c r="DF1042" s="59"/>
      <c r="DG1042" s="59"/>
      <c r="DH1042" s="59"/>
      <c r="DI1042" s="59"/>
      <c r="DJ1042" s="59"/>
      <c r="DK1042" s="59"/>
      <c r="DL1042" s="59"/>
      <c r="DM1042" s="59"/>
      <c r="DN1042" s="59"/>
      <c r="DO1042" s="59"/>
      <c r="DP1042" s="59"/>
      <c r="DQ1042" s="59"/>
      <c r="DR1042" s="59"/>
      <c r="DS1042" s="59"/>
      <c r="DT1042" s="59"/>
      <c r="DU1042" s="59"/>
      <c r="DV1042" s="59"/>
      <c r="DW1042" s="59"/>
      <c r="DX1042" s="59"/>
      <c r="DY1042" s="59"/>
      <c r="DZ1042" s="59"/>
      <c r="EA1042" s="59"/>
      <c r="EB1042" s="59"/>
      <c r="EC1042" s="59"/>
      <c r="ED1042" s="59"/>
      <c r="EE1042" s="59"/>
      <c r="EF1042" s="59"/>
      <c r="EG1042" s="59"/>
      <c r="EH1042" s="59"/>
      <c r="EI1042" s="59"/>
      <c r="EJ1042" s="59"/>
      <c r="EK1042" s="59"/>
      <c r="EL1042" s="59"/>
      <c r="EM1042" s="59"/>
      <c r="EN1042" s="59"/>
      <c r="EO1042" s="59"/>
      <c r="EP1042" s="59"/>
      <c r="EQ1042" s="59"/>
      <c r="ER1042" s="59"/>
      <c r="ES1042" s="59"/>
      <c r="ET1042" s="59"/>
      <c r="EU1042" s="59"/>
      <c r="EV1042" s="59"/>
      <c r="EW1042" s="59"/>
      <c r="EX1042" s="59"/>
      <c r="EY1042" s="59"/>
      <c r="EZ1042" s="59"/>
      <c r="FA1042" s="59"/>
      <c r="FB1042" s="59"/>
      <c r="FC1042" s="59"/>
      <c r="FD1042" s="59"/>
      <c r="FE1042" s="59"/>
      <c r="FF1042" s="59"/>
      <c r="FG1042" s="59"/>
      <c r="FH1042" s="59"/>
      <c r="FI1042" s="59"/>
      <c r="FJ1042" s="59"/>
      <c r="FK1042" s="59"/>
      <c r="FL1042" s="59"/>
      <c r="FM1042" s="59"/>
      <c r="FN1042" s="59"/>
      <c r="FO1042" s="59"/>
      <c r="FP1042" s="59"/>
      <c r="FQ1042" s="59"/>
      <c r="FR1042" s="59"/>
      <c r="FS1042" s="59"/>
      <c r="FT1042" s="59"/>
      <c r="FU1042" s="59"/>
      <c r="FV1042" s="59"/>
      <c r="FW1042" s="59"/>
      <c r="FX1042" s="59"/>
      <c r="FY1042" s="59"/>
      <c r="FZ1042" s="59"/>
      <c r="GA1042" s="59"/>
      <c r="GB1042" s="59"/>
      <c r="GC1042" s="59"/>
    </row>
    <row r="1043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  <c r="BV1043" s="59"/>
      <c r="BW1043" s="59"/>
      <c r="BX1043" s="59"/>
      <c r="BY1043" s="59"/>
      <c r="BZ1043" s="59"/>
      <c r="CA1043" s="59"/>
      <c r="CB1043" s="59"/>
      <c r="CC1043" s="59"/>
      <c r="CD1043" s="59"/>
      <c r="CE1043" s="59"/>
      <c r="CF1043" s="59"/>
      <c r="CG1043" s="59"/>
      <c r="CH1043" s="59"/>
      <c r="CI1043" s="59"/>
      <c r="CJ1043" s="59"/>
      <c r="CK1043" s="59"/>
      <c r="CL1043" s="59"/>
      <c r="CM1043" s="59"/>
      <c r="CN1043" s="59"/>
      <c r="CO1043" s="59"/>
      <c r="CP1043" s="59"/>
      <c r="CQ1043" s="59"/>
      <c r="CR1043" s="59"/>
      <c r="CS1043" s="59"/>
      <c r="CT1043" s="59"/>
      <c r="CU1043" s="59"/>
      <c r="CV1043" s="59"/>
      <c r="CW1043" s="59"/>
      <c r="CX1043" s="59"/>
      <c r="CY1043" s="59"/>
      <c r="CZ1043" s="59"/>
      <c r="DA1043" s="59"/>
      <c r="DB1043" s="59"/>
      <c r="DC1043" s="59"/>
      <c r="DD1043" s="59"/>
      <c r="DE1043" s="59"/>
      <c r="DF1043" s="59"/>
      <c r="DG1043" s="59"/>
      <c r="DH1043" s="59"/>
      <c r="DI1043" s="59"/>
      <c r="DJ1043" s="59"/>
      <c r="DK1043" s="59"/>
      <c r="DL1043" s="59"/>
      <c r="DM1043" s="59"/>
      <c r="DN1043" s="59"/>
      <c r="DO1043" s="59"/>
      <c r="DP1043" s="59"/>
      <c r="DQ1043" s="59"/>
      <c r="DR1043" s="59"/>
      <c r="DS1043" s="59"/>
      <c r="DT1043" s="59"/>
      <c r="DU1043" s="59"/>
      <c r="DV1043" s="59"/>
      <c r="DW1043" s="59"/>
      <c r="DX1043" s="59"/>
      <c r="DY1043" s="59"/>
      <c r="DZ1043" s="59"/>
      <c r="EA1043" s="59"/>
      <c r="EB1043" s="59"/>
      <c r="EC1043" s="59"/>
      <c r="ED1043" s="59"/>
      <c r="EE1043" s="59"/>
      <c r="EF1043" s="59"/>
      <c r="EG1043" s="59"/>
      <c r="EH1043" s="59"/>
      <c r="EI1043" s="59"/>
      <c r="EJ1043" s="59"/>
      <c r="EK1043" s="59"/>
      <c r="EL1043" s="59"/>
      <c r="EM1043" s="59"/>
      <c r="EN1043" s="59"/>
      <c r="EO1043" s="59"/>
      <c r="EP1043" s="59"/>
      <c r="EQ1043" s="59"/>
      <c r="ER1043" s="59"/>
      <c r="ES1043" s="59"/>
      <c r="ET1043" s="59"/>
      <c r="EU1043" s="59"/>
      <c r="EV1043" s="59"/>
      <c r="EW1043" s="59"/>
      <c r="EX1043" s="59"/>
      <c r="EY1043" s="59"/>
      <c r="EZ1043" s="59"/>
      <c r="FA1043" s="59"/>
      <c r="FB1043" s="59"/>
      <c r="FC1043" s="59"/>
      <c r="FD1043" s="59"/>
      <c r="FE1043" s="59"/>
      <c r="FF1043" s="59"/>
      <c r="FG1043" s="59"/>
      <c r="FH1043" s="59"/>
      <c r="FI1043" s="59"/>
      <c r="FJ1043" s="59"/>
      <c r="FK1043" s="59"/>
      <c r="FL1043" s="59"/>
      <c r="FM1043" s="59"/>
      <c r="FN1043" s="59"/>
      <c r="FO1043" s="59"/>
      <c r="FP1043" s="59"/>
      <c r="FQ1043" s="59"/>
      <c r="FR1043" s="59"/>
      <c r="FS1043" s="59"/>
      <c r="FT1043" s="59"/>
      <c r="FU1043" s="59"/>
      <c r="FV1043" s="59"/>
      <c r="FW1043" s="59"/>
      <c r="FX1043" s="59"/>
      <c r="FY1043" s="59"/>
      <c r="FZ1043" s="59"/>
      <c r="GA1043" s="59"/>
      <c r="GB1043" s="59"/>
      <c r="GC1043" s="59"/>
    </row>
    <row r="1044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  <c r="BV1044" s="59"/>
      <c r="BW1044" s="59"/>
      <c r="BX1044" s="59"/>
      <c r="BY1044" s="59"/>
      <c r="BZ1044" s="59"/>
      <c r="CA1044" s="59"/>
      <c r="CB1044" s="59"/>
      <c r="CC1044" s="59"/>
      <c r="CD1044" s="59"/>
      <c r="CE1044" s="59"/>
      <c r="CF1044" s="59"/>
      <c r="CG1044" s="59"/>
      <c r="CH1044" s="59"/>
      <c r="CI1044" s="59"/>
      <c r="CJ1044" s="59"/>
      <c r="CK1044" s="59"/>
      <c r="CL1044" s="59"/>
      <c r="CM1044" s="59"/>
      <c r="CN1044" s="59"/>
      <c r="CO1044" s="59"/>
      <c r="CP1044" s="59"/>
      <c r="CQ1044" s="59"/>
      <c r="CR1044" s="59"/>
      <c r="CS1044" s="59"/>
      <c r="CT1044" s="59"/>
      <c r="CU1044" s="59"/>
      <c r="CV1044" s="59"/>
      <c r="CW1044" s="59"/>
      <c r="CX1044" s="59"/>
      <c r="CY1044" s="59"/>
      <c r="CZ1044" s="59"/>
      <c r="DA1044" s="59"/>
      <c r="DB1044" s="59"/>
      <c r="DC1044" s="59"/>
      <c r="DD1044" s="59"/>
      <c r="DE1044" s="59"/>
      <c r="DF1044" s="59"/>
      <c r="DG1044" s="59"/>
      <c r="DH1044" s="59"/>
      <c r="DI1044" s="59"/>
      <c r="DJ1044" s="59"/>
      <c r="DK1044" s="59"/>
      <c r="DL1044" s="59"/>
      <c r="DM1044" s="59"/>
      <c r="DN1044" s="59"/>
      <c r="DO1044" s="59"/>
      <c r="DP1044" s="59"/>
      <c r="DQ1044" s="59"/>
      <c r="DR1044" s="59"/>
      <c r="DS1044" s="59"/>
      <c r="DT1044" s="59"/>
      <c r="DU1044" s="59"/>
      <c r="DV1044" s="59"/>
      <c r="DW1044" s="59"/>
      <c r="DX1044" s="59"/>
      <c r="DY1044" s="59"/>
      <c r="DZ1044" s="59"/>
      <c r="EA1044" s="59"/>
      <c r="EB1044" s="59"/>
      <c r="EC1044" s="59"/>
      <c r="ED1044" s="59"/>
      <c r="EE1044" s="59"/>
      <c r="EF1044" s="59"/>
      <c r="EG1044" s="59"/>
      <c r="EH1044" s="59"/>
      <c r="EI1044" s="59"/>
      <c r="EJ1044" s="59"/>
      <c r="EK1044" s="59"/>
      <c r="EL1044" s="59"/>
      <c r="EM1044" s="59"/>
      <c r="EN1044" s="59"/>
      <c r="EO1044" s="59"/>
      <c r="EP1044" s="59"/>
      <c r="EQ1044" s="59"/>
      <c r="ER1044" s="59"/>
      <c r="ES1044" s="59"/>
      <c r="ET1044" s="59"/>
      <c r="EU1044" s="59"/>
      <c r="EV1044" s="59"/>
      <c r="EW1044" s="59"/>
      <c r="EX1044" s="59"/>
      <c r="EY1044" s="59"/>
      <c r="EZ1044" s="59"/>
      <c r="FA1044" s="59"/>
      <c r="FB1044" s="59"/>
      <c r="FC1044" s="59"/>
      <c r="FD1044" s="59"/>
      <c r="FE1044" s="59"/>
      <c r="FF1044" s="59"/>
      <c r="FG1044" s="59"/>
      <c r="FH1044" s="59"/>
      <c r="FI1044" s="59"/>
      <c r="FJ1044" s="59"/>
      <c r="FK1044" s="59"/>
      <c r="FL1044" s="59"/>
      <c r="FM1044" s="59"/>
      <c r="FN1044" s="59"/>
      <c r="FO1044" s="59"/>
      <c r="FP1044" s="59"/>
      <c r="FQ1044" s="59"/>
      <c r="FR1044" s="59"/>
      <c r="FS1044" s="59"/>
      <c r="FT1044" s="59"/>
      <c r="FU1044" s="59"/>
      <c r="FV1044" s="59"/>
      <c r="FW1044" s="59"/>
      <c r="FX1044" s="59"/>
      <c r="FY1044" s="59"/>
      <c r="FZ1044" s="59"/>
      <c r="GA1044" s="59"/>
      <c r="GB1044" s="59"/>
      <c r="GC1044" s="59"/>
    </row>
    <row r="104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  <c r="BV1045" s="59"/>
      <c r="BW1045" s="59"/>
      <c r="BX1045" s="59"/>
      <c r="BY1045" s="59"/>
      <c r="BZ1045" s="59"/>
      <c r="CA1045" s="59"/>
      <c r="CB1045" s="59"/>
      <c r="CC1045" s="59"/>
      <c r="CD1045" s="59"/>
      <c r="CE1045" s="59"/>
      <c r="CF1045" s="59"/>
      <c r="CG1045" s="59"/>
      <c r="CH1045" s="59"/>
      <c r="CI1045" s="59"/>
      <c r="CJ1045" s="59"/>
      <c r="CK1045" s="59"/>
      <c r="CL1045" s="59"/>
      <c r="CM1045" s="59"/>
      <c r="CN1045" s="59"/>
      <c r="CO1045" s="59"/>
      <c r="CP1045" s="59"/>
      <c r="CQ1045" s="59"/>
      <c r="CR1045" s="59"/>
      <c r="CS1045" s="59"/>
      <c r="CT1045" s="59"/>
      <c r="CU1045" s="59"/>
      <c r="CV1045" s="59"/>
      <c r="CW1045" s="59"/>
      <c r="CX1045" s="59"/>
      <c r="CY1045" s="59"/>
      <c r="CZ1045" s="59"/>
      <c r="DA1045" s="59"/>
      <c r="DB1045" s="59"/>
      <c r="DC1045" s="59"/>
      <c r="DD1045" s="59"/>
      <c r="DE1045" s="59"/>
      <c r="DF1045" s="59"/>
      <c r="DG1045" s="59"/>
      <c r="DH1045" s="59"/>
      <c r="DI1045" s="59"/>
      <c r="DJ1045" s="59"/>
      <c r="DK1045" s="59"/>
      <c r="DL1045" s="59"/>
      <c r="DM1045" s="59"/>
      <c r="DN1045" s="59"/>
      <c r="DO1045" s="59"/>
      <c r="DP1045" s="59"/>
      <c r="DQ1045" s="59"/>
      <c r="DR1045" s="59"/>
      <c r="DS1045" s="59"/>
      <c r="DT1045" s="59"/>
      <c r="DU1045" s="59"/>
      <c r="DV1045" s="59"/>
      <c r="DW1045" s="59"/>
      <c r="DX1045" s="59"/>
      <c r="DY1045" s="59"/>
      <c r="DZ1045" s="59"/>
      <c r="EA1045" s="59"/>
      <c r="EB1045" s="59"/>
      <c r="EC1045" s="59"/>
      <c r="ED1045" s="59"/>
      <c r="EE1045" s="59"/>
      <c r="EF1045" s="59"/>
      <c r="EG1045" s="59"/>
      <c r="EH1045" s="59"/>
      <c r="EI1045" s="59"/>
      <c r="EJ1045" s="59"/>
      <c r="EK1045" s="59"/>
      <c r="EL1045" s="59"/>
      <c r="EM1045" s="59"/>
      <c r="EN1045" s="59"/>
      <c r="EO1045" s="59"/>
      <c r="EP1045" s="59"/>
      <c r="EQ1045" s="59"/>
      <c r="ER1045" s="59"/>
      <c r="ES1045" s="59"/>
      <c r="ET1045" s="59"/>
      <c r="EU1045" s="59"/>
      <c r="EV1045" s="59"/>
      <c r="EW1045" s="59"/>
      <c r="EX1045" s="59"/>
      <c r="EY1045" s="59"/>
      <c r="EZ1045" s="59"/>
      <c r="FA1045" s="59"/>
      <c r="FB1045" s="59"/>
      <c r="FC1045" s="59"/>
      <c r="FD1045" s="59"/>
      <c r="FE1045" s="59"/>
      <c r="FF1045" s="59"/>
      <c r="FG1045" s="59"/>
      <c r="FH1045" s="59"/>
      <c r="FI1045" s="59"/>
      <c r="FJ1045" s="59"/>
      <c r="FK1045" s="59"/>
      <c r="FL1045" s="59"/>
      <c r="FM1045" s="59"/>
      <c r="FN1045" s="59"/>
      <c r="FO1045" s="59"/>
      <c r="FP1045" s="59"/>
      <c r="FQ1045" s="59"/>
      <c r="FR1045" s="59"/>
      <c r="FS1045" s="59"/>
      <c r="FT1045" s="59"/>
      <c r="FU1045" s="59"/>
      <c r="FV1045" s="59"/>
      <c r="FW1045" s="59"/>
      <c r="FX1045" s="59"/>
      <c r="FY1045" s="59"/>
      <c r="FZ1045" s="59"/>
      <c r="GA1045" s="59"/>
      <c r="GB1045" s="59"/>
      <c r="GC1045" s="59"/>
    </row>
    <row r="1046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  <c r="BV1046" s="59"/>
      <c r="BW1046" s="59"/>
      <c r="BX1046" s="59"/>
      <c r="BY1046" s="59"/>
      <c r="BZ1046" s="59"/>
      <c r="CA1046" s="59"/>
      <c r="CB1046" s="59"/>
      <c r="CC1046" s="59"/>
      <c r="CD1046" s="59"/>
      <c r="CE1046" s="59"/>
      <c r="CF1046" s="59"/>
      <c r="CG1046" s="59"/>
      <c r="CH1046" s="59"/>
      <c r="CI1046" s="59"/>
      <c r="CJ1046" s="59"/>
      <c r="CK1046" s="59"/>
      <c r="CL1046" s="59"/>
      <c r="CM1046" s="59"/>
      <c r="CN1046" s="59"/>
      <c r="CO1046" s="59"/>
      <c r="CP1046" s="59"/>
      <c r="CQ1046" s="59"/>
      <c r="CR1046" s="59"/>
      <c r="CS1046" s="59"/>
      <c r="CT1046" s="59"/>
      <c r="CU1046" s="59"/>
      <c r="CV1046" s="59"/>
      <c r="CW1046" s="59"/>
      <c r="CX1046" s="59"/>
      <c r="CY1046" s="59"/>
      <c r="CZ1046" s="59"/>
      <c r="DA1046" s="59"/>
      <c r="DB1046" s="59"/>
      <c r="DC1046" s="59"/>
      <c r="DD1046" s="59"/>
      <c r="DE1046" s="59"/>
      <c r="DF1046" s="59"/>
      <c r="DG1046" s="59"/>
      <c r="DH1046" s="59"/>
      <c r="DI1046" s="59"/>
      <c r="DJ1046" s="59"/>
      <c r="DK1046" s="59"/>
      <c r="DL1046" s="59"/>
      <c r="DM1046" s="59"/>
      <c r="DN1046" s="59"/>
      <c r="DO1046" s="59"/>
      <c r="DP1046" s="59"/>
      <c r="DQ1046" s="59"/>
      <c r="DR1046" s="59"/>
      <c r="DS1046" s="59"/>
      <c r="DT1046" s="59"/>
      <c r="DU1046" s="59"/>
      <c r="DV1046" s="59"/>
      <c r="DW1046" s="59"/>
      <c r="DX1046" s="59"/>
      <c r="DY1046" s="59"/>
      <c r="DZ1046" s="59"/>
      <c r="EA1046" s="59"/>
      <c r="EB1046" s="59"/>
      <c r="EC1046" s="59"/>
      <c r="ED1046" s="59"/>
      <c r="EE1046" s="59"/>
      <c r="EF1046" s="59"/>
      <c r="EG1046" s="59"/>
      <c r="EH1046" s="59"/>
      <c r="EI1046" s="59"/>
      <c r="EJ1046" s="59"/>
      <c r="EK1046" s="59"/>
      <c r="EL1046" s="59"/>
      <c r="EM1046" s="59"/>
      <c r="EN1046" s="59"/>
      <c r="EO1046" s="59"/>
      <c r="EP1046" s="59"/>
      <c r="EQ1046" s="59"/>
      <c r="ER1046" s="59"/>
      <c r="ES1046" s="59"/>
      <c r="ET1046" s="59"/>
      <c r="EU1046" s="59"/>
      <c r="EV1046" s="59"/>
      <c r="EW1046" s="59"/>
      <c r="EX1046" s="59"/>
      <c r="EY1046" s="59"/>
      <c r="EZ1046" s="59"/>
      <c r="FA1046" s="59"/>
      <c r="FB1046" s="59"/>
      <c r="FC1046" s="59"/>
      <c r="FD1046" s="59"/>
      <c r="FE1046" s="59"/>
      <c r="FF1046" s="59"/>
      <c r="FG1046" s="59"/>
      <c r="FH1046" s="59"/>
      <c r="FI1046" s="59"/>
      <c r="FJ1046" s="59"/>
      <c r="FK1046" s="59"/>
      <c r="FL1046" s="59"/>
      <c r="FM1046" s="59"/>
      <c r="FN1046" s="59"/>
      <c r="FO1046" s="59"/>
      <c r="FP1046" s="59"/>
      <c r="FQ1046" s="59"/>
      <c r="FR1046" s="59"/>
      <c r="FS1046" s="59"/>
      <c r="FT1046" s="59"/>
      <c r="FU1046" s="59"/>
      <c r="FV1046" s="59"/>
      <c r="FW1046" s="59"/>
      <c r="FX1046" s="59"/>
      <c r="FY1046" s="59"/>
      <c r="FZ1046" s="59"/>
      <c r="GA1046" s="59"/>
      <c r="GB1046" s="59"/>
      <c r="GC1046" s="59"/>
    </row>
    <row r="1047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  <c r="BV1047" s="59"/>
      <c r="BW1047" s="59"/>
      <c r="BX1047" s="59"/>
      <c r="BY1047" s="59"/>
      <c r="BZ1047" s="59"/>
      <c r="CA1047" s="59"/>
      <c r="CB1047" s="59"/>
      <c r="CC1047" s="59"/>
      <c r="CD1047" s="59"/>
      <c r="CE1047" s="59"/>
      <c r="CF1047" s="59"/>
      <c r="CG1047" s="59"/>
      <c r="CH1047" s="59"/>
      <c r="CI1047" s="59"/>
      <c r="CJ1047" s="59"/>
      <c r="CK1047" s="59"/>
      <c r="CL1047" s="59"/>
      <c r="CM1047" s="59"/>
      <c r="CN1047" s="59"/>
      <c r="CO1047" s="59"/>
      <c r="CP1047" s="59"/>
      <c r="CQ1047" s="59"/>
      <c r="CR1047" s="59"/>
      <c r="CS1047" s="59"/>
      <c r="CT1047" s="59"/>
      <c r="CU1047" s="59"/>
      <c r="CV1047" s="59"/>
      <c r="CW1047" s="59"/>
      <c r="CX1047" s="59"/>
      <c r="CY1047" s="59"/>
      <c r="CZ1047" s="59"/>
      <c r="DA1047" s="59"/>
      <c r="DB1047" s="59"/>
      <c r="DC1047" s="59"/>
      <c r="DD1047" s="59"/>
      <c r="DE1047" s="59"/>
      <c r="DF1047" s="59"/>
      <c r="DG1047" s="59"/>
      <c r="DH1047" s="59"/>
      <c r="DI1047" s="59"/>
      <c r="DJ1047" s="59"/>
      <c r="DK1047" s="59"/>
      <c r="DL1047" s="59"/>
      <c r="DM1047" s="59"/>
      <c r="DN1047" s="59"/>
      <c r="DO1047" s="59"/>
      <c r="DP1047" s="59"/>
      <c r="DQ1047" s="59"/>
      <c r="DR1047" s="59"/>
      <c r="DS1047" s="59"/>
      <c r="DT1047" s="59"/>
      <c r="DU1047" s="59"/>
      <c r="DV1047" s="59"/>
      <c r="DW1047" s="59"/>
      <c r="DX1047" s="59"/>
      <c r="DY1047" s="59"/>
      <c r="DZ1047" s="59"/>
      <c r="EA1047" s="59"/>
      <c r="EB1047" s="59"/>
      <c r="EC1047" s="59"/>
      <c r="ED1047" s="59"/>
      <c r="EE1047" s="59"/>
      <c r="EF1047" s="59"/>
      <c r="EG1047" s="59"/>
      <c r="EH1047" s="59"/>
      <c r="EI1047" s="59"/>
      <c r="EJ1047" s="59"/>
      <c r="EK1047" s="59"/>
      <c r="EL1047" s="59"/>
      <c r="EM1047" s="59"/>
      <c r="EN1047" s="59"/>
      <c r="EO1047" s="59"/>
      <c r="EP1047" s="59"/>
      <c r="EQ1047" s="59"/>
      <c r="ER1047" s="59"/>
      <c r="ES1047" s="59"/>
      <c r="ET1047" s="59"/>
      <c r="EU1047" s="59"/>
      <c r="EV1047" s="59"/>
      <c r="EW1047" s="59"/>
      <c r="EX1047" s="59"/>
      <c r="EY1047" s="59"/>
      <c r="EZ1047" s="59"/>
      <c r="FA1047" s="59"/>
      <c r="FB1047" s="59"/>
      <c r="FC1047" s="59"/>
      <c r="FD1047" s="59"/>
      <c r="FE1047" s="59"/>
      <c r="FF1047" s="59"/>
      <c r="FG1047" s="59"/>
      <c r="FH1047" s="59"/>
      <c r="FI1047" s="59"/>
      <c r="FJ1047" s="59"/>
      <c r="FK1047" s="59"/>
      <c r="FL1047" s="59"/>
      <c r="FM1047" s="59"/>
      <c r="FN1047" s="59"/>
      <c r="FO1047" s="59"/>
      <c r="FP1047" s="59"/>
      <c r="FQ1047" s="59"/>
      <c r="FR1047" s="59"/>
      <c r="FS1047" s="59"/>
      <c r="FT1047" s="59"/>
      <c r="FU1047" s="59"/>
      <c r="FV1047" s="59"/>
      <c r="FW1047" s="59"/>
      <c r="FX1047" s="59"/>
      <c r="FY1047" s="59"/>
      <c r="FZ1047" s="59"/>
      <c r="GA1047" s="59"/>
      <c r="GB1047" s="59"/>
      <c r="GC1047" s="59"/>
    </row>
    <row r="1048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  <c r="BV1048" s="59"/>
      <c r="BW1048" s="59"/>
      <c r="BX1048" s="59"/>
      <c r="BY1048" s="59"/>
      <c r="BZ1048" s="59"/>
      <c r="CA1048" s="59"/>
      <c r="CB1048" s="59"/>
      <c r="CC1048" s="59"/>
      <c r="CD1048" s="59"/>
      <c r="CE1048" s="59"/>
      <c r="CF1048" s="59"/>
      <c r="CG1048" s="59"/>
      <c r="CH1048" s="59"/>
      <c r="CI1048" s="59"/>
      <c r="CJ1048" s="59"/>
      <c r="CK1048" s="59"/>
      <c r="CL1048" s="59"/>
      <c r="CM1048" s="59"/>
      <c r="CN1048" s="59"/>
      <c r="CO1048" s="59"/>
      <c r="CP1048" s="59"/>
      <c r="CQ1048" s="59"/>
      <c r="CR1048" s="59"/>
      <c r="CS1048" s="59"/>
      <c r="CT1048" s="59"/>
      <c r="CU1048" s="59"/>
      <c r="CV1048" s="59"/>
      <c r="CW1048" s="59"/>
      <c r="CX1048" s="59"/>
      <c r="CY1048" s="59"/>
      <c r="CZ1048" s="59"/>
      <c r="DA1048" s="59"/>
      <c r="DB1048" s="59"/>
      <c r="DC1048" s="59"/>
      <c r="DD1048" s="59"/>
      <c r="DE1048" s="59"/>
      <c r="DF1048" s="59"/>
      <c r="DG1048" s="59"/>
      <c r="DH1048" s="59"/>
      <c r="DI1048" s="59"/>
      <c r="DJ1048" s="59"/>
      <c r="DK1048" s="59"/>
      <c r="DL1048" s="59"/>
      <c r="DM1048" s="59"/>
      <c r="DN1048" s="59"/>
      <c r="DO1048" s="59"/>
      <c r="DP1048" s="59"/>
      <c r="DQ1048" s="59"/>
      <c r="DR1048" s="59"/>
      <c r="DS1048" s="59"/>
      <c r="DT1048" s="59"/>
      <c r="DU1048" s="59"/>
      <c r="DV1048" s="59"/>
      <c r="DW1048" s="59"/>
      <c r="DX1048" s="59"/>
      <c r="DY1048" s="59"/>
      <c r="DZ1048" s="59"/>
      <c r="EA1048" s="59"/>
      <c r="EB1048" s="59"/>
      <c r="EC1048" s="59"/>
      <c r="ED1048" s="59"/>
      <c r="EE1048" s="59"/>
      <c r="EF1048" s="59"/>
      <c r="EG1048" s="59"/>
      <c r="EH1048" s="59"/>
      <c r="EI1048" s="59"/>
      <c r="EJ1048" s="59"/>
      <c r="EK1048" s="59"/>
      <c r="EL1048" s="59"/>
      <c r="EM1048" s="59"/>
      <c r="EN1048" s="59"/>
      <c r="EO1048" s="59"/>
      <c r="EP1048" s="59"/>
      <c r="EQ1048" s="59"/>
      <c r="ER1048" s="59"/>
      <c r="ES1048" s="59"/>
      <c r="ET1048" s="59"/>
      <c r="EU1048" s="59"/>
      <c r="EV1048" s="59"/>
      <c r="EW1048" s="59"/>
      <c r="EX1048" s="59"/>
      <c r="EY1048" s="59"/>
      <c r="EZ1048" s="59"/>
      <c r="FA1048" s="59"/>
      <c r="FB1048" s="59"/>
      <c r="FC1048" s="59"/>
      <c r="FD1048" s="59"/>
      <c r="FE1048" s="59"/>
      <c r="FF1048" s="59"/>
      <c r="FG1048" s="59"/>
      <c r="FH1048" s="59"/>
      <c r="FI1048" s="59"/>
      <c r="FJ1048" s="59"/>
      <c r="FK1048" s="59"/>
      <c r="FL1048" s="59"/>
      <c r="FM1048" s="59"/>
      <c r="FN1048" s="59"/>
      <c r="FO1048" s="59"/>
      <c r="FP1048" s="59"/>
      <c r="FQ1048" s="59"/>
      <c r="FR1048" s="59"/>
      <c r="FS1048" s="59"/>
      <c r="FT1048" s="59"/>
      <c r="FU1048" s="59"/>
      <c r="FV1048" s="59"/>
      <c r="FW1048" s="59"/>
      <c r="FX1048" s="59"/>
      <c r="FY1048" s="59"/>
      <c r="FZ1048" s="59"/>
      <c r="GA1048" s="59"/>
      <c r="GB1048" s="59"/>
      <c r="GC1048" s="59"/>
    </row>
    <row r="1049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  <c r="BV1049" s="59"/>
      <c r="BW1049" s="59"/>
      <c r="BX1049" s="59"/>
      <c r="BY1049" s="59"/>
      <c r="BZ1049" s="59"/>
      <c r="CA1049" s="59"/>
      <c r="CB1049" s="59"/>
      <c r="CC1049" s="59"/>
      <c r="CD1049" s="59"/>
      <c r="CE1049" s="59"/>
      <c r="CF1049" s="59"/>
      <c r="CG1049" s="59"/>
      <c r="CH1049" s="59"/>
      <c r="CI1049" s="59"/>
      <c r="CJ1049" s="59"/>
      <c r="CK1049" s="59"/>
      <c r="CL1049" s="59"/>
      <c r="CM1049" s="59"/>
      <c r="CN1049" s="59"/>
      <c r="CO1049" s="59"/>
      <c r="CP1049" s="59"/>
      <c r="CQ1049" s="59"/>
      <c r="CR1049" s="59"/>
      <c r="CS1049" s="59"/>
      <c r="CT1049" s="59"/>
      <c r="CU1049" s="59"/>
      <c r="CV1049" s="59"/>
      <c r="CW1049" s="59"/>
      <c r="CX1049" s="59"/>
      <c r="CY1049" s="59"/>
      <c r="CZ1049" s="59"/>
      <c r="DA1049" s="59"/>
      <c r="DB1049" s="59"/>
      <c r="DC1049" s="59"/>
      <c r="DD1049" s="59"/>
      <c r="DE1049" s="59"/>
      <c r="DF1049" s="59"/>
      <c r="DG1049" s="59"/>
      <c r="DH1049" s="59"/>
      <c r="DI1049" s="59"/>
      <c r="DJ1049" s="59"/>
      <c r="DK1049" s="59"/>
      <c r="DL1049" s="59"/>
      <c r="DM1049" s="59"/>
      <c r="DN1049" s="59"/>
      <c r="DO1049" s="59"/>
      <c r="DP1049" s="59"/>
      <c r="DQ1049" s="59"/>
      <c r="DR1049" s="59"/>
      <c r="DS1049" s="59"/>
      <c r="DT1049" s="59"/>
      <c r="DU1049" s="59"/>
      <c r="DV1049" s="59"/>
      <c r="DW1049" s="59"/>
      <c r="DX1049" s="59"/>
      <c r="DY1049" s="59"/>
      <c r="DZ1049" s="59"/>
      <c r="EA1049" s="59"/>
      <c r="EB1049" s="59"/>
      <c r="EC1049" s="59"/>
      <c r="ED1049" s="59"/>
      <c r="EE1049" s="59"/>
      <c r="EF1049" s="59"/>
      <c r="EG1049" s="59"/>
      <c r="EH1049" s="59"/>
      <c r="EI1049" s="59"/>
      <c r="EJ1049" s="59"/>
      <c r="EK1049" s="59"/>
      <c r="EL1049" s="59"/>
      <c r="EM1049" s="59"/>
      <c r="EN1049" s="59"/>
      <c r="EO1049" s="59"/>
      <c r="EP1049" s="59"/>
      <c r="EQ1049" s="59"/>
      <c r="ER1049" s="59"/>
      <c r="ES1049" s="59"/>
      <c r="ET1049" s="59"/>
      <c r="EU1049" s="59"/>
      <c r="EV1049" s="59"/>
      <c r="EW1049" s="59"/>
      <c r="EX1049" s="59"/>
      <c r="EY1049" s="59"/>
      <c r="EZ1049" s="59"/>
      <c r="FA1049" s="59"/>
      <c r="FB1049" s="59"/>
      <c r="FC1049" s="59"/>
      <c r="FD1049" s="59"/>
      <c r="FE1049" s="59"/>
      <c r="FF1049" s="59"/>
      <c r="FG1049" s="59"/>
      <c r="FH1049" s="59"/>
      <c r="FI1049" s="59"/>
      <c r="FJ1049" s="59"/>
      <c r="FK1049" s="59"/>
      <c r="FL1049" s="59"/>
      <c r="FM1049" s="59"/>
      <c r="FN1049" s="59"/>
      <c r="FO1049" s="59"/>
      <c r="FP1049" s="59"/>
      <c r="FQ1049" s="59"/>
      <c r="FR1049" s="59"/>
      <c r="FS1049" s="59"/>
      <c r="FT1049" s="59"/>
      <c r="FU1049" s="59"/>
      <c r="FV1049" s="59"/>
      <c r="FW1049" s="59"/>
      <c r="FX1049" s="59"/>
      <c r="FY1049" s="59"/>
      <c r="FZ1049" s="59"/>
      <c r="GA1049" s="59"/>
      <c r="GB1049" s="59"/>
      <c r="GC1049" s="59"/>
    </row>
    <row r="1050">
      <c r="A1050" s="59"/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  <c r="BV1050" s="59"/>
      <c r="BW1050" s="59"/>
      <c r="BX1050" s="59"/>
      <c r="BY1050" s="59"/>
      <c r="BZ1050" s="59"/>
      <c r="CA1050" s="59"/>
      <c r="CB1050" s="59"/>
      <c r="CC1050" s="59"/>
      <c r="CD1050" s="59"/>
      <c r="CE1050" s="59"/>
      <c r="CF1050" s="59"/>
      <c r="CG1050" s="59"/>
      <c r="CH1050" s="59"/>
      <c r="CI1050" s="59"/>
      <c r="CJ1050" s="59"/>
      <c r="CK1050" s="59"/>
      <c r="CL1050" s="59"/>
      <c r="CM1050" s="59"/>
      <c r="CN1050" s="59"/>
      <c r="CO1050" s="59"/>
      <c r="CP1050" s="59"/>
      <c r="CQ1050" s="59"/>
      <c r="CR1050" s="59"/>
      <c r="CS1050" s="59"/>
      <c r="CT1050" s="59"/>
      <c r="CU1050" s="59"/>
      <c r="CV1050" s="59"/>
      <c r="CW1050" s="59"/>
      <c r="CX1050" s="59"/>
      <c r="CY1050" s="59"/>
      <c r="CZ1050" s="59"/>
      <c r="DA1050" s="59"/>
      <c r="DB1050" s="59"/>
      <c r="DC1050" s="59"/>
      <c r="DD1050" s="59"/>
      <c r="DE1050" s="59"/>
      <c r="DF1050" s="59"/>
      <c r="DG1050" s="59"/>
      <c r="DH1050" s="59"/>
      <c r="DI1050" s="59"/>
      <c r="DJ1050" s="59"/>
      <c r="DK1050" s="59"/>
      <c r="DL1050" s="59"/>
      <c r="DM1050" s="59"/>
      <c r="DN1050" s="59"/>
      <c r="DO1050" s="59"/>
      <c r="DP1050" s="59"/>
      <c r="DQ1050" s="59"/>
      <c r="DR1050" s="59"/>
      <c r="DS1050" s="59"/>
      <c r="DT1050" s="59"/>
      <c r="DU1050" s="59"/>
      <c r="DV1050" s="59"/>
      <c r="DW1050" s="59"/>
      <c r="DX1050" s="59"/>
      <c r="DY1050" s="59"/>
      <c r="DZ1050" s="59"/>
      <c r="EA1050" s="59"/>
      <c r="EB1050" s="59"/>
      <c r="EC1050" s="59"/>
      <c r="ED1050" s="59"/>
      <c r="EE1050" s="59"/>
      <c r="EF1050" s="59"/>
      <c r="EG1050" s="59"/>
      <c r="EH1050" s="59"/>
      <c r="EI1050" s="59"/>
      <c r="EJ1050" s="59"/>
      <c r="EK1050" s="59"/>
      <c r="EL1050" s="59"/>
      <c r="EM1050" s="59"/>
      <c r="EN1050" s="59"/>
      <c r="EO1050" s="59"/>
      <c r="EP1050" s="59"/>
      <c r="EQ1050" s="59"/>
      <c r="ER1050" s="59"/>
      <c r="ES1050" s="59"/>
      <c r="ET1050" s="59"/>
      <c r="EU1050" s="59"/>
      <c r="EV1050" s="59"/>
      <c r="EW1050" s="59"/>
      <c r="EX1050" s="59"/>
      <c r="EY1050" s="59"/>
      <c r="EZ1050" s="59"/>
      <c r="FA1050" s="59"/>
      <c r="FB1050" s="59"/>
      <c r="FC1050" s="59"/>
      <c r="FD1050" s="59"/>
      <c r="FE1050" s="59"/>
      <c r="FF1050" s="59"/>
      <c r="FG1050" s="59"/>
      <c r="FH1050" s="59"/>
      <c r="FI1050" s="59"/>
      <c r="FJ1050" s="59"/>
      <c r="FK1050" s="59"/>
      <c r="FL1050" s="59"/>
      <c r="FM1050" s="59"/>
      <c r="FN1050" s="59"/>
      <c r="FO1050" s="59"/>
      <c r="FP1050" s="59"/>
      <c r="FQ1050" s="59"/>
      <c r="FR1050" s="59"/>
      <c r="FS1050" s="59"/>
      <c r="FT1050" s="59"/>
      <c r="FU1050" s="59"/>
      <c r="FV1050" s="59"/>
      <c r="FW1050" s="59"/>
      <c r="FX1050" s="59"/>
      <c r="FY1050" s="59"/>
      <c r="FZ1050" s="59"/>
      <c r="GA1050" s="59"/>
      <c r="GB1050" s="59"/>
      <c r="GC1050" s="59"/>
    </row>
    <row r="1051">
      <c r="A1051" s="59"/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  <c r="BV1051" s="59"/>
      <c r="BW1051" s="59"/>
      <c r="BX1051" s="59"/>
      <c r="BY1051" s="59"/>
      <c r="BZ1051" s="59"/>
      <c r="CA1051" s="59"/>
      <c r="CB1051" s="59"/>
      <c r="CC1051" s="59"/>
      <c r="CD1051" s="59"/>
      <c r="CE1051" s="59"/>
      <c r="CF1051" s="59"/>
      <c r="CG1051" s="59"/>
      <c r="CH1051" s="59"/>
      <c r="CI1051" s="59"/>
      <c r="CJ1051" s="59"/>
      <c r="CK1051" s="59"/>
      <c r="CL1051" s="59"/>
      <c r="CM1051" s="59"/>
      <c r="CN1051" s="59"/>
      <c r="CO1051" s="59"/>
      <c r="CP1051" s="59"/>
      <c r="CQ1051" s="59"/>
      <c r="CR1051" s="59"/>
      <c r="CS1051" s="59"/>
      <c r="CT1051" s="59"/>
      <c r="CU1051" s="59"/>
      <c r="CV1051" s="59"/>
      <c r="CW1051" s="59"/>
      <c r="CX1051" s="59"/>
      <c r="CY1051" s="59"/>
      <c r="CZ1051" s="59"/>
      <c r="DA1051" s="59"/>
      <c r="DB1051" s="59"/>
      <c r="DC1051" s="59"/>
      <c r="DD1051" s="59"/>
      <c r="DE1051" s="59"/>
      <c r="DF1051" s="59"/>
      <c r="DG1051" s="59"/>
      <c r="DH1051" s="59"/>
      <c r="DI1051" s="59"/>
      <c r="DJ1051" s="59"/>
      <c r="DK1051" s="59"/>
      <c r="DL1051" s="59"/>
      <c r="DM1051" s="59"/>
      <c r="DN1051" s="59"/>
      <c r="DO1051" s="59"/>
      <c r="DP1051" s="59"/>
      <c r="DQ1051" s="59"/>
      <c r="DR1051" s="59"/>
      <c r="DS1051" s="59"/>
      <c r="DT1051" s="59"/>
      <c r="DU1051" s="59"/>
      <c r="DV1051" s="59"/>
      <c r="DW1051" s="59"/>
      <c r="DX1051" s="59"/>
      <c r="DY1051" s="59"/>
      <c r="DZ1051" s="59"/>
      <c r="EA1051" s="59"/>
      <c r="EB1051" s="59"/>
      <c r="EC1051" s="59"/>
      <c r="ED1051" s="59"/>
      <c r="EE1051" s="59"/>
      <c r="EF1051" s="59"/>
      <c r="EG1051" s="59"/>
      <c r="EH1051" s="59"/>
      <c r="EI1051" s="59"/>
      <c r="EJ1051" s="59"/>
      <c r="EK1051" s="59"/>
      <c r="EL1051" s="59"/>
      <c r="EM1051" s="59"/>
      <c r="EN1051" s="59"/>
      <c r="EO1051" s="59"/>
      <c r="EP1051" s="59"/>
      <c r="EQ1051" s="59"/>
      <c r="ER1051" s="59"/>
      <c r="ES1051" s="59"/>
      <c r="ET1051" s="59"/>
      <c r="EU1051" s="59"/>
      <c r="EV1051" s="59"/>
      <c r="EW1051" s="59"/>
      <c r="EX1051" s="59"/>
      <c r="EY1051" s="59"/>
      <c r="EZ1051" s="59"/>
      <c r="FA1051" s="59"/>
      <c r="FB1051" s="59"/>
      <c r="FC1051" s="59"/>
      <c r="FD1051" s="59"/>
      <c r="FE1051" s="59"/>
      <c r="FF1051" s="59"/>
      <c r="FG1051" s="59"/>
      <c r="FH1051" s="59"/>
      <c r="FI1051" s="59"/>
      <c r="FJ1051" s="59"/>
      <c r="FK1051" s="59"/>
      <c r="FL1051" s="59"/>
      <c r="FM1051" s="59"/>
      <c r="FN1051" s="59"/>
      <c r="FO1051" s="59"/>
      <c r="FP1051" s="59"/>
      <c r="FQ1051" s="59"/>
      <c r="FR1051" s="59"/>
      <c r="FS1051" s="59"/>
      <c r="FT1051" s="59"/>
      <c r="FU1051" s="59"/>
      <c r="FV1051" s="59"/>
      <c r="FW1051" s="59"/>
      <c r="FX1051" s="59"/>
      <c r="FY1051" s="59"/>
      <c r="FZ1051" s="59"/>
      <c r="GA1051" s="59"/>
      <c r="GB1051" s="59"/>
      <c r="GC1051" s="59"/>
    </row>
    <row r="1052">
      <c r="A1052" s="59"/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  <c r="BV1052" s="59"/>
      <c r="BW1052" s="59"/>
      <c r="BX1052" s="59"/>
      <c r="BY1052" s="59"/>
      <c r="BZ1052" s="59"/>
      <c r="CA1052" s="59"/>
      <c r="CB1052" s="59"/>
      <c r="CC1052" s="59"/>
      <c r="CD1052" s="59"/>
      <c r="CE1052" s="59"/>
      <c r="CF1052" s="59"/>
      <c r="CG1052" s="59"/>
      <c r="CH1052" s="59"/>
      <c r="CI1052" s="59"/>
      <c r="CJ1052" s="59"/>
      <c r="CK1052" s="59"/>
      <c r="CL1052" s="59"/>
      <c r="CM1052" s="59"/>
      <c r="CN1052" s="59"/>
      <c r="CO1052" s="59"/>
      <c r="CP1052" s="59"/>
      <c r="CQ1052" s="59"/>
      <c r="CR1052" s="59"/>
      <c r="CS1052" s="59"/>
      <c r="CT1052" s="59"/>
      <c r="CU1052" s="59"/>
      <c r="CV1052" s="59"/>
      <c r="CW1052" s="59"/>
      <c r="CX1052" s="59"/>
      <c r="CY1052" s="59"/>
      <c r="CZ1052" s="59"/>
      <c r="DA1052" s="59"/>
      <c r="DB1052" s="59"/>
      <c r="DC1052" s="59"/>
      <c r="DD1052" s="59"/>
      <c r="DE1052" s="59"/>
      <c r="DF1052" s="59"/>
      <c r="DG1052" s="59"/>
      <c r="DH1052" s="59"/>
      <c r="DI1052" s="59"/>
      <c r="DJ1052" s="59"/>
      <c r="DK1052" s="59"/>
      <c r="DL1052" s="59"/>
      <c r="DM1052" s="59"/>
      <c r="DN1052" s="59"/>
      <c r="DO1052" s="59"/>
      <c r="DP1052" s="59"/>
      <c r="DQ1052" s="59"/>
      <c r="DR1052" s="59"/>
      <c r="DS1052" s="59"/>
      <c r="DT1052" s="59"/>
      <c r="DU1052" s="59"/>
      <c r="DV1052" s="59"/>
      <c r="DW1052" s="59"/>
      <c r="DX1052" s="59"/>
      <c r="DY1052" s="59"/>
      <c r="DZ1052" s="59"/>
      <c r="EA1052" s="59"/>
      <c r="EB1052" s="59"/>
      <c r="EC1052" s="59"/>
      <c r="ED1052" s="59"/>
      <c r="EE1052" s="59"/>
      <c r="EF1052" s="59"/>
      <c r="EG1052" s="59"/>
      <c r="EH1052" s="59"/>
      <c r="EI1052" s="59"/>
      <c r="EJ1052" s="59"/>
      <c r="EK1052" s="59"/>
      <c r="EL1052" s="59"/>
      <c r="EM1052" s="59"/>
      <c r="EN1052" s="59"/>
      <c r="EO1052" s="59"/>
      <c r="EP1052" s="59"/>
      <c r="EQ1052" s="59"/>
      <c r="ER1052" s="59"/>
      <c r="ES1052" s="59"/>
      <c r="ET1052" s="59"/>
      <c r="EU1052" s="59"/>
      <c r="EV1052" s="59"/>
      <c r="EW1052" s="59"/>
      <c r="EX1052" s="59"/>
      <c r="EY1052" s="59"/>
      <c r="EZ1052" s="59"/>
      <c r="FA1052" s="59"/>
      <c r="FB1052" s="59"/>
      <c r="FC1052" s="59"/>
      <c r="FD1052" s="59"/>
      <c r="FE1052" s="59"/>
      <c r="FF1052" s="59"/>
      <c r="FG1052" s="59"/>
      <c r="FH1052" s="59"/>
      <c r="FI1052" s="59"/>
      <c r="FJ1052" s="59"/>
      <c r="FK1052" s="59"/>
      <c r="FL1052" s="59"/>
      <c r="FM1052" s="59"/>
      <c r="FN1052" s="59"/>
      <c r="FO1052" s="59"/>
      <c r="FP1052" s="59"/>
      <c r="FQ1052" s="59"/>
      <c r="FR1052" s="59"/>
      <c r="FS1052" s="59"/>
      <c r="FT1052" s="59"/>
      <c r="FU1052" s="59"/>
      <c r="FV1052" s="59"/>
      <c r="FW1052" s="59"/>
      <c r="FX1052" s="59"/>
      <c r="FY1052" s="59"/>
      <c r="FZ1052" s="59"/>
      <c r="GA1052" s="59"/>
      <c r="GB1052" s="59"/>
      <c r="GC1052" s="59"/>
    </row>
    <row r="1053">
      <c r="A1053" s="59"/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  <c r="BV1053" s="59"/>
      <c r="BW1053" s="59"/>
      <c r="BX1053" s="59"/>
      <c r="BY1053" s="59"/>
      <c r="BZ1053" s="59"/>
      <c r="CA1053" s="59"/>
      <c r="CB1053" s="59"/>
      <c r="CC1053" s="59"/>
      <c r="CD1053" s="59"/>
      <c r="CE1053" s="59"/>
      <c r="CF1053" s="59"/>
      <c r="CG1053" s="59"/>
      <c r="CH1053" s="59"/>
      <c r="CI1053" s="59"/>
      <c r="CJ1053" s="59"/>
      <c r="CK1053" s="59"/>
      <c r="CL1053" s="59"/>
      <c r="CM1053" s="59"/>
      <c r="CN1053" s="59"/>
      <c r="CO1053" s="59"/>
      <c r="CP1053" s="59"/>
      <c r="CQ1053" s="59"/>
      <c r="CR1053" s="59"/>
      <c r="CS1053" s="59"/>
      <c r="CT1053" s="59"/>
      <c r="CU1053" s="59"/>
      <c r="CV1053" s="59"/>
      <c r="CW1053" s="59"/>
      <c r="CX1053" s="59"/>
      <c r="CY1053" s="59"/>
      <c r="CZ1053" s="59"/>
      <c r="DA1053" s="59"/>
      <c r="DB1053" s="59"/>
      <c r="DC1053" s="59"/>
      <c r="DD1053" s="59"/>
      <c r="DE1053" s="59"/>
      <c r="DF1053" s="59"/>
      <c r="DG1053" s="59"/>
      <c r="DH1053" s="59"/>
      <c r="DI1053" s="59"/>
      <c r="DJ1053" s="59"/>
      <c r="DK1053" s="59"/>
      <c r="DL1053" s="59"/>
      <c r="DM1053" s="59"/>
      <c r="DN1053" s="59"/>
      <c r="DO1053" s="59"/>
      <c r="DP1053" s="59"/>
      <c r="DQ1053" s="59"/>
      <c r="DR1053" s="59"/>
      <c r="DS1053" s="59"/>
      <c r="DT1053" s="59"/>
      <c r="DU1053" s="59"/>
      <c r="DV1053" s="59"/>
      <c r="DW1053" s="59"/>
      <c r="DX1053" s="59"/>
      <c r="DY1053" s="59"/>
      <c r="DZ1053" s="59"/>
      <c r="EA1053" s="59"/>
      <c r="EB1053" s="59"/>
      <c r="EC1053" s="59"/>
      <c r="ED1053" s="59"/>
      <c r="EE1053" s="59"/>
      <c r="EF1053" s="59"/>
      <c r="EG1053" s="59"/>
      <c r="EH1053" s="59"/>
      <c r="EI1053" s="59"/>
      <c r="EJ1053" s="59"/>
      <c r="EK1053" s="59"/>
      <c r="EL1053" s="59"/>
      <c r="EM1053" s="59"/>
      <c r="EN1053" s="59"/>
      <c r="EO1053" s="59"/>
      <c r="EP1053" s="59"/>
      <c r="EQ1053" s="59"/>
      <c r="ER1053" s="59"/>
      <c r="ES1053" s="59"/>
      <c r="ET1053" s="59"/>
      <c r="EU1053" s="59"/>
      <c r="EV1053" s="59"/>
      <c r="EW1053" s="59"/>
      <c r="EX1053" s="59"/>
      <c r="EY1053" s="59"/>
      <c r="EZ1053" s="59"/>
      <c r="FA1053" s="59"/>
      <c r="FB1053" s="59"/>
      <c r="FC1053" s="59"/>
      <c r="FD1053" s="59"/>
      <c r="FE1053" s="59"/>
      <c r="FF1053" s="59"/>
      <c r="FG1053" s="59"/>
      <c r="FH1053" s="59"/>
      <c r="FI1053" s="59"/>
      <c r="FJ1053" s="59"/>
      <c r="FK1053" s="59"/>
      <c r="FL1053" s="59"/>
      <c r="FM1053" s="59"/>
      <c r="FN1053" s="59"/>
      <c r="FO1053" s="59"/>
      <c r="FP1053" s="59"/>
      <c r="FQ1053" s="59"/>
      <c r="FR1053" s="59"/>
      <c r="FS1053" s="59"/>
      <c r="FT1053" s="59"/>
      <c r="FU1053" s="59"/>
      <c r="FV1053" s="59"/>
      <c r="FW1053" s="59"/>
      <c r="FX1053" s="59"/>
      <c r="FY1053" s="59"/>
      <c r="FZ1053" s="59"/>
      <c r="GA1053" s="59"/>
      <c r="GB1053" s="59"/>
      <c r="GC1053" s="59"/>
    </row>
    <row r="1054">
      <c r="A1054" s="59"/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  <c r="BV1054" s="59"/>
      <c r="BW1054" s="59"/>
      <c r="BX1054" s="59"/>
      <c r="BY1054" s="59"/>
      <c r="BZ1054" s="59"/>
      <c r="CA1054" s="59"/>
      <c r="CB1054" s="59"/>
      <c r="CC1054" s="59"/>
      <c r="CD1054" s="59"/>
      <c r="CE1054" s="59"/>
      <c r="CF1054" s="59"/>
      <c r="CG1054" s="59"/>
      <c r="CH1054" s="59"/>
      <c r="CI1054" s="59"/>
      <c r="CJ1054" s="59"/>
      <c r="CK1054" s="59"/>
      <c r="CL1054" s="59"/>
      <c r="CM1054" s="59"/>
      <c r="CN1054" s="59"/>
      <c r="CO1054" s="59"/>
      <c r="CP1054" s="59"/>
      <c r="CQ1054" s="59"/>
      <c r="CR1054" s="59"/>
      <c r="CS1054" s="59"/>
      <c r="CT1054" s="59"/>
      <c r="CU1054" s="59"/>
      <c r="CV1054" s="59"/>
      <c r="CW1054" s="59"/>
      <c r="CX1054" s="59"/>
      <c r="CY1054" s="59"/>
      <c r="CZ1054" s="59"/>
      <c r="DA1054" s="59"/>
      <c r="DB1054" s="59"/>
      <c r="DC1054" s="59"/>
      <c r="DD1054" s="59"/>
      <c r="DE1054" s="59"/>
      <c r="DF1054" s="59"/>
      <c r="DG1054" s="59"/>
      <c r="DH1054" s="59"/>
      <c r="DI1054" s="59"/>
      <c r="DJ1054" s="59"/>
      <c r="DK1054" s="59"/>
      <c r="DL1054" s="59"/>
      <c r="DM1054" s="59"/>
      <c r="DN1054" s="59"/>
      <c r="DO1054" s="59"/>
      <c r="DP1054" s="59"/>
      <c r="DQ1054" s="59"/>
      <c r="DR1054" s="59"/>
      <c r="DS1054" s="59"/>
      <c r="DT1054" s="59"/>
      <c r="DU1054" s="59"/>
      <c r="DV1054" s="59"/>
      <c r="DW1054" s="59"/>
      <c r="DX1054" s="59"/>
      <c r="DY1054" s="59"/>
      <c r="DZ1054" s="59"/>
      <c r="EA1054" s="59"/>
      <c r="EB1054" s="59"/>
      <c r="EC1054" s="59"/>
      <c r="ED1054" s="59"/>
      <c r="EE1054" s="59"/>
      <c r="EF1054" s="59"/>
      <c r="EG1054" s="59"/>
      <c r="EH1054" s="59"/>
      <c r="EI1054" s="59"/>
      <c r="EJ1054" s="59"/>
      <c r="EK1054" s="59"/>
      <c r="EL1054" s="59"/>
      <c r="EM1054" s="59"/>
      <c r="EN1054" s="59"/>
      <c r="EO1054" s="59"/>
      <c r="EP1054" s="59"/>
      <c r="EQ1054" s="59"/>
      <c r="ER1054" s="59"/>
      <c r="ES1054" s="59"/>
      <c r="ET1054" s="59"/>
      <c r="EU1054" s="59"/>
      <c r="EV1054" s="59"/>
      <c r="EW1054" s="59"/>
      <c r="EX1054" s="59"/>
      <c r="EY1054" s="59"/>
      <c r="EZ1054" s="59"/>
      <c r="FA1054" s="59"/>
      <c r="FB1054" s="59"/>
      <c r="FC1054" s="59"/>
      <c r="FD1054" s="59"/>
      <c r="FE1054" s="59"/>
      <c r="FF1054" s="59"/>
      <c r="FG1054" s="59"/>
      <c r="FH1054" s="59"/>
      <c r="FI1054" s="59"/>
      <c r="FJ1054" s="59"/>
      <c r="FK1054" s="59"/>
      <c r="FL1054" s="59"/>
      <c r="FM1054" s="59"/>
      <c r="FN1054" s="59"/>
      <c r="FO1054" s="59"/>
      <c r="FP1054" s="59"/>
      <c r="FQ1054" s="59"/>
      <c r="FR1054" s="59"/>
      <c r="FS1054" s="59"/>
      <c r="FT1054" s="59"/>
      <c r="FU1054" s="59"/>
      <c r="FV1054" s="59"/>
      <c r="FW1054" s="59"/>
      <c r="FX1054" s="59"/>
      <c r="FY1054" s="59"/>
      <c r="FZ1054" s="59"/>
      <c r="GA1054" s="59"/>
      <c r="GB1054" s="59"/>
      <c r="GC1054" s="59"/>
    </row>
    <row r="1055">
      <c r="A1055" s="59"/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  <c r="BV1055" s="59"/>
      <c r="BW1055" s="59"/>
      <c r="BX1055" s="59"/>
      <c r="BY1055" s="59"/>
      <c r="BZ1055" s="59"/>
      <c r="CA1055" s="59"/>
      <c r="CB1055" s="59"/>
      <c r="CC1055" s="59"/>
      <c r="CD1055" s="59"/>
      <c r="CE1055" s="59"/>
      <c r="CF1055" s="59"/>
      <c r="CG1055" s="59"/>
      <c r="CH1055" s="59"/>
      <c r="CI1055" s="59"/>
      <c r="CJ1055" s="59"/>
      <c r="CK1055" s="59"/>
      <c r="CL1055" s="59"/>
      <c r="CM1055" s="59"/>
      <c r="CN1055" s="59"/>
      <c r="CO1055" s="59"/>
      <c r="CP1055" s="59"/>
      <c r="CQ1055" s="59"/>
      <c r="CR1055" s="59"/>
      <c r="CS1055" s="59"/>
      <c r="CT1055" s="59"/>
      <c r="CU1055" s="59"/>
      <c r="CV1055" s="59"/>
      <c r="CW1055" s="59"/>
      <c r="CX1055" s="59"/>
      <c r="CY1055" s="59"/>
      <c r="CZ1055" s="59"/>
      <c r="DA1055" s="59"/>
      <c r="DB1055" s="59"/>
      <c r="DC1055" s="59"/>
      <c r="DD1055" s="59"/>
      <c r="DE1055" s="59"/>
      <c r="DF1055" s="59"/>
      <c r="DG1055" s="59"/>
      <c r="DH1055" s="59"/>
      <c r="DI1055" s="59"/>
      <c r="DJ1055" s="59"/>
      <c r="DK1055" s="59"/>
      <c r="DL1055" s="59"/>
      <c r="DM1055" s="59"/>
      <c r="DN1055" s="59"/>
      <c r="DO1055" s="59"/>
      <c r="DP1055" s="59"/>
      <c r="DQ1055" s="59"/>
      <c r="DR1055" s="59"/>
      <c r="DS1055" s="59"/>
      <c r="DT1055" s="59"/>
      <c r="DU1055" s="59"/>
      <c r="DV1055" s="59"/>
      <c r="DW1055" s="59"/>
      <c r="DX1055" s="59"/>
      <c r="DY1055" s="59"/>
      <c r="DZ1055" s="59"/>
      <c r="EA1055" s="59"/>
      <c r="EB1055" s="59"/>
      <c r="EC1055" s="59"/>
      <c r="ED1055" s="59"/>
      <c r="EE1055" s="59"/>
      <c r="EF1055" s="59"/>
      <c r="EG1055" s="59"/>
      <c r="EH1055" s="59"/>
      <c r="EI1055" s="59"/>
      <c r="EJ1055" s="59"/>
      <c r="EK1055" s="59"/>
      <c r="EL1055" s="59"/>
      <c r="EM1055" s="59"/>
      <c r="EN1055" s="59"/>
      <c r="EO1055" s="59"/>
      <c r="EP1055" s="59"/>
      <c r="EQ1055" s="59"/>
      <c r="ER1055" s="59"/>
      <c r="ES1055" s="59"/>
      <c r="ET1055" s="59"/>
      <c r="EU1055" s="59"/>
      <c r="EV1055" s="59"/>
      <c r="EW1055" s="59"/>
      <c r="EX1055" s="59"/>
      <c r="EY1055" s="59"/>
      <c r="EZ1055" s="59"/>
      <c r="FA1055" s="59"/>
      <c r="FB1055" s="59"/>
      <c r="FC1055" s="59"/>
      <c r="FD1055" s="59"/>
      <c r="FE1055" s="59"/>
      <c r="FF1055" s="59"/>
      <c r="FG1055" s="59"/>
      <c r="FH1055" s="59"/>
      <c r="FI1055" s="59"/>
      <c r="FJ1055" s="59"/>
      <c r="FK1055" s="59"/>
      <c r="FL1055" s="59"/>
      <c r="FM1055" s="59"/>
      <c r="FN1055" s="59"/>
      <c r="FO1055" s="59"/>
      <c r="FP1055" s="59"/>
      <c r="FQ1055" s="59"/>
      <c r="FR1055" s="59"/>
      <c r="FS1055" s="59"/>
      <c r="FT1055" s="59"/>
      <c r="FU1055" s="59"/>
      <c r="FV1055" s="59"/>
      <c r="FW1055" s="59"/>
      <c r="FX1055" s="59"/>
      <c r="FY1055" s="59"/>
      <c r="FZ1055" s="59"/>
      <c r="GA1055" s="59"/>
      <c r="GB1055" s="59"/>
      <c r="GC1055" s="59"/>
    </row>
    <row r="1056">
      <c r="A1056" s="59"/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  <c r="BV1056" s="59"/>
      <c r="BW1056" s="59"/>
      <c r="BX1056" s="59"/>
      <c r="BY1056" s="59"/>
      <c r="BZ1056" s="59"/>
      <c r="CA1056" s="59"/>
      <c r="CB1056" s="59"/>
      <c r="CC1056" s="59"/>
      <c r="CD1056" s="59"/>
      <c r="CE1056" s="59"/>
      <c r="CF1056" s="59"/>
      <c r="CG1056" s="59"/>
      <c r="CH1056" s="59"/>
      <c r="CI1056" s="59"/>
      <c r="CJ1056" s="59"/>
      <c r="CK1056" s="59"/>
      <c r="CL1056" s="59"/>
      <c r="CM1056" s="59"/>
      <c r="CN1056" s="59"/>
      <c r="CO1056" s="59"/>
      <c r="CP1056" s="59"/>
      <c r="CQ1056" s="59"/>
      <c r="CR1056" s="59"/>
      <c r="CS1056" s="59"/>
      <c r="CT1056" s="59"/>
      <c r="CU1056" s="59"/>
      <c r="CV1056" s="59"/>
      <c r="CW1056" s="59"/>
      <c r="CX1056" s="59"/>
      <c r="CY1056" s="59"/>
      <c r="CZ1056" s="59"/>
      <c r="DA1056" s="59"/>
      <c r="DB1056" s="59"/>
      <c r="DC1056" s="59"/>
      <c r="DD1056" s="59"/>
      <c r="DE1056" s="59"/>
      <c r="DF1056" s="59"/>
      <c r="DG1056" s="59"/>
      <c r="DH1056" s="59"/>
      <c r="DI1056" s="59"/>
      <c r="DJ1056" s="59"/>
      <c r="DK1056" s="59"/>
      <c r="DL1056" s="59"/>
      <c r="DM1056" s="59"/>
      <c r="DN1056" s="59"/>
      <c r="DO1056" s="59"/>
      <c r="DP1056" s="59"/>
      <c r="DQ1056" s="59"/>
      <c r="DR1056" s="59"/>
      <c r="DS1056" s="59"/>
      <c r="DT1056" s="59"/>
      <c r="DU1056" s="59"/>
      <c r="DV1056" s="59"/>
      <c r="DW1056" s="59"/>
      <c r="DX1056" s="59"/>
      <c r="DY1056" s="59"/>
      <c r="DZ1056" s="59"/>
      <c r="EA1056" s="59"/>
      <c r="EB1056" s="59"/>
      <c r="EC1056" s="59"/>
      <c r="ED1056" s="59"/>
      <c r="EE1056" s="59"/>
      <c r="EF1056" s="59"/>
      <c r="EG1056" s="59"/>
      <c r="EH1056" s="59"/>
      <c r="EI1056" s="59"/>
      <c r="EJ1056" s="59"/>
      <c r="EK1056" s="59"/>
      <c r="EL1056" s="59"/>
      <c r="EM1056" s="59"/>
      <c r="EN1056" s="59"/>
      <c r="EO1056" s="59"/>
      <c r="EP1056" s="59"/>
      <c r="EQ1056" s="59"/>
      <c r="ER1056" s="59"/>
      <c r="ES1056" s="59"/>
      <c r="ET1056" s="59"/>
      <c r="EU1056" s="59"/>
      <c r="EV1056" s="59"/>
      <c r="EW1056" s="59"/>
      <c r="EX1056" s="59"/>
      <c r="EY1056" s="59"/>
      <c r="EZ1056" s="59"/>
      <c r="FA1056" s="59"/>
      <c r="FB1056" s="59"/>
      <c r="FC1056" s="59"/>
      <c r="FD1056" s="59"/>
      <c r="FE1056" s="59"/>
      <c r="FF1056" s="59"/>
      <c r="FG1056" s="59"/>
      <c r="FH1056" s="59"/>
      <c r="FI1056" s="59"/>
      <c r="FJ1056" s="59"/>
      <c r="FK1056" s="59"/>
      <c r="FL1056" s="59"/>
      <c r="FM1056" s="59"/>
      <c r="FN1056" s="59"/>
      <c r="FO1056" s="59"/>
      <c r="FP1056" s="59"/>
      <c r="FQ1056" s="59"/>
      <c r="FR1056" s="59"/>
      <c r="FS1056" s="59"/>
      <c r="FT1056" s="59"/>
      <c r="FU1056" s="59"/>
      <c r="FV1056" s="59"/>
      <c r="FW1056" s="59"/>
      <c r="FX1056" s="59"/>
      <c r="FY1056" s="59"/>
      <c r="FZ1056" s="59"/>
      <c r="GA1056" s="59"/>
      <c r="GB1056" s="59"/>
      <c r="GC1056" s="59"/>
    </row>
    <row r="1057">
      <c r="A1057" s="59"/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59"/>
      <c r="AG1057" s="59"/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  <c r="BV1057" s="59"/>
      <c r="BW1057" s="59"/>
      <c r="BX1057" s="59"/>
      <c r="BY1057" s="59"/>
      <c r="BZ1057" s="59"/>
      <c r="CA1057" s="59"/>
      <c r="CB1057" s="59"/>
      <c r="CC1057" s="59"/>
      <c r="CD1057" s="59"/>
      <c r="CE1057" s="59"/>
      <c r="CF1057" s="59"/>
      <c r="CG1057" s="59"/>
      <c r="CH1057" s="59"/>
      <c r="CI1057" s="59"/>
      <c r="CJ1057" s="59"/>
      <c r="CK1057" s="59"/>
      <c r="CL1057" s="59"/>
      <c r="CM1057" s="59"/>
      <c r="CN1057" s="59"/>
      <c r="CO1057" s="59"/>
      <c r="CP1057" s="59"/>
      <c r="CQ1057" s="59"/>
      <c r="CR1057" s="59"/>
      <c r="CS1057" s="59"/>
      <c r="CT1057" s="59"/>
      <c r="CU1057" s="59"/>
      <c r="CV1057" s="59"/>
      <c r="CW1057" s="59"/>
      <c r="CX1057" s="59"/>
      <c r="CY1057" s="59"/>
      <c r="CZ1057" s="59"/>
      <c r="DA1057" s="59"/>
      <c r="DB1057" s="59"/>
      <c r="DC1057" s="59"/>
      <c r="DD1057" s="59"/>
      <c r="DE1057" s="59"/>
      <c r="DF1057" s="59"/>
      <c r="DG1057" s="59"/>
      <c r="DH1057" s="59"/>
      <c r="DI1057" s="59"/>
      <c r="DJ1057" s="59"/>
      <c r="DK1057" s="59"/>
      <c r="DL1057" s="59"/>
      <c r="DM1057" s="59"/>
      <c r="DN1057" s="59"/>
      <c r="DO1057" s="59"/>
      <c r="DP1057" s="59"/>
      <c r="DQ1057" s="59"/>
      <c r="DR1057" s="59"/>
      <c r="DS1057" s="59"/>
      <c r="DT1057" s="59"/>
      <c r="DU1057" s="59"/>
      <c r="DV1057" s="59"/>
      <c r="DW1057" s="59"/>
      <c r="DX1057" s="59"/>
      <c r="DY1057" s="59"/>
      <c r="DZ1057" s="59"/>
      <c r="EA1057" s="59"/>
      <c r="EB1057" s="59"/>
      <c r="EC1057" s="59"/>
      <c r="ED1057" s="59"/>
      <c r="EE1057" s="59"/>
      <c r="EF1057" s="59"/>
      <c r="EG1057" s="59"/>
      <c r="EH1057" s="59"/>
      <c r="EI1057" s="59"/>
      <c r="EJ1057" s="59"/>
      <c r="EK1057" s="59"/>
      <c r="EL1057" s="59"/>
      <c r="EM1057" s="59"/>
      <c r="EN1057" s="59"/>
      <c r="EO1057" s="59"/>
      <c r="EP1057" s="59"/>
      <c r="EQ1057" s="59"/>
      <c r="ER1057" s="59"/>
      <c r="ES1057" s="59"/>
      <c r="ET1057" s="59"/>
      <c r="EU1057" s="59"/>
      <c r="EV1057" s="59"/>
      <c r="EW1057" s="59"/>
      <c r="EX1057" s="59"/>
      <c r="EY1057" s="59"/>
      <c r="EZ1057" s="59"/>
      <c r="FA1057" s="59"/>
      <c r="FB1057" s="59"/>
      <c r="FC1057" s="59"/>
      <c r="FD1057" s="59"/>
      <c r="FE1057" s="59"/>
      <c r="FF1057" s="59"/>
      <c r="FG1057" s="59"/>
      <c r="FH1057" s="59"/>
      <c r="FI1057" s="59"/>
      <c r="FJ1057" s="59"/>
      <c r="FK1057" s="59"/>
      <c r="FL1057" s="59"/>
      <c r="FM1057" s="59"/>
      <c r="FN1057" s="59"/>
      <c r="FO1057" s="59"/>
      <c r="FP1057" s="59"/>
      <c r="FQ1057" s="59"/>
      <c r="FR1057" s="59"/>
      <c r="FS1057" s="59"/>
      <c r="FT1057" s="59"/>
      <c r="FU1057" s="59"/>
      <c r="FV1057" s="59"/>
      <c r="FW1057" s="59"/>
      <c r="FX1057" s="59"/>
      <c r="FY1057" s="59"/>
      <c r="FZ1057" s="59"/>
      <c r="GA1057" s="59"/>
      <c r="GB1057" s="59"/>
      <c r="GC1057" s="59"/>
    </row>
    <row r="1058">
      <c r="A1058" s="59"/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59"/>
      <c r="AG1058" s="59"/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  <c r="BV1058" s="59"/>
      <c r="BW1058" s="59"/>
      <c r="BX1058" s="59"/>
      <c r="BY1058" s="59"/>
      <c r="BZ1058" s="59"/>
      <c r="CA1058" s="59"/>
      <c r="CB1058" s="59"/>
      <c r="CC1058" s="59"/>
      <c r="CD1058" s="59"/>
      <c r="CE1058" s="59"/>
      <c r="CF1058" s="59"/>
      <c r="CG1058" s="59"/>
      <c r="CH1058" s="59"/>
      <c r="CI1058" s="59"/>
      <c r="CJ1058" s="59"/>
      <c r="CK1058" s="59"/>
      <c r="CL1058" s="59"/>
      <c r="CM1058" s="59"/>
      <c r="CN1058" s="59"/>
      <c r="CO1058" s="59"/>
      <c r="CP1058" s="59"/>
      <c r="CQ1058" s="59"/>
      <c r="CR1058" s="59"/>
      <c r="CS1058" s="59"/>
      <c r="CT1058" s="59"/>
      <c r="CU1058" s="59"/>
      <c r="CV1058" s="59"/>
      <c r="CW1058" s="59"/>
      <c r="CX1058" s="59"/>
      <c r="CY1058" s="59"/>
      <c r="CZ1058" s="59"/>
      <c r="DA1058" s="59"/>
      <c r="DB1058" s="59"/>
      <c r="DC1058" s="59"/>
      <c r="DD1058" s="59"/>
      <c r="DE1058" s="59"/>
      <c r="DF1058" s="59"/>
      <c r="DG1058" s="59"/>
      <c r="DH1058" s="59"/>
      <c r="DI1058" s="59"/>
      <c r="DJ1058" s="59"/>
      <c r="DK1058" s="59"/>
      <c r="DL1058" s="59"/>
      <c r="DM1058" s="59"/>
      <c r="DN1058" s="59"/>
      <c r="DO1058" s="59"/>
      <c r="DP1058" s="59"/>
      <c r="DQ1058" s="59"/>
      <c r="DR1058" s="59"/>
      <c r="DS1058" s="59"/>
      <c r="DT1058" s="59"/>
      <c r="DU1058" s="59"/>
      <c r="DV1058" s="59"/>
      <c r="DW1058" s="59"/>
      <c r="DX1058" s="59"/>
      <c r="DY1058" s="59"/>
      <c r="DZ1058" s="59"/>
      <c r="EA1058" s="59"/>
      <c r="EB1058" s="59"/>
      <c r="EC1058" s="59"/>
      <c r="ED1058" s="59"/>
      <c r="EE1058" s="59"/>
      <c r="EF1058" s="59"/>
      <c r="EG1058" s="59"/>
      <c r="EH1058" s="59"/>
      <c r="EI1058" s="59"/>
      <c r="EJ1058" s="59"/>
      <c r="EK1058" s="59"/>
      <c r="EL1058" s="59"/>
      <c r="EM1058" s="59"/>
      <c r="EN1058" s="59"/>
      <c r="EO1058" s="59"/>
      <c r="EP1058" s="59"/>
      <c r="EQ1058" s="59"/>
      <c r="ER1058" s="59"/>
      <c r="ES1058" s="59"/>
      <c r="ET1058" s="59"/>
      <c r="EU1058" s="59"/>
      <c r="EV1058" s="59"/>
      <c r="EW1058" s="59"/>
      <c r="EX1058" s="59"/>
      <c r="EY1058" s="59"/>
      <c r="EZ1058" s="59"/>
      <c r="FA1058" s="59"/>
      <c r="FB1058" s="59"/>
      <c r="FC1058" s="59"/>
      <c r="FD1058" s="59"/>
      <c r="FE1058" s="59"/>
      <c r="FF1058" s="59"/>
      <c r="FG1058" s="59"/>
      <c r="FH1058" s="59"/>
      <c r="FI1058" s="59"/>
      <c r="FJ1058" s="59"/>
      <c r="FK1058" s="59"/>
      <c r="FL1058" s="59"/>
      <c r="FM1058" s="59"/>
      <c r="FN1058" s="59"/>
      <c r="FO1058" s="59"/>
      <c r="FP1058" s="59"/>
      <c r="FQ1058" s="59"/>
      <c r="FR1058" s="59"/>
      <c r="FS1058" s="59"/>
      <c r="FT1058" s="59"/>
      <c r="FU1058" s="59"/>
      <c r="FV1058" s="59"/>
      <c r="FW1058" s="59"/>
      <c r="FX1058" s="59"/>
      <c r="FY1058" s="59"/>
      <c r="FZ1058" s="59"/>
      <c r="GA1058" s="59"/>
      <c r="GB1058" s="59"/>
      <c r="GC1058" s="59"/>
    </row>
    <row r="1059">
      <c r="A1059" s="59"/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  <c r="BV1059" s="59"/>
      <c r="BW1059" s="59"/>
      <c r="BX1059" s="59"/>
      <c r="BY1059" s="59"/>
      <c r="BZ1059" s="59"/>
      <c r="CA1059" s="59"/>
      <c r="CB1059" s="59"/>
      <c r="CC1059" s="59"/>
      <c r="CD1059" s="59"/>
      <c r="CE1059" s="59"/>
      <c r="CF1059" s="59"/>
      <c r="CG1059" s="59"/>
      <c r="CH1059" s="59"/>
      <c r="CI1059" s="59"/>
      <c r="CJ1059" s="59"/>
      <c r="CK1059" s="59"/>
      <c r="CL1059" s="59"/>
      <c r="CM1059" s="59"/>
      <c r="CN1059" s="59"/>
      <c r="CO1059" s="59"/>
      <c r="CP1059" s="59"/>
      <c r="CQ1059" s="59"/>
      <c r="CR1059" s="59"/>
      <c r="CS1059" s="59"/>
      <c r="CT1059" s="59"/>
      <c r="CU1059" s="59"/>
      <c r="CV1059" s="59"/>
      <c r="CW1059" s="59"/>
      <c r="CX1059" s="59"/>
      <c r="CY1059" s="59"/>
      <c r="CZ1059" s="59"/>
      <c r="DA1059" s="59"/>
      <c r="DB1059" s="59"/>
      <c r="DC1059" s="59"/>
      <c r="DD1059" s="59"/>
      <c r="DE1059" s="59"/>
      <c r="DF1059" s="59"/>
      <c r="DG1059" s="59"/>
      <c r="DH1059" s="59"/>
      <c r="DI1059" s="59"/>
      <c r="DJ1059" s="59"/>
      <c r="DK1059" s="59"/>
      <c r="DL1059" s="59"/>
      <c r="DM1059" s="59"/>
      <c r="DN1059" s="59"/>
      <c r="DO1059" s="59"/>
      <c r="DP1059" s="59"/>
      <c r="DQ1059" s="59"/>
      <c r="DR1059" s="59"/>
      <c r="DS1059" s="59"/>
      <c r="DT1059" s="59"/>
      <c r="DU1059" s="59"/>
      <c r="DV1059" s="59"/>
      <c r="DW1059" s="59"/>
      <c r="DX1059" s="59"/>
      <c r="DY1059" s="59"/>
      <c r="DZ1059" s="59"/>
      <c r="EA1059" s="59"/>
      <c r="EB1059" s="59"/>
      <c r="EC1059" s="59"/>
      <c r="ED1059" s="59"/>
      <c r="EE1059" s="59"/>
      <c r="EF1059" s="59"/>
      <c r="EG1059" s="59"/>
      <c r="EH1059" s="59"/>
      <c r="EI1059" s="59"/>
      <c r="EJ1059" s="59"/>
      <c r="EK1059" s="59"/>
      <c r="EL1059" s="59"/>
      <c r="EM1059" s="59"/>
      <c r="EN1059" s="59"/>
      <c r="EO1059" s="59"/>
      <c r="EP1059" s="59"/>
      <c r="EQ1059" s="59"/>
      <c r="ER1059" s="59"/>
      <c r="ES1059" s="59"/>
      <c r="ET1059" s="59"/>
      <c r="EU1059" s="59"/>
      <c r="EV1059" s="59"/>
      <c r="EW1059" s="59"/>
      <c r="EX1059" s="59"/>
      <c r="EY1059" s="59"/>
      <c r="EZ1059" s="59"/>
      <c r="FA1059" s="59"/>
      <c r="FB1059" s="59"/>
      <c r="FC1059" s="59"/>
      <c r="FD1059" s="59"/>
      <c r="FE1059" s="59"/>
      <c r="FF1059" s="59"/>
      <c r="FG1059" s="59"/>
      <c r="FH1059" s="59"/>
      <c r="FI1059" s="59"/>
      <c r="FJ1059" s="59"/>
      <c r="FK1059" s="59"/>
      <c r="FL1059" s="59"/>
      <c r="FM1059" s="59"/>
      <c r="FN1059" s="59"/>
      <c r="FO1059" s="59"/>
      <c r="FP1059" s="59"/>
      <c r="FQ1059" s="59"/>
      <c r="FR1059" s="59"/>
      <c r="FS1059" s="59"/>
      <c r="FT1059" s="59"/>
      <c r="FU1059" s="59"/>
      <c r="FV1059" s="59"/>
      <c r="FW1059" s="59"/>
      <c r="FX1059" s="59"/>
      <c r="FY1059" s="59"/>
      <c r="FZ1059" s="59"/>
      <c r="GA1059" s="59"/>
      <c r="GB1059" s="59"/>
      <c r="GC1059" s="59"/>
    </row>
    <row r="1060">
      <c r="A1060" s="59"/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  <c r="BV1060" s="59"/>
      <c r="BW1060" s="59"/>
      <c r="BX1060" s="59"/>
      <c r="BY1060" s="59"/>
      <c r="BZ1060" s="59"/>
      <c r="CA1060" s="59"/>
      <c r="CB1060" s="59"/>
      <c r="CC1060" s="59"/>
      <c r="CD1060" s="59"/>
      <c r="CE1060" s="59"/>
      <c r="CF1060" s="59"/>
      <c r="CG1060" s="59"/>
      <c r="CH1060" s="59"/>
      <c r="CI1060" s="59"/>
      <c r="CJ1060" s="59"/>
      <c r="CK1060" s="59"/>
      <c r="CL1060" s="59"/>
      <c r="CM1060" s="59"/>
      <c r="CN1060" s="59"/>
      <c r="CO1060" s="59"/>
      <c r="CP1060" s="59"/>
      <c r="CQ1060" s="59"/>
      <c r="CR1060" s="59"/>
      <c r="CS1060" s="59"/>
      <c r="CT1060" s="59"/>
      <c r="CU1060" s="59"/>
      <c r="CV1060" s="59"/>
      <c r="CW1060" s="59"/>
      <c r="CX1060" s="59"/>
      <c r="CY1060" s="59"/>
      <c r="CZ1060" s="59"/>
      <c r="DA1060" s="59"/>
      <c r="DB1060" s="59"/>
      <c r="DC1060" s="59"/>
      <c r="DD1060" s="59"/>
      <c r="DE1060" s="59"/>
      <c r="DF1060" s="59"/>
      <c r="DG1060" s="59"/>
      <c r="DH1060" s="59"/>
      <c r="DI1060" s="59"/>
      <c r="DJ1060" s="59"/>
      <c r="DK1060" s="59"/>
      <c r="DL1060" s="59"/>
      <c r="DM1060" s="59"/>
      <c r="DN1060" s="59"/>
      <c r="DO1060" s="59"/>
      <c r="DP1060" s="59"/>
      <c r="DQ1060" s="59"/>
      <c r="DR1060" s="59"/>
      <c r="DS1060" s="59"/>
      <c r="DT1060" s="59"/>
      <c r="DU1060" s="59"/>
      <c r="DV1060" s="59"/>
      <c r="DW1060" s="59"/>
      <c r="DX1060" s="59"/>
      <c r="DY1060" s="59"/>
      <c r="DZ1060" s="59"/>
      <c r="EA1060" s="59"/>
      <c r="EB1060" s="59"/>
      <c r="EC1060" s="59"/>
      <c r="ED1060" s="59"/>
      <c r="EE1060" s="59"/>
      <c r="EF1060" s="59"/>
      <c r="EG1060" s="59"/>
      <c r="EH1060" s="59"/>
      <c r="EI1060" s="59"/>
      <c r="EJ1060" s="59"/>
      <c r="EK1060" s="59"/>
      <c r="EL1060" s="59"/>
      <c r="EM1060" s="59"/>
      <c r="EN1060" s="59"/>
      <c r="EO1060" s="59"/>
      <c r="EP1060" s="59"/>
      <c r="EQ1060" s="59"/>
      <c r="ER1060" s="59"/>
      <c r="ES1060" s="59"/>
      <c r="ET1060" s="59"/>
      <c r="EU1060" s="59"/>
      <c r="EV1060" s="59"/>
      <c r="EW1060" s="59"/>
      <c r="EX1060" s="59"/>
      <c r="EY1060" s="59"/>
      <c r="EZ1060" s="59"/>
      <c r="FA1060" s="59"/>
      <c r="FB1060" s="59"/>
      <c r="FC1060" s="59"/>
      <c r="FD1060" s="59"/>
      <c r="FE1060" s="59"/>
      <c r="FF1060" s="59"/>
      <c r="FG1060" s="59"/>
      <c r="FH1060" s="59"/>
      <c r="FI1060" s="59"/>
      <c r="FJ1060" s="59"/>
      <c r="FK1060" s="59"/>
      <c r="FL1060" s="59"/>
      <c r="FM1060" s="59"/>
      <c r="FN1060" s="59"/>
      <c r="FO1060" s="59"/>
      <c r="FP1060" s="59"/>
      <c r="FQ1060" s="59"/>
      <c r="FR1060" s="59"/>
      <c r="FS1060" s="59"/>
      <c r="FT1060" s="59"/>
      <c r="FU1060" s="59"/>
      <c r="FV1060" s="59"/>
      <c r="FW1060" s="59"/>
      <c r="FX1060" s="59"/>
      <c r="FY1060" s="59"/>
      <c r="FZ1060" s="59"/>
      <c r="GA1060" s="59"/>
      <c r="GB1060" s="59"/>
      <c r="GC1060" s="59"/>
    </row>
    <row r="1061">
      <c r="A1061" s="59"/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  <c r="BV1061" s="59"/>
      <c r="BW1061" s="59"/>
      <c r="BX1061" s="59"/>
      <c r="BY1061" s="59"/>
      <c r="BZ1061" s="59"/>
      <c r="CA1061" s="59"/>
      <c r="CB1061" s="59"/>
      <c r="CC1061" s="59"/>
      <c r="CD1061" s="59"/>
      <c r="CE1061" s="59"/>
      <c r="CF1061" s="59"/>
      <c r="CG1061" s="59"/>
      <c r="CH1061" s="59"/>
      <c r="CI1061" s="59"/>
      <c r="CJ1061" s="59"/>
      <c r="CK1061" s="59"/>
      <c r="CL1061" s="59"/>
      <c r="CM1061" s="59"/>
      <c r="CN1061" s="59"/>
      <c r="CO1061" s="59"/>
      <c r="CP1061" s="59"/>
      <c r="CQ1061" s="59"/>
      <c r="CR1061" s="59"/>
      <c r="CS1061" s="59"/>
      <c r="CT1061" s="59"/>
      <c r="CU1061" s="59"/>
      <c r="CV1061" s="59"/>
      <c r="CW1061" s="59"/>
      <c r="CX1061" s="59"/>
      <c r="CY1061" s="59"/>
      <c r="CZ1061" s="59"/>
      <c r="DA1061" s="59"/>
      <c r="DB1061" s="59"/>
      <c r="DC1061" s="59"/>
      <c r="DD1061" s="59"/>
      <c r="DE1061" s="59"/>
      <c r="DF1061" s="59"/>
      <c r="DG1061" s="59"/>
      <c r="DH1061" s="59"/>
      <c r="DI1061" s="59"/>
      <c r="DJ1061" s="59"/>
      <c r="DK1061" s="59"/>
      <c r="DL1061" s="59"/>
      <c r="DM1061" s="59"/>
      <c r="DN1061" s="59"/>
      <c r="DO1061" s="59"/>
      <c r="DP1061" s="59"/>
      <c r="DQ1061" s="59"/>
      <c r="DR1061" s="59"/>
      <c r="DS1061" s="59"/>
      <c r="DT1061" s="59"/>
      <c r="DU1061" s="59"/>
      <c r="DV1061" s="59"/>
      <c r="DW1061" s="59"/>
      <c r="DX1061" s="59"/>
      <c r="DY1061" s="59"/>
      <c r="DZ1061" s="59"/>
      <c r="EA1061" s="59"/>
      <c r="EB1061" s="59"/>
      <c r="EC1061" s="59"/>
      <c r="ED1061" s="59"/>
      <c r="EE1061" s="59"/>
      <c r="EF1061" s="59"/>
      <c r="EG1061" s="59"/>
      <c r="EH1061" s="59"/>
      <c r="EI1061" s="59"/>
      <c r="EJ1061" s="59"/>
      <c r="EK1061" s="59"/>
      <c r="EL1061" s="59"/>
      <c r="EM1061" s="59"/>
      <c r="EN1061" s="59"/>
      <c r="EO1061" s="59"/>
      <c r="EP1061" s="59"/>
      <c r="EQ1061" s="59"/>
      <c r="ER1061" s="59"/>
      <c r="ES1061" s="59"/>
      <c r="ET1061" s="59"/>
      <c r="EU1061" s="59"/>
      <c r="EV1061" s="59"/>
      <c r="EW1061" s="59"/>
      <c r="EX1061" s="59"/>
      <c r="EY1061" s="59"/>
      <c r="EZ1061" s="59"/>
      <c r="FA1061" s="59"/>
      <c r="FB1061" s="59"/>
      <c r="FC1061" s="59"/>
      <c r="FD1061" s="59"/>
      <c r="FE1061" s="59"/>
      <c r="FF1061" s="59"/>
      <c r="FG1061" s="59"/>
      <c r="FH1061" s="59"/>
      <c r="FI1061" s="59"/>
      <c r="FJ1061" s="59"/>
      <c r="FK1061" s="59"/>
      <c r="FL1061" s="59"/>
      <c r="FM1061" s="59"/>
      <c r="FN1061" s="59"/>
      <c r="FO1061" s="59"/>
      <c r="FP1061" s="59"/>
      <c r="FQ1061" s="59"/>
      <c r="FR1061" s="59"/>
      <c r="FS1061" s="59"/>
      <c r="FT1061" s="59"/>
      <c r="FU1061" s="59"/>
      <c r="FV1061" s="59"/>
      <c r="FW1061" s="59"/>
      <c r="FX1061" s="59"/>
      <c r="FY1061" s="59"/>
      <c r="FZ1061" s="59"/>
      <c r="GA1061" s="59"/>
      <c r="GB1061" s="59"/>
      <c r="GC1061" s="59"/>
    </row>
    <row r="1062">
      <c r="A1062" s="59"/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  <c r="BV1062" s="59"/>
      <c r="BW1062" s="59"/>
      <c r="BX1062" s="59"/>
      <c r="BY1062" s="59"/>
      <c r="BZ1062" s="59"/>
      <c r="CA1062" s="59"/>
      <c r="CB1062" s="59"/>
      <c r="CC1062" s="59"/>
      <c r="CD1062" s="59"/>
      <c r="CE1062" s="59"/>
      <c r="CF1062" s="59"/>
      <c r="CG1062" s="59"/>
      <c r="CH1062" s="59"/>
      <c r="CI1062" s="59"/>
      <c r="CJ1062" s="59"/>
      <c r="CK1062" s="59"/>
      <c r="CL1062" s="59"/>
      <c r="CM1062" s="59"/>
      <c r="CN1062" s="59"/>
      <c r="CO1062" s="59"/>
      <c r="CP1062" s="59"/>
      <c r="CQ1062" s="59"/>
      <c r="CR1062" s="59"/>
      <c r="CS1062" s="59"/>
      <c r="CT1062" s="59"/>
      <c r="CU1062" s="59"/>
      <c r="CV1062" s="59"/>
      <c r="CW1062" s="59"/>
      <c r="CX1062" s="59"/>
      <c r="CY1062" s="59"/>
      <c r="CZ1062" s="59"/>
      <c r="DA1062" s="59"/>
      <c r="DB1062" s="59"/>
      <c r="DC1062" s="59"/>
      <c r="DD1062" s="59"/>
      <c r="DE1062" s="59"/>
      <c r="DF1062" s="59"/>
      <c r="DG1062" s="59"/>
      <c r="DH1062" s="59"/>
      <c r="DI1062" s="59"/>
      <c r="DJ1062" s="59"/>
      <c r="DK1062" s="59"/>
      <c r="DL1062" s="59"/>
      <c r="DM1062" s="59"/>
      <c r="DN1062" s="59"/>
      <c r="DO1062" s="59"/>
      <c r="DP1062" s="59"/>
      <c r="DQ1062" s="59"/>
      <c r="DR1062" s="59"/>
      <c r="DS1062" s="59"/>
      <c r="DT1062" s="59"/>
      <c r="DU1062" s="59"/>
      <c r="DV1062" s="59"/>
      <c r="DW1062" s="59"/>
      <c r="DX1062" s="59"/>
      <c r="DY1062" s="59"/>
      <c r="DZ1062" s="59"/>
      <c r="EA1062" s="59"/>
      <c r="EB1062" s="59"/>
      <c r="EC1062" s="59"/>
      <c r="ED1062" s="59"/>
      <c r="EE1062" s="59"/>
      <c r="EF1062" s="59"/>
      <c r="EG1062" s="59"/>
      <c r="EH1062" s="59"/>
      <c r="EI1062" s="59"/>
      <c r="EJ1062" s="59"/>
      <c r="EK1062" s="59"/>
      <c r="EL1062" s="59"/>
      <c r="EM1062" s="59"/>
      <c r="EN1062" s="59"/>
      <c r="EO1062" s="59"/>
      <c r="EP1062" s="59"/>
      <c r="EQ1062" s="59"/>
      <c r="ER1062" s="59"/>
      <c r="ES1062" s="59"/>
      <c r="ET1062" s="59"/>
      <c r="EU1062" s="59"/>
      <c r="EV1062" s="59"/>
      <c r="EW1062" s="59"/>
      <c r="EX1062" s="59"/>
      <c r="EY1062" s="59"/>
      <c r="EZ1062" s="59"/>
      <c r="FA1062" s="59"/>
      <c r="FB1062" s="59"/>
      <c r="FC1062" s="59"/>
      <c r="FD1062" s="59"/>
      <c r="FE1062" s="59"/>
      <c r="FF1062" s="59"/>
      <c r="FG1062" s="59"/>
      <c r="FH1062" s="59"/>
      <c r="FI1062" s="59"/>
      <c r="FJ1062" s="59"/>
      <c r="FK1062" s="59"/>
      <c r="FL1062" s="59"/>
      <c r="FM1062" s="59"/>
      <c r="FN1062" s="59"/>
      <c r="FO1062" s="59"/>
      <c r="FP1062" s="59"/>
      <c r="FQ1062" s="59"/>
      <c r="FR1062" s="59"/>
      <c r="FS1062" s="59"/>
      <c r="FT1062" s="59"/>
      <c r="FU1062" s="59"/>
      <c r="FV1062" s="59"/>
      <c r="FW1062" s="59"/>
      <c r="FX1062" s="59"/>
      <c r="FY1062" s="59"/>
      <c r="FZ1062" s="59"/>
      <c r="GA1062" s="59"/>
      <c r="GB1062" s="59"/>
      <c r="GC1062" s="59"/>
    </row>
    <row r="1063">
      <c r="A1063" s="59"/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  <c r="BV1063" s="59"/>
      <c r="BW1063" s="59"/>
      <c r="BX1063" s="59"/>
      <c r="BY1063" s="59"/>
      <c r="BZ1063" s="59"/>
      <c r="CA1063" s="59"/>
      <c r="CB1063" s="59"/>
      <c r="CC1063" s="59"/>
      <c r="CD1063" s="59"/>
      <c r="CE1063" s="59"/>
      <c r="CF1063" s="59"/>
      <c r="CG1063" s="59"/>
      <c r="CH1063" s="59"/>
      <c r="CI1063" s="59"/>
      <c r="CJ1063" s="59"/>
      <c r="CK1063" s="59"/>
      <c r="CL1063" s="59"/>
      <c r="CM1063" s="59"/>
      <c r="CN1063" s="59"/>
      <c r="CO1063" s="59"/>
      <c r="CP1063" s="59"/>
      <c r="CQ1063" s="59"/>
      <c r="CR1063" s="59"/>
      <c r="CS1063" s="59"/>
      <c r="CT1063" s="59"/>
      <c r="CU1063" s="59"/>
      <c r="CV1063" s="59"/>
      <c r="CW1063" s="59"/>
      <c r="CX1063" s="59"/>
      <c r="CY1063" s="59"/>
      <c r="CZ1063" s="59"/>
      <c r="DA1063" s="59"/>
      <c r="DB1063" s="59"/>
      <c r="DC1063" s="59"/>
      <c r="DD1063" s="59"/>
      <c r="DE1063" s="59"/>
      <c r="DF1063" s="59"/>
      <c r="DG1063" s="59"/>
      <c r="DH1063" s="59"/>
      <c r="DI1063" s="59"/>
      <c r="DJ1063" s="59"/>
      <c r="DK1063" s="59"/>
      <c r="DL1063" s="59"/>
      <c r="DM1063" s="59"/>
      <c r="DN1063" s="59"/>
      <c r="DO1063" s="59"/>
      <c r="DP1063" s="59"/>
      <c r="DQ1063" s="59"/>
      <c r="DR1063" s="59"/>
      <c r="DS1063" s="59"/>
      <c r="DT1063" s="59"/>
      <c r="DU1063" s="59"/>
      <c r="DV1063" s="59"/>
      <c r="DW1063" s="59"/>
      <c r="DX1063" s="59"/>
      <c r="DY1063" s="59"/>
      <c r="DZ1063" s="59"/>
      <c r="EA1063" s="59"/>
      <c r="EB1063" s="59"/>
      <c r="EC1063" s="59"/>
      <c r="ED1063" s="59"/>
      <c r="EE1063" s="59"/>
      <c r="EF1063" s="59"/>
      <c r="EG1063" s="59"/>
      <c r="EH1063" s="59"/>
      <c r="EI1063" s="59"/>
      <c r="EJ1063" s="59"/>
      <c r="EK1063" s="59"/>
      <c r="EL1063" s="59"/>
      <c r="EM1063" s="59"/>
      <c r="EN1063" s="59"/>
      <c r="EO1063" s="59"/>
      <c r="EP1063" s="59"/>
      <c r="EQ1063" s="59"/>
      <c r="ER1063" s="59"/>
      <c r="ES1063" s="59"/>
      <c r="ET1063" s="59"/>
      <c r="EU1063" s="59"/>
      <c r="EV1063" s="59"/>
      <c r="EW1063" s="59"/>
      <c r="EX1063" s="59"/>
      <c r="EY1063" s="59"/>
      <c r="EZ1063" s="59"/>
      <c r="FA1063" s="59"/>
      <c r="FB1063" s="59"/>
      <c r="FC1063" s="59"/>
      <c r="FD1063" s="59"/>
      <c r="FE1063" s="59"/>
      <c r="FF1063" s="59"/>
      <c r="FG1063" s="59"/>
      <c r="FH1063" s="59"/>
      <c r="FI1063" s="59"/>
      <c r="FJ1063" s="59"/>
      <c r="FK1063" s="59"/>
      <c r="FL1063" s="59"/>
      <c r="FM1063" s="59"/>
      <c r="FN1063" s="59"/>
      <c r="FO1063" s="59"/>
      <c r="FP1063" s="59"/>
      <c r="FQ1063" s="59"/>
      <c r="FR1063" s="59"/>
      <c r="FS1063" s="59"/>
      <c r="FT1063" s="59"/>
      <c r="FU1063" s="59"/>
      <c r="FV1063" s="59"/>
      <c r="FW1063" s="59"/>
      <c r="FX1063" s="59"/>
      <c r="FY1063" s="59"/>
      <c r="FZ1063" s="59"/>
      <c r="GA1063" s="59"/>
      <c r="GB1063" s="59"/>
      <c r="GC1063" s="59"/>
    </row>
    <row r="1064">
      <c r="A1064" s="59"/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  <c r="BV1064" s="59"/>
      <c r="BW1064" s="59"/>
      <c r="BX1064" s="59"/>
      <c r="BY1064" s="59"/>
      <c r="BZ1064" s="59"/>
      <c r="CA1064" s="59"/>
      <c r="CB1064" s="59"/>
      <c r="CC1064" s="59"/>
      <c r="CD1064" s="59"/>
      <c r="CE1064" s="59"/>
      <c r="CF1064" s="59"/>
      <c r="CG1064" s="59"/>
      <c r="CH1064" s="59"/>
      <c r="CI1064" s="59"/>
      <c r="CJ1064" s="59"/>
      <c r="CK1064" s="59"/>
      <c r="CL1064" s="59"/>
      <c r="CM1064" s="59"/>
      <c r="CN1064" s="59"/>
      <c r="CO1064" s="59"/>
      <c r="CP1064" s="59"/>
      <c r="CQ1064" s="59"/>
      <c r="CR1064" s="59"/>
      <c r="CS1064" s="59"/>
      <c r="CT1064" s="59"/>
      <c r="CU1064" s="59"/>
      <c r="CV1064" s="59"/>
      <c r="CW1064" s="59"/>
      <c r="CX1064" s="59"/>
      <c r="CY1064" s="59"/>
      <c r="CZ1064" s="59"/>
      <c r="DA1064" s="59"/>
      <c r="DB1064" s="59"/>
      <c r="DC1064" s="59"/>
      <c r="DD1064" s="59"/>
      <c r="DE1064" s="59"/>
      <c r="DF1064" s="59"/>
      <c r="DG1064" s="59"/>
      <c r="DH1064" s="59"/>
      <c r="DI1064" s="59"/>
      <c r="DJ1064" s="59"/>
      <c r="DK1064" s="59"/>
      <c r="DL1064" s="59"/>
      <c r="DM1064" s="59"/>
      <c r="DN1064" s="59"/>
      <c r="DO1064" s="59"/>
      <c r="DP1064" s="59"/>
      <c r="DQ1064" s="59"/>
      <c r="DR1064" s="59"/>
      <c r="DS1064" s="59"/>
      <c r="DT1064" s="59"/>
      <c r="DU1064" s="59"/>
      <c r="DV1064" s="59"/>
      <c r="DW1064" s="59"/>
      <c r="DX1064" s="59"/>
      <c r="DY1064" s="59"/>
      <c r="DZ1064" s="59"/>
      <c r="EA1064" s="59"/>
      <c r="EB1064" s="59"/>
      <c r="EC1064" s="59"/>
      <c r="ED1064" s="59"/>
      <c r="EE1064" s="59"/>
      <c r="EF1064" s="59"/>
      <c r="EG1064" s="59"/>
      <c r="EH1064" s="59"/>
      <c r="EI1064" s="59"/>
      <c r="EJ1064" s="59"/>
      <c r="EK1064" s="59"/>
      <c r="EL1064" s="59"/>
      <c r="EM1064" s="59"/>
      <c r="EN1064" s="59"/>
      <c r="EO1064" s="59"/>
      <c r="EP1064" s="59"/>
      <c r="EQ1064" s="59"/>
      <c r="ER1064" s="59"/>
      <c r="ES1064" s="59"/>
      <c r="ET1064" s="59"/>
      <c r="EU1064" s="59"/>
      <c r="EV1064" s="59"/>
      <c r="EW1064" s="59"/>
      <c r="EX1064" s="59"/>
      <c r="EY1064" s="59"/>
      <c r="EZ1064" s="59"/>
      <c r="FA1064" s="59"/>
      <c r="FB1064" s="59"/>
      <c r="FC1064" s="59"/>
      <c r="FD1064" s="59"/>
      <c r="FE1064" s="59"/>
      <c r="FF1064" s="59"/>
      <c r="FG1064" s="59"/>
      <c r="FH1064" s="59"/>
      <c r="FI1064" s="59"/>
      <c r="FJ1064" s="59"/>
      <c r="FK1064" s="59"/>
      <c r="FL1064" s="59"/>
      <c r="FM1064" s="59"/>
      <c r="FN1064" s="59"/>
      <c r="FO1064" s="59"/>
      <c r="FP1064" s="59"/>
      <c r="FQ1064" s="59"/>
      <c r="FR1064" s="59"/>
      <c r="FS1064" s="59"/>
      <c r="FT1064" s="59"/>
      <c r="FU1064" s="59"/>
      <c r="FV1064" s="59"/>
      <c r="FW1064" s="59"/>
      <c r="FX1064" s="59"/>
      <c r="FY1064" s="59"/>
      <c r="FZ1064" s="59"/>
      <c r="GA1064" s="59"/>
      <c r="GB1064" s="59"/>
      <c r="GC1064" s="59"/>
    </row>
    <row r="1065">
      <c r="A1065" s="59"/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  <c r="BV1065" s="59"/>
      <c r="BW1065" s="59"/>
      <c r="BX1065" s="59"/>
      <c r="BY1065" s="59"/>
      <c r="BZ1065" s="59"/>
      <c r="CA1065" s="59"/>
      <c r="CB1065" s="59"/>
      <c r="CC1065" s="59"/>
      <c r="CD1065" s="59"/>
      <c r="CE1065" s="59"/>
      <c r="CF1065" s="59"/>
      <c r="CG1065" s="59"/>
      <c r="CH1065" s="59"/>
      <c r="CI1065" s="59"/>
      <c r="CJ1065" s="59"/>
      <c r="CK1065" s="59"/>
      <c r="CL1065" s="59"/>
      <c r="CM1065" s="59"/>
      <c r="CN1065" s="59"/>
      <c r="CO1065" s="59"/>
      <c r="CP1065" s="59"/>
      <c r="CQ1065" s="59"/>
      <c r="CR1065" s="59"/>
      <c r="CS1065" s="59"/>
      <c r="CT1065" s="59"/>
      <c r="CU1065" s="59"/>
      <c r="CV1065" s="59"/>
      <c r="CW1065" s="59"/>
      <c r="CX1065" s="59"/>
      <c r="CY1065" s="59"/>
      <c r="CZ1065" s="59"/>
      <c r="DA1065" s="59"/>
      <c r="DB1065" s="59"/>
      <c r="DC1065" s="59"/>
      <c r="DD1065" s="59"/>
      <c r="DE1065" s="59"/>
      <c r="DF1065" s="59"/>
      <c r="DG1065" s="59"/>
      <c r="DH1065" s="59"/>
      <c r="DI1065" s="59"/>
      <c r="DJ1065" s="59"/>
      <c r="DK1065" s="59"/>
      <c r="DL1065" s="59"/>
      <c r="DM1065" s="59"/>
      <c r="DN1065" s="59"/>
      <c r="DO1065" s="59"/>
      <c r="DP1065" s="59"/>
      <c r="DQ1065" s="59"/>
      <c r="DR1065" s="59"/>
      <c r="DS1065" s="59"/>
      <c r="DT1065" s="59"/>
      <c r="DU1065" s="59"/>
      <c r="DV1065" s="59"/>
      <c r="DW1065" s="59"/>
      <c r="DX1065" s="59"/>
      <c r="DY1065" s="59"/>
      <c r="DZ1065" s="59"/>
      <c r="EA1065" s="59"/>
      <c r="EB1065" s="59"/>
      <c r="EC1065" s="59"/>
      <c r="ED1065" s="59"/>
      <c r="EE1065" s="59"/>
      <c r="EF1065" s="59"/>
      <c r="EG1065" s="59"/>
      <c r="EH1065" s="59"/>
      <c r="EI1065" s="59"/>
      <c r="EJ1065" s="59"/>
      <c r="EK1065" s="59"/>
      <c r="EL1065" s="59"/>
      <c r="EM1065" s="59"/>
      <c r="EN1065" s="59"/>
      <c r="EO1065" s="59"/>
      <c r="EP1065" s="59"/>
      <c r="EQ1065" s="59"/>
      <c r="ER1065" s="59"/>
      <c r="ES1065" s="59"/>
      <c r="ET1065" s="59"/>
      <c r="EU1065" s="59"/>
      <c r="EV1065" s="59"/>
      <c r="EW1065" s="59"/>
      <c r="EX1065" s="59"/>
      <c r="EY1065" s="59"/>
      <c r="EZ1065" s="59"/>
      <c r="FA1065" s="59"/>
      <c r="FB1065" s="59"/>
      <c r="FC1065" s="59"/>
      <c r="FD1065" s="59"/>
      <c r="FE1065" s="59"/>
      <c r="FF1065" s="59"/>
      <c r="FG1065" s="59"/>
      <c r="FH1065" s="59"/>
      <c r="FI1065" s="59"/>
      <c r="FJ1065" s="59"/>
      <c r="FK1065" s="59"/>
      <c r="FL1065" s="59"/>
      <c r="FM1065" s="59"/>
      <c r="FN1065" s="59"/>
      <c r="FO1065" s="59"/>
      <c r="FP1065" s="59"/>
      <c r="FQ1065" s="59"/>
      <c r="FR1065" s="59"/>
      <c r="FS1065" s="59"/>
      <c r="FT1065" s="59"/>
      <c r="FU1065" s="59"/>
      <c r="FV1065" s="59"/>
      <c r="FW1065" s="59"/>
      <c r="FX1065" s="59"/>
      <c r="FY1065" s="59"/>
      <c r="FZ1065" s="59"/>
      <c r="GA1065" s="59"/>
      <c r="GB1065" s="59"/>
      <c r="GC1065" s="59"/>
    </row>
    <row r="1066">
      <c r="A1066" s="59"/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  <c r="BV1066" s="59"/>
      <c r="BW1066" s="59"/>
      <c r="BX1066" s="59"/>
      <c r="BY1066" s="59"/>
      <c r="BZ1066" s="59"/>
      <c r="CA1066" s="59"/>
      <c r="CB1066" s="59"/>
      <c r="CC1066" s="59"/>
      <c r="CD1066" s="59"/>
      <c r="CE1066" s="59"/>
      <c r="CF1066" s="59"/>
      <c r="CG1066" s="59"/>
      <c r="CH1066" s="59"/>
      <c r="CI1066" s="59"/>
      <c r="CJ1066" s="59"/>
      <c r="CK1066" s="59"/>
      <c r="CL1066" s="59"/>
      <c r="CM1066" s="59"/>
      <c r="CN1066" s="59"/>
      <c r="CO1066" s="59"/>
      <c r="CP1066" s="59"/>
      <c r="CQ1066" s="59"/>
      <c r="CR1066" s="59"/>
      <c r="CS1066" s="59"/>
      <c r="CT1066" s="59"/>
      <c r="CU1066" s="59"/>
      <c r="CV1066" s="59"/>
      <c r="CW1066" s="59"/>
      <c r="CX1066" s="59"/>
      <c r="CY1066" s="59"/>
      <c r="CZ1066" s="59"/>
      <c r="DA1066" s="59"/>
      <c r="DB1066" s="59"/>
      <c r="DC1066" s="59"/>
      <c r="DD1066" s="59"/>
      <c r="DE1066" s="59"/>
      <c r="DF1066" s="59"/>
      <c r="DG1066" s="59"/>
      <c r="DH1066" s="59"/>
      <c r="DI1066" s="59"/>
      <c r="DJ1066" s="59"/>
      <c r="DK1066" s="59"/>
      <c r="DL1066" s="59"/>
      <c r="DM1066" s="59"/>
      <c r="DN1066" s="59"/>
      <c r="DO1066" s="59"/>
      <c r="DP1066" s="59"/>
      <c r="DQ1066" s="59"/>
      <c r="DR1066" s="59"/>
      <c r="DS1066" s="59"/>
      <c r="DT1066" s="59"/>
      <c r="DU1066" s="59"/>
      <c r="DV1066" s="59"/>
      <c r="DW1066" s="59"/>
      <c r="DX1066" s="59"/>
      <c r="DY1066" s="59"/>
      <c r="DZ1066" s="59"/>
      <c r="EA1066" s="59"/>
      <c r="EB1066" s="59"/>
      <c r="EC1066" s="59"/>
      <c r="ED1066" s="59"/>
      <c r="EE1066" s="59"/>
      <c r="EF1066" s="59"/>
      <c r="EG1066" s="59"/>
      <c r="EH1066" s="59"/>
      <c r="EI1066" s="59"/>
      <c r="EJ1066" s="59"/>
      <c r="EK1066" s="59"/>
      <c r="EL1066" s="59"/>
      <c r="EM1066" s="59"/>
      <c r="EN1066" s="59"/>
      <c r="EO1066" s="59"/>
      <c r="EP1066" s="59"/>
      <c r="EQ1066" s="59"/>
      <c r="ER1066" s="59"/>
      <c r="ES1066" s="59"/>
      <c r="ET1066" s="59"/>
      <c r="EU1066" s="59"/>
      <c r="EV1066" s="59"/>
      <c r="EW1066" s="59"/>
      <c r="EX1066" s="59"/>
      <c r="EY1066" s="59"/>
      <c r="EZ1066" s="59"/>
      <c r="FA1066" s="59"/>
      <c r="FB1066" s="59"/>
      <c r="FC1066" s="59"/>
      <c r="FD1066" s="59"/>
      <c r="FE1066" s="59"/>
      <c r="FF1066" s="59"/>
      <c r="FG1066" s="59"/>
      <c r="FH1066" s="59"/>
      <c r="FI1066" s="59"/>
      <c r="FJ1066" s="59"/>
      <c r="FK1066" s="59"/>
      <c r="FL1066" s="59"/>
      <c r="FM1066" s="59"/>
      <c r="FN1066" s="59"/>
      <c r="FO1066" s="59"/>
      <c r="FP1066" s="59"/>
      <c r="FQ1066" s="59"/>
      <c r="FR1066" s="59"/>
      <c r="FS1066" s="59"/>
      <c r="FT1066" s="59"/>
      <c r="FU1066" s="59"/>
      <c r="FV1066" s="59"/>
      <c r="FW1066" s="59"/>
      <c r="FX1066" s="59"/>
      <c r="FY1066" s="59"/>
      <c r="FZ1066" s="59"/>
      <c r="GA1066" s="59"/>
      <c r="GB1066" s="59"/>
      <c r="GC1066" s="59"/>
    </row>
    <row r="1067">
      <c r="A1067" s="59"/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  <c r="BV1067" s="59"/>
      <c r="BW1067" s="59"/>
      <c r="BX1067" s="59"/>
      <c r="BY1067" s="59"/>
      <c r="BZ1067" s="59"/>
      <c r="CA1067" s="59"/>
      <c r="CB1067" s="59"/>
      <c r="CC1067" s="59"/>
      <c r="CD1067" s="59"/>
      <c r="CE1067" s="59"/>
      <c r="CF1067" s="59"/>
      <c r="CG1067" s="59"/>
      <c r="CH1067" s="59"/>
      <c r="CI1067" s="59"/>
      <c r="CJ1067" s="59"/>
      <c r="CK1067" s="59"/>
      <c r="CL1067" s="59"/>
      <c r="CM1067" s="59"/>
      <c r="CN1067" s="59"/>
      <c r="CO1067" s="59"/>
      <c r="CP1067" s="59"/>
      <c r="CQ1067" s="59"/>
      <c r="CR1067" s="59"/>
      <c r="CS1067" s="59"/>
      <c r="CT1067" s="59"/>
      <c r="CU1067" s="59"/>
      <c r="CV1067" s="59"/>
      <c r="CW1067" s="59"/>
      <c r="CX1067" s="59"/>
      <c r="CY1067" s="59"/>
      <c r="CZ1067" s="59"/>
      <c r="DA1067" s="59"/>
      <c r="DB1067" s="59"/>
      <c r="DC1067" s="59"/>
      <c r="DD1067" s="59"/>
      <c r="DE1067" s="59"/>
      <c r="DF1067" s="59"/>
      <c r="DG1067" s="59"/>
      <c r="DH1067" s="59"/>
      <c r="DI1067" s="59"/>
      <c r="DJ1067" s="59"/>
      <c r="DK1067" s="59"/>
      <c r="DL1067" s="59"/>
      <c r="DM1067" s="59"/>
      <c r="DN1067" s="59"/>
      <c r="DO1067" s="59"/>
      <c r="DP1067" s="59"/>
      <c r="DQ1067" s="59"/>
      <c r="DR1067" s="59"/>
      <c r="DS1067" s="59"/>
      <c r="DT1067" s="59"/>
      <c r="DU1067" s="59"/>
      <c r="DV1067" s="59"/>
      <c r="DW1067" s="59"/>
      <c r="DX1067" s="59"/>
      <c r="DY1067" s="59"/>
      <c r="DZ1067" s="59"/>
      <c r="EA1067" s="59"/>
      <c r="EB1067" s="59"/>
      <c r="EC1067" s="59"/>
      <c r="ED1067" s="59"/>
      <c r="EE1067" s="59"/>
      <c r="EF1067" s="59"/>
      <c r="EG1067" s="59"/>
      <c r="EH1067" s="59"/>
      <c r="EI1067" s="59"/>
      <c r="EJ1067" s="59"/>
      <c r="EK1067" s="59"/>
      <c r="EL1067" s="59"/>
      <c r="EM1067" s="59"/>
      <c r="EN1067" s="59"/>
      <c r="EO1067" s="59"/>
      <c r="EP1067" s="59"/>
      <c r="EQ1067" s="59"/>
      <c r="ER1067" s="59"/>
      <c r="ES1067" s="59"/>
      <c r="ET1067" s="59"/>
      <c r="EU1067" s="59"/>
      <c r="EV1067" s="59"/>
      <c r="EW1067" s="59"/>
      <c r="EX1067" s="59"/>
      <c r="EY1067" s="59"/>
      <c r="EZ1067" s="59"/>
      <c r="FA1067" s="59"/>
      <c r="FB1067" s="59"/>
      <c r="FC1067" s="59"/>
      <c r="FD1067" s="59"/>
      <c r="FE1067" s="59"/>
      <c r="FF1067" s="59"/>
      <c r="FG1067" s="59"/>
      <c r="FH1067" s="59"/>
      <c r="FI1067" s="59"/>
      <c r="FJ1067" s="59"/>
      <c r="FK1067" s="59"/>
      <c r="FL1067" s="59"/>
      <c r="FM1067" s="59"/>
      <c r="FN1067" s="59"/>
      <c r="FO1067" s="59"/>
      <c r="FP1067" s="59"/>
      <c r="FQ1067" s="59"/>
      <c r="FR1067" s="59"/>
      <c r="FS1067" s="59"/>
      <c r="FT1067" s="59"/>
      <c r="FU1067" s="59"/>
      <c r="FV1067" s="59"/>
      <c r="FW1067" s="59"/>
      <c r="FX1067" s="59"/>
      <c r="FY1067" s="59"/>
      <c r="FZ1067" s="59"/>
      <c r="GA1067" s="59"/>
      <c r="GB1067" s="59"/>
      <c r="GC1067" s="59"/>
    </row>
    <row r="1068">
      <c r="A1068" s="59"/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  <c r="BV1068" s="59"/>
      <c r="BW1068" s="59"/>
      <c r="BX1068" s="59"/>
      <c r="BY1068" s="59"/>
      <c r="BZ1068" s="59"/>
      <c r="CA1068" s="59"/>
      <c r="CB1068" s="59"/>
      <c r="CC1068" s="59"/>
      <c r="CD1068" s="59"/>
      <c r="CE1068" s="59"/>
      <c r="CF1068" s="59"/>
      <c r="CG1068" s="59"/>
      <c r="CH1068" s="59"/>
      <c r="CI1068" s="59"/>
      <c r="CJ1068" s="59"/>
      <c r="CK1068" s="59"/>
      <c r="CL1068" s="59"/>
      <c r="CM1068" s="59"/>
      <c r="CN1068" s="59"/>
      <c r="CO1068" s="59"/>
      <c r="CP1068" s="59"/>
      <c r="CQ1068" s="59"/>
      <c r="CR1068" s="59"/>
      <c r="CS1068" s="59"/>
      <c r="CT1068" s="59"/>
      <c r="CU1068" s="59"/>
      <c r="CV1068" s="59"/>
      <c r="CW1068" s="59"/>
      <c r="CX1068" s="59"/>
      <c r="CY1068" s="59"/>
      <c r="CZ1068" s="59"/>
      <c r="DA1068" s="59"/>
      <c r="DB1068" s="59"/>
      <c r="DC1068" s="59"/>
      <c r="DD1068" s="59"/>
      <c r="DE1068" s="59"/>
      <c r="DF1068" s="59"/>
      <c r="DG1068" s="59"/>
      <c r="DH1068" s="59"/>
      <c r="DI1068" s="59"/>
      <c r="DJ1068" s="59"/>
      <c r="DK1068" s="59"/>
      <c r="DL1068" s="59"/>
      <c r="DM1068" s="59"/>
      <c r="DN1068" s="59"/>
      <c r="DO1068" s="59"/>
      <c r="DP1068" s="59"/>
      <c r="DQ1068" s="59"/>
      <c r="DR1068" s="59"/>
      <c r="DS1068" s="59"/>
      <c r="DT1068" s="59"/>
      <c r="DU1068" s="59"/>
      <c r="DV1068" s="59"/>
      <c r="DW1068" s="59"/>
      <c r="DX1068" s="59"/>
      <c r="DY1068" s="59"/>
      <c r="DZ1068" s="59"/>
      <c r="EA1068" s="59"/>
      <c r="EB1068" s="59"/>
      <c r="EC1068" s="59"/>
      <c r="ED1068" s="59"/>
      <c r="EE1068" s="59"/>
      <c r="EF1068" s="59"/>
      <c r="EG1068" s="59"/>
      <c r="EH1068" s="59"/>
      <c r="EI1068" s="59"/>
      <c r="EJ1068" s="59"/>
      <c r="EK1068" s="59"/>
      <c r="EL1068" s="59"/>
      <c r="EM1068" s="59"/>
      <c r="EN1068" s="59"/>
      <c r="EO1068" s="59"/>
      <c r="EP1068" s="59"/>
      <c r="EQ1068" s="59"/>
      <c r="ER1068" s="59"/>
      <c r="ES1068" s="59"/>
      <c r="ET1068" s="59"/>
      <c r="EU1068" s="59"/>
      <c r="EV1068" s="59"/>
      <c r="EW1068" s="59"/>
      <c r="EX1068" s="59"/>
      <c r="EY1068" s="59"/>
      <c r="EZ1068" s="59"/>
      <c r="FA1068" s="59"/>
      <c r="FB1068" s="59"/>
      <c r="FC1068" s="59"/>
      <c r="FD1068" s="59"/>
      <c r="FE1068" s="59"/>
      <c r="FF1068" s="59"/>
      <c r="FG1068" s="59"/>
      <c r="FH1068" s="59"/>
      <c r="FI1068" s="59"/>
      <c r="FJ1068" s="59"/>
      <c r="FK1068" s="59"/>
      <c r="FL1068" s="59"/>
      <c r="FM1068" s="59"/>
      <c r="FN1068" s="59"/>
      <c r="FO1068" s="59"/>
      <c r="FP1068" s="59"/>
      <c r="FQ1068" s="59"/>
      <c r="FR1068" s="59"/>
      <c r="FS1068" s="59"/>
      <c r="FT1068" s="59"/>
      <c r="FU1068" s="59"/>
      <c r="FV1068" s="59"/>
      <c r="FW1068" s="59"/>
      <c r="FX1068" s="59"/>
      <c r="FY1068" s="59"/>
      <c r="FZ1068" s="59"/>
      <c r="GA1068" s="59"/>
      <c r="GB1068" s="59"/>
      <c r="GC1068" s="59"/>
    </row>
    <row r="1069">
      <c r="A1069" s="59"/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  <c r="BV1069" s="59"/>
      <c r="BW1069" s="59"/>
      <c r="BX1069" s="59"/>
      <c r="BY1069" s="59"/>
      <c r="BZ1069" s="59"/>
      <c r="CA1069" s="59"/>
      <c r="CB1069" s="59"/>
      <c r="CC1069" s="59"/>
      <c r="CD1069" s="59"/>
      <c r="CE1069" s="59"/>
      <c r="CF1069" s="59"/>
      <c r="CG1069" s="59"/>
      <c r="CH1069" s="59"/>
      <c r="CI1069" s="59"/>
      <c r="CJ1069" s="59"/>
      <c r="CK1069" s="59"/>
      <c r="CL1069" s="59"/>
      <c r="CM1069" s="59"/>
      <c r="CN1069" s="59"/>
      <c r="CO1069" s="59"/>
      <c r="CP1069" s="59"/>
      <c r="CQ1069" s="59"/>
      <c r="CR1069" s="59"/>
      <c r="CS1069" s="59"/>
      <c r="CT1069" s="59"/>
      <c r="CU1069" s="59"/>
      <c r="CV1069" s="59"/>
      <c r="CW1069" s="59"/>
      <c r="CX1069" s="59"/>
      <c r="CY1069" s="59"/>
      <c r="CZ1069" s="59"/>
      <c r="DA1069" s="59"/>
      <c r="DB1069" s="59"/>
      <c r="DC1069" s="59"/>
      <c r="DD1069" s="59"/>
      <c r="DE1069" s="59"/>
      <c r="DF1069" s="59"/>
      <c r="DG1069" s="59"/>
      <c r="DH1069" s="59"/>
      <c r="DI1069" s="59"/>
      <c r="DJ1069" s="59"/>
      <c r="DK1069" s="59"/>
      <c r="DL1069" s="59"/>
      <c r="DM1069" s="59"/>
      <c r="DN1069" s="59"/>
      <c r="DO1069" s="59"/>
      <c r="DP1069" s="59"/>
      <c r="DQ1069" s="59"/>
      <c r="DR1069" s="59"/>
      <c r="DS1069" s="59"/>
      <c r="DT1069" s="59"/>
      <c r="DU1069" s="59"/>
      <c r="DV1069" s="59"/>
      <c r="DW1069" s="59"/>
      <c r="DX1069" s="59"/>
      <c r="DY1069" s="59"/>
      <c r="DZ1069" s="59"/>
      <c r="EA1069" s="59"/>
      <c r="EB1069" s="59"/>
      <c r="EC1069" s="59"/>
      <c r="ED1069" s="59"/>
      <c r="EE1069" s="59"/>
      <c r="EF1069" s="59"/>
      <c r="EG1069" s="59"/>
      <c r="EH1069" s="59"/>
      <c r="EI1069" s="59"/>
      <c r="EJ1069" s="59"/>
      <c r="EK1069" s="59"/>
      <c r="EL1069" s="59"/>
      <c r="EM1069" s="59"/>
      <c r="EN1069" s="59"/>
      <c r="EO1069" s="59"/>
      <c r="EP1069" s="59"/>
      <c r="EQ1069" s="59"/>
      <c r="ER1069" s="59"/>
      <c r="ES1069" s="59"/>
      <c r="ET1069" s="59"/>
      <c r="EU1069" s="59"/>
      <c r="EV1069" s="59"/>
      <c r="EW1069" s="59"/>
      <c r="EX1069" s="59"/>
      <c r="EY1069" s="59"/>
      <c r="EZ1069" s="59"/>
      <c r="FA1069" s="59"/>
      <c r="FB1069" s="59"/>
      <c r="FC1069" s="59"/>
      <c r="FD1069" s="59"/>
      <c r="FE1069" s="59"/>
      <c r="FF1069" s="59"/>
      <c r="FG1069" s="59"/>
      <c r="FH1069" s="59"/>
      <c r="FI1069" s="59"/>
      <c r="FJ1069" s="59"/>
      <c r="FK1069" s="59"/>
      <c r="FL1069" s="59"/>
      <c r="FM1069" s="59"/>
      <c r="FN1069" s="59"/>
      <c r="FO1069" s="59"/>
      <c r="FP1069" s="59"/>
      <c r="FQ1069" s="59"/>
      <c r="FR1069" s="59"/>
      <c r="FS1069" s="59"/>
      <c r="FT1069" s="59"/>
      <c r="FU1069" s="59"/>
      <c r="FV1069" s="59"/>
      <c r="FW1069" s="59"/>
      <c r="FX1069" s="59"/>
      <c r="FY1069" s="59"/>
      <c r="FZ1069" s="59"/>
      <c r="GA1069" s="59"/>
      <c r="GB1069" s="59"/>
      <c r="GC1069" s="59"/>
    </row>
    <row r="1070">
      <c r="A1070" s="59"/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  <c r="BV1070" s="59"/>
      <c r="BW1070" s="59"/>
      <c r="BX1070" s="59"/>
      <c r="BY1070" s="59"/>
      <c r="BZ1070" s="59"/>
      <c r="CA1070" s="59"/>
      <c r="CB1070" s="59"/>
      <c r="CC1070" s="59"/>
      <c r="CD1070" s="59"/>
      <c r="CE1070" s="59"/>
      <c r="CF1070" s="59"/>
      <c r="CG1070" s="59"/>
      <c r="CH1070" s="59"/>
      <c r="CI1070" s="59"/>
      <c r="CJ1070" s="59"/>
      <c r="CK1070" s="59"/>
      <c r="CL1070" s="59"/>
      <c r="CM1070" s="59"/>
      <c r="CN1070" s="59"/>
      <c r="CO1070" s="59"/>
      <c r="CP1070" s="59"/>
      <c r="CQ1070" s="59"/>
      <c r="CR1070" s="59"/>
      <c r="CS1070" s="59"/>
      <c r="CT1070" s="59"/>
      <c r="CU1070" s="59"/>
      <c r="CV1070" s="59"/>
      <c r="CW1070" s="59"/>
      <c r="CX1070" s="59"/>
      <c r="CY1070" s="59"/>
      <c r="CZ1070" s="59"/>
      <c r="DA1070" s="59"/>
      <c r="DB1070" s="59"/>
      <c r="DC1070" s="59"/>
      <c r="DD1070" s="59"/>
      <c r="DE1070" s="59"/>
      <c r="DF1070" s="59"/>
      <c r="DG1070" s="59"/>
      <c r="DH1070" s="59"/>
      <c r="DI1070" s="59"/>
      <c r="DJ1070" s="59"/>
      <c r="DK1070" s="59"/>
      <c r="DL1070" s="59"/>
      <c r="DM1070" s="59"/>
      <c r="DN1070" s="59"/>
      <c r="DO1070" s="59"/>
      <c r="DP1070" s="59"/>
      <c r="DQ1070" s="59"/>
      <c r="DR1070" s="59"/>
      <c r="DS1070" s="59"/>
      <c r="DT1070" s="59"/>
      <c r="DU1070" s="59"/>
      <c r="DV1070" s="59"/>
      <c r="DW1070" s="59"/>
      <c r="DX1070" s="59"/>
      <c r="DY1070" s="59"/>
      <c r="DZ1070" s="59"/>
      <c r="EA1070" s="59"/>
      <c r="EB1070" s="59"/>
      <c r="EC1070" s="59"/>
      <c r="ED1070" s="59"/>
      <c r="EE1070" s="59"/>
      <c r="EF1070" s="59"/>
      <c r="EG1070" s="59"/>
      <c r="EH1070" s="59"/>
      <c r="EI1070" s="59"/>
      <c r="EJ1070" s="59"/>
      <c r="EK1070" s="59"/>
      <c r="EL1070" s="59"/>
      <c r="EM1070" s="59"/>
      <c r="EN1070" s="59"/>
      <c r="EO1070" s="59"/>
      <c r="EP1070" s="59"/>
      <c r="EQ1070" s="59"/>
      <c r="ER1070" s="59"/>
      <c r="ES1070" s="59"/>
      <c r="ET1070" s="59"/>
      <c r="EU1070" s="59"/>
      <c r="EV1070" s="59"/>
      <c r="EW1070" s="59"/>
      <c r="EX1070" s="59"/>
      <c r="EY1070" s="59"/>
      <c r="EZ1070" s="59"/>
      <c r="FA1070" s="59"/>
      <c r="FB1070" s="59"/>
      <c r="FC1070" s="59"/>
      <c r="FD1070" s="59"/>
      <c r="FE1070" s="59"/>
      <c r="FF1070" s="59"/>
      <c r="FG1070" s="59"/>
      <c r="FH1070" s="59"/>
      <c r="FI1070" s="59"/>
      <c r="FJ1070" s="59"/>
      <c r="FK1070" s="59"/>
      <c r="FL1070" s="59"/>
      <c r="FM1070" s="59"/>
      <c r="FN1070" s="59"/>
      <c r="FO1070" s="59"/>
      <c r="FP1070" s="59"/>
      <c r="FQ1070" s="59"/>
      <c r="FR1070" s="59"/>
      <c r="FS1070" s="59"/>
      <c r="FT1070" s="59"/>
      <c r="FU1070" s="59"/>
      <c r="FV1070" s="59"/>
      <c r="FW1070" s="59"/>
      <c r="FX1070" s="59"/>
      <c r="FY1070" s="59"/>
      <c r="FZ1070" s="59"/>
      <c r="GA1070" s="59"/>
      <c r="GB1070" s="59"/>
      <c r="GC1070" s="59"/>
    </row>
    <row r="1071">
      <c r="A1071" s="59"/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  <c r="BV1071" s="59"/>
      <c r="BW1071" s="59"/>
      <c r="BX1071" s="59"/>
      <c r="BY1071" s="59"/>
      <c r="BZ1071" s="59"/>
      <c r="CA1071" s="59"/>
      <c r="CB1071" s="59"/>
      <c r="CC1071" s="59"/>
      <c r="CD1071" s="59"/>
      <c r="CE1071" s="59"/>
      <c r="CF1071" s="59"/>
      <c r="CG1071" s="59"/>
      <c r="CH1071" s="59"/>
      <c r="CI1071" s="59"/>
      <c r="CJ1071" s="59"/>
      <c r="CK1071" s="59"/>
      <c r="CL1071" s="59"/>
      <c r="CM1071" s="59"/>
      <c r="CN1071" s="59"/>
      <c r="CO1071" s="59"/>
      <c r="CP1071" s="59"/>
      <c r="CQ1071" s="59"/>
      <c r="CR1071" s="59"/>
      <c r="CS1071" s="59"/>
      <c r="CT1071" s="59"/>
      <c r="CU1071" s="59"/>
      <c r="CV1071" s="59"/>
      <c r="CW1071" s="59"/>
      <c r="CX1071" s="59"/>
      <c r="CY1071" s="59"/>
      <c r="CZ1071" s="59"/>
      <c r="DA1071" s="59"/>
      <c r="DB1071" s="59"/>
      <c r="DC1071" s="59"/>
      <c r="DD1071" s="59"/>
      <c r="DE1071" s="59"/>
      <c r="DF1071" s="59"/>
      <c r="DG1071" s="59"/>
      <c r="DH1071" s="59"/>
      <c r="DI1071" s="59"/>
      <c r="DJ1071" s="59"/>
      <c r="DK1071" s="59"/>
      <c r="DL1071" s="59"/>
      <c r="DM1071" s="59"/>
      <c r="DN1071" s="59"/>
      <c r="DO1071" s="59"/>
      <c r="DP1071" s="59"/>
      <c r="DQ1071" s="59"/>
      <c r="DR1071" s="59"/>
      <c r="DS1071" s="59"/>
      <c r="DT1071" s="59"/>
      <c r="DU1071" s="59"/>
      <c r="DV1071" s="59"/>
      <c r="DW1071" s="59"/>
      <c r="DX1071" s="59"/>
      <c r="DY1071" s="59"/>
      <c r="DZ1071" s="59"/>
      <c r="EA1071" s="59"/>
      <c r="EB1071" s="59"/>
      <c r="EC1071" s="59"/>
      <c r="ED1071" s="59"/>
      <c r="EE1071" s="59"/>
      <c r="EF1071" s="59"/>
      <c r="EG1071" s="59"/>
      <c r="EH1071" s="59"/>
      <c r="EI1071" s="59"/>
      <c r="EJ1071" s="59"/>
      <c r="EK1071" s="59"/>
      <c r="EL1071" s="59"/>
      <c r="EM1071" s="59"/>
      <c r="EN1071" s="59"/>
      <c r="EO1071" s="59"/>
      <c r="EP1071" s="59"/>
      <c r="EQ1071" s="59"/>
      <c r="ER1071" s="59"/>
      <c r="ES1071" s="59"/>
      <c r="ET1071" s="59"/>
      <c r="EU1071" s="59"/>
      <c r="EV1071" s="59"/>
      <c r="EW1071" s="59"/>
      <c r="EX1071" s="59"/>
      <c r="EY1071" s="59"/>
      <c r="EZ1071" s="59"/>
      <c r="FA1071" s="59"/>
      <c r="FB1071" s="59"/>
      <c r="FC1071" s="59"/>
      <c r="FD1071" s="59"/>
      <c r="FE1071" s="59"/>
      <c r="FF1071" s="59"/>
      <c r="FG1071" s="59"/>
      <c r="FH1071" s="59"/>
      <c r="FI1071" s="59"/>
      <c r="FJ1071" s="59"/>
      <c r="FK1071" s="59"/>
      <c r="FL1071" s="59"/>
      <c r="FM1071" s="59"/>
      <c r="FN1071" s="59"/>
      <c r="FO1071" s="59"/>
      <c r="FP1071" s="59"/>
      <c r="FQ1071" s="59"/>
      <c r="FR1071" s="59"/>
      <c r="FS1071" s="59"/>
      <c r="FT1071" s="59"/>
      <c r="FU1071" s="59"/>
      <c r="FV1071" s="59"/>
      <c r="FW1071" s="59"/>
      <c r="FX1071" s="59"/>
      <c r="FY1071" s="59"/>
      <c r="FZ1071" s="59"/>
      <c r="GA1071" s="59"/>
      <c r="GB1071" s="59"/>
      <c r="GC1071" s="59"/>
    </row>
    <row r="1072">
      <c r="A1072" s="59"/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  <c r="BV1072" s="59"/>
      <c r="BW1072" s="59"/>
      <c r="BX1072" s="59"/>
      <c r="BY1072" s="59"/>
      <c r="BZ1072" s="59"/>
      <c r="CA1072" s="59"/>
      <c r="CB1072" s="59"/>
      <c r="CC1072" s="59"/>
      <c r="CD1072" s="59"/>
      <c r="CE1072" s="59"/>
      <c r="CF1072" s="59"/>
      <c r="CG1072" s="59"/>
      <c r="CH1072" s="59"/>
      <c r="CI1072" s="59"/>
      <c r="CJ1072" s="59"/>
      <c r="CK1072" s="59"/>
      <c r="CL1072" s="59"/>
      <c r="CM1072" s="59"/>
      <c r="CN1072" s="59"/>
      <c r="CO1072" s="59"/>
      <c r="CP1072" s="59"/>
      <c r="CQ1072" s="59"/>
      <c r="CR1072" s="59"/>
      <c r="CS1072" s="59"/>
      <c r="CT1072" s="59"/>
      <c r="CU1072" s="59"/>
      <c r="CV1072" s="59"/>
      <c r="CW1072" s="59"/>
      <c r="CX1072" s="59"/>
      <c r="CY1072" s="59"/>
      <c r="CZ1072" s="59"/>
      <c r="DA1072" s="59"/>
      <c r="DB1072" s="59"/>
      <c r="DC1072" s="59"/>
      <c r="DD1072" s="59"/>
      <c r="DE1072" s="59"/>
      <c r="DF1072" s="59"/>
      <c r="DG1072" s="59"/>
      <c r="DH1072" s="59"/>
      <c r="DI1072" s="59"/>
      <c r="DJ1072" s="59"/>
      <c r="DK1072" s="59"/>
      <c r="DL1072" s="59"/>
      <c r="DM1072" s="59"/>
      <c r="DN1072" s="59"/>
      <c r="DO1072" s="59"/>
      <c r="DP1072" s="59"/>
      <c r="DQ1072" s="59"/>
      <c r="DR1072" s="59"/>
      <c r="DS1072" s="59"/>
      <c r="DT1072" s="59"/>
      <c r="DU1072" s="59"/>
      <c r="DV1072" s="59"/>
      <c r="DW1072" s="59"/>
      <c r="DX1072" s="59"/>
      <c r="DY1072" s="59"/>
      <c r="DZ1072" s="59"/>
      <c r="EA1072" s="59"/>
      <c r="EB1072" s="59"/>
      <c r="EC1072" s="59"/>
      <c r="ED1072" s="59"/>
      <c r="EE1072" s="59"/>
      <c r="EF1072" s="59"/>
      <c r="EG1072" s="59"/>
      <c r="EH1072" s="59"/>
      <c r="EI1072" s="59"/>
      <c r="EJ1072" s="59"/>
      <c r="EK1072" s="59"/>
      <c r="EL1072" s="59"/>
      <c r="EM1072" s="59"/>
      <c r="EN1072" s="59"/>
      <c r="EO1072" s="59"/>
      <c r="EP1072" s="59"/>
      <c r="EQ1072" s="59"/>
      <c r="ER1072" s="59"/>
      <c r="ES1072" s="59"/>
      <c r="ET1072" s="59"/>
      <c r="EU1072" s="59"/>
      <c r="EV1072" s="59"/>
      <c r="EW1072" s="59"/>
      <c r="EX1072" s="59"/>
      <c r="EY1072" s="59"/>
      <c r="EZ1072" s="59"/>
      <c r="FA1072" s="59"/>
      <c r="FB1072" s="59"/>
      <c r="FC1072" s="59"/>
      <c r="FD1072" s="59"/>
      <c r="FE1072" s="59"/>
      <c r="FF1072" s="59"/>
      <c r="FG1072" s="59"/>
      <c r="FH1072" s="59"/>
      <c r="FI1072" s="59"/>
      <c r="FJ1072" s="59"/>
      <c r="FK1072" s="59"/>
      <c r="FL1072" s="59"/>
      <c r="FM1072" s="59"/>
      <c r="FN1072" s="59"/>
      <c r="FO1072" s="59"/>
      <c r="FP1072" s="59"/>
      <c r="FQ1072" s="59"/>
      <c r="FR1072" s="59"/>
      <c r="FS1072" s="59"/>
      <c r="FT1072" s="59"/>
      <c r="FU1072" s="59"/>
      <c r="FV1072" s="59"/>
      <c r="FW1072" s="59"/>
      <c r="FX1072" s="59"/>
      <c r="FY1072" s="59"/>
      <c r="FZ1072" s="59"/>
      <c r="GA1072" s="59"/>
      <c r="GB1072" s="59"/>
      <c r="GC1072" s="59"/>
    </row>
    <row r="1073">
      <c r="A1073" s="59"/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  <c r="BV1073" s="59"/>
      <c r="BW1073" s="59"/>
      <c r="BX1073" s="59"/>
      <c r="BY1073" s="59"/>
      <c r="BZ1073" s="59"/>
      <c r="CA1073" s="59"/>
      <c r="CB1073" s="59"/>
      <c r="CC1073" s="59"/>
      <c r="CD1073" s="59"/>
      <c r="CE1073" s="59"/>
      <c r="CF1073" s="59"/>
      <c r="CG1073" s="59"/>
      <c r="CH1073" s="59"/>
      <c r="CI1073" s="59"/>
      <c r="CJ1073" s="59"/>
      <c r="CK1073" s="59"/>
      <c r="CL1073" s="59"/>
      <c r="CM1073" s="59"/>
      <c r="CN1073" s="59"/>
      <c r="CO1073" s="59"/>
      <c r="CP1073" s="59"/>
      <c r="CQ1073" s="59"/>
      <c r="CR1073" s="59"/>
      <c r="CS1073" s="59"/>
      <c r="CT1073" s="59"/>
      <c r="CU1073" s="59"/>
      <c r="CV1073" s="59"/>
      <c r="CW1073" s="59"/>
      <c r="CX1073" s="59"/>
      <c r="CY1073" s="59"/>
      <c r="CZ1073" s="59"/>
      <c r="DA1073" s="59"/>
      <c r="DB1073" s="59"/>
      <c r="DC1073" s="59"/>
      <c r="DD1073" s="59"/>
      <c r="DE1073" s="59"/>
      <c r="DF1073" s="59"/>
      <c r="DG1073" s="59"/>
      <c r="DH1073" s="59"/>
      <c r="DI1073" s="59"/>
      <c r="DJ1073" s="59"/>
      <c r="DK1073" s="59"/>
      <c r="DL1073" s="59"/>
      <c r="DM1073" s="59"/>
      <c r="DN1073" s="59"/>
      <c r="DO1073" s="59"/>
      <c r="DP1073" s="59"/>
      <c r="DQ1073" s="59"/>
      <c r="DR1073" s="59"/>
      <c r="DS1073" s="59"/>
      <c r="DT1073" s="59"/>
      <c r="DU1073" s="59"/>
      <c r="DV1073" s="59"/>
      <c r="DW1073" s="59"/>
      <c r="DX1073" s="59"/>
      <c r="DY1073" s="59"/>
      <c r="DZ1073" s="59"/>
      <c r="EA1073" s="59"/>
      <c r="EB1073" s="59"/>
      <c r="EC1073" s="59"/>
      <c r="ED1073" s="59"/>
      <c r="EE1073" s="59"/>
      <c r="EF1073" s="59"/>
      <c r="EG1073" s="59"/>
      <c r="EH1073" s="59"/>
      <c r="EI1073" s="59"/>
      <c r="EJ1073" s="59"/>
      <c r="EK1073" s="59"/>
      <c r="EL1073" s="59"/>
      <c r="EM1073" s="59"/>
      <c r="EN1073" s="59"/>
      <c r="EO1073" s="59"/>
      <c r="EP1073" s="59"/>
      <c r="EQ1073" s="59"/>
      <c r="ER1073" s="59"/>
      <c r="ES1073" s="59"/>
      <c r="ET1073" s="59"/>
      <c r="EU1073" s="59"/>
      <c r="EV1073" s="59"/>
      <c r="EW1073" s="59"/>
      <c r="EX1073" s="59"/>
      <c r="EY1073" s="59"/>
      <c r="EZ1073" s="59"/>
      <c r="FA1073" s="59"/>
      <c r="FB1073" s="59"/>
      <c r="FC1073" s="59"/>
      <c r="FD1073" s="59"/>
      <c r="FE1073" s="59"/>
      <c r="FF1073" s="59"/>
      <c r="FG1073" s="59"/>
      <c r="FH1073" s="59"/>
      <c r="FI1073" s="59"/>
      <c r="FJ1073" s="59"/>
      <c r="FK1073" s="59"/>
      <c r="FL1073" s="59"/>
      <c r="FM1073" s="59"/>
      <c r="FN1073" s="59"/>
      <c r="FO1073" s="59"/>
      <c r="FP1073" s="59"/>
      <c r="FQ1073" s="59"/>
      <c r="FR1073" s="59"/>
      <c r="FS1073" s="59"/>
      <c r="FT1073" s="59"/>
      <c r="FU1073" s="59"/>
      <c r="FV1073" s="59"/>
      <c r="FW1073" s="59"/>
      <c r="FX1073" s="59"/>
      <c r="FY1073" s="59"/>
      <c r="FZ1073" s="59"/>
      <c r="GA1073" s="59"/>
      <c r="GB1073" s="59"/>
      <c r="GC1073" s="59"/>
    </row>
    <row r="1074">
      <c r="A1074" s="59"/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  <c r="BV1074" s="59"/>
      <c r="BW1074" s="59"/>
      <c r="BX1074" s="59"/>
      <c r="BY1074" s="59"/>
      <c r="BZ1074" s="59"/>
      <c r="CA1074" s="59"/>
      <c r="CB1074" s="59"/>
      <c r="CC1074" s="59"/>
      <c r="CD1074" s="59"/>
      <c r="CE1074" s="59"/>
      <c r="CF1074" s="59"/>
      <c r="CG1074" s="59"/>
      <c r="CH1074" s="59"/>
      <c r="CI1074" s="59"/>
      <c r="CJ1074" s="59"/>
      <c r="CK1074" s="59"/>
      <c r="CL1074" s="59"/>
      <c r="CM1074" s="59"/>
      <c r="CN1074" s="59"/>
      <c r="CO1074" s="59"/>
      <c r="CP1074" s="59"/>
      <c r="CQ1074" s="59"/>
      <c r="CR1074" s="59"/>
      <c r="CS1074" s="59"/>
      <c r="CT1074" s="59"/>
      <c r="CU1074" s="59"/>
      <c r="CV1074" s="59"/>
      <c r="CW1074" s="59"/>
      <c r="CX1074" s="59"/>
      <c r="CY1074" s="59"/>
      <c r="CZ1074" s="59"/>
      <c r="DA1074" s="59"/>
      <c r="DB1074" s="59"/>
      <c r="DC1074" s="59"/>
      <c r="DD1074" s="59"/>
      <c r="DE1074" s="59"/>
      <c r="DF1074" s="59"/>
      <c r="DG1074" s="59"/>
      <c r="DH1074" s="59"/>
      <c r="DI1074" s="59"/>
      <c r="DJ1074" s="59"/>
      <c r="DK1074" s="59"/>
      <c r="DL1074" s="59"/>
      <c r="DM1074" s="59"/>
      <c r="DN1074" s="59"/>
      <c r="DO1074" s="59"/>
      <c r="DP1074" s="59"/>
      <c r="DQ1074" s="59"/>
      <c r="DR1074" s="59"/>
      <c r="DS1074" s="59"/>
      <c r="DT1074" s="59"/>
      <c r="DU1074" s="59"/>
      <c r="DV1074" s="59"/>
      <c r="DW1074" s="59"/>
      <c r="DX1074" s="59"/>
      <c r="DY1074" s="59"/>
      <c r="DZ1074" s="59"/>
      <c r="EA1074" s="59"/>
      <c r="EB1074" s="59"/>
      <c r="EC1074" s="59"/>
      <c r="ED1074" s="59"/>
      <c r="EE1074" s="59"/>
      <c r="EF1074" s="59"/>
      <c r="EG1074" s="59"/>
      <c r="EH1074" s="59"/>
      <c r="EI1074" s="59"/>
      <c r="EJ1074" s="59"/>
      <c r="EK1074" s="59"/>
      <c r="EL1074" s="59"/>
      <c r="EM1074" s="59"/>
      <c r="EN1074" s="59"/>
      <c r="EO1074" s="59"/>
      <c r="EP1074" s="59"/>
      <c r="EQ1074" s="59"/>
      <c r="ER1074" s="59"/>
      <c r="ES1074" s="59"/>
      <c r="ET1074" s="59"/>
      <c r="EU1074" s="59"/>
      <c r="EV1074" s="59"/>
      <c r="EW1074" s="59"/>
      <c r="EX1074" s="59"/>
      <c r="EY1074" s="59"/>
      <c r="EZ1074" s="59"/>
      <c r="FA1074" s="59"/>
      <c r="FB1074" s="59"/>
      <c r="FC1074" s="59"/>
      <c r="FD1074" s="59"/>
      <c r="FE1074" s="59"/>
      <c r="FF1074" s="59"/>
      <c r="FG1074" s="59"/>
      <c r="FH1074" s="59"/>
      <c r="FI1074" s="59"/>
      <c r="FJ1074" s="59"/>
      <c r="FK1074" s="59"/>
      <c r="FL1074" s="59"/>
      <c r="FM1074" s="59"/>
      <c r="FN1074" s="59"/>
      <c r="FO1074" s="59"/>
      <c r="FP1074" s="59"/>
      <c r="FQ1074" s="59"/>
      <c r="FR1074" s="59"/>
      <c r="FS1074" s="59"/>
      <c r="FT1074" s="59"/>
      <c r="FU1074" s="59"/>
      <c r="FV1074" s="59"/>
      <c r="FW1074" s="59"/>
      <c r="FX1074" s="59"/>
      <c r="FY1074" s="59"/>
      <c r="FZ1074" s="59"/>
      <c r="GA1074" s="59"/>
      <c r="GB1074" s="59"/>
      <c r="GC1074" s="59"/>
    </row>
    <row r="1075">
      <c r="A1075" s="59"/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  <c r="BV1075" s="59"/>
      <c r="BW1075" s="59"/>
      <c r="BX1075" s="59"/>
      <c r="BY1075" s="59"/>
      <c r="BZ1075" s="59"/>
      <c r="CA1075" s="59"/>
      <c r="CB1075" s="59"/>
      <c r="CC1075" s="59"/>
      <c r="CD1075" s="59"/>
      <c r="CE1075" s="59"/>
      <c r="CF1075" s="59"/>
      <c r="CG1075" s="59"/>
      <c r="CH1075" s="59"/>
      <c r="CI1075" s="59"/>
      <c r="CJ1075" s="59"/>
      <c r="CK1075" s="59"/>
      <c r="CL1075" s="59"/>
      <c r="CM1075" s="59"/>
      <c r="CN1075" s="59"/>
      <c r="CO1075" s="59"/>
      <c r="CP1075" s="59"/>
      <c r="CQ1075" s="59"/>
      <c r="CR1075" s="59"/>
      <c r="CS1075" s="59"/>
      <c r="CT1075" s="59"/>
      <c r="CU1075" s="59"/>
      <c r="CV1075" s="59"/>
      <c r="CW1075" s="59"/>
      <c r="CX1075" s="59"/>
      <c r="CY1075" s="59"/>
      <c r="CZ1075" s="59"/>
      <c r="DA1075" s="59"/>
      <c r="DB1075" s="59"/>
      <c r="DC1075" s="59"/>
      <c r="DD1075" s="59"/>
      <c r="DE1075" s="59"/>
      <c r="DF1075" s="59"/>
      <c r="DG1075" s="59"/>
      <c r="DH1075" s="59"/>
      <c r="DI1075" s="59"/>
      <c r="DJ1075" s="59"/>
      <c r="DK1075" s="59"/>
      <c r="DL1075" s="59"/>
      <c r="DM1075" s="59"/>
      <c r="DN1075" s="59"/>
      <c r="DO1075" s="59"/>
      <c r="DP1075" s="59"/>
      <c r="DQ1075" s="59"/>
      <c r="DR1075" s="59"/>
      <c r="DS1075" s="59"/>
      <c r="DT1075" s="59"/>
      <c r="DU1075" s="59"/>
      <c r="DV1075" s="59"/>
      <c r="DW1075" s="59"/>
      <c r="DX1075" s="59"/>
      <c r="DY1075" s="59"/>
      <c r="DZ1075" s="59"/>
      <c r="EA1075" s="59"/>
      <c r="EB1075" s="59"/>
      <c r="EC1075" s="59"/>
      <c r="ED1075" s="59"/>
      <c r="EE1075" s="59"/>
      <c r="EF1075" s="59"/>
      <c r="EG1075" s="59"/>
      <c r="EH1075" s="59"/>
      <c r="EI1075" s="59"/>
      <c r="EJ1075" s="59"/>
      <c r="EK1075" s="59"/>
      <c r="EL1075" s="59"/>
      <c r="EM1075" s="59"/>
      <c r="EN1075" s="59"/>
      <c r="EO1075" s="59"/>
      <c r="EP1075" s="59"/>
      <c r="EQ1075" s="59"/>
      <c r="ER1075" s="59"/>
      <c r="ES1075" s="59"/>
      <c r="ET1075" s="59"/>
      <c r="EU1075" s="59"/>
      <c r="EV1075" s="59"/>
      <c r="EW1075" s="59"/>
      <c r="EX1075" s="59"/>
      <c r="EY1075" s="59"/>
      <c r="EZ1075" s="59"/>
      <c r="FA1075" s="59"/>
      <c r="FB1075" s="59"/>
      <c r="FC1075" s="59"/>
      <c r="FD1075" s="59"/>
      <c r="FE1075" s="59"/>
      <c r="FF1075" s="59"/>
      <c r="FG1075" s="59"/>
      <c r="FH1075" s="59"/>
      <c r="FI1075" s="59"/>
      <c r="FJ1075" s="59"/>
      <c r="FK1075" s="59"/>
      <c r="FL1075" s="59"/>
      <c r="FM1075" s="59"/>
      <c r="FN1075" s="59"/>
      <c r="FO1075" s="59"/>
      <c r="FP1075" s="59"/>
      <c r="FQ1075" s="59"/>
      <c r="FR1075" s="59"/>
      <c r="FS1075" s="59"/>
      <c r="FT1075" s="59"/>
      <c r="FU1075" s="59"/>
      <c r="FV1075" s="59"/>
      <c r="FW1075" s="59"/>
      <c r="FX1075" s="59"/>
      <c r="FY1075" s="59"/>
      <c r="FZ1075" s="59"/>
      <c r="GA1075" s="59"/>
      <c r="GB1075" s="59"/>
      <c r="GC1075" s="59"/>
    </row>
    <row r="1076">
      <c r="A1076" s="59"/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  <c r="BV1076" s="59"/>
      <c r="BW1076" s="59"/>
      <c r="BX1076" s="59"/>
      <c r="BY1076" s="59"/>
      <c r="BZ1076" s="59"/>
      <c r="CA1076" s="59"/>
      <c r="CB1076" s="59"/>
      <c r="CC1076" s="59"/>
      <c r="CD1076" s="59"/>
      <c r="CE1076" s="59"/>
      <c r="CF1076" s="59"/>
      <c r="CG1076" s="59"/>
      <c r="CH1076" s="59"/>
      <c r="CI1076" s="59"/>
      <c r="CJ1076" s="59"/>
      <c r="CK1076" s="59"/>
      <c r="CL1076" s="59"/>
      <c r="CM1076" s="59"/>
      <c r="CN1076" s="59"/>
      <c r="CO1076" s="59"/>
      <c r="CP1076" s="59"/>
      <c r="CQ1076" s="59"/>
      <c r="CR1076" s="59"/>
      <c r="CS1076" s="59"/>
      <c r="CT1076" s="59"/>
      <c r="CU1076" s="59"/>
      <c r="CV1076" s="59"/>
      <c r="CW1076" s="59"/>
      <c r="CX1076" s="59"/>
      <c r="CY1076" s="59"/>
      <c r="CZ1076" s="59"/>
      <c r="DA1076" s="59"/>
      <c r="DB1076" s="59"/>
      <c r="DC1076" s="59"/>
      <c r="DD1076" s="59"/>
      <c r="DE1076" s="59"/>
      <c r="DF1076" s="59"/>
      <c r="DG1076" s="59"/>
      <c r="DH1076" s="59"/>
      <c r="DI1076" s="59"/>
      <c r="DJ1076" s="59"/>
      <c r="DK1076" s="59"/>
      <c r="DL1076" s="59"/>
      <c r="DM1076" s="59"/>
      <c r="DN1076" s="59"/>
      <c r="DO1076" s="59"/>
      <c r="DP1076" s="59"/>
      <c r="DQ1076" s="59"/>
      <c r="DR1076" s="59"/>
      <c r="DS1076" s="59"/>
      <c r="DT1076" s="59"/>
      <c r="DU1076" s="59"/>
      <c r="DV1076" s="59"/>
      <c r="DW1076" s="59"/>
      <c r="DX1076" s="59"/>
      <c r="DY1076" s="59"/>
      <c r="DZ1076" s="59"/>
      <c r="EA1076" s="59"/>
      <c r="EB1076" s="59"/>
      <c r="EC1076" s="59"/>
      <c r="ED1076" s="59"/>
      <c r="EE1076" s="59"/>
      <c r="EF1076" s="59"/>
      <c r="EG1076" s="59"/>
      <c r="EH1076" s="59"/>
      <c r="EI1076" s="59"/>
      <c r="EJ1076" s="59"/>
      <c r="EK1076" s="59"/>
      <c r="EL1076" s="59"/>
      <c r="EM1076" s="59"/>
      <c r="EN1076" s="59"/>
      <c r="EO1076" s="59"/>
      <c r="EP1076" s="59"/>
      <c r="EQ1076" s="59"/>
      <c r="ER1076" s="59"/>
      <c r="ES1076" s="59"/>
      <c r="ET1076" s="59"/>
      <c r="EU1076" s="59"/>
      <c r="EV1076" s="59"/>
      <c r="EW1076" s="59"/>
      <c r="EX1076" s="59"/>
      <c r="EY1076" s="59"/>
      <c r="EZ1076" s="59"/>
      <c r="FA1076" s="59"/>
      <c r="FB1076" s="59"/>
      <c r="FC1076" s="59"/>
      <c r="FD1076" s="59"/>
      <c r="FE1076" s="59"/>
      <c r="FF1076" s="59"/>
      <c r="FG1076" s="59"/>
      <c r="FH1076" s="59"/>
      <c r="FI1076" s="59"/>
      <c r="FJ1076" s="59"/>
      <c r="FK1076" s="59"/>
      <c r="FL1076" s="59"/>
      <c r="FM1076" s="59"/>
      <c r="FN1076" s="59"/>
      <c r="FO1076" s="59"/>
      <c r="FP1076" s="59"/>
      <c r="FQ1076" s="59"/>
      <c r="FR1076" s="59"/>
      <c r="FS1076" s="59"/>
      <c r="FT1076" s="59"/>
      <c r="FU1076" s="59"/>
      <c r="FV1076" s="59"/>
      <c r="FW1076" s="59"/>
      <c r="FX1076" s="59"/>
      <c r="FY1076" s="59"/>
      <c r="FZ1076" s="59"/>
      <c r="GA1076" s="59"/>
      <c r="GB1076" s="59"/>
      <c r="GC1076" s="59"/>
    </row>
    <row r="1077">
      <c r="A1077" s="59"/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  <c r="BV1077" s="59"/>
      <c r="BW1077" s="59"/>
      <c r="BX1077" s="59"/>
      <c r="BY1077" s="59"/>
      <c r="BZ1077" s="59"/>
      <c r="CA1077" s="59"/>
      <c r="CB1077" s="59"/>
      <c r="CC1077" s="59"/>
      <c r="CD1077" s="59"/>
      <c r="CE1077" s="59"/>
      <c r="CF1077" s="59"/>
      <c r="CG1077" s="59"/>
      <c r="CH1077" s="59"/>
      <c r="CI1077" s="59"/>
      <c r="CJ1077" s="59"/>
      <c r="CK1077" s="59"/>
      <c r="CL1077" s="59"/>
      <c r="CM1077" s="59"/>
      <c r="CN1077" s="59"/>
      <c r="CO1077" s="59"/>
      <c r="CP1077" s="59"/>
      <c r="CQ1077" s="59"/>
      <c r="CR1077" s="59"/>
      <c r="CS1077" s="59"/>
      <c r="CT1077" s="59"/>
      <c r="CU1077" s="59"/>
      <c r="CV1077" s="59"/>
      <c r="CW1077" s="59"/>
      <c r="CX1077" s="59"/>
      <c r="CY1077" s="59"/>
      <c r="CZ1077" s="59"/>
      <c r="DA1077" s="59"/>
      <c r="DB1077" s="59"/>
      <c r="DC1077" s="59"/>
      <c r="DD1077" s="59"/>
      <c r="DE1077" s="59"/>
      <c r="DF1077" s="59"/>
      <c r="DG1077" s="59"/>
      <c r="DH1077" s="59"/>
      <c r="DI1077" s="59"/>
      <c r="DJ1077" s="59"/>
      <c r="DK1077" s="59"/>
      <c r="DL1077" s="59"/>
      <c r="DM1077" s="59"/>
      <c r="DN1077" s="59"/>
      <c r="DO1077" s="59"/>
      <c r="DP1077" s="59"/>
      <c r="DQ1077" s="59"/>
      <c r="DR1077" s="59"/>
      <c r="DS1077" s="59"/>
      <c r="DT1077" s="59"/>
      <c r="DU1077" s="59"/>
      <c r="DV1077" s="59"/>
      <c r="DW1077" s="59"/>
      <c r="DX1077" s="59"/>
      <c r="DY1077" s="59"/>
      <c r="DZ1077" s="59"/>
      <c r="EA1077" s="59"/>
      <c r="EB1077" s="59"/>
      <c r="EC1077" s="59"/>
      <c r="ED1077" s="59"/>
      <c r="EE1077" s="59"/>
      <c r="EF1077" s="59"/>
      <c r="EG1077" s="59"/>
      <c r="EH1077" s="59"/>
      <c r="EI1077" s="59"/>
      <c r="EJ1077" s="59"/>
      <c r="EK1077" s="59"/>
      <c r="EL1077" s="59"/>
      <c r="EM1077" s="59"/>
      <c r="EN1077" s="59"/>
      <c r="EO1077" s="59"/>
      <c r="EP1077" s="59"/>
      <c r="EQ1077" s="59"/>
      <c r="ER1077" s="59"/>
      <c r="ES1077" s="59"/>
      <c r="ET1077" s="59"/>
      <c r="EU1077" s="59"/>
      <c r="EV1077" s="59"/>
      <c r="EW1077" s="59"/>
      <c r="EX1077" s="59"/>
      <c r="EY1077" s="59"/>
      <c r="EZ1077" s="59"/>
      <c r="FA1077" s="59"/>
      <c r="FB1077" s="59"/>
      <c r="FC1077" s="59"/>
      <c r="FD1077" s="59"/>
      <c r="FE1077" s="59"/>
      <c r="FF1077" s="59"/>
      <c r="FG1077" s="59"/>
      <c r="FH1077" s="59"/>
      <c r="FI1077" s="59"/>
      <c r="FJ1077" s="59"/>
      <c r="FK1077" s="59"/>
      <c r="FL1077" s="59"/>
      <c r="FM1077" s="59"/>
      <c r="FN1077" s="59"/>
      <c r="FO1077" s="59"/>
      <c r="FP1077" s="59"/>
      <c r="FQ1077" s="59"/>
      <c r="FR1077" s="59"/>
      <c r="FS1077" s="59"/>
      <c r="FT1077" s="59"/>
      <c r="FU1077" s="59"/>
      <c r="FV1077" s="59"/>
      <c r="FW1077" s="59"/>
      <c r="FX1077" s="59"/>
      <c r="FY1077" s="59"/>
      <c r="FZ1077" s="59"/>
      <c r="GA1077" s="59"/>
      <c r="GB1077" s="59"/>
      <c r="GC1077" s="59"/>
    </row>
    <row r="1078">
      <c r="A1078" s="59"/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  <c r="BV1078" s="59"/>
      <c r="BW1078" s="59"/>
      <c r="BX1078" s="59"/>
      <c r="BY1078" s="59"/>
      <c r="BZ1078" s="59"/>
      <c r="CA1078" s="59"/>
      <c r="CB1078" s="59"/>
      <c r="CC1078" s="59"/>
      <c r="CD1078" s="59"/>
      <c r="CE1078" s="59"/>
      <c r="CF1078" s="59"/>
      <c r="CG1078" s="59"/>
      <c r="CH1078" s="59"/>
      <c r="CI1078" s="59"/>
      <c r="CJ1078" s="59"/>
      <c r="CK1078" s="59"/>
      <c r="CL1078" s="59"/>
      <c r="CM1078" s="59"/>
      <c r="CN1078" s="59"/>
      <c r="CO1078" s="59"/>
      <c r="CP1078" s="59"/>
      <c r="CQ1078" s="59"/>
      <c r="CR1078" s="59"/>
      <c r="CS1078" s="59"/>
      <c r="CT1078" s="59"/>
      <c r="CU1078" s="59"/>
      <c r="CV1078" s="59"/>
      <c r="CW1078" s="59"/>
      <c r="CX1078" s="59"/>
      <c r="CY1078" s="59"/>
      <c r="CZ1078" s="59"/>
      <c r="DA1078" s="59"/>
      <c r="DB1078" s="59"/>
      <c r="DC1078" s="59"/>
      <c r="DD1078" s="59"/>
      <c r="DE1078" s="59"/>
      <c r="DF1078" s="59"/>
      <c r="DG1078" s="59"/>
      <c r="DH1078" s="59"/>
      <c r="DI1078" s="59"/>
      <c r="DJ1078" s="59"/>
      <c r="DK1078" s="59"/>
      <c r="DL1078" s="59"/>
      <c r="DM1078" s="59"/>
      <c r="DN1078" s="59"/>
      <c r="DO1078" s="59"/>
      <c r="DP1078" s="59"/>
      <c r="DQ1078" s="59"/>
      <c r="DR1078" s="59"/>
      <c r="DS1078" s="59"/>
      <c r="DT1078" s="59"/>
      <c r="DU1078" s="59"/>
      <c r="DV1078" s="59"/>
      <c r="DW1078" s="59"/>
      <c r="DX1078" s="59"/>
      <c r="DY1078" s="59"/>
      <c r="DZ1078" s="59"/>
      <c r="EA1078" s="59"/>
      <c r="EB1078" s="59"/>
      <c r="EC1078" s="59"/>
      <c r="ED1078" s="59"/>
      <c r="EE1078" s="59"/>
      <c r="EF1078" s="59"/>
      <c r="EG1078" s="59"/>
      <c r="EH1078" s="59"/>
      <c r="EI1078" s="59"/>
      <c r="EJ1078" s="59"/>
      <c r="EK1078" s="59"/>
      <c r="EL1078" s="59"/>
      <c r="EM1078" s="59"/>
      <c r="EN1078" s="59"/>
      <c r="EO1078" s="59"/>
      <c r="EP1078" s="59"/>
      <c r="EQ1078" s="59"/>
      <c r="ER1078" s="59"/>
      <c r="ES1078" s="59"/>
      <c r="ET1078" s="59"/>
      <c r="EU1078" s="59"/>
      <c r="EV1078" s="59"/>
      <c r="EW1078" s="59"/>
      <c r="EX1078" s="59"/>
      <c r="EY1078" s="59"/>
      <c r="EZ1078" s="59"/>
      <c r="FA1078" s="59"/>
      <c r="FB1078" s="59"/>
      <c r="FC1078" s="59"/>
      <c r="FD1078" s="59"/>
      <c r="FE1078" s="59"/>
      <c r="FF1078" s="59"/>
      <c r="FG1078" s="59"/>
      <c r="FH1078" s="59"/>
      <c r="FI1078" s="59"/>
      <c r="FJ1078" s="59"/>
      <c r="FK1078" s="59"/>
      <c r="FL1078" s="59"/>
      <c r="FM1078" s="59"/>
      <c r="FN1078" s="59"/>
      <c r="FO1078" s="59"/>
      <c r="FP1078" s="59"/>
      <c r="FQ1078" s="59"/>
      <c r="FR1078" s="59"/>
      <c r="FS1078" s="59"/>
      <c r="FT1078" s="59"/>
      <c r="FU1078" s="59"/>
      <c r="FV1078" s="59"/>
      <c r="FW1078" s="59"/>
      <c r="FX1078" s="59"/>
      <c r="FY1078" s="59"/>
      <c r="FZ1078" s="59"/>
      <c r="GA1078" s="59"/>
      <c r="GB1078" s="59"/>
      <c r="GC1078" s="59"/>
    </row>
    <row r="1079">
      <c r="A1079" s="59"/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  <c r="BV1079" s="59"/>
      <c r="BW1079" s="59"/>
      <c r="BX1079" s="59"/>
      <c r="BY1079" s="59"/>
      <c r="BZ1079" s="59"/>
      <c r="CA1079" s="59"/>
      <c r="CB1079" s="59"/>
      <c r="CC1079" s="59"/>
      <c r="CD1079" s="59"/>
      <c r="CE1079" s="59"/>
      <c r="CF1079" s="59"/>
      <c r="CG1079" s="59"/>
      <c r="CH1079" s="59"/>
      <c r="CI1079" s="59"/>
      <c r="CJ1079" s="59"/>
      <c r="CK1079" s="59"/>
      <c r="CL1079" s="59"/>
      <c r="CM1079" s="59"/>
      <c r="CN1079" s="59"/>
      <c r="CO1079" s="59"/>
      <c r="CP1079" s="59"/>
      <c r="CQ1079" s="59"/>
      <c r="CR1079" s="59"/>
      <c r="CS1079" s="59"/>
      <c r="CT1079" s="59"/>
      <c r="CU1079" s="59"/>
      <c r="CV1079" s="59"/>
      <c r="CW1079" s="59"/>
      <c r="CX1079" s="59"/>
      <c r="CY1079" s="59"/>
      <c r="CZ1079" s="59"/>
      <c r="DA1079" s="59"/>
      <c r="DB1079" s="59"/>
      <c r="DC1079" s="59"/>
      <c r="DD1079" s="59"/>
      <c r="DE1079" s="59"/>
      <c r="DF1079" s="59"/>
      <c r="DG1079" s="59"/>
      <c r="DH1079" s="59"/>
      <c r="DI1079" s="59"/>
      <c r="DJ1079" s="59"/>
      <c r="DK1079" s="59"/>
      <c r="DL1079" s="59"/>
      <c r="DM1079" s="59"/>
      <c r="DN1079" s="59"/>
      <c r="DO1079" s="59"/>
      <c r="DP1079" s="59"/>
      <c r="DQ1079" s="59"/>
      <c r="DR1079" s="59"/>
      <c r="DS1079" s="59"/>
      <c r="DT1079" s="59"/>
      <c r="DU1079" s="59"/>
      <c r="DV1079" s="59"/>
      <c r="DW1079" s="59"/>
      <c r="DX1079" s="59"/>
      <c r="DY1079" s="59"/>
      <c r="DZ1079" s="59"/>
      <c r="EA1079" s="59"/>
      <c r="EB1079" s="59"/>
      <c r="EC1079" s="59"/>
      <c r="ED1079" s="59"/>
      <c r="EE1079" s="59"/>
      <c r="EF1079" s="59"/>
      <c r="EG1079" s="59"/>
      <c r="EH1079" s="59"/>
      <c r="EI1079" s="59"/>
      <c r="EJ1079" s="59"/>
      <c r="EK1079" s="59"/>
      <c r="EL1079" s="59"/>
      <c r="EM1079" s="59"/>
      <c r="EN1079" s="59"/>
      <c r="EO1079" s="59"/>
      <c r="EP1079" s="59"/>
      <c r="EQ1079" s="59"/>
      <c r="ER1079" s="59"/>
      <c r="ES1079" s="59"/>
      <c r="ET1079" s="59"/>
      <c r="EU1079" s="59"/>
      <c r="EV1079" s="59"/>
      <c r="EW1079" s="59"/>
      <c r="EX1079" s="59"/>
      <c r="EY1079" s="59"/>
      <c r="EZ1079" s="59"/>
      <c r="FA1079" s="59"/>
      <c r="FB1079" s="59"/>
      <c r="FC1079" s="59"/>
      <c r="FD1079" s="59"/>
      <c r="FE1079" s="59"/>
      <c r="FF1079" s="59"/>
      <c r="FG1079" s="59"/>
      <c r="FH1079" s="59"/>
      <c r="FI1079" s="59"/>
      <c r="FJ1079" s="59"/>
      <c r="FK1079" s="59"/>
      <c r="FL1079" s="59"/>
      <c r="FM1079" s="59"/>
      <c r="FN1079" s="59"/>
      <c r="FO1079" s="59"/>
      <c r="FP1079" s="59"/>
      <c r="FQ1079" s="59"/>
      <c r="FR1079" s="59"/>
      <c r="FS1079" s="59"/>
      <c r="FT1079" s="59"/>
      <c r="FU1079" s="59"/>
      <c r="FV1079" s="59"/>
      <c r="FW1079" s="59"/>
      <c r="FX1079" s="59"/>
      <c r="FY1079" s="59"/>
      <c r="FZ1079" s="59"/>
      <c r="GA1079" s="59"/>
      <c r="GB1079" s="59"/>
      <c r="GC1079" s="59"/>
    </row>
    <row r="1080">
      <c r="A1080" s="59"/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  <c r="BV1080" s="59"/>
      <c r="BW1080" s="59"/>
      <c r="BX1080" s="59"/>
      <c r="BY1080" s="59"/>
      <c r="BZ1080" s="59"/>
      <c r="CA1080" s="59"/>
      <c r="CB1080" s="59"/>
      <c r="CC1080" s="59"/>
      <c r="CD1080" s="59"/>
      <c r="CE1080" s="59"/>
      <c r="CF1080" s="59"/>
      <c r="CG1080" s="59"/>
      <c r="CH1080" s="59"/>
      <c r="CI1080" s="59"/>
      <c r="CJ1080" s="59"/>
      <c r="CK1080" s="59"/>
      <c r="CL1080" s="59"/>
      <c r="CM1080" s="59"/>
      <c r="CN1080" s="59"/>
      <c r="CO1080" s="59"/>
      <c r="CP1080" s="59"/>
      <c r="CQ1080" s="59"/>
      <c r="CR1080" s="59"/>
      <c r="CS1080" s="59"/>
      <c r="CT1080" s="59"/>
      <c r="CU1080" s="59"/>
      <c r="CV1080" s="59"/>
      <c r="CW1080" s="59"/>
      <c r="CX1080" s="59"/>
      <c r="CY1080" s="59"/>
      <c r="CZ1080" s="59"/>
      <c r="DA1080" s="59"/>
      <c r="DB1080" s="59"/>
      <c r="DC1080" s="59"/>
      <c r="DD1080" s="59"/>
      <c r="DE1080" s="59"/>
      <c r="DF1080" s="59"/>
      <c r="DG1080" s="59"/>
      <c r="DH1080" s="59"/>
      <c r="DI1080" s="59"/>
      <c r="DJ1080" s="59"/>
      <c r="DK1080" s="59"/>
      <c r="DL1080" s="59"/>
      <c r="DM1080" s="59"/>
      <c r="DN1080" s="59"/>
      <c r="DO1080" s="59"/>
      <c r="DP1080" s="59"/>
      <c r="DQ1080" s="59"/>
      <c r="DR1080" s="59"/>
      <c r="DS1080" s="59"/>
      <c r="DT1080" s="59"/>
      <c r="DU1080" s="59"/>
      <c r="DV1080" s="59"/>
      <c r="DW1080" s="59"/>
      <c r="DX1080" s="59"/>
      <c r="DY1080" s="59"/>
      <c r="DZ1080" s="59"/>
      <c r="EA1080" s="59"/>
      <c r="EB1080" s="59"/>
      <c r="EC1080" s="59"/>
      <c r="ED1080" s="59"/>
      <c r="EE1080" s="59"/>
      <c r="EF1080" s="59"/>
      <c r="EG1080" s="59"/>
      <c r="EH1080" s="59"/>
      <c r="EI1080" s="59"/>
      <c r="EJ1080" s="59"/>
      <c r="EK1080" s="59"/>
      <c r="EL1080" s="59"/>
      <c r="EM1080" s="59"/>
      <c r="EN1080" s="59"/>
      <c r="EO1080" s="59"/>
      <c r="EP1080" s="59"/>
      <c r="EQ1080" s="59"/>
      <c r="ER1080" s="59"/>
      <c r="ES1080" s="59"/>
      <c r="ET1080" s="59"/>
      <c r="EU1080" s="59"/>
      <c r="EV1080" s="59"/>
      <c r="EW1080" s="59"/>
      <c r="EX1080" s="59"/>
      <c r="EY1080" s="59"/>
      <c r="EZ1080" s="59"/>
      <c r="FA1080" s="59"/>
      <c r="FB1080" s="59"/>
      <c r="FC1080" s="59"/>
      <c r="FD1080" s="59"/>
      <c r="FE1080" s="59"/>
      <c r="FF1080" s="59"/>
      <c r="FG1080" s="59"/>
      <c r="FH1080" s="59"/>
      <c r="FI1080" s="59"/>
      <c r="FJ1080" s="59"/>
      <c r="FK1080" s="59"/>
      <c r="FL1080" s="59"/>
      <c r="FM1080" s="59"/>
      <c r="FN1080" s="59"/>
      <c r="FO1080" s="59"/>
      <c r="FP1080" s="59"/>
      <c r="FQ1080" s="59"/>
      <c r="FR1080" s="59"/>
      <c r="FS1080" s="59"/>
      <c r="FT1080" s="59"/>
      <c r="FU1080" s="59"/>
      <c r="FV1080" s="59"/>
      <c r="FW1080" s="59"/>
      <c r="FX1080" s="59"/>
      <c r="FY1080" s="59"/>
      <c r="FZ1080" s="59"/>
      <c r="GA1080" s="59"/>
      <c r="GB1080" s="59"/>
      <c r="GC1080" s="59"/>
    </row>
    <row r="1081">
      <c r="A1081" s="59"/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  <c r="BV1081" s="59"/>
      <c r="BW1081" s="59"/>
      <c r="BX1081" s="59"/>
      <c r="BY1081" s="59"/>
      <c r="BZ1081" s="59"/>
      <c r="CA1081" s="59"/>
      <c r="CB1081" s="59"/>
      <c r="CC1081" s="59"/>
      <c r="CD1081" s="59"/>
      <c r="CE1081" s="59"/>
      <c r="CF1081" s="59"/>
      <c r="CG1081" s="59"/>
      <c r="CH1081" s="59"/>
      <c r="CI1081" s="59"/>
      <c r="CJ1081" s="59"/>
      <c r="CK1081" s="59"/>
      <c r="CL1081" s="59"/>
      <c r="CM1081" s="59"/>
      <c r="CN1081" s="59"/>
      <c r="CO1081" s="59"/>
      <c r="CP1081" s="59"/>
      <c r="CQ1081" s="59"/>
      <c r="CR1081" s="59"/>
      <c r="CS1081" s="59"/>
      <c r="CT1081" s="59"/>
      <c r="CU1081" s="59"/>
      <c r="CV1081" s="59"/>
      <c r="CW1081" s="59"/>
      <c r="CX1081" s="59"/>
      <c r="CY1081" s="59"/>
      <c r="CZ1081" s="59"/>
      <c r="DA1081" s="59"/>
      <c r="DB1081" s="59"/>
      <c r="DC1081" s="59"/>
      <c r="DD1081" s="59"/>
      <c r="DE1081" s="59"/>
      <c r="DF1081" s="59"/>
      <c r="DG1081" s="59"/>
      <c r="DH1081" s="59"/>
      <c r="DI1081" s="59"/>
      <c r="DJ1081" s="59"/>
      <c r="DK1081" s="59"/>
      <c r="DL1081" s="59"/>
      <c r="DM1081" s="59"/>
      <c r="DN1081" s="59"/>
      <c r="DO1081" s="59"/>
      <c r="DP1081" s="59"/>
      <c r="DQ1081" s="59"/>
      <c r="DR1081" s="59"/>
      <c r="DS1081" s="59"/>
      <c r="DT1081" s="59"/>
      <c r="DU1081" s="59"/>
      <c r="DV1081" s="59"/>
      <c r="DW1081" s="59"/>
      <c r="DX1081" s="59"/>
      <c r="DY1081" s="59"/>
      <c r="DZ1081" s="59"/>
      <c r="EA1081" s="59"/>
      <c r="EB1081" s="59"/>
      <c r="EC1081" s="59"/>
      <c r="ED1081" s="59"/>
      <c r="EE1081" s="59"/>
      <c r="EF1081" s="59"/>
      <c r="EG1081" s="59"/>
      <c r="EH1081" s="59"/>
      <c r="EI1081" s="59"/>
      <c r="EJ1081" s="59"/>
      <c r="EK1081" s="59"/>
      <c r="EL1081" s="59"/>
      <c r="EM1081" s="59"/>
      <c r="EN1081" s="59"/>
      <c r="EO1081" s="59"/>
      <c r="EP1081" s="59"/>
      <c r="EQ1081" s="59"/>
      <c r="ER1081" s="59"/>
      <c r="ES1081" s="59"/>
      <c r="ET1081" s="59"/>
      <c r="EU1081" s="59"/>
      <c r="EV1081" s="59"/>
      <c r="EW1081" s="59"/>
      <c r="EX1081" s="59"/>
      <c r="EY1081" s="59"/>
      <c r="EZ1081" s="59"/>
      <c r="FA1081" s="59"/>
      <c r="FB1081" s="59"/>
      <c r="FC1081" s="59"/>
      <c r="FD1081" s="59"/>
      <c r="FE1081" s="59"/>
      <c r="FF1081" s="59"/>
      <c r="FG1081" s="59"/>
      <c r="FH1081" s="59"/>
      <c r="FI1081" s="59"/>
      <c r="FJ1081" s="59"/>
      <c r="FK1081" s="59"/>
      <c r="FL1081" s="59"/>
      <c r="FM1081" s="59"/>
      <c r="FN1081" s="59"/>
      <c r="FO1081" s="59"/>
      <c r="FP1081" s="59"/>
      <c r="FQ1081" s="59"/>
      <c r="FR1081" s="59"/>
      <c r="FS1081" s="59"/>
      <c r="FT1081" s="59"/>
      <c r="FU1081" s="59"/>
      <c r="FV1081" s="59"/>
      <c r="FW1081" s="59"/>
      <c r="FX1081" s="59"/>
      <c r="FY1081" s="59"/>
      <c r="FZ1081" s="59"/>
      <c r="GA1081" s="59"/>
      <c r="GB1081" s="59"/>
      <c r="GC1081" s="59"/>
    </row>
    <row r="1082">
      <c r="A1082" s="59"/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  <c r="BV1082" s="59"/>
      <c r="BW1082" s="59"/>
      <c r="BX1082" s="59"/>
      <c r="BY1082" s="59"/>
      <c r="BZ1082" s="59"/>
      <c r="CA1082" s="59"/>
      <c r="CB1082" s="59"/>
      <c r="CC1082" s="59"/>
      <c r="CD1082" s="59"/>
      <c r="CE1082" s="59"/>
      <c r="CF1082" s="59"/>
      <c r="CG1082" s="59"/>
      <c r="CH1082" s="59"/>
      <c r="CI1082" s="59"/>
      <c r="CJ1082" s="59"/>
      <c r="CK1082" s="59"/>
      <c r="CL1082" s="59"/>
      <c r="CM1082" s="59"/>
      <c r="CN1082" s="59"/>
      <c r="CO1082" s="59"/>
      <c r="CP1082" s="59"/>
      <c r="CQ1082" s="59"/>
      <c r="CR1082" s="59"/>
      <c r="CS1082" s="59"/>
      <c r="CT1082" s="59"/>
      <c r="CU1082" s="59"/>
      <c r="CV1082" s="59"/>
      <c r="CW1082" s="59"/>
      <c r="CX1082" s="59"/>
      <c r="CY1082" s="59"/>
      <c r="CZ1082" s="59"/>
      <c r="DA1082" s="59"/>
      <c r="DB1082" s="59"/>
      <c r="DC1082" s="59"/>
      <c r="DD1082" s="59"/>
      <c r="DE1082" s="59"/>
      <c r="DF1082" s="59"/>
      <c r="DG1082" s="59"/>
      <c r="DH1082" s="59"/>
      <c r="DI1082" s="59"/>
      <c r="DJ1082" s="59"/>
      <c r="DK1082" s="59"/>
      <c r="DL1082" s="59"/>
      <c r="DM1082" s="59"/>
      <c r="DN1082" s="59"/>
      <c r="DO1082" s="59"/>
      <c r="DP1082" s="59"/>
      <c r="DQ1082" s="59"/>
      <c r="DR1082" s="59"/>
      <c r="DS1082" s="59"/>
      <c r="DT1082" s="59"/>
      <c r="DU1082" s="59"/>
      <c r="DV1082" s="59"/>
      <c r="DW1082" s="59"/>
      <c r="DX1082" s="59"/>
      <c r="DY1082" s="59"/>
      <c r="DZ1082" s="59"/>
      <c r="EA1082" s="59"/>
      <c r="EB1082" s="59"/>
      <c r="EC1082" s="59"/>
      <c r="ED1082" s="59"/>
      <c r="EE1082" s="59"/>
      <c r="EF1082" s="59"/>
      <c r="EG1082" s="59"/>
      <c r="EH1082" s="59"/>
      <c r="EI1082" s="59"/>
      <c r="EJ1082" s="59"/>
      <c r="EK1082" s="59"/>
      <c r="EL1082" s="59"/>
      <c r="EM1082" s="59"/>
      <c r="EN1082" s="59"/>
      <c r="EO1082" s="59"/>
      <c r="EP1082" s="59"/>
      <c r="EQ1082" s="59"/>
      <c r="ER1082" s="59"/>
      <c r="ES1082" s="59"/>
      <c r="ET1082" s="59"/>
      <c r="EU1082" s="59"/>
      <c r="EV1082" s="59"/>
      <c r="EW1082" s="59"/>
      <c r="EX1082" s="59"/>
      <c r="EY1082" s="59"/>
      <c r="EZ1082" s="59"/>
      <c r="FA1082" s="59"/>
      <c r="FB1082" s="59"/>
      <c r="FC1082" s="59"/>
      <c r="FD1082" s="59"/>
      <c r="FE1082" s="59"/>
      <c r="FF1082" s="59"/>
      <c r="FG1082" s="59"/>
      <c r="FH1082" s="59"/>
      <c r="FI1082" s="59"/>
      <c r="FJ1082" s="59"/>
      <c r="FK1082" s="59"/>
      <c r="FL1082" s="59"/>
      <c r="FM1082" s="59"/>
      <c r="FN1082" s="59"/>
      <c r="FO1082" s="59"/>
      <c r="FP1082" s="59"/>
      <c r="FQ1082" s="59"/>
      <c r="FR1082" s="59"/>
      <c r="FS1082" s="59"/>
      <c r="FT1082" s="59"/>
      <c r="FU1082" s="59"/>
      <c r="FV1082" s="59"/>
      <c r="FW1082" s="59"/>
      <c r="FX1082" s="59"/>
      <c r="FY1082" s="59"/>
      <c r="FZ1082" s="59"/>
      <c r="GA1082" s="59"/>
      <c r="GB1082" s="59"/>
      <c r="GC1082" s="59"/>
    </row>
    <row r="1083">
      <c r="A1083" s="59"/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  <c r="BV1083" s="59"/>
      <c r="BW1083" s="59"/>
      <c r="BX1083" s="59"/>
      <c r="BY1083" s="59"/>
      <c r="BZ1083" s="59"/>
      <c r="CA1083" s="59"/>
      <c r="CB1083" s="59"/>
      <c r="CC1083" s="59"/>
      <c r="CD1083" s="59"/>
      <c r="CE1083" s="59"/>
      <c r="CF1083" s="59"/>
      <c r="CG1083" s="59"/>
      <c r="CH1083" s="59"/>
      <c r="CI1083" s="59"/>
      <c r="CJ1083" s="59"/>
      <c r="CK1083" s="59"/>
      <c r="CL1083" s="59"/>
      <c r="CM1083" s="59"/>
      <c r="CN1083" s="59"/>
      <c r="CO1083" s="59"/>
      <c r="CP1083" s="59"/>
      <c r="CQ1083" s="59"/>
      <c r="CR1083" s="59"/>
      <c r="CS1083" s="59"/>
      <c r="CT1083" s="59"/>
      <c r="CU1083" s="59"/>
      <c r="CV1083" s="59"/>
      <c r="CW1083" s="59"/>
      <c r="CX1083" s="59"/>
      <c r="CY1083" s="59"/>
      <c r="CZ1083" s="59"/>
      <c r="DA1083" s="59"/>
      <c r="DB1083" s="59"/>
      <c r="DC1083" s="59"/>
      <c r="DD1083" s="59"/>
      <c r="DE1083" s="59"/>
      <c r="DF1083" s="59"/>
      <c r="DG1083" s="59"/>
      <c r="DH1083" s="59"/>
      <c r="DI1083" s="59"/>
      <c r="DJ1083" s="59"/>
      <c r="DK1083" s="59"/>
      <c r="DL1083" s="59"/>
      <c r="DM1083" s="59"/>
      <c r="DN1083" s="59"/>
      <c r="DO1083" s="59"/>
      <c r="DP1083" s="59"/>
      <c r="DQ1083" s="59"/>
      <c r="DR1083" s="59"/>
      <c r="DS1083" s="59"/>
      <c r="DT1083" s="59"/>
      <c r="DU1083" s="59"/>
      <c r="DV1083" s="59"/>
      <c r="DW1083" s="59"/>
      <c r="DX1083" s="59"/>
      <c r="DY1083" s="59"/>
      <c r="DZ1083" s="59"/>
      <c r="EA1083" s="59"/>
      <c r="EB1083" s="59"/>
      <c r="EC1083" s="59"/>
      <c r="ED1083" s="59"/>
      <c r="EE1083" s="59"/>
      <c r="EF1083" s="59"/>
      <c r="EG1083" s="59"/>
      <c r="EH1083" s="59"/>
      <c r="EI1083" s="59"/>
      <c r="EJ1083" s="59"/>
      <c r="EK1083" s="59"/>
      <c r="EL1083" s="59"/>
      <c r="EM1083" s="59"/>
      <c r="EN1083" s="59"/>
      <c r="EO1083" s="59"/>
      <c r="EP1083" s="59"/>
      <c r="EQ1083" s="59"/>
      <c r="ER1083" s="59"/>
      <c r="ES1083" s="59"/>
      <c r="ET1083" s="59"/>
      <c r="EU1083" s="59"/>
      <c r="EV1083" s="59"/>
      <c r="EW1083" s="59"/>
      <c r="EX1083" s="59"/>
      <c r="EY1083" s="59"/>
      <c r="EZ1083" s="59"/>
      <c r="FA1083" s="59"/>
      <c r="FB1083" s="59"/>
      <c r="FC1083" s="59"/>
      <c r="FD1083" s="59"/>
      <c r="FE1083" s="59"/>
      <c r="FF1083" s="59"/>
      <c r="FG1083" s="59"/>
      <c r="FH1083" s="59"/>
      <c r="FI1083" s="59"/>
      <c r="FJ1083" s="59"/>
      <c r="FK1083" s="59"/>
      <c r="FL1083" s="59"/>
      <c r="FM1083" s="59"/>
      <c r="FN1083" s="59"/>
      <c r="FO1083" s="59"/>
      <c r="FP1083" s="59"/>
      <c r="FQ1083" s="59"/>
      <c r="FR1083" s="59"/>
      <c r="FS1083" s="59"/>
      <c r="FT1083" s="59"/>
      <c r="FU1083" s="59"/>
      <c r="FV1083" s="59"/>
      <c r="FW1083" s="59"/>
      <c r="FX1083" s="59"/>
      <c r="FY1083" s="59"/>
      <c r="FZ1083" s="59"/>
      <c r="GA1083" s="59"/>
      <c r="GB1083" s="59"/>
      <c r="GC1083" s="59"/>
    </row>
    <row r="1084">
      <c r="A1084" s="59"/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  <c r="BV1084" s="59"/>
      <c r="BW1084" s="59"/>
      <c r="BX1084" s="59"/>
      <c r="BY1084" s="59"/>
      <c r="BZ1084" s="59"/>
      <c r="CA1084" s="59"/>
      <c r="CB1084" s="59"/>
      <c r="CC1084" s="59"/>
      <c r="CD1084" s="59"/>
      <c r="CE1084" s="59"/>
      <c r="CF1084" s="59"/>
      <c r="CG1084" s="59"/>
      <c r="CH1084" s="59"/>
      <c r="CI1084" s="59"/>
      <c r="CJ1084" s="59"/>
      <c r="CK1084" s="59"/>
      <c r="CL1084" s="59"/>
      <c r="CM1084" s="59"/>
      <c r="CN1084" s="59"/>
      <c r="CO1084" s="59"/>
      <c r="CP1084" s="59"/>
      <c r="CQ1084" s="59"/>
      <c r="CR1084" s="59"/>
      <c r="CS1084" s="59"/>
      <c r="CT1084" s="59"/>
      <c r="CU1084" s="59"/>
      <c r="CV1084" s="59"/>
      <c r="CW1084" s="59"/>
      <c r="CX1084" s="59"/>
      <c r="CY1084" s="59"/>
      <c r="CZ1084" s="59"/>
      <c r="DA1084" s="59"/>
      <c r="DB1084" s="59"/>
      <c r="DC1084" s="59"/>
      <c r="DD1084" s="59"/>
      <c r="DE1084" s="59"/>
      <c r="DF1084" s="59"/>
      <c r="DG1084" s="59"/>
      <c r="DH1084" s="59"/>
      <c r="DI1084" s="59"/>
      <c r="DJ1084" s="59"/>
      <c r="DK1084" s="59"/>
      <c r="DL1084" s="59"/>
      <c r="DM1084" s="59"/>
      <c r="DN1084" s="59"/>
      <c r="DO1084" s="59"/>
      <c r="DP1084" s="59"/>
      <c r="DQ1084" s="59"/>
      <c r="DR1084" s="59"/>
      <c r="DS1084" s="59"/>
      <c r="DT1084" s="59"/>
      <c r="DU1084" s="59"/>
      <c r="DV1084" s="59"/>
      <c r="DW1084" s="59"/>
      <c r="DX1084" s="59"/>
      <c r="DY1084" s="59"/>
      <c r="DZ1084" s="59"/>
      <c r="EA1084" s="59"/>
      <c r="EB1084" s="59"/>
      <c r="EC1084" s="59"/>
      <c r="ED1084" s="59"/>
      <c r="EE1084" s="59"/>
      <c r="EF1084" s="59"/>
      <c r="EG1084" s="59"/>
      <c r="EH1084" s="59"/>
      <c r="EI1084" s="59"/>
      <c r="EJ1084" s="59"/>
      <c r="EK1084" s="59"/>
      <c r="EL1084" s="59"/>
      <c r="EM1084" s="59"/>
      <c r="EN1084" s="59"/>
      <c r="EO1084" s="59"/>
      <c r="EP1084" s="59"/>
      <c r="EQ1084" s="59"/>
      <c r="ER1084" s="59"/>
      <c r="ES1084" s="59"/>
      <c r="ET1084" s="59"/>
      <c r="EU1084" s="59"/>
      <c r="EV1084" s="59"/>
      <c r="EW1084" s="59"/>
      <c r="EX1084" s="59"/>
      <c r="EY1084" s="59"/>
      <c r="EZ1084" s="59"/>
      <c r="FA1084" s="59"/>
      <c r="FB1084" s="59"/>
      <c r="FC1084" s="59"/>
      <c r="FD1084" s="59"/>
      <c r="FE1084" s="59"/>
      <c r="FF1084" s="59"/>
      <c r="FG1084" s="59"/>
      <c r="FH1084" s="59"/>
      <c r="FI1084" s="59"/>
      <c r="FJ1084" s="59"/>
      <c r="FK1084" s="59"/>
      <c r="FL1084" s="59"/>
      <c r="FM1084" s="59"/>
      <c r="FN1084" s="59"/>
      <c r="FO1084" s="59"/>
      <c r="FP1084" s="59"/>
      <c r="FQ1084" s="59"/>
      <c r="FR1084" s="59"/>
      <c r="FS1084" s="59"/>
      <c r="FT1084" s="59"/>
      <c r="FU1084" s="59"/>
      <c r="FV1084" s="59"/>
      <c r="FW1084" s="59"/>
      <c r="FX1084" s="59"/>
      <c r="FY1084" s="59"/>
      <c r="FZ1084" s="59"/>
      <c r="GA1084" s="59"/>
      <c r="GB1084" s="59"/>
      <c r="GC1084" s="59"/>
    </row>
    <row r="1085">
      <c r="A1085" s="59"/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  <c r="BV1085" s="59"/>
      <c r="BW1085" s="59"/>
      <c r="BX1085" s="59"/>
      <c r="BY1085" s="59"/>
      <c r="BZ1085" s="59"/>
      <c r="CA1085" s="59"/>
      <c r="CB1085" s="59"/>
      <c r="CC1085" s="59"/>
      <c r="CD1085" s="59"/>
      <c r="CE1085" s="59"/>
      <c r="CF1085" s="59"/>
      <c r="CG1085" s="59"/>
      <c r="CH1085" s="59"/>
      <c r="CI1085" s="59"/>
      <c r="CJ1085" s="59"/>
      <c r="CK1085" s="59"/>
      <c r="CL1085" s="59"/>
      <c r="CM1085" s="59"/>
      <c r="CN1085" s="59"/>
      <c r="CO1085" s="59"/>
      <c r="CP1085" s="59"/>
      <c r="CQ1085" s="59"/>
      <c r="CR1085" s="59"/>
      <c r="CS1085" s="59"/>
      <c r="CT1085" s="59"/>
      <c r="CU1085" s="59"/>
      <c r="CV1085" s="59"/>
      <c r="CW1085" s="59"/>
      <c r="CX1085" s="59"/>
      <c r="CY1085" s="59"/>
      <c r="CZ1085" s="59"/>
      <c r="DA1085" s="59"/>
      <c r="DB1085" s="59"/>
      <c r="DC1085" s="59"/>
      <c r="DD1085" s="59"/>
      <c r="DE1085" s="59"/>
      <c r="DF1085" s="59"/>
      <c r="DG1085" s="59"/>
      <c r="DH1085" s="59"/>
      <c r="DI1085" s="59"/>
      <c r="DJ1085" s="59"/>
      <c r="DK1085" s="59"/>
      <c r="DL1085" s="59"/>
      <c r="DM1085" s="59"/>
      <c r="DN1085" s="59"/>
      <c r="DO1085" s="59"/>
      <c r="DP1085" s="59"/>
      <c r="DQ1085" s="59"/>
      <c r="DR1085" s="59"/>
      <c r="DS1085" s="59"/>
      <c r="DT1085" s="59"/>
      <c r="DU1085" s="59"/>
      <c r="DV1085" s="59"/>
      <c r="DW1085" s="59"/>
      <c r="DX1085" s="59"/>
      <c r="DY1085" s="59"/>
      <c r="DZ1085" s="59"/>
      <c r="EA1085" s="59"/>
      <c r="EB1085" s="59"/>
      <c r="EC1085" s="59"/>
      <c r="ED1085" s="59"/>
      <c r="EE1085" s="59"/>
      <c r="EF1085" s="59"/>
      <c r="EG1085" s="59"/>
      <c r="EH1085" s="59"/>
      <c r="EI1085" s="59"/>
      <c r="EJ1085" s="59"/>
      <c r="EK1085" s="59"/>
      <c r="EL1085" s="59"/>
      <c r="EM1085" s="59"/>
      <c r="EN1085" s="59"/>
      <c r="EO1085" s="59"/>
      <c r="EP1085" s="59"/>
      <c r="EQ1085" s="59"/>
      <c r="ER1085" s="59"/>
      <c r="ES1085" s="59"/>
      <c r="ET1085" s="59"/>
      <c r="EU1085" s="59"/>
      <c r="EV1085" s="59"/>
      <c r="EW1085" s="59"/>
      <c r="EX1085" s="59"/>
      <c r="EY1085" s="59"/>
      <c r="EZ1085" s="59"/>
      <c r="FA1085" s="59"/>
      <c r="FB1085" s="59"/>
      <c r="FC1085" s="59"/>
      <c r="FD1085" s="59"/>
      <c r="FE1085" s="59"/>
      <c r="FF1085" s="59"/>
      <c r="FG1085" s="59"/>
      <c r="FH1085" s="59"/>
      <c r="FI1085" s="59"/>
      <c r="FJ1085" s="59"/>
      <c r="FK1085" s="59"/>
      <c r="FL1085" s="59"/>
      <c r="FM1085" s="59"/>
      <c r="FN1085" s="59"/>
      <c r="FO1085" s="59"/>
      <c r="FP1085" s="59"/>
      <c r="FQ1085" s="59"/>
      <c r="FR1085" s="59"/>
      <c r="FS1085" s="59"/>
      <c r="FT1085" s="59"/>
      <c r="FU1085" s="59"/>
      <c r="FV1085" s="59"/>
      <c r="FW1085" s="59"/>
      <c r="FX1085" s="59"/>
      <c r="FY1085" s="59"/>
      <c r="FZ1085" s="59"/>
      <c r="GA1085" s="59"/>
      <c r="GB1085" s="59"/>
      <c r="GC1085" s="59"/>
    </row>
    <row r="1086">
      <c r="A1086" s="59"/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  <c r="BV1086" s="59"/>
      <c r="BW1086" s="59"/>
      <c r="BX1086" s="59"/>
      <c r="BY1086" s="59"/>
      <c r="BZ1086" s="59"/>
      <c r="CA1086" s="59"/>
      <c r="CB1086" s="59"/>
      <c r="CC1086" s="59"/>
      <c r="CD1086" s="59"/>
      <c r="CE1086" s="59"/>
      <c r="CF1086" s="59"/>
      <c r="CG1086" s="59"/>
      <c r="CH1086" s="59"/>
      <c r="CI1086" s="59"/>
      <c r="CJ1086" s="59"/>
      <c r="CK1086" s="59"/>
      <c r="CL1086" s="59"/>
      <c r="CM1086" s="59"/>
      <c r="CN1086" s="59"/>
      <c r="CO1086" s="59"/>
      <c r="CP1086" s="59"/>
      <c r="CQ1086" s="59"/>
      <c r="CR1086" s="59"/>
      <c r="CS1086" s="59"/>
      <c r="CT1086" s="59"/>
      <c r="CU1086" s="59"/>
      <c r="CV1086" s="59"/>
      <c r="CW1086" s="59"/>
      <c r="CX1086" s="59"/>
      <c r="CY1086" s="59"/>
      <c r="CZ1086" s="59"/>
      <c r="DA1086" s="59"/>
      <c r="DB1086" s="59"/>
      <c r="DC1086" s="59"/>
      <c r="DD1086" s="59"/>
      <c r="DE1086" s="59"/>
      <c r="DF1086" s="59"/>
      <c r="DG1086" s="59"/>
      <c r="DH1086" s="59"/>
      <c r="DI1086" s="59"/>
      <c r="DJ1086" s="59"/>
      <c r="DK1086" s="59"/>
      <c r="DL1086" s="59"/>
      <c r="DM1086" s="59"/>
      <c r="DN1086" s="59"/>
      <c r="DO1086" s="59"/>
      <c r="DP1086" s="59"/>
      <c r="DQ1086" s="59"/>
      <c r="DR1086" s="59"/>
      <c r="DS1086" s="59"/>
      <c r="DT1086" s="59"/>
      <c r="DU1086" s="59"/>
      <c r="DV1086" s="59"/>
      <c r="DW1086" s="59"/>
      <c r="DX1086" s="59"/>
      <c r="DY1086" s="59"/>
      <c r="DZ1086" s="59"/>
      <c r="EA1086" s="59"/>
      <c r="EB1086" s="59"/>
      <c r="EC1086" s="59"/>
      <c r="ED1086" s="59"/>
      <c r="EE1086" s="59"/>
      <c r="EF1086" s="59"/>
      <c r="EG1086" s="59"/>
      <c r="EH1086" s="59"/>
      <c r="EI1086" s="59"/>
      <c r="EJ1086" s="59"/>
      <c r="EK1086" s="59"/>
      <c r="EL1086" s="59"/>
      <c r="EM1086" s="59"/>
      <c r="EN1086" s="59"/>
      <c r="EO1086" s="59"/>
      <c r="EP1086" s="59"/>
      <c r="EQ1086" s="59"/>
      <c r="ER1086" s="59"/>
      <c r="ES1086" s="59"/>
      <c r="ET1086" s="59"/>
      <c r="EU1086" s="59"/>
      <c r="EV1086" s="59"/>
      <c r="EW1086" s="59"/>
      <c r="EX1086" s="59"/>
      <c r="EY1086" s="59"/>
      <c r="EZ1086" s="59"/>
      <c r="FA1086" s="59"/>
      <c r="FB1086" s="59"/>
      <c r="FC1086" s="59"/>
      <c r="FD1086" s="59"/>
      <c r="FE1086" s="59"/>
      <c r="FF1086" s="59"/>
      <c r="FG1086" s="59"/>
      <c r="FH1086" s="59"/>
      <c r="FI1086" s="59"/>
      <c r="FJ1086" s="59"/>
      <c r="FK1086" s="59"/>
      <c r="FL1086" s="59"/>
      <c r="FM1086" s="59"/>
      <c r="FN1086" s="59"/>
      <c r="FO1086" s="59"/>
      <c r="FP1086" s="59"/>
      <c r="FQ1086" s="59"/>
      <c r="FR1086" s="59"/>
      <c r="FS1086" s="59"/>
      <c r="FT1086" s="59"/>
      <c r="FU1086" s="59"/>
      <c r="FV1086" s="59"/>
      <c r="FW1086" s="59"/>
      <c r="FX1086" s="59"/>
      <c r="FY1086" s="59"/>
      <c r="FZ1086" s="59"/>
      <c r="GA1086" s="59"/>
      <c r="GB1086" s="59"/>
      <c r="GC1086" s="59"/>
    </row>
    <row r="1087">
      <c r="A1087" s="59"/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  <c r="BV1087" s="59"/>
      <c r="BW1087" s="59"/>
      <c r="BX1087" s="59"/>
      <c r="BY1087" s="59"/>
      <c r="BZ1087" s="59"/>
      <c r="CA1087" s="59"/>
      <c r="CB1087" s="59"/>
      <c r="CC1087" s="59"/>
      <c r="CD1087" s="59"/>
      <c r="CE1087" s="59"/>
      <c r="CF1087" s="59"/>
      <c r="CG1087" s="59"/>
      <c r="CH1087" s="59"/>
      <c r="CI1087" s="59"/>
      <c r="CJ1087" s="59"/>
      <c r="CK1087" s="59"/>
      <c r="CL1087" s="59"/>
      <c r="CM1087" s="59"/>
      <c r="CN1087" s="59"/>
      <c r="CO1087" s="59"/>
      <c r="CP1087" s="59"/>
      <c r="CQ1087" s="59"/>
      <c r="CR1087" s="59"/>
      <c r="CS1087" s="59"/>
      <c r="CT1087" s="59"/>
      <c r="CU1087" s="59"/>
      <c r="CV1087" s="59"/>
      <c r="CW1087" s="59"/>
      <c r="CX1087" s="59"/>
      <c r="CY1087" s="59"/>
      <c r="CZ1087" s="59"/>
      <c r="DA1087" s="59"/>
      <c r="DB1087" s="59"/>
      <c r="DC1087" s="59"/>
      <c r="DD1087" s="59"/>
      <c r="DE1087" s="59"/>
      <c r="DF1087" s="59"/>
      <c r="DG1087" s="59"/>
      <c r="DH1087" s="59"/>
      <c r="DI1087" s="59"/>
      <c r="DJ1087" s="59"/>
      <c r="DK1087" s="59"/>
      <c r="DL1087" s="59"/>
      <c r="DM1087" s="59"/>
      <c r="DN1087" s="59"/>
      <c r="DO1087" s="59"/>
      <c r="DP1087" s="59"/>
      <c r="DQ1087" s="59"/>
      <c r="DR1087" s="59"/>
      <c r="DS1087" s="59"/>
      <c r="DT1087" s="59"/>
      <c r="DU1087" s="59"/>
      <c r="DV1087" s="59"/>
      <c r="DW1087" s="59"/>
      <c r="DX1087" s="59"/>
      <c r="DY1087" s="59"/>
      <c r="DZ1087" s="59"/>
      <c r="EA1087" s="59"/>
      <c r="EB1087" s="59"/>
      <c r="EC1087" s="59"/>
      <c r="ED1087" s="59"/>
      <c r="EE1087" s="59"/>
      <c r="EF1087" s="59"/>
      <c r="EG1087" s="59"/>
      <c r="EH1087" s="59"/>
      <c r="EI1087" s="59"/>
      <c r="EJ1087" s="59"/>
      <c r="EK1087" s="59"/>
      <c r="EL1087" s="59"/>
      <c r="EM1087" s="59"/>
      <c r="EN1087" s="59"/>
      <c r="EO1087" s="59"/>
      <c r="EP1087" s="59"/>
      <c r="EQ1087" s="59"/>
      <c r="ER1087" s="59"/>
      <c r="ES1087" s="59"/>
      <c r="ET1087" s="59"/>
      <c r="EU1087" s="59"/>
      <c r="EV1087" s="59"/>
      <c r="EW1087" s="59"/>
      <c r="EX1087" s="59"/>
      <c r="EY1087" s="59"/>
      <c r="EZ1087" s="59"/>
      <c r="FA1087" s="59"/>
      <c r="FB1087" s="59"/>
      <c r="FC1087" s="59"/>
      <c r="FD1087" s="59"/>
      <c r="FE1087" s="59"/>
      <c r="FF1087" s="59"/>
      <c r="FG1087" s="59"/>
      <c r="FH1087" s="59"/>
      <c r="FI1087" s="59"/>
      <c r="FJ1087" s="59"/>
      <c r="FK1087" s="59"/>
      <c r="FL1087" s="59"/>
      <c r="FM1087" s="59"/>
      <c r="FN1087" s="59"/>
      <c r="FO1087" s="59"/>
      <c r="FP1087" s="59"/>
      <c r="FQ1087" s="59"/>
      <c r="FR1087" s="59"/>
      <c r="FS1087" s="59"/>
      <c r="FT1087" s="59"/>
      <c r="FU1087" s="59"/>
      <c r="FV1087" s="59"/>
      <c r="FW1087" s="59"/>
      <c r="FX1087" s="59"/>
      <c r="FY1087" s="59"/>
      <c r="FZ1087" s="59"/>
      <c r="GA1087" s="59"/>
      <c r="GB1087" s="59"/>
      <c r="GC1087" s="59"/>
    </row>
    <row r="1088">
      <c r="A1088" s="59"/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  <c r="BV1088" s="59"/>
      <c r="BW1088" s="59"/>
      <c r="BX1088" s="59"/>
      <c r="BY1088" s="59"/>
      <c r="BZ1088" s="59"/>
      <c r="CA1088" s="59"/>
      <c r="CB1088" s="59"/>
      <c r="CC1088" s="59"/>
      <c r="CD1088" s="59"/>
      <c r="CE1088" s="59"/>
      <c r="CF1088" s="59"/>
      <c r="CG1088" s="59"/>
      <c r="CH1088" s="59"/>
      <c r="CI1088" s="59"/>
      <c r="CJ1088" s="59"/>
      <c r="CK1088" s="59"/>
      <c r="CL1088" s="59"/>
      <c r="CM1088" s="59"/>
      <c r="CN1088" s="59"/>
      <c r="CO1088" s="59"/>
      <c r="CP1088" s="59"/>
      <c r="CQ1088" s="59"/>
      <c r="CR1088" s="59"/>
      <c r="CS1088" s="59"/>
      <c r="CT1088" s="59"/>
      <c r="CU1088" s="59"/>
      <c r="CV1088" s="59"/>
      <c r="CW1088" s="59"/>
      <c r="CX1088" s="59"/>
      <c r="CY1088" s="59"/>
      <c r="CZ1088" s="59"/>
      <c r="DA1088" s="59"/>
      <c r="DB1088" s="59"/>
      <c r="DC1088" s="59"/>
      <c r="DD1088" s="59"/>
      <c r="DE1088" s="59"/>
      <c r="DF1088" s="59"/>
      <c r="DG1088" s="59"/>
      <c r="DH1088" s="59"/>
      <c r="DI1088" s="59"/>
      <c r="DJ1088" s="59"/>
      <c r="DK1088" s="59"/>
      <c r="DL1088" s="59"/>
      <c r="DM1088" s="59"/>
      <c r="DN1088" s="59"/>
      <c r="DO1088" s="59"/>
      <c r="DP1088" s="59"/>
      <c r="DQ1088" s="59"/>
      <c r="DR1088" s="59"/>
      <c r="DS1088" s="59"/>
      <c r="DT1088" s="59"/>
      <c r="DU1088" s="59"/>
      <c r="DV1088" s="59"/>
      <c r="DW1088" s="59"/>
      <c r="DX1088" s="59"/>
      <c r="DY1088" s="59"/>
      <c r="DZ1088" s="59"/>
      <c r="EA1088" s="59"/>
      <c r="EB1088" s="59"/>
      <c r="EC1088" s="59"/>
      <c r="ED1088" s="59"/>
      <c r="EE1088" s="59"/>
      <c r="EF1088" s="59"/>
      <c r="EG1088" s="59"/>
      <c r="EH1088" s="59"/>
      <c r="EI1088" s="59"/>
      <c r="EJ1088" s="59"/>
      <c r="EK1088" s="59"/>
      <c r="EL1088" s="59"/>
      <c r="EM1088" s="59"/>
      <c r="EN1088" s="59"/>
      <c r="EO1088" s="59"/>
      <c r="EP1088" s="59"/>
      <c r="EQ1088" s="59"/>
      <c r="ER1088" s="59"/>
      <c r="ES1088" s="59"/>
      <c r="ET1088" s="59"/>
      <c r="EU1088" s="59"/>
      <c r="EV1088" s="59"/>
      <c r="EW1088" s="59"/>
      <c r="EX1088" s="59"/>
      <c r="EY1088" s="59"/>
      <c r="EZ1088" s="59"/>
      <c r="FA1088" s="59"/>
      <c r="FB1088" s="59"/>
      <c r="FC1088" s="59"/>
      <c r="FD1088" s="59"/>
      <c r="FE1088" s="59"/>
      <c r="FF1088" s="59"/>
      <c r="FG1088" s="59"/>
      <c r="FH1088" s="59"/>
      <c r="FI1088" s="59"/>
      <c r="FJ1088" s="59"/>
      <c r="FK1088" s="59"/>
      <c r="FL1088" s="59"/>
      <c r="FM1088" s="59"/>
      <c r="FN1088" s="59"/>
      <c r="FO1088" s="59"/>
      <c r="FP1088" s="59"/>
      <c r="FQ1088" s="59"/>
      <c r="FR1088" s="59"/>
      <c r="FS1088" s="59"/>
      <c r="FT1088" s="59"/>
      <c r="FU1088" s="59"/>
      <c r="FV1088" s="59"/>
      <c r="FW1088" s="59"/>
      <c r="FX1088" s="59"/>
      <c r="FY1088" s="59"/>
      <c r="FZ1088" s="59"/>
      <c r="GA1088" s="59"/>
      <c r="GB1088" s="59"/>
      <c r="GC1088" s="59"/>
    </row>
    <row r="1089">
      <c r="A1089" s="59"/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  <c r="BV1089" s="59"/>
      <c r="BW1089" s="59"/>
      <c r="BX1089" s="59"/>
      <c r="BY1089" s="59"/>
      <c r="BZ1089" s="59"/>
      <c r="CA1089" s="59"/>
      <c r="CB1089" s="59"/>
      <c r="CC1089" s="59"/>
      <c r="CD1089" s="59"/>
      <c r="CE1089" s="59"/>
      <c r="CF1089" s="59"/>
      <c r="CG1089" s="59"/>
      <c r="CH1089" s="59"/>
      <c r="CI1089" s="59"/>
      <c r="CJ1089" s="59"/>
      <c r="CK1089" s="59"/>
      <c r="CL1089" s="59"/>
      <c r="CM1089" s="59"/>
      <c r="CN1089" s="59"/>
      <c r="CO1089" s="59"/>
      <c r="CP1089" s="59"/>
      <c r="CQ1089" s="59"/>
      <c r="CR1089" s="59"/>
      <c r="CS1089" s="59"/>
      <c r="CT1089" s="59"/>
      <c r="CU1089" s="59"/>
      <c r="CV1089" s="59"/>
      <c r="CW1089" s="59"/>
      <c r="CX1089" s="59"/>
      <c r="CY1089" s="59"/>
      <c r="CZ1089" s="59"/>
      <c r="DA1089" s="59"/>
      <c r="DB1089" s="59"/>
      <c r="DC1089" s="59"/>
      <c r="DD1089" s="59"/>
      <c r="DE1089" s="59"/>
      <c r="DF1089" s="59"/>
      <c r="DG1089" s="59"/>
      <c r="DH1089" s="59"/>
      <c r="DI1089" s="59"/>
      <c r="DJ1089" s="59"/>
      <c r="DK1089" s="59"/>
      <c r="DL1089" s="59"/>
      <c r="DM1089" s="59"/>
      <c r="DN1089" s="59"/>
      <c r="DO1089" s="59"/>
      <c r="DP1089" s="59"/>
      <c r="DQ1089" s="59"/>
      <c r="DR1089" s="59"/>
      <c r="DS1089" s="59"/>
      <c r="DT1089" s="59"/>
      <c r="DU1089" s="59"/>
      <c r="DV1089" s="59"/>
      <c r="DW1089" s="59"/>
      <c r="DX1089" s="59"/>
      <c r="DY1089" s="59"/>
      <c r="DZ1089" s="59"/>
      <c r="EA1089" s="59"/>
      <c r="EB1089" s="59"/>
      <c r="EC1089" s="59"/>
      <c r="ED1089" s="59"/>
      <c r="EE1089" s="59"/>
      <c r="EF1089" s="59"/>
      <c r="EG1089" s="59"/>
      <c r="EH1089" s="59"/>
      <c r="EI1089" s="59"/>
      <c r="EJ1089" s="59"/>
      <c r="EK1089" s="59"/>
      <c r="EL1089" s="59"/>
      <c r="EM1089" s="59"/>
      <c r="EN1089" s="59"/>
      <c r="EO1089" s="59"/>
      <c r="EP1089" s="59"/>
      <c r="EQ1089" s="59"/>
      <c r="ER1089" s="59"/>
      <c r="ES1089" s="59"/>
      <c r="ET1089" s="59"/>
      <c r="EU1089" s="59"/>
      <c r="EV1089" s="59"/>
      <c r="EW1089" s="59"/>
      <c r="EX1089" s="59"/>
      <c r="EY1089" s="59"/>
      <c r="EZ1089" s="59"/>
      <c r="FA1089" s="59"/>
      <c r="FB1089" s="59"/>
      <c r="FC1089" s="59"/>
      <c r="FD1089" s="59"/>
      <c r="FE1089" s="59"/>
      <c r="FF1089" s="59"/>
      <c r="FG1089" s="59"/>
      <c r="FH1089" s="59"/>
      <c r="FI1089" s="59"/>
      <c r="FJ1089" s="59"/>
      <c r="FK1089" s="59"/>
      <c r="FL1089" s="59"/>
      <c r="FM1089" s="59"/>
      <c r="FN1089" s="59"/>
      <c r="FO1089" s="59"/>
      <c r="FP1089" s="59"/>
      <c r="FQ1089" s="59"/>
      <c r="FR1089" s="59"/>
      <c r="FS1089" s="59"/>
      <c r="FT1089" s="59"/>
      <c r="FU1089" s="59"/>
      <c r="FV1089" s="59"/>
      <c r="FW1089" s="59"/>
      <c r="FX1089" s="59"/>
      <c r="FY1089" s="59"/>
      <c r="FZ1089" s="59"/>
      <c r="GA1089" s="59"/>
      <c r="GB1089" s="59"/>
      <c r="GC1089" s="59"/>
    </row>
    <row r="1090">
      <c r="A1090" s="59"/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  <c r="BV1090" s="59"/>
      <c r="BW1090" s="59"/>
      <c r="BX1090" s="59"/>
      <c r="BY1090" s="59"/>
      <c r="BZ1090" s="59"/>
      <c r="CA1090" s="59"/>
      <c r="CB1090" s="59"/>
      <c r="CC1090" s="59"/>
      <c r="CD1090" s="59"/>
      <c r="CE1090" s="59"/>
      <c r="CF1090" s="59"/>
      <c r="CG1090" s="59"/>
      <c r="CH1090" s="59"/>
      <c r="CI1090" s="59"/>
      <c r="CJ1090" s="59"/>
      <c r="CK1090" s="59"/>
      <c r="CL1090" s="59"/>
      <c r="CM1090" s="59"/>
      <c r="CN1090" s="59"/>
      <c r="CO1090" s="59"/>
      <c r="CP1090" s="59"/>
      <c r="CQ1090" s="59"/>
      <c r="CR1090" s="59"/>
      <c r="CS1090" s="59"/>
      <c r="CT1090" s="59"/>
      <c r="CU1090" s="59"/>
      <c r="CV1090" s="59"/>
      <c r="CW1090" s="59"/>
      <c r="CX1090" s="59"/>
      <c r="CY1090" s="59"/>
      <c r="CZ1090" s="59"/>
      <c r="DA1090" s="59"/>
      <c r="DB1090" s="59"/>
      <c r="DC1090" s="59"/>
      <c r="DD1090" s="59"/>
      <c r="DE1090" s="59"/>
      <c r="DF1090" s="59"/>
      <c r="DG1090" s="59"/>
      <c r="DH1090" s="59"/>
      <c r="DI1090" s="59"/>
      <c r="DJ1090" s="59"/>
      <c r="DK1090" s="59"/>
      <c r="DL1090" s="59"/>
      <c r="DM1090" s="59"/>
      <c r="DN1090" s="59"/>
      <c r="DO1090" s="59"/>
      <c r="DP1090" s="59"/>
      <c r="DQ1090" s="59"/>
      <c r="DR1090" s="59"/>
      <c r="DS1090" s="59"/>
      <c r="DT1090" s="59"/>
      <c r="DU1090" s="59"/>
      <c r="DV1090" s="59"/>
      <c r="DW1090" s="59"/>
      <c r="DX1090" s="59"/>
      <c r="DY1090" s="59"/>
      <c r="DZ1090" s="59"/>
      <c r="EA1090" s="59"/>
      <c r="EB1090" s="59"/>
      <c r="EC1090" s="59"/>
      <c r="ED1090" s="59"/>
      <c r="EE1090" s="59"/>
      <c r="EF1090" s="59"/>
      <c r="EG1090" s="59"/>
      <c r="EH1090" s="59"/>
      <c r="EI1090" s="59"/>
      <c r="EJ1090" s="59"/>
      <c r="EK1090" s="59"/>
      <c r="EL1090" s="59"/>
      <c r="EM1090" s="59"/>
      <c r="EN1090" s="59"/>
      <c r="EO1090" s="59"/>
      <c r="EP1090" s="59"/>
      <c r="EQ1090" s="59"/>
      <c r="ER1090" s="59"/>
      <c r="ES1090" s="59"/>
      <c r="ET1090" s="59"/>
      <c r="EU1090" s="59"/>
      <c r="EV1090" s="59"/>
      <c r="EW1090" s="59"/>
      <c r="EX1090" s="59"/>
      <c r="EY1090" s="59"/>
      <c r="EZ1090" s="59"/>
      <c r="FA1090" s="59"/>
      <c r="FB1090" s="59"/>
      <c r="FC1090" s="59"/>
      <c r="FD1090" s="59"/>
      <c r="FE1090" s="59"/>
      <c r="FF1090" s="59"/>
      <c r="FG1090" s="59"/>
      <c r="FH1090" s="59"/>
      <c r="FI1090" s="59"/>
      <c r="FJ1090" s="59"/>
      <c r="FK1090" s="59"/>
      <c r="FL1090" s="59"/>
      <c r="FM1090" s="59"/>
      <c r="FN1090" s="59"/>
      <c r="FO1090" s="59"/>
      <c r="FP1090" s="59"/>
      <c r="FQ1090" s="59"/>
      <c r="FR1090" s="59"/>
      <c r="FS1090" s="59"/>
      <c r="FT1090" s="59"/>
      <c r="FU1090" s="59"/>
      <c r="FV1090" s="59"/>
      <c r="FW1090" s="59"/>
      <c r="FX1090" s="59"/>
      <c r="FY1090" s="59"/>
      <c r="FZ1090" s="59"/>
      <c r="GA1090" s="59"/>
      <c r="GB1090" s="59"/>
      <c r="GC1090" s="59"/>
    </row>
    <row r="1091">
      <c r="A1091" s="59"/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  <c r="BV1091" s="59"/>
      <c r="BW1091" s="59"/>
      <c r="BX1091" s="59"/>
      <c r="BY1091" s="59"/>
      <c r="BZ1091" s="59"/>
      <c r="CA1091" s="59"/>
      <c r="CB1091" s="59"/>
      <c r="CC1091" s="59"/>
      <c r="CD1091" s="59"/>
      <c r="CE1091" s="59"/>
      <c r="CF1091" s="59"/>
      <c r="CG1091" s="59"/>
      <c r="CH1091" s="59"/>
      <c r="CI1091" s="59"/>
      <c r="CJ1091" s="59"/>
      <c r="CK1091" s="59"/>
      <c r="CL1091" s="59"/>
      <c r="CM1091" s="59"/>
      <c r="CN1091" s="59"/>
      <c r="CO1091" s="59"/>
      <c r="CP1091" s="59"/>
      <c r="CQ1091" s="59"/>
      <c r="CR1091" s="59"/>
      <c r="CS1091" s="59"/>
      <c r="CT1091" s="59"/>
      <c r="CU1091" s="59"/>
      <c r="CV1091" s="59"/>
      <c r="CW1091" s="59"/>
      <c r="CX1091" s="59"/>
      <c r="CY1091" s="59"/>
      <c r="CZ1091" s="59"/>
      <c r="DA1091" s="59"/>
      <c r="DB1091" s="59"/>
      <c r="DC1091" s="59"/>
      <c r="DD1091" s="59"/>
      <c r="DE1091" s="59"/>
      <c r="DF1091" s="59"/>
      <c r="DG1091" s="59"/>
      <c r="DH1091" s="59"/>
      <c r="DI1091" s="59"/>
      <c r="DJ1091" s="59"/>
      <c r="DK1091" s="59"/>
      <c r="DL1091" s="59"/>
      <c r="DM1091" s="59"/>
      <c r="DN1091" s="59"/>
      <c r="DO1091" s="59"/>
      <c r="DP1091" s="59"/>
      <c r="DQ1091" s="59"/>
      <c r="DR1091" s="59"/>
      <c r="DS1091" s="59"/>
      <c r="DT1091" s="59"/>
      <c r="DU1091" s="59"/>
      <c r="DV1091" s="59"/>
      <c r="DW1091" s="59"/>
      <c r="DX1091" s="59"/>
      <c r="DY1091" s="59"/>
      <c r="DZ1091" s="59"/>
      <c r="EA1091" s="59"/>
      <c r="EB1091" s="59"/>
      <c r="EC1091" s="59"/>
      <c r="ED1091" s="59"/>
      <c r="EE1091" s="59"/>
      <c r="EF1091" s="59"/>
      <c r="EG1091" s="59"/>
      <c r="EH1091" s="59"/>
      <c r="EI1091" s="59"/>
      <c r="EJ1091" s="59"/>
      <c r="EK1091" s="59"/>
      <c r="EL1091" s="59"/>
      <c r="EM1091" s="59"/>
      <c r="EN1091" s="59"/>
      <c r="EO1091" s="59"/>
      <c r="EP1091" s="59"/>
      <c r="EQ1091" s="59"/>
      <c r="ER1091" s="59"/>
      <c r="ES1091" s="59"/>
      <c r="ET1091" s="59"/>
      <c r="EU1091" s="59"/>
      <c r="EV1091" s="59"/>
      <c r="EW1091" s="59"/>
      <c r="EX1091" s="59"/>
      <c r="EY1091" s="59"/>
      <c r="EZ1091" s="59"/>
      <c r="FA1091" s="59"/>
      <c r="FB1091" s="59"/>
      <c r="FC1091" s="59"/>
      <c r="FD1091" s="59"/>
      <c r="FE1091" s="59"/>
      <c r="FF1091" s="59"/>
      <c r="FG1091" s="59"/>
      <c r="FH1091" s="59"/>
      <c r="FI1091" s="59"/>
      <c r="FJ1091" s="59"/>
      <c r="FK1091" s="59"/>
      <c r="FL1091" s="59"/>
      <c r="FM1091" s="59"/>
      <c r="FN1091" s="59"/>
      <c r="FO1091" s="59"/>
      <c r="FP1091" s="59"/>
      <c r="FQ1091" s="59"/>
      <c r="FR1091" s="59"/>
      <c r="FS1091" s="59"/>
      <c r="FT1091" s="59"/>
      <c r="FU1091" s="59"/>
      <c r="FV1091" s="59"/>
      <c r="FW1091" s="59"/>
      <c r="FX1091" s="59"/>
      <c r="FY1091" s="59"/>
      <c r="FZ1091" s="59"/>
      <c r="GA1091" s="59"/>
      <c r="GB1091" s="59"/>
      <c r="GC1091" s="59"/>
    </row>
    <row r="1092">
      <c r="A1092" s="59"/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  <c r="BV1092" s="59"/>
      <c r="BW1092" s="59"/>
      <c r="BX1092" s="59"/>
      <c r="BY1092" s="59"/>
      <c r="BZ1092" s="59"/>
      <c r="CA1092" s="59"/>
      <c r="CB1092" s="59"/>
      <c r="CC1092" s="59"/>
      <c r="CD1092" s="59"/>
      <c r="CE1092" s="59"/>
      <c r="CF1092" s="59"/>
      <c r="CG1092" s="59"/>
      <c r="CH1092" s="59"/>
      <c r="CI1092" s="59"/>
      <c r="CJ1092" s="59"/>
      <c r="CK1092" s="59"/>
      <c r="CL1092" s="59"/>
      <c r="CM1092" s="59"/>
      <c r="CN1092" s="59"/>
      <c r="CO1092" s="59"/>
      <c r="CP1092" s="59"/>
      <c r="CQ1092" s="59"/>
      <c r="CR1092" s="59"/>
      <c r="CS1092" s="59"/>
      <c r="CT1092" s="59"/>
      <c r="CU1092" s="59"/>
      <c r="CV1092" s="59"/>
      <c r="CW1092" s="59"/>
      <c r="CX1092" s="59"/>
      <c r="CY1092" s="59"/>
      <c r="CZ1092" s="59"/>
      <c r="DA1092" s="59"/>
      <c r="DB1092" s="59"/>
      <c r="DC1092" s="59"/>
      <c r="DD1092" s="59"/>
      <c r="DE1092" s="59"/>
      <c r="DF1092" s="59"/>
      <c r="DG1092" s="59"/>
      <c r="DH1092" s="59"/>
      <c r="DI1092" s="59"/>
      <c r="DJ1092" s="59"/>
      <c r="DK1092" s="59"/>
      <c r="DL1092" s="59"/>
      <c r="DM1092" s="59"/>
      <c r="DN1092" s="59"/>
      <c r="DO1092" s="59"/>
      <c r="DP1092" s="59"/>
      <c r="DQ1092" s="59"/>
      <c r="DR1092" s="59"/>
      <c r="DS1092" s="59"/>
      <c r="DT1092" s="59"/>
      <c r="DU1092" s="59"/>
      <c r="DV1092" s="59"/>
      <c r="DW1092" s="59"/>
      <c r="DX1092" s="59"/>
      <c r="DY1092" s="59"/>
      <c r="DZ1092" s="59"/>
      <c r="EA1092" s="59"/>
      <c r="EB1092" s="59"/>
      <c r="EC1092" s="59"/>
      <c r="ED1092" s="59"/>
      <c r="EE1092" s="59"/>
      <c r="EF1092" s="59"/>
      <c r="EG1092" s="59"/>
      <c r="EH1092" s="59"/>
      <c r="EI1092" s="59"/>
      <c r="EJ1092" s="59"/>
      <c r="EK1092" s="59"/>
      <c r="EL1092" s="59"/>
      <c r="EM1092" s="59"/>
      <c r="EN1092" s="59"/>
      <c r="EO1092" s="59"/>
      <c r="EP1092" s="59"/>
      <c r="EQ1092" s="59"/>
      <c r="ER1092" s="59"/>
      <c r="ES1092" s="59"/>
      <c r="ET1092" s="59"/>
      <c r="EU1092" s="59"/>
      <c r="EV1092" s="59"/>
      <c r="EW1092" s="59"/>
      <c r="EX1092" s="59"/>
      <c r="EY1092" s="59"/>
      <c r="EZ1092" s="59"/>
      <c r="FA1092" s="59"/>
      <c r="FB1092" s="59"/>
      <c r="FC1092" s="59"/>
      <c r="FD1092" s="59"/>
      <c r="FE1092" s="59"/>
      <c r="FF1092" s="59"/>
      <c r="FG1092" s="59"/>
      <c r="FH1092" s="59"/>
      <c r="FI1092" s="59"/>
      <c r="FJ1092" s="59"/>
      <c r="FK1092" s="59"/>
      <c r="FL1092" s="59"/>
      <c r="FM1092" s="59"/>
      <c r="FN1092" s="59"/>
      <c r="FO1092" s="59"/>
      <c r="FP1092" s="59"/>
      <c r="FQ1092" s="59"/>
      <c r="FR1092" s="59"/>
      <c r="FS1092" s="59"/>
      <c r="FT1092" s="59"/>
      <c r="FU1092" s="59"/>
      <c r="FV1092" s="59"/>
      <c r="FW1092" s="59"/>
      <c r="FX1092" s="59"/>
      <c r="FY1092" s="59"/>
      <c r="FZ1092" s="59"/>
      <c r="GA1092" s="59"/>
      <c r="GB1092" s="59"/>
      <c r="GC1092" s="59"/>
    </row>
    <row r="1093">
      <c r="A1093" s="59"/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  <c r="BV1093" s="59"/>
      <c r="BW1093" s="59"/>
      <c r="BX1093" s="59"/>
      <c r="BY1093" s="59"/>
      <c r="BZ1093" s="59"/>
      <c r="CA1093" s="59"/>
      <c r="CB1093" s="59"/>
      <c r="CC1093" s="59"/>
      <c r="CD1093" s="59"/>
      <c r="CE1093" s="59"/>
      <c r="CF1093" s="59"/>
      <c r="CG1093" s="59"/>
      <c r="CH1093" s="59"/>
      <c r="CI1093" s="59"/>
      <c r="CJ1093" s="59"/>
      <c r="CK1093" s="59"/>
      <c r="CL1093" s="59"/>
      <c r="CM1093" s="59"/>
      <c r="CN1093" s="59"/>
      <c r="CO1093" s="59"/>
      <c r="CP1093" s="59"/>
      <c r="CQ1093" s="59"/>
      <c r="CR1093" s="59"/>
      <c r="CS1093" s="59"/>
      <c r="CT1093" s="59"/>
      <c r="CU1093" s="59"/>
      <c r="CV1093" s="59"/>
      <c r="CW1093" s="59"/>
      <c r="CX1093" s="59"/>
      <c r="CY1093" s="59"/>
      <c r="CZ1093" s="59"/>
      <c r="DA1093" s="59"/>
      <c r="DB1093" s="59"/>
      <c r="DC1093" s="59"/>
      <c r="DD1093" s="59"/>
      <c r="DE1093" s="59"/>
      <c r="DF1093" s="59"/>
      <c r="DG1093" s="59"/>
      <c r="DH1093" s="59"/>
      <c r="DI1093" s="59"/>
      <c r="DJ1093" s="59"/>
      <c r="DK1093" s="59"/>
      <c r="DL1093" s="59"/>
      <c r="DM1093" s="59"/>
      <c r="DN1093" s="59"/>
      <c r="DO1093" s="59"/>
      <c r="DP1093" s="59"/>
      <c r="DQ1093" s="59"/>
      <c r="DR1093" s="59"/>
      <c r="DS1093" s="59"/>
      <c r="DT1093" s="59"/>
      <c r="DU1093" s="59"/>
      <c r="DV1093" s="59"/>
      <c r="DW1093" s="59"/>
      <c r="DX1093" s="59"/>
      <c r="DY1093" s="59"/>
      <c r="DZ1093" s="59"/>
      <c r="EA1093" s="59"/>
      <c r="EB1093" s="59"/>
      <c r="EC1093" s="59"/>
      <c r="ED1093" s="59"/>
      <c r="EE1093" s="59"/>
      <c r="EF1093" s="59"/>
      <c r="EG1093" s="59"/>
      <c r="EH1093" s="59"/>
      <c r="EI1093" s="59"/>
      <c r="EJ1093" s="59"/>
      <c r="EK1093" s="59"/>
      <c r="EL1093" s="59"/>
      <c r="EM1093" s="59"/>
      <c r="EN1093" s="59"/>
      <c r="EO1093" s="59"/>
      <c r="EP1093" s="59"/>
      <c r="EQ1093" s="59"/>
      <c r="ER1093" s="59"/>
      <c r="ES1093" s="59"/>
      <c r="ET1093" s="59"/>
      <c r="EU1093" s="59"/>
      <c r="EV1093" s="59"/>
      <c r="EW1093" s="59"/>
      <c r="EX1093" s="59"/>
      <c r="EY1093" s="59"/>
      <c r="EZ1093" s="59"/>
      <c r="FA1093" s="59"/>
      <c r="FB1093" s="59"/>
      <c r="FC1093" s="59"/>
      <c r="FD1093" s="59"/>
      <c r="FE1093" s="59"/>
      <c r="FF1093" s="59"/>
      <c r="FG1093" s="59"/>
      <c r="FH1093" s="59"/>
      <c r="FI1093" s="59"/>
      <c r="FJ1093" s="59"/>
      <c r="FK1093" s="59"/>
      <c r="FL1093" s="59"/>
      <c r="FM1093" s="59"/>
      <c r="FN1093" s="59"/>
      <c r="FO1093" s="59"/>
      <c r="FP1093" s="59"/>
      <c r="FQ1093" s="59"/>
      <c r="FR1093" s="59"/>
      <c r="FS1093" s="59"/>
      <c r="FT1093" s="59"/>
      <c r="FU1093" s="59"/>
      <c r="FV1093" s="59"/>
      <c r="FW1093" s="59"/>
      <c r="FX1093" s="59"/>
      <c r="FY1093" s="59"/>
      <c r="FZ1093" s="59"/>
      <c r="GA1093" s="59"/>
      <c r="GB1093" s="59"/>
      <c r="GC1093" s="59"/>
    </row>
    <row r="1094">
      <c r="A1094" s="59"/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  <c r="BV1094" s="59"/>
      <c r="BW1094" s="59"/>
      <c r="BX1094" s="59"/>
      <c r="BY1094" s="59"/>
      <c r="BZ1094" s="59"/>
      <c r="CA1094" s="59"/>
      <c r="CB1094" s="59"/>
      <c r="CC1094" s="59"/>
      <c r="CD1094" s="59"/>
      <c r="CE1094" s="59"/>
      <c r="CF1094" s="59"/>
      <c r="CG1094" s="59"/>
      <c r="CH1094" s="59"/>
      <c r="CI1094" s="59"/>
      <c r="CJ1094" s="59"/>
      <c r="CK1094" s="59"/>
      <c r="CL1094" s="59"/>
      <c r="CM1094" s="59"/>
      <c r="CN1094" s="59"/>
      <c r="CO1094" s="59"/>
      <c r="CP1094" s="59"/>
      <c r="CQ1094" s="59"/>
      <c r="CR1094" s="59"/>
      <c r="CS1094" s="59"/>
      <c r="CT1094" s="59"/>
      <c r="CU1094" s="59"/>
      <c r="CV1094" s="59"/>
      <c r="CW1094" s="59"/>
      <c r="CX1094" s="59"/>
      <c r="CY1094" s="59"/>
      <c r="CZ1094" s="59"/>
      <c r="DA1094" s="59"/>
      <c r="DB1094" s="59"/>
      <c r="DC1094" s="59"/>
      <c r="DD1094" s="59"/>
      <c r="DE1094" s="59"/>
      <c r="DF1094" s="59"/>
      <c r="DG1094" s="59"/>
      <c r="DH1094" s="59"/>
      <c r="DI1094" s="59"/>
      <c r="DJ1094" s="59"/>
      <c r="DK1094" s="59"/>
      <c r="DL1094" s="59"/>
      <c r="DM1094" s="59"/>
      <c r="DN1094" s="59"/>
      <c r="DO1094" s="59"/>
      <c r="DP1094" s="59"/>
      <c r="DQ1094" s="59"/>
      <c r="DR1094" s="59"/>
      <c r="DS1094" s="59"/>
      <c r="DT1094" s="59"/>
      <c r="DU1094" s="59"/>
      <c r="DV1094" s="59"/>
      <c r="DW1094" s="59"/>
      <c r="DX1094" s="59"/>
      <c r="DY1094" s="59"/>
      <c r="DZ1094" s="59"/>
      <c r="EA1094" s="59"/>
      <c r="EB1094" s="59"/>
      <c r="EC1094" s="59"/>
      <c r="ED1094" s="59"/>
      <c r="EE1094" s="59"/>
      <c r="EF1094" s="59"/>
      <c r="EG1094" s="59"/>
      <c r="EH1094" s="59"/>
      <c r="EI1094" s="59"/>
      <c r="EJ1094" s="59"/>
      <c r="EK1094" s="59"/>
      <c r="EL1094" s="59"/>
      <c r="EM1094" s="59"/>
      <c r="EN1094" s="59"/>
      <c r="EO1094" s="59"/>
      <c r="EP1094" s="59"/>
      <c r="EQ1094" s="59"/>
      <c r="ER1094" s="59"/>
      <c r="ES1094" s="59"/>
      <c r="ET1094" s="59"/>
      <c r="EU1094" s="59"/>
      <c r="EV1094" s="59"/>
      <c r="EW1094" s="59"/>
      <c r="EX1094" s="59"/>
      <c r="EY1094" s="59"/>
      <c r="EZ1094" s="59"/>
      <c r="FA1094" s="59"/>
      <c r="FB1094" s="59"/>
      <c r="FC1094" s="59"/>
      <c r="FD1094" s="59"/>
      <c r="FE1094" s="59"/>
      <c r="FF1094" s="59"/>
      <c r="FG1094" s="59"/>
      <c r="FH1094" s="59"/>
      <c r="FI1094" s="59"/>
      <c r="FJ1094" s="59"/>
      <c r="FK1094" s="59"/>
      <c r="FL1094" s="59"/>
      <c r="FM1094" s="59"/>
      <c r="FN1094" s="59"/>
      <c r="FO1094" s="59"/>
      <c r="FP1094" s="59"/>
      <c r="FQ1094" s="59"/>
      <c r="FR1094" s="59"/>
      <c r="FS1094" s="59"/>
      <c r="FT1094" s="59"/>
      <c r="FU1094" s="59"/>
      <c r="FV1094" s="59"/>
      <c r="FW1094" s="59"/>
      <c r="FX1094" s="59"/>
      <c r="FY1094" s="59"/>
      <c r="FZ1094" s="59"/>
      <c r="GA1094" s="59"/>
      <c r="GB1094" s="59"/>
      <c r="GC1094" s="59"/>
    </row>
    <row r="1095">
      <c r="A1095" s="59"/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  <c r="BV1095" s="59"/>
      <c r="BW1095" s="59"/>
      <c r="BX1095" s="59"/>
      <c r="BY1095" s="59"/>
      <c r="BZ1095" s="59"/>
      <c r="CA1095" s="59"/>
      <c r="CB1095" s="59"/>
      <c r="CC1095" s="59"/>
      <c r="CD1095" s="59"/>
      <c r="CE1095" s="59"/>
      <c r="CF1095" s="59"/>
      <c r="CG1095" s="59"/>
      <c r="CH1095" s="59"/>
      <c r="CI1095" s="59"/>
      <c r="CJ1095" s="59"/>
      <c r="CK1095" s="59"/>
      <c r="CL1095" s="59"/>
      <c r="CM1095" s="59"/>
      <c r="CN1095" s="59"/>
      <c r="CO1095" s="59"/>
      <c r="CP1095" s="59"/>
      <c r="CQ1095" s="59"/>
      <c r="CR1095" s="59"/>
      <c r="CS1095" s="59"/>
      <c r="CT1095" s="59"/>
      <c r="CU1095" s="59"/>
      <c r="CV1095" s="59"/>
      <c r="CW1095" s="59"/>
      <c r="CX1095" s="59"/>
      <c r="CY1095" s="59"/>
      <c r="CZ1095" s="59"/>
      <c r="DA1095" s="59"/>
      <c r="DB1095" s="59"/>
      <c r="DC1095" s="59"/>
      <c r="DD1095" s="59"/>
      <c r="DE1095" s="59"/>
      <c r="DF1095" s="59"/>
      <c r="DG1095" s="59"/>
      <c r="DH1095" s="59"/>
      <c r="DI1095" s="59"/>
      <c r="DJ1095" s="59"/>
      <c r="DK1095" s="59"/>
      <c r="DL1095" s="59"/>
      <c r="DM1095" s="59"/>
      <c r="DN1095" s="59"/>
      <c r="DO1095" s="59"/>
      <c r="DP1095" s="59"/>
      <c r="DQ1095" s="59"/>
      <c r="DR1095" s="59"/>
      <c r="DS1095" s="59"/>
      <c r="DT1095" s="59"/>
      <c r="DU1095" s="59"/>
      <c r="DV1095" s="59"/>
      <c r="DW1095" s="59"/>
      <c r="DX1095" s="59"/>
      <c r="DY1095" s="59"/>
      <c r="DZ1095" s="59"/>
      <c r="EA1095" s="59"/>
      <c r="EB1095" s="59"/>
      <c r="EC1095" s="59"/>
      <c r="ED1095" s="59"/>
      <c r="EE1095" s="59"/>
      <c r="EF1095" s="59"/>
      <c r="EG1095" s="59"/>
      <c r="EH1095" s="59"/>
      <c r="EI1095" s="59"/>
      <c r="EJ1095" s="59"/>
      <c r="EK1095" s="59"/>
      <c r="EL1095" s="59"/>
      <c r="EM1095" s="59"/>
      <c r="EN1095" s="59"/>
      <c r="EO1095" s="59"/>
      <c r="EP1095" s="59"/>
      <c r="EQ1095" s="59"/>
      <c r="ER1095" s="59"/>
      <c r="ES1095" s="59"/>
      <c r="ET1095" s="59"/>
      <c r="EU1095" s="59"/>
      <c r="EV1095" s="59"/>
      <c r="EW1095" s="59"/>
      <c r="EX1095" s="59"/>
      <c r="EY1095" s="59"/>
      <c r="EZ1095" s="59"/>
      <c r="FA1095" s="59"/>
      <c r="FB1095" s="59"/>
      <c r="FC1095" s="59"/>
      <c r="FD1095" s="59"/>
      <c r="FE1095" s="59"/>
      <c r="FF1095" s="59"/>
      <c r="FG1095" s="59"/>
      <c r="FH1095" s="59"/>
      <c r="FI1095" s="59"/>
      <c r="FJ1095" s="59"/>
      <c r="FK1095" s="59"/>
      <c r="FL1095" s="59"/>
      <c r="FM1095" s="59"/>
      <c r="FN1095" s="59"/>
      <c r="FO1095" s="59"/>
      <c r="FP1095" s="59"/>
      <c r="FQ1095" s="59"/>
      <c r="FR1095" s="59"/>
      <c r="FS1095" s="59"/>
      <c r="FT1095" s="59"/>
      <c r="FU1095" s="59"/>
      <c r="FV1095" s="59"/>
      <c r="FW1095" s="59"/>
      <c r="FX1095" s="59"/>
      <c r="FY1095" s="59"/>
      <c r="FZ1095" s="59"/>
      <c r="GA1095" s="59"/>
      <c r="GB1095" s="59"/>
      <c r="GC1095" s="59"/>
    </row>
    <row r="1096">
      <c r="A1096" s="59"/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  <c r="BV1096" s="59"/>
      <c r="BW1096" s="59"/>
      <c r="BX1096" s="59"/>
      <c r="BY1096" s="59"/>
      <c r="BZ1096" s="59"/>
      <c r="CA1096" s="59"/>
      <c r="CB1096" s="59"/>
      <c r="CC1096" s="59"/>
      <c r="CD1096" s="59"/>
      <c r="CE1096" s="59"/>
      <c r="CF1096" s="59"/>
      <c r="CG1096" s="59"/>
      <c r="CH1096" s="59"/>
      <c r="CI1096" s="59"/>
      <c r="CJ1096" s="59"/>
      <c r="CK1096" s="59"/>
      <c r="CL1096" s="59"/>
      <c r="CM1096" s="59"/>
      <c r="CN1096" s="59"/>
      <c r="CO1096" s="59"/>
      <c r="CP1096" s="59"/>
      <c r="CQ1096" s="59"/>
      <c r="CR1096" s="59"/>
      <c r="CS1096" s="59"/>
      <c r="CT1096" s="59"/>
      <c r="CU1096" s="59"/>
      <c r="CV1096" s="59"/>
      <c r="CW1096" s="59"/>
      <c r="CX1096" s="59"/>
      <c r="CY1096" s="59"/>
      <c r="CZ1096" s="59"/>
      <c r="DA1096" s="59"/>
      <c r="DB1096" s="59"/>
      <c r="DC1096" s="59"/>
      <c r="DD1096" s="59"/>
      <c r="DE1096" s="59"/>
      <c r="DF1096" s="59"/>
      <c r="DG1096" s="59"/>
      <c r="DH1096" s="59"/>
      <c r="DI1096" s="59"/>
      <c r="DJ1096" s="59"/>
      <c r="DK1096" s="59"/>
      <c r="DL1096" s="59"/>
      <c r="DM1096" s="59"/>
      <c r="DN1096" s="59"/>
      <c r="DO1096" s="59"/>
      <c r="DP1096" s="59"/>
      <c r="DQ1096" s="59"/>
      <c r="DR1096" s="59"/>
      <c r="DS1096" s="59"/>
      <c r="DT1096" s="59"/>
      <c r="DU1096" s="59"/>
      <c r="DV1096" s="59"/>
      <c r="DW1096" s="59"/>
      <c r="DX1096" s="59"/>
      <c r="DY1096" s="59"/>
      <c r="DZ1096" s="59"/>
      <c r="EA1096" s="59"/>
      <c r="EB1096" s="59"/>
      <c r="EC1096" s="59"/>
      <c r="ED1096" s="59"/>
      <c r="EE1096" s="59"/>
      <c r="EF1096" s="59"/>
      <c r="EG1096" s="59"/>
      <c r="EH1096" s="59"/>
      <c r="EI1096" s="59"/>
      <c r="EJ1096" s="59"/>
      <c r="EK1096" s="59"/>
      <c r="EL1096" s="59"/>
      <c r="EM1096" s="59"/>
      <c r="EN1096" s="59"/>
      <c r="EO1096" s="59"/>
      <c r="EP1096" s="59"/>
      <c r="EQ1096" s="59"/>
      <c r="ER1096" s="59"/>
      <c r="ES1096" s="59"/>
      <c r="ET1096" s="59"/>
      <c r="EU1096" s="59"/>
      <c r="EV1096" s="59"/>
      <c r="EW1096" s="59"/>
      <c r="EX1096" s="59"/>
      <c r="EY1096" s="59"/>
      <c r="EZ1096" s="59"/>
      <c r="FA1096" s="59"/>
      <c r="FB1096" s="59"/>
      <c r="FC1096" s="59"/>
      <c r="FD1096" s="59"/>
      <c r="FE1096" s="59"/>
      <c r="FF1096" s="59"/>
      <c r="FG1096" s="59"/>
      <c r="FH1096" s="59"/>
      <c r="FI1096" s="59"/>
      <c r="FJ1096" s="59"/>
      <c r="FK1096" s="59"/>
      <c r="FL1096" s="59"/>
      <c r="FM1096" s="59"/>
      <c r="FN1096" s="59"/>
      <c r="FO1096" s="59"/>
      <c r="FP1096" s="59"/>
      <c r="FQ1096" s="59"/>
      <c r="FR1096" s="59"/>
      <c r="FS1096" s="59"/>
      <c r="FT1096" s="59"/>
      <c r="FU1096" s="59"/>
      <c r="FV1096" s="59"/>
      <c r="FW1096" s="59"/>
      <c r="FX1096" s="59"/>
      <c r="FY1096" s="59"/>
      <c r="FZ1096" s="59"/>
      <c r="GA1096" s="59"/>
      <c r="GB1096" s="59"/>
      <c r="GC1096" s="59"/>
    </row>
    <row r="1097">
      <c r="A1097" s="59"/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  <c r="BV1097" s="59"/>
      <c r="BW1097" s="59"/>
      <c r="BX1097" s="59"/>
      <c r="BY1097" s="59"/>
      <c r="BZ1097" s="59"/>
      <c r="CA1097" s="59"/>
      <c r="CB1097" s="59"/>
      <c r="CC1097" s="59"/>
      <c r="CD1097" s="59"/>
      <c r="CE1097" s="59"/>
      <c r="CF1097" s="59"/>
      <c r="CG1097" s="59"/>
      <c r="CH1097" s="59"/>
      <c r="CI1097" s="59"/>
      <c r="CJ1097" s="59"/>
      <c r="CK1097" s="59"/>
      <c r="CL1097" s="59"/>
      <c r="CM1097" s="59"/>
      <c r="CN1097" s="59"/>
      <c r="CO1097" s="59"/>
      <c r="CP1097" s="59"/>
      <c r="CQ1097" s="59"/>
      <c r="CR1097" s="59"/>
      <c r="CS1097" s="59"/>
      <c r="CT1097" s="59"/>
      <c r="CU1097" s="59"/>
      <c r="CV1097" s="59"/>
      <c r="CW1097" s="59"/>
      <c r="CX1097" s="59"/>
      <c r="CY1097" s="59"/>
      <c r="CZ1097" s="59"/>
      <c r="DA1097" s="59"/>
      <c r="DB1097" s="59"/>
      <c r="DC1097" s="59"/>
      <c r="DD1097" s="59"/>
      <c r="DE1097" s="59"/>
      <c r="DF1097" s="59"/>
      <c r="DG1097" s="59"/>
      <c r="DH1097" s="59"/>
      <c r="DI1097" s="59"/>
      <c r="DJ1097" s="59"/>
      <c r="DK1097" s="59"/>
      <c r="DL1097" s="59"/>
      <c r="DM1097" s="59"/>
      <c r="DN1097" s="59"/>
      <c r="DO1097" s="59"/>
      <c r="DP1097" s="59"/>
      <c r="DQ1097" s="59"/>
      <c r="DR1097" s="59"/>
      <c r="DS1097" s="59"/>
      <c r="DT1097" s="59"/>
      <c r="DU1097" s="59"/>
      <c r="DV1097" s="59"/>
      <c r="DW1097" s="59"/>
      <c r="DX1097" s="59"/>
      <c r="DY1097" s="59"/>
      <c r="DZ1097" s="59"/>
      <c r="EA1097" s="59"/>
      <c r="EB1097" s="59"/>
      <c r="EC1097" s="59"/>
      <c r="ED1097" s="59"/>
      <c r="EE1097" s="59"/>
      <c r="EF1097" s="59"/>
      <c r="EG1097" s="59"/>
      <c r="EH1097" s="59"/>
      <c r="EI1097" s="59"/>
      <c r="EJ1097" s="59"/>
      <c r="EK1097" s="59"/>
      <c r="EL1097" s="59"/>
      <c r="EM1097" s="59"/>
      <c r="EN1097" s="59"/>
      <c r="EO1097" s="59"/>
      <c r="EP1097" s="59"/>
      <c r="EQ1097" s="59"/>
      <c r="ER1097" s="59"/>
      <c r="ES1097" s="59"/>
      <c r="ET1097" s="59"/>
      <c r="EU1097" s="59"/>
      <c r="EV1097" s="59"/>
      <c r="EW1097" s="59"/>
      <c r="EX1097" s="59"/>
      <c r="EY1097" s="59"/>
      <c r="EZ1097" s="59"/>
      <c r="FA1097" s="59"/>
      <c r="FB1097" s="59"/>
      <c r="FC1097" s="59"/>
      <c r="FD1097" s="59"/>
      <c r="FE1097" s="59"/>
      <c r="FF1097" s="59"/>
      <c r="FG1097" s="59"/>
      <c r="FH1097" s="59"/>
      <c r="FI1097" s="59"/>
      <c r="FJ1097" s="59"/>
      <c r="FK1097" s="59"/>
      <c r="FL1097" s="59"/>
      <c r="FM1097" s="59"/>
      <c r="FN1097" s="59"/>
      <c r="FO1097" s="59"/>
      <c r="FP1097" s="59"/>
      <c r="FQ1097" s="59"/>
      <c r="FR1097" s="59"/>
      <c r="FS1097" s="59"/>
      <c r="FT1097" s="59"/>
      <c r="FU1097" s="59"/>
      <c r="FV1097" s="59"/>
      <c r="FW1097" s="59"/>
      <c r="FX1097" s="59"/>
      <c r="FY1097" s="59"/>
      <c r="FZ1097" s="59"/>
      <c r="GA1097" s="59"/>
      <c r="GB1097" s="59"/>
      <c r="GC1097" s="59"/>
    </row>
    <row r="1098">
      <c r="A1098" s="59"/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59"/>
      <c r="N1098" s="59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59"/>
      <c r="BU1098" s="59"/>
      <c r="BV1098" s="59"/>
      <c r="BW1098" s="59"/>
      <c r="BX1098" s="59"/>
      <c r="BY1098" s="59"/>
      <c r="BZ1098" s="59"/>
      <c r="CA1098" s="59"/>
      <c r="CB1098" s="59"/>
      <c r="CC1098" s="59"/>
      <c r="CD1098" s="59"/>
      <c r="CE1098" s="59"/>
      <c r="CF1098" s="59"/>
      <c r="CG1098" s="59"/>
      <c r="CH1098" s="59"/>
      <c r="CI1098" s="59"/>
      <c r="CJ1098" s="59"/>
      <c r="CK1098" s="59"/>
      <c r="CL1098" s="59"/>
      <c r="CM1098" s="59"/>
      <c r="CN1098" s="59"/>
      <c r="CO1098" s="59"/>
      <c r="CP1098" s="59"/>
      <c r="CQ1098" s="59"/>
      <c r="CR1098" s="59"/>
      <c r="CS1098" s="59"/>
      <c r="CT1098" s="59"/>
      <c r="CU1098" s="59"/>
      <c r="CV1098" s="59"/>
      <c r="CW1098" s="59"/>
      <c r="CX1098" s="59"/>
      <c r="CY1098" s="59"/>
      <c r="CZ1098" s="59"/>
      <c r="DA1098" s="59"/>
      <c r="DB1098" s="59"/>
      <c r="DC1098" s="59"/>
      <c r="DD1098" s="59"/>
      <c r="DE1098" s="59"/>
      <c r="DF1098" s="59"/>
      <c r="DG1098" s="59"/>
      <c r="DH1098" s="59"/>
      <c r="DI1098" s="59"/>
      <c r="DJ1098" s="59"/>
      <c r="DK1098" s="59"/>
      <c r="DL1098" s="59"/>
      <c r="DM1098" s="59"/>
      <c r="DN1098" s="59"/>
      <c r="DO1098" s="59"/>
      <c r="DP1098" s="59"/>
      <c r="DQ1098" s="59"/>
      <c r="DR1098" s="59"/>
      <c r="DS1098" s="59"/>
      <c r="DT1098" s="59"/>
      <c r="DU1098" s="59"/>
      <c r="DV1098" s="59"/>
      <c r="DW1098" s="59"/>
      <c r="DX1098" s="59"/>
      <c r="DY1098" s="59"/>
      <c r="DZ1098" s="59"/>
      <c r="EA1098" s="59"/>
      <c r="EB1098" s="59"/>
      <c r="EC1098" s="59"/>
      <c r="ED1098" s="59"/>
      <c r="EE1098" s="59"/>
      <c r="EF1098" s="59"/>
      <c r="EG1098" s="59"/>
      <c r="EH1098" s="59"/>
      <c r="EI1098" s="59"/>
      <c r="EJ1098" s="59"/>
      <c r="EK1098" s="59"/>
      <c r="EL1098" s="59"/>
      <c r="EM1098" s="59"/>
      <c r="EN1098" s="59"/>
      <c r="EO1098" s="59"/>
      <c r="EP1098" s="59"/>
      <c r="EQ1098" s="59"/>
      <c r="ER1098" s="59"/>
      <c r="ES1098" s="59"/>
      <c r="ET1098" s="59"/>
      <c r="EU1098" s="59"/>
      <c r="EV1098" s="59"/>
      <c r="EW1098" s="59"/>
      <c r="EX1098" s="59"/>
      <c r="EY1098" s="59"/>
      <c r="EZ1098" s="59"/>
      <c r="FA1098" s="59"/>
      <c r="FB1098" s="59"/>
      <c r="FC1098" s="59"/>
      <c r="FD1098" s="59"/>
      <c r="FE1098" s="59"/>
      <c r="FF1098" s="59"/>
      <c r="FG1098" s="59"/>
      <c r="FH1098" s="59"/>
      <c r="FI1098" s="59"/>
      <c r="FJ1098" s="59"/>
      <c r="FK1098" s="59"/>
      <c r="FL1098" s="59"/>
      <c r="FM1098" s="59"/>
      <c r="FN1098" s="59"/>
      <c r="FO1098" s="59"/>
      <c r="FP1098" s="59"/>
      <c r="FQ1098" s="59"/>
      <c r="FR1098" s="59"/>
      <c r="FS1098" s="59"/>
      <c r="FT1098" s="59"/>
      <c r="FU1098" s="59"/>
      <c r="FV1098" s="59"/>
      <c r="FW1098" s="59"/>
      <c r="FX1098" s="59"/>
      <c r="FY1098" s="59"/>
      <c r="FZ1098" s="59"/>
      <c r="GA1098" s="59"/>
      <c r="GB1098" s="59"/>
      <c r="GC1098" s="59"/>
    </row>
    <row r="1099">
      <c r="A1099" s="59"/>
      <c r="B1099" s="59"/>
      <c r="C1099" s="59"/>
      <c r="D1099" s="59"/>
      <c r="E1099" s="59"/>
      <c r="F1099" s="59"/>
      <c r="G1099" s="59"/>
      <c r="H1099" s="59"/>
      <c r="I1099" s="59"/>
      <c r="J1099" s="59"/>
      <c r="K1099" s="59"/>
      <c r="L1099" s="59"/>
      <c r="M1099" s="59"/>
      <c r="N1099" s="59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59"/>
      <c r="BR1099" s="59"/>
      <c r="BS1099" s="59"/>
      <c r="BT1099" s="59"/>
      <c r="BU1099" s="59"/>
      <c r="BV1099" s="59"/>
      <c r="BW1099" s="59"/>
      <c r="BX1099" s="59"/>
      <c r="BY1099" s="59"/>
      <c r="BZ1099" s="59"/>
      <c r="CA1099" s="59"/>
      <c r="CB1099" s="59"/>
      <c r="CC1099" s="59"/>
      <c r="CD1099" s="59"/>
      <c r="CE1099" s="59"/>
      <c r="CF1099" s="59"/>
      <c r="CG1099" s="59"/>
      <c r="CH1099" s="59"/>
      <c r="CI1099" s="59"/>
      <c r="CJ1099" s="59"/>
      <c r="CK1099" s="59"/>
      <c r="CL1099" s="59"/>
      <c r="CM1099" s="59"/>
      <c r="CN1099" s="59"/>
      <c r="CO1099" s="59"/>
      <c r="CP1099" s="59"/>
      <c r="CQ1099" s="59"/>
      <c r="CR1099" s="59"/>
      <c r="CS1099" s="59"/>
      <c r="CT1099" s="59"/>
      <c r="CU1099" s="59"/>
      <c r="CV1099" s="59"/>
      <c r="CW1099" s="59"/>
      <c r="CX1099" s="59"/>
      <c r="CY1099" s="59"/>
      <c r="CZ1099" s="59"/>
      <c r="DA1099" s="59"/>
      <c r="DB1099" s="59"/>
      <c r="DC1099" s="59"/>
      <c r="DD1099" s="59"/>
      <c r="DE1099" s="59"/>
      <c r="DF1099" s="59"/>
      <c r="DG1099" s="59"/>
      <c r="DH1099" s="59"/>
      <c r="DI1099" s="59"/>
      <c r="DJ1099" s="59"/>
      <c r="DK1099" s="59"/>
      <c r="DL1099" s="59"/>
      <c r="DM1099" s="59"/>
      <c r="DN1099" s="59"/>
      <c r="DO1099" s="59"/>
      <c r="DP1099" s="59"/>
      <c r="DQ1099" s="59"/>
      <c r="DR1099" s="59"/>
      <c r="DS1099" s="59"/>
      <c r="DT1099" s="59"/>
      <c r="DU1099" s="59"/>
      <c r="DV1099" s="59"/>
      <c r="DW1099" s="59"/>
      <c r="DX1099" s="59"/>
      <c r="DY1099" s="59"/>
      <c r="DZ1099" s="59"/>
      <c r="EA1099" s="59"/>
      <c r="EB1099" s="59"/>
      <c r="EC1099" s="59"/>
      <c r="ED1099" s="59"/>
      <c r="EE1099" s="59"/>
      <c r="EF1099" s="59"/>
      <c r="EG1099" s="59"/>
      <c r="EH1099" s="59"/>
      <c r="EI1099" s="59"/>
      <c r="EJ1099" s="59"/>
      <c r="EK1099" s="59"/>
      <c r="EL1099" s="59"/>
      <c r="EM1099" s="59"/>
      <c r="EN1099" s="59"/>
      <c r="EO1099" s="59"/>
      <c r="EP1099" s="59"/>
      <c r="EQ1099" s="59"/>
      <c r="ER1099" s="59"/>
      <c r="ES1099" s="59"/>
      <c r="ET1099" s="59"/>
      <c r="EU1099" s="59"/>
      <c r="EV1099" s="59"/>
      <c r="EW1099" s="59"/>
      <c r="EX1099" s="59"/>
      <c r="EY1099" s="59"/>
      <c r="EZ1099" s="59"/>
      <c r="FA1099" s="59"/>
      <c r="FB1099" s="59"/>
      <c r="FC1099" s="59"/>
      <c r="FD1099" s="59"/>
      <c r="FE1099" s="59"/>
      <c r="FF1099" s="59"/>
      <c r="FG1099" s="59"/>
      <c r="FH1099" s="59"/>
      <c r="FI1099" s="59"/>
      <c r="FJ1099" s="59"/>
      <c r="FK1099" s="59"/>
      <c r="FL1099" s="59"/>
      <c r="FM1099" s="59"/>
      <c r="FN1099" s="59"/>
      <c r="FO1099" s="59"/>
      <c r="FP1099" s="59"/>
      <c r="FQ1099" s="59"/>
      <c r="FR1099" s="59"/>
      <c r="FS1099" s="59"/>
      <c r="FT1099" s="59"/>
      <c r="FU1099" s="59"/>
      <c r="FV1099" s="59"/>
      <c r="FW1099" s="59"/>
      <c r="FX1099" s="59"/>
      <c r="FY1099" s="59"/>
      <c r="FZ1099" s="59"/>
      <c r="GA1099" s="59"/>
      <c r="GB1099" s="59"/>
      <c r="GC1099" s="59"/>
    </row>
    <row r="1100">
      <c r="A1100" s="59"/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59"/>
      <c r="BR1100" s="59"/>
      <c r="BS1100" s="59"/>
      <c r="BT1100" s="59"/>
      <c r="BU1100" s="59"/>
      <c r="BV1100" s="59"/>
      <c r="BW1100" s="59"/>
      <c r="BX1100" s="59"/>
      <c r="BY1100" s="59"/>
      <c r="BZ1100" s="59"/>
      <c r="CA1100" s="59"/>
      <c r="CB1100" s="59"/>
      <c r="CC1100" s="59"/>
      <c r="CD1100" s="59"/>
      <c r="CE1100" s="59"/>
      <c r="CF1100" s="59"/>
      <c r="CG1100" s="59"/>
      <c r="CH1100" s="59"/>
      <c r="CI1100" s="59"/>
      <c r="CJ1100" s="59"/>
      <c r="CK1100" s="59"/>
      <c r="CL1100" s="59"/>
      <c r="CM1100" s="59"/>
      <c r="CN1100" s="59"/>
      <c r="CO1100" s="59"/>
      <c r="CP1100" s="59"/>
      <c r="CQ1100" s="59"/>
      <c r="CR1100" s="59"/>
      <c r="CS1100" s="59"/>
      <c r="CT1100" s="59"/>
      <c r="CU1100" s="59"/>
      <c r="CV1100" s="59"/>
      <c r="CW1100" s="59"/>
      <c r="CX1100" s="59"/>
      <c r="CY1100" s="59"/>
      <c r="CZ1100" s="59"/>
      <c r="DA1100" s="59"/>
      <c r="DB1100" s="59"/>
      <c r="DC1100" s="59"/>
      <c r="DD1100" s="59"/>
      <c r="DE1100" s="59"/>
      <c r="DF1100" s="59"/>
      <c r="DG1100" s="59"/>
      <c r="DH1100" s="59"/>
      <c r="DI1100" s="59"/>
      <c r="DJ1100" s="59"/>
      <c r="DK1100" s="59"/>
      <c r="DL1100" s="59"/>
      <c r="DM1100" s="59"/>
      <c r="DN1100" s="59"/>
      <c r="DO1100" s="59"/>
      <c r="DP1100" s="59"/>
      <c r="DQ1100" s="59"/>
      <c r="DR1100" s="59"/>
      <c r="DS1100" s="59"/>
      <c r="DT1100" s="59"/>
      <c r="DU1100" s="59"/>
      <c r="DV1100" s="59"/>
      <c r="DW1100" s="59"/>
      <c r="DX1100" s="59"/>
      <c r="DY1100" s="59"/>
      <c r="DZ1100" s="59"/>
      <c r="EA1100" s="59"/>
      <c r="EB1100" s="59"/>
      <c r="EC1100" s="59"/>
      <c r="ED1100" s="59"/>
      <c r="EE1100" s="59"/>
      <c r="EF1100" s="59"/>
      <c r="EG1100" s="59"/>
      <c r="EH1100" s="59"/>
      <c r="EI1100" s="59"/>
      <c r="EJ1100" s="59"/>
      <c r="EK1100" s="59"/>
      <c r="EL1100" s="59"/>
      <c r="EM1100" s="59"/>
      <c r="EN1100" s="59"/>
      <c r="EO1100" s="59"/>
      <c r="EP1100" s="59"/>
      <c r="EQ1100" s="59"/>
      <c r="ER1100" s="59"/>
      <c r="ES1100" s="59"/>
      <c r="ET1100" s="59"/>
      <c r="EU1100" s="59"/>
      <c r="EV1100" s="59"/>
      <c r="EW1100" s="59"/>
      <c r="EX1100" s="59"/>
      <c r="EY1100" s="59"/>
      <c r="EZ1100" s="59"/>
      <c r="FA1100" s="59"/>
      <c r="FB1100" s="59"/>
      <c r="FC1100" s="59"/>
      <c r="FD1100" s="59"/>
      <c r="FE1100" s="59"/>
      <c r="FF1100" s="59"/>
      <c r="FG1100" s="59"/>
      <c r="FH1100" s="59"/>
      <c r="FI1100" s="59"/>
      <c r="FJ1100" s="59"/>
      <c r="FK1100" s="59"/>
      <c r="FL1100" s="59"/>
      <c r="FM1100" s="59"/>
      <c r="FN1100" s="59"/>
      <c r="FO1100" s="59"/>
      <c r="FP1100" s="59"/>
      <c r="FQ1100" s="59"/>
      <c r="FR1100" s="59"/>
      <c r="FS1100" s="59"/>
      <c r="FT1100" s="59"/>
      <c r="FU1100" s="59"/>
      <c r="FV1100" s="59"/>
      <c r="FW1100" s="59"/>
      <c r="FX1100" s="59"/>
      <c r="FY1100" s="59"/>
      <c r="FZ1100" s="59"/>
      <c r="GA1100" s="59"/>
      <c r="GB1100" s="59"/>
      <c r="GC1100" s="59"/>
    </row>
    <row r="1101">
      <c r="A1101" s="59"/>
      <c r="B1101" s="59"/>
      <c r="C1101" s="59"/>
      <c r="D1101" s="59"/>
      <c r="E1101" s="59"/>
      <c r="F1101" s="59"/>
      <c r="G1101" s="59"/>
      <c r="H1101" s="59"/>
      <c r="I1101" s="59"/>
      <c r="J1101" s="59"/>
      <c r="K1101" s="59"/>
      <c r="L1101" s="59"/>
      <c r="M1101" s="59"/>
      <c r="N1101" s="59"/>
      <c r="O1101" s="59"/>
      <c r="P1101" s="59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  <c r="AD1101" s="59"/>
      <c r="AE1101" s="59"/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59"/>
      <c r="BR1101" s="59"/>
      <c r="BS1101" s="59"/>
      <c r="BT1101" s="59"/>
      <c r="BU1101" s="59"/>
      <c r="BV1101" s="59"/>
      <c r="BW1101" s="59"/>
      <c r="BX1101" s="59"/>
      <c r="BY1101" s="59"/>
      <c r="BZ1101" s="59"/>
      <c r="CA1101" s="59"/>
      <c r="CB1101" s="59"/>
      <c r="CC1101" s="59"/>
      <c r="CD1101" s="59"/>
      <c r="CE1101" s="59"/>
      <c r="CF1101" s="59"/>
      <c r="CG1101" s="59"/>
      <c r="CH1101" s="59"/>
      <c r="CI1101" s="59"/>
      <c r="CJ1101" s="59"/>
      <c r="CK1101" s="59"/>
      <c r="CL1101" s="59"/>
      <c r="CM1101" s="59"/>
      <c r="CN1101" s="59"/>
      <c r="CO1101" s="59"/>
      <c r="CP1101" s="59"/>
      <c r="CQ1101" s="59"/>
      <c r="CR1101" s="59"/>
      <c r="CS1101" s="59"/>
      <c r="CT1101" s="59"/>
      <c r="CU1101" s="59"/>
      <c r="CV1101" s="59"/>
      <c r="CW1101" s="59"/>
      <c r="CX1101" s="59"/>
      <c r="CY1101" s="59"/>
      <c r="CZ1101" s="59"/>
      <c r="DA1101" s="59"/>
      <c r="DB1101" s="59"/>
      <c r="DC1101" s="59"/>
      <c r="DD1101" s="59"/>
      <c r="DE1101" s="59"/>
      <c r="DF1101" s="59"/>
      <c r="DG1101" s="59"/>
      <c r="DH1101" s="59"/>
      <c r="DI1101" s="59"/>
      <c r="DJ1101" s="59"/>
      <c r="DK1101" s="59"/>
      <c r="DL1101" s="59"/>
      <c r="DM1101" s="59"/>
      <c r="DN1101" s="59"/>
      <c r="DO1101" s="59"/>
      <c r="DP1101" s="59"/>
      <c r="DQ1101" s="59"/>
      <c r="DR1101" s="59"/>
      <c r="DS1101" s="59"/>
      <c r="DT1101" s="59"/>
      <c r="DU1101" s="59"/>
      <c r="DV1101" s="59"/>
      <c r="DW1101" s="59"/>
      <c r="DX1101" s="59"/>
      <c r="DY1101" s="59"/>
      <c r="DZ1101" s="59"/>
      <c r="EA1101" s="59"/>
      <c r="EB1101" s="59"/>
      <c r="EC1101" s="59"/>
      <c r="ED1101" s="59"/>
      <c r="EE1101" s="59"/>
      <c r="EF1101" s="59"/>
      <c r="EG1101" s="59"/>
      <c r="EH1101" s="59"/>
      <c r="EI1101" s="59"/>
      <c r="EJ1101" s="59"/>
      <c r="EK1101" s="59"/>
      <c r="EL1101" s="59"/>
      <c r="EM1101" s="59"/>
      <c r="EN1101" s="59"/>
      <c r="EO1101" s="59"/>
      <c r="EP1101" s="59"/>
      <c r="EQ1101" s="59"/>
      <c r="ER1101" s="59"/>
      <c r="ES1101" s="59"/>
      <c r="ET1101" s="59"/>
      <c r="EU1101" s="59"/>
      <c r="EV1101" s="59"/>
      <c r="EW1101" s="59"/>
      <c r="EX1101" s="59"/>
      <c r="EY1101" s="59"/>
      <c r="EZ1101" s="59"/>
      <c r="FA1101" s="59"/>
      <c r="FB1101" s="59"/>
      <c r="FC1101" s="59"/>
      <c r="FD1101" s="59"/>
      <c r="FE1101" s="59"/>
      <c r="FF1101" s="59"/>
      <c r="FG1101" s="59"/>
      <c r="FH1101" s="59"/>
      <c r="FI1101" s="59"/>
      <c r="FJ1101" s="59"/>
      <c r="FK1101" s="59"/>
      <c r="FL1101" s="59"/>
      <c r="FM1101" s="59"/>
      <c r="FN1101" s="59"/>
      <c r="FO1101" s="59"/>
      <c r="FP1101" s="59"/>
      <c r="FQ1101" s="59"/>
      <c r="FR1101" s="59"/>
      <c r="FS1101" s="59"/>
      <c r="FT1101" s="59"/>
      <c r="FU1101" s="59"/>
      <c r="FV1101" s="59"/>
      <c r="FW1101" s="59"/>
      <c r="FX1101" s="59"/>
      <c r="FY1101" s="59"/>
      <c r="FZ1101" s="59"/>
      <c r="GA1101" s="59"/>
      <c r="GB1101" s="59"/>
      <c r="GC1101" s="59"/>
    </row>
    <row r="1102">
      <c r="A1102" s="59"/>
      <c r="B1102" s="59"/>
      <c r="C1102" s="59"/>
      <c r="D1102" s="59"/>
      <c r="E1102" s="59"/>
      <c r="F1102" s="59"/>
      <c r="G1102" s="59"/>
      <c r="H1102" s="59"/>
      <c r="I1102" s="59"/>
      <c r="J1102" s="59"/>
      <c r="K1102" s="59"/>
      <c r="L1102" s="59"/>
      <c r="M1102" s="59"/>
      <c r="N1102" s="59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59"/>
      <c r="BR1102" s="59"/>
      <c r="BS1102" s="59"/>
      <c r="BT1102" s="59"/>
      <c r="BU1102" s="59"/>
      <c r="BV1102" s="59"/>
      <c r="BW1102" s="59"/>
      <c r="BX1102" s="59"/>
      <c r="BY1102" s="59"/>
      <c r="BZ1102" s="59"/>
      <c r="CA1102" s="59"/>
      <c r="CB1102" s="59"/>
      <c r="CC1102" s="59"/>
      <c r="CD1102" s="59"/>
      <c r="CE1102" s="59"/>
      <c r="CF1102" s="59"/>
      <c r="CG1102" s="59"/>
      <c r="CH1102" s="59"/>
      <c r="CI1102" s="59"/>
      <c r="CJ1102" s="59"/>
      <c r="CK1102" s="59"/>
      <c r="CL1102" s="59"/>
      <c r="CM1102" s="59"/>
      <c r="CN1102" s="59"/>
      <c r="CO1102" s="59"/>
      <c r="CP1102" s="59"/>
      <c r="CQ1102" s="59"/>
      <c r="CR1102" s="59"/>
      <c r="CS1102" s="59"/>
      <c r="CT1102" s="59"/>
      <c r="CU1102" s="59"/>
      <c r="CV1102" s="59"/>
      <c r="CW1102" s="59"/>
      <c r="CX1102" s="59"/>
      <c r="CY1102" s="59"/>
      <c r="CZ1102" s="59"/>
      <c r="DA1102" s="59"/>
      <c r="DB1102" s="59"/>
      <c r="DC1102" s="59"/>
      <c r="DD1102" s="59"/>
      <c r="DE1102" s="59"/>
      <c r="DF1102" s="59"/>
      <c r="DG1102" s="59"/>
      <c r="DH1102" s="59"/>
      <c r="DI1102" s="59"/>
      <c r="DJ1102" s="59"/>
      <c r="DK1102" s="59"/>
      <c r="DL1102" s="59"/>
      <c r="DM1102" s="59"/>
      <c r="DN1102" s="59"/>
      <c r="DO1102" s="59"/>
      <c r="DP1102" s="59"/>
      <c r="DQ1102" s="59"/>
      <c r="DR1102" s="59"/>
      <c r="DS1102" s="59"/>
      <c r="DT1102" s="59"/>
      <c r="DU1102" s="59"/>
      <c r="DV1102" s="59"/>
      <c r="DW1102" s="59"/>
      <c r="DX1102" s="59"/>
      <c r="DY1102" s="59"/>
      <c r="DZ1102" s="59"/>
      <c r="EA1102" s="59"/>
      <c r="EB1102" s="59"/>
      <c r="EC1102" s="59"/>
      <c r="ED1102" s="59"/>
      <c r="EE1102" s="59"/>
      <c r="EF1102" s="59"/>
      <c r="EG1102" s="59"/>
      <c r="EH1102" s="59"/>
      <c r="EI1102" s="59"/>
      <c r="EJ1102" s="59"/>
      <c r="EK1102" s="59"/>
      <c r="EL1102" s="59"/>
      <c r="EM1102" s="59"/>
      <c r="EN1102" s="59"/>
      <c r="EO1102" s="59"/>
      <c r="EP1102" s="59"/>
      <c r="EQ1102" s="59"/>
      <c r="ER1102" s="59"/>
      <c r="ES1102" s="59"/>
      <c r="ET1102" s="59"/>
      <c r="EU1102" s="59"/>
      <c r="EV1102" s="59"/>
      <c r="EW1102" s="59"/>
      <c r="EX1102" s="59"/>
      <c r="EY1102" s="59"/>
      <c r="EZ1102" s="59"/>
      <c r="FA1102" s="59"/>
      <c r="FB1102" s="59"/>
      <c r="FC1102" s="59"/>
      <c r="FD1102" s="59"/>
      <c r="FE1102" s="59"/>
      <c r="FF1102" s="59"/>
      <c r="FG1102" s="59"/>
      <c r="FH1102" s="59"/>
      <c r="FI1102" s="59"/>
      <c r="FJ1102" s="59"/>
      <c r="FK1102" s="59"/>
      <c r="FL1102" s="59"/>
      <c r="FM1102" s="59"/>
      <c r="FN1102" s="59"/>
      <c r="FO1102" s="59"/>
      <c r="FP1102" s="59"/>
      <c r="FQ1102" s="59"/>
      <c r="FR1102" s="59"/>
      <c r="FS1102" s="59"/>
      <c r="FT1102" s="59"/>
      <c r="FU1102" s="59"/>
      <c r="FV1102" s="59"/>
      <c r="FW1102" s="59"/>
      <c r="FX1102" s="59"/>
      <c r="FY1102" s="59"/>
      <c r="FZ1102" s="59"/>
      <c r="GA1102" s="59"/>
      <c r="GB1102" s="59"/>
      <c r="GC1102" s="59"/>
    </row>
    <row r="1103">
      <c r="A1103" s="59"/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59"/>
      <c r="P1103" s="59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  <c r="AD1103" s="59"/>
      <c r="AE1103" s="59"/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59"/>
      <c r="BR1103" s="59"/>
      <c r="BS1103" s="59"/>
      <c r="BT1103" s="59"/>
      <c r="BU1103" s="59"/>
      <c r="BV1103" s="59"/>
      <c r="BW1103" s="59"/>
      <c r="BX1103" s="59"/>
      <c r="BY1103" s="59"/>
      <c r="BZ1103" s="59"/>
      <c r="CA1103" s="59"/>
      <c r="CB1103" s="59"/>
      <c r="CC1103" s="59"/>
      <c r="CD1103" s="59"/>
      <c r="CE1103" s="59"/>
      <c r="CF1103" s="59"/>
      <c r="CG1103" s="59"/>
      <c r="CH1103" s="59"/>
      <c r="CI1103" s="59"/>
      <c r="CJ1103" s="59"/>
      <c r="CK1103" s="59"/>
      <c r="CL1103" s="59"/>
      <c r="CM1103" s="59"/>
      <c r="CN1103" s="59"/>
      <c r="CO1103" s="59"/>
      <c r="CP1103" s="59"/>
      <c r="CQ1103" s="59"/>
      <c r="CR1103" s="59"/>
      <c r="CS1103" s="59"/>
      <c r="CT1103" s="59"/>
      <c r="CU1103" s="59"/>
      <c r="CV1103" s="59"/>
      <c r="CW1103" s="59"/>
      <c r="CX1103" s="59"/>
      <c r="CY1103" s="59"/>
      <c r="CZ1103" s="59"/>
      <c r="DA1103" s="59"/>
      <c r="DB1103" s="59"/>
      <c r="DC1103" s="59"/>
      <c r="DD1103" s="59"/>
      <c r="DE1103" s="59"/>
      <c r="DF1103" s="59"/>
      <c r="DG1103" s="59"/>
      <c r="DH1103" s="59"/>
      <c r="DI1103" s="59"/>
      <c r="DJ1103" s="59"/>
      <c r="DK1103" s="59"/>
      <c r="DL1103" s="59"/>
      <c r="DM1103" s="59"/>
      <c r="DN1103" s="59"/>
      <c r="DO1103" s="59"/>
      <c r="DP1103" s="59"/>
      <c r="DQ1103" s="59"/>
      <c r="DR1103" s="59"/>
      <c r="DS1103" s="59"/>
      <c r="DT1103" s="59"/>
      <c r="DU1103" s="59"/>
      <c r="DV1103" s="59"/>
      <c r="DW1103" s="59"/>
      <c r="DX1103" s="59"/>
      <c r="DY1103" s="59"/>
      <c r="DZ1103" s="59"/>
      <c r="EA1103" s="59"/>
      <c r="EB1103" s="59"/>
      <c r="EC1103" s="59"/>
      <c r="ED1103" s="59"/>
      <c r="EE1103" s="59"/>
      <c r="EF1103" s="59"/>
      <c r="EG1103" s="59"/>
      <c r="EH1103" s="59"/>
      <c r="EI1103" s="59"/>
      <c r="EJ1103" s="59"/>
      <c r="EK1103" s="59"/>
      <c r="EL1103" s="59"/>
      <c r="EM1103" s="59"/>
      <c r="EN1103" s="59"/>
      <c r="EO1103" s="59"/>
      <c r="EP1103" s="59"/>
      <c r="EQ1103" s="59"/>
      <c r="ER1103" s="59"/>
      <c r="ES1103" s="59"/>
      <c r="ET1103" s="59"/>
      <c r="EU1103" s="59"/>
      <c r="EV1103" s="59"/>
      <c r="EW1103" s="59"/>
      <c r="EX1103" s="59"/>
      <c r="EY1103" s="59"/>
      <c r="EZ1103" s="59"/>
      <c r="FA1103" s="59"/>
      <c r="FB1103" s="59"/>
      <c r="FC1103" s="59"/>
      <c r="FD1103" s="59"/>
      <c r="FE1103" s="59"/>
      <c r="FF1103" s="59"/>
      <c r="FG1103" s="59"/>
      <c r="FH1103" s="59"/>
      <c r="FI1103" s="59"/>
      <c r="FJ1103" s="59"/>
      <c r="FK1103" s="59"/>
      <c r="FL1103" s="59"/>
      <c r="FM1103" s="59"/>
      <c r="FN1103" s="59"/>
      <c r="FO1103" s="59"/>
      <c r="FP1103" s="59"/>
      <c r="FQ1103" s="59"/>
      <c r="FR1103" s="59"/>
      <c r="FS1103" s="59"/>
      <c r="FT1103" s="59"/>
      <c r="FU1103" s="59"/>
      <c r="FV1103" s="59"/>
      <c r="FW1103" s="59"/>
      <c r="FX1103" s="59"/>
      <c r="FY1103" s="59"/>
      <c r="FZ1103" s="59"/>
      <c r="GA1103" s="59"/>
      <c r="GB1103" s="59"/>
      <c r="GC1103" s="59"/>
    </row>
    <row r="1104">
      <c r="A1104" s="59"/>
      <c r="B1104" s="59"/>
      <c r="C1104" s="59"/>
      <c r="D1104" s="59"/>
      <c r="E1104" s="59"/>
      <c r="F1104" s="59"/>
      <c r="G1104" s="59"/>
      <c r="H1104" s="59"/>
      <c r="I1104" s="59"/>
      <c r="J1104" s="59"/>
      <c r="K1104" s="59"/>
      <c r="L1104" s="59"/>
      <c r="M1104" s="59"/>
      <c r="N1104" s="59"/>
      <c r="O1104" s="59"/>
      <c r="P1104" s="59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59"/>
      <c r="BR1104" s="59"/>
      <c r="BS1104" s="59"/>
      <c r="BT1104" s="59"/>
      <c r="BU1104" s="59"/>
      <c r="BV1104" s="59"/>
      <c r="BW1104" s="59"/>
      <c r="BX1104" s="59"/>
      <c r="BY1104" s="59"/>
      <c r="BZ1104" s="59"/>
      <c r="CA1104" s="59"/>
      <c r="CB1104" s="59"/>
      <c r="CC1104" s="59"/>
      <c r="CD1104" s="59"/>
      <c r="CE1104" s="59"/>
      <c r="CF1104" s="59"/>
      <c r="CG1104" s="59"/>
      <c r="CH1104" s="59"/>
      <c r="CI1104" s="59"/>
      <c r="CJ1104" s="59"/>
      <c r="CK1104" s="59"/>
      <c r="CL1104" s="59"/>
      <c r="CM1104" s="59"/>
      <c r="CN1104" s="59"/>
      <c r="CO1104" s="59"/>
      <c r="CP1104" s="59"/>
      <c r="CQ1104" s="59"/>
      <c r="CR1104" s="59"/>
      <c r="CS1104" s="59"/>
      <c r="CT1104" s="59"/>
      <c r="CU1104" s="59"/>
      <c r="CV1104" s="59"/>
      <c r="CW1104" s="59"/>
      <c r="CX1104" s="59"/>
      <c r="CY1104" s="59"/>
      <c r="CZ1104" s="59"/>
      <c r="DA1104" s="59"/>
      <c r="DB1104" s="59"/>
      <c r="DC1104" s="59"/>
      <c r="DD1104" s="59"/>
      <c r="DE1104" s="59"/>
      <c r="DF1104" s="59"/>
      <c r="DG1104" s="59"/>
      <c r="DH1104" s="59"/>
      <c r="DI1104" s="59"/>
      <c r="DJ1104" s="59"/>
      <c r="DK1104" s="59"/>
      <c r="DL1104" s="59"/>
      <c r="DM1104" s="59"/>
      <c r="DN1104" s="59"/>
      <c r="DO1104" s="59"/>
      <c r="DP1104" s="59"/>
      <c r="DQ1104" s="59"/>
      <c r="DR1104" s="59"/>
      <c r="DS1104" s="59"/>
      <c r="DT1104" s="59"/>
      <c r="DU1104" s="59"/>
      <c r="DV1104" s="59"/>
      <c r="DW1104" s="59"/>
      <c r="DX1104" s="59"/>
      <c r="DY1104" s="59"/>
      <c r="DZ1104" s="59"/>
      <c r="EA1104" s="59"/>
      <c r="EB1104" s="59"/>
      <c r="EC1104" s="59"/>
      <c r="ED1104" s="59"/>
      <c r="EE1104" s="59"/>
      <c r="EF1104" s="59"/>
      <c r="EG1104" s="59"/>
      <c r="EH1104" s="59"/>
      <c r="EI1104" s="59"/>
      <c r="EJ1104" s="59"/>
      <c r="EK1104" s="59"/>
      <c r="EL1104" s="59"/>
      <c r="EM1104" s="59"/>
      <c r="EN1104" s="59"/>
      <c r="EO1104" s="59"/>
      <c r="EP1104" s="59"/>
      <c r="EQ1104" s="59"/>
      <c r="ER1104" s="59"/>
      <c r="ES1104" s="59"/>
      <c r="ET1104" s="59"/>
      <c r="EU1104" s="59"/>
      <c r="EV1104" s="59"/>
      <c r="EW1104" s="59"/>
      <c r="EX1104" s="59"/>
      <c r="EY1104" s="59"/>
      <c r="EZ1104" s="59"/>
      <c r="FA1104" s="59"/>
      <c r="FB1104" s="59"/>
      <c r="FC1104" s="59"/>
      <c r="FD1104" s="59"/>
      <c r="FE1104" s="59"/>
      <c r="FF1104" s="59"/>
      <c r="FG1104" s="59"/>
      <c r="FH1104" s="59"/>
      <c r="FI1104" s="59"/>
      <c r="FJ1104" s="59"/>
      <c r="FK1104" s="59"/>
      <c r="FL1104" s="59"/>
      <c r="FM1104" s="59"/>
      <c r="FN1104" s="59"/>
      <c r="FO1104" s="59"/>
      <c r="FP1104" s="59"/>
      <c r="FQ1104" s="59"/>
      <c r="FR1104" s="59"/>
      <c r="FS1104" s="59"/>
      <c r="FT1104" s="59"/>
      <c r="FU1104" s="59"/>
      <c r="FV1104" s="59"/>
      <c r="FW1104" s="59"/>
      <c r="FX1104" s="59"/>
      <c r="FY1104" s="59"/>
      <c r="FZ1104" s="59"/>
      <c r="GA1104" s="59"/>
      <c r="GB1104" s="59"/>
      <c r="GC1104" s="59"/>
    </row>
    <row r="1105">
      <c r="A1105" s="59"/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59"/>
      <c r="N1105" s="59"/>
      <c r="O1105" s="59"/>
      <c r="P1105" s="59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59"/>
      <c r="AG1105" s="59"/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59"/>
      <c r="BR1105" s="59"/>
      <c r="BS1105" s="59"/>
      <c r="BT1105" s="59"/>
      <c r="BU1105" s="59"/>
      <c r="BV1105" s="59"/>
      <c r="BW1105" s="59"/>
      <c r="BX1105" s="59"/>
      <c r="BY1105" s="59"/>
      <c r="BZ1105" s="59"/>
      <c r="CA1105" s="59"/>
      <c r="CB1105" s="59"/>
      <c r="CC1105" s="59"/>
      <c r="CD1105" s="59"/>
      <c r="CE1105" s="59"/>
      <c r="CF1105" s="59"/>
      <c r="CG1105" s="59"/>
      <c r="CH1105" s="59"/>
      <c r="CI1105" s="59"/>
      <c r="CJ1105" s="59"/>
      <c r="CK1105" s="59"/>
      <c r="CL1105" s="59"/>
      <c r="CM1105" s="59"/>
      <c r="CN1105" s="59"/>
      <c r="CO1105" s="59"/>
      <c r="CP1105" s="59"/>
      <c r="CQ1105" s="59"/>
      <c r="CR1105" s="59"/>
      <c r="CS1105" s="59"/>
      <c r="CT1105" s="59"/>
      <c r="CU1105" s="59"/>
      <c r="CV1105" s="59"/>
      <c r="CW1105" s="59"/>
      <c r="CX1105" s="59"/>
      <c r="CY1105" s="59"/>
      <c r="CZ1105" s="59"/>
      <c r="DA1105" s="59"/>
      <c r="DB1105" s="59"/>
      <c r="DC1105" s="59"/>
      <c r="DD1105" s="59"/>
      <c r="DE1105" s="59"/>
      <c r="DF1105" s="59"/>
      <c r="DG1105" s="59"/>
      <c r="DH1105" s="59"/>
      <c r="DI1105" s="59"/>
      <c r="DJ1105" s="59"/>
      <c r="DK1105" s="59"/>
      <c r="DL1105" s="59"/>
      <c r="DM1105" s="59"/>
      <c r="DN1105" s="59"/>
      <c r="DO1105" s="59"/>
      <c r="DP1105" s="59"/>
      <c r="DQ1105" s="59"/>
      <c r="DR1105" s="59"/>
      <c r="DS1105" s="59"/>
      <c r="DT1105" s="59"/>
      <c r="DU1105" s="59"/>
      <c r="DV1105" s="59"/>
      <c r="DW1105" s="59"/>
      <c r="DX1105" s="59"/>
      <c r="DY1105" s="59"/>
      <c r="DZ1105" s="59"/>
      <c r="EA1105" s="59"/>
      <c r="EB1105" s="59"/>
      <c r="EC1105" s="59"/>
      <c r="ED1105" s="59"/>
      <c r="EE1105" s="59"/>
      <c r="EF1105" s="59"/>
      <c r="EG1105" s="59"/>
      <c r="EH1105" s="59"/>
      <c r="EI1105" s="59"/>
      <c r="EJ1105" s="59"/>
      <c r="EK1105" s="59"/>
      <c r="EL1105" s="59"/>
      <c r="EM1105" s="59"/>
      <c r="EN1105" s="59"/>
      <c r="EO1105" s="59"/>
      <c r="EP1105" s="59"/>
      <c r="EQ1105" s="59"/>
      <c r="ER1105" s="59"/>
      <c r="ES1105" s="59"/>
      <c r="ET1105" s="59"/>
      <c r="EU1105" s="59"/>
      <c r="EV1105" s="59"/>
      <c r="EW1105" s="59"/>
      <c r="EX1105" s="59"/>
      <c r="EY1105" s="59"/>
      <c r="EZ1105" s="59"/>
      <c r="FA1105" s="59"/>
      <c r="FB1105" s="59"/>
      <c r="FC1105" s="59"/>
      <c r="FD1105" s="59"/>
      <c r="FE1105" s="59"/>
      <c r="FF1105" s="59"/>
      <c r="FG1105" s="59"/>
      <c r="FH1105" s="59"/>
      <c r="FI1105" s="59"/>
      <c r="FJ1105" s="59"/>
      <c r="FK1105" s="59"/>
      <c r="FL1105" s="59"/>
      <c r="FM1105" s="59"/>
      <c r="FN1105" s="59"/>
      <c r="FO1105" s="59"/>
      <c r="FP1105" s="59"/>
      <c r="FQ1105" s="59"/>
      <c r="FR1105" s="59"/>
      <c r="FS1105" s="59"/>
      <c r="FT1105" s="59"/>
      <c r="FU1105" s="59"/>
      <c r="FV1105" s="59"/>
      <c r="FW1105" s="59"/>
      <c r="FX1105" s="59"/>
      <c r="FY1105" s="59"/>
      <c r="FZ1105" s="59"/>
      <c r="GA1105" s="59"/>
      <c r="GB1105" s="59"/>
      <c r="GC1105" s="59"/>
    </row>
    <row r="1106">
      <c r="A1106" s="59"/>
      <c r="B1106" s="59"/>
      <c r="C1106" s="59"/>
      <c r="D1106" s="59"/>
      <c r="E1106" s="59"/>
      <c r="F1106" s="59"/>
      <c r="G1106" s="59"/>
      <c r="H1106" s="59"/>
      <c r="I1106" s="59"/>
      <c r="J1106" s="59"/>
      <c r="K1106" s="59"/>
      <c r="L1106" s="59"/>
      <c r="M1106" s="59"/>
      <c r="N1106" s="59"/>
      <c r="O1106" s="59"/>
      <c r="P1106" s="59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59"/>
      <c r="BR1106" s="59"/>
      <c r="BS1106" s="59"/>
      <c r="BT1106" s="59"/>
      <c r="BU1106" s="59"/>
      <c r="BV1106" s="59"/>
      <c r="BW1106" s="59"/>
      <c r="BX1106" s="59"/>
      <c r="BY1106" s="59"/>
      <c r="BZ1106" s="59"/>
      <c r="CA1106" s="59"/>
      <c r="CB1106" s="59"/>
      <c r="CC1106" s="59"/>
      <c r="CD1106" s="59"/>
      <c r="CE1106" s="59"/>
      <c r="CF1106" s="59"/>
      <c r="CG1106" s="59"/>
      <c r="CH1106" s="59"/>
      <c r="CI1106" s="59"/>
      <c r="CJ1106" s="59"/>
      <c r="CK1106" s="59"/>
      <c r="CL1106" s="59"/>
      <c r="CM1106" s="59"/>
      <c r="CN1106" s="59"/>
      <c r="CO1106" s="59"/>
      <c r="CP1106" s="59"/>
      <c r="CQ1106" s="59"/>
      <c r="CR1106" s="59"/>
      <c r="CS1106" s="59"/>
      <c r="CT1106" s="59"/>
      <c r="CU1106" s="59"/>
      <c r="CV1106" s="59"/>
      <c r="CW1106" s="59"/>
      <c r="CX1106" s="59"/>
      <c r="CY1106" s="59"/>
      <c r="CZ1106" s="59"/>
      <c r="DA1106" s="59"/>
      <c r="DB1106" s="59"/>
      <c r="DC1106" s="59"/>
      <c r="DD1106" s="59"/>
      <c r="DE1106" s="59"/>
      <c r="DF1106" s="59"/>
      <c r="DG1106" s="59"/>
      <c r="DH1106" s="59"/>
      <c r="DI1106" s="59"/>
      <c r="DJ1106" s="59"/>
      <c r="DK1106" s="59"/>
      <c r="DL1106" s="59"/>
      <c r="DM1106" s="59"/>
      <c r="DN1106" s="59"/>
      <c r="DO1106" s="59"/>
      <c r="DP1106" s="59"/>
      <c r="DQ1106" s="59"/>
      <c r="DR1106" s="59"/>
      <c r="DS1106" s="59"/>
      <c r="DT1106" s="59"/>
      <c r="DU1106" s="59"/>
      <c r="DV1106" s="59"/>
      <c r="DW1106" s="59"/>
      <c r="DX1106" s="59"/>
      <c r="DY1106" s="59"/>
      <c r="DZ1106" s="59"/>
      <c r="EA1106" s="59"/>
      <c r="EB1106" s="59"/>
      <c r="EC1106" s="59"/>
      <c r="ED1106" s="59"/>
      <c r="EE1106" s="59"/>
      <c r="EF1106" s="59"/>
      <c r="EG1106" s="59"/>
      <c r="EH1106" s="59"/>
      <c r="EI1106" s="59"/>
      <c r="EJ1106" s="59"/>
      <c r="EK1106" s="59"/>
      <c r="EL1106" s="59"/>
      <c r="EM1106" s="59"/>
      <c r="EN1106" s="59"/>
      <c r="EO1106" s="59"/>
      <c r="EP1106" s="59"/>
      <c r="EQ1106" s="59"/>
      <c r="ER1106" s="59"/>
      <c r="ES1106" s="59"/>
      <c r="ET1106" s="59"/>
      <c r="EU1106" s="59"/>
      <c r="EV1106" s="59"/>
      <c r="EW1106" s="59"/>
      <c r="EX1106" s="59"/>
      <c r="EY1106" s="59"/>
      <c r="EZ1106" s="59"/>
      <c r="FA1106" s="59"/>
      <c r="FB1106" s="59"/>
      <c r="FC1106" s="59"/>
      <c r="FD1106" s="59"/>
      <c r="FE1106" s="59"/>
      <c r="FF1106" s="59"/>
      <c r="FG1106" s="59"/>
      <c r="FH1106" s="59"/>
      <c r="FI1106" s="59"/>
      <c r="FJ1106" s="59"/>
      <c r="FK1106" s="59"/>
      <c r="FL1106" s="59"/>
      <c r="FM1106" s="59"/>
      <c r="FN1106" s="59"/>
      <c r="FO1106" s="59"/>
      <c r="FP1106" s="59"/>
      <c r="FQ1106" s="59"/>
      <c r="FR1106" s="59"/>
      <c r="FS1106" s="59"/>
      <c r="FT1106" s="59"/>
      <c r="FU1106" s="59"/>
      <c r="FV1106" s="59"/>
      <c r="FW1106" s="59"/>
      <c r="FX1106" s="59"/>
      <c r="FY1106" s="59"/>
      <c r="FZ1106" s="59"/>
      <c r="GA1106" s="59"/>
      <c r="GB1106" s="59"/>
      <c r="GC1106" s="59"/>
    </row>
    <row r="1107">
      <c r="A1107" s="59"/>
      <c r="B1107" s="59"/>
      <c r="C1107" s="59"/>
      <c r="D1107" s="59"/>
      <c r="E1107" s="59"/>
      <c r="F1107" s="59"/>
      <c r="G1107" s="59"/>
      <c r="H1107" s="59"/>
      <c r="I1107" s="59"/>
      <c r="J1107" s="59"/>
      <c r="K1107" s="59"/>
      <c r="L1107" s="59"/>
      <c r="M1107" s="59"/>
      <c r="N1107" s="59"/>
      <c r="O1107" s="59"/>
      <c r="P1107" s="59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  <c r="AD1107" s="59"/>
      <c r="AE1107" s="59"/>
      <c r="AF1107" s="59"/>
      <c r="AG1107" s="59"/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59"/>
      <c r="BR1107" s="59"/>
      <c r="BS1107" s="59"/>
      <c r="BT1107" s="59"/>
      <c r="BU1107" s="59"/>
      <c r="BV1107" s="59"/>
      <c r="BW1107" s="59"/>
      <c r="BX1107" s="59"/>
      <c r="BY1107" s="59"/>
      <c r="BZ1107" s="59"/>
      <c r="CA1107" s="59"/>
      <c r="CB1107" s="59"/>
      <c r="CC1107" s="59"/>
      <c r="CD1107" s="59"/>
      <c r="CE1107" s="59"/>
      <c r="CF1107" s="59"/>
      <c r="CG1107" s="59"/>
      <c r="CH1107" s="59"/>
      <c r="CI1107" s="59"/>
      <c r="CJ1107" s="59"/>
      <c r="CK1107" s="59"/>
      <c r="CL1107" s="59"/>
      <c r="CM1107" s="59"/>
      <c r="CN1107" s="59"/>
      <c r="CO1107" s="59"/>
      <c r="CP1107" s="59"/>
      <c r="CQ1107" s="59"/>
      <c r="CR1107" s="59"/>
      <c r="CS1107" s="59"/>
      <c r="CT1107" s="59"/>
      <c r="CU1107" s="59"/>
      <c r="CV1107" s="59"/>
      <c r="CW1107" s="59"/>
      <c r="CX1107" s="59"/>
      <c r="CY1107" s="59"/>
      <c r="CZ1107" s="59"/>
      <c r="DA1107" s="59"/>
      <c r="DB1107" s="59"/>
      <c r="DC1107" s="59"/>
      <c r="DD1107" s="59"/>
      <c r="DE1107" s="59"/>
      <c r="DF1107" s="59"/>
      <c r="DG1107" s="59"/>
      <c r="DH1107" s="59"/>
      <c r="DI1107" s="59"/>
      <c r="DJ1107" s="59"/>
      <c r="DK1107" s="59"/>
      <c r="DL1107" s="59"/>
      <c r="DM1107" s="59"/>
      <c r="DN1107" s="59"/>
      <c r="DO1107" s="59"/>
      <c r="DP1107" s="59"/>
      <c r="DQ1107" s="59"/>
      <c r="DR1107" s="59"/>
      <c r="DS1107" s="59"/>
      <c r="DT1107" s="59"/>
      <c r="DU1107" s="59"/>
      <c r="DV1107" s="59"/>
      <c r="DW1107" s="59"/>
      <c r="DX1107" s="59"/>
      <c r="DY1107" s="59"/>
      <c r="DZ1107" s="59"/>
      <c r="EA1107" s="59"/>
      <c r="EB1107" s="59"/>
      <c r="EC1107" s="59"/>
      <c r="ED1107" s="59"/>
      <c r="EE1107" s="59"/>
      <c r="EF1107" s="59"/>
      <c r="EG1107" s="59"/>
      <c r="EH1107" s="59"/>
      <c r="EI1107" s="59"/>
      <c r="EJ1107" s="59"/>
      <c r="EK1107" s="59"/>
      <c r="EL1107" s="59"/>
      <c r="EM1107" s="59"/>
      <c r="EN1107" s="59"/>
      <c r="EO1107" s="59"/>
      <c r="EP1107" s="59"/>
      <c r="EQ1107" s="59"/>
      <c r="ER1107" s="59"/>
      <c r="ES1107" s="59"/>
      <c r="ET1107" s="59"/>
      <c r="EU1107" s="59"/>
      <c r="EV1107" s="59"/>
      <c r="EW1107" s="59"/>
      <c r="EX1107" s="59"/>
      <c r="EY1107" s="59"/>
      <c r="EZ1107" s="59"/>
      <c r="FA1107" s="59"/>
      <c r="FB1107" s="59"/>
      <c r="FC1107" s="59"/>
      <c r="FD1107" s="59"/>
      <c r="FE1107" s="59"/>
      <c r="FF1107" s="59"/>
      <c r="FG1107" s="59"/>
      <c r="FH1107" s="59"/>
      <c r="FI1107" s="59"/>
      <c r="FJ1107" s="59"/>
      <c r="FK1107" s="59"/>
      <c r="FL1107" s="59"/>
      <c r="FM1107" s="59"/>
      <c r="FN1107" s="59"/>
      <c r="FO1107" s="59"/>
      <c r="FP1107" s="59"/>
      <c r="FQ1107" s="59"/>
      <c r="FR1107" s="59"/>
      <c r="FS1107" s="59"/>
      <c r="FT1107" s="59"/>
      <c r="FU1107" s="59"/>
      <c r="FV1107" s="59"/>
      <c r="FW1107" s="59"/>
      <c r="FX1107" s="59"/>
      <c r="FY1107" s="59"/>
      <c r="FZ1107" s="59"/>
      <c r="GA1107" s="59"/>
      <c r="GB1107" s="59"/>
      <c r="GC1107" s="59"/>
    </row>
    <row r="1108">
      <c r="A1108" s="59"/>
      <c r="B1108" s="59"/>
      <c r="C1108" s="59"/>
      <c r="D1108" s="59"/>
      <c r="E1108" s="59"/>
      <c r="F1108" s="59"/>
      <c r="G1108" s="59"/>
      <c r="H1108" s="59"/>
      <c r="I1108" s="59"/>
      <c r="J1108" s="59"/>
      <c r="K1108" s="59"/>
      <c r="L1108" s="59"/>
      <c r="M1108" s="59"/>
      <c r="N1108" s="59"/>
      <c r="O1108" s="59"/>
      <c r="P1108" s="59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59"/>
      <c r="BR1108" s="59"/>
      <c r="BS1108" s="59"/>
      <c r="BT1108" s="59"/>
      <c r="BU1108" s="59"/>
      <c r="BV1108" s="59"/>
      <c r="BW1108" s="59"/>
      <c r="BX1108" s="59"/>
      <c r="BY1108" s="59"/>
      <c r="BZ1108" s="59"/>
      <c r="CA1108" s="59"/>
      <c r="CB1108" s="59"/>
      <c r="CC1108" s="59"/>
      <c r="CD1108" s="59"/>
      <c r="CE1108" s="59"/>
      <c r="CF1108" s="59"/>
      <c r="CG1108" s="59"/>
      <c r="CH1108" s="59"/>
      <c r="CI1108" s="59"/>
      <c r="CJ1108" s="59"/>
      <c r="CK1108" s="59"/>
      <c r="CL1108" s="59"/>
      <c r="CM1108" s="59"/>
      <c r="CN1108" s="59"/>
      <c r="CO1108" s="59"/>
      <c r="CP1108" s="59"/>
      <c r="CQ1108" s="59"/>
      <c r="CR1108" s="59"/>
      <c r="CS1108" s="59"/>
      <c r="CT1108" s="59"/>
      <c r="CU1108" s="59"/>
      <c r="CV1108" s="59"/>
      <c r="CW1108" s="59"/>
      <c r="CX1108" s="59"/>
      <c r="CY1108" s="59"/>
      <c r="CZ1108" s="59"/>
      <c r="DA1108" s="59"/>
      <c r="DB1108" s="59"/>
      <c r="DC1108" s="59"/>
      <c r="DD1108" s="59"/>
      <c r="DE1108" s="59"/>
      <c r="DF1108" s="59"/>
      <c r="DG1108" s="59"/>
      <c r="DH1108" s="59"/>
      <c r="DI1108" s="59"/>
      <c r="DJ1108" s="59"/>
      <c r="DK1108" s="59"/>
      <c r="DL1108" s="59"/>
      <c r="DM1108" s="59"/>
      <c r="DN1108" s="59"/>
      <c r="DO1108" s="59"/>
      <c r="DP1108" s="59"/>
      <c r="DQ1108" s="59"/>
      <c r="DR1108" s="59"/>
      <c r="DS1108" s="59"/>
      <c r="DT1108" s="59"/>
      <c r="DU1108" s="59"/>
      <c r="DV1108" s="59"/>
      <c r="DW1108" s="59"/>
      <c r="DX1108" s="59"/>
      <c r="DY1108" s="59"/>
      <c r="DZ1108" s="59"/>
      <c r="EA1108" s="59"/>
      <c r="EB1108" s="59"/>
      <c r="EC1108" s="59"/>
      <c r="ED1108" s="59"/>
      <c r="EE1108" s="59"/>
      <c r="EF1108" s="59"/>
      <c r="EG1108" s="59"/>
      <c r="EH1108" s="59"/>
      <c r="EI1108" s="59"/>
      <c r="EJ1108" s="59"/>
      <c r="EK1108" s="59"/>
      <c r="EL1108" s="59"/>
      <c r="EM1108" s="59"/>
      <c r="EN1108" s="59"/>
      <c r="EO1108" s="59"/>
      <c r="EP1108" s="59"/>
      <c r="EQ1108" s="59"/>
      <c r="ER1108" s="59"/>
      <c r="ES1108" s="59"/>
      <c r="ET1108" s="59"/>
      <c r="EU1108" s="59"/>
      <c r="EV1108" s="59"/>
      <c r="EW1108" s="59"/>
      <c r="EX1108" s="59"/>
      <c r="EY1108" s="59"/>
      <c r="EZ1108" s="59"/>
      <c r="FA1108" s="59"/>
      <c r="FB1108" s="59"/>
      <c r="FC1108" s="59"/>
      <c r="FD1108" s="59"/>
      <c r="FE1108" s="59"/>
      <c r="FF1108" s="59"/>
      <c r="FG1108" s="59"/>
      <c r="FH1108" s="59"/>
      <c r="FI1108" s="59"/>
      <c r="FJ1108" s="59"/>
      <c r="FK1108" s="59"/>
      <c r="FL1108" s="59"/>
      <c r="FM1108" s="59"/>
      <c r="FN1108" s="59"/>
      <c r="FO1108" s="59"/>
      <c r="FP1108" s="59"/>
      <c r="FQ1108" s="59"/>
      <c r="FR1108" s="59"/>
      <c r="FS1108" s="59"/>
      <c r="FT1108" s="59"/>
      <c r="FU1108" s="59"/>
      <c r="FV1108" s="59"/>
      <c r="FW1108" s="59"/>
      <c r="FX1108" s="59"/>
      <c r="FY1108" s="59"/>
      <c r="FZ1108" s="59"/>
      <c r="GA1108" s="59"/>
      <c r="GB1108" s="59"/>
      <c r="GC1108" s="59"/>
    </row>
    <row r="1109">
      <c r="A1109" s="59"/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59"/>
      <c r="BR1109" s="59"/>
      <c r="BS1109" s="59"/>
      <c r="BT1109" s="59"/>
      <c r="BU1109" s="59"/>
      <c r="BV1109" s="59"/>
      <c r="BW1109" s="59"/>
      <c r="BX1109" s="59"/>
      <c r="BY1109" s="59"/>
      <c r="BZ1109" s="59"/>
      <c r="CA1109" s="59"/>
      <c r="CB1109" s="59"/>
      <c r="CC1109" s="59"/>
      <c r="CD1109" s="59"/>
      <c r="CE1109" s="59"/>
      <c r="CF1109" s="59"/>
      <c r="CG1109" s="59"/>
      <c r="CH1109" s="59"/>
      <c r="CI1109" s="59"/>
      <c r="CJ1109" s="59"/>
      <c r="CK1109" s="59"/>
      <c r="CL1109" s="59"/>
      <c r="CM1109" s="59"/>
      <c r="CN1109" s="59"/>
      <c r="CO1109" s="59"/>
      <c r="CP1109" s="59"/>
      <c r="CQ1109" s="59"/>
      <c r="CR1109" s="59"/>
      <c r="CS1109" s="59"/>
      <c r="CT1109" s="59"/>
      <c r="CU1109" s="59"/>
      <c r="CV1109" s="59"/>
      <c r="CW1109" s="59"/>
      <c r="CX1109" s="59"/>
      <c r="CY1109" s="59"/>
      <c r="CZ1109" s="59"/>
      <c r="DA1109" s="59"/>
      <c r="DB1109" s="59"/>
      <c r="DC1109" s="59"/>
      <c r="DD1109" s="59"/>
      <c r="DE1109" s="59"/>
      <c r="DF1109" s="59"/>
      <c r="DG1109" s="59"/>
      <c r="DH1109" s="59"/>
      <c r="DI1109" s="59"/>
      <c r="DJ1109" s="59"/>
      <c r="DK1109" s="59"/>
      <c r="DL1109" s="59"/>
      <c r="DM1109" s="59"/>
      <c r="DN1109" s="59"/>
      <c r="DO1109" s="59"/>
      <c r="DP1109" s="59"/>
      <c r="DQ1109" s="59"/>
      <c r="DR1109" s="59"/>
      <c r="DS1109" s="59"/>
      <c r="DT1109" s="59"/>
      <c r="DU1109" s="59"/>
      <c r="DV1109" s="59"/>
      <c r="DW1109" s="59"/>
      <c r="DX1109" s="59"/>
      <c r="DY1109" s="59"/>
      <c r="DZ1109" s="59"/>
      <c r="EA1109" s="59"/>
      <c r="EB1109" s="59"/>
      <c r="EC1109" s="59"/>
      <c r="ED1109" s="59"/>
      <c r="EE1109" s="59"/>
      <c r="EF1109" s="59"/>
      <c r="EG1109" s="59"/>
      <c r="EH1109" s="59"/>
      <c r="EI1109" s="59"/>
      <c r="EJ1109" s="59"/>
      <c r="EK1109" s="59"/>
      <c r="EL1109" s="59"/>
      <c r="EM1109" s="59"/>
      <c r="EN1109" s="59"/>
      <c r="EO1109" s="59"/>
      <c r="EP1109" s="59"/>
      <c r="EQ1109" s="59"/>
      <c r="ER1109" s="59"/>
      <c r="ES1109" s="59"/>
      <c r="ET1109" s="59"/>
      <c r="EU1109" s="59"/>
      <c r="EV1109" s="59"/>
      <c r="EW1109" s="59"/>
      <c r="EX1109" s="59"/>
      <c r="EY1109" s="59"/>
      <c r="EZ1109" s="59"/>
      <c r="FA1109" s="59"/>
      <c r="FB1109" s="59"/>
      <c r="FC1109" s="59"/>
      <c r="FD1109" s="59"/>
      <c r="FE1109" s="59"/>
      <c r="FF1109" s="59"/>
      <c r="FG1109" s="59"/>
      <c r="FH1109" s="59"/>
      <c r="FI1109" s="59"/>
      <c r="FJ1109" s="59"/>
      <c r="FK1109" s="59"/>
      <c r="FL1109" s="59"/>
      <c r="FM1109" s="59"/>
      <c r="FN1109" s="59"/>
      <c r="FO1109" s="59"/>
      <c r="FP1109" s="59"/>
      <c r="FQ1109" s="59"/>
      <c r="FR1109" s="59"/>
      <c r="FS1109" s="59"/>
      <c r="FT1109" s="59"/>
      <c r="FU1109" s="59"/>
      <c r="FV1109" s="59"/>
      <c r="FW1109" s="59"/>
      <c r="FX1109" s="59"/>
      <c r="FY1109" s="59"/>
      <c r="FZ1109" s="59"/>
      <c r="GA1109" s="59"/>
      <c r="GB1109" s="59"/>
      <c r="GC1109" s="59"/>
    </row>
    <row r="1110">
      <c r="A1110" s="59"/>
      <c r="B1110" s="59"/>
      <c r="C1110" s="59"/>
      <c r="D1110" s="59"/>
      <c r="E1110" s="59"/>
      <c r="F1110" s="59"/>
      <c r="G1110" s="59"/>
      <c r="H1110" s="59"/>
      <c r="I1110" s="59"/>
      <c r="J1110" s="59"/>
      <c r="K1110" s="59"/>
      <c r="L1110" s="59"/>
      <c r="M1110" s="59"/>
      <c r="N1110" s="59"/>
      <c r="O1110" s="59"/>
      <c r="P1110" s="59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59"/>
      <c r="BR1110" s="59"/>
      <c r="BS1110" s="59"/>
      <c r="BT1110" s="59"/>
      <c r="BU1110" s="59"/>
      <c r="BV1110" s="59"/>
      <c r="BW1110" s="59"/>
      <c r="BX1110" s="59"/>
      <c r="BY1110" s="59"/>
      <c r="BZ1110" s="59"/>
      <c r="CA1110" s="59"/>
      <c r="CB1110" s="59"/>
      <c r="CC1110" s="59"/>
      <c r="CD1110" s="59"/>
      <c r="CE1110" s="59"/>
      <c r="CF1110" s="59"/>
      <c r="CG1110" s="59"/>
      <c r="CH1110" s="59"/>
      <c r="CI1110" s="59"/>
      <c r="CJ1110" s="59"/>
      <c r="CK1110" s="59"/>
      <c r="CL1110" s="59"/>
      <c r="CM1110" s="59"/>
      <c r="CN1110" s="59"/>
      <c r="CO1110" s="59"/>
      <c r="CP1110" s="59"/>
      <c r="CQ1110" s="59"/>
      <c r="CR1110" s="59"/>
      <c r="CS1110" s="59"/>
      <c r="CT1110" s="59"/>
      <c r="CU1110" s="59"/>
      <c r="CV1110" s="59"/>
      <c r="CW1110" s="59"/>
      <c r="CX1110" s="59"/>
      <c r="CY1110" s="59"/>
      <c r="CZ1110" s="59"/>
      <c r="DA1110" s="59"/>
      <c r="DB1110" s="59"/>
      <c r="DC1110" s="59"/>
      <c r="DD1110" s="59"/>
      <c r="DE1110" s="59"/>
      <c r="DF1110" s="59"/>
      <c r="DG1110" s="59"/>
      <c r="DH1110" s="59"/>
      <c r="DI1110" s="59"/>
      <c r="DJ1110" s="59"/>
      <c r="DK1110" s="59"/>
      <c r="DL1110" s="59"/>
      <c r="DM1110" s="59"/>
      <c r="DN1110" s="59"/>
      <c r="DO1110" s="59"/>
      <c r="DP1110" s="59"/>
      <c r="DQ1110" s="59"/>
      <c r="DR1110" s="59"/>
      <c r="DS1110" s="59"/>
      <c r="DT1110" s="59"/>
      <c r="DU1110" s="59"/>
      <c r="DV1110" s="59"/>
      <c r="DW1110" s="59"/>
      <c r="DX1110" s="59"/>
      <c r="DY1110" s="59"/>
      <c r="DZ1110" s="59"/>
      <c r="EA1110" s="59"/>
      <c r="EB1110" s="59"/>
      <c r="EC1110" s="59"/>
      <c r="ED1110" s="59"/>
      <c r="EE1110" s="59"/>
      <c r="EF1110" s="59"/>
      <c r="EG1110" s="59"/>
      <c r="EH1110" s="59"/>
      <c r="EI1110" s="59"/>
      <c r="EJ1110" s="59"/>
      <c r="EK1110" s="59"/>
      <c r="EL1110" s="59"/>
      <c r="EM1110" s="59"/>
      <c r="EN1110" s="59"/>
      <c r="EO1110" s="59"/>
      <c r="EP1110" s="59"/>
      <c r="EQ1110" s="59"/>
      <c r="ER1110" s="59"/>
      <c r="ES1110" s="59"/>
      <c r="ET1110" s="59"/>
      <c r="EU1110" s="59"/>
      <c r="EV1110" s="59"/>
      <c r="EW1110" s="59"/>
      <c r="EX1110" s="59"/>
      <c r="EY1110" s="59"/>
      <c r="EZ1110" s="59"/>
      <c r="FA1110" s="59"/>
      <c r="FB1110" s="59"/>
      <c r="FC1110" s="59"/>
      <c r="FD1110" s="59"/>
      <c r="FE1110" s="59"/>
      <c r="FF1110" s="59"/>
      <c r="FG1110" s="59"/>
      <c r="FH1110" s="59"/>
      <c r="FI1110" s="59"/>
      <c r="FJ1110" s="59"/>
      <c r="FK1110" s="59"/>
      <c r="FL1110" s="59"/>
      <c r="FM1110" s="59"/>
      <c r="FN1110" s="59"/>
      <c r="FO1110" s="59"/>
      <c r="FP1110" s="59"/>
      <c r="FQ1110" s="59"/>
      <c r="FR1110" s="59"/>
      <c r="FS1110" s="59"/>
      <c r="FT1110" s="59"/>
      <c r="FU1110" s="59"/>
      <c r="FV1110" s="59"/>
      <c r="FW1110" s="59"/>
      <c r="FX1110" s="59"/>
      <c r="FY1110" s="59"/>
      <c r="FZ1110" s="59"/>
      <c r="GA1110" s="59"/>
      <c r="GB1110" s="59"/>
      <c r="GC1110" s="59"/>
    </row>
    <row r="1111">
      <c r="A1111" s="59"/>
      <c r="B1111" s="59"/>
      <c r="C1111" s="59"/>
      <c r="D1111" s="59"/>
      <c r="E1111" s="59"/>
      <c r="F1111" s="59"/>
      <c r="G1111" s="59"/>
      <c r="H1111" s="59"/>
      <c r="I1111" s="59"/>
      <c r="J1111" s="59"/>
      <c r="K1111" s="59"/>
      <c r="L1111" s="59"/>
      <c r="M1111" s="59"/>
      <c r="N1111" s="59"/>
      <c r="O1111" s="59"/>
      <c r="P1111" s="59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  <c r="AA1111" s="59"/>
      <c r="AB1111" s="59"/>
      <c r="AC1111" s="59"/>
      <c r="AD1111" s="59"/>
      <c r="AE1111" s="59"/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59"/>
      <c r="BR1111" s="59"/>
      <c r="BS1111" s="59"/>
      <c r="BT1111" s="59"/>
      <c r="BU1111" s="59"/>
      <c r="BV1111" s="59"/>
      <c r="BW1111" s="59"/>
      <c r="BX1111" s="59"/>
      <c r="BY1111" s="59"/>
      <c r="BZ1111" s="59"/>
      <c r="CA1111" s="59"/>
      <c r="CB1111" s="59"/>
      <c r="CC1111" s="59"/>
      <c r="CD1111" s="59"/>
      <c r="CE1111" s="59"/>
      <c r="CF1111" s="59"/>
      <c r="CG1111" s="59"/>
      <c r="CH1111" s="59"/>
      <c r="CI1111" s="59"/>
      <c r="CJ1111" s="59"/>
      <c r="CK1111" s="59"/>
      <c r="CL1111" s="59"/>
      <c r="CM1111" s="59"/>
      <c r="CN1111" s="59"/>
      <c r="CO1111" s="59"/>
      <c r="CP1111" s="59"/>
      <c r="CQ1111" s="59"/>
      <c r="CR1111" s="59"/>
      <c r="CS1111" s="59"/>
      <c r="CT1111" s="59"/>
      <c r="CU1111" s="59"/>
      <c r="CV1111" s="59"/>
      <c r="CW1111" s="59"/>
      <c r="CX1111" s="59"/>
      <c r="CY1111" s="59"/>
      <c r="CZ1111" s="59"/>
      <c r="DA1111" s="59"/>
      <c r="DB1111" s="59"/>
      <c r="DC1111" s="59"/>
      <c r="DD1111" s="59"/>
      <c r="DE1111" s="59"/>
      <c r="DF1111" s="59"/>
      <c r="DG1111" s="59"/>
      <c r="DH1111" s="59"/>
      <c r="DI1111" s="59"/>
      <c r="DJ1111" s="59"/>
      <c r="DK1111" s="59"/>
      <c r="DL1111" s="59"/>
      <c r="DM1111" s="59"/>
      <c r="DN1111" s="59"/>
      <c r="DO1111" s="59"/>
      <c r="DP1111" s="59"/>
      <c r="DQ1111" s="59"/>
      <c r="DR1111" s="59"/>
      <c r="DS1111" s="59"/>
      <c r="DT1111" s="59"/>
      <c r="DU1111" s="59"/>
      <c r="DV1111" s="59"/>
      <c r="DW1111" s="59"/>
      <c r="DX1111" s="59"/>
      <c r="DY1111" s="59"/>
      <c r="DZ1111" s="59"/>
      <c r="EA1111" s="59"/>
      <c r="EB1111" s="59"/>
      <c r="EC1111" s="59"/>
      <c r="ED1111" s="59"/>
      <c r="EE1111" s="59"/>
      <c r="EF1111" s="59"/>
      <c r="EG1111" s="59"/>
      <c r="EH1111" s="59"/>
      <c r="EI1111" s="59"/>
      <c r="EJ1111" s="59"/>
      <c r="EK1111" s="59"/>
      <c r="EL1111" s="59"/>
      <c r="EM1111" s="59"/>
      <c r="EN1111" s="59"/>
      <c r="EO1111" s="59"/>
      <c r="EP1111" s="59"/>
      <c r="EQ1111" s="59"/>
      <c r="ER1111" s="59"/>
      <c r="ES1111" s="59"/>
      <c r="ET1111" s="59"/>
      <c r="EU1111" s="59"/>
      <c r="EV1111" s="59"/>
      <c r="EW1111" s="59"/>
      <c r="EX1111" s="59"/>
      <c r="EY1111" s="59"/>
      <c r="EZ1111" s="59"/>
      <c r="FA1111" s="59"/>
      <c r="FB1111" s="59"/>
      <c r="FC1111" s="59"/>
      <c r="FD1111" s="59"/>
      <c r="FE1111" s="59"/>
      <c r="FF1111" s="59"/>
      <c r="FG1111" s="59"/>
      <c r="FH1111" s="59"/>
      <c r="FI1111" s="59"/>
      <c r="FJ1111" s="59"/>
      <c r="FK1111" s="59"/>
      <c r="FL1111" s="59"/>
      <c r="FM1111" s="59"/>
      <c r="FN1111" s="59"/>
      <c r="FO1111" s="59"/>
      <c r="FP1111" s="59"/>
      <c r="FQ1111" s="59"/>
      <c r="FR1111" s="59"/>
      <c r="FS1111" s="59"/>
      <c r="FT1111" s="59"/>
      <c r="FU1111" s="59"/>
      <c r="FV1111" s="59"/>
      <c r="FW1111" s="59"/>
      <c r="FX1111" s="59"/>
      <c r="FY1111" s="59"/>
      <c r="FZ1111" s="59"/>
      <c r="GA1111" s="59"/>
      <c r="GB1111" s="59"/>
      <c r="GC1111" s="59"/>
    </row>
    <row r="1112">
      <c r="A1112" s="59"/>
      <c r="B1112" s="59"/>
      <c r="C1112" s="59"/>
      <c r="D1112" s="59"/>
      <c r="E1112" s="59"/>
      <c r="F1112" s="59"/>
      <c r="G1112" s="59"/>
      <c r="H1112" s="59"/>
      <c r="I1112" s="59"/>
      <c r="J1112" s="59"/>
      <c r="K1112" s="59"/>
      <c r="L1112" s="59"/>
      <c r="M1112" s="59"/>
      <c r="N1112" s="59"/>
      <c r="O1112" s="59"/>
      <c r="P1112" s="59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59"/>
      <c r="BR1112" s="59"/>
      <c r="BS1112" s="59"/>
      <c r="BT1112" s="59"/>
      <c r="BU1112" s="59"/>
      <c r="BV1112" s="59"/>
      <c r="BW1112" s="59"/>
      <c r="BX1112" s="59"/>
      <c r="BY1112" s="59"/>
      <c r="BZ1112" s="59"/>
      <c r="CA1112" s="59"/>
      <c r="CB1112" s="59"/>
      <c r="CC1112" s="59"/>
      <c r="CD1112" s="59"/>
      <c r="CE1112" s="59"/>
      <c r="CF1112" s="59"/>
      <c r="CG1112" s="59"/>
      <c r="CH1112" s="59"/>
      <c r="CI1112" s="59"/>
      <c r="CJ1112" s="59"/>
      <c r="CK1112" s="59"/>
      <c r="CL1112" s="59"/>
      <c r="CM1112" s="59"/>
      <c r="CN1112" s="59"/>
      <c r="CO1112" s="59"/>
      <c r="CP1112" s="59"/>
      <c r="CQ1112" s="59"/>
      <c r="CR1112" s="59"/>
      <c r="CS1112" s="59"/>
      <c r="CT1112" s="59"/>
      <c r="CU1112" s="59"/>
      <c r="CV1112" s="59"/>
      <c r="CW1112" s="59"/>
      <c r="CX1112" s="59"/>
      <c r="CY1112" s="59"/>
      <c r="CZ1112" s="59"/>
      <c r="DA1112" s="59"/>
      <c r="DB1112" s="59"/>
      <c r="DC1112" s="59"/>
      <c r="DD1112" s="59"/>
      <c r="DE1112" s="59"/>
      <c r="DF1112" s="59"/>
      <c r="DG1112" s="59"/>
      <c r="DH1112" s="59"/>
      <c r="DI1112" s="59"/>
      <c r="DJ1112" s="59"/>
      <c r="DK1112" s="59"/>
      <c r="DL1112" s="59"/>
      <c r="DM1112" s="59"/>
      <c r="DN1112" s="59"/>
      <c r="DO1112" s="59"/>
      <c r="DP1112" s="59"/>
      <c r="DQ1112" s="59"/>
      <c r="DR1112" s="59"/>
      <c r="DS1112" s="59"/>
      <c r="DT1112" s="59"/>
      <c r="DU1112" s="59"/>
      <c r="DV1112" s="59"/>
      <c r="DW1112" s="59"/>
      <c r="DX1112" s="59"/>
      <c r="DY1112" s="59"/>
      <c r="DZ1112" s="59"/>
      <c r="EA1112" s="59"/>
      <c r="EB1112" s="59"/>
      <c r="EC1112" s="59"/>
      <c r="ED1112" s="59"/>
      <c r="EE1112" s="59"/>
      <c r="EF1112" s="59"/>
      <c r="EG1112" s="59"/>
      <c r="EH1112" s="59"/>
      <c r="EI1112" s="59"/>
      <c r="EJ1112" s="59"/>
      <c r="EK1112" s="59"/>
      <c r="EL1112" s="59"/>
      <c r="EM1112" s="59"/>
      <c r="EN1112" s="59"/>
      <c r="EO1112" s="59"/>
      <c r="EP1112" s="59"/>
      <c r="EQ1112" s="59"/>
      <c r="ER1112" s="59"/>
      <c r="ES1112" s="59"/>
      <c r="ET1112" s="59"/>
      <c r="EU1112" s="59"/>
      <c r="EV1112" s="59"/>
      <c r="EW1112" s="59"/>
      <c r="EX1112" s="59"/>
      <c r="EY1112" s="59"/>
      <c r="EZ1112" s="59"/>
      <c r="FA1112" s="59"/>
      <c r="FB1112" s="59"/>
      <c r="FC1112" s="59"/>
      <c r="FD1112" s="59"/>
      <c r="FE1112" s="59"/>
      <c r="FF1112" s="59"/>
      <c r="FG1112" s="59"/>
      <c r="FH1112" s="59"/>
      <c r="FI1112" s="59"/>
      <c r="FJ1112" s="59"/>
      <c r="FK1112" s="59"/>
      <c r="FL1112" s="59"/>
      <c r="FM1112" s="59"/>
      <c r="FN1112" s="59"/>
      <c r="FO1112" s="59"/>
      <c r="FP1112" s="59"/>
      <c r="FQ1112" s="59"/>
      <c r="FR1112" s="59"/>
      <c r="FS1112" s="59"/>
      <c r="FT1112" s="59"/>
      <c r="FU1112" s="59"/>
      <c r="FV1112" s="59"/>
      <c r="FW1112" s="59"/>
      <c r="FX1112" s="59"/>
      <c r="FY1112" s="59"/>
      <c r="FZ1112" s="59"/>
      <c r="GA1112" s="59"/>
      <c r="GB1112" s="59"/>
      <c r="GC1112" s="59"/>
    </row>
    <row r="1113">
      <c r="A1113" s="59"/>
      <c r="B1113" s="59"/>
      <c r="C1113" s="59"/>
      <c r="D1113" s="59"/>
      <c r="E1113" s="59"/>
      <c r="F1113" s="59"/>
      <c r="G1113" s="59"/>
      <c r="H1113" s="59"/>
      <c r="I1113" s="59"/>
      <c r="J1113" s="59"/>
      <c r="K1113" s="59"/>
      <c r="L1113" s="59"/>
      <c r="M1113" s="59"/>
      <c r="N1113" s="59"/>
      <c r="O1113" s="59"/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59"/>
      <c r="BR1113" s="59"/>
      <c r="BS1113" s="59"/>
      <c r="BT1113" s="59"/>
      <c r="BU1113" s="59"/>
      <c r="BV1113" s="59"/>
      <c r="BW1113" s="59"/>
      <c r="BX1113" s="59"/>
      <c r="BY1113" s="59"/>
      <c r="BZ1113" s="59"/>
      <c r="CA1113" s="59"/>
      <c r="CB1113" s="59"/>
      <c r="CC1113" s="59"/>
      <c r="CD1113" s="59"/>
      <c r="CE1113" s="59"/>
      <c r="CF1113" s="59"/>
      <c r="CG1113" s="59"/>
      <c r="CH1113" s="59"/>
      <c r="CI1113" s="59"/>
      <c r="CJ1113" s="59"/>
      <c r="CK1113" s="59"/>
      <c r="CL1113" s="59"/>
      <c r="CM1113" s="59"/>
      <c r="CN1113" s="59"/>
      <c r="CO1113" s="59"/>
      <c r="CP1113" s="59"/>
      <c r="CQ1113" s="59"/>
      <c r="CR1113" s="59"/>
      <c r="CS1113" s="59"/>
      <c r="CT1113" s="59"/>
      <c r="CU1113" s="59"/>
      <c r="CV1113" s="59"/>
      <c r="CW1113" s="59"/>
      <c r="CX1113" s="59"/>
      <c r="CY1113" s="59"/>
      <c r="CZ1113" s="59"/>
      <c r="DA1113" s="59"/>
      <c r="DB1113" s="59"/>
      <c r="DC1113" s="59"/>
      <c r="DD1113" s="59"/>
      <c r="DE1113" s="59"/>
      <c r="DF1113" s="59"/>
      <c r="DG1113" s="59"/>
      <c r="DH1113" s="59"/>
      <c r="DI1113" s="59"/>
      <c r="DJ1113" s="59"/>
      <c r="DK1113" s="59"/>
      <c r="DL1113" s="59"/>
      <c r="DM1113" s="59"/>
      <c r="DN1113" s="59"/>
      <c r="DO1113" s="59"/>
      <c r="DP1113" s="59"/>
      <c r="DQ1113" s="59"/>
      <c r="DR1113" s="59"/>
      <c r="DS1113" s="59"/>
      <c r="DT1113" s="59"/>
      <c r="DU1113" s="59"/>
      <c r="DV1113" s="59"/>
      <c r="DW1113" s="59"/>
      <c r="DX1113" s="59"/>
      <c r="DY1113" s="59"/>
      <c r="DZ1113" s="59"/>
      <c r="EA1113" s="59"/>
      <c r="EB1113" s="59"/>
      <c r="EC1113" s="59"/>
      <c r="ED1113" s="59"/>
      <c r="EE1113" s="59"/>
      <c r="EF1113" s="59"/>
      <c r="EG1113" s="59"/>
      <c r="EH1113" s="59"/>
      <c r="EI1113" s="59"/>
      <c r="EJ1113" s="59"/>
      <c r="EK1113" s="59"/>
      <c r="EL1113" s="59"/>
      <c r="EM1113" s="59"/>
      <c r="EN1113" s="59"/>
      <c r="EO1113" s="59"/>
      <c r="EP1113" s="59"/>
      <c r="EQ1113" s="59"/>
      <c r="ER1113" s="59"/>
      <c r="ES1113" s="59"/>
      <c r="ET1113" s="59"/>
      <c r="EU1113" s="59"/>
      <c r="EV1113" s="59"/>
      <c r="EW1113" s="59"/>
      <c r="EX1113" s="59"/>
      <c r="EY1113" s="59"/>
      <c r="EZ1113" s="59"/>
      <c r="FA1113" s="59"/>
      <c r="FB1113" s="59"/>
      <c r="FC1113" s="59"/>
      <c r="FD1113" s="59"/>
      <c r="FE1113" s="59"/>
      <c r="FF1113" s="59"/>
      <c r="FG1113" s="59"/>
      <c r="FH1113" s="59"/>
      <c r="FI1113" s="59"/>
      <c r="FJ1113" s="59"/>
      <c r="FK1113" s="59"/>
      <c r="FL1113" s="59"/>
      <c r="FM1113" s="59"/>
      <c r="FN1113" s="59"/>
      <c r="FO1113" s="59"/>
      <c r="FP1113" s="59"/>
      <c r="FQ1113" s="59"/>
      <c r="FR1113" s="59"/>
      <c r="FS1113" s="59"/>
      <c r="FT1113" s="59"/>
      <c r="FU1113" s="59"/>
      <c r="FV1113" s="59"/>
      <c r="FW1113" s="59"/>
      <c r="FX1113" s="59"/>
      <c r="FY1113" s="59"/>
      <c r="FZ1113" s="59"/>
      <c r="GA1113" s="59"/>
      <c r="GB1113" s="59"/>
      <c r="GC1113" s="59"/>
    </row>
    <row r="1114">
      <c r="A1114" s="59"/>
      <c r="B1114" s="59"/>
      <c r="C1114" s="59"/>
      <c r="D1114" s="59"/>
      <c r="E1114" s="59"/>
      <c r="F1114" s="59"/>
      <c r="G1114" s="59"/>
      <c r="H1114" s="59"/>
      <c r="I1114" s="59"/>
      <c r="J1114" s="59"/>
      <c r="K1114" s="59"/>
      <c r="L1114" s="59"/>
      <c r="M1114" s="59"/>
      <c r="N1114" s="59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59"/>
      <c r="BR1114" s="59"/>
      <c r="BS1114" s="59"/>
      <c r="BT1114" s="59"/>
      <c r="BU1114" s="59"/>
      <c r="BV1114" s="59"/>
      <c r="BW1114" s="59"/>
      <c r="BX1114" s="59"/>
      <c r="BY1114" s="59"/>
      <c r="BZ1114" s="59"/>
      <c r="CA1114" s="59"/>
      <c r="CB1114" s="59"/>
      <c r="CC1114" s="59"/>
      <c r="CD1114" s="59"/>
      <c r="CE1114" s="59"/>
      <c r="CF1114" s="59"/>
      <c r="CG1114" s="59"/>
      <c r="CH1114" s="59"/>
      <c r="CI1114" s="59"/>
      <c r="CJ1114" s="59"/>
      <c r="CK1114" s="59"/>
      <c r="CL1114" s="59"/>
      <c r="CM1114" s="59"/>
      <c r="CN1114" s="59"/>
      <c r="CO1114" s="59"/>
      <c r="CP1114" s="59"/>
      <c r="CQ1114" s="59"/>
      <c r="CR1114" s="59"/>
      <c r="CS1114" s="59"/>
      <c r="CT1114" s="59"/>
      <c r="CU1114" s="59"/>
      <c r="CV1114" s="59"/>
      <c r="CW1114" s="59"/>
      <c r="CX1114" s="59"/>
      <c r="CY1114" s="59"/>
      <c r="CZ1114" s="59"/>
      <c r="DA1114" s="59"/>
      <c r="DB1114" s="59"/>
      <c r="DC1114" s="59"/>
      <c r="DD1114" s="59"/>
      <c r="DE1114" s="59"/>
      <c r="DF1114" s="59"/>
      <c r="DG1114" s="59"/>
      <c r="DH1114" s="59"/>
      <c r="DI1114" s="59"/>
      <c r="DJ1114" s="59"/>
      <c r="DK1114" s="59"/>
      <c r="DL1114" s="59"/>
      <c r="DM1114" s="59"/>
      <c r="DN1114" s="59"/>
      <c r="DO1114" s="59"/>
      <c r="DP1114" s="59"/>
      <c r="DQ1114" s="59"/>
      <c r="DR1114" s="59"/>
      <c r="DS1114" s="59"/>
      <c r="DT1114" s="59"/>
      <c r="DU1114" s="59"/>
      <c r="DV1114" s="59"/>
      <c r="DW1114" s="59"/>
      <c r="DX1114" s="59"/>
      <c r="DY1114" s="59"/>
      <c r="DZ1114" s="59"/>
      <c r="EA1114" s="59"/>
      <c r="EB1114" s="59"/>
      <c r="EC1114" s="59"/>
      <c r="ED1114" s="59"/>
      <c r="EE1114" s="59"/>
      <c r="EF1114" s="59"/>
      <c r="EG1114" s="59"/>
      <c r="EH1114" s="59"/>
      <c r="EI1114" s="59"/>
      <c r="EJ1114" s="59"/>
      <c r="EK1114" s="59"/>
      <c r="EL1114" s="59"/>
      <c r="EM1114" s="59"/>
      <c r="EN1114" s="59"/>
      <c r="EO1114" s="59"/>
      <c r="EP1114" s="59"/>
      <c r="EQ1114" s="59"/>
      <c r="ER1114" s="59"/>
      <c r="ES1114" s="59"/>
      <c r="ET1114" s="59"/>
      <c r="EU1114" s="59"/>
      <c r="EV1114" s="59"/>
      <c r="EW1114" s="59"/>
      <c r="EX1114" s="59"/>
      <c r="EY1114" s="59"/>
      <c r="EZ1114" s="59"/>
      <c r="FA1114" s="59"/>
      <c r="FB1114" s="59"/>
      <c r="FC1114" s="59"/>
      <c r="FD1114" s="59"/>
      <c r="FE1114" s="59"/>
      <c r="FF1114" s="59"/>
      <c r="FG1114" s="59"/>
      <c r="FH1114" s="59"/>
      <c r="FI1114" s="59"/>
      <c r="FJ1114" s="59"/>
      <c r="FK1114" s="59"/>
      <c r="FL1114" s="59"/>
      <c r="FM1114" s="59"/>
      <c r="FN1114" s="59"/>
      <c r="FO1114" s="59"/>
      <c r="FP1114" s="59"/>
      <c r="FQ1114" s="59"/>
      <c r="FR1114" s="59"/>
      <c r="FS1114" s="59"/>
      <c r="FT1114" s="59"/>
      <c r="FU1114" s="59"/>
      <c r="FV1114" s="59"/>
      <c r="FW1114" s="59"/>
      <c r="FX1114" s="59"/>
      <c r="FY1114" s="59"/>
      <c r="FZ1114" s="59"/>
      <c r="GA1114" s="59"/>
      <c r="GB1114" s="59"/>
      <c r="GC1114" s="59"/>
    </row>
    <row r="1115">
      <c r="A1115" s="59"/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59"/>
      <c r="N1115" s="59"/>
      <c r="O1115" s="59"/>
      <c r="P1115" s="59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59"/>
      <c r="BR1115" s="59"/>
      <c r="BS1115" s="59"/>
      <c r="BT1115" s="59"/>
      <c r="BU1115" s="59"/>
      <c r="BV1115" s="59"/>
      <c r="BW1115" s="59"/>
      <c r="BX1115" s="59"/>
      <c r="BY1115" s="59"/>
      <c r="BZ1115" s="59"/>
      <c r="CA1115" s="59"/>
      <c r="CB1115" s="59"/>
      <c r="CC1115" s="59"/>
      <c r="CD1115" s="59"/>
      <c r="CE1115" s="59"/>
      <c r="CF1115" s="59"/>
      <c r="CG1115" s="59"/>
      <c r="CH1115" s="59"/>
      <c r="CI1115" s="59"/>
      <c r="CJ1115" s="59"/>
      <c r="CK1115" s="59"/>
      <c r="CL1115" s="59"/>
      <c r="CM1115" s="59"/>
      <c r="CN1115" s="59"/>
      <c r="CO1115" s="59"/>
      <c r="CP1115" s="59"/>
      <c r="CQ1115" s="59"/>
      <c r="CR1115" s="59"/>
      <c r="CS1115" s="59"/>
      <c r="CT1115" s="59"/>
      <c r="CU1115" s="59"/>
      <c r="CV1115" s="59"/>
      <c r="CW1115" s="59"/>
      <c r="CX1115" s="59"/>
      <c r="CY1115" s="59"/>
      <c r="CZ1115" s="59"/>
      <c r="DA1115" s="59"/>
      <c r="DB1115" s="59"/>
      <c r="DC1115" s="59"/>
      <c r="DD1115" s="59"/>
      <c r="DE1115" s="59"/>
      <c r="DF1115" s="59"/>
      <c r="DG1115" s="59"/>
      <c r="DH1115" s="59"/>
      <c r="DI1115" s="59"/>
      <c r="DJ1115" s="59"/>
      <c r="DK1115" s="59"/>
      <c r="DL1115" s="59"/>
      <c r="DM1115" s="59"/>
      <c r="DN1115" s="59"/>
      <c r="DO1115" s="59"/>
      <c r="DP1115" s="59"/>
      <c r="DQ1115" s="59"/>
      <c r="DR1115" s="59"/>
      <c r="DS1115" s="59"/>
      <c r="DT1115" s="59"/>
      <c r="DU1115" s="59"/>
      <c r="DV1115" s="59"/>
      <c r="DW1115" s="59"/>
      <c r="DX1115" s="59"/>
      <c r="DY1115" s="59"/>
      <c r="DZ1115" s="59"/>
      <c r="EA1115" s="59"/>
      <c r="EB1115" s="59"/>
      <c r="EC1115" s="59"/>
      <c r="ED1115" s="59"/>
      <c r="EE1115" s="59"/>
      <c r="EF1115" s="59"/>
      <c r="EG1115" s="59"/>
      <c r="EH1115" s="59"/>
      <c r="EI1115" s="59"/>
      <c r="EJ1115" s="59"/>
      <c r="EK1115" s="59"/>
      <c r="EL1115" s="59"/>
      <c r="EM1115" s="59"/>
      <c r="EN1115" s="59"/>
      <c r="EO1115" s="59"/>
      <c r="EP1115" s="59"/>
      <c r="EQ1115" s="59"/>
      <c r="ER1115" s="59"/>
      <c r="ES1115" s="59"/>
      <c r="ET1115" s="59"/>
      <c r="EU1115" s="59"/>
      <c r="EV1115" s="59"/>
      <c r="EW1115" s="59"/>
      <c r="EX1115" s="59"/>
      <c r="EY1115" s="59"/>
      <c r="EZ1115" s="59"/>
      <c r="FA1115" s="59"/>
      <c r="FB1115" s="59"/>
      <c r="FC1115" s="59"/>
      <c r="FD1115" s="59"/>
      <c r="FE1115" s="59"/>
      <c r="FF1115" s="59"/>
      <c r="FG1115" s="59"/>
      <c r="FH1115" s="59"/>
      <c r="FI1115" s="59"/>
      <c r="FJ1115" s="59"/>
      <c r="FK1115" s="59"/>
      <c r="FL1115" s="59"/>
      <c r="FM1115" s="59"/>
      <c r="FN1115" s="59"/>
      <c r="FO1115" s="59"/>
      <c r="FP1115" s="59"/>
      <c r="FQ1115" s="59"/>
      <c r="FR1115" s="59"/>
      <c r="FS1115" s="59"/>
      <c r="FT1115" s="59"/>
      <c r="FU1115" s="59"/>
      <c r="FV1115" s="59"/>
      <c r="FW1115" s="59"/>
      <c r="FX1115" s="59"/>
      <c r="FY1115" s="59"/>
      <c r="FZ1115" s="59"/>
      <c r="GA1115" s="59"/>
      <c r="GB1115" s="59"/>
      <c r="GC1115" s="59"/>
    </row>
    <row r="1116">
      <c r="A1116" s="59"/>
      <c r="B1116" s="59"/>
      <c r="C1116" s="59"/>
      <c r="D1116" s="59"/>
      <c r="E1116" s="59"/>
      <c r="F1116" s="59"/>
      <c r="G1116" s="59"/>
      <c r="H1116" s="59"/>
      <c r="I1116" s="59"/>
      <c r="J1116" s="59"/>
      <c r="K1116" s="59"/>
      <c r="L1116" s="59"/>
      <c r="M1116" s="59"/>
      <c r="N1116" s="59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59"/>
      <c r="BR1116" s="59"/>
      <c r="BS1116" s="59"/>
      <c r="BT1116" s="59"/>
      <c r="BU1116" s="59"/>
      <c r="BV1116" s="59"/>
      <c r="BW1116" s="59"/>
      <c r="BX1116" s="59"/>
      <c r="BY1116" s="59"/>
      <c r="BZ1116" s="59"/>
      <c r="CA1116" s="59"/>
      <c r="CB1116" s="59"/>
      <c r="CC1116" s="59"/>
      <c r="CD1116" s="59"/>
      <c r="CE1116" s="59"/>
      <c r="CF1116" s="59"/>
      <c r="CG1116" s="59"/>
      <c r="CH1116" s="59"/>
      <c r="CI1116" s="59"/>
      <c r="CJ1116" s="59"/>
      <c r="CK1116" s="59"/>
      <c r="CL1116" s="59"/>
      <c r="CM1116" s="59"/>
      <c r="CN1116" s="59"/>
      <c r="CO1116" s="59"/>
      <c r="CP1116" s="59"/>
      <c r="CQ1116" s="59"/>
      <c r="CR1116" s="59"/>
      <c r="CS1116" s="59"/>
      <c r="CT1116" s="59"/>
      <c r="CU1116" s="59"/>
      <c r="CV1116" s="59"/>
      <c r="CW1116" s="59"/>
      <c r="CX1116" s="59"/>
      <c r="CY1116" s="59"/>
      <c r="CZ1116" s="59"/>
      <c r="DA1116" s="59"/>
      <c r="DB1116" s="59"/>
      <c r="DC1116" s="59"/>
      <c r="DD1116" s="59"/>
      <c r="DE1116" s="59"/>
      <c r="DF1116" s="59"/>
      <c r="DG1116" s="59"/>
      <c r="DH1116" s="59"/>
      <c r="DI1116" s="59"/>
      <c r="DJ1116" s="59"/>
      <c r="DK1116" s="59"/>
      <c r="DL1116" s="59"/>
      <c r="DM1116" s="59"/>
      <c r="DN1116" s="59"/>
      <c r="DO1116" s="59"/>
      <c r="DP1116" s="59"/>
      <c r="DQ1116" s="59"/>
      <c r="DR1116" s="59"/>
      <c r="DS1116" s="59"/>
      <c r="DT1116" s="59"/>
      <c r="DU1116" s="59"/>
      <c r="DV1116" s="59"/>
      <c r="DW1116" s="59"/>
      <c r="DX1116" s="59"/>
      <c r="DY1116" s="59"/>
      <c r="DZ1116" s="59"/>
      <c r="EA1116" s="59"/>
      <c r="EB1116" s="59"/>
      <c r="EC1116" s="59"/>
      <c r="ED1116" s="59"/>
      <c r="EE1116" s="59"/>
      <c r="EF1116" s="59"/>
      <c r="EG1116" s="59"/>
      <c r="EH1116" s="59"/>
      <c r="EI1116" s="59"/>
      <c r="EJ1116" s="59"/>
      <c r="EK1116" s="59"/>
      <c r="EL1116" s="59"/>
      <c r="EM1116" s="59"/>
      <c r="EN1116" s="59"/>
      <c r="EO1116" s="59"/>
      <c r="EP1116" s="59"/>
      <c r="EQ1116" s="59"/>
      <c r="ER1116" s="59"/>
      <c r="ES1116" s="59"/>
      <c r="ET1116" s="59"/>
      <c r="EU1116" s="59"/>
      <c r="EV1116" s="59"/>
      <c r="EW1116" s="59"/>
      <c r="EX1116" s="59"/>
      <c r="EY1116" s="59"/>
      <c r="EZ1116" s="59"/>
      <c r="FA1116" s="59"/>
      <c r="FB1116" s="59"/>
      <c r="FC1116" s="59"/>
      <c r="FD1116" s="59"/>
      <c r="FE1116" s="59"/>
      <c r="FF1116" s="59"/>
      <c r="FG1116" s="59"/>
      <c r="FH1116" s="59"/>
      <c r="FI1116" s="59"/>
      <c r="FJ1116" s="59"/>
      <c r="FK1116" s="59"/>
      <c r="FL1116" s="59"/>
      <c r="FM1116" s="59"/>
      <c r="FN1116" s="59"/>
      <c r="FO1116" s="59"/>
      <c r="FP1116" s="59"/>
      <c r="FQ1116" s="59"/>
      <c r="FR1116" s="59"/>
      <c r="FS1116" s="59"/>
      <c r="FT1116" s="59"/>
      <c r="FU1116" s="59"/>
      <c r="FV1116" s="59"/>
      <c r="FW1116" s="59"/>
      <c r="FX1116" s="59"/>
      <c r="FY1116" s="59"/>
      <c r="FZ1116" s="59"/>
      <c r="GA1116" s="59"/>
      <c r="GB1116" s="59"/>
      <c r="GC1116" s="59"/>
    </row>
    <row r="1117">
      <c r="A1117" s="59"/>
      <c r="B1117" s="59"/>
      <c r="C1117" s="59"/>
      <c r="D1117" s="59"/>
      <c r="E1117" s="59"/>
      <c r="F1117" s="59"/>
      <c r="G1117" s="59"/>
      <c r="H1117" s="59"/>
      <c r="I1117" s="59"/>
      <c r="J1117" s="59"/>
      <c r="K1117" s="59"/>
      <c r="L1117" s="59"/>
      <c r="M1117" s="59"/>
      <c r="N1117" s="59"/>
      <c r="O1117" s="59"/>
      <c r="P1117" s="59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  <c r="AD1117" s="59"/>
      <c r="AE1117" s="59"/>
      <c r="AF1117" s="59"/>
      <c r="AG1117" s="59"/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59"/>
      <c r="BR1117" s="59"/>
      <c r="BS1117" s="59"/>
      <c r="BT1117" s="59"/>
      <c r="BU1117" s="59"/>
      <c r="BV1117" s="59"/>
      <c r="BW1117" s="59"/>
      <c r="BX1117" s="59"/>
      <c r="BY1117" s="59"/>
      <c r="BZ1117" s="59"/>
      <c r="CA1117" s="59"/>
      <c r="CB1117" s="59"/>
      <c r="CC1117" s="59"/>
      <c r="CD1117" s="59"/>
      <c r="CE1117" s="59"/>
      <c r="CF1117" s="59"/>
      <c r="CG1117" s="59"/>
      <c r="CH1117" s="59"/>
      <c r="CI1117" s="59"/>
      <c r="CJ1117" s="59"/>
      <c r="CK1117" s="59"/>
      <c r="CL1117" s="59"/>
      <c r="CM1117" s="59"/>
      <c r="CN1117" s="59"/>
      <c r="CO1117" s="59"/>
      <c r="CP1117" s="59"/>
      <c r="CQ1117" s="59"/>
      <c r="CR1117" s="59"/>
      <c r="CS1117" s="59"/>
      <c r="CT1117" s="59"/>
      <c r="CU1117" s="59"/>
      <c r="CV1117" s="59"/>
      <c r="CW1117" s="59"/>
      <c r="CX1117" s="59"/>
      <c r="CY1117" s="59"/>
      <c r="CZ1117" s="59"/>
      <c r="DA1117" s="59"/>
      <c r="DB1117" s="59"/>
      <c r="DC1117" s="59"/>
      <c r="DD1117" s="59"/>
      <c r="DE1117" s="59"/>
      <c r="DF1117" s="59"/>
      <c r="DG1117" s="59"/>
      <c r="DH1117" s="59"/>
      <c r="DI1117" s="59"/>
      <c r="DJ1117" s="59"/>
      <c r="DK1117" s="59"/>
      <c r="DL1117" s="59"/>
      <c r="DM1117" s="59"/>
      <c r="DN1117" s="59"/>
      <c r="DO1117" s="59"/>
      <c r="DP1117" s="59"/>
      <c r="DQ1117" s="59"/>
      <c r="DR1117" s="59"/>
      <c r="DS1117" s="59"/>
      <c r="DT1117" s="59"/>
      <c r="DU1117" s="59"/>
      <c r="DV1117" s="59"/>
      <c r="DW1117" s="59"/>
      <c r="DX1117" s="59"/>
      <c r="DY1117" s="59"/>
      <c r="DZ1117" s="59"/>
      <c r="EA1117" s="59"/>
      <c r="EB1117" s="59"/>
      <c r="EC1117" s="59"/>
      <c r="ED1117" s="59"/>
      <c r="EE1117" s="59"/>
      <c r="EF1117" s="59"/>
      <c r="EG1117" s="59"/>
      <c r="EH1117" s="59"/>
      <c r="EI1117" s="59"/>
      <c r="EJ1117" s="59"/>
      <c r="EK1117" s="59"/>
      <c r="EL1117" s="59"/>
      <c r="EM1117" s="59"/>
      <c r="EN1117" s="59"/>
      <c r="EO1117" s="59"/>
      <c r="EP1117" s="59"/>
      <c r="EQ1117" s="59"/>
      <c r="ER1117" s="59"/>
      <c r="ES1117" s="59"/>
      <c r="ET1117" s="59"/>
      <c r="EU1117" s="59"/>
      <c r="EV1117" s="59"/>
      <c r="EW1117" s="59"/>
      <c r="EX1117" s="59"/>
      <c r="EY1117" s="59"/>
      <c r="EZ1117" s="59"/>
      <c r="FA1117" s="59"/>
      <c r="FB1117" s="59"/>
      <c r="FC1117" s="59"/>
      <c r="FD1117" s="59"/>
      <c r="FE1117" s="59"/>
      <c r="FF1117" s="59"/>
      <c r="FG1117" s="59"/>
      <c r="FH1117" s="59"/>
      <c r="FI1117" s="59"/>
      <c r="FJ1117" s="59"/>
      <c r="FK1117" s="59"/>
      <c r="FL1117" s="59"/>
      <c r="FM1117" s="59"/>
      <c r="FN1117" s="59"/>
      <c r="FO1117" s="59"/>
      <c r="FP1117" s="59"/>
      <c r="FQ1117" s="59"/>
      <c r="FR1117" s="59"/>
      <c r="FS1117" s="59"/>
      <c r="FT1117" s="59"/>
      <c r="FU1117" s="59"/>
      <c r="FV1117" s="59"/>
      <c r="FW1117" s="59"/>
      <c r="FX1117" s="59"/>
      <c r="FY1117" s="59"/>
      <c r="FZ1117" s="59"/>
      <c r="GA1117" s="59"/>
      <c r="GB1117" s="59"/>
      <c r="GC1117" s="59"/>
    </row>
    <row r="1118">
      <c r="A1118" s="59"/>
      <c r="B1118" s="59"/>
      <c r="C1118" s="59"/>
      <c r="D1118" s="59"/>
      <c r="E1118" s="59"/>
      <c r="F1118" s="59"/>
      <c r="G1118" s="59"/>
      <c r="H1118" s="59"/>
      <c r="I1118" s="59"/>
      <c r="J1118" s="59"/>
      <c r="K1118" s="59"/>
      <c r="L1118" s="59"/>
      <c r="M1118" s="59"/>
      <c r="N1118" s="59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59"/>
      <c r="BR1118" s="59"/>
      <c r="BS1118" s="59"/>
      <c r="BT1118" s="59"/>
      <c r="BU1118" s="59"/>
      <c r="BV1118" s="59"/>
      <c r="BW1118" s="59"/>
      <c r="BX1118" s="59"/>
      <c r="BY1118" s="59"/>
      <c r="BZ1118" s="59"/>
      <c r="CA1118" s="59"/>
      <c r="CB1118" s="59"/>
      <c r="CC1118" s="59"/>
      <c r="CD1118" s="59"/>
      <c r="CE1118" s="59"/>
      <c r="CF1118" s="59"/>
      <c r="CG1118" s="59"/>
      <c r="CH1118" s="59"/>
      <c r="CI1118" s="59"/>
      <c r="CJ1118" s="59"/>
      <c r="CK1118" s="59"/>
      <c r="CL1118" s="59"/>
      <c r="CM1118" s="59"/>
      <c r="CN1118" s="59"/>
      <c r="CO1118" s="59"/>
      <c r="CP1118" s="59"/>
      <c r="CQ1118" s="59"/>
      <c r="CR1118" s="59"/>
      <c r="CS1118" s="59"/>
      <c r="CT1118" s="59"/>
      <c r="CU1118" s="59"/>
      <c r="CV1118" s="59"/>
      <c r="CW1118" s="59"/>
      <c r="CX1118" s="59"/>
      <c r="CY1118" s="59"/>
      <c r="CZ1118" s="59"/>
      <c r="DA1118" s="59"/>
      <c r="DB1118" s="59"/>
      <c r="DC1118" s="59"/>
      <c r="DD1118" s="59"/>
      <c r="DE1118" s="59"/>
      <c r="DF1118" s="59"/>
      <c r="DG1118" s="59"/>
      <c r="DH1118" s="59"/>
      <c r="DI1118" s="59"/>
      <c r="DJ1118" s="59"/>
      <c r="DK1118" s="59"/>
      <c r="DL1118" s="59"/>
      <c r="DM1118" s="59"/>
      <c r="DN1118" s="59"/>
      <c r="DO1118" s="59"/>
      <c r="DP1118" s="59"/>
      <c r="DQ1118" s="59"/>
      <c r="DR1118" s="59"/>
      <c r="DS1118" s="59"/>
      <c r="DT1118" s="59"/>
      <c r="DU1118" s="59"/>
      <c r="DV1118" s="59"/>
      <c r="DW1118" s="59"/>
      <c r="DX1118" s="59"/>
      <c r="DY1118" s="59"/>
      <c r="DZ1118" s="59"/>
      <c r="EA1118" s="59"/>
      <c r="EB1118" s="59"/>
      <c r="EC1118" s="59"/>
      <c r="ED1118" s="59"/>
      <c r="EE1118" s="59"/>
      <c r="EF1118" s="59"/>
      <c r="EG1118" s="59"/>
      <c r="EH1118" s="59"/>
      <c r="EI1118" s="59"/>
      <c r="EJ1118" s="59"/>
      <c r="EK1118" s="59"/>
      <c r="EL1118" s="59"/>
      <c r="EM1118" s="59"/>
      <c r="EN1118" s="59"/>
      <c r="EO1118" s="59"/>
      <c r="EP1118" s="59"/>
      <c r="EQ1118" s="59"/>
      <c r="ER1118" s="59"/>
      <c r="ES1118" s="59"/>
      <c r="ET1118" s="59"/>
      <c r="EU1118" s="59"/>
      <c r="EV1118" s="59"/>
      <c r="EW1118" s="59"/>
      <c r="EX1118" s="59"/>
      <c r="EY1118" s="59"/>
      <c r="EZ1118" s="59"/>
      <c r="FA1118" s="59"/>
      <c r="FB1118" s="59"/>
      <c r="FC1118" s="59"/>
      <c r="FD1118" s="59"/>
      <c r="FE1118" s="59"/>
      <c r="FF1118" s="59"/>
      <c r="FG1118" s="59"/>
      <c r="FH1118" s="59"/>
      <c r="FI1118" s="59"/>
      <c r="FJ1118" s="59"/>
      <c r="FK1118" s="59"/>
      <c r="FL1118" s="59"/>
      <c r="FM1118" s="59"/>
      <c r="FN1118" s="59"/>
      <c r="FO1118" s="59"/>
      <c r="FP1118" s="59"/>
      <c r="FQ1118" s="59"/>
      <c r="FR1118" s="59"/>
      <c r="FS1118" s="59"/>
      <c r="FT1118" s="59"/>
      <c r="FU1118" s="59"/>
      <c r="FV1118" s="59"/>
      <c r="FW1118" s="59"/>
      <c r="FX1118" s="59"/>
      <c r="FY1118" s="59"/>
      <c r="FZ1118" s="59"/>
      <c r="GA1118" s="59"/>
      <c r="GB1118" s="59"/>
      <c r="GC1118" s="59"/>
    </row>
    <row r="1119">
      <c r="A1119" s="59"/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59"/>
      <c r="BR1119" s="59"/>
      <c r="BS1119" s="59"/>
      <c r="BT1119" s="59"/>
      <c r="BU1119" s="59"/>
      <c r="BV1119" s="59"/>
      <c r="BW1119" s="59"/>
      <c r="BX1119" s="59"/>
      <c r="BY1119" s="59"/>
      <c r="BZ1119" s="59"/>
      <c r="CA1119" s="59"/>
      <c r="CB1119" s="59"/>
      <c r="CC1119" s="59"/>
      <c r="CD1119" s="59"/>
      <c r="CE1119" s="59"/>
      <c r="CF1119" s="59"/>
      <c r="CG1119" s="59"/>
      <c r="CH1119" s="59"/>
      <c r="CI1119" s="59"/>
      <c r="CJ1119" s="59"/>
      <c r="CK1119" s="59"/>
      <c r="CL1119" s="59"/>
      <c r="CM1119" s="59"/>
      <c r="CN1119" s="59"/>
      <c r="CO1119" s="59"/>
      <c r="CP1119" s="59"/>
      <c r="CQ1119" s="59"/>
      <c r="CR1119" s="59"/>
      <c r="CS1119" s="59"/>
      <c r="CT1119" s="59"/>
      <c r="CU1119" s="59"/>
      <c r="CV1119" s="59"/>
      <c r="CW1119" s="59"/>
      <c r="CX1119" s="59"/>
      <c r="CY1119" s="59"/>
      <c r="CZ1119" s="59"/>
      <c r="DA1119" s="59"/>
      <c r="DB1119" s="59"/>
      <c r="DC1119" s="59"/>
      <c r="DD1119" s="59"/>
      <c r="DE1119" s="59"/>
      <c r="DF1119" s="59"/>
      <c r="DG1119" s="59"/>
      <c r="DH1119" s="59"/>
      <c r="DI1119" s="59"/>
      <c r="DJ1119" s="59"/>
      <c r="DK1119" s="59"/>
      <c r="DL1119" s="59"/>
      <c r="DM1119" s="59"/>
      <c r="DN1119" s="59"/>
      <c r="DO1119" s="59"/>
      <c r="DP1119" s="59"/>
      <c r="DQ1119" s="59"/>
      <c r="DR1119" s="59"/>
      <c r="DS1119" s="59"/>
      <c r="DT1119" s="59"/>
      <c r="DU1119" s="59"/>
      <c r="DV1119" s="59"/>
      <c r="DW1119" s="59"/>
      <c r="DX1119" s="59"/>
      <c r="DY1119" s="59"/>
      <c r="DZ1119" s="59"/>
      <c r="EA1119" s="59"/>
      <c r="EB1119" s="59"/>
      <c r="EC1119" s="59"/>
      <c r="ED1119" s="59"/>
      <c r="EE1119" s="59"/>
      <c r="EF1119" s="59"/>
      <c r="EG1119" s="59"/>
      <c r="EH1119" s="59"/>
      <c r="EI1119" s="59"/>
      <c r="EJ1119" s="59"/>
      <c r="EK1119" s="59"/>
      <c r="EL1119" s="59"/>
      <c r="EM1119" s="59"/>
      <c r="EN1119" s="59"/>
      <c r="EO1119" s="59"/>
      <c r="EP1119" s="59"/>
      <c r="EQ1119" s="59"/>
      <c r="ER1119" s="59"/>
      <c r="ES1119" s="59"/>
      <c r="ET1119" s="59"/>
      <c r="EU1119" s="59"/>
      <c r="EV1119" s="59"/>
      <c r="EW1119" s="59"/>
      <c r="EX1119" s="59"/>
      <c r="EY1119" s="59"/>
      <c r="EZ1119" s="59"/>
      <c r="FA1119" s="59"/>
      <c r="FB1119" s="59"/>
      <c r="FC1119" s="59"/>
      <c r="FD1119" s="59"/>
      <c r="FE1119" s="59"/>
      <c r="FF1119" s="59"/>
      <c r="FG1119" s="59"/>
      <c r="FH1119" s="59"/>
      <c r="FI1119" s="59"/>
      <c r="FJ1119" s="59"/>
      <c r="FK1119" s="59"/>
      <c r="FL1119" s="59"/>
      <c r="FM1119" s="59"/>
      <c r="FN1119" s="59"/>
      <c r="FO1119" s="59"/>
      <c r="FP1119" s="59"/>
      <c r="FQ1119" s="59"/>
      <c r="FR1119" s="59"/>
      <c r="FS1119" s="59"/>
      <c r="FT1119" s="59"/>
      <c r="FU1119" s="59"/>
      <c r="FV1119" s="59"/>
      <c r="FW1119" s="59"/>
      <c r="FX1119" s="59"/>
      <c r="FY1119" s="59"/>
      <c r="FZ1119" s="59"/>
      <c r="GA1119" s="59"/>
      <c r="GB1119" s="59"/>
      <c r="GC1119" s="59"/>
    </row>
    <row r="1120">
      <c r="A1120" s="59"/>
      <c r="B1120" s="59"/>
      <c r="C1120" s="59"/>
      <c r="D1120" s="59"/>
      <c r="E1120" s="59"/>
      <c r="F1120" s="59"/>
      <c r="G1120" s="59"/>
      <c r="H1120" s="59"/>
      <c r="I1120" s="59"/>
      <c r="J1120" s="59"/>
      <c r="K1120" s="59"/>
      <c r="L1120" s="59"/>
      <c r="M1120" s="59"/>
      <c r="N1120" s="59"/>
      <c r="O1120" s="59"/>
      <c r="P1120" s="59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59"/>
      <c r="BR1120" s="59"/>
      <c r="BS1120" s="59"/>
      <c r="BT1120" s="59"/>
      <c r="BU1120" s="59"/>
      <c r="BV1120" s="59"/>
      <c r="BW1120" s="59"/>
      <c r="BX1120" s="59"/>
      <c r="BY1120" s="59"/>
      <c r="BZ1120" s="59"/>
      <c r="CA1120" s="59"/>
      <c r="CB1120" s="59"/>
      <c r="CC1120" s="59"/>
      <c r="CD1120" s="59"/>
      <c r="CE1120" s="59"/>
      <c r="CF1120" s="59"/>
      <c r="CG1120" s="59"/>
      <c r="CH1120" s="59"/>
      <c r="CI1120" s="59"/>
      <c r="CJ1120" s="59"/>
      <c r="CK1120" s="59"/>
      <c r="CL1120" s="59"/>
      <c r="CM1120" s="59"/>
      <c r="CN1120" s="59"/>
      <c r="CO1120" s="59"/>
      <c r="CP1120" s="59"/>
      <c r="CQ1120" s="59"/>
      <c r="CR1120" s="59"/>
      <c r="CS1120" s="59"/>
      <c r="CT1120" s="59"/>
      <c r="CU1120" s="59"/>
      <c r="CV1120" s="59"/>
      <c r="CW1120" s="59"/>
      <c r="CX1120" s="59"/>
      <c r="CY1120" s="59"/>
      <c r="CZ1120" s="59"/>
      <c r="DA1120" s="59"/>
      <c r="DB1120" s="59"/>
      <c r="DC1120" s="59"/>
      <c r="DD1120" s="59"/>
      <c r="DE1120" s="59"/>
      <c r="DF1120" s="59"/>
      <c r="DG1120" s="59"/>
      <c r="DH1120" s="59"/>
      <c r="DI1120" s="59"/>
      <c r="DJ1120" s="59"/>
      <c r="DK1120" s="59"/>
      <c r="DL1120" s="59"/>
      <c r="DM1120" s="59"/>
      <c r="DN1120" s="59"/>
      <c r="DO1120" s="59"/>
      <c r="DP1120" s="59"/>
      <c r="DQ1120" s="59"/>
      <c r="DR1120" s="59"/>
      <c r="DS1120" s="59"/>
      <c r="DT1120" s="59"/>
      <c r="DU1120" s="59"/>
      <c r="DV1120" s="59"/>
      <c r="DW1120" s="59"/>
      <c r="DX1120" s="59"/>
      <c r="DY1120" s="59"/>
      <c r="DZ1120" s="59"/>
      <c r="EA1120" s="59"/>
      <c r="EB1120" s="59"/>
      <c r="EC1120" s="59"/>
      <c r="ED1120" s="59"/>
      <c r="EE1120" s="59"/>
      <c r="EF1120" s="59"/>
      <c r="EG1120" s="59"/>
      <c r="EH1120" s="59"/>
      <c r="EI1120" s="59"/>
      <c r="EJ1120" s="59"/>
      <c r="EK1120" s="59"/>
      <c r="EL1120" s="59"/>
      <c r="EM1120" s="59"/>
      <c r="EN1120" s="59"/>
      <c r="EO1120" s="59"/>
      <c r="EP1120" s="59"/>
      <c r="EQ1120" s="59"/>
      <c r="ER1120" s="59"/>
      <c r="ES1120" s="59"/>
      <c r="ET1120" s="59"/>
      <c r="EU1120" s="59"/>
      <c r="EV1120" s="59"/>
      <c r="EW1120" s="59"/>
      <c r="EX1120" s="59"/>
      <c r="EY1120" s="59"/>
      <c r="EZ1120" s="59"/>
      <c r="FA1120" s="59"/>
      <c r="FB1120" s="59"/>
      <c r="FC1120" s="59"/>
      <c r="FD1120" s="59"/>
      <c r="FE1120" s="59"/>
      <c r="FF1120" s="59"/>
      <c r="FG1120" s="59"/>
      <c r="FH1120" s="59"/>
      <c r="FI1120" s="59"/>
      <c r="FJ1120" s="59"/>
      <c r="FK1120" s="59"/>
      <c r="FL1120" s="59"/>
      <c r="FM1120" s="59"/>
      <c r="FN1120" s="59"/>
      <c r="FO1120" s="59"/>
      <c r="FP1120" s="59"/>
      <c r="FQ1120" s="59"/>
      <c r="FR1120" s="59"/>
      <c r="FS1120" s="59"/>
      <c r="FT1120" s="59"/>
      <c r="FU1120" s="59"/>
      <c r="FV1120" s="59"/>
      <c r="FW1120" s="59"/>
      <c r="FX1120" s="59"/>
      <c r="FY1120" s="59"/>
      <c r="FZ1120" s="59"/>
      <c r="GA1120" s="59"/>
      <c r="GB1120" s="59"/>
      <c r="GC1120" s="59"/>
    </row>
    <row r="1121">
      <c r="A1121" s="59"/>
      <c r="B1121" s="59"/>
      <c r="C1121" s="59"/>
      <c r="D1121" s="59"/>
      <c r="E1121" s="59"/>
      <c r="F1121" s="59"/>
      <c r="G1121" s="59"/>
      <c r="H1121" s="59"/>
      <c r="I1121" s="59"/>
      <c r="J1121" s="59"/>
      <c r="K1121" s="59"/>
      <c r="L1121" s="59"/>
      <c r="M1121" s="59"/>
      <c r="N1121" s="59"/>
      <c r="O1121" s="59"/>
      <c r="P1121" s="59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  <c r="AD1121" s="59"/>
      <c r="AE1121" s="59"/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59"/>
      <c r="BR1121" s="59"/>
      <c r="BS1121" s="59"/>
      <c r="BT1121" s="59"/>
      <c r="BU1121" s="59"/>
      <c r="BV1121" s="59"/>
      <c r="BW1121" s="59"/>
      <c r="BX1121" s="59"/>
      <c r="BY1121" s="59"/>
      <c r="BZ1121" s="59"/>
      <c r="CA1121" s="59"/>
      <c r="CB1121" s="59"/>
      <c r="CC1121" s="59"/>
      <c r="CD1121" s="59"/>
      <c r="CE1121" s="59"/>
      <c r="CF1121" s="59"/>
      <c r="CG1121" s="59"/>
      <c r="CH1121" s="59"/>
      <c r="CI1121" s="59"/>
      <c r="CJ1121" s="59"/>
      <c r="CK1121" s="59"/>
      <c r="CL1121" s="59"/>
      <c r="CM1121" s="59"/>
      <c r="CN1121" s="59"/>
      <c r="CO1121" s="59"/>
      <c r="CP1121" s="59"/>
      <c r="CQ1121" s="59"/>
      <c r="CR1121" s="59"/>
      <c r="CS1121" s="59"/>
      <c r="CT1121" s="59"/>
      <c r="CU1121" s="59"/>
      <c r="CV1121" s="59"/>
      <c r="CW1121" s="59"/>
      <c r="CX1121" s="59"/>
      <c r="CY1121" s="59"/>
      <c r="CZ1121" s="59"/>
      <c r="DA1121" s="59"/>
      <c r="DB1121" s="59"/>
      <c r="DC1121" s="59"/>
      <c r="DD1121" s="59"/>
      <c r="DE1121" s="59"/>
      <c r="DF1121" s="59"/>
      <c r="DG1121" s="59"/>
      <c r="DH1121" s="59"/>
      <c r="DI1121" s="59"/>
      <c r="DJ1121" s="59"/>
      <c r="DK1121" s="59"/>
      <c r="DL1121" s="59"/>
      <c r="DM1121" s="59"/>
      <c r="DN1121" s="59"/>
      <c r="DO1121" s="59"/>
      <c r="DP1121" s="59"/>
      <c r="DQ1121" s="59"/>
      <c r="DR1121" s="59"/>
      <c r="DS1121" s="59"/>
      <c r="DT1121" s="59"/>
      <c r="DU1121" s="59"/>
      <c r="DV1121" s="59"/>
      <c r="DW1121" s="59"/>
      <c r="DX1121" s="59"/>
      <c r="DY1121" s="59"/>
      <c r="DZ1121" s="59"/>
      <c r="EA1121" s="59"/>
      <c r="EB1121" s="59"/>
      <c r="EC1121" s="59"/>
      <c r="ED1121" s="59"/>
      <c r="EE1121" s="59"/>
      <c r="EF1121" s="59"/>
      <c r="EG1121" s="59"/>
      <c r="EH1121" s="59"/>
      <c r="EI1121" s="59"/>
      <c r="EJ1121" s="59"/>
      <c r="EK1121" s="59"/>
      <c r="EL1121" s="59"/>
      <c r="EM1121" s="59"/>
      <c r="EN1121" s="59"/>
      <c r="EO1121" s="59"/>
      <c r="EP1121" s="59"/>
      <c r="EQ1121" s="59"/>
      <c r="ER1121" s="59"/>
      <c r="ES1121" s="59"/>
      <c r="ET1121" s="59"/>
      <c r="EU1121" s="59"/>
      <c r="EV1121" s="59"/>
      <c r="EW1121" s="59"/>
      <c r="EX1121" s="59"/>
      <c r="EY1121" s="59"/>
      <c r="EZ1121" s="59"/>
      <c r="FA1121" s="59"/>
      <c r="FB1121" s="59"/>
      <c r="FC1121" s="59"/>
      <c r="FD1121" s="59"/>
      <c r="FE1121" s="59"/>
      <c r="FF1121" s="59"/>
      <c r="FG1121" s="59"/>
      <c r="FH1121" s="59"/>
      <c r="FI1121" s="59"/>
      <c r="FJ1121" s="59"/>
      <c r="FK1121" s="59"/>
      <c r="FL1121" s="59"/>
      <c r="FM1121" s="59"/>
      <c r="FN1121" s="59"/>
      <c r="FO1121" s="59"/>
      <c r="FP1121" s="59"/>
      <c r="FQ1121" s="59"/>
      <c r="FR1121" s="59"/>
      <c r="FS1121" s="59"/>
      <c r="FT1121" s="59"/>
      <c r="FU1121" s="59"/>
      <c r="FV1121" s="59"/>
      <c r="FW1121" s="59"/>
      <c r="FX1121" s="59"/>
      <c r="FY1121" s="59"/>
      <c r="FZ1121" s="59"/>
      <c r="GA1121" s="59"/>
      <c r="GB1121" s="59"/>
      <c r="GC1121" s="59"/>
    </row>
    <row r="1122">
      <c r="A1122" s="59"/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59"/>
      <c r="P1122" s="59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59"/>
      <c r="BR1122" s="59"/>
      <c r="BS1122" s="59"/>
      <c r="BT1122" s="59"/>
      <c r="BU1122" s="59"/>
      <c r="BV1122" s="59"/>
      <c r="BW1122" s="59"/>
      <c r="BX1122" s="59"/>
      <c r="BY1122" s="59"/>
      <c r="BZ1122" s="59"/>
      <c r="CA1122" s="59"/>
      <c r="CB1122" s="59"/>
      <c r="CC1122" s="59"/>
      <c r="CD1122" s="59"/>
      <c r="CE1122" s="59"/>
      <c r="CF1122" s="59"/>
      <c r="CG1122" s="59"/>
      <c r="CH1122" s="59"/>
      <c r="CI1122" s="59"/>
      <c r="CJ1122" s="59"/>
      <c r="CK1122" s="59"/>
      <c r="CL1122" s="59"/>
      <c r="CM1122" s="59"/>
      <c r="CN1122" s="59"/>
      <c r="CO1122" s="59"/>
      <c r="CP1122" s="59"/>
      <c r="CQ1122" s="59"/>
      <c r="CR1122" s="59"/>
      <c r="CS1122" s="59"/>
      <c r="CT1122" s="59"/>
      <c r="CU1122" s="59"/>
      <c r="CV1122" s="59"/>
      <c r="CW1122" s="59"/>
      <c r="CX1122" s="59"/>
      <c r="CY1122" s="59"/>
      <c r="CZ1122" s="59"/>
      <c r="DA1122" s="59"/>
      <c r="DB1122" s="59"/>
      <c r="DC1122" s="59"/>
      <c r="DD1122" s="59"/>
      <c r="DE1122" s="59"/>
      <c r="DF1122" s="59"/>
      <c r="DG1122" s="59"/>
      <c r="DH1122" s="59"/>
      <c r="DI1122" s="59"/>
      <c r="DJ1122" s="59"/>
      <c r="DK1122" s="59"/>
      <c r="DL1122" s="59"/>
      <c r="DM1122" s="59"/>
      <c r="DN1122" s="59"/>
      <c r="DO1122" s="59"/>
      <c r="DP1122" s="59"/>
      <c r="DQ1122" s="59"/>
      <c r="DR1122" s="59"/>
      <c r="DS1122" s="59"/>
      <c r="DT1122" s="59"/>
      <c r="DU1122" s="59"/>
      <c r="DV1122" s="59"/>
      <c r="DW1122" s="59"/>
      <c r="DX1122" s="59"/>
      <c r="DY1122" s="59"/>
      <c r="DZ1122" s="59"/>
      <c r="EA1122" s="59"/>
      <c r="EB1122" s="59"/>
      <c r="EC1122" s="59"/>
      <c r="ED1122" s="59"/>
      <c r="EE1122" s="59"/>
      <c r="EF1122" s="59"/>
      <c r="EG1122" s="59"/>
      <c r="EH1122" s="59"/>
      <c r="EI1122" s="59"/>
      <c r="EJ1122" s="59"/>
      <c r="EK1122" s="59"/>
      <c r="EL1122" s="59"/>
      <c r="EM1122" s="59"/>
      <c r="EN1122" s="59"/>
      <c r="EO1122" s="59"/>
      <c r="EP1122" s="59"/>
      <c r="EQ1122" s="59"/>
      <c r="ER1122" s="59"/>
      <c r="ES1122" s="59"/>
      <c r="ET1122" s="59"/>
      <c r="EU1122" s="59"/>
      <c r="EV1122" s="59"/>
      <c r="EW1122" s="59"/>
      <c r="EX1122" s="59"/>
      <c r="EY1122" s="59"/>
      <c r="EZ1122" s="59"/>
      <c r="FA1122" s="59"/>
      <c r="FB1122" s="59"/>
      <c r="FC1122" s="59"/>
      <c r="FD1122" s="59"/>
      <c r="FE1122" s="59"/>
      <c r="FF1122" s="59"/>
      <c r="FG1122" s="59"/>
      <c r="FH1122" s="59"/>
      <c r="FI1122" s="59"/>
      <c r="FJ1122" s="59"/>
      <c r="FK1122" s="59"/>
      <c r="FL1122" s="59"/>
      <c r="FM1122" s="59"/>
      <c r="FN1122" s="59"/>
      <c r="FO1122" s="59"/>
      <c r="FP1122" s="59"/>
      <c r="FQ1122" s="59"/>
      <c r="FR1122" s="59"/>
      <c r="FS1122" s="59"/>
      <c r="FT1122" s="59"/>
      <c r="FU1122" s="59"/>
      <c r="FV1122" s="59"/>
      <c r="FW1122" s="59"/>
      <c r="FX1122" s="59"/>
      <c r="FY1122" s="59"/>
      <c r="FZ1122" s="59"/>
      <c r="GA1122" s="59"/>
      <c r="GB1122" s="59"/>
      <c r="GC1122" s="59"/>
    </row>
    <row r="1123">
      <c r="A1123" s="59"/>
      <c r="B1123" s="59"/>
      <c r="C1123" s="59"/>
      <c r="D1123" s="59"/>
      <c r="E1123" s="59"/>
      <c r="F1123" s="59"/>
      <c r="G1123" s="59"/>
      <c r="H1123" s="59"/>
      <c r="I1123" s="59"/>
      <c r="J1123" s="59"/>
      <c r="K1123" s="59"/>
      <c r="L1123" s="59"/>
      <c r="M1123" s="59"/>
      <c r="N1123" s="59"/>
      <c r="O1123" s="59"/>
      <c r="P1123" s="59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  <c r="AD1123" s="59"/>
      <c r="AE1123" s="59"/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59"/>
      <c r="BR1123" s="59"/>
      <c r="BS1123" s="59"/>
      <c r="BT1123" s="59"/>
      <c r="BU1123" s="59"/>
      <c r="BV1123" s="59"/>
      <c r="BW1123" s="59"/>
      <c r="BX1123" s="59"/>
      <c r="BY1123" s="59"/>
      <c r="BZ1123" s="59"/>
      <c r="CA1123" s="59"/>
      <c r="CB1123" s="59"/>
      <c r="CC1123" s="59"/>
      <c r="CD1123" s="59"/>
      <c r="CE1123" s="59"/>
      <c r="CF1123" s="59"/>
      <c r="CG1123" s="59"/>
      <c r="CH1123" s="59"/>
      <c r="CI1123" s="59"/>
      <c r="CJ1123" s="59"/>
      <c r="CK1123" s="59"/>
      <c r="CL1123" s="59"/>
      <c r="CM1123" s="59"/>
      <c r="CN1123" s="59"/>
      <c r="CO1123" s="59"/>
      <c r="CP1123" s="59"/>
      <c r="CQ1123" s="59"/>
      <c r="CR1123" s="59"/>
      <c r="CS1123" s="59"/>
      <c r="CT1123" s="59"/>
      <c r="CU1123" s="59"/>
      <c r="CV1123" s="59"/>
      <c r="CW1123" s="59"/>
      <c r="CX1123" s="59"/>
      <c r="CY1123" s="59"/>
      <c r="CZ1123" s="59"/>
      <c r="DA1123" s="59"/>
      <c r="DB1123" s="59"/>
      <c r="DC1123" s="59"/>
      <c r="DD1123" s="59"/>
      <c r="DE1123" s="59"/>
      <c r="DF1123" s="59"/>
      <c r="DG1123" s="59"/>
      <c r="DH1123" s="59"/>
      <c r="DI1123" s="59"/>
      <c r="DJ1123" s="59"/>
      <c r="DK1123" s="59"/>
      <c r="DL1123" s="59"/>
      <c r="DM1123" s="59"/>
      <c r="DN1123" s="59"/>
      <c r="DO1123" s="59"/>
      <c r="DP1123" s="59"/>
      <c r="DQ1123" s="59"/>
      <c r="DR1123" s="59"/>
      <c r="DS1123" s="59"/>
      <c r="DT1123" s="59"/>
      <c r="DU1123" s="59"/>
      <c r="DV1123" s="59"/>
      <c r="DW1123" s="59"/>
      <c r="DX1123" s="59"/>
      <c r="DY1123" s="59"/>
      <c r="DZ1123" s="59"/>
      <c r="EA1123" s="59"/>
      <c r="EB1123" s="59"/>
      <c r="EC1123" s="59"/>
      <c r="ED1123" s="59"/>
      <c r="EE1123" s="59"/>
      <c r="EF1123" s="59"/>
      <c r="EG1123" s="59"/>
      <c r="EH1123" s="59"/>
      <c r="EI1123" s="59"/>
      <c r="EJ1123" s="59"/>
      <c r="EK1123" s="59"/>
      <c r="EL1123" s="59"/>
      <c r="EM1123" s="59"/>
      <c r="EN1123" s="59"/>
      <c r="EO1123" s="59"/>
      <c r="EP1123" s="59"/>
      <c r="EQ1123" s="59"/>
      <c r="ER1123" s="59"/>
      <c r="ES1123" s="59"/>
      <c r="ET1123" s="59"/>
      <c r="EU1123" s="59"/>
      <c r="EV1123" s="59"/>
      <c r="EW1123" s="59"/>
      <c r="EX1123" s="59"/>
      <c r="EY1123" s="59"/>
      <c r="EZ1123" s="59"/>
      <c r="FA1123" s="59"/>
      <c r="FB1123" s="59"/>
      <c r="FC1123" s="59"/>
      <c r="FD1123" s="59"/>
      <c r="FE1123" s="59"/>
      <c r="FF1123" s="59"/>
      <c r="FG1123" s="59"/>
      <c r="FH1123" s="59"/>
      <c r="FI1123" s="59"/>
      <c r="FJ1123" s="59"/>
      <c r="FK1123" s="59"/>
      <c r="FL1123" s="59"/>
      <c r="FM1123" s="59"/>
      <c r="FN1123" s="59"/>
      <c r="FO1123" s="59"/>
      <c r="FP1123" s="59"/>
      <c r="FQ1123" s="59"/>
      <c r="FR1123" s="59"/>
      <c r="FS1123" s="59"/>
      <c r="FT1123" s="59"/>
      <c r="FU1123" s="59"/>
      <c r="FV1123" s="59"/>
      <c r="FW1123" s="59"/>
      <c r="FX1123" s="59"/>
      <c r="FY1123" s="59"/>
      <c r="FZ1123" s="59"/>
      <c r="GA1123" s="59"/>
      <c r="GB1123" s="59"/>
      <c r="GC1123" s="59"/>
    </row>
    <row r="1124">
      <c r="A1124" s="59"/>
      <c r="B1124" s="59"/>
      <c r="C1124" s="59"/>
      <c r="D1124" s="59"/>
      <c r="E1124" s="59"/>
      <c r="F1124" s="59"/>
      <c r="G1124" s="59"/>
      <c r="H1124" s="59"/>
      <c r="I1124" s="59"/>
      <c r="J1124" s="59"/>
      <c r="K1124" s="59"/>
      <c r="L1124" s="59"/>
      <c r="M1124" s="59"/>
      <c r="N1124" s="59"/>
      <c r="O1124" s="59"/>
      <c r="P1124" s="59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59"/>
      <c r="BR1124" s="59"/>
      <c r="BS1124" s="59"/>
      <c r="BT1124" s="59"/>
      <c r="BU1124" s="59"/>
      <c r="BV1124" s="59"/>
      <c r="BW1124" s="59"/>
      <c r="BX1124" s="59"/>
      <c r="BY1124" s="59"/>
      <c r="BZ1124" s="59"/>
      <c r="CA1124" s="59"/>
      <c r="CB1124" s="59"/>
      <c r="CC1124" s="59"/>
      <c r="CD1124" s="59"/>
      <c r="CE1124" s="59"/>
      <c r="CF1124" s="59"/>
      <c r="CG1124" s="59"/>
      <c r="CH1124" s="59"/>
      <c r="CI1124" s="59"/>
      <c r="CJ1124" s="59"/>
      <c r="CK1124" s="59"/>
      <c r="CL1124" s="59"/>
      <c r="CM1124" s="59"/>
      <c r="CN1124" s="59"/>
      <c r="CO1124" s="59"/>
      <c r="CP1124" s="59"/>
      <c r="CQ1124" s="59"/>
      <c r="CR1124" s="59"/>
      <c r="CS1124" s="59"/>
      <c r="CT1124" s="59"/>
      <c r="CU1124" s="59"/>
      <c r="CV1124" s="59"/>
      <c r="CW1124" s="59"/>
      <c r="CX1124" s="59"/>
      <c r="CY1124" s="59"/>
      <c r="CZ1124" s="59"/>
      <c r="DA1124" s="59"/>
      <c r="DB1124" s="59"/>
      <c r="DC1124" s="59"/>
      <c r="DD1124" s="59"/>
      <c r="DE1124" s="59"/>
      <c r="DF1124" s="59"/>
      <c r="DG1124" s="59"/>
      <c r="DH1124" s="59"/>
      <c r="DI1124" s="59"/>
      <c r="DJ1124" s="59"/>
      <c r="DK1124" s="59"/>
      <c r="DL1124" s="59"/>
      <c r="DM1124" s="59"/>
      <c r="DN1124" s="59"/>
      <c r="DO1124" s="59"/>
      <c r="DP1124" s="59"/>
      <c r="DQ1124" s="59"/>
      <c r="DR1124" s="59"/>
      <c r="DS1124" s="59"/>
      <c r="DT1124" s="59"/>
      <c r="DU1124" s="59"/>
      <c r="DV1124" s="59"/>
      <c r="DW1124" s="59"/>
      <c r="DX1124" s="59"/>
      <c r="DY1124" s="59"/>
      <c r="DZ1124" s="59"/>
      <c r="EA1124" s="59"/>
      <c r="EB1124" s="59"/>
      <c r="EC1124" s="59"/>
      <c r="ED1124" s="59"/>
      <c r="EE1124" s="59"/>
      <c r="EF1124" s="59"/>
      <c r="EG1124" s="59"/>
      <c r="EH1124" s="59"/>
      <c r="EI1124" s="59"/>
      <c r="EJ1124" s="59"/>
      <c r="EK1124" s="59"/>
      <c r="EL1124" s="59"/>
      <c r="EM1124" s="59"/>
      <c r="EN1124" s="59"/>
      <c r="EO1124" s="59"/>
      <c r="EP1124" s="59"/>
      <c r="EQ1124" s="59"/>
      <c r="ER1124" s="59"/>
      <c r="ES1124" s="59"/>
      <c r="ET1124" s="59"/>
      <c r="EU1124" s="59"/>
      <c r="EV1124" s="59"/>
      <c r="EW1124" s="59"/>
      <c r="EX1124" s="59"/>
      <c r="EY1124" s="59"/>
      <c r="EZ1124" s="59"/>
      <c r="FA1124" s="59"/>
      <c r="FB1124" s="59"/>
      <c r="FC1124" s="59"/>
      <c r="FD1124" s="59"/>
      <c r="FE1124" s="59"/>
      <c r="FF1124" s="59"/>
      <c r="FG1124" s="59"/>
      <c r="FH1124" s="59"/>
      <c r="FI1124" s="59"/>
      <c r="FJ1124" s="59"/>
      <c r="FK1124" s="59"/>
      <c r="FL1124" s="59"/>
      <c r="FM1124" s="59"/>
      <c r="FN1124" s="59"/>
      <c r="FO1124" s="59"/>
      <c r="FP1124" s="59"/>
      <c r="FQ1124" s="59"/>
      <c r="FR1124" s="59"/>
      <c r="FS1124" s="59"/>
      <c r="FT1124" s="59"/>
      <c r="FU1124" s="59"/>
      <c r="FV1124" s="59"/>
      <c r="FW1124" s="59"/>
      <c r="FX1124" s="59"/>
      <c r="FY1124" s="59"/>
      <c r="FZ1124" s="59"/>
      <c r="GA1124" s="59"/>
      <c r="GB1124" s="59"/>
      <c r="GC1124" s="59"/>
    </row>
    <row r="1125">
      <c r="A1125" s="59"/>
      <c r="B1125" s="59"/>
      <c r="C1125" s="59"/>
      <c r="D1125" s="59"/>
      <c r="E1125" s="59"/>
      <c r="F1125" s="59"/>
      <c r="G1125" s="59"/>
      <c r="H1125" s="59"/>
      <c r="I1125" s="59"/>
      <c r="J1125" s="59"/>
      <c r="K1125" s="59"/>
      <c r="L1125" s="59"/>
      <c r="M1125" s="59"/>
      <c r="N1125" s="59"/>
      <c r="O1125" s="59"/>
      <c r="P1125" s="59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  <c r="AD1125" s="59"/>
      <c r="AE1125" s="59"/>
      <c r="AF1125" s="59"/>
      <c r="AG1125" s="59"/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59"/>
      <c r="BR1125" s="59"/>
      <c r="BS1125" s="59"/>
      <c r="BT1125" s="59"/>
      <c r="BU1125" s="59"/>
      <c r="BV1125" s="59"/>
      <c r="BW1125" s="59"/>
      <c r="BX1125" s="59"/>
      <c r="BY1125" s="59"/>
      <c r="BZ1125" s="59"/>
      <c r="CA1125" s="59"/>
      <c r="CB1125" s="59"/>
      <c r="CC1125" s="59"/>
      <c r="CD1125" s="59"/>
      <c r="CE1125" s="59"/>
      <c r="CF1125" s="59"/>
      <c r="CG1125" s="59"/>
      <c r="CH1125" s="59"/>
      <c r="CI1125" s="59"/>
      <c r="CJ1125" s="59"/>
      <c r="CK1125" s="59"/>
      <c r="CL1125" s="59"/>
      <c r="CM1125" s="59"/>
      <c r="CN1125" s="59"/>
      <c r="CO1125" s="59"/>
      <c r="CP1125" s="59"/>
      <c r="CQ1125" s="59"/>
      <c r="CR1125" s="59"/>
      <c r="CS1125" s="59"/>
      <c r="CT1125" s="59"/>
      <c r="CU1125" s="59"/>
      <c r="CV1125" s="59"/>
      <c r="CW1125" s="59"/>
      <c r="CX1125" s="59"/>
      <c r="CY1125" s="59"/>
      <c r="CZ1125" s="59"/>
      <c r="DA1125" s="59"/>
      <c r="DB1125" s="59"/>
      <c r="DC1125" s="59"/>
      <c r="DD1125" s="59"/>
      <c r="DE1125" s="59"/>
      <c r="DF1125" s="59"/>
      <c r="DG1125" s="59"/>
      <c r="DH1125" s="59"/>
      <c r="DI1125" s="59"/>
      <c r="DJ1125" s="59"/>
      <c r="DK1125" s="59"/>
      <c r="DL1125" s="59"/>
      <c r="DM1125" s="59"/>
      <c r="DN1125" s="59"/>
      <c r="DO1125" s="59"/>
      <c r="DP1125" s="59"/>
      <c r="DQ1125" s="59"/>
      <c r="DR1125" s="59"/>
      <c r="DS1125" s="59"/>
      <c r="DT1125" s="59"/>
      <c r="DU1125" s="59"/>
      <c r="DV1125" s="59"/>
      <c r="DW1125" s="59"/>
      <c r="DX1125" s="59"/>
      <c r="DY1125" s="59"/>
      <c r="DZ1125" s="59"/>
      <c r="EA1125" s="59"/>
      <c r="EB1125" s="59"/>
      <c r="EC1125" s="59"/>
      <c r="ED1125" s="59"/>
      <c r="EE1125" s="59"/>
      <c r="EF1125" s="59"/>
      <c r="EG1125" s="59"/>
      <c r="EH1125" s="59"/>
      <c r="EI1125" s="59"/>
      <c r="EJ1125" s="59"/>
      <c r="EK1125" s="59"/>
      <c r="EL1125" s="59"/>
      <c r="EM1125" s="59"/>
      <c r="EN1125" s="59"/>
      <c r="EO1125" s="59"/>
      <c r="EP1125" s="59"/>
      <c r="EQ1125" s="59"/>
      <c r="ER1125" s="59"/>
      <c r="ES1125" s="59"/>
      <c r="ET1125" s="59"/>
      <c r="EU1125" s="59"/>
      <c r="EV1125" s="59"/>
      <c r="EW1125" s="59"/>
      <c r="EX1125" s="59"/>
      <c r="EY1125" s="59"/>
      <c r="EZ1125" s="59"/>
      <c r="FA1125" s="59"/>
      <c r="FB1125" s="59"/>
      <c r="FC1125" s="59"/>
      <c r="FD1125" s="59"/>
      <c r="FE1125" s="59"/>
      <c r="FF1125" s="59"/>
      <c r="FG1125" s="59"/>
      <c r="FH1125" s="59"/>
      <c r="FI1125" s="59"/>
      <c r="FJ1125" s="59"/>
      <c r="FK1125" s="59"/>
      <c r="FL1125" s="59"/>
      <c r="FM1125" s="59"/>
      <c r="FN1125" s="59"/>
      <c r="FO1125" s="59"/>
      <c r="FP1125" s="59"/>
      <c r="FQ1125" s="59"/>
      <c r="FR1125" s="59"/>
      <c r="FS1125" s="59"/>
      <c r="FT1125" s="59"/>
      <c r="FU1125" s="59"/>
      <c r="FV1125" s="59"/>
      <c r="FW1125" s="59"/>
      <c r="FX1125" s="59"/>
      <c r="FY1125" s="59"/>
      <c r="FZ1125" s="59"/>
      <c r="GA1125" s="59"/>
      <c r="GB1125" s="59"/>
      <c r="GC1125" s="59"/>
    </row>
    <row r="1126">
      <c r="A1126" s="59"/>
      <c r="B1126" s="59"/>
      <c r="C1126" s="59"/>
      <c r="D1126" s="59"/>
      <c r="E1126" s="59"/>
      <c r="F1126" s="59"/>
      <c r="G1126" s="59"/>
      <c r="H1126" s="59"/>
      <c r="I1126" s="59"/>
      <c r="J1126" s="59"/>
      <c r="K1126" s="59"/>
      <c r="L1126" s="59"/>
      <c r="M1126" s="59"/>
      <c r="N1126" s="59"/>
      <c r="O1126" s="59"/>
      <c r="P1126" s="59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59"/>
      <c r="BR1126" s="59"/>
      <c r="BS1126" s="59"/>
      <c r="BT1126" s="59"/>
      <c r="BU1126" s="59"/>
      <c r="BV1126" s="59"/>
      <c r="BW1126" s="59"/>
      <c r="BX1126" s="59"/>
      <c r="BY1126" s="59"/>
      <c r="BZ1126" s="59"/>
      <c r="CA1126" s="59"/>
      <c r="CB1126" s="59"/>
      <c r="CC1126" s="59"/>
      <c r="CD1126" s="59"/>
      <c r="CE1126" s="59"/>
      <c r="CF1126" s="59"/>
      <c r="CG1126" s="59"/>
      <c r="CH1126" s="59"/>
      <c r="CI1126" s="59"/>
      <c r="CJ1126" s="59"/>
      <c r="CK1126" s="59"/>
      <c r="CL1126" s="59"/>
      <c r="CM1126" s="59"/>
      <c r="CN1126" s="59"/>
      <c r="CO1126" s="59"/>
      <c r="CP1126" s="59"/>
      <c r="CQ1126" s="59"/>
      <c r="CR1126" s="59"/>
      <c r="CS1126" s="59"/>
      <c r="CT1126" s="59"/>
      <c r="CU1126" s="59"/>
      <c r="CV1126" s="59"/>
      <c r="CW1126" s="59"/>
      <c r="CX1126" s="59"/>
      <c r="CY1126" s="59"/>
      <c r="CZ1126" s="59"/>
      <c r="DA1126" s="59"/>
      <c r="DB1126" s="59"/>
      <c r="DC1126" s="59"/>
      <c r="DD1126" s="59"/>
      <c r="DE1126" s="59"/>
      <c r="DF1126" s="59"/>
      <c r="DG1126" s="59"/>
      <c r="DH1126" s="59"/>
      <c r="DI1126" s="59"/>
      <c r="DJ1126" s="59"/>
      <c r="DK1126" s="59"/>
      <c r="DL1126" s="59"/>
      <c r="DM1126" s="59"/>
      <c r="DN1126" s="59"/>
      <c r="DO1126" s="59"/>
      <c r="DP1126" s="59"/>
      <c r="DQ1126" s="59"/>
      <c r="DR1126" s="59"/>
      <c r="DS1126" s="59"/>
      <c r="DT1126" s="59"/>
      <c r="DU1126" s="59"/>
      <c r="DV1126" s="59"/>
      <c r="DW1126" s="59"/>
      <c r="DX1126" s="59"/>
      <c r="DY1126" s="59"/>
      <c r="DZ1126" s="59"/>
      <c r="EA1126" s="59"/>
      <c r="EB1126" s="59"/>
      <c r="EC1126" s="59"/>
      <c r="ED1126" s="59"/>
      <c r="EE1126" s="59"/>
      <c r="EF1126" s="59"/>
      <c r="EG1126" s="59"/>
      <c r="EH1126" s="59"/>
      <c r="EI1126" s="59"/>
      <c r="EJ1126" s="59"/>
      <c r="EK1126" s="59"/>
      <c r="EL1126" s="59"/>
      <c r="EM1126" s="59"/>
      <c r="EN1126" s="59"/>
      <c r="EO1126" s="59"/>
      <c r="EP1126" s="59"/>
      <c r="EQ1126" s="59"/>
      <c r="ER1126" s="59"/>
      <c r="ES1126" s="59"/>
      <c r="ET1126" s="59"/>
      <c r="EU1126" s="59"/>
      <c r="EV1126" s="59"/>
      <c r="EW1126" s="59"/>
      <c r="EX1126" s="59"/>
      <c r="EY1126" s="59"/>
      <c r="EZ1126" s="59"/>
      <c r="FA1126" s="59"/>
      <c r="FB1126" s="59"/>
      <c r="FC1126" s="59"/>
      <c r="FD1126" s="59"/>
      <c r="FE1126" s="59"/>
      <c r="FF1126" s="59"/>
      <c r="FG1126" s="59"/>
      <c r="FH1126" s="59"/>
      <c r="FI1126" s="59"/>
      <c r="FJ1126" s="59"/>
      <c r="FK1126" s="59"/>
      <c r="FL1126" s="59"/>
      <c r="FM1126" s="59"/>
      <c r="FN1126" s="59"/>
      <c r="FO1126" s="59"/>
      <c r="FP1126" s="59"/>
      <c r="FQ1126" s="59"/>
      <c r="FR1126" s="59"/>
      <c r="FS1126" s="59"/>
      <c r="FT1126" s="59"/>
      <c r="FU1126" s="59"/>
      <c r="FV1126" s="59"/>
      <c r="FW1126" s="59"/>
      <c r="FX1126" s="59"/>
      <c r="FY1126" s="59"/>
      <c r="FZ1126" s="59"/>
      <c r="GA1126" s="59"/>
      <c r="GB1126" s="59"/>
      <c r="GC1126" s="59"/>
    </row>
    <row r="1127">
      <c r="A1127" s="59"/>
      <c r="B1127" s="59"/>
      <c r="C1127" s="59"/>
      <c r="D1127" s="59"/>
      <c r="E1127" s="59"/>
      <c r="F1127" s="59"/>
      <c r="G1127" s="59"/>
      <c r="H1127" s="59"/>
      <c r="I1127" s="59"/>
      <c r="J1127" s="59"/>
      <c r="K1127" s="59"/>
      <c r="L1127" s="59"/>
      <c r="M1127" s="59"/>
      <c r="N1127" s="59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9"/>
      <c r="BS1127" s="59"/>
      <c r="BT1127" s="59"/>
      <c r="BU1127" s="59"/>
      <c r="BV1127" s="59"/>
      <c r="BW1127" s="59"/>
      <c r="BX1127" s="59"/>
      <c r="BY1127" s="59"/>
      <c r="BZ1127" s="59"/>
      <c r="CA1127" s="59"/>
      <c r="CB1127" s="59"/>
      <c r="CC1127" s="59"/>
      <c r="CD1127" s="59"/>
      <c r="CE1127" s="59"/>
      <c r="CF1127" s="59"/>
      <c r="CG1127" s="59"/>
      <c r="CH1127" s="59"/>
      <c r="CI1127" s="59"/>
      <c r="CJ1127" s="59"/>
      <c r="CK1127" s="59"/>
      <c r="CL1127" s="59"/>
      <c r="CM1127" s="59"/>
      <c r="CN1127" s="59"/>
      <c r="CO1127" s="59"/>
      <c r="CP1127" s="59"/>
      <c r="CQ1127" s="59"/>
      <c r="CR1127" s="59"/>
      <c r="CS1127" s="59"/>
      <c r="CT1127" s="59"/>
      <c r="CU1127" s="59"/>
      <c r="CV1127" s="59"/>
      <c r="CW1127" s="59"/>
      <c r="CX1127" s="59"/>
      <c r="CY1127" s="59"/>
      <c r="CZ1127" s="59"/>
      <c r="DA1127" s="59"/>
      <c r="DB1127" s="59"/>
      <c r="DC1127" s="59"/>
      <c r="DD1127" s="59"/>
      <c r="DE1127" s="59"/>
      <c r="DF1127" s="59"/>
      <c r="DG1127" s="59"/>
      <c r="DH1127" s="59"/>
      <c r="DI1127" s="59"/>
      <c r="DJ1127" s="59"/>
      <c r="DK1127" s="59"/>
      <c r="DL1127" s="59"/>
      <c r="DM1127" s="59"/>
      <c r="DN1127" s="59"/>
      <c r="DO1127" s="59"/>
      <c r="DP1127" s="59"/>
      <c r="DQ1127" s="59"/>
      <c r="DR1127" s="59"/>
      <c r="DS1127" s="59"/>
      <c r="DT1127" s="59"/>
      <c r="DU1127" s="59"/>
      <c r="DV1127" s="59"/>
      <c r="DW1127" s="59"/>
      <c r="DX1127" s="59"/>
      <c r="DY1127" s="59"/>
      <c r="DZ1127" s="59"/>
      <c r="EA1127" s="59"/>
      <c r="EB1127" s="59"/>
      <c r="EC1127" s="59"/>
      <c r="ED1127" s="59"/>
      <c r="EE1127" s="59"/>
      <c r="EF1127" s="59"/>
      <c r="EG1127" s="59"/>
      <c r="EH1127" s="59"/>
      <c r="EI1127" s="59"/>
      <c r="EJ1127" s="59"/>
      <c r="EK1127" s="59"/>
      <c r="EL1127" s="59"/>
      <c r="EM1127" s="59"/>
      <c r="EN1127" s="59"/>
      <c r="EO1127" s="59"/>
      <c r="EP1127" s="59"/>
      <c r="EQ1127" s="59"/>
      <c r="ER1127" s="59"/>
      <c r="ES1127" s="59"/>
      <c r="ET1127" s="59"/>
      <c r="EU1127" s="59"/>
      <c r="EV1127" s="59"/>
      <c r="EW1127" s="59"/>
      <c r="EX1127" s="59"/>
      <c r="EY1127" s="59"/>
      <c r="EZ1127" s="59"/>
      <c r="FA1127" s="59"/>
      <c r="FB1127" s="59"/>
      <c r="FC1127" s="59"/>
      <c r="FD1127" s="59"/>
      <c r="FE1127" s="59"/>
      <c r="FF1127" s="59"/>
      <c r="FG1127" s="59"/>
      <c r="FH1127" s="59"/>
      <c r="FI1127" s="59"/>
      <c r="FJ1127" s="59"/>
      <c r="FK1127" s="59"/>
      <c r="FL1127" s="59"/>
      <c r="FM1127" s="59"/>
      <c r="FN1127" s="59"/>
      <c r="FO1127" s="59"/>
      <c r="FP1127" s="59"/>
      <c r="FQ1127" s="59"/>
      <c r="FR1127" s="59"/>
      <c r="FS1127" s="59"/>
      <c r="FT1127" s="59"/>
      <c r="FU1127" s="59"/>
      <c r="FV1127" s="59"/>
      <c r="FW1127" s="59"/>
      <c r="FX1127" s="59"/>
      <c r="FY1127" s="59"/>
      <c r="FZ1127" s="59"/>
      <c r="GA1127" s="59"/>
      <c r="GB1127" s="59"/>
      <c r="GC1127" s="59"/>
    </row>
    <row r="1128">
      <c r="A1128" s="59"/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59"/>
      <c r="P1128" s="59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59"/>
      <c r="BR1128" s="59"/>
      <c r="BS1128" s="59"/>
      <c r="BT1128" s="59"/>
      <c r="BU1128" s="59"/>
      <c r="BV1128" s="59"/>
      <c r="BW1128" s="59"/>
      <c r="BX1128" s="59"/>
      <c r="BY1128" s="59"/>
      <c r="BZ1128" s="59"/>
      <c r="CA1128" s="59"/>
      <c r="CB1128" s="59"/>
      <c r="CC1128" s="59"/>
      <c r="CD1128" s="59"/>
      <c r="CE1128" s="59"/>
      <c r="CF1128" s="59"/>
      <c r="CG1128" s="59"/>
      <c r="CH1128" s="59"/>
      <c r="CI1128" s="59"/>
      <c r="CJ1128" s="59"/>
      <c r="CK1128" s="59"/>
      <c r="CL1128" s="59"/>
      <c r="CM1128" s="59"/>
      <c r="CN1128" s="59"/>
      <c r="CO1128" s="59"/>
      <c r="CP1128" s="59"/>
      <c r="CQ1128" s="59"/>
      <c r="CR1128" s="59"/>
      <c r="CS1128" s="59"/>
      <c r="CT1128" s="59"/>
      <c r="CU1128" s="59"/>
      <c r="CV1128" s="59"/>
      <c r="CW1128" s="59"/>
      <c r="CX1128" s="59"/>
      <c r="CY1128" s="59"/>
      <c r="CZ1128" s="59"/>
      <c r="DA1128" s="59"/>
      <c r="DB1128" s="59"/>
      <c r="DC1128" s="59"/>
      <c r="DD1128" s="59"/>
      <c r="DE1128" s="59"/>
      <c r="DF1128" s="59"/>
      <c r="DG1128" s="59"/>
      <c r="DH1128" s="59"/>
      <c r="DI1128" s="59"/>
      <c r="DJ1128" s="59"/>
      <c r="DK1128" s="59"/>
      <c r="DL1128" s="59"/>
      <c r="DM1128" s="59"/>
      <c r="DN1128" s="59"/>
      <c r="DO1128" s="59"/>
      <c r="DP1128" s="59"/>
      <c r="DQ1128" s="59"/>
      <c r="DR1128" s="59"/>
      <c r="DS1128" s="59"/>
      <c r="DT1128" s="59"/>
      <c r="DU1128" s="59"/>
      <c r="DV1128" s="59"/>
      <c r="DW1128" s="59"/>
      <c r="DX1128" s="59"/>
      <c r="DY1128" s="59"/>
      <c r="DZ1128" s="59"/>
      <c r="EA1128" s="59"/>
      <c r="EB1128" s="59"/>
      <c r="EC1128" s="59"/>
      <c r="ED1128" s="59"/>
      <c r="EE1128" s="59"/>
      <c r="EF1128" s="59"/>
      <c r="EG1128" s="59"/>
      <c r="EH1128" s="59"/>
      <c r="EI1128" s="59"/>
      <c r="EJ1128" s="59"/>
      <c r="EK1128" s="59"/>
      <c r="EL1128" s="59"/>
      <c r="EM1128" s="59"/>
      <c r="EN1128" s="59"/>
      <c r="EO1128" s="59"/>
      <c r="EP1128" s="59"/>
      <c r="EQ1128" s="59"/>
      <c r="ER1128" s="59"/>
      <c r="ES1128" s="59"/>
      <c r="ET1128" s="59"/>
      <c r="EU1128" s="59"/>
      <c r="EV1128" s="59"/>
      <c r="EW1128" s="59"/>
      <c r="EX1128" s="59"/>
      <c r="EY1128" s="59"/>
      <c r="EZ1128" s="59"/>
      <c r="FA1128" s="59"/>
      <c r="FB1128" s="59"/>
      <c r="FC1128" s="59"/>
      <c r="FD1128" s="59"/>
      <c r="FE1128" s="59"/>
      <c r="FF1128" s="59"/>
      <c r="FG1128" s="59"/>
      <c r="FH1128" s="59"/>
      <c r="FI1128" s="59"/>
      <c r="FJ1128" s="59"/>
      <c r="FK1128" s="59"/>
      <c r="FL1128" s="59"/>
      <c r="FM1128" s="59"/>
      <c r="FN1128" s="59"/>
      <c r="FO1128" s="59"/>
      <c r="FP1128" s="59"/>
      <c r="FQ1128" s="59"/>
      <c r="FR1128" s="59"/>
      <c r="FS1128" s="59"/>
      <c r="FT1128" s="59"/>
      <c r="FU1128" s="59"/>
      <c r="FV1128" s="59"/>
      <c r="FW1128" s="59"/>
      <c r="FX1128" s="59"/>
      <c r="FY1128" s="59"/>
      <c r="FZ1128" s="59"/>
      <c r="GA1128" s="59"/>
      <c r="GB1128" s="59"/>
      <c r="GC1128" s="59"/>
    </row>
    <row r="1129">
      <c r="A1129" s="59"/>
      <c r="B1129" s="59"/>
      <c r="C1129" s="59"/>
      <c r="D1129" s="59"/>
      <c r="E1129" s="59"/>
      <c r="F1129" s="59"/>
      <c r="G1129" s="59"/>
      <c r="H1129" s="59"/>
      <c r="I1129" s="59"/>
      <c r="J1129" s="59"/>
      <c r="K1129" s="59"/>
      <c r="L1129" s="59"/>
      <c r="M1129" s="59"/>
      <c r="N1129" s="59"/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  <c r="BV1129" s="59"/>
      <c r="BW1129" s="59"/>
      <c r="BX1129" s="59"/>
      <c r="BY1129" s="59"/>
      <c r="BZ1129" s="59"/>
      <c r="CA1129" s="59"/>
      <c r="CB1129" s="59"/>
      <c r="CC1129" s="59"/>
      <c r="CD1129" s="59"/>
      <c r="CE1129" s="59"/>
      <c r="CF1129" s="59"/>
      <c r="CG1129" s="59"/>
      <c r="CH1129" s="59"/>
      <c r="CI1129" s="59"/>
      <c r="CJ1129" s="59"/>
      <c r="CK1129" s="59"/>
      <c r="CL1129" s="59"/>
      <c r="CM1129" s="59"/>
      <c r="CN1129" s="59"/>
      <c r="CO1129" s="59"/>
      <c r="CP1129" s="59"/>
      <c r="CQ1129" s="59"/>
      <c r="CR1129" s="59"/>
      <c r="CS1129" s="59"/>
      <c r="CT1129" s="59"/>
      <c r="CU1129" s="59"/>
      <c r="CV1129" s="59"/>
      <c r="CW1129" s="59"/>
      <c r="CX1129" s="59"/>
      <c r="CY1129" s="59"/>
      <c r="CZ1129" s="59"/>
      <c r="DA1129" s="59"/>
      <c r="DB1129" s="59"/>
      <c r="DC1129" s="59"/>
      <c r="DD1129" s="59"/>
      <c r="DE1129" s="59"/>
      <c r="DF1129" s="59"/>
      <c r="DG1129" s="59"/>
      <c r="DH1129" s="59"/>
      <c r="DI1129" s="59"/>
      <c r="DJ1129" s="59"/>
      <c r="DK1129" s="59"/>
      <c r="DL1129" s="59"/>
      <c r="DM1129" s="59"/>
      <c r="DN1129" s="59"/>
      <c r="DO1129" s="59"/>
      <c r="DP1129" s="59"/>
      <c r="DQ1129" s="59"/>
      <c r="DR1129" s="59"/>
      <c r="DS1129" s="59"/>
      <c r="DT1129" s="59"/>
      <c r="DU1129" s="59"/>
      <c r="DV1129" s="59"/>
      <c r="DW1129" s="59"/>
      <c r="DX1129" s="59"/>
      <c r="DY1129" s="59"/>
      <c r="DZ1129" s="59"/>
      <c r="EA1129" s="59"/>
      <c r="EB1129" s="59"/>
      <c r="EC1129" s="59"/>
      <c r="ED1129" s="59"/>
      <c r="EE1129" s="59"/>
      <c r="EF1129" s="59"/>
      <c r="EG1129" s="59"/>
      <c r="EH1129" s="59"/>
      <c r="EI1129" s="59"/>
      <c r="EJ1129" s="59"/>
      <c r="EK1129" s="59"/>
      <c r="EL1129" s="59"/>
      <c r="EM1129" s="59"/>
      <c r="EN1129" s="59"/>
      <c r="EO1129" s="59"/>
      <c r="EP1129" s="59"/>
      <c r="EQ1129" s="59"/>
      <c r="ER1129" s="59"/>
      <c r="ES1129" s="59"/>
      <c r="ET1129" s="59"/>
      <c r="EU1129" s="59"/>
      <c r="EV1129" s="59"/>
      <c r="EW1129" s="59"/>
      <c r="EX1129" s="59"/>
      <c r="EY1129" s="59"/>
      <c r="EZ1129" s="59"/>
      <c r="FA1129" s="59"/>
      <c r="FB1129" s="59"/>
      <c r="FC1129" s="59"/>
      <c r="FD1129" s="59"/>
      <c r="FE1129" s="59"/>
      <c r="FF1129" s="59"/>
      <c r="FG1129" s="59"/>
      <c r="FH1129" s="59"/>
      <c r="FI1129" s="59"/>
      <c r="FJ1129" s="59"/>
      <c r="FK1129" s="59"/>
      <c r="FL1129" s="59"/>
      <c r="FM1129" s="59"/>
      <c r="FN1129" s="59"/>
      <c r="FO1129" s="59"/>
      <c r="FP1129" s="59"/>
      <c r="FQ1129" s="59"/>
      <c r="FR1129" s="59"/>
      <c r="FS1129" s="59"/>
      <c r="FT1129" s="59"/>
      <c r="FU1129" s="59"/>
      <c r="FV1129" s="59"/>
      <c r="FW1129" s="59"/>
      <c r="FX1129" s="59"/>
      <c r="FY1129" s="59"/>
      <c r="FZ1129" s="59"/>
      <c r="GA1129" s="59"/>
      <c r="GB1129" s="59"/>
      <c r="GC1129" s="59"/>
    </row>
    <row r="1130">
      <c r="A1130" s="59"/>
      <c r="B1130" s="59"/>
      <c r="C1130" s="59"/>
      <c r="D1130" s="59"/>
      <c r="E1130" s="59"/>
      <c r="F1130" s="59"/>
      <c r="G1130" s="59"/>
      <c r="H1130" s="59"/>
      <c r="I1130" s="59"/>
      <c r="J1130" s="59"/>
      <c r="K1130" s="59"/>
      <c r="L1130" s="59"/>
      <c r="M1130" s="59"/>
      <c r="N1130" s="59"/>
      <c r="O1130" s="59"/>
      <c r="P1130" s="59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59"/>
      <c r="BR1130" s="59"/>
      <c r="BS1130" s="59"/>
      <c r="BT1130" s="59"/>
      <c r="BU1130" s="59"/>
      <c r="BV1130" s="59"/>
      <c r="BW1130" s="59"/>
      <c r="BX1130" s="59"/>
      <c r="BY1130" s="59"/>
      <c r="BZ1130" s="59"/>
      <c r="CA1130" s="59"/>
      <c r="CB1130" s="59"/>
      <c r="CC1130" s="59"/>
      <c r="CD1130" s="59"/>
      <c r="CE1130" s="59"/>
      <c r="CF1130" s="59"/>
      <c r="CG1130" s="59"/>
      <c r="CH1130" s="59"/>
      <c r="CI1130" s="59"/>
      <c r="CJ1130" s="59"/>
      <c r="CK1130" s="59"/>
      <c r="CL1130" s="59"/>
      <c r="CM1130" s="59"/>
      <c r="CN1130" s="59"/>
      <c r="CO1130" s="59"/>
      <c r="CP1130" s="59"/>
      <c r="CQ1130" s="59"/>
      <c r="CR1130" s="59"/>
      <c r="CS1130" s="59"/>
      <c r="CT1130" s="59"/>
      <c r="CU1130" s="59"/>
      <c r="CV1130" s="59"/>
      <c r="CW1130" s="59"/>
      <c r="CX1130" s="59"/>
      <c r="CY1130" s="59"/>
      <c r="CZ1130" s="59"/>
      <c r="DA1130" s="59"/>
      <c r="DB1130" s="59"/>
      <c r="DC1130" s="59"/>
      <c r="DD1130" s="59"/>
      <c r="DE1130" s="59"/>
      <c r="DF1130" s="59"/>
      <c r="DG1130" s="59"/>
      <c r="DH1130" s="59"/>
      <c r="DI1130" s="59"/>
      <c r="DJ1130" s="59"/>
      <c r="DK1130" s="59"/>
      <c r="DL1130" s="59"/>
      <c r="DM1130" s="59"/>
      <c r="DN1130" s="59"/>
      <c r="DO1130" s="59"/>
      <c r="DP1130" s="59"/>
      <c r="DQ1130" s="59"/>
      <c r="DR1130" s="59"/>
      <c r="DS1130" s="59"/>
      <c r="DT1130" s="59"/>
      <c r="DU1130" s="59"/>
      <c r="DV1130" s="59"/>
      <c r="DW1130" s="59"/>
      <c r="DX1130" s="59"/>
      <c r="DY1130" s="59"/>
      <c r="DZ1130" s="59"/>
      <c r="EA1130" s="59"/>
      <c r="EB1130" s="59"/>
      <c r="EC1130" s="59"/>
      <c r="ED1130" s="59"/>
      <c r="EE1130" s="59"/>
      <c r="EF1130" s="59"/>
      <c r="EG1130" s="59"/>
      <c r="EH1130" s="59"/>
      <c r="EI1130" s="59"/>
      <c r="EJ1130" s="59"/>
      <c r="EK1130" s="59"/>
      <c r="EL1130" s="59"/>
      <c r="EM1130" s="59"/>
      <c r="EN1130" s="59"/>
      <c r="EO1130" s="59"/>
      <c r="EP1130" s="59"/>
      <c r="EQ1130" s="59"/>
      <c r="ER1130" s="59"/>
      <c r="ES1130" s="59"/>
      <c r="ET1130" s="59"/>
      <c r="EU1130" s="59"/>
      <c r="EV1130" s="59"/>
      <c r="EW1130" s="59"/>
      <c r="EX1130" s="59"/>
      <c r="EY1130" s="59"/>
      <c r="EZ1130" s="59"/>
      <c r="FA1130" s="59"/>
      <c r="FB1130" s="59"/>
      <c r="FC1130" s="59"/>
      <c r="FD1130" s="59"/>
      <c r="FE1130" s="59"/>
      <c r="FF1130" s="59"/>
      <c r="FG1130" s="59"/>
      <c r="FH1130" s="59"/>
      <c r="FI1130" s="59"/>
      <c r="FJ1130" s="59"/>
      <c r="FK1130" s="59"/>
      <c r="FL1130" s="59"/>
      <c r="FM1130" s="59"/>
      <c r="FN1130" s="59"/>
      <c r="FO1130" s="59"/>
      <c r="FP1130" s="59"/>
      <c r="FQ1130" s="59"/>
      <c r="FR1130" s="59"/>
      <c r="FS1130" s="59"/>
      <c r="FT1130" s="59"/>
      <c r="FU1130" s="59"/>
      <c r="FV1130" s="59"/>
      <c r="FW1130" s="59"/>
      <c r="FX1130" s="59"/>
      <c r="FY1130" s="59"/>
      <c r="FZ1130" s="59"/>
      <c r="GA1130" s="59"/>
      <c r="GB1130" s="59"/>
      <c r="GC1130" s="59"/>
    </row>
    <row r="1131">
      <c r="A1131" s="59"/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59"/>
      <c r="P1131" s="59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  <c r="AD1131" s="59"/>
      <c r="AE1131" s="59"/>
      <c r="AF1131" s="59"/>
      <c r="AG1131" s="59"/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59"/>
      <c r="BR1131" s="59"/>
      <c r="BS1131" s="59"/>
      <c r="BT1131" s="59"/>
      <c r="BU1131" s="59"/>
      <c r="BV1131" s="59"/>
      <c r="BW1131" s="59"/>
      <c r="BX1131" s="59"/>
      <c r="BY1131" s="59"/>
      <c r="BZ1131" s="59"/>
      <c r="CA1131" s="59"/>
      <c r="CB1131" s="59"/>
      <c r="CC1131" s="59"/>
      <c r="CD1131" s="59"/>
      <c r="CE1131" s="59"/>
      <c r="CF1131" s="59"/>
      <c r="CG1131" s="59"/>
      <c r="CH1131" s="59"/>
      <c r="CI1131" s="59"/>
      <c r="CJ1131" s="59"/>
      <c r="CK1131" s="59"/>
      <c r="CL1131" s="59"/>
      <c r="CM1131" s="59"/>
      <c r="CN1131" s="59"/>
      <c r="CO1131" s="59"/>
      <c r="CP1131" s="59"/>
      <c r="CQ1131" s="59"/>
      <c r="CR1131" s="59"/>
      <c r="CS1131" s="59"/>
      <c r="CT1131" s="59"/>
      <c r="CU1131" s="59"/>
      <c r="CV1131" s="59"/>
      <c r="CW1131" s="59"/>
      <c r="CX1131" s="59"/>
      <c r="CY1131" s="59"/>
      <c r="CZ1131" s="59"/>
      <c r="DA1131" s="59"/>
      <c r="DB1131" s="59"/>
      <c r="DC1131" s="59"/>
      <c r="DD1131" s="59"/>
      <c r="DE1131" s="59"/>
      <c r="DF1131" s="59"/>
      <c r="DG1131" s="59"/>
      <c r="DH1131" s="59"/>
      <c r="DI1131" s="59"/>
      <c r="DJ1131" s="59"/>
      <c r="DK1131" s="59"/>
      <c r="DL1131" s="59"/>
      <c r="DM1131" s="59"/>
      <c r="DN1131" s="59"/>
      <c r="DO1131" s="59"/>
      <c r="DP1131" s="59"/>
      <c r="DQ1131" s="59"/>
      <c r="DR1131" s="59"/>
      <c r="DS1131" s="59"/>
      <c r="DT1131" s="59"/>
      <c r="DU1131" s="59"/>
      <c r="DV1131" s="59"/>
      <c r="DW1131" s="59"/>
      <c r="DX1131" s="59"/>
      <c r="DY1131" s="59"/>
      <c r="DZ1131" s="59"/>
      <c r="EA1131" s="59"/>
      <c r="EB1131" s="59"/>
      <c r="EC1131" s="59"/>
      <c r="ED1131" s="59"/>
      <c r="EE1131" s="59"/>
      <c r="EF1131" s="59"/>
      <c r="EG1131" s="59"/>
      <c r="EH1131" s="59"/>
      <c r="EI1131" s="59"/>
      <c r="EJ1131" s="59"/>
      <c r="EK1131" s="59"/>
      <c r="EL1131" s="59"/>
      <c r="EM1131" s="59"/>
      <c r="EN1131" s="59"/>
      <c r="EO1131" s="59"/>
      <c r="EP1131" s="59"/>
      <c r="EQ1131" s="59"/>
      <c r="ER1131" s="59"/>
      <c r="ES1131" s="59"/>
      <c r="ET1131" s="59"/>
      <c r="EU1131" s="59"/>
      <c r="EV1131" s="59"/>
      <c r="EW1131" s="59"/>
      <c r="EX1131" s="59"/>
      <c r="EY1131" s="59"/>
      <c r="EZ1131" s="59"/>
      <c r="FA1131" s="59"/>
      <c r="FB1131" s="59"/>
      <c r="FC1131" s="59"/>
      <c r="FD1131" s="59"/>
      <c r="FE1131" s="59"/>
      <c r="FF1131" s="59"/>
      <c r="FG1131" s="59"/>
      <c r="FH1131" s="59"/>
      <c r="FI1131" s="59"/>
      <c r="FJ1131" s="59"/>
      <c r="FK1131" s="59"/>
      <c r="FL1131" s="59"/>
      <c r="FM1131" s="59"/>
      <c r="FN1131" s="59"/>
      <c r="FO1131" s="59"/>
      <c r="FP1131" s="59"/>
      <c r="FQ1131" s="59"/>
      <c r="FR1131" s="59"/>
      <c r="FS1131" s="59"/>
      <c r="FT1131" s="59"/>
      <c r="FU1131" s="59"/>
      <c r="FV1131" s="59"/>
      <c r="FW1131" s="59"/>
      <c r="FX1131" s="59"/>
      <c r="FY1131" s="59"/>
      <c r="FZ1131" s="59"/>
      <c r="GA1131" s="59"/>
      <c r="GB1131" s="59"/>
      <c r="GC1131" s="59"/>
    </row>
    <row r="1132">
      <c r="A1132" s="59"/>
      <c r="B1132" s="59"/>
      <c r="C1132" s="59"/>
      <c r="D1132" s="59"/>
      <c r="E1132" s="59"/>
      <c r="F1132" s="59"/>
      <c r="G1132" s="59"/>
      <c r="H1132" s="59"/>
      <c r="I1132" s="59"/>
      <c r="J1132" s="59"/>
      <c r="K1132" s="59"/>
      <c r="L1132" s="59"/>
      <c r="M1132" s="59"/>
      <c r="N1132" s="59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59"/>
      <c r="BR1132" s="59"/>
      <c r="BS1132" s="59"/>
      <c r="BT1132" s="59"/>
      <c r="BU1132" s="59"/>
      <c r="BV1132" s="59"/>
      <c r="BW1132" s="59"/>
      <c r="BX1132" s="59"/>
      <c r="BY1132" s="59"/>
      <c r="BZ1132" s="59"/>
      <c r="CA1132" s="59"/>
      <c r="CB1132" s="59"/>
      <c r="CC1132" s="59"/>
      <c r="CD1132" s="59"/>
      <c r="CE1132" s="59"/>
      <c r="CF1132" s="59"/>
      <c r="CG1132" s="59"/>
      <c r="CH1132" s="59"/>
      <c r="CI1132" s="59"/>
      <c r="CJ1132" s="59"/>
      <c r="CK1132" s="59"/>
      <c r="CL1132" s="59"/>
      <c r="CM1132" s="59"/>
      <c r="CN1132" s="59"/>
      <c r="CO1132" s="59"/>
      <c r="CP1132" s="59"/>
      <c r="CQ1132" s="59"/>
      <c r="CR1132" s="59"/>
      <c r="CS1132" s="59"/>
      <c r="CT1132" s="59"/>
      <c r="CU1132" s="59"/>
      <c r="CV1132" s="59"/>
      <c r="CW1132" s="59"/>
      <c r="CX1132" s="59"/>
      <c r="CY1132" s="59"/>
      <c r="CZ1132" s="59"/>
      <c r="DA1132" s="59"/>
      <c r="DB1132" s="59"/>
      <c r="DC1132" s="59"/>
      <c r="DD1132" s="59"/>
      <c r="DE1132" s="59"/>
      <c r="DF1132" s="59"/>
      <c r="DG1132" s="59"/>
      <c r="DH1132" s="59"/>
      <c r="DI1132" s="59"/>
      <c r="DJ1132" s="59"/>
      <c r="DK1132" s="59"/>
      <c r="DL1132" s="59"/>
      <c r="DM1132" s="59"/>
      <c r="DN1132" s="59"/>
      <c r="DO1132" s="59"/>
      <c r="DP1132" s="59"/>
      <c r="DQ1132" s="59"/>
      <c r="DR1132" s="59"/>
      <c r="DS1132" s="59"/>
      <c r="DT1132" s="59"/>
      <c r="DU1132" s="59"/>
      <c r="DV1132" s="59"/>
      <c r="DW1132" s="59"/>
      <c r="DX1132" s="59"/>
      <c r="DY1132" s="59"/>
      <c r="DZ1132" s="59"/>
      <c r="EA1132" s="59"/>
      <c r="EB1132" s="59"/>
      <c r="EC1132" s="59"/>
      <c r="ED1132" s="59"/>
      <c r="EE1132" s="59"/>
      <c r="EF1132" s="59"/>
      <c r="EG1132" s="59"/>
      <c r="EH1132" s="59"/>
      <c r="EI1132" s="59"/>
      <c r="EJ1132" s="59"/>
      <c r="EK1132" s="59"/>
      <c r="EL1132" s="59"/>
      <c r="EM1132" s="59"/>
      <c r="EN1132" s="59"/>
      <c r="EO1132" s="59"/>
      <c r="EP1132" s="59"/>
      <c r="EQ1132" s="59"/>
      <c r="ER1132" s="59"/>
      <c r="ES1132" s="59"/>
      <c r="ET1132" s="59"/>
      <c r="EU1132" s="59"/>
      <c r="EV1132" s="59"/>
      <c r="EW1132" s="59"/>
      <c r="EX1132" s="59"/>
      <c r="EY1132" s="59"/>
      <c r="EZ1132" s="59"/>
      <c r="FA1132" s="59"/>
      <c r="FB1132" s="59"/>
      <c r="FC1132" s="59"/>
      <c r="FD1132" s="59"/>
      <c r="FE1132" s="59"/>
      <c r="FF1132" s="59"/>
      <c r="FG1132" s="59"/>
      <c r="FH1132" s="59"/>
      <c r="FI1132" s="59"/>
      <c r="FJ1132" s="59"/>
      <c r="FK1132" s="59"/>
      <c r="FL1132" s="59"/>
      <c r="FM1132" s="59"/>
      <c r="FN1132" s="59"/>
      <c r="FO1132" s="59"/>
      <c r="FP1132" s="59"/>
      <c r="FQ1132" s="59"/>
      <c r="FR1132" s="59"/>
      <c r="FS1132" s="59"/>
      <c r="FT1132" s="59"/>
      <c r="FU1132" s="59"/>
      <c r="FV1132" s="59"/>
      <c r="FW1132" s="59"/>
      <c r="FX1132" s="59"/>
      <c r="FY1132" s="59"/>
      <c r="FZ1132" s="59"/>
      <c r="GA1132" s="59"/>
      <c r="GB1132" s="59"/>
      <c r="GC1132" s="59"/>
    </row>
    <row r="1133">
      <c r="A1133" s="59"/>
      <c r="B1133" s="59"/>
      <c r="C1133" s="59"/>
      <c r="D1133" s="59"/>
      <c r="E1133" s="59"/>
      <c r="F1133" s="59"/>
      <c r="G1133" s="59"/>
      <c r="H1133" s="59"/>
      <c r="I1133" s="59"/>
      <c r="J1133" s="59"/>
      <c r="K1133" s="59"/>
      <c r="L1133" s="59"/>
      <c r="M1133" s="59"/>
      <c r="N1133" s="59"/>
      <c r="O1133" s="59"/>
      <c r="P1133" s="59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  <c r="AD1133" s="59"/>
      <c r="AE1133" s="59"/>
      <c r="AF1133" s="59"/>
      <c r="AG1133" s="59"/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59"/>
      <c r="BR1133" s="59"/>
      <c r="BS1133" s="59"/>
      <c r="BT1133" s="59"/>
      <c r="BU1133" s="59"/>
      <c r="BV1133" s="59"/>
      <c r="BW1133" s="59"/>
      <c r="BX1133" s="59"/>
      <c r="BY1133" s="59"/>
      <c r="BZ1133" s="59"/>
      <c r="CA1133" s="59"/>
      <c r="CB1133" s="59"/>
      <c r="CC1133" s="59"/>
      <c r="CD1133" s="59"/>
      <c r="CE1133" s="59"/>
      <c r="CF1133" s="59"/>
      <c r="CG1133" s="59"/>
      <c r="CH1133" s="59"/>
      <c r="CI1133" s="59"/>
      <c r="CJ1133" s="59"/>
      <c r="CK1133" s="59"/>
      <c r="CL1133" s="59"/>
      <c r="CM1133" s="59"/>
      <c r="CN1133" s="59"/>
      <c r="CO1133" s="59"/>
      <c r="CP1133" s="59"/>
      <c r="CQ1133" s="59"/>
      <c r="CR1133" s="59"/>
      <c r="CS1133" s="59"/>
      <c r="CT1133" s="59"/>
      <c r="CU1133" s="59"/>
      <c r="CV1133" s="59"/>
      <c r="CW1133" s="59"/>
      <c r="CX1133" s="59"/>
      <c r="CY1133" s="59"/>
      <c r="CZ1133" s="59"/>
      <c r="DA1133" s="59"/>
      <c r="DB1133" s="59"/>
      <c r="DC1133" s="59"/>
      <c r="DD1133" s="59"/>
      <c r="DE1133" s="59"/>
      <c r="DF1133" s="59"/>
      <c r="DG1133" s="59"/>
      <c r="DH1133" s="59"/>
      <c r="DI1133" s="59"/>
      <c r="DJ1133" s="59"/>
      <c r="DK1133" s="59"/>
      <c r="DL1133" s="59"/>
      <c r="DM1133" s="59"/>
      <c r="DN1133" s="59"/>
      <c r="DO1133" s="59"/>
      <c r="DP1133" s="59"/>
      <c r="DQ1133" s="59"/>
      <c r="DR1133" s="59"/>
      <c r="DS1133" s="59"/>
      <c r="DT1133" s="59"/>
      <c r="DU1133" s="59"/>
      <c r="DV1133" s="59"/>
      <c r="DW1133" s="59"/>
      <c r="DX1133" s="59"/>
      <c r="DY1133" s="59"/>
      <c r="DZ1133" s="59"/>
      <c r="EA1133" s="59"/>
      <c r="EB1133" s="59"/>
      <c r="EC1133" s="59"/>
      <c r="ED1133" s="59"/>
      <c r="EE1133" s="59"/>
      <c r="EF1133" s="59"/>
      <c r="EG1133" s="59"/>
      <c r="EH1133" s="59"/>
      <c r="EI1133" s="59"/>
      <c r="EJ1133" s="59"/>
      <c r="EK1133" s="59"/>
      <c r="EL1133" s="59"/>
      <c r="EM1133" s="59"/>
      <c r="EN1133" s="59"/>
      <c r="EO1133" s="59"/>
      <c r="EP1133" s="59"/>
      <c r="EQ1133" s="59"/>
      <c r="ER1133" s="59"/>
      <c r="ES1133" s="59"/>
      <c r="ET1133" s="59"/>
      <c r="EU1133" s="59"/>
      <c r="EV1133" s="59"/>
      <c r="EW1133" s="59"/>
      <c r="EX1133" s="59"/>
      <c r="EY1133" s="59"/>
      <c r="EZ1133" s="59"/>
      <c r="FA1133" s="59"/>
      <c r="FB1133" s="59"/>
      <c r="FC1133" s="59"/>
      <c r="FD1133" s="59"/>
      <c r="FE1133" s="59"/>
      <c r="FF1133" s="59"/>
      <c r="FG1133" s="59"/>
      <c r="FH1133" s="59"/>
      <c r="FI1133" s="59"/>
      <c r="FJ1133" s="59"/>
      <c r="FK1133" s="59"/>
      <c r="FL1133" s="59"/>
      <c r="FM1133" s="59"/>
      <c r="FN1133" s="59"/>
      <c r="FO1133" s="59"/>
      <c r="FP1133" s="59"/>
      <c r="FQ1133" s="59"/>
      <c r="FR1133" s="59"/>
      <c r="FS1133" s="59"/>
      <c r="FT1133" s="59"/>
      <c r="FU1133" s="59"/>
      <c r="FV1133" s="59"/>
      <c r="FW1133" s="59"/>
      <c r="FX1133" s="59"/>
      <c r="FY1133" s="59"/>
      <c r="FZ1133" s="59"/>
      <c r="GA1133" s="59"/>
      <c r="GB1133" s="59"/>
      <c r="GC1133" s="59"/>
    </row>
    <row r="1134">
      <c r="A1134" s="59"/>
      <c r="B1134" s="59"/>
      <c r="C1134" s="59"/>
      <c r="D1134" s="59"/>
      <c r="E1134" s="59"/>
      <c r="F1134" s="59"/>
      <c r="G1134" s="59"/>
      <c r="H1134" s="59"/>
      <c r="I1134" s="59"/>
      <c r="J1134" s="59"/>
      <c r="K1134" s="59"/>
      <c r="L1134" s="59"/>
      <c r="M1134" s="59"/>
      <c r="N1134" s="59"/>
      <c r="O1134" s="59"/>
      <c r="P1134" s="59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59"/>
      <c r="BR1134" s="59"/>
      <c r="BS1134" s="59"/>
      <c r="BT1134" s="59"/>
      <c r="BU1134" s="59"/>
      <c r="BV1134" s="59"/>
      <c r="BW1134" s="59"/>
      <c r="BX1134" s="59"/>
      <c r="BY1134" s="59"/>
      <c r="BZ1134" s="59"/>
      <c r="CA1134" s="59"/>
      <c r="CB1134" s="59"/>
      <c r="CC1134" s="59"/>
      <c r="CD1134" s="59"/>
      <c r="CE1134" s="59"/>
      <c r="CF1134" s="59"/>
      <c r="CG1134" s="59"/>
      <c r="CH1134" s="59"/>
      <c r="CI1134" s="59"/>
      <c r="CJ1134" s="59"/>
      <c r="CK1134" s="59"/>
      <c r="CL1134" s="59"/>
      <c r="CM1134" s="59"/>
      <c r="CN1134" s="59"/>
      <c r="CO1134" s="59"/>
      <c r="CP1134" s="59"/>
      <c r="CQ1134" s="59"/>
      <c r="CR1134" s="59"/>
      <c r="CS1134" s="59"/>
      <c r="CT1134" s="59"/>
      <c r="CU1134" s="59"/>
      <c r="CV1134" s="59"/>
      <c r="CW1134" s="59"/>
      <c r="CX1134" s="59"/>
      <c r="CY1134" s="59"/>
      <c r="CZ1134" s="59"/>
      <c r="DA1134" s="59"/>
      <c r="DB1134" s="59"/>
      <c r="DC1134" s="59"/>
      <c r="DD1134" s="59"/>
      <c r="DE1134" s="59"/>
      <c r="DF1134" s="59"/>
      <c r="DG1134" s="59"/>
      <c r="DH1134" s="59"/>
      <c r="DI1134" s="59"/>
      <c r="DJ1134" s="59"/>
      <c r="DK1134" s="59"/>
      <c r="DL1134" s="59"/>
      <c r="DM1134" s="59"/>
      <c r="DN1134" s="59"/>
      <c r="DO1134" s="59"/>
      <c r="DP1134" s="59"/>
      <c r="DQ1134" s="59"/>
      <c r="DR1134" s="59"/>
      <c r="DS1134" s="59"/>
      <c r="DT1134" s="59"/>
      <c r="DU1134" s="59"/>
      <c r="DV1134" s="59"/>
      <c r="DW1134" s="59"/>
      <c r="DX1134" s="59"/>
      <c r="DY1134" s="59"/>
      <c r="DZ1134" s="59"/>
      <c r="EA1134" s="59"/>
      <c r="EB1134" s="59"/>
      <c r="EC1134" s="59"/>
      <c r="ED1134" s="59"/>
      <c r="EE1134" s="59"/>
      <c r="EF1134" s="59"/>
      <c r="EG1134" s="59"/>
      <c r="EH1134" s="59"/>
      <c r="EI1134" s="59"/>
      <c r="EJ1134" s="59"/>
      <c r="EK1134" s="59"/>
      <c r="EL1134" s="59"/>
      <c r="EM1134" s="59"/>
      <c r="EN1134" s="59"/>
      <c r="EO1134" s="59"/>
      <c r="EP1134" s="59"/>
      <c r="EQ1134" s="59"/>
      <c r="ER1134" s="59"/>
      <c r="ES1134" s="59"/>
      <c r="ET1134" s="59"/>
      <c r="EU1134" s="59"/>
      <c r="EV1134" s="59"/>
      <c r="EW1134" s="59"/>
      <c r="EX1134" s="59"/>
      <c r="EY1134" s="59"/>
      <c r="EZ1134" s="59"/>
      <c r="FA1134" s="59"/>
      <c r="FB1134" s="59"/>
      <c r="FC1134" s="59"/>
      <c r="FD1134" s="59"/>
      <c r="FE1134" s="59"/>
      <c r="FF1134" s="59"/>
      <c r="FG1134" s="59"/>
      <c r="FH1134" s="59"/>
      <c r="FI1134" s="59"/>
      <c r="FJ1134" s="59"/>
      <c r="FK1134" s="59"/>
      <c r="FL1134" s="59"/>
      <c r="FM1134" s="59"/>
      <c r="FN1134" s="59"/>
      <c r="FO1134" s="59"/>
      <c r="FP1134" s="59"/>
      <c r="FQ1134" s="59"/>
      <c r="FR1134" s="59"/>
      <c r="FS1134" s="59"/>
      <c r="FT1134" s="59"/>
      <c r="FU1134" s="59"/>
      <c r="FV1134" s="59"/>
      <c r="FW1134" s="59"/>
      <c r="FX1134" s="59"/>
      <c r="FY1134" s="59"/>
      <c r="FZ1134" s="59"/>
      <c r="GA1134" s="59"/>
      <c r="GB1134" s="59"/>
      <c r="GC1134" s="59"/>
    </row>
    <row r="1135">
      <c r="A1135" s="59"/>
      <c r="B1135" s="59"/>
      <c r="C1135" s="59"/>
      <c r="D1135" s="59"/>
      <c r="E1135" s="59"/>
      <c r="F1135" s="59"/>
      <c r="G1135" s="59"/>
      <c r="H1135" s="59"/>
      <c r="I1135" s="59"/>
      <c r="J1135" s="59"/>
      <c r="K1135" s="59"/>
      <c r="L1135" s="59"/>
      <c r="M1135" s="59"/>
      <c r="N1135" s="59"/>
      <c r="O1135" s="59"/>
      <c r="P1135" s="59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  <c r="AD1135" s="59"/>
      <c r="AE1135" s="59"/>
      <c r="AF1135" s="59"/>
      <c r="AG1135" s="59"/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59"/>
      <c r="BR1135" s="59"/>
      <c r="BS1135" s="59"/>
      <c r="BT1135" s="59"/>
      <c r="BU1135" s="59"/>
      <c r="BV1135" s="59"/>
      <c r="BW1135" s="59"/>
      <c r="BX1135" s="59"/>
      <c r="BY1135" s="59"/>
      <c r="BZ1135" s="59"/>
      <c r="CA1135" s="59"/>
      <c r="CB1135" s="59"/>
      <c r="CC1135" s="59"/>
      <c r="CD1135" s="59"/>
      <c r="CE1135" s="59"/>
      <c r="CF1135" s="59"/>
      <c r="CG1135" s="59"/>
      <c r="CH1135" s="59"/>
      <c r="CI1135" s="59"/>
      <c r="CJ1135" s="59"/>
      <c r="CK1135" s="59"/>
      <c r="CL1135" s="59"/>
      <c r="CM1135" s="59"/>
      <c r="CN1135" s="59"/>
      <c r="CO1135" s="59"/>
      <c r="CP1135" s="59"/>
      <c r="CQ1135" s="59"/>
      <c r="CR1135" s="59"/>
      <c r="CS1135" s="59"/>
      <c r="CT1135" s="59"/>
      <c r="CU1135" s="59"/>
      <c r="CV1135" s="59"/>
      <c r="CW1135" s="59"/>
      <c r="CX1135" s="59"/>
      <c r="CY1135" s="59"/>
      <c r="CZ1135" s="59"/>
      <c r="DA1135" s="59"/>
      <c r="DB1135" s="59"/>
      <c r="DC1135" s="59"/>
      <c r="DD1135" s="59"/>
      <c r="DE1135" s="59"/>
      <c r="DF1135" s="59"/>
      <c r="DG1135" s="59"/>
      <c r="DH1135" s="59"/>
      <c r="DI1135" s="59"/>
      <c r="DJ1135" s="59"/>
      <c r="DK1135" s="59"/>
      <c r="DL1135" s="59"/>
      <c r="DM1135" s="59"/>
      <c r="DN1135" s="59"/>
      <c r="DO1135" s="59"/>
      <c r="DP1135" s="59"/>
      <c r="DQ1135" s="59"/>
      <c r="DR1135" s="59"/>
      <c r="DS1135" s="59"/>
      <c r="DT1135" s="59"/>
      <c r="DU1135" s="59"/>
      <c r="DV1135" s="59"/>
      <c r="DW1135" s="59"/>
      <c r="DX1135" s="59"/>
      <c r="DY1135" s="59"/>
      <c r="DZ1135" s="59"/>
      <c r="EA1135" s="59"/>
      <c r="EB1135" s="59"/>
      <c r="EC1135" s="59"/>
      <c r="ED1135" s="59"/>
      <c r="EE1135" s="59"/>
      <c r="EF1135" s="59"/>
      <c r="EG1135" s="59"/>
      <c r="EH1135" s="59"/>
      <c r="EI1135" s="59"/>
      <c r="EJ1135" s="59"/>
      <c r="EK1135" s="59"/>
      <c r="EL1135" s="59"/>
      <c r="EM1135" s="59"/>
      <c r="EN1135" s="59"/>
      <c r="EO1135" s="59"/>
      <c r="EP1135" s="59"/>
      <c r="EQ1135" s="59"/>
      <c r="ER1135" s="59"/>
      <c r="ES1135" s="59"/>
      <c r="ET1135" s="59"/>
      <c r="EU1135" s="59"/>
      <c r="EV1135" s="59"/>
      <c r="EW1135" s="59"/>
      <c r="EX1135" s="59"/>
      <c r="EY1135" s="59"/>
      <c r="EZ1135" s="59"/>
      <c r="FA1135" s="59"/>
      <c r="FB1135" s="59"/>
      <c r="FC1135" s="59"/>
      <c r="FD1135" s="59"/>
      <c r="FE1135" s="59"/>
      <c r="FF1135" s="59"/>
      <c r="FG1135" s="59"/>
      <c r="FH1135" s="59"/>
      <c r="FI1135" s="59"/>
      <c r="FJ1135" s="59"/>
      <c r="FK1135" s="59"/>
      <c r="FL1135" s="59"/>
      <c r="FM1135" s="59"/>
      <c r="FN1135" s="59"/>
      <c r="FO1135" s="59"/>
      <c r="FP1135" s="59"/>
      <c r="FQ1135" s="59"/>
      <c r="FR1135" s="59"/>
      <c r="FS1135" s="59"/>
      <c r="FT1135" s="59"/>
      <c r="FU1135" s="59"/>
      <c r="FV1135" s="59"/>
      <c r="FW1135" s="59"/>
      <c r="FX1135" s="59"/>
      <c r="FY1135" s="59"/>
      <c r="FZ1135" s="59"/>
      <c r="GA1135" s="59"/>
      <c r="GB1135" s="59"/>
      <c r="GC1135" s="59"/>
    </row>
    <row r="1136">
      <c r="A1136" s="59"/>
      <c r="B1136" s="59"/>
      <c r="C1136" s="59"/>
      <c r="D1136" s="59"/>
      <c r="E1136" s="59"/>
      <c r="F1136" s="59"/>
      <c r="G1136" s="59"/>
      <c r="H1136" s="59"/>
      <c r="I1136" s="59"/>
      <c r="J1136" s="59"/>
      <c r="K1136" s="59"/>
      <c r="L1136" s="59"/>
      <c r="M1136" s="59"/>
      <c r="N1136" s="59"/>
      <c r="O1136" s="59"/>
      <c r="P1136" s="59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59"/>
      <c r="BR1136" s="59"/>
      <c r="BS1136" s="59"/>
      <c r="BT1136" s="59"/>
      <c r="BU1136" s="59"/>
      <c r="BV1136" s="59"/>
      <c r="BW1136" s="59"/>
      <c r="BX1136" s="59"/>
      <c r="BY1136" s="59"/>
      <c r="BZ1136" s="59"/>
      <c r="CA1136" s="59"/>
      <c r="CB1136" s="59"/>
      <c r="CC1136" s="59"/>
      <c r="CD1136" s="59"/>
      <c r="CE1136" s="59"/>
      <c r="CF1136" s="59"/>
      <c r="CG1136" s="59"/>
      <c r="CH1136" s="59"/>
      <c r="CI1136" s="59"/>
      <c r="CJ1136" s="59"/>
      <c r="CK1136" s="59"/>
      <c r="CL1136" s="59"/>
      <c r="CM1136" s="59"/>
      <c r="CN1136" s="59"/>
      <c r="CO1136" s="59"/>
      <c r="CP1136" s="59"/>
      <c r="CQ1136" s="59"/>
      <c r="CR1136" s="59"/>
      <c r="CS1136" s="59"/>
      <c r="CT1136" s="59"/>
      <c r="CU1136" s="59"/>
      <c r="CV1136" s="59"/>
      <c r="CW1136" s="59"/>
      <c r="CX1136" s="59"/>
      <c r="CY1136" s="59"/>
      <c r="CZ1136" s="59"/>
      <c r="DA1136" s="59"/>
      <c r="DB1136" s="59"/>
      <c r="DC1136" s="59"/>
      <c r="DD1136" s="59"/>
      <c r="DE1136" s="59"/>
      <c r="DF1136" s="59"/>
      <c r="DG1136" s="59"/>
      <c r="DH1136" s="59"/>
      <c r="DI1136" s="59"/>
      <c r="DJ1136" s="59"/>
      <c r="DK1136" s="59"/>
      <c r="DL1136" s="59"/>
      <c r="DM1136" s="59"/>
      <c r="DN1136" s="59"/>
      <c r="DO1136" s="59"/>
      <c r="DP1136" s="59"/>
      <c r="DQ1136" s="59"/>
      <c r="DR1136" s="59"/>
      <c r="DS1136" s="59"/>
      <c r="DT1136" s="59"/>
      <c r="DU1136" s="59"/>
      <c r="DV1136" s="59"/>
      <c r="DW1136" s="59"/>
      <c r="DX1136" s="59"/>
      <c r="DY1136" s="59"/>
      <c r="DZ1136" s="59"/>
      <c r="EA1136" s="59"/>
      <c r="EB1136" s="59"/>
      <c r="EC1136" s="59"/>
      <c r="ED1136" s="59"/>
      <c r="EE1136" s="59"/>
      <c r="EF1136" s="59"/>
      <c r="EG1136" s="59"/>
      <c r="EH1136" s="59"/>
      <c r="EI1136" s="59"/>
      <c r="EJ1136" s="59"/>
      <c r="EK1136" s="59"/>
      <c r="EL1136" s="59"/>
      <c r="EM1136" s="59"/>
      <c r="EN1136" s="59"/>
      <c r="EO1136" s="59"/>
      <c r="EP1136" s="59"/>
      <c r="EQ1136" s="59"/>
      <c r="ER1136" s="59"/>
      <c r="ES1136" s="59"/>
      <c r="ET1136" s="59"/>
      <c r="EU1136" s="59"/>
      <c r="EV1136" s="59"/>
      <c r="EW1136" s="59"/>
      <c r="EX1136" s="59"/>
      <c r="EY1136" s="59"/>
      <c r="EZ1136" s="59"/>
      <c r="FA1136" s="59"/>
      <c r="FB1136" s="59"/>
      <c r="FC1136" s="59"/>
      <c r="FD1136" s="59"/>
      <c r="FE1136" s="59"/>
      <c r="FF1136" s="59"/>
      <c r="FG1136" s="59"/>
      <c r="FH1136" s="59"/>
      <c r="FI1136" s="59"/>
      <c r="FJ1136" s="59"/>
      <c r="FK1136" s="59"/>
      <c r="FL1136" s="59"/>
      <c r="FM1136" s="59"/>
      <c r="FN1136" s="59"/>
      <c r="FO1136" s="59"/>
      <c r="FP1136" s="59"/>
      <c r="FQ1136" s="59"/>
      <c r="FR1136" s="59"/>
      <c r="FS1136" s="59"/>
      <c r="FT1136" s="59"/>
      <c r="FU1136" s="59"/>
      <c r="FV1136" s="59"/>
      <c r="FW1136" s="59"/>
      <c r="FX1136" s="59"/>
      <c r="FY1136" s="59"/>
      <c r="FZ1136" s="59"/>
      <c r="GA1136" s="59"/>
      <c r="GB1136" s="59"/>
      <c r="GC1136" s="59"/>
    </row>
    <row r="1137">
      <c r="A1137" s="59"/>
      <c r="B1137" s="59"/>
      <c r="C1137" s="59"/>
      <c r="D1137" s="59"/>
      <c r="E1137" s="59"/>
      <c r="F1137" s="59"/>
      <c r="G1137" s="59"/>
      <c r="H1137" s="59"/>
      <c r="I1137" s="59"/>
      <c r="J1137" s="59"/>
      <c r="K1137" s="59"/>
      <c r="L1137" s="59"/>
      <c r="M1137" s="59"/>
      <c r="N1137" s="59"/>
      <c r="O1137" s="59"/>
      <c r="P1137" s="59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  <c r="AD1137" s="59"/>
      <c r="AE1137" s="59"/>
      <c r="AF1137" s="59"/>
      <c r="AG1137" s="59"/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59"/>
      <c r="BR1137" s="59"/>
      <c r="BS1137" s="59"/>
      <c r="BT1137" s="59"/>
      <c r="BU1137" s="59"/>
      <c r="BV1137" s="59"/>
      <c r="BW1137" s="59"/>
      <c r="BX1137" s="59"/>
      <c r="BY1137" s="59"/>
      <c r="BZ1137" s="59"/>
      <c r="CA1137" s="59"/>
      <c r="CB1137" s="59"/>
      <c r="CC1137" s="59"/>
      <c r="CD1137" s="59"/>
      <c r="CE1137" s="59"/>
      <c r="CF1137" s="59"/>
      <c r="CG1137" s="59"/>
      <c r="CH1137" s="59"/>
      <c r="CI1137" s="59"/>
      <c r="CJ1137" s="59"/>
      <c r="CK1137" s="59"/>
      <c r="CL1137" s="59"/>
      <c r="CM1137" s="59"/>
      <c r="CN1137" s="59"/>
      <c r="CO1137" s="59"/>
      <c r="CP1137" s="59"/>
      <c r="CQ1137" s="59"/>
      <c r="CR1137" s="59"/>
      <c r="CS1137" s="59"/>
      <c r="CT1137" s="59"/>
      <c r="CU1137" s="59"/>
      <c r="CV1137" s="59"/>
      <c r="CW1137" s="59"/>
      <c r="CX1137" s="59"/>
      <c r="CY1137" s="59"/>
      <c r="CZ1137" s="59"/>
      <c r="DA1137" s="59"/>
      <c r="DB1137" s="59"/>
      <c r="DC1137" s="59"/>
      <c r="DD1137" s="59"/>
      <c r="DE1137" s="59"/>
      <c r="DF1137" s="59"/>
      <c r="DG1137" s="59"/>
      <c r="DH1137" s="59"/>
      <c r="DI1137" s="59"/>
      <c r="DJ1137" s="59"/>
      <c r="DK1137" s="59"/>
      <c r="DL1137" s="59"/>
      <c r="DM1137" s="59"/>
      <c r="DN1137" s="59"/>
      <c r="DO1137" s="59"/>
      <c r="DP1137" s="59"/>
      <c r="DQ1137" s="59"/>
      <c r="DR1137" s="59"/>
      <c r="DS1137" s="59"/>
      <c r="DT1137" s="59"/>
      <c r="DU1137" s="59"/>
      <c r="DV1137" s="59"/>
      <c r="DW1137" s="59"/>
      <c r="DX1137" s="59"/>
      <c r="DY1137" s="59"/>
      <c r="DZ1137" s="59"/>
      <c r="EA1137" s="59"/>
      <c r="EB1137" s="59"/>
      <c r="EC1137" s="59"/>
      <c r="ED1137" s="59"/>
      <c r="EE1137" s="59"/>
      <c r="EF1137" s="59"/>
      <c r="EG1137" s="59"/>
      <c r="EH1137" s="59"/>
      <c r="EI1137" s="59"/>
      <c r="EJ1137" s="59"/>
      <c r="EK1137" s="59"/>
      <c r="EL1137" s="59"/>
      <c r="EM1137" s="59"/>
      <c r="EN1137" s="59"/>
      <c r="EO1137" s="59"/>
      <c r="EP1137" s="59"/>
      <c r="EQ1137" s="59"/>
      <c r="ER1137" s="59"/>
      <c r="ES1137" s="59"/>
      <c r="ET1137" s="59"/>
      <c r="EU1137" s="59"/>
      <c r="EV1137" s="59"/>
      <c r="EW1137" s="59"/>
      <c r="EX1137" s="59"/>
      <c r="EY1137" s="59"/>
      <c r="EZ1137" s="59"/>
      <c r="FA1137" s="59"/>
      <c r="FB1137" s="59"/>
      <c r="FC1137" s="59"/>
      <c r="FD1137" s="59"/>
      <c r="FE1137" s="59"/>
      <c r="FF1137" s="59"/>
      <c r="FG1137" s="59"/>
      <c r="FH1137" s="59"/>
      <c r="FI1137" s="59"/>
      <c r="FJ1137" s="59"/>
      <c r="FK1137" s="59"/>
      <c r="FL1137" s="59"/>
      <c r="FM1137" s="59"/>
      <c r="FN1137" s="59"/>
      <c r="FO1137" s="59"/>
      <c r="FP1137" s="59"/>
      <c r="FQ1137" s="59"/>
      <c r="FR1137" s="59"/>
      <c r="FS1137" s="59"/>
      <c r="FT1137" s="59"/>
      <c r="FU1137" s="59"/>
      <c r="FV1137" s="59"/>
      <c r="FW1137" s="59"/>
      <c r="FX1137" s="59"/>
      <c r="FY1137" s="59"/>
      <c r="FZ1137" s="59"/>
      <c r="GA1137" s="59"/>
      <c r="GB1137" s="59"/>
      <c r="GC1137" s="59"/>
    </row>
    <row r="1138">
      <c r="A1138" s="59"/>
      <c r="B1138" s="59"/>
      <c r="C1138" s="59"/>
      <c r="D1138" s="59"/>
      <c r="E1138" s="59"/>
      <c r="F1138" s="59"/>
      <c r="G1138" s="59"/>
      <c r="H1138" s="59"/>
      <c r="I1138" s="59"/>
      <c r="J1138" s="59"/>
      <c r="K1138" s="59"/>
      <c r="L1138" s="59"/>
      <c r="M1138" s="59"/>
      <c r="N1138" s="59"/>
      <c r="O1138" s="59"/>
      <c r="P1138" s="59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59"/>
      <c r="BR1138" s="59"/>
      <c r="BS1138" s="59"/>
      <c r="BT1138" s="59"/>
      <c r="BU1138" s="59"/>
      <c r="BV1138" s="59"/>
      <c r="BW1138" s="59"/>
      <c r="BX1138" s="59"/>
      <c r="BY1138" s="59"/>
      <c r="BZ1138" s="59"/>
      <c r="CA1138" s="59"/>
      <c r="CB1138" s="59"/>
      <c r="CC1138" s="59"/>
      <c r="CD1138" s="59"/>
      <c r="CE1138" s="59"/>
      <c r="CF1138" s="59"/>
      <c r="CG1138" s="59"/>
      <c r="CH1138" s="59"/>
      <c r="CI1138" s="59"/>
      <c r="CJ1138" s="59"/>
      <c r="CK1138" s="59"/>
      <c r="CL1138" s="59"/>
      <c r="CM1138" s="59"/>
      <c r="CN1138" s="59"/>
      <c r="CO1138" s="59"/>
      <c r="CP1138" s="59"/>
      <c r="CQ1138" s="59"/>
      <c r="CR1138" s="59"/>
      <c r="CS1138" s="59"/>
      <c r="CT1138" s="59"/>
      <c r="CU1138" s="59"/>
      <c r="CV1138" s="59"/>
      <c r="CW1138" s="59"/>
      <c r="CX1138" s="59"/>
      <c r="CY1138" s="59"/>
      <c r="CZ1138" s="59"/>
      <c r="DA1138" s="59"/>
      <c r="DB1138" s="59"/>
      <c r="DC1138" s="59"/>
      <c r="DD1138" s="59"/>
      <c r="DE1138" s="59"/>
      <c r="DF1138" s="59"/>
      <c r="DG1138" s="59"/>
      <c r="DH1138" s="59"/>
      <c r="DI1138" s="59"/>
      <c r="DJ1138" s="59"/>
      <c r="DK1138" s="59"/>
      <c r="DL1138" s="59"/>
      <c r="DM1138" s="59"/>
      <c r="DN1138" s="59"/>
      <c r="DO1138" s="59"/>
      <c r="DP1138" s="59"/>
      <c r="DQ1138" s="59"/>
      <c r="DR1138" s="59"/>
      <c r="DS1138" s="59"/>
      <c r="DT1138" s="59"/>
      <c r="DU1138" s="59"/>
      <c r="DV1138" s="59"/>
      <c r="DW1138" s="59"/>
      <c r="DX1138" s="59"/>
      <c r="DY1138" s="59"/>
      <c r="DZ1138" s="59"/>
      <c r="EA1138" s="59"/>
      <c r="EB1138" s="59"/>
      <c r="EC1138" s="59"/>
      <c r="ED1138" s="59"/>
      <c r="EE1138" s="59"/>
      <c r="EF1138" s="59"/>
      <c r="EG1138" s="59"/>
      <c r="EH1138" s="59"/>
      <c r="EI1138" s="59"/>
      <c r="EJ1138" s="59"/>
      <c r="EK1138" s="59"/>
      <c r="EL1138" s="59"/>
      <c r="EM1138" s="59"/>
      <c r="EN1138" s="59"/>
      <c r="EO1138" s="59"/>
      <c r="EP1138" s="59"/>
      <c r="EQ1138" s="59"/>
      <c r="ER1138" s="59"/>
      <c r="ES1138" s="59"/>
      <c r="ET1138" s="59"/>
      <c r="EU1138" s="59"/>
      <c r="EV1138" s="59"/>
      <c r="EW1138" s="59"/>
      <c r="EX1138" s="59"/>
      <c r="EY1138" s="59"/>
      <c r="EZ1138" s="59"/>
      <c r="FA1138" s="59"/>
      <c r="FB1138" s="59"/>
      <c r="FC1138" s="59"/>
      <c r="FD1138" s="59"/>
      <c r="FE1138" s="59"/>
      <c r="FF1138" s="59"/>
      <c r="FG1138" s="59"/>
      <c r="FH1138" s="59"/>
      <c r="FI1138" s="59"/>
      <c r="FJ1138" s="59"/>
      <c r="FK1138" s="59"/>
      <c r="FL1138" s="59"/>
      <c r="FM1138" s="59"/>
      <c r="FN1138" s="59"/>
      <c r="FO1138" s="59"/>
      <c r="FP1138" s="59"/>
      <c r="FQ1138" s="59"/>
      <c r="FR1138" s="59"/>
      <c r="FS1138" s="59"/>
      <c r="FT1138" s="59"/>
      <c r="FU1138" s="59"/>
      <c r="FV1138" s="59"/>
      <c r="FW1138" s="59"/>
      <c r="FX1138" s="59"/>
      <c r="FY1138" s="59"/>
      <c r="FZ1138" s="59"/>
      <c r="GA1138" s="59"/>
      <c r="GB1138" s="59"/>
      <c r="GC1138" s="59"/>
    </row>
    <row r="1139">
      <c r="A1139" s="59"/>
      <c r="B1139" s="59"/>
      <c r="C1139" s="59"/>
      <c r="D1139" s="59"/>
      <c r="E1139" s="59"/>
      <c r="F1139" s="59"/>
      <c r="G1139" s="59"/>
      <c r="H1139" s="59"/>
      <c r="I1139" s="59"/>
      <c r="J1139" s="59"/>
      <c r="K1139" s="59"/>
      <c r="L1139" s="59"/>
      <c r="M1139" s="59"/>
      <c r="N1139" s="59"/>
      <c r="O1139" s="59"/>
      <c r="P1139" s="59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  <c r="AD1139" s="59"/>
      <c r="AE1139" s="59"/>
      <c r="AF1139" s="59"/>
      <c r="AG1139" s="59"/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59"/>
      <c r="BR1139" s="59"/>
      <c r="BS1139" s="59"/>
      <c r="BT1139" s="59"/>
      <c r="BU1139" s="59"/>
      <c r="BV1139" s="59"/>
      <c r="BW1139" s="59"/>
      <c r="BX1139" s="59"/>
      <c r="BY1139" s="59"/>
      <c r="BZ1139" s="59"/>
      <c r="CA1139" s="59"/>
      <c r="CB1139" s="59"/>
      <c r="CC1139" s="59"/>
      <c r="CD1139" s="59"/>
      <c r="CE1139" s="59"/>
      <c r="CF1139" s="59"/>
      <c r="CG1139" s="59"/>
      <c r="CH1139" s="59"/>
      <c r="CI1139" s="59"/>
      <c r="CJ1139" s="59"/>
      <c r="CK1139" s="59"/>
      <c r="CL1139" s="59"/>
      <c r="CM1139" s="59"/>
      <c r="CN1139" s="59"/>
      <c r="CO1139" s="59"/>
      <c r="CP1139" s="59"/>
      <c r="CQ1139" s="59"/>
      <c r="CR1139" s="59"/>
      <c r="CS1139" s="59"/>
      <c r="CT1139" s="59"/>
      <c r="CU1139" s="59"/>
      <c r="CV1139" s="59"/>
      <c r="CW1139" s="59"/>
      <c r="CX1139" s="59"/>
      <c r="CY1139" s="59"/>
      <c r="CZ1139" s="59"/>
      <c r="DA1139" s="59"/>
      <c r="DB1139" s="59"/>
      <c r="DC1139" s="59"/>
      <c r="DD1139" s="59"/>
      <c r="DE1139" s="59"/>
      <c r="DF1139" s="59"/>
      <c r="DG1139" s="59"/>
      <c r="DH1139" s="59"/>
      <c r="DI1139" s="59"/>
      <c r="DJ1139" s="59"/>
      <c r="DK1139" s="59"/>
      <c r="DL1139" s="59"/>
      <c r="DM1139" s="59"/>
      <c r="DN1139" s="59"/>
      <c r="DO1139" s="59"/>
      <c r="DP1139" s="59"/>
      <c r="DQ1139" s="59"/>
      <c r="DR1139" s="59"/>
      <c r="DS1139" s="59"/>
      <c r="DT1139" s="59"/>
      <c r="DU1139" s="59"/>
      <c r="DV1139" s="59"/>
      <c r="DW1139" s="59"/>
      <c r="DX1139" s="59"/>
      <c r="DY1139" s="59"/>
      <c r="DZ1139" s="59"/>
      <c r="EA1139" s="59"/>
      <c r="EB1139" s="59"/>
      <c r="EC1139" s="59"/>
      <c r="ED1139" s="59"/>
      <c r="EE1139" s="59"/>
      <c r="EF1139" s="59"/>
      <c r="EG1139" s="59"/>
      <c r="EH1139" s="59"/>
      <c r="EI1139" s="59"/>
      <c r="EJ1139" s="59"/>
      <c r="EK1139" s="59"/>
      <c r="EL1139" s="59"/>
      <c r="EM1139" s="59"/>
      <c r="EN1139" s="59"/>
      <c r="EO1139" s="59"/>
      <c r="EP1139" s="59"/>
      <c r="EQ1139" s="59"/>
      <c r="ER1139" s="59"/>
      <c r="ES1139" s="59"/>
      <c r="ET1139" s="59"/>
      <c r="EU1139" s="59"/>
      <c r="EV1139" s="59"/>
      <c r="EW1139" s="59"/>
      <c r="EX1139" s="59"/>
      <c r="EY1139" s="59"/>
      <c r="EZ1139" s="59"/>
      <c r="FA1139" s="59"/>
      <c r="FB1139" s="59"/>
      <c r="FC1139" s="59"/>
      <c r="FD1139" s="59"/>
      <c r="FE1139" s="59"/>
      <c r="FF1139" s="59"/>
      <c r="FG1139" s="59"/>
      <c r="FH1139" s="59"/>
      <c r="FI1139" s="59"/>
      <c r="FJ1139" s="59"/>
      <c r="FK1139" s="59"/>
      <c r="FL1139" s="59"/>
      <c r="FM1139" s="59"/>
      <c r="FN1139" s="59"/>
      <c r="FO1139" s="59"/>
      <c r="FP1139" s="59"/>
      <c r="FQ1139" s="59"/>
      <c r="FR1139" s="59"/>
      <c r="FS1139" s="59"/>
      <c r="FT1139" s="59"/>
      <c r="FU1139" s="59"/>
      <c r="FV1139" s="59"/>
      <c r="FW1139" s="59"/>
      <c r="FX1139" s="59"/>
      <c r="FY1139" s="59"/>
      <c r="FZ1139" s="59"/>
      <c r="GA1139" s="59"/>
      <c r="GB1139" s="59"/>
      <c r="GC1139" s="59"/>
    </row>
    <row r="1140">
      <c r="A1140" s="59"/>
      <c r="B1140" s="59"/>
      <c r="C1140" s="59"/>
      <c r="D1140" s="59"/>
      <c r="E1140" s="59"/>
      <c r="F1140" s="59"/>
      <c r="G1140" s="59"/>
      <c r="H1140" s="59"/>
      <c r="I1140" s="59"/>
      <c r="J1140" s="59"/>
      <c r="K1140" s="59"/>
      <c r="L1140" s="59"/>
      <c r="M1140" s="59"/>
      <c r="N1140" s="59"/>
      <c r="O1140" s="59"/>
      <c r="P1140" s="59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59"/>
      <c r="BR1140" s="59"/>
      <c r="BS1140" s="59"/>
      <c r="BT1140" s="59"/>
      <c r="BU1140" s="59"/>
      <c r="BV1140" s="59"/>
      <c r="BW1140" s="59"/>
      <c r="BX1140" s="59"/>
      <c r="BY1140" s="59"/>
      <c r="BZ1140" s="59"/>
      <c r="CA1140" s="59"/>
      <c r="CB1140" s="59"/>
      <c r="CC1140" s="59"/>
      <c r="CD1140" s="59"/>
      <c r="CE1140" s="59"/>
      <c r="CF1140" s="59"/>
      <c r="CG1140" s="59"/>
      <c r="CH1140" s="59"/>
      <c r="CI1140" s="59"/>
      <c r="CJ1140" s="59"/>
      <c r="CK1140" s="59"/>
      <c r="CL1140" s="59"/>
      <c r="CM1140" s="59"/>
      <c r="CN1140" s="59"/>
      <c r="CO1140" s="59"/>
      <c r="CP1140" s="59"/>
      <c r="CQ1140" s="59"/>
      <c r="CR1140" s="59"/>
      <c r="CS1140" s="59"/>
      <c r="CT1140" s="59"/>
      <c r="CU1140" s="59"/>
      <c r="CV1140" s="59"/>
      <c r="CW1140" s="59"/>
      <c r="CX1140" s="59"/>
      <c r="CY1140" s="59"/>
      <c r="CZ1140" s="59"/>
      <c r="DA1140" s="59"/>
      <c r="DB1140" s="59"/>
      <c r="DC1140" s="59"/>
      <c r="DD1140" s="59"/>
      <c r="DE1140" s="59"/>
      <c r="DF1140" s="59"/>
      <c r="DG1140" s="59"/>
      <c r="DH1140" s="59"/>
      <c r="DI1140" s="59"/>
      <c r="DJ1140" s="59"/>
      <c r="DK1140" s="59"/>
      <c r="DL1140" s="59"/>
      <c r="DM1140" s="59"/>
      <c r="DN1140" s="59"/>
      <c r="DO1140" s="59"/>
      <c r="DP1140" s="59"/>
      <c r="DQ1140" s="59"/>
      <c r="DR1140" s="59"/>
      <c r="DS1140" s="59"/>
      <c r="DT1140" s="59"/>
      <c r="DU1140" s="59"/>
      <c r="DV1140" s="59"/>
      <c r="DW1140" s="59"/>
      <c r="DX1140" s="59"/>
      <c r="DY1140" s="59"/>
      <c r="DZ1140" s="59"/>
      <c r="EA1140" s="59"/>
      <c r="EB1140" s="59"/>
      <c r="EC1140" s="59"/>
      <c r="ED1140" s="59"/>
      <c r="EE1140" s="59"/>
      <c r="EF1140" s="59"/>
      <c r="EG1140" s="59"/>
      <c r="EH1140" s="59"/>
      <c r="EI1140" s="59"/>
      <c r="EJ1140" s="59"/>
      <c r="EK1140" s="59"/>
      <c r="EL1140" s="59"/>
      <c r="EM1140" s="59"/>
      <c r="EN1140" s="59"/>
      <c r="EO1140" s="59"/>
      <c r="EP1140" s="59"/>
      <c r="EQ1140" s="59"/>
      <c r="ER1140" s="59"/>
      <c r="ES1140" s="59"/>
      <c r="ET1140" s="59"/>
      <c r="EU1140" s="59"/>
      <c r="EV1140" s="59"/>
      <c r="EW1140" s="59"/>
      <c r="EX1140" s="59"/>
      <c r="EY1140" s="59"/>
      <c r="EZ1140" s="59"/>
      <c r="FA1140" s="59"/>
      <c r="FB1140" s="59"/>
      <c r="FC1140" s="59"/>
      <c r="FD1140" s="59"/>
      <c r="FE1140" s="59"/>
      <c r="FF1140" s="59"/>
      <c r="FG1140" s="59"/>
      <c r="FH1140" s="59"/>
      <c r="FI1140" s="59"/>
      <c r="FJ1140" s="59"/>
      <c r="FK1140" s="59"/>
      <c r="FL1140" s="59"/>
      <c r="FM1140" s="59"/>
      <c r="FN1140" s="59"/>
      <c r="FO1140" s="59"/>
      <c r="FP1140" s="59"/>
      <c r="FQ1140" s="59"/>
      <c r="FR1140" s="59"/>
      <c r="FS1140" s="59"/>
      <c r="FT1140" s="59"/>
      <c r="FU1140" s="59"/>
      <c r="FV1140" s="59"/>
      <c r="FW1140" s="59"/>
      <c r="FX1140" s="59"/>
      <c r="FY1140" s="59"/>
      <c r="FZ1140" s="59"/>
      <c r="GA1140" s="59"/>
      <c r="GB1140" s="59"/>
      <c r="GC1140" s="59"/>
    </row>
    <row r="1141">
      <c r="A1141" s="59"/>
      <c r="B1141" s="59"/>
      <c r="C1141" s="59"/>
      <c r="D1141" s="59"/>
      <c r="E1141" s="59"/>
      <c r="F1141" s="59"/>
      <c r="G1141" s="59"/>
      <c r="H1141" s="59"/>
      <c r="I1141" s="59"/>
      <c r="J1141" s="59"/>
      <c r="K1141" s="59"/>
      <c r="L1141" s="59"/>
      <c r="M1141" s="59"/>
      <c r="N1141" s="59"/>
      <c r="O1141" s="59"/>
      <c r="P1141" s="59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  <c r="AA1141" s="59"/>
      <c r="AB1141" s="59"/>
      <c r="AC1141" s="59"/>
      <c r="AD1141" s="59"/>
      <c r="AE1141" s="59"/>
      <c r="AF1141" s="59"/>
      <c r="AG1141" s="59"/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59"/>
      <c r="BR1141" s="59"/>
      <c r="BS1141" s="59"/>
      <c r="BT1141" s="59"/>
      <c r="BU1141" s="59"/>
      <c r="BV1141" s="59"/>
      <c r="BW1141" s="59"/>
      <c r="BX1141" s="59"/>
      <c r="BY1141" s="59"/>
      <c r="BZ1141" s="59"/>
      <c r="CA1141" s="59"/>
      <c r="CB1141" s="59"/>
      <c r="CC1141" s="59"/>
      <c r="CD1141" s="59"/>
      <c r="CE1141" s="59"/>
      <c r="CF1141" s="59"/>
      <c r="CG1141" s="59"/>
      <c r="CH1141" s="59"/>
      <c r="CI1141" s="59"/>
      <c r="CJ1141" s="59"/>
      <c r="CK1141" s="59"/>
      <c r="CL1141" s="59"/>
      <c r="CM1141" s="59"/>
      <c r="CN1141" s="59"/>
      <c r="CO1141" s="59"/>
      <c r="CP1141" s="59"/>
      <c r="CQ1141" s="59"/>
      <c r="CR1141" s="59"/>
      <c r="CS1141" s="59"/>
      <c r="CT1141" s="59"/>
      <c r="CU1141" s="59"/>
      <c r="CV1141" s="59"/>
      <c r="CW1141" s="59"/>
      <c r="CX1141" s="59"/>
      <c r="CY1141" s="59"/>
      <c r="CZ1141" s="59"/>
      <c r="DA1141" s="59"/>
      <c r="DB1141" s="59"/>
      <c r="DC1141" s="59"/>
      <c r="DD1141" s="59"/>
      <c r="DE1141" s="59"/>
      <c r="DF1141" s="59"/>
      <c r="DG1141" s="59"/>
      <c r="DH1141" s="59"/>
      <c r="DI1141" s="59"/>
      <c r="DJ1141" s="59"/>
      <c r="DK1141" s="59"/>
      <c r="DL1141" s="59"/>
      <c r="DM1141" s="59"/>
      <c r="DN1141" s="59"/>
      <c r="DO1141" s="59"/>
      <c r="DP1141" s="59"/>
      <c r="DQ1141" s="59"/>
      <c r="DR1141" s="59"/>
      <c r="DS1141" s="59"/>
      <c r="DT1141" s="59"/>
      <c r="DU1141" s="59"/>
      <c r="DV1141" s="59"/>
      <c r="DW1141" s="59"/>
      <c r="DX1141" s="59"/>
      <c r="DY1141" s="59"/>
      <c r="DZ1141" s="59"/>
      <c r="EA1141" s="59"/>
      <c r="EB1141" s="59"/>
      <c r="EC1141" s="59"/>
      <c r="ED1141" s="59"/>
      <c r="EE1141" s="59"/>
      <c r="EF1141" s="59"/>
      <c r="EG1141" s="59"/>
      <c r="EH1141" s="59"/>
      <c r="EI1141" s="59"/>
      <c r="EJ1141" s="59"/>
      <c r="EK1141" s="59"/>
      <c r="EL1141" s="59"/>
      <c r="EM1141" s="59"/>
      <c r="EN1141" s="59"/>
      <c r="EO1141" s="59"/>
      <c r="EP1141" s="59"/>
      <c r="EQ1141" s="59"/>
      <c r="ER1141" s="59"/>
      <c r="ES1141" s="59"/>
      <c r="ET1141" s="59"/>
      <c r="EU1141" s="59"/>
      <c r="EV1141" s="59"/>
      <c r="EW1141" s="59"/>
      <c r="EX1141" s="59"/>
      <c r="EY1141" s="59"/>
      <c r="EZ1141" s="59"/>
      <c r="FA1141" s="59"/>
      <c r="FB1141" s="59"/>
      <c r="FC1141" s="59"/>
      <c r="FD1141" s="59"/>
      <c r="FE1141" s="59"/>
      <c r="FF1141" s="59"/>
      <c r="FG1141" s="59"/>
      <c r="FH1141" s="59"/>
      <c r="FI1141" s="59"/>
      <c r="FJ1141" s="59"/>
      <c r="FK1141" s="59"/>
      <c r="FL1141" s="59"/>
      <c r="FM1141" s="59"/>
      <c r="FN1141" s="59"/>
      <c r="FO1141" s="59"/>
      <c r="FP1141" s="59"/>
      <c r="FQ1141" s="59"/>
      <c r="FR1141" s="59"/>
      <c r="FS1141" s="59"/>
      <c r="FT1141" s="59"/>
      <c r="FU1141" s="59"/>
      <c r="FV1141" s="59"/>
      <c r="FW1141" s="59"/>
      <c r="FX1141" s="59"/>
      <c r="FY1141" s="59"/>
      <c r="FZ1141" s="59"/>
      <c r="GA1141" s="59"/>
      <c r="GB1141" s="59"/>
      <c r="GC1141" s="59"/>
    </row>
    <row r="1142">
      <c r="A1142" s="59"/>
      <c r="B1142" s="59"/>
      <c r="C1142" s="59"/>
      <c r="D1142" s="59"/>
      <c r="E1142" s="59"/>
      <c r="F1142" s="59"/>
      <c r="G1142" s="59"/>
      <c r="H1142" s="59"/>
      <c r="I1142" s="59"/>
      <c r="J1142" s="59"/>
      <c r="K1142" s="59"/>
      <c r="L1142" s="59"/>
      <c r="M1142" s="59"/>
      <c r="N1142" s="59"/>
      <c r="O1142" s="59"/>
      <c r="P1142" s="59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59"/>
      <c r="BR1142" s="59"/>
      <c r="BS1142" s="59"/>
      <c r="BT1142" s="59"/>
      <c r="BU1142" s="59"/>
      <c r="BV1142" s="59"/>
      <c r="BW1142" s="59"/>
      <c r="BX1142" s="59"/>
      <c r="BY1142" s="59"/>
      <c r="BZ1142" s="59"/>
      <c r="CA1142" s="59"/>
      <c r="CB1142" s="59"/>
      <c r="CC1142" s="59"/>
      <c r="CD1142" s="59"/>
      <c r="CE1142" s="59"/>
      <c r="CF1142" s="59"/>
      <c r="CG1142" s="59"/>
      <c r="CH1142" s="59"/>
      <c r="CI1142" s="59"/>
      <c r="CJ1142" s="59"/>
      <c r="CK1142" s="59"/>
      <c r="CL1142" s="59"/>
      <c r="CM1142" s="59"/>
      <c r="CN1142" s="59"/>
      <c r="CO1142" s="59"/>
      <c r="CP1142" s="59"/>
      <c r="CQ1142" s="59"/>
      <c r="CR1142" s="59"/>
      <c r="CS1142" s="59"/>
      <c r="CT1142" s="59"/>
      <c r="CU1142" s="59"/>
      <c r="CV1142" s="59"/>
      <c r="CW1142" s="59"/>
      <c r="CX1142" s="59"/>
      <c r="CY1142" s="59"/>
      <c r="CZ1142" s="59"/>
      <c r="DA1142" s="59"/>
      <c r="DB1142" s="59"/>
      <c r="DC1142" s="59"/>
      <c r="DD1142" s="59"/>
      <c r="DE1142" s="59"/>
      <c r="DF1142" s="59"/>
      <c r="DG1142" s="59"/>
      <c r="DH1142" s="59"/>
      <c r="DI1142" s="59"/>
      <c r="DJ1142" s="59"/>
      <c r="DK1142" s="59"/>
      <c r="DL1142" s="59"/>
      <c r="DM1142" s="59"/>
      <c r="DN1142" s="59"/>
      <c r="DO1142" s="59"/>
      <c r="DP1142" s="59"/>
      <c r="DQ1142" s="59"/>
      <c r="DR1142" s="59"/>
      <c r="DS1142" s="59"/>
      <c r="DT1142" s="59"/>
      <c r="DU1142" s="59"/>
      <c r="DV1142" s="59"/>
      <c r="DW1142" s="59"/>
      <c r="DX1142" s="59"/>
      <c r="DY1142" s="59"/>
      <c r="DZ1142" s="59"/>
      <c r="EA1142" s="59"/>
      <c r="EB1142" s="59"/>
      <c r="EC1142" s="59"/>
      <c r="ED1142" s="59"/>
      <c r="EE1142" s="59"/>
      <c r="EF1142" s="59"/>
      <c r="EG1142" s="59"/>
      <c r="EH1142" s="59"/>
      <c r="EI1142" s="59"/>
      <c r="EJ1142" s="59"/>
      <c r="EK1142" s="59"/>
      <c r="EL1142" s="59"/>
      <c r="EM1142" s="59"/>
      <c r="EN1142" s="59"/>
      <c r="EO1142" s="59"/>
      <c r="EP1142" s="59"/>
      <c r="EQ1142" s="59"/>
      <c r="ER1142" s="59"/>
      <c r="ES1142" s="59"/>
      <c r="ET1142" s="59"/>
      <c r="EU1142" s="59"/>
      <c r="EV1142" s="59"/>
      <c r="EW1142" s="59"/>
      <c r="EX1142" s="59"/>
      <c r="EY1142" s="59"/>
      <c r="EZ1142" s="59"/>
      <c r="FA1142" s="59"/>
      <c r="FB1142" s="59"/>
      <c r="FC1142" s="59"/>
      <c r="FD1142" s="59"/>
      <c r="FE1142" s="59"/>
      <c r="FF1142" s="59"/>
      <c r="FG1142" s="59"/>
      <c r="FH1142" s="59"/>
      <c r="FI1142" s="59"/>
      <c r="FJ1142" s="59"/>
      <c r="FK1142" s="59"/>
      <c r="FL1142" s="59"/>
      <c r="FM1142" s="59"/>
      <c r="FN1142" s="59"/>
      <c r="FO1142" s="59"/>
      <c r="FP1142" s="59"/>
      <c r="FQ1142" s="59"/>
      <c r="FR1142" s="59"/>
      <c r="FS1142" s="59"/>
      <c r="FT1142" s="59"/>
      <c r="FU1142" s="59"/>
      <c r="FV1142" s="59"/>
      <c r="FW1142" s="59"/>
      <c r="FX1142" s="59"/>
      <c r="FY1142" s="59"/>
      <c r="FZ1142" s="59"/>
      <c r="GA1142" s="59"/>
      <c r="GB1142" s="59"/>
      <c r="GC1142" s="59"/>
    </row>
    <row r="1143">
      <c r="A1143" s="59"/>
      <c r="B1143" s="59"/>
      <c r="C1143" s="59"/>
      <c r="D1143" s="59"/>
      <c r="E1143" s="59"/>
      <c r="F1143" s="59"/>
      <c r="G1143" s="59"/>
      <c r="H1143" s="59"/>
      <c r="I1143" s="59"/>
      <c r="J1143" s="59"/>
      <c r="K1143" s="59"/>
      <c r="L1143" s="59"/>
      <c r="M1143" s="59"/>
      <c r="N1143" s="59"/>
      <c r="O1143" s="59"/>
      <c r="P1143" s="59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  <c r="AD1143" s="59"/>
      <c r="AE1143" s="59"/>
      <c r="AF1143" s="59"/>
      <c r="AG1143" s="59"/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59"/>
      <c r="BR1143" s="59"/>
      <c r="BS1143" s="59"/>
      <c r="BT1143" s="59"/>
      <c r="BU1143" s="59"/>
      <c r="BV1143" s="59"/>
      <c r="BW1143" s="59"/>
      <c r="BX1143" s="59"/>
      <c r="BY1143" s="59"/>
      <c r="BZ1143" s="59"/>
      <c r="CA1143" s="59"/>
      <c r="CB1143" s="59"/>
      <c r="CC1143" s="59"/>
      <c r="CD1143" s="59"/>
      <c r="CE1143" s="59"/>
      <c r="CF1143" s="59"/>
      <c r="CG1143" s="59"/>
      <c r="CH1143" s="59"/>
      <c r="CI1143" s="59"/>
      <c r="CJ1143" s="59"/>
      <c r="CK1143" s="59"/>
      <c r="CL1143" s="59"/>
      <c r="CM1143" s="59"/>
      <c r="CN1143" s="59"/>
      <c r="CO1143" s="59"/>
      <c r="CP1143" s="59"/>
      <c r="CQ1143" s="59"/>
      <c r="CR1143" s="59"/>
      <c r="CS1143" s="59"/>
      <c r="CT1143" s="59"/>
      <c r="CU1143" s="59"/>
      <c r="CV1143" s="59"/>
      <c r="CW1143" s="59"/>
      <c r="CX1143" s="59"/>
      <c r="CY1143" s="59"/>
      <c r="CZ1143" s="59"/>
      <c r="DA1143" s="59"/>
      <c r="DB1143" s="59"/>
      <c r="DC1143" s="59"/>
      <c r="DD1143" s="59"/>
      <c r="DE1143" s="59"/>
      <c r="DF1143" s="59"/>
      <c r="DG1143" s="59"/>
      <c r="DH1143" s="59"/>
      <c r="DI1143" s="59"/>
      <c r="DJ1143" s="59"/>
      <c r="DK1143" s="59"/>
      <c r="DL1143" s="59"/>
      <c r="DM1143" s="59"/>
      <c r="DN1143" s="59"/>
      <c r="DO1143" s="59"/>
      <c r="DP1143" s="59"/>
      <c r="DQ1143" s="59"/>
      <c r="DR1143" s="59"/>
      <c r="DS1143" s="59"/>
      <c r="DT1143" s="59"/>
      <c r="DU1143" s="59"/>
      <c r="DV1143" s="59"/>
      <c r="DW1143" s="59"/>
      <c r="DX1143" s="59"/>
      <c r="DY1143" s="59"/>
      <c r="DZ1143" s="59"/>
      <c r="EA1143" s="59"/>
      <c r="EB1143" s="59"/>
      <c r="EC1143" s="59"/>
      <c r="ED1143" s="59"/>
      <c r="EE1143" s="59"/>
      <c r="EF1143" s="59"/>
      <c r="EG1143" s="59"/>
      <c r="EH1143" s="59"/>
      <c r="EI1143" s="59"/>
      <c r="EJ1143" s="59"/>
      <c r="EK1143" s="59"/>
      <c r="EL1143" s="59"/>
      <c r="EM1143" s="59"/>
      <c r="EN1143" s="59"/>
      <c r="EO1143" s="59"/>
      <c r="EP1143" s="59"/>
      <c r="EQ1143" s="59"/>
      <c r="ER1143" s="59"/>
      <c r="ES1143" s="59"/>
      <c r="ET1143" s="59"/>
      <c r="EU1143" s="59"/>
      <c r="EV1143" s="59"/>
      <c r="EW1143" s="59"/>
      <c r="EX1143" s="59"/>
      <c r="EY1143" s="59"/>
      <c r="EZ1143" s="59"/>
      <c r="FA1143" s="59"/>
      <c r="FB1143" s="59"/>
      <c r="FC1143" s="59"/>
      <c r="FD1143" s="59"/>
      <c r="FE1143" s="59"/>
      <c r="FF1143" s="59"/>
      <c r="FG1143" s="59"/>
      <c r="FH1143" s="59"/>
      <c r="FI1143" s="59"/>
      <c r="FJ1143" s="59"/>
      <c r="FK1143" s="59"/>
      <c r="FL1143" s="59"/>
      <c r="FM1143" s="59"/>
      <c r="FN1143" s="59"/>
      <c r="FO1143" s="59"/>
      <c r="FP1143" s="59"/>
      <c r="FQ1143" s="59"/>
      <c r="FR1143" s="59"/>
      <c r="FS1143" s="59"/>
      <c r="FT1143" s="59"/>
      <c r="FU1143" s="59"/>
      <c r="FV1143" s="59"/>
      <c r="FW1143" s="59"/>
      <c r="FX1143" s="59"/>
      <c r="FY1143" s="59"/>
      <c r="FZ1143" s="59"/>
      <c r="GA1143" s="59"/>
      <c r="GB1143" s="59"/>
      <c r="GC1143" s="59"/>
    </row>
    <row r="1144">
      <c r="A1144" s="59"/>
      <c r="B1144" s="59"/>
      <c r="C1144" s="59"/>
      <c r="D1144" s="59"/>
      <c r="E1144" s="59"/>
      <c r="F1144" s="59"/>
      <c r="G1144" s="59"/>
      <c r="H1144" s="59"/>
      <c r="I1144" s="59"/>
      <c r="J1144" s="59"/>
      <c r="K1144" s="59"/>
      <c r="L1144" s="59"/>
      <c r="M1144" s="59"/>
      <c r="N1144" s="59"/>
      <c r="O1144" s="59"/>
      <c r="P1144" s="59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59"/>
      <c r="BR1144" s="59"/>
      <c r="BS1144" s="59"/>
      <c r="BT1144" s="59"/>
      <c r="BU1144" s="59"/>
      <c r="BV1144" s="59"/>
      <c r="BW1144" s="59"/>
      <c r="BX1144" s="59"/>
      <c r="BY1144" s="59"/>
      <c r="BZ1144" s="59"/>
      <c r="CA1144" s="59"/>
      <c r="CB1144" s="59"/>
      <c r="CC1144" s="59"/>
      <c r="CD1144" s="59"/>
      <c r="CE1144" s="59"/>
      <c r="CF1144" s="59"/>
      <c r="CG1144" s="59"/>
      <c r="CH1144" s="59"/>
      <c r="CI1144" s="59"/>
      <c r="CJ1144" s="59"/>
      <c r="CK1144" s="59"/>
      <c r="CL1144" s="59"/>
      <c r="CM1144" s="59"/>
      <c r="CN1144" s="59"/>
      <c r="CO1144" s="59"/>
      <c r="CP1144" s="59"/>
      <c r="CQ1144" s="59"/>
      <c r="CR1144" s="59"/>
      <c r="CS1144" s="59"/>
      <c r="CT1144" s="59"/>
      <c r="CU1144" s="59"/>
      <c r="CV1144" s="59"/>
      <c r="CW1144" s="59"/>
      <c r="CX1144" s="59"/>
      <c r="CY1144" s="59"/>
      <c r="CZ1144" s="59"/>
      <c r="DA1144" s="59"/>
      <c r="DB1144" s="59"/>
      <c r="DC1144" s="59"/>
      <c r="DD1144" s="59"/>
      <c r="DE1144" s="59"/>
      <c r="DF1144" s="59"/>
      <c r="DG1144" s="59"/>
      <c r="DH1144" s="59"/>
      <c r="DI1144" s="59"/>
      <c r="DJ1144" s="59"/>
      <c r="DK1144" s="59"/>
      <c r="DL1144" s="59"/>
      <c r="DM1144" s="59"/>
      <c r="DN1144" s="59"/>
      <c r="DO1144" s="59"/>
      <c r="DP1144" s="59"/>
      <c r="DQ1144" s="59"/>
      <c r="DR1144" s="59"/>
      <c r="DS1144" s="59"/>
      <c r="DT1144" s="59"/>
      <c r="DU1144" s="59"/>
      <c r="DV1144" s="59"/>
      <c r="DW1144" s="59"/>
      <c r="DX1144" s="59"/>
      <c r="DY1144" s="59"/>
      <c r="DZ1144" s="59"/>
      <c r="EA1144" s="59"/>
      <c r="EB1144" s="59"/>
      <c r="EC1144" s="59"/>
      <c r="ED1144" s="59"/>
      <c r="EE1144" s="59"/>
      <c r="EF1144" s="59"/>
      <c r="EG1144" s="59"/>
      <c r="EH1144" s="59"/>
      <c r="EI1144" s="59"/>
      <c r="EJ1144" s="59"/>
      <c r="EK1144" s="59"/>
      <c r="EL1144" s="59"/>
      <c r="EM1144" s="59"/>
      <c r="EN1144" s="59"/>
      <c r="EO1144" s="59"/>
      <c r="EP1144" s="59"/>
      <c r="EQ1144" s="59"/>
      <c r="ER1144" s="59"/>
      <c r="ES1144" s="59"/>
      <c r="ET1144" s="59"/>
      <c r="EU1144" s="59"/>
      <c r="EV1144" s="59"/>
      <c r="EW1144" s="59"/>
      <c r="EX1144" s="59"/>
      <c r="EY1144" s="59"/>
      <c r="EZ1144" s="59"/>
      <c r="FA1144" s="59"/>
      <c r="FB1144" s="59"/>
      <c r="FC1144" s="59"/>
      <c r="FD1144" s="59"/>
      <c r="FE1144" s="59"/>
      <c r="FF1144" s="59"/>
      <c r="FG1144" s="59"/>
      <c r="FH1144" s="59"/>
      <c r="FI1144" s="59"/>
      <c r="FJ1144" s="59"/>
      <c r="FK1144" s="59"/>
      <c r="FL1144" s="59"/>
      <c r="FM1144" s="59"/>
      <c r="FN1144" s="59"/>
      <c r="FO1144" s="59"/>
      <c r="FP1144" s="59"/>
      <c r="FQ1144" s="59"/>
      <c r="FR1144" s="59"/>
      <c r="FS1144" s="59"/>
      <c r="FT1144" s="59"/>
      <c r="FU1144" s="59"/>
      <c r="FV1144" s="59"/>
      <c r="FW1144" s="59"/>
      <c r="FX1144" s="59"/>
      <c r="FY1144" s="59"/>
      <c r="FZ1144" s="59"/>
      <c r="GA1144" s="59"/>
      <c r="GB1144" s="59"/>
      <c r="GC1144" s="59"/>
    </row>
    <row r="1145">
      <c r="A1145" s="59"/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59"/>
      <c r="N1145" s="59"/>
      <c r="O1145" s="59"/>
      <c r="P1145" s="59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  <c r="AD1145" s="59"/>
      <c r="AE1145" s="59"/>
      <c r="AF1145" s="59"/>
      <c r="AG1145" s="59"/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59"/>
      <c r="BR1145" s="59"/>
      <c r="BS1145" s="59"/>
      <c r="BT1145" s="59"/>
      <c r="BU1145" s="59"/>
      <c r="BV1145" s="59"/>
      <c r="BW1145" s="59"/>
      <c r="BX1145" s="59"/>
      <c r="BY1145" s="59"/>
      <c r="BZ1145" s="59"/>
      <c r="CA1145" s="59"/>
      <c r="CB1145" s="59"/>
      <c r="CC1145" s="59"/>
      <c r="CD1145" s="59"/>
      <c r="CE1145" s="59"/>
      <c r="CF1145" s="59"/>
      <c r="CG1145" s="59"/>
      <c r="CH1145" s="59"/>
      <c r="CI1145" s="59"/>
      <c r="CJ1145" s="59"/>
      <c r="CK1145" s="59"/>
      <c r="CL1145" s="59"/>
      <c r="CM1145" s="59"/>
      <c r="CN1145" s="59"/>
      <c r="CO1145" s="59"/>
      <c r="CP1145" s="59"/>
      <c r="CQ1145" s="59"/>
      <c r="CR1145" s="59"/>
      <c r="CS1145" s="59"/>
      <c r="CT1145" s="59"/>
      <c r="CU1145" s="59"/>
      <c r="CV1145" s="59"/>
      <c r="CW1145" s="59"/>
      <c r="CX1145" s="59"/>
      <c r="CY1145" s="59"/>
      <c r="CZ1145" s="59"/>
      <c r="DA1145" s="59"/>
      <c r="DB1145" s="59"/>
      <c r="DC1145" s="59"/>
      <c r="DD1145" s="59"/>
      <c r="DE1145" s="59"/>
      <c r="DF1145" s="59"/>
      <c r="DG1145" s="59"/>
      <c r="DH1145" s="59"/>
      <c r="DI1145" s="59"/>
      <c r="DJ1145" s="59"/>
      <c r="DK1145" s="59"/>
      <c r="DL1145" s="59"/>
      <c r="DM1145" s="59"/>
      <c r="DN1145" s="59"/>
      <c r="DO1145" s="59"/>
      <c r="DP1145" s="59"/>
      <c r="DQ1145" s="59"/>
      <c r="DR1145" s="59"/>
      <c r="DS1145" s="59"/>
      <c r="DT1145" s="59"/>
      <c r="DU1145" s="59"/>
      <c r="DV1145" s="59"/>
      <c r="DW1145" s="59"/>
      <c r="DX1145" s="59"/>
      <c r="DY1145" s="59"/>
      <c r="DZ1145" s="59"/>
      <c r="EA1145" s="59"/>
      <c r="EB1145" s="59"/>
      <c r="EC1145" s="59"/>
      <c r="ED1145" s="59"/>
      <c r="EE1145" s="59"/>
      <c r="EF1145" s="59"/>
      <c r="EG1145" s="59"/>
      <c r="EH1145" s="59"/>
      <c r="EI1145" s="59"/>
      <c r="EJ1145" s="59"/>
      <c r="EK1145" s="59"/>
      <c r="EL1145" s="59"/>
      <c r="EM1145" s="59"/>
      <c r="EN1145" s="59"/>
      <c r="EO1145" s="59"/>
      <c r="EP1145" s="59"/>
      <c r="EQ1145" s="59"/>
      <c r="ER1145" s="59"/>
      <c r="ES1145" s="59"/>
      <c r="ET1145" s="59"/>
      <c r="EU1145" s="59"/>
      <c r="EV1145" s="59"/>
      <c r="EW1145" s="59"/>
      <c r="EX1145" s="59"/>
      <c r="EY1145" s="59"/>
      <c r="EZ1145" s="59"/>
      <c r="FA1145" s="59"/>
      <c r="FB1145" s="59"/>
      <c r="FC1145" s="59"/>
      <c r="FD1145" s="59"/>
      <c r="FE1145" s="59"/>
      <c r="FF1145" s="59"/>
      <c r="FG1145" s="59"/>
      <c r="FH1145" s="59"/>
      <c r="FI1145" s="59"/>
      <c r="FJ1145" s="59"/>
      <c r="FK1145" s="59"/>
      <c r="FL1145" s="59"/>
      <c r="FM1145" s="59"/>
      <c r="FN1145" s="59"/>
      <c r="FO1145" s="59"/>
      <c r="FP1145" s="59"/>
      <c r="FQ1145" s="59"/>
      <c r="FR1145" s="59"/>
      <c r="FS1145" s="59"/>
      <c r="FT1145" s="59"/>
      <c r="FU1145" s="59"/>
      <c r="FV1145" s="59"/>
      <c r="FW1145" s="59"/>
      <c r="FX1145" s="59"/>
      <c r="FY1145" s="59"/>
      <c r="FZ1145" s="59"/>
      <c r="GA1145" s="59"/>
      <c r="GB1145" s="59"/>
      <c r="GC1145" s="59"/>
    </row>
    <row r="1146">
      <c r="A1146" s="59"/>
      <c r="B1146" s="59"/>
      <c r="C1146" s="59"/>
      <c r="D1146" s="59"/>
      <c r="E1146" s="59"/>
      <c r="F1146" s="59"/>
      <c r="G1146" s="59"/>
      <c r="H1146" s="59"/>
      <c r="I1146" s="59"/>
      <c r="J1146" s="59"/>
      <c r="K1146" s="59"/>
      <c r="L1146" s="59"/>
      <c r="M1146" s="59"/>
      <c r="N1146" s="59"/>
      <c r="O1146" s="59"/>
      <c r="P1146" s="59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59"/>
      <c r="BR1146" s="59"/>
      <c r="BS1146" s="59"/>
      <c r="BT1146" s="59"/>
      <c r="BU1146" s="59"/>
      <c r="BV1146" s="59"/>
      <c r="BW1146" s="59"/>
      <c r="BX1146" s="59"/>
      <c r="BY1146" s="59"/>
      <c r="BZ1146" s="59"/>
      <c r="CA1146" s="59"/>
      <c r="CB1146" s="59"/>
      <c r="CC1146" s="59"/>
      <c r="CD1146" s="59"/>
      <c r="CE1146" s="59"/>
      <c r="CF1146" s="59"/>
      <c r="CG1146" s="59"/>
      <c r="CH1146" s="59"/>
      <c r="CI1146" s="59"/>
      <c r="CJ1146" s="59"/>
      <c r="CK1146" s="59"/>
      <c r="CL1146" s="59"/>
      <c r="CM1146" s="59"/>
      <c r="CN1146" s="59"/>
      <c r="CO1146" s="59"/>
      <c r="CP1146" s="59"/>
      <c r="CQ1146" s="59"/>
      <c r="CR1146" s="59"/>
      <c r="CS1146" s="59"/>
      <c r="CT1146" s="59"/>
      <c r="CU1146" s="59"/>
      <c r="CV1146" s="59"/>
      <c r="CW1146" s="59"/>
      <c r="CX1146" s="59"/>
      <c r="CY1146" s="59"/>
      <c r="CZ1146" s="59"/>
      <c r="DA1146" s="59"/>
      <c r="DB1146" s="59"/>
      <c r="DC1146" s="59"/>
      <c r="DD1146" s="59"/>
      <c r="DE1146" s="59"/>
      <c r="DF1146" s="59"/>
      <c r="DG1146" s="59"/>
      <c r="DH1146" s="59"/>
      <c r="DI1146" s="59"/>
      <c r="DJ1146" s="59"/>
      <c r="DK1146" s="59"/>
      <c r="DL1146" s="59"/>
      <c r="DM1146" s="59"/>
      <c r="DN1146" s="59"/>
      <c r="DO1146" s="59"/>
      <c r="DP1146" s="59"/>
      <c r="DQ1146" s="59"/>
      <c r="DR1146" s="59"/>
      <c r="DS1146" s="59"/>
      <c r="DT1146" s="59"/>
      <c r="DU1146" s="59"/>
      <c r="DV1146" s="59"/>
      <c r="DW1146" s="59"/>
      <c r="DX1146" s="59"/>
      <c r="DY1146" s="59"/>
      <c r="DZ1146" s="59"/>
      <c r="EA1146" s="59"/>
      <c r="EB1146" s="59"/>
      <c r="EC1146" s="59"/>
      <c r="ED1146" s="59"/>
      <c r="EE1146" s="59"/>
      <c r="EF1146" s="59"/>
      <c r="EG1146" s="59"/>
      <c r="EH1146" s="59"/>
      <c r="EI1146" s="59"/>
      <c r="EJ1146" s="59"/>
      <c r="EK1146" s="59"/>
      <c r="EL1146" s="59"/>
      <c r="EM1146" s="59"/>
      <c r="EN1146" s="59"/>
      <c r="EO1146" s="59"/>
      <c r="EP1146" s="59"/>
      <c r="EQ1146" s="59"/>
      <c r="ER1146" s="59"/>
      <c r="ES1146" s="59"/>
      <c r="ET1146" s="59"/>
      <c r="EU1146" s="59"/>
      <c r="EV1146" s="59"/>
      <c r="EW1146" s="59"/>
      <c r="EX1146" s="59"/>
      <c r="EY1146" s="59"/>
      <c r="EZ1146" s="59"/>
      <c r="FA1146" s="59"/>
      <c r="FB1146" s="59"/>
      <c r="FC1146" s="59"/>
      <c r="FD1146" s="59"/>
      <c r="FE1146" s="59"/>
      <c r="FF1146" s="59"/>
      <c r="FG1146" s="59"/>
      <c r="FH1146" s="59"/>
      <c r="FI1146" s="59"/>
      <c r="FJ1146" s="59"/>
      <c r="FK1146" s="59"/>
      <c r="FL1146" s="59"/>
      <c r="FM1146" s="59"/>
      <c r="FN1146" s="59"/>
      <c r="FO1146" s="59"/>
      <c r="FP1146" s="59"/>
      <c r="FQ1146" s="59"/>
      <c r="FR1146" s="59"/>
      <c r="FS1146" s="59"/>
      <c r="FT1146" s="59"/>
      <c r="FU1146" s="59"/>
      <c r="FV1146" s="59"/>
      <c r="FW1146" s="59"/>
      <c r="FX1146" s="59"/>
      <c r="FY1146" s="59"/>
      <c r="FZ1146" s="59"/>
      <c r="GA1146" s="59"/>
      <c r="GB1146" s="59"/>
      <c r="GC1146" s="59"/>
    </row>
    <row r="1147">
      <c r="A1147" s="59"/>
      <c r="B1147" s="59"/>
      <c r="C1147" s="59"/>
      <c r="D1147" s="59"/>
      <c r="E1147" s="59"/>
      <c r="F1147" s="59"/>
      <c r="G1147" s="59"/>
      <c r="H1147" s="59"/>
      <c r="I1147" s="59"/>
      <c r="J1147" s="59"/>
      <c r="K1147" s="59"/>
      <c r="L1147" s="59"/>
      <c r="M1147" s="59"/>
      <c r="N1147" s="59"/>
      <c r="O1147" s="59"/>
      <c r="P1147" s="59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  <c r="AA1147" s="59"/>
      <c r="AB1147" s="59"/>
      <c r="AC1147" s="59"/>
      <c r="AD1147" s="59"/>
      <c r="AE1147" s="59"/>
      <c r="AF1147" s="59"/>
      <c r="AG1147" s="59"/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59"/>
      <c r="BR1147" s="59"/>
      <c r="BS1147" s="59"/>
      <c r="BT1147" s="59"/>
      <c r="BU1147" s="59"/>
      <c r="BV1147" s="59"/>
      <c r="BW1147" s="59"/>
      <c r="BX1147" s="59"/>
      <c r="BY1147" s="59"/>
      <c r="BZ1147" s="59"/>
      <c r="CA1147" s="59"/>
      <c r="CB1147" s="59"/>
      <c r="CC1147" s="59"/>
      <c r="CD1147" s="59"/>
      <c r="CE1147" s="59"/>
      <c r="CF1147" s="59"/>
      <c r="CG1147" s="59"/>
      <c r="CH1147" s="59"/>
      <c r="CI1147" s="59"/>
      <c r="CJ1147" s="59"/>
      <c r="CK1147" s="59"/>
      <c r="CL1147" s="59"/>
      <c r="CM1147" s="59"/>
      <c r="CN1147" s="59"/>
      <c r="CO1147" s="59"/>
      <c r="CP1147" s="59"/>
      <c r="CQ1147" s="59"/>
      <c r="CR1147" s="59"/>
      <c r="CS1147" s="59"/>
      <c r="CT1147" s="59"/>
      <c r="CU1147" s="59"/>
      <c r="CV1147" s="59"/>
      <c r="CW1147" s="59"/>
      <c r="CX1147" s="59"/>
      <c r="CY1147" s="59"/>
      <c r="CZ1147" s="59"/>
      <c r="DA1147" s="59"/>
      <c r="DB1147" s="59"/>
      <c r="DC1147" s="59"/>
      <c r="DD1147" s="59"/>
      <c r="DE1147" s="59"/>
      <c r="DF1147" s="59"/>
      <c r="DG1147" s="59"/>
      <c r="DH1147" s="59"/>
      <c r="DI1147" s="59"/>
      <c r="DJ1147" s="59"/>
      <c r="DK1147" s="59"/>
      <c r="DL1147" s="59"/>
      <c r="DM1147" s="59"/>
      <c r="DN1147" s="59"/>
      <c r="DO1147" s="59"/>
      <c r="DP1147" s="59"/>
      <c r="DQ1147" s="59"/>
      <c r="DR1147" s="59"/>
      <c r="DS1147" s="59"/>
      <c r="DT1147" s="59"/>
      <c r="DU1147" s="59"/>
      <c r="DV1147" s="59"/>
      <c r="DW1147" s="59"/>
      <c r="DX1147" s="59"/>
      <c r="DY1147" s="59"/>
      <c r="DZ1147" s="59"/>
      <c r="EA1147" s="59"/>
      <c r="EB1147" s="59"/>
      <c r="EC1147" s="59"/>
      <c r="ED1147" s="59"/>
      <c r="EE1147" s="59"/>
      <c r="EF1147" s="59"/>
      <c r="EG1147" s="59"/>
      <c r="EH1147" s="59"/>
      <c r="EI1147" s="59"/>
      <c r="EJ1147" s="59"/>
      <c r="EK1147" s="59"/>
      <c r="EL1147" s="59"/>
      <c r="EM1147" s="59"/>
      <c r="EN1147" s="59"/>
      <c r="EO1147" s="59"/>
      <c r="EP1147" s="59"/>
      <c r="EQ1147" s="59"/>
      <c r="ER1147" s="59"/>
      <c r="ES1147" s="59"/>
      <c r="ET1147" s="59"/>
      <c r="EU1147" s="59"/>
      <c r="EV1147" s="59"/>
      <c r="EW1147" s="59"/>
      <c r="EX1147" s="59"/>
      <c r="EY1147" s="59"/>
      <c r="EZ1147" s="59"/>
      <c r="FA1147" s="59"/>
      <c r="FB1147" s="59"/>
      <c r="FC1147" s="59"/>
      <c r="FD1147" s="59"/>
      <c r="FE1147" s="59"/>
      <c r="FF1147" s="59"/>
      <c r="FG1147" s="59"/>
      <c r="FH1147" s="59"/>
      <c r="FI1147" s="59"/>
      <c r="FJ1147" s="59"/>
      <c r="FK1147" s="59"/>
      <c r="FL1147" s="59"/>
      <c r="FM1147" s="59"/>
      <c r="FN1147" s="59"/>
      <c r="FO1147" s="59"/>
      <c r="FP1147" s="59"/>
      <c r="FQ1147" s="59"/>
      <c r="FR1147" s="59"/>
      <c r="FS1147" s="59"/>
      <c r="FT1147" s="59"/>
      <c r="FU1147" s="59"/>
      <c r="FV1147" s="59"/>
      <c r="FW1147" s="59"/>
      <c r="FX1147" s="59"/>
      <c r="FY1147" s="59"/>
      <c r="FZ1147" s="59"/>
      <c r="GA1147" s="59"/>
      <c r="GB1147" s="59"/>
      <c r="GC1147" s="59"/>
    </row>
    <row r="1148">
      <c r="A1148" s="59"/>
      <c r="B1148" s="59"/>
      <c r="C1148" s="59"/>
      <c r="D1148" s="59"/>
      <c r="E1148" s="59"/>
      <c r="F1148" s="59"/>
      <c r="G1148" s="59"/>
      <c r="H1148" s="59"/>
      <c r="I1148" s="59"/>
      <c r="J1148" s="59"/>
      <c r="K1148" s="59"/>
      <c r="L1148" s="59"/>
      <c r="M1148" s="59"/>
      <c r="N1148" s="59"/>
      <c r="O1148" s="59"/>
      <c r="P1148" s="59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59"/>
      <c r="BR1148" s="59"/>
      <c r="BS1148" s="59"/>
      <c r="BT1148" s="59"/>
      <c r="BU1148" s="59"/>
      <c r="BV1148" s="59"/>
      <c r="BW1148" s="59"/>
      <c r="BX1148" s="59"/>
      <c r="BY1148" s="59"/>
      <c r="BZ1148" s="59"/>
      <c r="CA1148" s="59"/>
      <c r="CB1148" s="59"/>
      <c r="CC1148" s="59"/>
      <c r="CD1148" s="59"/>
      <c r="CE1148" s="59"/>
      <c r="CF1148" s="59"/>
      <c r="CG1148" s="59"/>
      <c r="CH1148" s="59"/>
      <c r="CI1148" s="59"/>
      <c r="CJ1148" s="59"/>
      <c r="CK1148" s="59"/>
      <c r="CL1148" s="59"/>
      <c r="CM1148" s="59"/>
      <c r="CN1148" s="59"/>
      <c r="CO1148" s="59"/>
      <c r="CP1148" s="59"/>
      <c r="CQ1148" s="59"/>
      <c r="CR1148" s="59"/>
      <c r="CS1148" s="59"/>
      <c r="CT1148" s="59"/>
      <c r="CU1148" s="59"/>
      <c r="CV1148" s="59"/>
      <c r="CW1148" s="59"/>
      <c r="CX1148" s="59"/>
      <c r="CY1148" s="59"/>
      <c r="CZ1148" s="59"/>
      <c r="DA1148" s="59"/>
      <c r="DB1148" s="59"/>
      <c r="DC1148" s="59"/>
      <c r="DD1148" s="59"/>
      <c r="DE1148" s="59"/>
      <c r="DF1148" s="59"/>
      <c r="DG1148" s="59"/>
      <c r="DH1148" s="59"/>
      <c r="DI1148" s="59"/>
      <c r="DJ1148" s="59"/>
      <c r="DK1148" s="59"/>
      <c r="DL1148" s="59"/>
      <c r="DM1148" s="59"/>
      <c r="DN1148" s="59"/>
      <c r="DO1148" s="59"/>
      <c r="DP1148" s="59"/>
      <c r="DQ1148" s="59"/>
      <c r="DR1148" s="59"/>
      <c r="DS1148" s="59"/>
      <c r="DT1148" s="59"/>
      <c r="DU1148" s="59"/>
      <c r="DV1148" s="59"/>
      <c r="DW1148" s="59"/>
      <c r="DX1148" s="59"/>
      <c r="DY1148" s="59"/>
      <c r="DZ1148" s="59"/>
      <c r="EA1148" s="59"/>
      <c r="EB1148" s="59"/>
      <c r="EC1148" s="59"/>
      <c r="ED1148" s="59"/>
      <c r="EE1148" s="59"/>
      <c r="EF1148" s="59"/>
      <c r="EG1148" s="59"/>
      <c r="EH1148" s="59"/>
      <c r="EI1148" s="59"/>
      <c r="EJ1148" s="59"/>
      <c r="EK1148" s="59"/>
      <c r="EL1148" s="59"/>
      <c r="EM1148" s="59"/>
      <c r="EN1148" s="59"/>
      <c r="EO1148" s="59"/>
      <c r="EP1148" s="59"/>
      <c r="EQ1148" s="59"/>
      <c r="ER1148" s="59"/>
      <c r="ES1148" s="59"/>
      <c r="ET1148" s="59"/>
      <c r="EU1148" s="59"/>
      <c r="EV1148" s="59"/>
      <c r="EW1148" s="59"/>
      <c r="EX1148" s="59"/>
      <c r="EY1148" s="59"/>
      <c r="EZ1148" s="59"/>
      <c r="FA1148" s="59"/>
      <c r="FB1148" s="59"/>
      <c r="FC1148" s="59"/>
      <c r="FD1148" s="59"/>
      <c r="FE1148" s="59"/>
      <c r="FF1148" s="59"/>
      <c r="FG1148" s="59"/>
      <c r="FH1148" s="59"/>
      <c r="FI1148" s="59"/>
      <c r="FJ1148" s="59"/>
      <c r="FK1148" s="59"/>
      <c r="FL1148" s="59"/>
      <c r="FM1148" s="59"/>
      <c r="FN1148" s="59"/>
      <c r="FO1148" s="59"/>
      <c r="FP1148" s="59"/>
      <c r="FQ1148" s="59"/>
      <c r="FR1148" s="59"/>
      <c r="FS1148" s="59"/>
      <c r="FT1148" s="59"/>
      <c r="FU1148" s="59"/>
      <c r="FV1148" s="59"/>
      <c r="FW1148" s="59"/>
      <c r="FX1148" s="59"/>
      <c r="FY1148" s="59"/>
      <c r="FZ1148" s="59"/>
      <c r="GA1148" s="59"/>
      <c r="GB1148" s="59"/>
      <c r="GC1148" s="59"/>
    </row>
    <row r="1149">
      <c r="A1149" s="59"/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  <c r="AA1149" s="59"/>
      <c r="AB1149" s="59"/>
      <c r="AC1149" s="59"/>
      <c r="AD1149" s="59"/>
      <c r="AE1149" s="59"/>
      <c r="AF1149" s="59"/>
      <c r="AG1149" s="59"/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59"/>
      <c r="BR1149" s="59"/>
      <c r="BS1149" s="59"/>
      <c r="BT1149" s="59"/>
      <c r="BU1149" s="59"/>
      <c r="BV1149" s="59"/>
      <c r="BW1149" s="59"/>
      <c r="BX1149" s="59"/>
      <c r="BY1149" s="59"/>
      <c r="BZ1149" s="59"/>
      <c r="CA1149" s="59"/>
      <c r="CB1149" s="59"/>
      <c r="CC1149" s="59"/>
      <c r="CD1149" s="59"/>
      <c r="CE1149" s="59"/>
      <c r="CF1149" s="59"/>
      <c r="CG1149" s="59"/>
      <c r="CH1149" s="59"/>
      <c r="CI1149" s="59"/>
      <c r="CJ1149" s="59"/>
      <c r="CK1149" s="59"/>
      <c r="CL1149" s="59"/>
      <c r="CM1149" s="59"/>
      <c r="CN1149" s="59"/>
      <c r="CO1149" s="59"/>
      <c r="CP1149" s="59"/>
      <c r="CQ1149" s="59"/>
      <c r="CR1149" s="59"/>
      <c r="CS1149" s="59"/>
      <c r="CT1149" s="59"/>
      <c r="CU1149" s="59"/>
      <c r="CV1149" s="59"/>
      <c r="CW1149" s="59"/>
      <c r="CX1149" s="59"/>
      <c r="CY1149" s="59"/>
      <c r="CZ1149" s="59"/>
      <c r="DA1149" s="59"/>
      <c r="DB1149" s="59"/>
      <c r="DC1149" s="59"/>
      <c r="DD1149" s="59"/>
      <c r="DE1149" s="59"/>
      <c r="DF1149" s="59"/>
      <c r="DG1149" s="59"/>
      <c r="DH1149" s="59"/>
      <c r="DI1149" s="59"/>
      <c r="DJ1149" s="59"/>
      <c r="DK1149" s="59"/>
      <c r="DL1149" s="59"/>
      <c r="DM1149" s="59"/>
      <c r="DN1149" s="59"/>
      <c r="DO1149" s="59"/>
      <c r="DP1149" s="59"/>
      <c r="DQ1149" s="59"/>
      <c r="DR1149" s="59"/>
      <c r="DS1149" s="59"/>
      <c r="DT1149" s="59"/>
      <c r="DU1149" s="59"/>
      <c r="DV1149" s="59"/>
      <c r="DW1149" s="59"/>
      <c r="DX1149" s="59"/>
      <c r="DY1149" s="59"/>
      <c r="DZ1149" s="59"/>
      <c r="EA1149" s="59"/>
      <c r="EB1149" s="59"/>
      <c r="EC1149" s="59"/>
      <c r="ED1149" s="59"/>
      <c r="EE1149" s="59"/>
      <c r="EF1149" s="59"/>
      <c r="EG1149" s="59"/>
      <c r="EH1149" s="59"/>
      <c r="EI1149" s="59"/>
      <c r="EJ1149" s="59"/>
      <c r="EK1149" s="59"/>
      <c r="EL1149" s="59"/>
      <c r="EM1149" s="59"/>
      <c r="EN1149" s="59"/>
      <c r="EO1149" s="59"/>
      <c r="EP1149" s="59"/>
      <c r="EQ1149" s="59"/>
      <c r="ER1149" s="59"/>
      <c r="ES1149" s="59"/>
      <c r="ET1149" s="59"/>
      <c r="EU1149" s="59"/>
      <c r="EV1149" s="59"/>
      <c r="EW1149" s="59"/>
      <c r="EX1149" s="59"/>
      <c r="EY1149" s="59"/>
      <c r="EZ1149" s="59"/>
      <c r="FA1149" s="59"/>
      <c r="FB1149" s="59"/>
      <c r="FC1149" s="59"/>
      <c r="FD1149" s="59"/>
      <c r="FE1149" s="59"/>
      <c r="FF1149" s="59"/>
      <c r="FG1149" s="59"/>
      <c r="FH1149" s="59"/>
      <c r="FI1149" s="59"/>
      <c r="FJ1149" s="59"/>
      <c r="FK1149" s="59"/>
      <c r="FL1149" s="59"/>
      <c r="FM1149" s="59"/>
      <c r="FN1149" s="59"/>
      <c r="FO1149" s="59"/>
      <c r="FP1149" s="59"/>
      <c r="FQ1149" s="59"/>
      <c r="FR1149" s="59"/>
      <c r="FS1149" s="59"/>
      <c r="FT1149" s="59"/>
      <c r="FU1149" s="59"/>
      <c r="FV1149" s="59"/>
      <c r="FW1149" s="59"/>
      <c r="FX1149" s="59"/>
      <c r="FY1149" s="59"/>
      <c r="FZ1149" s="59"/>
      <c r="GA1149" s="59"/>
      <c r="GB1149" s="59"/>
      <c r="GC1149" s="59"/>
    </row>
    <row r="1150">
      <c r="A1150" s="59"/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59"/>
      <c r="BR1150" s="59"/>
      <c r="BS1150" s="59"/>
      <c r="BT1150" s="59"/>
      <c r="BU1150" s="59"/>
      <c r="BV1150" s="59"/>
      <c r="BW1150" s="59"/>
      <c r="BX1150" s="59"/>
      <c r="BY1150" s="59"/>
      <c r="BZ1150" s="59"/>
      <c r="CA1150" s="59"/>
      <c r="CB1150" s="59"/>
      <c r="CC1150" s="59"/>
      <c r="CD1150" s="59"/>
      <c r="CE1150" s="59"/>
      <c r="CF1150" s="59"/>
      <c r="CG1150" s="59"/>
      <c r="CH1150" s="59"/>
      <c r="CI1150" s="59"/>
      <c r="CJ1150" s="59"/>
      <c r="CK1150" s="59"/>
      <c r="CL1150" s="59"/>
      <c r="CM1150" s="59"/>
      <c r="CN1150" s="59"/>
      <c r="CO1150" s="59"/>
      <c r="CP1150" s="59"/>
      <c r="CQ1150" s="59"/>
      <c r="CR1150" s="59"/>
      <c r="CS1150" s="59"/>
      <c r="CT1150" s="59"/>
      <c r="CU1150" s="59"/>
      <c r="CV1150" s="59"/>
      <c r="CW1150" s="59"/>
      <c r="CX1150" s="59"/>
      <c r="CY1150" s="59"/>
      <c r="CZ1150" s="59"/>
      <c r="DA1150" s="59"/>
      <c r="DB1150" s="59"/>
      <c r="DC1150" s="59"/>
      <c r="DD1150" s="59"/>
      <c r="DE1150" s="59"/>
      <c r="DF1150" s="59"/>
      <c r="DG1150" s="59"/>
      <c r="DH1150" s="59"/>
      <c r="DI1150" s="59"/>
      <c r="DJ1150" s="59"/>
      <c r="DK1150" s="59"/>
      <c r="DL1150" s="59"/>
      <c r="DM1150" s="59"/>
      <c r="DN1150" s="59"/>
      <c r="DO1150" s="59"/>
      <c r="DP1150" s="59"/>
      <c r="DQ1150" s="59"/>
      <c r="DR1150" s="59"/>
      <c r="DS1150" s="59"/>
      <c r="DT1150" s="59"/>
      <c r="DU1150" s="59"/>
      <c r="DV1150" s="59"/>
      <c r="DW1150" s="59"/>
      <c r="DX1150" s="59"/>
      <c r="DY1150" s="59"/>
      <c r="DZ1150" s="59"/>
      <c r="EA1150" s="59"/>
      <c r="EB1150" s="59"/>
      <c r="EC1150" s="59"/>
      <c r="ED1150" s="59"/>
      <c r="EE1150" s="59"/>
      <c r="EF1150" s="59"/>
      <c r="EG1150" s="59"/>
      <c r="EH1150" s="59"/>
      <c r="EI1150" s="59"/>
      <c r="EJ1150" s="59"/>
      <c r="EK1150" s="59"/>
      <c r="EL1150" s="59"/>
      <c r="EM1150" s="59"/>
      <c r="EN1150" s="59"/>
      <c r="EO1150" s="59"/>
      <c r="EP1150" s="59"/>
      <c r="EQ1150" s="59"/>
      <c r="ER1150" s="59"/>
      <c r="ES1150" s="59"/>
      <c r="ET1150" s="59"/>
      <c r="EU1150" s="59"/>
      <c r="EV1150" s="59"/>
      <c r="EW1150" s="59"/>
      <c r="EX1150" s="59"/>
      <c r="EY1150" s="59"/>
      <c r="EZ1150" s="59"/>
      <c r="FA1150" s="59"/>
      <c r="FB1150" s="59"/>
      <c r="FC1150" s="59"/>
      <c r="FD1150" s="59"/>
      <c r="FE1150" s="59"/>
      <c r="FF1150" s="59"/>
      <c r="FG1150" s="59"/>
      <c r="FH1150" s="59"/>
      <c r="FI1150" s="59"/>
      <c r="FJ1150" s="59"/>
      <c r="FK1150" s="59"/>
      <c r="FL1150" s="59"/>
      <c r="FM1150" s="59"/>
      <c r="FN1150" s="59"/>
      <c r="FO1150" s="59"/>
      <c r="FP1150" s="59"/>
      <c r="FQ1150" s="59"/>
      <c r="FR1150" s="59"/>
      <c r="FS1150" s="59"/>
      <c r="FT1150" s="59"/>
      <c r="FU1150" s="59"/>
      <c r="FV1150" s="59"/>
      <c r="FW1150" s="59"/>
      <c r="FX1150" s="59"/>
      <c r="FY1150" s="59"/>
      <c r="FZ1150" s="59"/>
      <c r="GA1150" s="59"/>
      <c r="GB1150" s="59"/>
      <c r="GC1150" s="59"/>
    </row>
    <row r="1151">
      <c r="A1151" s="59"/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  <c r="AA1151" s="59"/>
      <c r="AB1151" s="59"/>
      <c r="AC1151" s="59"/>
      <c r="AD1151" s="59"/>
      <c r="AE1151" s="59"/>
      <c r="AF1151" s="59"/>
      <c r="AG1151" s="59"/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59"/>
      <c r="BR1151" s="59"/>
      <c r="BS1151" s="59"/>
      <c r="BT1151" s="59"/>
      <c r="BU1151" s="59"/>
      <c r="BV1151" s="59"/>
      <c r="BW1151" s="59"/>
      <c r="BX1151" s="59"/>
      <c r="BY1151" s="59"/>
      <c r="BZ1151" s="59"/>
      <c r="CA1151" s="59"/>
      <c r="CB1151" s="59"/>
      <c r="CC1151" s="59"/>
      <c r="CD1151" s="59"/>
      <c r="CE1151" s="59"/>
      <c r="CF1151" s="59"/>
      <c r="CG1151" s="59"/>
      <c r="CH1151" s="59"/>
      <c r="CI1151" s="59"/>
      <c r="CJ1151" s="59"/>
      <c r="CK1151" s="59"/>
      <c r="CL1151" s="59"/>
      <c r="CM1151" s="59"/>
      <c r="CN1151" s="59"/>
      <c r="CO1151" s="59"/>
      <c r="CP1151" s="59"/>
      <c r="CQ1151" s="59"/>
      <c r="CR1151" s="59"/>
      <c r="CS1151" s="59"/>
      <c r="CT1151" s="59"/>
      <c r="CU1151" s="59"/>
      <c r="CV1151" s="59"/>
      <c r="CW1151" s="59"/>
      <c r="CX1151" s="59"/>
      <c r="CY1151" s="59"/>
      <c r="CZ1151" s="59"/>
      <c r="DA1151" s="59"/>
      <c r="DB1151" s="59"/>
      <c r="DC1151" s="59"/>
      <c r="DD1151" s="59"/>
      <c r="DE1151" s="59"/>
      <c r="DF1151" s="59"/>
      <c r="DG1151" s="59"/>
      <c r="DH1151" s="59"/>
      <c r="DI1151" s="59"/>
      <c r="DJ1151" s="59"/>
      <c r="DK1151" s="59"/>
      <c r="DL1151" s="59"/>
      <c r="DM1151" s="59"/>
      <c r="DN1151" s="59"/>
      <c r="DO1151" s="59"/>
      <c r="DP1151" s="59"/>
      <c r="DQ1151" s="59"/>
      <c r="DR1151" s="59"/>
      <c r="DS1151" s="59"/>
      <c r="DT1151" s="59"/>
      <c r="DU1151" s="59"/>
      <c r="DV1151" s="59"/>
      <c r="DW1151" s="59"/>
      <c r="DX1151" s="59"/>
      <c r="DY1151" s="59"/>
      <c r="DZ1151" s="59"/>
      <c r="EA1151" s="59"/>
      <c r="EB1151" s="59"/>
      <c r="EC1151" s="59"/>
      <c r="ED1151" s="59"/>
      <c r="EE1151" s="59"/>
      <c r="EF1151" s="59"/>
      <c r="EG1151" s="59"/>
      <c r="EH1151" s="59"/>
      <c r="EI1151" s="59"/>
      <c r="EJ1151" s="59"/>
      <c r="EK1151" s="59"/>
      <c r="EL1151" s="59"/>
      <c r="EM1151" s="59"/>
      <c r="EN1151" s="59"/>
      <c r="EO1151" s="59"/>
      <c r="EP1151" s="59"/>
      <c r="EQ1151" s="59"/>
      <c r="ER1151" s="59"/>
      <c r="ES1151" s="59"/>
      <c r="ET1151" s="59"/>
      <c r="EU1151" s="59"/>
      <c r="EV1151" s="59"/>
      <c r="EW1151" s="59"/>
      <c r="EX1151" s="59"/>
      <c r="EY1151" s="59"/>
      <c r="EZ1151" s="59"/>
      <c r="FA1151" s="59"/>
      <c r="FB1151" s="59"/>
      <c r="FC1151" s="59"/>
      <c r="FD1151" s="59"/>
      <c r="FE1151" s="59"/>
      <c r="FF1151" s="59"/>
      <c r="FG1151" s="59"/>
      <c r="FH1151" s="59"/>
      <c r="FI1151" s="59"/>
      <c r="FJ1151" s="59"/>
      <c r="FK1151" s="59"/>
      <c r="FL1151" s="59"/>
      <c r="FM1151" s="59"/>
      <c r="FN1151" s="59"/>
      <c r="FO1151" s="59"/>
      <c r="FP1151" s="59"/>
      <c r="FQ1151" s="59"/>
      <c r="FR1151" s="59"/>
      <c r="FS1151" s="59"/>
      <c r="FT1151" s="59"/>
      <c r="FU1151" s="59"/>
      <c r="FV1151" s="59"/>
      <c r="FW1151" s="59"/>
      <c r="FX1151" s="59"/>
      <c r="FY1151" s="59"/>
      <c r="FZ1151" s="59"/>
      <c r="GA1151" s="59"/>
      <c r="GB1151" s="59"/>
      <c r="GC1151" s="59"/>
    </row>
    <row r="1152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59"/>
      <c r="BR1152" s="59"/>
      <c r="BS1152" s="59"/>
      <c r="BT1152" s="59"/>
      <c r="BU1152" s="59"/>
      <c r="BV1152" s="59"/>
      <c r="BW1152" s="59"/>
      <c r="BX1152" s="59"/>
      <c r="BY1152" s="59"/>
      <c r="BZ1152" s="59"/>
      <c r="CA1152" s="59"/>
      <c r="CB1152" s="59"/>
      <c r="CC1152" s="59"/>
      <c r="CD1152" s="59"/>
      <c r="CE1152" s="59"/>
      <c r="CF1152" s="59"/>
      <c r="CG1152" s="59"/>
      <c r="CH1152" s="59"/>
      <c r="CI1152" s="59"/>
      <c r="CJ1152" s="59"/>
      <c r="CK1152" s="59"/>
      <c r="CL1152" s="59"/>
      <c r="CM1152" s="59"/>
      <c r="CN1152" s="59"/>
      <c r="CO1152" s="59"/>
      <c r="CP1152" s="59"/>
      <c r="CQ1152" s="59"/>
      <c r="CR1152" s="59"/>
      <c r="CS1152" s="59"/>
      <c r="CT1152" s="59"/>
      <c r="CU1152" s="59"/>
      <c r="CV1152" s="59"/>
      <c r="CW1152" s="59"/>
      <c r="CX1152" s="59"/>
      <c r="CY1152" s="59"/>
      <c r="CZ1152" s="59"/>
      <c r="DA1152" s="59"/>
      <c r="DB1152" s="59"/>
      <c r="DC1152" s="59"/>
      <c r="DD1152" s="59"/>
      <c r="DE1152" s="59"/>
      <c r="DF1152" s="59"/>
      <c r="DG1152" s="59"/>
      <c r="DH1152" s="59"/>
      <c r="DI1152" s="59"/>
      <c r="DJ1152" s="59"/>
      <c r="DK1152" s="59"/>
      <c r="DL1152" s="59"/>
      <c r="DM1152" s="59"/>
      <c r="DN1152" s="59"/>
      <c r="DO1152" s="59"/>
      <c r="DP1152" s="59"/>
      <c r="DQ1152" s="59"/>
      <c r="DR1152" s="59"/>
      <c r="DS1152" s="59"/>
      <c r="DT1152" s="59"/>
      <c r="DU1152" s="59"/>
      <c r="DV1152" s="59"/>
      <c r="DW1152" s="59"/>
      <c r="DX1152" s="59"/>
      <c r="DY1152" s="59"/>
      <c r="DZ1152" s="59"/>
      <c r="EA1152" s="59"/>
      <c r="EB1152" s="59"/>
      <c r="EC1152" s="59"/>
      <c r="ED1152" s="59"/>
      <c r="EE1152" s="59"/>
      <c r="EF1152" s="59"/>
      <c r="EG1152" s="59"/>
      <c r="EH1152" s="59"/>
      <c r="EI1152" s="59"/>
      <c r="EJ1152" s="59"/>
      <c r="EK1152" s="59"/>
      <c r="EL1152" s="59"/>
      <c r="EM1152" s="59"/>
      <c r="EN1152" s="59"/>
      <c r="EO1152" s="59"/>
      <c r="EP1152" s="59"/>
      <c r="EQ1152" s="59"/>
      <c r="ER1152" s="59"/>
      <c r="ES1152" s="59"/>
      <c r="ET1152" s="59"/>
      <c r="EU1152" s="59"/>
      <c r="EV1152" s="59"/>
      <c r="EW1152" s="59"/>
      <c r="EX1152" s="59"/>
      <c r="EY1152" s="59"/>
      <c r="EZ1152" s="59"/>
      <c r="FA1152" s="59"/>
      <c r="FB1152" s="59"/>
      <c r="FC1152" s="59"/>
      <c r="FD1152" s="59"/>
      <c r="FE1152" s="59"/>
      <c r="FF1152" s="59"/>
      <c r="FG1152" s="59"/>
      <c r="FH1152" s="59"/>
      <c r="FI1152" s="59"/>
      <c r="FJ1152" s="59"/>
      <c r="FK1152" s="59"/>
      <c r="FL1152" s="59"/>
      <c r="FM1152" s="59"/>
      <c r="FN1152" s="59"/>
      <c r="FO1152" s="59"/>
      <c r="FP1152" s="59"/>
      <c r="FQ1152" s="59"/>
      <c r="FR1152" s="59"/>
      <c r="FS1152" s="59"/>
      <c r="FT1152" s="59"/>
      <c r="FU1152" s="59"/>
      <c r="FV1152" s="59"/>
      <c r="FW1152" s="59"/>
      <c r="FX1152" s="59"/>
      <c r="FY1152" s="59"/>
      <c r="FZ1152" s="59"/>
      <c r="GA1152" s="59"/>
      <c r="GB1152" s="59"/>
      <c r="GC1152" s="59"/>
    </row>
    <row r="1153">
      <c r="A1153" s="59"/>
      <c r="B1153" s="59"/>
      <c r="C1153" s="59"/>
      <c r="D1153" s="59"/>
      <c r="E1153" s="59"/>
      <c r="F1153" s="59"/>
      <c r="G1153" s="59"/>
      <c r="H1153" s="59"/>
      <c r="I1153" s="59"/>
      <c r="J1153" s="59"/>
      <c r="K1153" s="59"/>
      <c r="L1153" s="59"/>
      <c r="M1153" s="59"/>
      <c r="N1153" s="59"/>
      <c r="O1153" s="59"/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/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59"/>
      <c r="BR1153" s="59"/>
      <c r="BS1153" s="59"/>
      <c r="BT1153" s="59"/>
      <c r="BU1153" s="59"/>
      <c r="BV1153" s="59"/>
      <c r="BW1153" s="59"/>
      <c r="BX1153" s="59"/>
      <c r="BY1153" s="59"/>
      <c r="BZ1153" s="59"/>
      <c r="CA1153" s="59"/>
      <c r="CB1153" s="59"/>
      <c r="CC1153" s="59"/>
      <c r="CD1153" s="59"/>
      <c r="CE1153" s="59"/>
      <c r="CF1153" s="59"/>
      <c r="CG1153" s="59"/>
      <c r="CH1153" s="59"/>
      <c r="CI1153" s="59"/>
      <c r="CJ1153" s="59"/>
      <c r="CK1153" s="59"/>
      <c r="CL1153" s="59"/>
      <c r="CM1153" s="59"/>
      <c r="CN1153" s="59"/>
      <c r="CO1153" s="59"/>
      <c r="CP1153" s="59"/>
      <c r="CQ1153" s="59"/>
      <c r="CR1153" s="59"/>
      <c r="CS1153" s="59"/>
      <c r="CT1153" s="59"/>
      <c r="CU1153" s="59"/>
      <c r="CV1153" s="59"/>
      <c r="CW1153" s="59"/>
      <c r="CX1153" s="59"/>
      <c r="CY1153" s="59"/>
      <c r="CZ1153" s="59"/>
      <c r="DA1153" s="59"/>
      <c r="DB1153" s="59"/>
      <c r="DC1153" s="59"/>
      <c r="DD1153" s="59"/>
      <c r="DE1153" s="59"/>
      <c r="DF1153" s="59"/>
      <c r="DG1153" s="59"/>
      <c r="DH1153" s="59"/>
      <c r="DI1153" s="59"/>
      <c r="DJ1153" s="59"/>
      <c r="DK1153" s="59"/>
      <c r="DL1153" s="59"/>
      <c r="DM1153" s="59"/>
      <c r="DN1153" s="59"/>
      <c r="DO1153" s="59"/>
      <c r="DP1153" s="59"/>
      <c r="DQ1153" s="59"/>
      <c r="DR1153" s="59"/>
      <c r="DS1153" s="59"/>
      <c r="DT1153" s="59"/>
      <c r="DU1153" s="59"/>
      <c r="DV1153" s="59"/>
      <c r="DW1153" s="59"/>
      <c r="DX1153" s="59"/>
      <c r="DY1153" s="59"/>
      <c r="DZ1153" s="59"/>
      <c r="EA1153" s="59"/>
      <c r="EB1153" s="59"/>
      <c r="EC1153" s="59"/>
      <c r="ED1153" s="59"/>
      <c r="EE1153" s="59"/>
      <c r="EF1153" s="59"/>
      <c r="EG1153" s="59"/>
      <c r="EH1153" s="59"/>
      <c r="EI1153" s="59"/>
      <c r="EJ1153" s="59"/>
      <c r="EK1153" s="59"/>
      <c r="EL1153" s="59"/>
      <c r="EM1153" s="59"/>
      <c r="EN1153" s="59"/>
      <c r="EO1153" s="59"/>
      <c r="EP1153" s="59"/>
      <c r="EQ1153" s="59"/>
      <c r="ER1153" s="59"/>
      <c r="ES1153" s="59"/>
      <c r="ET1153" s="59"/>
      <c r="EU1153" s="59"/>
      <c r="EV1153" s="59"/>
      <c r="EW1153" s="59"/>
      <c r="EX1153" s="59"/>
      <c r="EY1153" s="59"/>
      <c r="EZ1153" s="59"/>
      <c r="FA1153" s="59"/>
      <c r="FB1153" s="59"/>
      <c r="FC1153" s="59"/>
      <c r="FD1153" s="59"/>
      <c r="FE1153" s="59"/>
      <c r="FF1153" s="59"/>
      <c r="FG1153" s="59"/>
      <c r="FH1153" s="59"/>
      <c r="FI1153" s="59"/>
      <c r="FJ1153" s="59"/>
      <c r="FK1153" s="59"/>
      <c r="FL1153" s="59"/>
      <c r="FM1153" s="59"/>
      <c r="FN1153" s="59"/>
      <c r="FO1153" s="59"/>
      <c r="FP1153" s="59"/>
      <c r="FQ1153" s="59"/>
      <c r="FR1153" s="59"/>
      <c r="FS1153" s="59"/>
      <c r="FT1153" s="59"/>
      <c r="FU1153" s="59"/>
      <c r="FV1153" s="59"/>
      <c r="FW1153" s="59"/>
      <c r="FX1153" s="59"/>
      <c r="FY1153" s="59"/>
      <c r="FZ1153" s="59"/>
      <c r="GA1153" s="59"/>
      <c r="GB1153" s="59"/>
      <c r="GC1153" s="59"/>
    </row>
    <row r="1154">
      <c r="A1154" s="59"/>
      <c r="B1154" s="59"/>
      <c r="C1154" s="59"/>
      <c r="D1154" s="59"/>
      <c r="E1154" s="59"/>
      <c r="F1154" s="59"/>
      <c r="G1154" s="59"/>
      <c r="H1154" s="59"/>
      <c r="I1154" s="59"/>
      <c r="J1154" s="59"/>
      <c r="K1154" s="59"/>
      <c r="L1154" s="59"/>
      <c r="M1154" s="59"/>
      <c r="N1154" s="59"/>
      <c r="O1154" s="59"/>
      <c r="P1154" s="59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59"/>
      <c r="BR1154" s="59"/>
      <c r="BS1154" s="59"/>
      <c r="BT1154" s="59"/>
      <c r="BU1154" s="59"/>
      <c r="BV1154" s="59"/>
      <c r="BW1154" s="59"/>
      <c r="BX1154" s="59"/>
      <c r="BY1154" s="59"/>
      <c r="BZ1154" s="59"/>
      <c r="CA1154" s="59"/>
      <c r="CB1154" s="59"/>
      <c r="CC1154" s="59"/>
      <c r="CD1154" s="59"/>
      <c r="CE1154" s="59"/>
      <c r="CF1154" s="59"/>
      <c r="CG1154" s="59"/>
      <c r="CH1154" s="59"/>
      <c r="CI1154" s="59"/>
      <c r="CJ1154" s="59"/>
      <c r="CK1154" s="59"/>
      <c r="CL1154" s="59"/>
      <c r="CM1154" s="59"/>
      <c r="CN1154" s="59"/>
      <c r="CO1154" s="59"/>
      <c r="CP1154" s="59"/>
      <c r="CQ1154" s="59"/>
      <c r="CR1154" s="59"/>
      <c r="CS1154" s="59"/>
      <c r="CT1154" s="59"/>
      <c r="CU1154" s="59"/>
      <c r="CV1154" s="59"/>
      <c r="CW1154" s="59"/>
      <c r="CX1154" s="59"/>
      <c r="CY1154" s="59"/>
      <c r="CZ1154" s="59"/>
      <c r="DA1154" s="59"/>
      <c r="DB1154" s="59"/>
      <c r="DC1154" s="59"/>
      <c r="DD1154" s="59"/>
      <c r="DE1154" s="59"/>
      <c r="DF1154" s="59"/>
      <c r="DG1154" s="59"/>
      <c r="DH1154" s="59"/>
      <c r="DI1154" s="59"/>
      <c r="DJ1154" s="59"/>
      <c r="DK1154" s="59"/>
      <c r="DL1154" s="59"/>
      <c r="DM1154" s="59"/>
      <c r="DN1154" s="59"/>
      <c r="DO1154" s="59"/>
      <c r="DP1154" s="59"/>
      <c r="DQ1154" s="59"/>
      <c r="DR1154" s="59"/>
      <c r="DS1154" s="59"/>
      <c r="DT1154" s="59"/>
      <c r="DU1154" s="59"/>
      <c r="DV1154" s="59"/>
      <c r="DW1154" s="59"/>
      <c r="DX1154" s="59"/>
      <c r="DY1154" s="59"/>
      <c r="DZ1154" s="59"/>
      <c r="EA1154" s="59"/>
      <c r="EB1154" s="59"/>
      <c r="EC1154" s="59"/>
      <c r="ED1154" s="59"/>
      <c r="EE1154" s="59"/>
      <c r="EF1154" s="59"/>
      <c r="EG1154" s="59"/>
      <c r="EH1154" s="59"/>
      <c r="EI1154" s="59"/>
      <c r="EJ1154" s="59"/>
      <c r="EK1154" s="59"/>
      <c r="EL1154" s="59"/>
      <c r="EM1154" s="59"/>
      <c r="EN1154" s="59"/>
      <c r="EO1154" s="59"/>
      <c r="EP1154" s="59"/>
      <c r="EQ1154" s="59"/>
      <c r="ER1154" s="59"/>
      <c r="ES1154" s="59"/>
      <c r="ET1154" s="59"/>
      <c r="EU1154" s="59"/>
      <c r="EV1154" s="59"/>
      <c r="EW1154" s="59"/>
      <c r="EX1154" s="59"/>
      <c r="EY1154" s="59"/>
      <c r="EZ1154" s="59"/>
      <c r="FA1154" s="59"/>
      <c r="FB1154" s="59"/>
      <c r="FC1154" s="59"/>
      <c r="FD1154" s="59"/>
      <c r="FE1154" s="59"/>
      <c r="FF1154" s="59"/>
      <c r="FG1154" s="59"/>
      <c r="FH1154" s="59"/>
      <c r="FI1154" s="59"/>
      <c r="FJ1154" s="59"/>
      <c r="FK1154" s="59"/>
      <c r="FL1154" s="59"/>
      <c r="FM1154" s="59"/>
      <c r="FN1154" s="59"/>
      <c r="FO1154" s="59"/>
      <c r="FP1154" s="59"/>
      <c r="FQ1154" s="59"/>
      <c r="FR1154" s="59"/>
      <c r="FS1154" s="59"/>
      <c r="FT1154" s="59"/>
      <c r="FU1154" s="59"/>
      <c r="FV1154" s="59"/>
      <c r="FW1154" s="59"/>
      <c r="FX1154" s="59"/>
      <c r="FY1154" s="59"/>
      <c r="FZ1154" s="59"/>
      <c r="GA1154" s="59"/>
      <c r="GB1154" s="59"/>
      <c r="GC1154" s="59"/>
    </row>
    <row r="1155">
      <c r="A1155" s="59"/>
      <c r="B1155" s="59"/>
      <c r="C1155" s="59"/>
      <c r="D1155" s="59"/>
      <c r="E1155" s="59"/>
      <c r="F1155" s="59"/>
      <c r="G1155" s="59"/>
      <c r="H1155" s="59"/>
      <c r="I1155" s="59"/>
      <c r="J1155" s="59"/>
      <c r="K1155" s="59"/>
      <c r="L1155" s="59"/>
      <c r="M1155" s="59"/>
      <c r="N1155" s="59"/>
      <c r="O1155" s="59"/>
      <c r="P1155" s="59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  <c r="AA1155" s="59"/>
      <c r="AB1155" s="59"/>
      <c r="AC1155" s="59"/>
      <c r="AD1155" s="59"/>
      <c r="AE1155" s="59"/>
      <c r="AF1155" s="59"/>
      <c r="AG1155" s="59"/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59"/>
      <c r="BR1155" s="59"/>
      <c r="BS1155" s="59"/>
      <c r="BT1155" s="59"/>
      <c r="BU1155" s="59"/>
      <c r="BV1155" s="59"/>
      <c r="BW1155" s="59"/>
      <c r="BX1155" s="59"/>
      <c r="BY1155" s="59"/>
      <c r="BZ1155" s="59"/>
      <c r="CA1155" s="59"/>
      <c r="CB1155" s="59"/>
      <c r="CC1155" s="59"/>
      <c r="CD1155" s="59"/>
      <c r="CE1155" s="59"/>
      <c r="CF1155" s="59"/>
      <c r="CG1155" s="59"/>
      <c r="CH1155" s="59"/>
      <c r="CI1155" s="59"/>
      <c r="CJ1155" s="59"/>
      <c r="CK1155" s="59"/>
      <c r="CL1155" s="59"/>
      <c r="CM1155" s="59"/>
      <c r="CN1155" s="59"/>
      <c r="CO1155" s="59"/>
      <c r="CP1155" s="59"/>
      <c r="CQ1155" s="59"/>
      <c r="CR1155" s="59"/>
      <c r="CS1155" s="59"/>
      <c r="CT1155" s="59"/>
      <c r="CU1155" s="59"/>
      <c r="CV1155" s="59"/>
      <c r="CW1155" s="59"/>
      <c r="CX1155" s="59"/>
      <c r="CY1155" s="59"/>
      <c r="CZ1155" s="59"/>
      <c r="DA1155" s="59"/>
      <c r="DB1155" s="59"/>
      <c r="DC1155" s="59"/>
      <c r="DD1155" s="59"/>
      <c r="DE1155" s="59"/>
      <c r="DF1155" s="59"/>
      <c r="DG1155" s="59"/>
      <c r="DH1155" s="59"/>
      <c r="DI1155" s="59"/>
      <c r="DJ1155" s="59"/>
      <c r="DK1155" s="59"/>
      <c r="DL1155" s="59"/>
      <c r="DM1155" s="59"/>
      <c r="DN1155" s="59"/>
      <c r="DO1155" s="59"/>
      <c r="DP1155" s="59"/>
      <c r="DQ1155" s="59"/>
      <c r="DR1155" s="59"/>
      <c r="DS1155" s="59"/>
      <c r="DT1155" s="59"/>
      <c r="DU1155" s="59"/>
      <c r="DV1155" s="59"/>
      <c r="DW1155" s="59"/>
      <c r="DX1155" s="59"/>
      <c r="DY1155" s="59"/>
      <c r="DZ1155" s="59"/>
      <c r="EA1155" s="59"/>
      <c r="EB1155" s="59"/>
      <c r="EC1155" s="59"/>
      <c r="ED1155" s="59"/>
      <c r="EE1155" s="59"/>
      <c r="EF1155" s="59"/>
      <c r="EG1155" s="59"/>
      <c r="EH1155" s="59"/>
      <c r="EI1155" s="59"/>
      <c r="EJ1155" s="59"/>
      <c r="EK1155" s="59"/>
      <c r="EL1155" s="59"/>
      <c r="EM1155" s="59"/>
      <c r="EN1155" s="59"/>
      <c r="EO1155" s="59"/>
      <c r="EP1155" s="59"/>
      <c r="EQ1155" s="59"/>
      <c r="ER1155" s="59"/>
      <c r="ES1155" s="59"/>
      <c r="ET1155" s="59"/>
      <c r="EU1155" s="59"/>
      <c r="EV1155" s="59"/>
      <c r="EW1155" s="59"/>
      <c r="EX1155" s="59"/>
      <c r="EY1155" s="59"/>
      <c r="EZ1155" s="59"/>
      <c r="FA1155" s="59"/>
      <c r="FB1155" s="59"/>
      <c r="FC1155" s="59"/>
      <c r="FD1155" s="59"/>
      <c r="FE1155" s="59"/>
      <c r="FF1155" s="59"/>
      <c r="FG1155" s="59"/>
      <c r="FH1155" s="59"/>
      <c r="FI1155" s="59"/>
      <c r="FJ1155" s="59"/>
      <c r="FK1155" s="59"/>
      <c r="FL1155" s="59"/>
      <c r="FM1155" s="59"/>
      <c r="FN1155" s="59"/>
      <c r="FO1155" s="59"/>
      <c r="FP1155" s="59"/>
      <c r="FQ1155" s="59"/>
      <c r="FR1155" s="59"/>
      <c r="FS1155" s="59"/>
      <c r="FT1155" s="59"/>
      <c r="FU1155" s="59"/>
      <c r="FV1155" s="59"/>
      <c r="FW1155" s="59"/>
      <c r="FX1155" s="59"/>
      <c r="FY1155" s="59"/>
      <c r="FZ1155" s="59"/>
      <c r="GA1155" s="59"/>
      <c r="GB1155" s="59"/>
      <c r="GC1155" s="59"/>
    </row>
    <row r="1156">
      <c r="A1156" s="59"/>
      <c r="B1156" s="59"/>
      <c r="C1156" s="59"/>
      <c r="D1156" s="59"/>
      <c r="E1156" s="59"/>
      <c r="F1156" s="59"/>
      <c r="G1156" s="59"/>
      <c r="H1156" s="59"/>
      <c r="I1156" s="59"/>
      <c r="J1156" s="59"/>
      <c r="K1156" s="59"/>
      <c r="L1156" s="59"/>
      <c r="M1156" s="59"/>
      <c r="N1156" s="59"/>
      <c r="O1156" s="59"/>
      <c r="P1156" s="59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59"/>
      <c r="BR1156" s="59"/>
      <c r="BS1156" s="59"/>
      <c r="BT1156" s="59"/>
      <c r="BU1156" s="59"/>
      <c r="BV1156" s="59"/>
      <c r="BW1156" s="59"/>
      <c r="BX1156" s="59"/>
      <c r="BY1156" s="59"/>
      <c r="BZ1156" s="59"/>
      <c r="CA1156" s="59"/>
      <c r="CB1156" s="59"/>
      <c r="CC1156" s="59"/>
      <c r="CD1156" s="59"/>
      <c r="CE1156" s="59"/>
      <c r="CF1156" s="59"/>
      <c r="CG1156" s="59"/>
      <c r="CH1156" s="59"/>
      <c r="CI1156" s="59"/>
      <c r="CJ1156" s="59"/>
      <c r="CK1156" s="59"/>
      <c r="CL1156" s="59"/>
      <c r="CM1156" s="59"/>
      <c r="CN1156" s="59"/>
      <c r="CO1156" s="59"/>
      <c r="CP1156" s="59"/>
      <c r="CQ1156" s="59"/>
      <c r="CR1156" s="59"/>
      <c r="CS1156" s="59"/>
      <c r="CT1156" s="59"/>
      <c r="CU1156" s="59"/>
      <c r="CV1156" s="59"/>
      <c r="CW1156" s="59"/>
      <c r="CX1156" s="59"/>
      <c r="CY1156" s="59"/>
      <c r="CZ1156" s="59"/>
      <c r="DA1156" s="59"/>
      <c r="DB1156" s="59"/>
      <c r="DC1156" s="59"/>
      <c r="DD1156" s="59"/>
      <c r="DE1156" s="59"/>
      <c r="DF1156" s="59"/>
      <c r="DG1156" s="59"/>
      <c r="DH1156" s="59"/>
      <c r="DI1156" s="59"/>
      <c r="DJ1156" s="59"/>
      <c r="DK1156" s="59"/>
      <c r="DL1156" s="59"/>
      <c r="DM1156" s="59"/>
      <c r="DN1156" s="59"/>
      <c r="DO1156" s="59"/>
      <c r="DP1156" s="59"/>
      <c r="DQ1156" s="59"/>
      <c r="DR1156" s="59"/>
      <c r="DS1156" s="59"/>
      <c r="DT1156" s="59"/>
      <c r="DU1156" s="59"/>
      <c r="DV1156" s="59"/>
      <c r="DW1156" s="59"/>
      <c r="DX1156" s="59"/>
      <c r="DY1156" s="59"/>
      <c r="DZ1156" s="59"/>
      <c r="EA1156" s="59"/>
      <c r="EB1156" s="59"/>
      <c r="EC1156" s="59"/>
      <c r="ED1156" s="59"/>
      <c r="EE1156" s="59"/>
      <c r="EF1156" s="59"/>
      <c r="EG1156" s="59"/>
      <c r="EH1156" s="59"/>
      <c r="EI1156" s="59"/>
      <c r="EJ1156" s="59"/>
      <c r="EK1156" s="59"/>
      <c r="EL1156" s="59"/>
      <c r="EM1156" s="59"/>
      <c r="EN1156" s="59"/>
      <c r="EO1156" s="59"/>
      <c r="EP1156" s="59"/>
      <c r="EQ1156" s="59"/>
      <c r="ER1156" s="59"/>
      <c r="ES1156" s="59"/>
      <c r="ET1156" s="59"/>
      <c r="EU1156" s="59"/>
      <c r="EV1156" s="59"/>
      <c r="EW1156" s="59"/>
      <c r="EX1156" s="59"/>
      <c r="EY1156" s="59"/>
      <c r="EZ1156" s="59"/>
      <c r="FA1156" s="59"/>
      <c r="FB1156" s="59"/>
      <c r="FC1156" s="59"/>
      <c r="FD1156" s="59"/>
      <c r="FE1156" s="59"/>
      <c r="FF1156" s="59"/>
      <c r="FG1156" s="59"/>
      <c r="FH1156" s="59"/>
      <c r="FI1156" s="59"/>
      <c r="FJ1156" s="59"/>
      <c r="FK1156" s="59"/>
      <c r="FL1156" s="59"/>
      <c r="FM1156" s="59"/>
      <c r="FN1156" s="59"/>
      <c r="FO1156" s="59"/>
      <c r="FP1156" s="59"/>
      <c r="FQ1156" s="59"/>
      <c r="FR1156" s="59"/>
      <c r="FS1156" s="59"/>
      <c r="FT1156" s="59"/>
      <c r="FU1156" s="59"/>
      <c r="FV1156" s="59"/>
      <c r="FW1156" s="59"/>
      <c r="FX1156" s="59"/>
      <c r="FY1156" s="59"/>
      <c r="FZ1156" s="59"/>
      <c r="GA1156" s="59"/>
      <c r="GB1156" s="59"/>
      <c r="GC1156" s="59"/>
    </row>
    <row r="1157">
      <c r="A1157" s="59"/>
      <c r="B1157" s="59"/>
      <c r="C1157" s="59"/>
      <c r="D1157" s="59"/>
      <c r="E1157" s="59"/>
      <c r="F1157" s="59"/>
      <c r="G1157" s="59"/>
      <c r="H1157" s="59"/>
      <c r="I1157" s="59"/>
      <c r="J1157" s="59"/>
      <c r="K1157" s="59"/>
      <c r="L1157" s="59"/>
      <c r="M1157" s="59"/>
      <c r="N1157" s="59"/>
      <c r="O1157" s="59"/>
      <c r="P1157" s="59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  <c r="AA1157" s="59"/>
      <c r="AB1157" s="59"/>
      <c r="AC1157" s="59"/>
      <c r="AD1157" s="59"/>
      <c r="AE1157" s="59"/>
      <c r="AF1157" s="59"/>
      <c r="AG1157" s="59"/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59"/>
      <c r="BR1157" s="59"/>
      <c r="BS1157" s="59"/>
      <c r="BT1157" s="59"/>
      <c r="BU1157" s="59"/>
      <c r="BV1157" s="59"/>
      <c r="BW1157" s="59"/>
      <c r="BX1157" s="59"/>
      <c r="BY1157" s="59"/>
      <c r="BZ1157" s="59"/>
      <c r="CA1157" s="59"/>
      <c r="CB1157" s="59"/>
      <c r="CC1157" s="59"/>
      <c r="CD1157" s="59"/>
      <c r="CE1157" s="59"/>
      <c r="CF1157" s="59"/>
      <c r="CG1157" s="59"/>
      <c r="CH1157" s="59"/>
      <c r="CI1157" s="59"/>
      <c r="CJ1157" s="59"/>
      <c r="CK1157" s="59"/>
      <c r="CL1157" s="59"/>
      <c r="CM1157" s="59"/>
      <c r="CN1157" s="59"/>
      <c r="CO1157" s="59"/>
      <c r="CP1157" s="59"/>
      <c r="CQ1157" s="59"/>
      <c r="CR1157" s="59"/>
      <c r="CS1157" s="59"/>
      <c r="CT1157" s="59"/>
      <c r="CU1157" s="59"/>
      <c r="CV1157" s="59"/>
      <c r="CW1157" s="59"/>
      <c r="CX1157" s="59"/>
      <c r="CY1157" s="59"/>
      <c r="CZ1157" s="59"/>
      <c r="DA1157" s="59"/>
      <c r="DB1157" s="59"/>
      <c r="DC1157" s="59"/>
      <c r="DD1157" s="59"/>
      <c r="DE1157" s="59"/>
      <c r="DF1157" s="59"/>
      <c r="DG1157" s="59"/>
      <c r="DH1157" s="59"/>
      <c r="DI1157" s="59"/>
      <c r="DJ1157" s="59"/>
      <c r="DK1157" s="59"/>
      <c r="DL1157" s="59"/>
      <c r="DM1157" s="59"/>
      <c r="DN1157" s="59"/>
      <c r="DO1157" s="59"/>
      <c r="DP1157" s="59"/>
      <c r="DQ1157" s="59"/>
      <c r="DR1157" s="59"/>
      <c r="DS1157" s="59"/>
      <c r="DT1157" s="59"/>
      <c r="DU1157" s="59"/>
      <c r="DV1157" s="59"/>
      <c r="DW1157" s="59"/>
      <c r="DX1157" s="59"/>
      <c r="DY1157" s="59"/>
      <c r="DZ1157" s="59"/>
      <c r="EA1157" s="59"/>
      <c r="EB1157" s="59"/>
      <c r="EC1157" s="59"/>
      <c r="ED1157" s="59"/>
      <c r="EE1157" s="59"/>
      <c r="EF1157" s="59"/>
      <c r="EG1157" s="59"/>
      <c r="EH1157" s="59"/>
      <c r="EI1157" s="59"/>
      <c r="EJ1157" s="59"/>
      <c r="EK1157" s="59"/>
      <c r="EL1157" s="59"/>
      <c r="EM1157" s="59"/>
      <c r="EN1157" s="59"/>
      <c r="EO1157" s="59"/>
      <c r="EP1157" s="59"/>
      <c r="EQ1157" s="59"/>
      <c r="ER1157" s="59"/>
      <c r="ES1157" s="59"/>
      <c r="ET1157" s="59"/>
      <c r="EU1157" s="59"/>
      <c r="EV1157" s="59"/>
      <c r="EW1157" s="59"/>
      <c r="EX1157" s="59"/>
      <c r="EY1157" s="59"/>
      <c r="EZ1157" s="59"/>
      <c r="FA1157" s="59"/>
      <c r="FB1157" s="59"/>
      <c r="FC1157" s="59"/>
      <c r="FD1157" s="59"/>
      <c r="FE1157" s="59"/>
      <c r="FF1157" s="59"/>
      <c r="FG1157" s="59"/>
      <c r="FH1157" s="59"/>
      <c r="FI1157" s="59"/>
      <c r="FJ1157" s="59"/>
      <c r="FK1157" s="59"/>
      <c r="FL1157" s="59"/>
      <c r="FM1157" s="59"/>
      <c r="FN1157" s="59"/>
      <c r="FO1157" s="59"/>
      <c r="FP1157" s="59"/>
      <c r="FQ1157" s="59"/>
      <c r="FR1157" s="59"/>
      <c r="FS1157" s="59"/>
      <c r="FT1157" s="59"/>
      <c r="FU1157" s="59"/>
      <c r="FV1157" s="59"/>
      <c r="FW1157" s="59"/>
      <c r="FX1157" s="59"/>
      <c r="FY1157" s="59"/>
      <c r="FZ1157" s="59"/>
      <c r="GA1157" s="59"/>
      <c r="GB1157" s="59"/>
      <c r="GC1157" s="59"/>
    </row>
    <row r="1158">
      <c r="A1158" s="59"/>
      <c r="B1158" s="59"/>
      <c r="C1158" s="59"/>
      <c r="D1158" s="59"/>
      <c r="E1158" s="59"/>
      <c r="F1158" s="59"/>
      <c r="G1158" s="59"/>
      <c r="H1158" s="59"/>
      <c r="I1158" s="59"/>
      <c r="J1158" s="59"/>
      <c r="K1158" s="59"/>
      <c r="L1158" s="59"/>
      <c r="M1158" s="59"/>
      <c r="N1158" s="59"/>
      <c r="O1158" s="59"/>
      <c r="P1158" s="59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59"/>
      <c r="BR1158" s="59"/>
      <c r="BS1158" s="59"/>
      <c r="BT1158" s="59"/>
      <c r="BU1158" s="59"/>
      <c r="BV1158" s="59"/>
      <c r="BW1158" s="59"/>
      <c r="BX1158" s="59"/>
      <c r="BY1158" s="59"/>
      <c r="BZ1158" s="59"/>
      <c r="CA1158" s="59"/>
      <c r="CB1158" s="59"/>
      <c r="CC1158" s="59"/>
      <c r="CD1158" s="59"/>
      <c r="CE1158" s="59"/>
      <c r="CF1158" s="59"/>
      <c r="CG1158" s="59"/>
      <c r="CH1158" s="59"/>
      <c r="CI1158" s="59"/>
      <c r="CJ1158" s="59"/>
      <c r="CK1158" s="59"/>
      <c r="CL1158" s="59"/>
      <c r="CM1158" s="59"/>
      <c r="CN1158" s="59"/>
      <c r="CO1158" s="59"/>
      <c r="CP1158" s="59"/>
      <c r="CQ1158" s="59"/>
      <c r="CR1158" s="59"/>
      <c r="CS1158" s="59"/>
      <c r="CT1158" s="59"/>
      <c r="CU1158" s="59"/>
      <c r="CV1158" s="59"/>
      <c r="CW1158" s="59"/>
      <c r="CX1158" s="59"/>
      <c r="CY1158" s="59"/>
      <c r="CZ1158" s="59"/>
      <c r="DA1158" s="59"/>
      <c r="DB1158" s="59"/>
      <c r="DC1158" s="59"/>
      <c r="DD1158" s="59"/>
      <c r="DE1158" s="59"/>
      <c r="DF1158" s="59"/>
      <c r="DG1158" s="59"/>
      <c r="DH1158" s="59"/>
      <c r="DI1158" s="59"/>
      <c r="DJ1158" s="59"/>
      <c r="DK1158" s="59"/>
      <c r="DL1158" s="59"/>
      <c r="DM1158" s="59"/>
      <c r="DN1158" s="59"/>
      <c r="DO1158" s="59"/>
      <c r="DP1158" s="59"/>
      <c r="DQ1158" s="59"/>
      <c r="DR1158" s="59"/>
      <c r="DS1158" s="59"/>
      <c r="DT1158" s="59"/>
      <c r="DU1158" s="59"/>
      <c r="DV1158" s="59"/>
      <c r="DW1158" s="59"/>
      <c r="DX1158" s="59"/>
      <c r="DY1158" s="59"/>
      <c r="DZ1158" s="59"/>
      <c r="EA1158" s="59"/>
      <c r="EB1158" s="59"/>
      <c r="EC1158" s="59"/>
      <c r="ED1158" s="59"/>
      <c r="EE1158" s="59"/>
      <c r="EF1158" s="59"/>
      <c r="EG1158" s="59"/>
      <c r="EH1158" s="59"/>
      <c r="EI1158" s="59"/>
      <c r="EJ1158" s="59"/>
      <c r="EK1158" s="59"/>
      <c r="EL1158" s="59"/>
      <c r="EM1158" s="59"/>
      <c r="EN1158" s="59"/>
      <c r="EO1158" s="59"/>
      <c r="EP1158" s="59"/>
      <c r="EQ1158" s="59"/>
      <c r="ER1158" s="59"/>
      <c r="ES1158" s="59"/>
      <c r="ET1158" s="59"/>
      <c r="EU1158" s="59"/>
      <c r="EV1158" s="59"/>
      <c r="EW1158" s="59"/>
      <c r="EX1158" s="59"/>
      <c r="EY1158" s="59"/>
      <c r="EZ1158" s="59"/>
      <c r="FA1158" s="59"/>
      <c r="FB1158" s="59"/>
      <c r="FC1158" s="59"/>
      <c r="FD1158" s="59"/>
      <c r="FE1158" s="59"/>
      <c r="FF1158" s="59"/>
      <c r="FG1158" s="59"/>
      <c r="FH1158" s="59"/>
      <c r="FI1158" s="59"/>
      <c r="FJ1158" s="59"/>
      <c r="FK1158" s="59"/>
      <c r="FL1158" s="59"/>
      <c r="FM1158" s="59"/>
      <c r="FN1158" s="59"/>
      <c r="FO1158" s="59"/>
      <c r="FP1158" s="59"/>
      <c r="FQ1158" s="59"/>
      <c r="FR1158" s="59"/>
      <c r="FS1158" s="59"/>
      <c r="FT1158" s="59"/>
      <c r="FU1158" s="59"/>
      <c r="FV1158" s="59"/>
      <c r="FW1158" s="59"/>
      <c r="FX1158" s="59"/>
      <c r="FY1158" s="59"/>
      <c r="FZ1158" s="59"/>
      <c r="GA1158" s="59"/>
      <c r="GB1158" s="59"/>
      <c r="GC1158" s="59"/>
    </row>
    <row r="1159">
      <c r="A1159" s="59"/>
      <c r="B1159" s="59"/>
      <c r="C1159" s="59"/>
      <c r="D1159" s="59"/>
      <c r="E1159" s="59"/>
      <c r="F1159" s="59"/>
      <c r="G1159" s="59"/>
      <c r="H1159" s="59"/>
      <c r="I1159" s="59"/>
      <c r="J1159" s="59"/>
      <c r="K1159" s="59"/>
      <c r="L1159" s="59"/>
      <c r="M1159" s="59"/>
      <c r="N1159" s="59"/>
      <c r="O1159" s="59"/>
      <c r="P1159" s="59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  <c r="AA1159" s="59"/>
      <c r="AB1159" s="59"/>
      <c r="AC1159" s="59"/>
      <c r="AD1159" s="59"/>
      <c r="AE1159" s="59"/>
      <c r="AF1159" s="59"/>
      <c r="AG1159" s="59"/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59"/>
      <c r="BR1159" s="59"/>
      <c r="BS1159" s="59"/>
      <c r="BT1159" s="59"/>
      <c r="BU1159" s="59"/>
      <c r="BV1159" s="59"/>
      <c r="BW1159" s="59"/>
      <c r="BX1159" s="59"/>
      <c r="BY1159" s="59"/>
      <c r="BZ1159" s="59"/>
      <c r="CA1159" s="59"/>
      <c r="CB1159" s="59"/>
      <c r="CC1159" s="59"/>
      <c r="CD1159" s="59"/>
      <c r="CE1159" s="59"/>
      <c r="CF1159" s="59"/>
      <c r="CG1159" s="59"/>
      <c r="CH1159" s="59"/>
      <c r="CI1159" s="59"/>
      <c r="CJ1159" s="59"/>
      <c r="CK1159" s="59"/>
      <c r="CL1159" s="59"/>
      <c r="CM1159" s="59"/>
      <c r="CN1159" s="59"/>
      <c r="CO1159" s="59"/>
      <c r="CP1159" s="59"/>
      <c r="CQ1159" s="59"/>
      <c r="CR1159" s="59"/>
      <c r="CS1159" s="59"/>
      <c r="CT1159" s="59"/>
      <c r="CU1159" s="59"/>
      <c r="CV1159" s="59"/>
      <c r="CW1159" s="59"/>
      <c r="CX1159" s="59"/>
      <c r="CY1159" s="59"/>
      <c r="CZ1159" s="59"/>
      <c r="DA1159" s="59"/>
      <c r="DB1159" s="59"/>
      <c r="DC1159" s="59"/>
      <c r="DD1159" s="59"/>
      <c r="DE1159" s="59"/>
      <c r="DF1159" s="59"/>
      <c r="DG1159" s="59"/>
      <c r="DH1159" s="59"/>
      <c r="DI1159" s="59"/>
      <c r="DJ1159" s="59"/>
      <c r="DK1159" s="59"/>
      <c r="DL1159" s="59"/>
      <c r="DM1159" s="59"/>
      <c r="DN1159" s="59"/>
      <c r="DO1159" s="59"/>
      <c r="DP1159" s="59"/>
      <c r="DQ1159" s="59"/>
      <c r="DR1159" s="59"/>
      <c r="DS1159" s="59"/>
      <c r="DT1159" s="59"/>
      <c r="DU1159" s="59"/>
      <c r="DV1159" s="59"/>
      <c r="DW1159" s="59"/>
      <c r="DX1159" s="59"/>
      <c r="DY1159" s="59"/>
      <c r="DZ1159" s="59"/>
      <c r="EA1159" s="59"/>
      <c r="EB1159" s="59"/>
      <c r="EC1159" s="59"/>
      <c r="ED1159" s="59"/>
      <c r="EE1159" s="59"/>
      <c r="EF1159" s="59"/>
      <c r="EG1159" s="59"/>
      <c r="EH1159" s="59"/>
      <c r="EI1159" s="59"/>
      <c r="EJ1159" s="59"/>
      <c r="EK1159" s="59"/>
      <c r="EL1159" s="59"/>
      <c r="EM1159" s="59"/>
      <c r="EN1159" s="59"/>
      <c r="EO1159" s="59"/>
      <c r="EP1159" s="59"/>
      <c r="EQ1159" s="59"/>
      <c r="ER1159" s="59"/>
      <c r="ES1159" s="59"/>
      <c r="ET1159" s="59"/>
      <c r="EU1159" s="59"/>
      <c r="EV1159" s="59"/>
      <c r="EW1159" s="59"/>
      <c r="EX1159" s="59"/>
      <c r="EY1159" s="59"/>
      <c r="EZ1159" s="59"/>
      <c r="FA1159" s="59"/>
      <c r="FB1159" s="59"/>
      <c r="FC1159" s="59"/>
      <c r="FD1159" s="59"/>
      <c r="FE1159" s="59"/>
      <c r="FF1159" s="59"/>
      <c r="FG1159" s="59"/>
      <c r="FH1159" s="59"/>
      <c r="FI1159" s="59"/>
      <c r="FJ1159" s="59"/>
      <c r="FK1159" s="59"/>
      <c r="FL1159" s="59"/>
      <c r="FM1159" s="59"/>
      <c r="FN1159" s="59"/>
      <c r="FO1159" s="59"/>
      <c r="FP1159" s="59"/>
      <c r="FQ1159" s="59"/>
      <c r="FR1159" s="59"/>
      <c r="FS1159" s="59"/>
      <c r="FT1159" s="59"/>
      <c r="FU1159" s="59"/>
      <c r="FV1159" s="59"/>
      <c r="FW1159" s="59"/>
      <c r="FX1159" s="59"/>
      <c r="FY1159" s="59"/>
      <c r="FZ1159" s="59"/>
      <c r="GA1159" s="59"/>
      <c r="GB1159" s="59"/>
      <c r="GC1159" s="59"/>
    </row>
    <row r="1160">
      <c r="A1160" s="59"/>
      <c r="B1160" s="59"/>
      <c r="C1160" s="59"/>
      <c r="D1160" s="59"/>
      <c r="E1160" s="59"/>
      <c r="F1160" s="59"/>
      <c r="G1160" s="59"/>
      <c r="H1160" s="59"/>
      <c r="I1160" s="59"/>
      <c r="J1160" s="59"/>
      <c r="K1160" s="59"/>
      <c r="L1160" s="59"/>
      <c r="M1160" s="59"/>
      <c r="N1160" s="59"/>
      <c r="O1160" s="59"/>
      <c r="P1160" s="59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59"/>
      <c r="BR1160" s="59"/>
      <c r="BS1160" s="59"/>
      <c r="BT1160" s="59"/>
      <c r="BU1160" s="59"/>
      <c r="BV1160" s="59"/>
      <c r="BW1160" s="59"/>
      <c r="BX1160" s="59"/>
      <c r="BY1160" s="59"/>
      <c r="BZ1160" s="59"/>
      <c r="CA1160" s="59"/>
      <c r="CB1160" s="59"/>
      <c r="CC1160" s="59"/>
      <c r="CD1160" s="59"/>
      <c r="CE1160" s="59"/>
      <c r="CF1160" s="59"/>
      <c r="CG1160" s="59"/>
      <c r="CH1160" s="59"/>
      <c r="CI1160" s="59"/>
      <c r="CJ1160" s="59"/>
      <c r="CK1160" s="59"/>
      <c r="CL1160" s="59"/>
      <c r="CM1160" s="59"/>
      <c r="CN1160" s="59"/>
      <c r="CO1160" s="59"/>
      <c r="CP1160" s="59"/>
      <c r="CQ1160" s="59"/>
      <c r="CR1160" s="59"/>
      <c r="CS1160" s="59"/>
      <c r="CT1160" s="59"/>
      <c r="CU1160" s="59"/>
      <c r="CV1160" s="59"/>
      <c r="CW1160" s="59"/>
      <c r="CX1160" s="59"/>
      <c r="CY1160" s="59"/>
      <c r="CZ1160" s="59"/>
      <c r="DA1160" s="59"/>
      <c r="DB1160" s="59"/>
      <c r="DC1160" s="59"/>
      <c r="DD1160" s="59"/>
      <c r="DE1160" s="59"/>
      <c r="DF1160" s="59"/>
      <c r="DG1160" s="59"/>
      <c r="DH1160" s="59"/>
      <c r="DI1160" s="59"/>
      <c r="DJ1160" s="59"/>
      <c r="DK1160" s="59"/>
      <c r="DL1160" s="59"/>
      <c r="DM1160" s="59"/>
      <c r="DN1160" s="59"/>
      <c r="DO1160" s="59"/>
      <c r="DP1160" s="59"/>
      <c r="DQ1160" s="59"/>
      <c r="DR1160" s="59"/>
      <c r="DS1160" s="59"/>
      <c r="DT1160" s="59"/>
      <c r="DU1160" s="59"/>
      <c r="DV1160" s="59"/>
      <c r="DW1160" s="59"/>
      <c r="DX1160" s="59"/>
      <c r="DY1160" s="59"/>
      <c r="DZ1160" s="59"/>
      <c r="EA1160" s="59"/>
      <c r="EB1160" s="59"/>
      <c r="EC1160" s="59"/>
      <c r="ED1160" s="59"/>
      <c r="EE1160" s="59"/>
      <c r="EF1160" s="59"/>
      <c r="EG1160" s="59"/>
      <c r="EH1160" s="59"/>
      <c r="EI1160" s="59"/>
      <c r="EJ1160" s="59"/>
      <c r="EK1160" s="59"/>
      <c r="EL1160" s="59"/>
      <c r="EM1160" s="59"/>
      <c r="EN1160" s="59"/>
      <c r="EO1160" s="59"/>
      <c r="EP1160" s="59"/>
      <c r="EQ1160" s="59"/>
      <c r="ER1160" s="59"/>
      <c r="ES1160" s="59"/>
      <c r="ET1160" s="59"/>
      <c r="EU1160" s="59"/>
      <c r="EV1160" s="59"/>
      <c r="EW1160" s="59"/>
      <c r="EX1160" s="59"/>
      <c r="EY1160" s="59"/>
      <c r="EZ1160" s="59"/>
      <c r="FA1160" s="59"/>
      <c r="FB1160" s="59"/>
      <c r="FC1160" s="59"/>
      <c r="FD1160" s="59"/>
      <c r="FE1160" s="59"/>
      <c r="FF1160" s="59"/>
      <c r="FG1160" s="59"/>
      <c r="FH1160" s="59"/>
      <c r="FI1160" s="59"/>
      <c r="FJ1160" s="59"/>
      <c r="FK1160" s="59"/>
      <c r="FL1160" s="59"/>
      <c r="FM1160" s="59"/>
      <c r="FN1160" s="59"/>
      <c r="FO1160" s="59"/>
      <c r="FP1160" s="59"/>
      <c r="FQ1160" s="59"/>
      <c r="FR1160" s="59"/>
      <c r="FS1160" s="59"/>
      <c r="FT1160" s="59"/>
      <c r="FU1160" s="59"/>
      <c r="FV1160" s="59"/>
      <c r="FW1160" s="59"/>
      <c r="FX1160" s="59"/>
      <c r="FY1160" s="59"/>
      <c r="FZ1160" s="59"/>
      <c r="GA1160" s="59"/>
      <c r="GB1160" s="59"/>
      <c r="GC1160" s="59"/>
    </row>
    <row r="1161">
      <c r="A1161" s="59"/>
      <c r="B1161" s="59"/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  <c r="AD1161" s="59"/>
      <c r="AE1161" s="59"/>
      <c r="AF1161" s="59"/>
      <c r="AG1161" s="59"/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59"/>
      <c r="BR1161" s="59"/>
      <c r="BS1161" s="59"/>
      <c r="BT1161" s="59"/>
      <c r="BU1161" s="59"/>
      <c r="BV1161" s="59"/>
      <c r="BW1161" s="59"/>
      <c r="BX1161" s="59"/>
      <c r="BY1161" s="59"/>
      <c r="BZ1161" s="59"/>
      <c r="CA1161" s="59"/>
      <c r="CB1161" s="59"/>
      <c r="CC1161" s="59"/>
      <c r="CD1161" s="59"/>
      <c r="CE1161" s="59"/>
      <c r="CF1161" s="59"/>
      <c r="CG1161" s="59"/>
      <c r="CH1161" s="59"/>
      <c r="CI1161" s="59"/>
      <c r="CJ1161" s="59"/>
      <c r="CK1161" s="59"/>
      <c r="CL1161" s="59"/>
      <c r="CM1161" s="59"/>
      <c r="CN1161" s="59"/>
      <c r="CO1161" s="59"/>
      <c r="CP1161" s="59"/>
      <c r="CQ1161" s="59"/>
      <c r="CR1161" s="59"/>
      <c r="CS1161" s="59"/>
      <c r="CT1161" s="59"/>
      <c r="CU1161" s="59"/>
      <c r="CV1161" s="59"/>
      <c r="CW1161" s="59"/>
      <c r="CX1161" s="59"/>
      <c r="CY1161" s="59"/>
      <c r="CZ1161" s="59"/>
      <c r="DA1161" s="59"/>
      <c r="DB1161" s="59"/>
      <c r="DC1161" s="59"/>
      <c r="DD1161" s="59"/>
      <c r="DE1161" s="59"/>
      <c r="DF1161" s="59"/>
      <c r="DG1161" s="59"/>
      <c r="DH1161" s="59"/>
      <c r="DI1161" s="59"/>
      <c r="DJ1161" s="59"/>
      <c r="DK1161" s="59"/>
      <c r="DL1161" s="59"/>
      <c r="DM1161" s="59"/>
      <c r="DN1161" s="59"/>
      <c r="DO1161" s="59"/>
      <c r="DP1161" s="59"/>
      <c r="DQ1161" s="59"/>
      <c r="DR1161" s="59"/>
      <c r="DS1161" s="59"/>
      <c r="DT1161" s="59"/>
      <c r="DU1161" s="59"/>
      <c r="DV1161" s="59"/>
      <c r="DW1161" s="59"/>
      <c r="DX1161" s="59"/>
      <c r="DY1161" s="59"/>
      <c r="DZ1161" s="59"/>
      <c r="EA1161" s="59"/>
      <c r="EB1161" s="59"/>
      <c r="EC1161" s="59"/>
      <c r="ED1161" s="59"/>
      <c r="EE1161" s="59"/>
      <c r="EF1161" s="59"/>
      <c r="EG1161" s="59"/>
      <c r="EH1161" s="59"/>
      <c r="EI1161" s="59"/>
      <c r="EJ1161" s="59"/>
      <c r="EK1161" s="59"/>
      <c r="EL1161" s="59"/>
      <c r="EM1161" s="59"/>
      <c r="EN1161" s="59"/>
      <c r="EO1161" s="59"/>
      <c r="EP1161" s="59"/>
      <c r="EQ1161" s="59"/>
      <c r="ER1161" s="59"/>
      <c r="ES1161" s="59"/>
      <c r="ET1161" s="59"/>
      <c r="EU1161" s="59"/>
      <c r="EV1161" s="59"/>
      <c r="EW1161" s="59"/>
      <c r="EX1161" s="59"/>
      <c r="EY1161" s="59"/>
      <c r="EZ1161" s="59"/>
      <c r="FA1161" s="59"/>
      <c r="FB1161" s="59"/>
      <c r="FC1161" s="59"/>
      <c r="FD1161" s="59"/>
      <c r="FE1161" s="59"/>
      <c r="FF1161" s="59"/>
      <c r="FG1161" s="59"/>
      <c r="FH1161" s="59"/>
      <c r="FI1161" s="59"/>
      <c r="FJ1161" s="59"/>
      <c r="FK1161" s="59"/>
      <c r="FL1161" s="59"/>
      <c r="FM1161" s="59"/>
      <c r="FN1161" s="59"/>
      <c r="FO1161" s="59"/>
      <c r="FP1161" s="59"/>
      <c r="FQ1161" s="59"/>
      <c r="FR1161" s="59"/>
      <c r="FS1161" s="59"/>
      <c r="FT1161" s="59"/>
      <c r="FU1161" s="59"/>
      <c r="FV1161" s="59"/>
      <c r="FW1161" s="59"/>
      <c r="FX1161" s="59"/>
      <c r="FY1161" s="59"/>
      <c r="FZ1161" s="59"/>
      <c r="GA1161" s="59"/>
      <c r="GB1161" s="59"/>
      <c r="GC1161" s="59"/>
    </row>
    <row r="1162">
      <c r="A1162" s="59"/>
      <c r="B1162" s="59"/>
      <c r="C1162" s="59"/>
      <c r="D1162" s="59"/>
      <c r="E1162" s="59"/>
      <c r="F1162" s="59"/>
      <c r="G1162" s="59"/>
      <c r="H1162" s="59"/>
      <c r="I1162" s="59"/>
      <c r="J1162" s="59"/>
      <c r="K1162" s="59"/>
      <c r="L1162" s="59"/>
      <c r="M1162" s="59"/>
      <c r="N1162" s="59"/>
      <c r="O1162" s="59"/>
      <c r="P1162" s="59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59"/>
      <c r="BR1162" s="59"/>
      <c r="BS1162" s="59"/>
      <c r="BT1162" s="59"/>
      <c r="BU1162" s="59"/>
      <c r="BV1162" s="59"/>
      <c r="BW1162" s="59"/>
      <c r="BX1162" s="59"/>
      <c r="BY1162" s="59"/>
      <c r="BZ1162" s="59"/>
      <c r="CA1162" s="59"/>
      <c r="CB1162" s="59"/>
      <c r="CC1162" s="59"/>
      <c r="CD1162" s="59"/>
      <c r="CE1162" s="59"/>
      <c r="CF1162" s="59"/>
      <c r="CG1162" s="59"/>
      <c r="CH1162" s="59"/>
      <c r="CI1162" s="59"/>
      <c r="CJ1162" s="59"/>
      <c r="CK1162" s="59"/>
      <c r="CL1162" s="59"/>
      <c r="CM1162" s="59"/>
      <c r="CN1162" s="59"/>
      <c r="CO1162" s="59"/>
      <c r="CP1162" s="59"/>
      <c r="CQ1162" s="59"/>
      <c r="CR1162" s="59"/>
      <c r="CS1162" s="59"/>
      <c r="CT1162" s="59"/>
      <c r="CU1162" s="59"/>
      <c r="CV1162" s="59"/>
      <c r="CW1162" s="59"/>
      <c r="CX1162" s="59"/>
      <c r="CY1162" s="59"/>
      <c r="CZ1162" s="59"/>
      <c r="DA1162" s="59"/>
      <c r="DB1162" s="59"/>
      <c r="DC1162" s="59"/>
      <c r="DD1162" s="59"/>
      <c r="DE1162" s="59"/>
      <c r="DF1162" s="59"/>
      <c r="DG1162" s="59"/>
      <c r="DH1162" s="59"/>
      <c r="DI1162" s="59"/>
      <c r="DJ1162" s="59"/>
      <c r="DK1162" s="59"/>
      <c r="DL1162" s="59"/>
      <c r="DM1162" s="59"/>
      <c r="DN1162" s="59"/>
      <c r="DO1162" s="59"/>
      <c r="DP1162" s="59"/>
      <c r="DQ1162" s="59"/>
      <c r="DR1162" s="59"/>
      <c r="DS1162" s="59"/>
      <c r="DT1162" s="59"/>
      <c r="DU1162" s="59"/>
      <c r="DV1162" s="59"/>
      <c r="DW1162" s="59"/>
      <c r="DX1162" s="59"/>
      <c r="DY1162" s="59"/>
      <c r="DZ1162" s="59"/>
      <c r="EA1162" s="59"/>
      <c r="EB1162" s="59"/>
      <c r="EC1162" s="59"/>
      <c r="ED1162" s="59"/>
      <c r="EE1162" s="59"/>
      <c r="EF1162" s="59"/>
      <c r="EG1162" s="59"/>
      <c r="EH1162" s="59"/>
      <c r="EI1162" s="59"/>
      <c r="EJ1162" s="59"/>
      <c r="EK1162" s="59"/>
      <c r="EL1162" s="59"/>
      <c r="EM1162" s="59"/>
      <c r="EN1162" s="59"/>
      <c r="EO1162" s="59"/>
      <c r="EP1162" s="59"/>
      <c r="EQ1162" s="59"/>
      <c r="ER1162" s="59"/>
      <c r="ES1162" s="59"/>
      <c r="ET1162" s="59"/>
      <c r="EU1162" s="59"/>
      <c r="EV1162" s="59"/>
      <c r="EW1162" s="59"/>
      <c r="EX1162" s="59"/>
      <c r="EY1162" s="59"/>
      <c r="EZ1162" s="59"/>
      <c r="FA1162" s="59"/>
      <c r="FB1162" s="59"/>
      <c r="FC1162" s="59"/>
      <c r="FD1162" s="59"/>
      <c r="FE1162" s="59"/>
      <c r="FF1162" s="59"/>
      <c r="FG1162" s="59"/>
      <c r="FH1162" s="59"/>
      <c r="FI1162" s="59"/>
      <c r="FJ1162" s="59"/>
      <c r="FK1162" s="59"/>
      <c r="FL1162" s="59"/>
      <c r="FM1162" s="59"/>
      <c r="FN1162" s="59"/>
      <c r="FO1162" s="59"/>
      <c r="FP1162" s="59"/>
      <c r="FQ1162" s="59"/>
      <c r="FR1162" s="59"/>
      <c r="FS1162" s="59"/>
      <c r="FT1162" s="59"/>
      <c r="FU1162" s="59"/>
      <c r="FV1162" s="59"/>
      <c r="FW1162" s="59"/>
      <c r="FX1162" s="59"/>
      <c r="FY1162" s="59"/>
      <c r="FZ1162" s="59"/>
      <c r="GA1162" s="59"/>
      <c r="GB1162" s="59"/>
      <c r="GC1162" s="59"/>
    </row>
    <row r="1163">
      <c r="A1163" s="59"/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59"/>
      <c r="N1163" s="59"/>
      <c r="O1163" s="59"/>
      <c r="P1163" s="59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  <c r="AA1163" s="59"/>
      <c r="AB1163" s="59"/>
      <c r="AC1163" s="59"/>
      <c r="AD1163" s="59"/>
      <c r="AE1163" s="59"/>
      <c r="AF1163" s="59"/>
      <c r="AG1163" s="59"/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59"/>
      <c r="BR1163" s="59"/>
      <c r="BS1163" s="59"/>
      <c r="BT1163" s="59"/>
      <c r="BU1163" s="59"/>
      <c r="BV1163" s="59"/>
      <c r="BW1163" s="59"/>
      <c r="BX1163" s="59"/>
      <c r="BY1163" s="59"/>
      <c r="BZ1163" s="59"/>
      <c r="CA1163" s="59"/>
      <c r="CB1163" s="59"/>
      <c r="CC1163" s="59"/>
      <c r="CD1163" s="59"/>
      <c r="CE1163" s="59"/>
      <c r="CF1163" s="59"/>
      <c r="CG1163" s="59"/>
      <c r="CH1163" s="59"/>
      <c r="CI1163" s="59"/>
      <c r="CJ1163" s="59"/>
      <c r="CK1163" s="59"/>
      <c r="CL1163" s="59"/>
      <c r="CM1163" s="59"/>
      <c r="CN1163" s="59"/>
      <c r="CO1163" s="59"/>
      <c r="CP1163" s="59"/>
      <c r="CQ1163" s="59"/>
      <c r="CR1163" s="59"/>
      <c r="CS1163" s="59"/>
      <c r="CT1163" s="59"/>
      <c r="CU1163" s="59"/>
      <c r="CV1163" s="59"/>
      <c r="CW1163" s="59"/>
      <c r="CX1163" s="59"/>
      <c r="CY1163" s="59"/>
      <c r="CZ1163" s="59"/>
      <c r="DA1163" s="59"/>
      <c r="DB1163" s="59"/>
      <c r="DC1163" s="59"/>
      <c r="DD1163" s="59"/>
      <c r="DE1163" s="59"/>
      <c r="DF1163" s="59"/>
      <c r="DG1163" s="59"/>
      <c r="DH1163" s="59"/>
      <c r="DI1163" s="59"/>
      <c r="DJ1163" s="59"/>
      <c r="DK1163" s="59"/>
      <c r="DL1163" s="59"/>
      <c r="DM1163" s="59"/>
      <c r="DN1163" s="59"/>
      <c r="DO1163" s="59"/>
      <c r="DP1163" s="59"/>
      <c r="DQ1163" s="59"/>
      <c r="DR1163" s="59"/>
      <c r="DS1163" s="59"/>
      <c r="DT1163" s="59"/>
      <c r="DU1163" s="59"/>
      <c r="DV1163" s="59"/>
      <c r="DW1163" s="59"/>
      <c r="DX1163" s="59"/>
      <c r="DY1163" s="59"/>
      <c r="DZ1163" s="59"/>
      <c r="EA1163" s="59"/>
      <c r="EB1163" s="59"/>
      <c r="EC1163" s="59"/>
      <c r="ED1163" s="59"/>
      <c r="EE1163" s="59"/>
      <c r="EF1163" s="59"/>
      <c r="EG1163" s="59"/>
      <c r="EH1163" s="59"/>
      <c r="EI1163" s="59"/>
      <c r="EJ1163" s="59"/>
      <c r="EK1163" s="59"/>
      <c r="EL1163" s="59"/>
      <c r="EM1163" s="59"/>
      <c r="EN1163" s="59"/>
      <c r="EO1163" s="59"/>
      <c r="EP1163" s="59"/>
      <c r="EQ1163" s="59"/>
      <c r="ER1163" s="59"/>
      <c r="ES1163" s="59"/>
      <c r="ET1163" s="59"/>
      <c r="EU1163" s="59"/>
      <c r="EV1163" s="59"/>
      <c r="EW1163" s="59"/>
      <c r="EX1163" s="59"/>
      <c r="EY1163" s="59"/>
      <c r="EZ1163" s="59"/>
      <c r="FA1163" s="59"/>
      <c r="FB1163" s="59"/>
      <c r="FC1163" s="59"/>
      <c r="FD1163" s="59"/>
      <c r="FE1163" s="59"/>
      <c r="FF1163" s="59"/>
      <c r="FG1163" s="59"/>
      <c r="FH1163" s="59"/>
      <c r="FI1163" s="59"/>
      <c r="FJ1163" s="59"/>
      <c r="FK1163" s="59"/>
      <c r="FL1163" s="59"/>
      <c r="FM1163" s="59"/>
      <c r="FN1163" s="59"/>
      <c r="FO1163" s="59"/>
      <c r="FP1163" s="59"/>
      <c r="FQ1163" s="59"/>
      <c r="FR1163" s="59"/>
      <c r="FS1163" s="59"/>
      <c r="FT1163" s="59"/>
      <c r="FU1163" s="59"/>
      <c r="FV1163" s="59"/>
      <c r="FW1163" s="59"/>
      <c r="FX1163" s="59"/>
      <c r="FY1163" s="59"/>
      <c r="FZ1163" s="59"/>
      <c r="GA1163" s="59"/>
      <c r="GB1163" s="59"/>
      <c r="GC1163" s="59"/>
    </row>
    <row r="1164">
      <c r="A1164" s="59"/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59"/>
      <c r="P1164" s="59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59"/>
      <c r="BR1164" s="59"/>
      <c r="BS1164" s="59"/>
      <c r="BT1164" s="59"/>
      <c r="BU1164" s="59"/>
      <c r="BV1164" s="59"/>
      <c r="BW1164" s="59"/>
      <c r="BX1164" s="59"/>
      <c r="BY1164" s="59"/>
      <c r="BZ1164" s="59"/>
      <c r="CA1164" s="59"/>
      <c r="CB1164" s="59"/>
      <c r="CC1164" s="59"/>
      <c r="CD1164" s="59"/>
      <c r="CE1164" s="59"/>
      <c r="CF1164" s="59"/>
      <c r="CG1164" s="59"/>
      <c r="CH1164" s="59"/>
      <c r="CI1164" s="59"/>
      <c r="CJ1164" s="59"/>
      <c r="CK1164" s="59"/>
      <c r="CL1164" s="59"/>
      <c r="CM1164" s="59"/>
      <c r="CN1164" s="59"/>
      <c r="CO1164" s="59"/>
      <c r="CP1164" s="59"/>
      <c r="CQ1164" s="59"/>
      <c r="CR1164" s="59"/>
      <c r="CS1164" s="59"/>
      <c r="CT1164" s="59"/>
      <c r="CU1164" s="59"/>
      <c r="CV1164" s="59"/>
      <c r="CW1164" s="59"/>
      <c r="CX1164" s="59"/>
      <c r="CY1164" s="59"/>
      <c r="CZ1164" s="59"/>
      <c r="DA1164" s="59"/>
      <c r="DB1164" s="59"/>
      <c r="DC1164" s="59"/>
      <c r="DD1164" s="59"/>
      <c r="DE1164" s="59"/>
      <c r="DF1164" s="59"/>
      <c r="DG1164" s="59"/>
      <c r="DH1164" s="59"/>
      <c r="DI1164" s="59"/>
      <c r="DJ1164" s="59"/>
      <c r="DK1164" s="59"/>
      <c r="DL1164" s="59"/>
      <c r="DM1164" s="59"/>
      <c r="DN1164" s="59"/>
      <c r="DO1164" s="59"/>
      <c r="DP1164" s="59"/>
      <c r="DQ1164" s="59"/>
      <c r="DR1164" s="59"/>
      <c r="DS1164" s="59"/>
      <c r="DT1164" s="59"/>
      <c r="DU1164" s="59"/>
      <c r="DV1164" s="59"/>
      <c r="DW1164" s="59"/>
      <c r="DX1164" s="59"/>
      <c r="DY1164" s="59"/>
      <c r="DZ1164" s="59"/>
      <c r="EA1164" s="59"/>
      <c r="EB1164" s="59"/>
      <c r="EC1164" s="59"/>
      <c r="ED1164" s="59"/>
      <c r="EE1164" s="59"/>
      <c r="EF1164" s="59"/>
      <c r="EG1164" s="59"/>
      <c r="EH1164" s="59"/>
      <c r="EI1164" s="59"/>
      <c r="EJ1164" s="59"/>
      <c r="EK1164" s="59"/>
      <c r="EL1164" s="59"/>
      <c r="EM1164" s="59"/>
      <c r="EN1164" s="59"/>
      <c r="EO1164" s="59"/>
      <c r="EP1164" s="59"/>
      <c r="EQ1164" s="59"/>
      <c r="ER1164" s="59"/>
      <c r="ES1164" s="59"/>
      <c r="ET1164" s="59"/>
      <c r="EU1164" s="59"/>
      <c r="EV1164" s="59"/>
      <c r="EW1164" s="59"/>
      <c r="EX1164" s="59"/>
      <c r="EY1164" s="59"/>
      <c r="EZ1164" s="59"/>
      <c r="FA1164" s="59"/>
      <c r="FB1164" s="59"/>
      <c r="FC1164" s="59"/>
      <c r="FD1164" s="59"/>
      <c r="FE1164" s="59"/>
      <c r="FF1164" s="59"/>
      <c r="FG1164" s="59"/>
      <c r="FH1164" s="59"/>
      <c r="FI1164" s="59"/>
      <c r="FJ1164" s="59"/>
      <c r="FK1164" s="59"/>
      <c r="FL1164" s="59"/>
      <c r="FM1164" s="59"/>
      <c r="FN1164" s="59"/>
      <c r="FO1164" s="59"/>
      <c r="FP1164" s="59"/>
      <c r="FQ1164" s="59"/>
      <c r="FR1164" s="59"/>
      <c r="FS1164" s="59"/>
      <c r="FT1164" s="59"/>
      <c r="FU1164" s="59"/>
      <c r="FV1164" s="59"/>
      <c r="FW1164" s="59"/>
      <c r="FX1164" s="59"/>
      <c r="FY1164" s="59"/>
      <c r="FZ1164" s="59"/>
      <c r="GA1164" s="59"/>
      <c r="GB1164" s="59"/>
      <c r="GC1164" s="59"/>
    </row>
    <row r="1165">
      <c r="A1165" s="59"/>
      <c r="B1165" s="59"/>
      <c r="C1165" s="59"/>
      <c r="D1165" s="59"/>
      <c r="E1165" s="59"/>
      <c r="F1165" s="59"/>
      <c r="G1165" s="59"/>
      <c r="H1165" s="59"/>
      <c r="I1165" s="59"/>
      <c r="J1165" s="59"/>
      <c r="K1165" s="59"/>
      <c r="L1165" s="59"/>
      <c r="M1165" s="59"/>
      <c r="N1165" s="59"/>
      <c r="O1165" s="59"/>
      <c r="P1165" s="59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  <c r="AA1165" s="59"/>
      <c r="AB1165" s="59"/>
      <c r="AC1165" s="59"/>
      <c r="AD1165" s="59"/>
      <c r="AE1165" s="59"/>
      <c r="AF1165" s="59"/>
      <c r="AG1165" s="59"/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59"/>
      <c r="BR1165" s="59"/>
      <c r="BS1165" s="59"/>
      <c r="BT1165" s="59"/>
      <c r="BU1165" s="59"/>
      <c r="BV1165" s="59"/>
      <c r="BW1165" s="59"/>
      <c r="BX1165" s="59"/>
      <c r="BY1165" s="59"/>
      <c r="BZ1165" s="59"/>
      <c r="CA1165" s="59"/>
      <c r="CB1165" s="59"/>
      <c r="CC1165" s="59"/>
      <c r="CD1165" s="59"/>
      <c r="CE1165" s="59"/>
      <c r="CF1165" s="59"/>
      <c r="CG1165" s="59"/>
      <c r="CH1165" s="59"/>
      <c r="CI1165" s="59"/>
      <c r="CJ1165" s="59"/>
      <c r="CK1165" s="59"/>
      <c r="CL1165" s="59"/>
      <c r="CM1165" s="59"/>
      <c r="CN1165" s="59"/>
      <c r="CO1165" s="59"/>
      <c r="CP1165" s="59"/>
      <c r="CQ1165" s="59"/>
      <c r="CR1165" s="59"/>
      <c r="CS1165" s="59"/>
      <c r="CT1165" s="59"/>
      <c r="CU1165" s="59"/>
      <c r="CV1165" s="59"/>
      <c r="CW1165" s="59"/>
      <c r="CX1165" s="59"/>
      <c r="CY1165" s="59"/>
      <c r="CZ1165" s="59"/>
      <c r="DA1165" s="59"/>
      <c r="DB1165" s="59"/>
      <c r="DC1165" s="59"/>
      <c r="DD1165" s="59"/>
      <c r="DE1165" s="59"/>
      <c r="DF1165" s="59"/>
      <c r="DG1165" s="59"/>
      <c r="DH1165" s="59"/>
      <c r="DI1165" s="59"/>
      <c r="DJ1165" s="59"/>
      <c r="DK1165" s="59"/>
      <c r="DL1165" s="59"/>
      <c r="DM1165" s="59"/>
      <c r="DN1165" s="59"/>
      <c r="DO1165" s="59"/>
      <c r="DP1165" s="59"/>
      <c r="DQ1165" s="59"/>
      <c r="DR1165" s="59"/>
      <c r="DS1165" s="59"/>
      <c r="DT1165" s="59"/>
      <c r="DU1165" s="59"/>
      <c r="DV1165" s="59"/>
      <c r="DW1165" s="59"/>
      <c r="DX1165" s="59"/>
      <c r="DY1165" s="59"/>
      <c r="DZ1165" s="59"/>
      <c r="EA1165" s="59"/>
      <c r="EB1165" s="59"/>
      <c r="EC1165" s="59"/>
      <c r="ED1165" s="59"/>
      <c r="EE1165" s="59"/>
      <c r="EF1165" s="59"/>
      <c r="EG1165" s="59"/>
      <c r="EH1165" s="59"/>
      <c r="EI1165" s="59"/>
      <c r="EJ1165" s="59"/>
      <c r="EK1165" s="59"/>
      <c r="EL1165" s="59"/>
      <c r="EM1165" s="59"/>
      <c r="EN1165" s="59"/>
      <c r="EO1165" s="59"/>
      <c r="EP1165" s="59"/>
      <c r="EQ1165" s="59"/>
      <c r="ER1165" s="59"/>
      <c r="ES1165" s="59"/>
      <c r="ET1165" s="59"/>
      <c r="EU1165" s="59"/>
      <c r="EV1165" s="59"/>
      <c r="EW1165" s="59"/>
      <c r="EX1165" s="59"/>
      <c r="EY1165" s="59"/>
      <c r="EZ1165" s="59"/>
      <c r="FA1165" s="59"/>
      <c r="FB1165" s="59"/>
      <c r="FC1165" s="59"/>
      <c r="FD1165" s="59"/>
      <c r="FE1165" s="59"/>
      <c r="FF1165" s="59"/>
      <c r="FG1165" s="59"/>
      <c r="FH1165" s="59"/>
      <c r="FI1165" s="59"/>
      <c r="FJ1165" s="59"/>
      <c r="FK1165" s="59"/>
      <c r="FL1165" s="59"/>
      <c r="FM1165" s="59"/>
      <c r="FN1165" s="59"/>
      <c r="FO1165" s="59"/>
      <c r="FP1165" s="59"/>
      <c r="FQ1165" s="59"/>
      <c r="FR1165" s="59"/>
      <c r="FS1165" s="59"/>
      <c r="FT1165" s="59"/>
      <c r="FU1165" s="59"/>
      <c r="FV1165" s="59"/>
      <c r="FW1165" s="59"/>
      <c r="FX1165" s="59"/>
      <c r="FY1165" s="59"/>
      <c r="FZ1165" s="59"/>
      <c r="GA1165" s="59"/>
      <c r="GB1165" s="59"/>
      <c r="GC1165" s="59"/>
    </row>
    <row r="1166">
      <c r="A1166" s="59"/>
      <c r="B1166" s="59"/>
      <c r="C1166" s="59"/>
      <c r="D1166" s="59"/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  <c r="BV1166" s="59"/>
      <c r="BW1166" s="59"/>
      <c r="BX1166" s="59"/>
      <c r="BY1166" s="59"/>
      <c r="BZ1166" s="59"/>
      <c r="CA1166" s="59"/>
      <c r="CB1166" s="59"/>
      <c r="CC1166" s="59"/>
      <c r="CD1166" s="59"/>
      <c r="CE1166" s="59"/>
      <c r="CF1166" s="59"/>
      <c r="CG1166" s="59"/>
      <c r="CH1166" s="59"/>
      <c r="CI1166" s="59"/>
      <c r="CJ1166" s="59"/>
      <c r="CK1166" s="59"/>
      <c r="CL1166" s="59"/>
      <c r="CM1166" s="59"/>
      <c r="CN1166" s="59"/>
      <c r="CO1166" s="59"/>
      <c r="CP1166" s="59"/>
      <c r="CQ1166" s="59"/>
      <c r="CR1166" s="59"/>
      <c r="CS1166" s="59"/>
      <c r="CT1166" s="59"/>
      <c r="CU1166" s="59"/>
      <c r="CV1166" s="59"/>
      <c r="CW1166" s="59"/>
      <c r="CX1166" s="59"/>
      <c r="CY1166" s="59"/>
      <c r="CZ1166" s="59"/>
      <c r="DA1166" s="59"/>
      <c r="DB1166" s="59"/>
      <c r="DC1166" s="59"/>
      <c r="DD1166" s="59"/>
      <c r="DE1166" s="59"/>
      <c r="DF1166" s="59"/>
      <c r="DG1166" s="59"/>
      <c r="DH1166" s="59"/>
      <c r="DI1166" s="59"/>
      <c r="DJ1166" s="59"/>
      <c r="DK1166" s="59"/>
      <c r="DL1166" s="59"/>
      <c r="DM1166" s="59"/>
      <c r="DN1166" s="59"/>
      <c r="DO1166" s="59"/>
      <c r="DP1166" s="59"/>
      <c r="DQ1166" s="59"/>
      <c r="DR1166" s="59"/>
      <c r="DS1166" s="59"/>
      <c r="DT1166" s="59"/>
      <c r="DU1166" s="59"/>
      <c r="DV1166" s="59"/>
      <c r="DW1166" s="59"/>
      <c r="DX1166" s="59"/>
      <c r="DY1166" s="59"/>
      <c r="DZ1166" s="59"/>
      <c r="EA1166" s="59"/>
      <c r="EB1166" s="59"/>
      <c r="EC1166" s="59"/>
      <c r="ED1166" s="59"/>
      <c r="EE1166" s="59"/>
      <c r="EF1166" s="59"/>
      <c r="EG1166" s="59"/>
      <c r="EH1166" s="59"/>
      <c r="EI1166" s="59"/>
      <c r="EJ1166" s="59"/>
      <c r="EK1166" s="59"/>
      <c r="EL1166" s="59"/>
      <c r="EM1166" s="59"/>
      <c r="EN1166" s="59"/>
      <c r="EO1166" s="59"/>
      <c r="EP1166" s="59"/>
      <c r="EQ1166" s="59"/>
      <c r="ER1166" s="59"/>
      <c r="ES1166" s="59"/>
      <c r="ET1166" s="59"/>
      <c r="EU1166" s="59"/>
      <c r="EV1166" s="59"/>
      <c r="EW1166" s="59"/>
      <c r="EX1166" s="59"/>
      <c r="EY1166" s="59"/>
      <c r="EZ1166" s="59"/>
      <c r="FA1166" s="59"/>
      <c r="FB1166" s="59"/>
      <c r="FC1166" s="59"/>
      <c r="FD1166" s="59"/>
      <c r="FE1166" s="59"/>
      <c r="FF1166" s="59"/>
      <c r="FG1166" s="59"/>
      <c r="FH1166" s="59"/>
      <c r="FI1166" s="59"/>
      <c r="FJ1166" s="59"/>
      <c r="FK1166" s="59"/>
      <c r="FL1166" s="59"/>
      <c r="FM1166" s="59"/>
      <c r="FN1166" s="59"/>
      <c r="FO1166" s="59"/>
      <c r="FP1166" s="59"/>
      <c r="FQ1166" s="59"/>
      <c r="FR1166" s="59"/>
      <c r="FS1166" s="59"/>
      <c r="FT1166" s="59"/>
      <c r="FU1166" s="59"/>
      <c r="FV1166" s="59"/>
      <c r="FW1166" s="59"/>
      <c r="FX1166" s="59"/>
      <c r="FY1166" s="59"/>
      <c r="FZ1166" s="59"/>
      <c r="GA1166" s="59"/>
      <c r="GB1166" s="59"/>
      <c r="GC1166" s="59"/>
    </row>
    <row r="1167">
      <c r="A1167" s="59"/>
      <c r="B1167" s="59"/>
      <c r="C1167" s="59"/>
      <c r="D1167" s="59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  <c r="BV1167" s="59"/>
      <c r="BW1167" s="59"/>
      <c r="BX1167" s="59"/>
      <c r="BY1167" s="59"/>
      <c r="BZ1167" s="59"/>
      <c r="CA1167" s="59"/>
      <c r="CB1167" s="59"/>
      <c r="CC1167" s="59"/>
      <c r="CD1167" s="59"/>
      <c r="CE1167" s="59"/>
      <c r="CF1167" s="59"/>
      <c r="CG1167" s="59"/>
      <c r="CH1167" s="59"/>
      <c r="CI1167" s="59"/>
      <c r="CJ1167" s="59"/>
      <c r="CK1167" s="59"/>
      <c r="CL1167" s="59"/>
      <c r="CM1167" s="59"/>
      <c r="CN1167" s="59"/>
      <c r="CO1167" s="59"/>
      <c r="CP1167" s="59"/>
      <c r="CQ1167" s="59"/>
      <c r="CR1167" s="59"/>
      <c r="CS1167" s="59"/>
      <c r="CT1167" s="59"/>
      <c r="CU1167" s="59"/>
      <c r="CV1167" s="59"/>
      <c r="CW1167" s="59"/>
      <c r="CX1167" s="59"/>
      <c r="CY1167" s="59"/>
      <c r="CZ1167" s="59"/>
      <c r="DA1167" s="59"/>
      <c r="DB1167" s="59"/>
      <c r="DC1167" s="59"/>
      <c r="DD1167" s="59"/>
      <c r="DE1167" s="59"/>
      <c r="DF1167" s="59"/>
      <c r="DG1167" s="59"/>
      <c r="DH1167" s="59"/>
      <c r="DI1167" s="59"/>
      <c r="DJ1167" s="59"/>
      <c r="DK1167" s="59"/>
      <c r="DL1167" s="59"/>
      <c r="DM1167" s="59"/>
      <c r="DN1167" s="59"/>
      <c r="DO1167" s="59"/>
      <c r="DP1167" s="59"/>
      <c r="DQ1167" s="59"/>
      <c r="DR1167" s="59"/>
      <c r="DS1167" s="59"/>
      <c r="DT1167" s="59"/>
      <c r="DU1167" s="59"/>
      <c r="DV1167" s="59"/>
      <c r="DW1167" s="59"/>
      <c r="DX1167" s="59"/>
      <c r="DY1167" s="59"/>
      <c r="DZ1167" s="59"/>
      <c r="EA1167" s="59"/>
      <c r="EB1167" s="59"/>
      <c r="EC1167" s="59"/>
      <c r="ED1167" s="59"/>
      <c r="EE1167" s="59"/>
      <c r="EF1167" s="59"/>
      <c r="EG1167" s="59"/>
      <c r="EH1167" s="59"/>
      <c r="EI1167" s="59"/>
      <c r="EJ1167" s="59"/>
      <c r="EK1167" s="59"/>
      <c r="EL1167" s="59"/>
      <c r="EM1167" s="59"/>
      <c r="EN1167" s="59"/>
      <c r="EO1167" s="59"/>
      <c r="EP1167" s="59"/>
      <c r="EQ1167" s="59"/>
      <c r="ER1167" s="59"/>
      <c r="ES1167" s="59"/>
      <c r="ET1167" s="59"/>
      <c r="EU1167" s="59"/>
      <c r="EV1167" s="59"/>
      <c r="EW1167" s="59"/>
      <c r="EX1167" s="59"/>
      <c r="EY1167" s="59"/>
      <c r="EZ1167" s="59"/>
      <c r="FA1167" s="59"/>
      <c r="FB1167" s="59"/>
      <c r="FC1167" s="59"/>
      <c r="FD1167" s="59"/>
      <c r="FE1167" s="59"/>
      <c r="FF1167" s="59"/>
      <c r="FG1167" s="59"/>
      <c r="FH1167" s="59"/>
      <c r="FI1167" s="59"/>
      <c r="FJ1167" s="59"/>
      <c r="FK1167" s="59"/>
      <c r="FL1167" s="59"/>
      <c r="FM1167" s="59"/>
      <c r="FN1167" s="59"/>
      <c r="FO1167" s="59"/>
      <c r="FP1167" s="59"/>
      <c r="FQ1167" s="59"/>
      <c r="FR1167" s="59"/>
      <c r="FS1167" s="59"/>
      <c r="FT1167" s="59"/>
      <c r="FU1167" s="59"/>
      <c r="FV1167" s="59"/>
      <c r="FW1167" s="59"/>
      <c r="FX1167" s="59"/>
      <c r="FY1167" s="59"/>
      <c r="FZ1167" s="59"/>
      <c r="GA1167" s="59"/>
      <c r="GB1167" s="59"/>
      <c r="GC1167" s="59"/>
    </row>
    <row r="1168">
      <c r="A1168" s="59"/>
      <c r="B1168" s="59"/>
      <c r="C1168" s="59"/>
      <c r="D1168" s="59"/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  <c r="BV1168" s="59"/>
      <c r="BW1168" s="59"/>
      <c r="BX1168" s="59"/>
      <c r="BY1168" s="59"/>
      <c r="BZ1168" s="59"/>
      <c r="CA1168" s="59"/>
      <c r="CB1168" s="59"/>
      <c r="CC1168" s="59"/>
      <c r="CD1168" s="59"/>
      <c r="CE1168" s="59"/>
      <c r="CF1168" s="59"/>
      <c r="CG1168" s="59"/>
      <c r="CH1168" s="59"/>
      <c r="CI1168" s="59"/>
      <c r="CJ1168" s="59"/>
      <c r="CK1168" s="59"/>
      <c r="CL1168" s="59"/>
      <c r="CM1168" s="59"/>
      <c r="CN1168" s="59"/>
      <c r="CO1168" s="59"/>
      <c r="CP1168" s="59"/>
      <c r="CQ1168" s="59"/>
      <c r="CR1168" s="59"/>
      <c r="CS1168" s="59"/>
      <c r="CT1168" s="59"/>
      <c r="CU1168" s="59"/>
      <c r="CV1168" s="59"/>
      <c r="CW1168" s="59"/>
      <c r="CX1168" s="59"/>
      <c r="CY1168" s="59"/>
      <c r="CZ1168" s="59"/>
      <c r="DA1168" s="59"/>
      <c r="DB1168" s="59"/>
      <c r="DC1168" s="59"/>
      <c r="DD1168" s="59"/>
      <c r="DE1168" s="59"/>
      <c r="DF1168" s="59"/>
      <c r="DG1168" s="59"/>
      <c r="DH1168" s="59"/>
      <c r="DI1168" s="59"/>
      <c r="DJ1168" s="59"/>
      <c r="DK1168" s="59"/>
      <c r="DL1168" s="59"/>
      <c r="DM1168" s="59"/>
      <c r="DN1168" s="59"/>
      <c r="DO1168" s="59"/>
      <c r="DP1168" s="59"/>
      <c r="DQ1168" s="59"/>
      <c r="DR1168" s="59"/>
      <c r="DS1168" s="59"/>
      <c r="DT1168" s="59"/>
      <c r="DU1168" s="59"/>
      <c r="DV1168" s="59"/>
      <c r="DW1168" s="59"/>
      <c r="DX1168" s="59"/>
      <c r="DY1168" s="59"/>
      <c r="DZ1168" s="59"/>
      <c r="EA1168" s="59"/>
      <c r="EB1168" s="59"/>
      <c r="EC1168" s="59"/>
      <c r="ED1168" s="59"/>
      <c r="EE1168" s="59"/>
      <c r="EF1168" s="59"/>
      <c r="EG1168" s="59"/>
      <c r="EH1168" s="59"/>
      <c r="EI1168" s="59"/>
      <c r="EJ1168" s="59"/>
      <c r="EK1168" s="59"/>
      <c r="EL1168" s="59"/>
      <c r="EM1168" s="59"/>
      <c r="EN1168" s="59"/>
      <c r="EO1168" s="59"/>
      <c r="EP1168" s="59"/>
      <c r="EQ1168" s="59"/>
      <c r="ER1168" s="59"/>
      <c r="ES1168" s="59"/>
      <c r="ET1168" s="59"/>
      <c r="EU1168" s="59"/>
      <c r="EV1168" s="59"/>
      <c r="EW1168" s="59"/>
      <c r="EX1168" s="59"/>
      <c r="EY1168" s="59"/>
      <c r="EZ1168" s="59"/>
      <c r="FA1168" s="59"/>
      <c r="FB1168" s="59"/>
      <c r="FC1168" s="59"/>
      <c r="FD1168" s="59"/>
      <c r="FE1168" s="59"/>
      <c r="FF1168" s="59"/>
      <c r="FG1168" s="59"/>
      <c r="FH1168" s="59"/>
      <c r="FI1168" s="59"/>
      <c r="FJ1168" s="59"/>
      <c r="FK1168" s="59"/>
      <c r="FL1168" s="59"/>
      <c r="FM1168" s="59"/>
      <c r="FN1168" s="59"/>
      <c r="FO1168" s="59"/>
      <c r="FP1168" s="59"/>
      <c r="FQ1168" s="59"/>
      <c r="FR1168" s="59"/>
      <c r="FS1168" s="59"/>
      <c r="FT1168" s="59"/>
      <c r="FU1168" s="59"/>
      <c r="FV1168" s="59"/>
      <c r="FW1168" s="59"/>
      <c r="FX1168" s="59"/>
      <c r="FY1168" s="59"/>
      <c r="FZ1168" s="59"/>
      <c r="GA1168" s="59"/>
      <c r="GB1168" s="59"/>
      <c r="GC1168" s="59"/>
    </row>
    <row r="1169">
      <c r="A1169" s="59"/>
      <c r="B1169" s="59"/>
      <c r="C1169" s="59"/>
      <c r="D1169" s="59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  <c r="BV1169" s="59"/>
      <c r="BW1169" s="59"/>
      <c r="BX1169" s="59"/>
      <c r="BY1169" s="59"/>
      <c r="BZ1169" s="59"/>
      <c r="CA1169" s="59"/>
      <c r="CB1169" s="59"/>
      <c r="CC1169" s="59"/>
      <c r="CD1169" s="59"/>
      <c r="CE1169" s="59"/>
      <c r="CF1169" s="59"/>
      <c r="CG1169" s="59"/>
      <c r="CH1169" s="59"/>
      <c r="CI1169" s="59"/>
      <c r="CJ1169" s="59"/>
      <c r="CK1169" s="59"/>
      <c r="CL1169" s="59"/>
      <c r="CM1169" s="59"/>
      <c r="CN1169" s="59"/>
      <c r="CO1169" s="59"/>
      <c r="CP1169" s="59"/>
      <c r="CQ1169" s="59"/>
      <c r="CR1169" s="59"/>
      <c r="CS1169" s="59"/>
      <c r="CT1169" s="59"/>
      <c r="CU1169" s="59"/>
      <c r="CV1169" s="59"/>
      <c r="CW1169" s="59"/>
      <c r="CX1169" s="59"/>
      <c r="CY1169" s="59"/>
      <c r="CZ1169" s="59"/>
      <c r="DA1169" s="59"/>
      <c r="DB1169" s="59"/>
      <c r="DC1169" s="59"/>
      <c r="DD1169" s="59"/>
      <c r="DE1169" s="59"/>
      <c r="DF1169" s="59"/>
      <c r="DG1169" s="59"/>
      <c r="DH1169" s="59"/>
      <c r="DI1169" s="59"/>
      <c r="DJ1169" s="59"/>
      <c r="DK1169" s="59"/>
      <c r="DL1169" s="59"/>
      <c r="DM1169" s="59"/>
      <c r="DN1169" s="59"/>
      <c r="DO1169" s="59"/>
      <c r="DP1169" s="59"/>
      <c r="DQ1169" s="59"/>
      <c r="DR1169" s="59"/>
      <c r="DS1169" s="59"/>
      <c r="DT1169" s="59"/>
      <c r="DU1169" s="59"/>
      <c r="DV1169" s="59"/>
      <c r="DW1169" s="59"/>
      <c r="DX1169" s="59"/>
      <c r="DY1169" s="59"/>
      <c r="DZ1169" s="59"/>
      <c r="EA1169" s="59"/>
      <c r="EB1169" s="59"/>
      <c r="EC1169" s="59"/>
      <c r="ED1169" s="59"/>
      <c r="EE1169" s="59"/>
      <c r="EF1169" s="59"/>
      <c r="EG1169" s="59"/>
      <c r="EH1169" s="59"/>
      <c r="EI1169" s="59"/>
      <c r="EJ1169" s="59"/>
      <c r="EK1169" s="59"/>
      <c r="EL1169" s="59"/>
      <c r="EM1169" s="59"/>
      <c r="EN1169" s="59"/>
      <c r="EO1169" s="59"/>
      <c r="EP1169" s="59"/>
      <c r="EQ1169" s="59"/>
      <c r="ER1169" s="59"/>
      <c r="ES1169" s="59"/>
      <c r="ET1169" s="59"/>
      <c r="EU1169" s="59"/>
      <c r="EV1169" s="59"/>
      <c r="EW1169" s="59"/>
      <c r="EX1169" s="59"/>
      <c r="EY1169" s="59"/>
      <c r="EZ1169" s="59"/>
      <c r="FA1169" s="59"/>
      <c r="FB1169" s="59"/>
      <c r="FC1169" s="59"/>
      <c r="FD1169" s="59"/>
      <c r="FE1169" s="59"/>
      <c r="FF1169" s="59"/>
      <c r="FG1169" s="59"/>
      <c r="FH1169" s="59"/>
      <c r="FI1169" s="59"/>
      <c r="FJ1169" s="59"/>
      <c r="FK1169" s="59"/>
      <c r="FL1169" s="59"/>
      <c r="FM1169" s="59"/>
      <c r="FN1169" s="59"/>
      <c r="FO1169" s="59"/>
      <c r="FP1169" s="59"/>
      <c r="FQ1169" s="59"/>
      <c r="FR1169" s="59"/>
      <c r="FS1169" s="59"/>
      <c r="FT1169" s="59"/>
      <c r="FU1169" s="59"/>
      <c r="FV1169" s="59"/>
      <c r="FW1169" s="59"/>
      <c r="FX1169" s="59"/>
      <c r="FY1169" s="59"/>
      <c r="FZ1169" s="59"/>
      <c r="GA1169" s="59"/>
      <c r="GB1169" s="59"/>
      <c r="GC1169" s="59"/>
    </row>
    <row r="1170">
      <c r="A1170" s="59"/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  <c r="BV1170" s="59"/>
      <c r="BW1170" s="59"/>
      <c r="BX1170" s="59"/>
      <c r="BY1170" s="59"/>
      <c r="BZ1170" s="59"/>
      <c r="CA1170" s="59"/>
      <c r="CB1170" s="59"/>
      <c r="CC1170" s="59"/>
      <c r="CD1170" s="59"/>
      <c r="CE1170" s="59"/>
      <c r="CF1170" s="59"/>
      <c r="CG1170" s="59"/>
      <c r="CH1170" s="59"/>
      <c r="CI1170" s="59"/>
      <c r="CJ1170" s="59"/>
      <c r="CK1170" s="59"/>
      <c r="CL1170" s="59"/>
      <c r="CM1170" s="59"/>
      <c r="CN1170" s="59"/>
      <c r="CO1170" s="59"/>
      <c r="CP1170" s="59"/>
      <c r="CQ1170" s="59"/>
      <c r="CR1170" s="59"/>
      <c r="CS1170" s="59"/>
      <c r="CT1170" s="59"/>
      <c r="CU1170" s="59"/>
      <c r="CV1170" s="59"/>
      <c r="CW1170" s="59"/>
      <c r="CX1170" s="59"/>
      <c r="CY1170" s="59"/>
      <c r="CZ1170" s="59"/>
      <c r="DA1170" s="59"/>
      <c r="DB1170" s="59"/>
      <c r="DC1170" s="59"/>
      <c r="DD1170" s="59"/>
      <c r="DE1170" s="59"/>
      <c r="DF1170" s="59"/>
      <c r="DG1170" s="59"/>
      <c r="DH1170" s="59"/>
      <c r="DI1170" s="59"/>
      <c r="DJ1170" s="59"/>
      <c r="DK1170" s="59"/>
      <c r="DL1170" s="59"/>
      <c r="DM1170" s="59"/>
      <c r="DN1170" s="59"/>
      <c r="DO1170" s="59"/>
      <c r="DP1170" s="59"/>
      <c r="DQ1170" s="59"/>
      <c r="DR1170" s="59"/>
      <c r="DS1170" s="59"/>
      <c r="DT1170" s="59"/>
      <c r="DU1170" s="59"/>
      <c r="DV1170" s="59"/>
      <c r="DW1170" s="59"/>
      <c r="DX1170" s="59"/>
      <c r="DY1170" s="59"/>
      <c r="DZ1170" s="59"/>
      <c r="EA1170" s="59"/>
      <c r="EB1170" s="59"/>
      <c r="EC1170" s="59"/>
      <c r="ED1170" s="59"/>
      <c r="EE1170" s="59"/>
      <c r="EF1170" s="59"/>
      <c r="EG1170" s="59"/>
      <c r="EH1170" s="59"/>
      <c r="EI1170" s="59"/>
      <c r="EJ1170" s="59"/>
      <c r="EK1170" s="59"/>
      <c r="EL1170" s="59"/>
      <c r="EM1170" s="59"/>
      <c r="EN1170" s="59"/>
      <c r="EO1170" s="59"/>
      <c r="EP1170" s="59"/>
      <c r="EQ1170" s="59"/>
      <c r="ER1170" s="59"/>
      <c r="ES1170" s="59"/>
      <c r="ET1170" s="59"/>
      <c r="EU1170" s="59"/>
      <c r="EV1170" s="59"/>
      <c r="EW1170" s="59"/>
      <c r="EX1170" s="59"/>
      <c r="EY1170" s="59"/>
      <c r="EZ1170" s="59"/>
      <c r="FA1170" s="59"/>
      <c r="FB1170" s="59"/>
      <c r="FC1170" s="59"/>
      <c r="FD1170" s="59"/>
      <c r="FE1170" s="59"/>
      <c r="FF1170" s="59"/>
      <c r="FG1170" s="59"/>
      <c r="FH1170" s="59"/>
      <c r="FI1170" s="59"/>
      <c r="FJ1170" s="59"/>
      <c r="FK1170" s="59"/>
      <c r="FL1170" s="59"/>
      <c r="FM1170" s="59"/>
      <c r="FN1170" s="59"/>
      <c r="FO1170" s="59"/>
      <c r="FP1170" s="59"/>
      <c r="FQ1170" s="59"/>
      <c r="FR1170" s="59"/>
      <c r="FS1170" s="59"/>
      <c r="FT1170" s="59"/>
      <c r="FU1170" s="59"/>
      <c r="FV1170" s="59"/>
      <c r="FW1170" s="59"/>
      <c r="FX1170" s="59"/>
      <c r="FY1170" s="59"/>
      <c r="FZ1170" s="59"/>
      <c r="GA1170" s="59"/>
      <c r="GB1170" s="59"/>
      <c r="GC1170" s="59"/>
    </row>
    <row r="1171">
      <c r="A1171" s="59"/>
      <c r="B1171" s="59"/>
      <c r="C1171" s="59"/>
      <c r="D1171" s="59"/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  <c r="BV1171" s="59"/>
      <c r="BW1171" s="59"/>
      <c r="BX1171" s="59"/>
      <c r="BY1171" s="59"/>
      <c r="BZ1171" s="59"/>
      <c r="CA1171" s="59"/>
      <c r="CB1171" s="59"/>
      <c r="CC1171" s="59"/>
      <c r="CD1171" s="59"/>
      <c r="CE1171" s="59"/>
      <c r="CF1171" s="59"/>
      <c r="CG1171" s="59"/>
      <c r="CH1171" s="59"/>
      <c r="CI1171" s="59"/>
      <c r="CJ1171" s="59"/>
      <c r="CK1171" s="59"/>
      <c r="CL1171" s="59"/>
      <c r="CM1171" s="59"/>
      <c r="CN1171" s="59"/>
      <c r="CO1171" s="59"/>
      <c r="CP1171" s="59"/>
      <c r="CQ1171" s="59"/>
      <c r="CR1171" s="59"/>
      <c r="CS1171" s="59"/>
      <c r="CT1171" s="59"/>
      <c r="CU1171" s="59"/>
      <c r="CV1171" s="59"/>
      <c r="CW1171" s="59"/>
      <c r="CX1171" s="59"/>
      <c r="CY1171" s="59"/>
      <c r="CZ1171" s="59"/>
      <c r="DA1171" s="59"/>
      <c r="DB1171" s="59"/>
      <c r="DC1171" s="59"/>
      <c r="DD1171" s="59"/>
      <c r="DE1171" s="59"/>
      <c r="DF1171" s="59"/>
      <c r="DG1171" s="59"/>
      <c r="DH1171" s="59"/>
      <c r="DI1171" s="59"/>
      <c r="DJ1171" s="59"/>
      <c r="DK1171" s="59"/>
      <c r="DL1171" s="59"/>
      <c r="DM1171" s="59"/>
      <c r="DN1171" s="59"/>
      <c r="DO1171" s="59"/>
      <c r="DP1171" s="59"/>
      <c r="DQ1171" s="59"/>
      <c r="DR1171" s="59"/>
      <c r="DS1171" s="59"/>
      <c r="DT1171" s="59"/>
      <c r="DU1171" s="59"/>
      <c r="DV1171" s="59"/>
      <c r="DW1171" s="59"/>
      <c r="DX1171" s="59"/>
      <c r="DY1171" s="59"/>
      <c r="DZ1171" s="59"/>
      <c r="EA1171" s="59"/>
      <c r="EB1171" s="59"/>
      <c r="EC1171" s="59"/>
      <c r="ED1171" s="59"/>
      <c r="EE1171" s="59"/>
      <c r="EF1171" s="59"/>
      <c r="EG1171" s="59"/>
      <c r="EH1171" s="59"/>
      <c r="EI1171" s="59"/>
      <c r="EJ1171" s="59"/>
      <c r="EK1171" s="59"/>
      <c r="EL1171" s="59"/>
      <c r="EM1171" s="59"/>
      <c r="EN1171" s="59"/>
      <c r="EO1171" s="59"/>
      <c r="EP1171" s="59"/>
      <c r="EQ1171" s="59"/>
      <c r="ER1171" s="59"/>
      <c r="ES1171" s="59"/>
      <c r="ET1171" s="59"/>
      <c r="EU1171" s="59"/>
      <c r="EV1171" s="59"/>
      <c r="EW1171" s="59"/>
      <c r="EX1171" s="59"/>
      <c r="EY1171" s="59"/>
      <c r="EZ1171" s="59"/>
      <c r="FA1171" s="59"/>
      <c r="FB1171" s="59"/>
      <c r="FC1171" s="59"/>
      <c r="FD1171" s="59"/>
      <c r="FE1171" s="59"/>
      <c r="FF1171" s="59"/>
      <c r="FG1171" s="59"/>
      <c r="FH1171" s="59"/>
      <c r="FI1171" s="59"/>
      <c r="FJ1171" s="59"/>
      <c r="FK1171" s="59"/>
      <c r="FL1171" s="59"/>
      <c r="FM1171" s="59"/>
      <c r="FN1171" s="59"/>
      <c r="FO1171" s="59"/>
      <c r="FP1171" s="59"/>
      <c r="FQ1171" s="59"/>
      <c r="FR1171" s="59"/>
      <c r="FS1171" s="59"/>
      <c r="FT1171" s="59"/>
      <c r="FU1171" s="59"/>
      <c r="FV1171" s="59"/>
      <c r="FW1171" s="59"/>
      <c r="FX1171" s="59"/>
      <c r="FY1171" s="59"/>
      <c r="FZ1171" s="59"/>
      <c r="GA1171" s="59"/>
      <c r="GB1171" s="59"/>
      <c r="GC1171" s="59"/>
    </row>
    <row r="1172">
      <c r="A1172" s="59"/>
      <c r="B1172" s="59"/>
      <c r="C1172" s="59"/>
      <c r="D1172" s="59"/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  <c r="BV1172" s="59"/>
      <c r="BW1172" s="59"/>
      <c r="BX1172" s="59"/>
      <c r="BY1172" s="59"/>
      <c r="BZ1172" s="59"/>
      <c r="CA1172" s="59"/>
      <c r="CB1172" s="59"/>
      <c r="CC1172" s="59"/>
      <c r="CD1172" s="59"/>
      <c r="CE1172" s="59"/>
      <c r="CF1172" s="59"/>
      <c r="CG1172" s="59"/>
      <c r="CH1172" s="59"/>
      <c r="CI1172" s="59"/>
      <c r="CJ1172" s="59"/>
      <c r="CK1172" s="59"/>
      <c r="CL1172" s="59"/>
      <c r="CM1172" s="59"/>
      <c r="CN1172" s="59"/>
      <c r="CO1172" s="59"/>
      <c r="CP1172" s="59"/>
      <c r="CQ1172" s="59"/>
      <c r="CR1172" s="59"/>
      <c r="CS1172" s="59"/>
      <c r="CT1172" s="59"/>
      <c r="CU1172" s="59"/>
      <c r="CV1172" s="59"/>
      <c r="CW1172" s="59"/>
      <c r="CX1172" s="59"/>
      <c r="CY1172" s="59"/>
      <c r="CZ1172" s="59"/>
      <c r="DA1172" s="59"/>
      <c r="DB1172" s="59"/>
      <c r="DC1172" s="59"/>
      <c r="DD1172" s="59"/>
      <c r="DE1172" s="59"/>
      <c r="DF1172" s="59"/>
      <c r="DG1172" s="59"/>
      <c r="DH1172" s="59"/>
      <c r="DI1172" s="59"/>
      <c r="DJ1172" s="59"/>
      <c r="DK1172" s="59"/>
      <c r="DL1172" s="59"/>
      <c r="DM1172" s="59"/>
      <c r="DN1172" s="59"/>
      <c r="DO1172" s="59"/>
      <c r="DP1172" s="59"/>
      <c r="DQ1172" s="59"/>
      <c r="DR1172" s="59"/>
      <c r="DS1172" s="59"/>
      <c r="DT1172" s="59"/>
      <c r="DU1172" s="59"/>
      <c r="DV1172" s="59"/>
      <c r="DW1172" s="59"/>
      <c r="DX1172" s="59"/>
      <c r="DY1172" s="59"/>
      <c r="DZ1172" s="59"/>
      <c r="EA1172" s="59"/>
      <c r="EB1172" s="59"/>
      <c r="EC1172" s="59"/>
      <c r="ED1172" s="59"/>
      <c r="EE1172" s="59"/>
      <c r="EF1172" s="59"/>
      <c r="EG1172" s="59"/>
      <c r="EH1172" s="59"/>
      <c r="EI1172" s="59"/>
      <c r="EJ1172" s="59"/>
      <c r="EK1172" s="59"/>
      <c r="EL1172" s="59"/>
      <c r="EM1172" s="59"/>
      <c r="EN1172" s="59"/>
      <c r="EO1172" s="59"/>
      <c r="EP1172" s="59"/>
      <c r="EQ1172" s="59"/>
      <c r="ER1172" s="59"/>
      <c r="ES1172" s="59"/>
      <c r="ET1172" s="59"/>
      <c r="EU1172" s="59"/>
      <c r="EV1172" s="59"/>
      <c r="EW1172" s="59"/>
      <c r="EX1172" s="59"/>
      <c r="EY1172" s="59"/>
      <c r="EZ1172" s="59"/>
      <c r="FA1172" s="59"/>
      <c r="FB1172" s="59"/>
      <c r="FC1172" s="59"/>
      <c r="FD1172" s="59"/>
      <c r="FE1172" s="59"/>
      <c r="FF1172" s="59"/>
      <c r="FG1172" s="59"/>
      <c r="FH1172" s="59"/>
      <c r="FI1172" s="59"/>
      <c r="FJ1172" s="59"/>
      <c r="FK1172" s="59"/>
      <c r="FL1172" s="59"/>
      <c r="FM1172" s="59"/>
      <c r="FN1172" s="59"/>
      <c r="FO1172" s="59"/>
      <c r="FP1172" s="59"/>
      <c r="FQ1172" s="59"/>
      <c r="FR1172" s="59"/>
      <c r="FS1172" s="59"/>
      <c r="FT1172" s="59"/>
      <c r="FU1172" s="59"/>
      <c r="FV1172" s="59"/>
      <c r="FW1172" s="59"/>
      <c r="FX1172" s="59"/>
      <c r="FY1172" s="59"/>
      <c r="FZ1172" s="59"/>
      <c r="GA1172" s="59"/>
      <c r="GB1172" s="59"/>
      <c r="GC1172" s="59"/>
    </row>
    <row r="1173">
      <c r="A1173" s="59"/>
      <c r="B1173" s="59"/>
      <c r="C1173" s="59"/>
      <c r="D1173" s="59"/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  <c r="BV1173" s="59"/>
      <c r="BW1173" s="59"/>
      <c r="BX1173" s="59"/>
      <c r="BY1173" s="59"/>
      <c r="BZ1173" s="59"/>
      <c r="CA1173" s="59"/>
      <c r="CB1173" s="59"/>
      <c r="CC1173" s="59"/>
      <c r="CD1173" s="59"/>
      <c r="CE1173" s="59"/>
      <c r="CF1173" s="59"/>
      <c r="CG1173" s="59"/>
      <c r="CH1173" s="59"/>
      <c r="CI1173" s="59"/>
      <c r="CJ1173" s="59"/>
      <c r="CK1173" s="59"/>
      <c r="CL1173" s="59"/>
      <c r="CM1173" s="59"/>
      <c r="CN1173" s="59"/>
      <c r="CO1173" s="59"/>
      <c r="CP1173" s="59"/>
      <c r="CQ1173" s="59"/>
      <c r="CR1173" s="59"/>
      <c r="CS1173" s="59"/>
      <c r="CT1173" s="59"/>
      <c r="CU1173" s="59"/>
      <c r="CV1173" s="59"/>
      <c r="CW1173" s="59"/>
      <c r="CX1173" s="59"/>
      <c r="CY1173" s="59"/>
      <c r="CZ1173" s="59"/>
      <c r="DA1173" s="59"/>
      <c r="DB1173" s="59"/>
      <c r="DC1173" s="59"/>
      <c r="DD1173" s="59"/>
      <c r="DE1173" s="59"/>
      <c r="DF1173" s="59"/>
      <c r="DG1173" s="59"/>
      <c r="DH1173" s="59"/>
      <c r="DI1173" s="59"/>
      <c r="DJ1173" s="59"/>
      <c r="DK1173" s="59"/>
      <c r="DL1173" s="59"/>
      <c r="DM1173" s="59"/>
      <c r="DN1173" s="59"/>
      <c r="DO1173" s="59"/>
      <c r="DP1173" s="59"/>
      <c r="DQ1173" s="59"/>
      <c r="DR1173" s="59"/>
      <c r="DS1173" s="59"/>
      <c r="DT1173" s="59"/>
      <c r="DU1173" s="59"/>
      <c r="DV1173" s="59"/>
      <c r="DW1173" s="59"/>
      <c r="DX1173" s="59"/>
      <c r="DY1173" s="59"/>
      <c r="DZ1173" s="59"/>
      <c r="EA1173" s="59"/>
      <c r="EB1173" s="59"/>
      <c r="EC1173" s="59"/>
      <c r="ED1173" s="59"/>
      <c r="EE1173" s="59"/>
      <c r="EF1173" s="59"/>
      <c r="EG1173" s="59"/>
      <c r="EH1173" s="59"/>
      <c r="EI1173" s="59"/>
      <c r="EJ1173" s="59"/>
      <c r="EK1173" s="59"/>
      <c r="EL1173" s="59"/>
      <c r="EM1173" s="59"/>
      <c r="EN1173" s="59"/>
      <c r="EO1173" s="59"/>
      <c r="EP1173" s="59"/>
      <c r="EQ1173" s="59"/>
      <c r="ER1173" s="59"/>
      <c r="ES1173" s="59"/>
      <c r="ET1173" s="59"/>
      <c r="EU1173" s="59"/>
      <c r="EV1173" s="59"/>
      <c r="EW1173" s="59"/>
      <c r="EX1173" s="59"/>
      <c r="EY1173" s="59"/>
      <c r="EZ1173" s="59"/>
      <c r="FA1173" s="59"/>
      <c r="FB1173" s="59"/>
      <c r="FC1173" s="59"/>
      <c r="FD1173" s="59"/>
      <c r="FE1173" s="59"/>
      <c r="FF1173" s="59"/>
      <c r="FG1173" s="59"/>
      <c r="FH1173" s="59"/>
      <c r="FI1173" s="59"/>
      <c r="FJ1173" s="59"/>
      <c r="FK1173" s="59"/>
      <c r="FL1173" s="59"/>
      <c r="FM1173" s="59"/>
      <c r="FN1173" s="59"/>
      <c r="FO1173" s="59"/>
      <c r="FP1173" s="59"/>
      <c r="FQ1173" s="59"/>
      <c r="FR1173" s="59"/>
      <c r="FS1173" s="59"/>
      <c r="FT1173" s="59"/>
      <c r="FU1173" s="59"/>
      <c r="FV1173" s="59"/>
      <c r="FW1173" s="59"/>
      <c r="FX1173" s="59"/>
      <c r="FY1173" s="59"/>
      <c r="FZ1173" s="59"/>
      <c r="GA1173" s="59"/>
      <c r="GB1173" s="59"/>
      <c r="GC1173" s="59"/>
    </row>
    <row r="1174">
      <c r="A1174" s="59"/>
      <c r="B1174" s="59"/>
      <c r="C1174" s="59"/>
      <c r="D1174" s="59"/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  <c r="BV1174" s="59"/>
      <c r="BW1174" s="59"/>
      <c r="BX1174" s="59"/>
      <c r="BY1174" s="59"/>
      <c r="BZ1174" s="59"/>
      <c r="CA1174" s="59"/>
      <c r="CB1174" s="59"/>
      <c r="CC1174" s="59"/>
      <c r="CD1174" s="59"/>
      <c r="CE1174" s="59"/>
      <c r="CF1174" s="59"/>
      <c r="CG1174" s="59"/>
      <c r="CH1174" s="59"/>
      <c r="CI1174" s="59"/>
      <c r="CJ1174" s="59"/>
      <c r="CK1174" s="59"/>
      <c r="CL1174" s="59"/>
      <c r="CM1174" s="59"/>
      <c r="CN1174" s="59"/>
      <c r="CO1174" s="59"/>
      <c r="CP1174" s="59"/>
      <c r="CQ1174" s="59"/>
      <c r="CR1174" s="59"/>
      <c r="CS1174" s="59"/>
      <c r="CT1174" s="59"/>
      <c r="CU1174" s="59"/>
      <c r="CV1174" s="59"/>
      <c r="CW1174" s="59"/>
      <c r="CX1174" s="59"/>
      <c r="CY1174" s="59"/>
      <c r="CZ1174" s="59"/>
      <c r="DA1174" s="59"/>
      <c r="DB1174" s="59"/>
      <c r="DC1174" s="59"/>
      <c r="DD1174" s="59"/>
      <c r="DE1174" s="59"/>
      <c r="DF1174" s="59"/>
      <c r="DG1174" s="59"/>
      <c r="DH1174" s="59"/>
      <c r="DI1174" s="59"/>
      <c r="DJ1174" s="59"/>
      <c r="DK1174" s="59"/>
      <c r="DL1174" s="59"/>
      <c r="DM1174" s="59"/>
      <c r="DN1174" s="59"/>
      <c r="DO1174" s="59"/>
      <c r="DP1174" s="59"/>
      <c r="DQ1174" s="59"/>
      <c r="DR1174" s="59"/>
      <c r="DS1174" s="59"/>
      <c r="DT1174" s="59"/>
      <c r="DU1174" s="59"/>
      <c r="DV1174" s="59"/>
      <c r="DW1174" s="59"/>
      <c r="DX1174" s="59"/>
      <c r="DY1174" s="59"/>
      <c r="DZ1174" s="59"/>
      <c r="EA1174" s="59"/>
      <c r="EB1174" s="59"/>
      <c r="EC1174" s="59"/>
      <c r="ED1174" s="59"/>
      <c r="EE1174" s="59"/>
      <c r="EF1174" s="59"/>
      <c r="EG1174" s="59"/>
      <c r="EH1174" s="59"/>
      <c r="EI1174" s="59"/>
      <c r="EJ1174" s="59"/>
      <c r="EK1174" s="59"/>
      <c r="EL1174" s="59"/>
      <c r="EM1174" s="59"/>
      <c r="EN1174" s="59"/>
      <c r="EO1174" s="59"/>
      <c r="EP1174" s="59"/>
      <c r="EQ1174" s="59"/>
      <c r="ER1174" s="59"/>
      <c r="ES1174" s="59"/>
      <c r="ET1174" s="59"/>
      <c r="EU1174" s="59"/>
      <c r="EV1174" s="59"/>
      <c r="EW1174" s="59"/>
      <c r="EX1174" s="59"/>
      <c r="EY1174" s="59"/>
      <c r="EZ1174" s="59"/>
      <c r="FA1174" s="59"/>
      <c r="FB1174" s="59"/>
      <c r="FC1174" s="59"/>
      <c r="FD1174" s="59"/>
      <c r="FE1174" s="59"/>
      <c r="FF1174" s="59"/>
      <c r="FG1174" s="59"/>
      <c r="FH1174" s="59"/>
      <c r="FI1174" s="59"/>
      <c r="FJ1174" s="59"/>
      <c r="FK1174" s="59"/>
      <c r="FL1174" s="59"/>
      <c r="FM1174" s="59"/>
      <c r="FN1174" s="59"/>
      <c r="FO1174" s="59"/>
      <c r="FP1174" s="59"/>
      <c r="FQ1174" s="59"/>
      <c r="FR1174" s="59"/>
      <c r="FS1174" s="59"/>
      <c r="FT1174" s="59"/>
      <c r="FU1174" s="59"/>
      <c r="FV1174" s="59"/>
      <c r="FW1174" s="59"/>
      <c r="FX1174" s="59"/>
      <c r="FY1174" s="59"/>
      <c r="FZ1174" s="59"/>
      <c r="GA1174" s="59"/>
      <c r="GB1174" s="59"/>
      <c r="GC1174" s="59"/>
    </row>
    <row r="1175">
      <c r="A1175" s="59"/>
      <c r="B1175" s="59"/>
      <c r="C1175" s="59"/>
      <c r="D1175" s="59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  <c r="BV1175" s="59"/>
      <c r="BW1175" s="59"/>
      <c r="BX1175" s="59"/>
      <c r="BY1175" s="59"/>
      <c r="BZ1175" s="59"/>
      <c r="CA1175" s="59"/>
      <c r="CB1175" s="59"/>
      <c r="CC1175" s="59"/>
      <c r="CD1175" s="59"/>
      <c r="CE1175" s="59"/>
      <c r="CF1175" s="59"/>
      <c r="CG1175" s="59"/>
      <c r="CH1175" s="59"/>
      <c r="CI1175" s="59"/>
      <c r="CJ1175" s="59"/>
      <c r="CK1175" s="59"/>
      <c r="CL1175" s="59"/>
      <c r="CM1175" s="59"/>
      <c r="CN1175" s="59"/>
      <c r="CO1175" s="59"/>
      <c r="CP1175" s="59"/>
      <c r="CQ1175" s="59"/>
      <c r="CR1175" s="59"/>
      <c r="CS1175" s="59"/>
      <c r="CT1175" s="59"/>
      <c r="CU1175" s="59"/>
      <c r="CV1175" s="59"/>
      <c r="CW1175" s="59"/>
      <c r="CX1175" s="59"/>
      <c r="CY1175" s="59"/>
      <c r="CZ1175" s="59"/>
      <c r="DA1175" s="59"/>
      <c r="DB1175" s="59"/>
      <c r="DC1175" s="59"/>
      <c r="DD1175" s="59"/>
      <c r="DE1175" s="59"/>
      <c r="DF1175" s="59"/>
      <c r="DG1175" s="59"/>
      <c r="DH1175" s="59"/>
      <c r="DI1175" s="59"/>
      <c r="DJ1175" s="59"/>
      <c r="DK1175" s="59"/>
      <c r="DL1175" s="59"/>
      <c r="DM1175" s="59"/>
      <c r="DN1175" s="59"/>
      <c r="DO1175" s="59"/>
      <c r="DP1175" s="59"/>
      <c r="DQ1175" s="59"/>
      <c r="DR1175" s="59"/>
      <c r="DS1175" s="59"/>
      <c r="DT1175" s="59"/>
      <c r="DU1175" s="59"/>
      <c r="DV1175" s="59"/>
      <c r="DW1175" s="59"/>
      <c r="DX1175" s="59"/>
      <c r="DY1175" s="59"/>
      <c r="DZ1175" s="59"/>
      <c r="EA1175" s="59"/>
      <c r="EB1175" s="59"/>
      <c r="EC1175" s="59"/>
      <c r="ED1175" s="59"/>
      <c r="EE1175" s="59"/>
      <c r="EF1175" s="59"/>
      <c r="EG1175" s="59"/>
      <c r="EH1175" s="59"/>
      <c r="EI1175" s="59"/>
      <c r="EJ1175" s="59"/>
      <c r="EK1175" s="59"/>
      <c r="EL1175" s="59"/>
      <c r="EM1175" s="59"/>
      <c r="EN1175" s="59"/>
      <c r="EO1175" s="59"/>
      <c r="EP1175" s="59"/>
      <c r="EQ1175" s="59"/>
      <c r="ER1175" s="59"/>
      <c r="ES1175" s="59"/>
      <c r="ET1175" s="59"/>
      <c r="EU1175" s="59"/>
      <c r="EV1175" s="59"/>
      <c r="EW1175" s="59"/>
      <c r="EX1175" s="59"/>
      <c r="EY1175" s="59"/>
      <c r="EZ1175" s="59"/>
      <c r="FA1175" s="59"/>
      <c r="FB1175" s="59"/>
      <c r="FC1175" s="59"/>
      <c r="FD1175" s="59"/>
      <c r="FE1175" s="59"/>
      <c r="FF1175" s="59"/>
      <c r="FG1175" s="59"/>
      <c r="FH1175" s="59"/>
      <c r="FI1175" s="59"/>
      <c r="FJ1175" s="59"/>
      <c r="FK1175" s="59"/>
      <c r="FL1175" s="59"/>
      <c r="FM1175" s="59"/>
      <c r="FN1175" s="59"/>
      <c r="FO1175" s="59"/>
      <c r="FP1175" s="59"/>
      <c r="FQ1175" s="59"/>
      <c r="FR1175" s="59"/>
      <c r="FS1175" s="59"/>
      <c r="FT1175" s="59"/>
      <c r="FU1175" s="59"/>
      <c r="FV1175" s="59"/>
      <c r="FW1175" s="59"/>
      <c r="FX1175" s="59"/>
      <c r="FY1175" s="59"/>
      <c r="FZ1175" s="59"/>
      <c r="GA1175" s="59"/>
      <c r="GB1175" s="59"/>
      <c r="GC1175" s="59"/>
    </row>
    <row r="1176">
      <c r="A1176" s="59"/>
      <c r="B1176" s="59"/>
      <c r="C1176" s="59"/>
      <c r="D1176" s="59"/>
      <c r="E1176" s="59"/>
      <c r="F1176" s="59"/>
      <c r="G1176" s="59"/>
      <c r="H1176" s="59"/>
      <c r="I1176" s="59"/>
      <c r="J1176" s="59"/>
      <c r="K1176" s="59"/>
      <c r="L1176" s="59"/>
      <c r="M1176" s="59"/>
      <c r="N1176" s="59"/>
      <c r="O1176" s="59"/>
      <c r="P1176" s="59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59"/>
      <c r="BR1176" s="59"/>
      <c r="BS1176" s="59"/>
      <c r="BT1176" s="59"/>
      <c r="BU1176" s="59"/>
      <c r="BV1176" s="59"/>
      <c r="BW1176" s="59"/>
      <c r="BX1176" s="59"/>
      <c r="BY1176" s="59"/>
      <c r="BZ1176" s="59"/>
      <c r="CA1176" s="59"/>
      <c r="CB1176" s="59"/>
      <c r="CC1176" s="59"/>
      <c r="CD1176" s="59"/>
      <c r="CE1176" s="59"/>
      <c r="CF1176" s="59"/>
      <c r="CG1176" s="59"/>
      <c r="CH1176" s="59"/>
      <c r="CI1176" s="59"/>
      <c r="CJ1176" s="59"/>
      <c r="CK1176" s="59"/>
      <c r="CL1176" s="59"/>
      <c r="CM1176" s="59"/>
      <c r="CN1176" s="59"/>
      <c r="CO1176" s="59"/>
      <c r="CP1176" s="59"/>
      <c r="CQ1176" s="59"/>
      <c r="CR1176" s="59"/>
      <c r="CS1176" s="59"/>
      <c r="CT1176" s="59"/>
      <c r="CU1176" s="59"/>
      <c r="CV1176" s="59"/>
      <c r="CW1176" s="59"/>
      <c r="CX1176" s="59"/>
      <c r="CY1176" s="59"/>
      <c r="CZ1176" s="59"/>
      <c r="DA1176" s="59"/>
      <c r="DB1176" s="59"/>
      <c r="DC1176" s="59"/>
      <c r="DD1176" s="59"/>
      <c r="DE1176" s="59"/>
      <c r="DF1176" s="59"/>
      <c r="DG1176" s="59"/>
      <c r="DH1176" s="59"/>
      <c r="DI1176" s="59"/>
      <c r="DJ1176" s="59"/>
      <c r="DK1176" s="59"/>
      <c r="DL1176" s="59"/>
      <c r="DM1176" s="59"/>
      <c r="DN1176" s="59"/>
      <c r="DO1176" s="59"/>
      <c r="DP1176" s="59"/>
      <c r="DQ1176" s="59"/>
      <c r="DR1176" s="59"/>
      <c r="DS1176" s="59"/>
      <c r="DT1176" s="59"/>
      <c r="DU1176" s="59"/>
      <c r="DV1176" s="59"/>
      <c r="DW1176" s="59"/>
      <c r="DX1176" s="59"/>
      <c r="DY1176" s="59"/>
      <c r="DZ1176" s="59"/>
      <c r="EA1176" s="59"/>
      <c r="EB1176" s="59"/>
      <c r="EC1176" s="59"/>
      <c r="ED1176" s="59"/>
      <c r="EE1176" s="59"/>
      <c r="EF1176" s="59"/>
      <c r="EG1176" s="59"/>
      <c r="EH1176" s="59"/>
      <c r="EI1176" s="59"/>
      <c r="EJ1176" s="59"/>
      <c r="EK1176" s="59"/>
      <c r="EL1176" s="59"/>
      <c r="EM1176" s="59"/>
      <c r="EN1176" s="59"/>
      <c r="EO1176" s="59"/>
      <c r="EP1176" s="59"/>
      <c r="EQ1176" s="59"/>
      <c r="ER1176" s="59"/>
      <c r="ES1176" s="59"/>
      <c r="ET1176" s="59"/>
      <c r="EU1176" s="59"/>
      <c r="EV1176" s="59"/>
      <c r="EW1176" s="59"/>
      <c r="EX1176" s="59"/>
      <c r="EY1176" s="59"/>
      <c r="EZ1176" s="59"/>
      <c r="FA1176" s="59"/>
      <c r="FB1176" s="59"/>
      <c r="FC1176" s="59"/>
      <c r="FD1176" s="59"/>
      <c r="FE1176" s="59"/>
      <c r="FF1176" s="59"/>
      <c r="FG1176" s="59"/>
      <c r="FH1176" s="59"/>
      <c r="FI1176" s="59"/>
      <c r="FJ1176" s="59"/>
      <c r="FK1176" s="59"/>
      <c r="FL1176" s="59"/>
      <c r="FM1176" s="59"/>
      <c r="FN1176" s="59"/>
      <c r="FO1176" s="59"/>
      <c r="FP1176" s="59"/>
      <c r="FQ1176" s="59"/>
      <c r="FR1176" s="59"/>
      <c r="FS1176" s="59"/>
      <c r="FT1176" s="59"/>
      <c r="FU1176" s="59"/>
      <c r="FV1176" s="59"/>
      <c r="FW1176" s="59"/>
      <c r="FX1176" s="59"/>
      <c r="FY1176" s="59"/>
      <c r="FZ1176" s="59"/>
      <c r="GA1176" s="59"/>
      <c r="GB1176" s="59"/>
      <c r="GC1176" s="59"/>
    </row>
    <row r="1177">
      <c r="A1177" s="59"/>
      <c r="B1177" s="59"/>
      <c r="C1177" s="59"/>
      <c r="D1177" s="59"/>
      <c r="E1177" s="59"/>
      <c r="F1177" s="59"/>
      <c r="G1177" s="59"/>
      <c r="H1177" s="59"/>
      <c r="I1177" s="59"/>
      <c r="J1177" s="59"/>
      <c r="K1177" s="59"/>
      <c r="L1177" s="59"/>
      <c r="M1177" s="59"/>
      <c r="N1177" s="59"/>
      <c r="O1177" s="59"/>
      <c r="P1177" s="59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  <c r="AD1177" s="59"/>
      <c r="AE1177" s="59"/>
      <c r="AF1177" s="59"/>
      <c r="AG1177" s="59"/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59"/>
      <c r="BR1177" s="59"/>
      <c r="BS1177" s="59"/>
      <c r="BT1177" s="59"/>
      <c r="BU1177" s="59"/>
      <c r="BV1177" s="59"/>
      <c r="BW1177" s="59"/>
      <c r="BX1177" s="59"/>
      <c r="BY1177" s="59"/>
      <c r="BZ1177" s="59"/>
      <c r="CA1177" s="59"/>
      <c r="CB1177" s="59"/>
      <c r="CC1177" s="59"/>
      <c r="CD1177" s="59"/>
      <c r="CE1177" s="59"/>
      <c r="CF1177" s="59"/>
      <c r="CG1177" s="59"/>
      <c r="CH1177" s="59"/>
      <c r="CI1177" s="59"/>
      <c r="CJ1177" s="59"/>
      <c r="CK1177" s="59"/>
      <c r="CL1177" s="59"/>
      <c r="CM1177" s="59"/>
      <c r="CN1177" s="59"/>
      <c r="CO1177" s="59"/>
      <c r="CP1177" s="59"/>
      <c r="CQ1177" s="59"/>
      <c r="CR1177" s="59"/>
      <c r="CS1177" s="59"/>
      <c r="CT1177" s="59"/>
      <c r="CU1177" s="59"/>
      <c r="CV1177" s="59"/>
      <c r="CW1177" s="59"/>
      <c r="CX1177" s="59"/>
      <c r="CY1177" s="59"/>
      <c r="CZ1177" s="59"/>
      <c r="DA1177" s="59"/>
      <c r="DB1177" s="59"/>
      <c r="DC1177" s="59"/>
      <c r="DD1177" s="59"/>
      <c r="DE1177" s="59"/>
      <c r="DF1177" s="59"/>
      <c r="DG1177" s="59"/>
      <c r="DH1177" s="59"/>
      <c r="DI1177" s="59"/>
      <c r="DJ1177" s="59"/>
      <c r="DK1177" s="59"/>
      <c r="DL1177" s="59"/>
      <c r="DM1177" s="59"/>
      <c r="DN1177" s="59"/>
      <c r="DO1177" s="59"/>
      <c r="DP1177" s="59"/>
      <c r="DQ1177" s="59"/>
      <c r="DR1177" s="59"/>
      <c r="DS1177" s="59"/>
      <c r="DT1177" s="59"/>
      <c r="DU1177" s="59"/>
      <c r="DV1177" s="59"/>
      <c r="DW1177" s="59"/>
      <c r="DX1177" s="59"/>
      <c r="DY1177" s="59"/>
      <c r="DZ1177" s="59"/>
      <c r="EA1177" s="59"/>
      <c r="EB1177" s="59"/>
      <c r="EC1177" s="59"/>
      <c r="ED1177" s="59"/>
      <c r="EE1177" s="59"/>
      <c r="EF1177" s="59"/>
      <c r="EG1177" s="59"/>
      <c r="EH1177" s="59"/>
      <c r="EI1177" s="59"/>
      <c r="EJ1177" s="59"/>
      <c r="EK1177" s="59"/>
      <c r="EL1177" s="59"/>
      <c r="EM1177" s="59"/>
      <c r="EN1177" s="59"/>
      <c r="EO1177" s="59"/>
      <c r="EP1177" s="59"/>
      <c r="EQ1177" s="59"/>
      <c r="ER1177" s="59"/>
      <c r="ES1177" s="59"/>
      <c r="ET1177" s="59"/>
      <c r="EU1177" s="59"/>
      <c r="EV1177" s="59"/>
      <c r="EW1177" s="59"/>
      <c r="EX1177" s="59"/>
      <c r="EY1177" s="59"/>
      <c r="EZ1177" s="59"/>
      <c r="FA1177" s="59"/>
      <c r="FB1177" s="59"/>
      <c r="FC1177" s="59"/>
      <c r="FD1177" s="59"/>
      <c r="FE1177" s="59"/>
      <c r="FF1177" s="59"/>
      <c r="FG1177" s="59"/>
      <c r="FH1177" s="59"/>
      <c r="FI1177" s="59"/>
      <c r="FJ1177" s="59"/>
      <c r="FK1177" s="59"/>
      <c r="FL1177" s="59"/>
      <c r="FM1177" s="59"/>
      <c r="FN1177" s="59"/>
      <c r="FO1177" s="59"/>
      <c r="FP1177" s="59"/>
      <c r="FQ1177" s="59"/>
      <c r="FR1177" s="59"/>
      <c r="FS1177" s="59"/>
      <c r="FT1177" s="59"/>
      <c r="FU1177" s="59"/>
      <c r="FV1177" s="59"/>
      <c r="FW1177" s="59"/>
      <c r="FX1177" s="59"/>
      <c r="FY1177" s="59"/>
      <c r="FZ1177" s="59"/>
      <c r="GA1177" s="59"/>
      <c r="GB1177" s="59"/>
      <c r="GC1177" s="59"/>
    </row>
    <row r="1178">
      <c r="A1178" s="59"/>
      <c r="B1178" s="59"/>
      <c r="C1178" s="59"/>
      <c r="D1178" s="59"/>
      <c r="E1178" s="59"/>
      <c r="F1178" s="59"/>
      <c r="G1178" s="59"/>
      <c r="H1178" s="59"/>
      <c r="I1178" s="59"/>
      <c r="J1178" s="59"/>
      <c r="K1178" s="59"/>
      <c r="L1178" s="59"/>
      <c r="M1178" s="59"/>
      <c r="N1178" s="59"/>
      <c r="O1178" s="59"/>
      <c r="P1178" s="59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59"/>
      <c r="BR1178" s="59"/>
      <c r="BS1178" s="59"/>
      <c r="BT1178" s="59"/>
      <c r="BU1178" s="59"/>
      <c r="BV1178" s="59"/>
      <c r="BW1178" s="59"/>
      <c r="BX1178" s="59"/>
      <c r="BY1178" s="59"/>
      <c r="BZ1178" s="59"/>
      <c r="CA1178" s="59"/>
      <c r="CB1178" s="59"/>
      <c r="CC1178" s="59"/>
      <c r="CD1178" s="59"/>
      <c r="CE1178" s="59"/>
      <c r="CF1178" s="59"/>
      <c r="CG1178" s="59"/>
      <c r="CH1178" s="59"/>
      <c r="CI1178" s="59"/>
      <c r="CJ1178" s="59"/>
      <c r="CK1178" s="59"/>
      <c r="CL1178" s="59"/>
      <c r="CM1178" s="59"/>
      <c r="CN1178" s="59"/>
      <c r="CO1178" s="59"/>
      <c r="CP1178" s="59"/>
      <c r="CQ1178" s="59"/>
      <c r="CR1178" s="59"/>
      <c r="CS1178" s="59"/>
      <c r="CT1178" s="59"/>
      <c r="CU1178" s="59"/>
      <c r="CV1178" s="59"/>
      <c r="CW1178" s="59"/>
      <c r="CX1178" s="59"/>
      <c r="CY1178" s="59"/>
      <c r="CZ1178" s="59"/>
      <c r="DA1178" s="59"/>
      <c r="DB1178" s="59"/>
      <c r="DC1178" s="59"/>
      <c r="DD1178" s="59"/>
      <c r="DE1178" s="59"/>
      <c r="DF1178" s="59"/>
      <c r="DG1178" s="59"/>
      <c r="DH1178" s="59"/>
      <c r="DI1178" s="59"/>
      <c r="DJ1178" s="59"/>
      <c r="DK1178" s="59"/>
      <c r="DL1178" s="59"/>
      <c r="DM1178" s="59"/>
      <c r="DN1178" s="59"/>
      <c r="DO1178" s="59"/>
      <c r="DP1178" s="59"/>
      <c r="DQ1178" s="59"/>
      <c r="DR1178" s="59"/>
      <c r="DS1178" s="59"/>
      <c r="DT1178" s="59"/>
      <c r="DU1178" s="59"/>
      <c r="DV1178" s="59"/>
      <c r="DW1178" s="59"/>
      <c r="DX1178" s="59"/>
      <c r="DY1178" s="59"/>
      <c r="DZ1178" s="59"/>
      <c r="EA1178" s="59"/>
      <c r="EB1178" s="59"/>
      <c r="EC1178" s="59"/>
      <c r="ED1178" s="59"/>
      <c r="EE1178" s="59"/>
      <c r="EF1178" s="59"/>
      <c r="EG1178" s="59"/>
      <c r="EH1178" s="59"/>
      <c r="EI1178" s="59"/>
      <c r="EJ1178" s="59"/>
      <c r="EK1178" s="59"/>
      <c r="EL1178" s="59"/>
      <c r="EM1178" s="59"/>
      <c r="EN1178" s="59"/>
      <c r="EO1178" s="59"/>
      <c r="EP1178" s="59"/>
      <c r="EQ1178" s="59"/>
      <c r="ER1178" s="59"/>
      <c r="ES1178" s="59"/>
      <c r="ET1178" s="59"/>
      <c r="EU1178" s="59"/>
      <c r="EV1178" s="59"/>
      <c r="EW1178" s="59"/>
      <c r="EX1178" s="59"/>
      <c r="EY1178" s="59"/>
      <c r="EZ1178" s="59"/>
      <c r="FA1178" s="59"/>
      <c r="FB1178" s="59"/>
      <c r="FC1178" s="59"/>
      <c r="FD1178" s="59"/>
      <c r="FE1178" s="59"/>
      <c r="FF1178" s="59"/>
      <c r="FG1178" s="59"/>
      <c r="FH1178" s="59"/>
      <c r="FI1178" s="59"/>
      <c r="FJ1178" s="59"/>
      <c r="FK1178" s="59"/>
      <c r="FL1178" s="59"/>
      <c r="FM1178" s="59"/>
      <c r="FN1178" s="59"/>
      <c r="FO1178" s="59"/>
      <c r="FP1178" s="59"/>
      <c r="FQ1178" s="59"/>
      <c r="FR1178" s="59"/>
      <c r="FS1178" s="59"/>
      <c r="FT1178" s="59"/>
      <c r="FU1178" s="59"/>
      <c r="FV1178" s="59"/>
      <c r="FW1178" s="59"/>
      <c r="FX1178" s="59"/>
      <c r="FY1178" s="59"/>
      <c r="FZ1178" s="59"/>
      <c r="GA1178" s="59"/>
      <c r="GB1178" s="59"/>
      <c r="GC1178" s="59"/>
    </row>
    <row r="1179">
      <c r="A1179" s="59"/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59"/>
      <c r="AG1179" s="59"/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59"/>
      <c r="BR1179" s="59"/>
      <c r="BS1179" s="59"/>
      <c r="BT1179" s="59"/>
      <c r="BU1179" s="59"/>
      <c r="BV1179" s="59"/>
      <c r="BW1179" s="59"/>
      <c r="BX1179" s="59"/>
      <c r="BY1179" s="59"/>
      <c r="BZ1179" s="59"/>
      <c r="CA1179" s="59"/>
      <c r="CB1179" s="59"/>
      <c r="CC1179" s="59"/>
      <c r="CD1179" s="59"/>
      <c r="CE1179" s="59"/>
      <c r="CF1179" s="59"/>
      <c r="CG1179" s="59"/>
      <c r="CH1179" s="59"/>
      <c r="CI1179" s="59"/>
      <c r="CJ1179" s="59"/>
      <c r="CK1179" s="59"/>
      <c r="CL1179" s="59"/>
      <c r="CM1179" s="59"/>
      <c r="CN1179" s="59"/>
      <c r="CO1179" s="59"/>
      <c r="CP1179" s="59"/>
      <c r="CQ1179" s="59"/>
      <c r="CR1179" s="59"/>
      <c r="CS1179" s="59"/>
      <c r="CT1179" s="59"/>
      <c r="CU1179" s="59"/>
      <c r="CV1179" s="59"/>
      <c r="CW1179" s="59"/>
      <c r="CX1179" s="59"/>
      <c r="CY1179" s="59"/>
      <c r="CZ1179" s="59"/>
      <c r="DA1179" s="59"/>
      <c r="DB1179" s="59"/>
      <c r="DC1179" s="59"/>
      <c r="DD1179" s="59"/>
      <c r="DE1179" s="59"/>
      <c r="DF1179" s="59"/>
      <c r="DG1179" s="59"/>
      <c r="DH1179" s="59"/>
      <c r="DI1179" s="59"/>
      <c r="DJ1179" s="59"/>
      <c r="DK1179" s="59"/>
      <c r="DL1179" s="59"/>
      <c r="DM1179" s="59"/>
      <c r="DN1179" s="59"/>
      <c r="DO1179" s="59"/>
      <c r="DP1179" s="59"/>
      <c r="DQ1179" s="59"/>
      <c r="DR1179" s="59"/>
      <c r="DS1179" s="59"/>
      <c r="DT1179" s="59"/>
      <c r="DU1179" s="59"/>
      <c r="DV1179" s="59"/>
      <c r="DW1179" s="59"/>
      <c r="DX1179" s="59"/>
      <c r="DY1179" s="59"/>
      <c r="DZ1179" s="59"/>
      <c r="EA1179" s="59"/>
      <c r="EB1179" s="59"/>
      <c r="EC1179" s="59"/>
      <c r="ED1179" s="59"/>
      <c r="EE1179" s="59"/>
      <c r="EF1179" s="59"/>
      <c r="EG1179" s="59"/>
      <c r="EH1179" s="59"/>
      <c r="EI1179" s="59"/>
      <c r="EJ1179" s="59"/>
      <c r="EK1179" s="59"/>
      <c r="EL1179" s="59"/>
      <c r="EM1179" s="59"/>
      <c r="EN1179" s="59"/>
      <c r="EO1179" s="59"/>
      <c r="EP1179" s="59"/>
      <c r="EQ1179" s="59"/>
      <c r="ER1179" s="59"/>
      <c r="ES1179" s="59"/>
      <c r="ET1179" s="59"/>
      <c r="EU1179" s="59"/>
      <c r="EV1179" s="59"/>
      <c r="EW1179" s="59"/>
      <c r="EX1179" s="59"/>
      <c r="EY1179" s="59"/>
      <c r="EZ1179" s="59"/>
      <c r="FA1179" s="59"/>
      <c r="FB1179" s="59"/>
      <c r="FC1179" s="59"/>
      <c r="FD1179" s="59"/>
      <c r="FE1179" s="59"/>
      <c r="FF1179" s="59"/>
      <c r="FG1179" s="59"/>
      <c r="FH1179" s="59"/>
      <c r="FI1179" s="59"/>
      <c r="FJ1179" s="59"/>
      <c r="FK1179" s="59"/>
      <c r="FL1179" s="59"/>
      <c r="FM1179" s="59"/>
      <c r="FN1179" s="59"/>
      <c r="FO1179" s="59"/>
      <c r="FP1179" s="59"/>
      <c r="FQ1179" s="59"/>
      <c r="FR1179" s="59"/>
      <c r="FS1179" s="59"/>
      <c r="FT1179" s="59"/>
      <c r="FU1179" s="59"/>
      <c r="FV1179" s="59"/>
      <c r="FW1179" s="59"/>
      <c r="FX1179" s="59"/>
      <c r="FY1179" s="59"/>
      <c r="FZ1179" s="59"/>
      <c r="GA1179" s="59"/>
      <c r="GB1179" s="59"/>
      <c r="GC1179" s="59"/>
    </row>
    <row r="1180">
      <c r="A1180" s="59"/>
      <c r="B1180" s="59"/>
      <c r="C1180" s="59"/>
      <c r="D1180" s="59"/>
      <c r="E1180" s="59"/>
      <c r="F1180" s="59"/>
      <c r="G1180" s="59"/>
      <c r="H1180" s="59"/>
      <c r="I1180" s="59"/>
      <c r="J1180" s="59"/>
      <c r="K1180" s="59"/>
      <c r="L1180" s="59"/>
      <c r="M1180" s="59"/>
      <c r="N1180" s="59"/>
      <c r="O1180" s="59"/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59"/>
      <c r="BR1180" s="59"/>
      <c r="BS1180" s="59"/>
      <c r="BT1180" s="59"/>
      <c r="BU1180" s="59"/>
      <c r="BV1180" s="59"/>
      <c r="BW1180" s="59"/>
      <c r="BX1180" s="59"/>
      <c r="BY1180" s="59"/>
      <c r="BZ1180" s="59"/>
      <c r="CA1180" s="59"/>
      <c r="CB1180" s="59"/>
      <c r="CC1180" s="59"/>
      <c r="CD1180" s="59"/>
      <c r="CE1180" s="59"/>
      <c r="CF1180" s="59"/>
      <c r="CG1180" s="59"/>
      <c r="CH1180" s="59"/>
      <c r="CI1180" s="59"/>
      <c r="CJ1180" s="59"/>
      <c r="CK1180" s="59"/>
      <c r="CL1180" s="59"/>
      <c r="CM1180" s="59"/>
      <c r="CN1180" s="59"/>
      <c r="CO1180" s="59"/>
      <c r="CP1180" s="59"/>
      <c r="CQ1180" s="59"/>
      <c r="CR1180" s="59"/>
      <c r="CS1180" s="59"/>
      <c r="CT1180" s="59"/>
      <c r="CU1180" s="59"/>
      <c r="CV1180" s="59"/>
      <c r="CW1180" s="59"/>
      <c r="CX1180" s="59"/>
      <c r="CY1180" s="59"/>
      <c r="CZ1180" s="59"/>
      <c r="DA1180" s="59"/>
      <c r="DB1180" s="59"/>
      <c r="DC1180" s="59"/>
      <c r="DD1180" s="59"/>
      <c r="DE1180" s="59"/>
      <c r="DF1180" s="59"/>
      <c r="DG1180" s="59"/>
      <c r="DH1180" s="59"/>
      <c r="DI1180" s="59"/>
      <c r="DJ1180" s="59"/>
      <c r="DK1180" s="59"/>
      <c r="DL1180" s="59"/>
      <c r="DM1180" s="59"/>
      <c r="DN1180" s="59"/>
      <c r="DO1180" s="59"/>
      <c r="DP1180" s="59"/>
      <c r="DQ1180" s="59"/>
      <c r="DR1180" s="59"/>
      <c r="DS1180" s="59"/>
      <c r="DT1180" s="59"/>
      <c r="DU1180" s="59"/>
      <c r="DV1180" s="59"/>
      <c r="DW1180" s="59"/>
      <c r="DX1180" s="59"/>
      <c r="DY1180" s="59"/>
      <c r="DZ1180" s="59"/>
      <c r="EA1180" s="59"/>
      <c r="EB1180" s="59"/>
      <c r="EC1180" s="59"/>
      <c r="ED1180" s="59"/>
      <c r="EE1180" s="59"/>
      <c r="EF1180" s="59"/>
      <c r="EG1180" s="59"/>
      <c r="EH1180" s="59"/>
      <c r="EI1180" s="59"/>
      <c r="EJ1180" s="59"/>
      <c r="EK1180" s="59"/>
      <c r="EL1180" s="59"/>
      <c r="EM1180" s="59"/>
      <c r="EN1180" s="59"/>
      <c r="EO1180" s="59"/>
      <c r="EP1180" s="59"/>
      <c r="EQ1180" s="59"/>
      <c r="ER1180" s="59"/>
      <c r="ES1180" s="59"/>
      <c r="ET1180" s="59"/>
      <c r="EU1180" s="59"/>
      <c r="EV1180" s="59"/>
      <c r="EW1180" s="59"/>
      <c r="EX1180" s="59"/>
      <c r="EY1180" s="59"/>
      <c r="EZ1180" s="59"/>
      <c r="FA1180" s="59"/>
      <c r="FB1180" s="59"/>
      <c r="FC1180" s="59"/>
      <c r="FD1180" s="59"/>
      <c r="FE1180" s="59"/>
      <c r="FF1180" s="59"/>
      <c r="FG1180" s="59"/>
      <c r="FH1180" s="59"/>
      <c r="FI1180" s="59"/>
      <c r="FJ1180" s="59"/>
      <c r="FK1180" s="59"/>
      <c r="FL1180" s="59"/>
      <c r="FM1180" s="59"/>
      <c r="FN1180" s="59"/>
      <c r="FO1180" s="59"/>
      <c r="FP1180" s="59"/>
      <c r="FQ1180" s="59"/>
      <c r="FR1180" s="59"/>
      <c r="FS1180" s="59"/>
      <c r="FT1180" s="59"/>
      <c r="FU1180" s="59"/>
      <c r="FV1180" s="59"/>
      <c r="FW1180" s="59"/>
      <c r="FX1180" s="59"/>
      <c r="FY1180" s="59"/>
      <c r="FZ1180" s="59"/>
      <c r="GA1180" s="59"/>
      <c r="GB1180" s="59"/>
      <c r="GC1180" s="59"/>
    </row>
    <row r="1181">
      <c r="A1181" s="59"/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59"/>
      <c r="N1181" s="59"/>
      <c r="O1181" s="59"/>
      <c r="P1181" s="59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59"/>
      <c r="AG1181" s="59"/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59"/>
      <c r="BR1181" s="59"/>
      <c r="BS1181" s="59"/>
      <c r="BT1181" s="59"/>
      <c r="BU1181" s="59"/>
      <c r="BV1181" s="59"/>
      <c r="BW1181" s="59"/>
      <c r="BX1181" s="59"/>
      <c r="BY1181" s="59"/>
      <c r="BZ1181" s="59"/>
      <c r="CA1181" s="59"/>
      <c r="CB1181" s="59"/>
      <c r="CC1181" s="59"/>
      <c r="CD1181" s="59"/>
      <c r="CE1181" s="59"/>
      <c r="CF1181" s="59"/>
      <c r="CG1181" s="59"/>
      <c r="CH1181" s="59"/>
      <c r="CI1181" s="59"/>
      <c r="CJ1181" s="59"/>
      <c r="CK1181" s="59"/>
      <c r="CL1181" s="59"/>
      <c r="CM1181" s="59"/>
      <c r="CN1181" s="59"/>
      <c r="CO1181" s="59"/>
      <c r="CP1181" s="59"/>
      <c r="CQ1181" s="59"/>
      <c r="CR1181" s="59"/>
      <c r="CS1181" s="59"/>
      <c r="CT1181" s="59"/>
      <c r="CU1181" s="59"/>
      <c r="CV1181" s="59"/>
      <c r="CW1181" s="59"/>
      <c r="CX1181" s="59"/>
      <c r="CY1181" s="59"/>
      <c r="CZ1181" s="59"/>
      <c r="DA1181" s="59"/>
      <c r="DB1181" s="59"/>
      <c r="DC1181" s="59"/>
      <c r="DD1181" s="59"/>
      <c r="DE1181" s="59"/>
      <c r="DF1181" s="59"/>
      <c r="DG1181" s="59"/>
      <c r="DH1181" s="59"/>
      <c r="DI1181" s="59"/>
      <c r="DJ1181" s="59"/>
      <c r="DK1181" s="59"/>
      <c r="DL1181" s="59"/>
      <c r="DM1181" s="59"/>
      <c r="DN1181" s="59"/>
      <c r="DO1181" s="59"/>
      <c r="DP1181" s="59"/>
      <c r="DQ1181" s="59"/>
      <c r="DR1181" s="59"/>
      <c r="DS1181" s="59"/>
      <c r="DT1181" s="59"/>
      <c r="DU1181" s="59"/>
      <c r="DV1181" s="59"/>
      <c r="DW1181" s="59"/>
      <c r="DX1181" s="59"/>
      <c r="DY1181" s="59"/>
      <c r="DZ1181" s="59"/>
      <c r="EA1181" s="59"/>
      <c r="EB1181" s="59"/>
      <c r="EC1181" s="59"/>
      <c r="ED1181" s="59"/>
      <c r="EE1181" s="59"/>
      <c r="EF1181" s="59"/>
      <c r="EG1181" s="59"/>
      <c r="EH1181" s="59"/>
      <c r="EI1181" s="59"/>
      <c r="EJ1181" s="59"/>
      <c r="EK1181" s="59"/>
      <c r="EL1181" s="59"/>
      <c r="EM1181" s="59"/>
      <c r="EN1181" s="59"/>
      <c r="EO1181" s="59"/>
      <c r="EP1181" s="59"/>
      <c r="EQ1181" s="59"/>
      <c r="ER1181" s="59"/>
      <c r="ES1181" s="59"/>
      <c r="ET1181" s="59"/>
      <c r="EU1181" s="59"/>
      <c r="EV1181" s="59"/>
      <c r="EW1181" s="59"/>
      <c r="EX1181" s="59"/>
      <c r="EY1181" s="59"/>
      <c r="EZ1181" s="59"/>
      <c r="FA1181" s="59"/>
      <c r="FB1181" s="59"/>
      <c r="FC1181" s="59"/>
      <c r="FD1181" s="59"/>
      <c r="FE1181" s="59"/>
      <c r="FF1181" s="59"/>
      <c r="FG1181" s="59"/>
      <c r="FH1181" s="59"/>
      <c r="FI1181" s="59"/>
      <c r="FJ1181" s="59"/>
      <c r="FK1181" s="59"/>
      <c r="FL1181" s="59"/>
      <c r="FM1181" s="59"/>
      <c r="FN1181" s="59"/>
      <c r="FO1181" s="59"/>
      <c r="FP1181" s="59"/>
      <c r="FQ1181" s="59"/>
      <c r="FR1181" s="59"/>
      <c r="FS1181" s="59"/>
      <c r="FT1181" s="59"/>
      <c r="FU1181" s="59"/>
      <c r="FV1181" s="59"/>
      <c r="FW1181" s="59"/>
      <c r="FX1181" s="59"/>
      <c r="FY1181" s="59"/>
      <c r="FZ1181" s="59"/>
      <c r="GA1181" s="59"/>
      <c r="GB1181" s="59"/>
      <c r="GC1181" s="59"/>
    </row>
    <row r="1182">
      <c r="A1182" s="59"/>
      <c r="B1182" s="59"/>
      <c r="C1182" s="59"/>
      <c r="D1182" s="59"/>
      <c r="E1182" s="59"/>
      <c r="F1182" s="59"/>
      <c r="G1182" s="59"/>
      <c r="H1182" s="59"/>
      <c r="I1182" s="59"/>
      <c r="J1182" s="59"/>
      <c r="K1182" s="59"/>
      <c r="L1182" s="59"/>
      <c r="M1182" s="59"/>
      <c r="N1182" s="59"/>
      <c r="O1182" s="59"/>
      <c r="P1182" s="59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59"/>
      <c r="BR1182" s="59"/>
      <c r="BS1182" s="59"/>
      <c r="BT1182" s="59"/>
      <c r="BU1182" s="59"/>
      <c r="BV1182" s="59"/>
      <c r="BW1182" s="59"/>
      <c r="BX1182" s="59"/>
      <c r="BY1182" s="59"/>
      <c r="BZ1182" s="59"/>
      <c r="CA1182" s="59"/>
      <c r="CB1182" s="59"/>
      <c r="CC1182" s="59"/>
      <c r="CD1182" s="59"/>
      <c r="CE1182" s="59"/>
      <c r="CF1182" s="59"/>
      <c r="CG1182" s="59"/>
      <c r="CH1182" s="59"/>
      <c r="CI1182" s="59"/>
      <c r="CJ1182" s="59"/>
      <c r="CK1182" s="59"/>
      <c r="CL1182" s="59"/>
      <c r="CM1182" s="59"/>
      <c r="CN1182" s="59"/>
      <c r="CO1182" s="59"/>
      <c r="CP1182" s="59"/>
      <c r="CQ1182" s="59"/>
      <c r="CR1182" s="59"/>
      <c r="CS1182" s="59"/>
      <c r="CT1182" s="59"/>
      <c r="CU1182" s="59"/>
      <c r="CV1182" s="59"/>
      <c r="CW1182" s="59"/>
      <c r="CX1182" s="59"/>
      <c r="CY1182" s="59"/>
      <c r="CZ1182" s="59"/>
      <c r="DA1182" s="59"/>
      <c r="DB1182" s="59"/>
      <c r="DC1182" s="59"/>
      <c r="DD1182" s="59"/>
      <c r="DE1182" s="59"/>
      <c r="DF1182" s="59"/>
      <c r="DG1182" s="59"/>
      <c r="DH1182" s="59"/>
      <c r="DI1182" s="59"/>
      <c r="DJ1182" s="59"/>
      <c r="DK1182" s="59"/>
      <c r="DL1182" s="59"/>
      <c r="DM1182" s="59"/>
      <c r="DN1182" s="59"/>
      <c r="DO1182" s="59"/>
      <c r="DP1182" s="59"/>
      <c r="DQ1182" s="59"/>
      <c r="DR1182" s="59"/>
      <c r="DS1182" s="59"/>
      <c r="DT1182" s="59"/>
      <c r="DU1182" s="59"/>
      <c r="DV1182" s="59"/>
      <c r="DW1182" s="59"/>
      <c r="DX1182" s="59"/>
      <c r="DY1182" s="59"/>
      <c r="DZ1182" s="59"/>
      <c r="EA1182" s="59"/>
      <c r="EB1182" s="59"/>
      <c r="EC1182" s="59"/>
      <c r="ED1182" s="59"/>
      <c r="EE1182" s="59"/>
      <c r="EF1182" s="59"/>
      <c r="EG1182" s="59"/>
      <c r="EH1182" s="59"/>
      <c r="EI1182" s="59"/>
      <c r="EJ1182" s="59"/>
      <c r="EK1182" s="59"/>
      <c r="EL1182" s="59"/>
      <c r="EM1182" s="59"/>
      <c r="EN1182" s="59"/>
      <c r="EO1182" s="59"/>
      <c r="EP1182" s="59"/>
      <c r="EQ1182" s="59"/>
      <c r="ER1182" s="59"/>
      <c r="ES1182" s="59"/>
      <c r="ET1182" s="59"/>
      <c r="EU1182" s="59"/>
      <c r="EV1182" s="59"/>
      <c r="EW1182" s="59"/>
      <c r="EX1182" s="59"/>
      <c r="EY1182" s="59"/>
      <c r="EZ1182" s="59"/>
      <c r="FA1182" s="59"/>
      <c r="FB1182" s="59"/>
      <c r="FC1182" s="59"/>
      <c r="FD1182" s="59"/>
      <c r="FE1182" s="59"/>
      <c r="FF1182" s="59"/>
      <c r="FG1182" s="59"/>
      <c r="FH1182" s="59"/>
      <c r="FI1182" s="59"/>
      <c r="FJ1182" s="59"/>
      <c r="FK1182" s="59"/>
      <c r="FL1182" s="59"/>
      <c r="FM1182" s="59"/>
      <c r="FN1182" s="59"/>
      <c r="FO1182" s="59"/>
      <c r="FP1182" s="59"/>
      <c r="FQ1182" s="59"/>
      <c r="FR1182" s="59"/>
      <c r="FS1182" s="59"/>
      <c r="FT1182" s="59"/>
      <c r="FU1182" s="59"/>
      <c r="FV1182" s="59"/>
      <c r="FW1182" s="59"/>
      <c r="FX1182" s="59"/>
      <c r="FY1182" s="59"/>
      <c r="FZ1182" s="59"/>
      <c r="GA1182" s="59"/>
      <c r="GB1182" s="59"/>
      <c r="GC1182" s="59"/>
    </row>
    <row r="1183">
      <c r="A1183" s="59"/>
      <c r="B1183" s="59"/>
      <c r="C1183" s="59"/>
      <c r="D1183" s="59"/>
      <c r="E1183" s="59"/>
      <c r="F1183" s="59"/>
      <c r="G1183" s="59"/>
      <c r="H1183" s="59"/>
      <c r="I1183" s="59"/>
      <c r="J1183" s="59"/>
      <c r="K1183" s="59"/>
      <c r="L1183" s="59"/>
      <c r="M1183" s="59"/>
      <c r="N1183" s="59"/>
      <c r="O1183" s="59"/>
      <c r="P1183" s="59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  <c r="AD1183" s="59"/>
      <c r="AE1183" s="59"/>
      <c r="AF1183" s="59"/>
      <c r="AG1183" s="59"/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59"/>
      <c r="BR1183" s="59"/>
      <c r="BS1183" s="59"/>
      <c r="BT1183" s="59"/>
      <c r="BU1183" s="59"/>
      <c r="BV1183" s="59"/>
      <c r="BW1183" s="59"/>
      <c r="BX1183" s="59"/>
      <c r="BY1183" s="59"/>
      <c r="BZ1183" s="59"/>
      <c r="CA1183" s="59"/>
      <c r="CB1183" s="59"/>
      <c r="CC1183" s="59"/>
      <c r="CD1183" s="59"/>
      <c r="CE1183" s="59"/>
      <c r="CF1183" s="59"/>
      <c r="CG1183" s="59"/>
      <c r="CH1183" s="59"/>
      <c r="CI1183" s="59"/>
      <c r="CJ1183" s="59"/>
      <c r="CK1183" s="59"/>
      <c r="CL1183" s="59"/>
      <c r="CM1183" s="59"/>
      <c r="CN1183" s="59"/>
      <c r="CO1183" s="59"/>
      <c r="CP1183" s="59"/>
      <c r="CQ1183" s="59"/>
      <c r="CR1183" s="59"/>
      <c r="CS1183" s="59"/>
      <c r="CT1183" s="59"/>
      <c r="CU1183" s="59"/>
      <c r="CV1183" s="59"/>
      <c r="CW1183" s="59"/>
      <c r="CX1183" s="59"/>
      <c r="CY1183" s="59"/>
      <c r="CZ1183" s="59"/>
      <c r="DA1183" s="59"/>
      <c r="DB1183" s="59"/>
      <c r="DC1183" s="59"/>
      <c r="DD1183" s="59"/>
      <c r="DE1183" s="59"/>
      <c r="DF1183" s="59"/>
      <c r="DG1183" s="59"/>
      <c r="DH1183" s="59"/>
      <c r="DI1183" s="59"/>
      <c r="DJ1183" s="59"/>
      <c r="DK1183" s="59"/>
      <c r="DL1183" s="59"/>
      <c r="DM1183" s="59"/>
      <c r="DN1183" s="59"/>
      <c r="DO1183" s="59"/>
      <c r="DP1183" s="59"/>
      <c r="DQ1183" s="59"/>
      <c r="DR1183" s="59"/>
      <c r="DS1183" s="59"/>
      <c r="DT1183" s="59"/>
      <c r="DU1183" s="59"/>
      <c r="DV1183" s="59"/>
      <c r="DW1183" s="59"/>
      <c r="DX1183" s="59"/>
      <c r="DY1183" s="59"/>
      <c r="DZ1183" s="59"/>
      <c r="EA1183" s="59"/>
      <c r="EB1183" s="59"/>
      <c r="EC1183" s="59"/>
      <c r="ED1183" s="59"/>
      <c r="EE1183" s="59"/>
      <c r="EF1183" s="59"/>
      <c r="EG1183" s="59"/>
      <c r="EH1183" s="59"/>
      <c r="EI1183" s="59"/>
      <c r="EJ1183" s="59"/>
      <c r="EK1183" s="59"/>
      <c r="EL1183" s="59"/>
      <c r="EM1183" s="59"/>
      <c r="EN1183" s="59"/>
      <c r="EO1183" s="59"/>
      <c r="EP1183" s="59"/>
      <c r="EQ1183" s="59"/>
      <c r="ER1183" s="59"/>
      <c r="ES1183" s="59"/>
      <c r="ET1183" s="59"/>
      <c r="EU1183" s="59"/>
      <c r="EV1183" s="59"/>
      <c r="EW1183" s="59"/>
      <c r="EX1183" s="59"/>
      <c r="EY1183" s="59"/>
      <c r="EZ1183" s="59"/>
      <c r="FA1183" s="59"/>
      <c r="FB1183" s="59"/>
      <c r="FC1183" s="59"/>
      <c r="FD1183" s="59"/>
      <c r="FE1183" s="59"/>
      <c r="FF1183" s="59"/>
      <c r="FG1183" s="59"/>
      <c r="FH1183" s="59"/>
      <c r="FI1183" s="59"/>
      <c r="FJ1183" s="59"/>
      <c r="FK1183" s="59"/>
      <c r="FL1183" s="59"/>
      <c r="FM1183" s="59"/>
      <c r="FN1183" s="59"/>
      <c r="FO1183" s="59"/>
      <c r="FP1183" s="59"/>
      <c r="FQ1183" s="59"/>
      <c r="FR1183" s="59"/>
      <c r="FS1183" s="59"/>
      <c r="FT1183" s="59"/>
      <c r="FU1183" s="59"/>
      <c r="FV1183" s="59"/>
      <c r="FW1183" s="59"/>
      <c r="FX1183" s="59"/>
      <c r="FY1183" s="59"/>
      <c r="FZ1183" s="59"/>
      <c r="GA1183" s="59"/>
      <c r="GB1183" s="59"/>
      <c r="GC1183" s="59"/>
    </row>
    <row r="1184">
      <c r="A1184" s="59"/>
      <c r="B1184" s="59"/>
      <c r="C1184" s="59"/>
      <c r="D1184" s="59"/>
      <c r="E1184" s="59"/>
      <c r="F1184" s="59"/>
      <c r="G1184" s="59"/>
      <c r="H1184" s="59"/>
      <c r="I1184" s="59"/>
      <c r="J1184" s="59"/>
      <c r="K1184" s="59"/>
      <c r="L1184" s="59"/>
      <c r="M1184" s="59"/>
      <c r="N1184" s="59"/>
      <c r="O1184" s="59"/>
      <c r="P1184" s="59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59"/>
      <c r="BR1184" s="59"/>
      <c r="BS1184" s="59"/>
      <c r="BT1184" s="59"/>
      <c r="BU1184" s="59"/>
      <c r="BV1184" s="59"/>
      <c r="BW1184" s="59"/>
      <c r="BX1184" s="59"/>
      <c r="BY1184" s="59"/>
      <c r="BZ1184" s="59"/>
      <c r="CA1184" s="59"/>
      <c r="CB1184" s="59"/>
      <c r="CC1184" s="59"/>
      <c r="CD1184" s="59"/>
      <c r="CE1184" s="59"/>
      <c r="CF1184" s="59"/>
      <c r="CG1184" s="59"/>
      <c r="CH1184" s="59"/>
      <c r="CI1184" s="59"/>
      <c r="CJ1184" s="59"/>
      <c r="CK1184" s="59"/>
      <c r="CL1184" s="59"/>
      <c r="CM1184" s="59"/>
      <c r="CN1184" s="59"/>
      <c r="CO1184" s="59"/>
      <c r="CP1184" s="59"/>
      <c r="CQ1184" s="59"/>
      <c r="CR1184" s="59"/>
      <c r="CS1184" s="59"/>
      <c r="CT1184" s="59"/>
      <c r="CU1184" s="59"/>
      <c r="CV1184" s="59"/>
      <c r="CW1184" s="59"/>
      <c r="CX1184" s="59"/>
      <c r="CY1184" s="59"/>
      <c r="CZ1184" s="59"/>
      <c r="DA1184" s="59"/>
      <c r="DB1184" s="59"/>
      <c r="DC1184" s="59"/>
      <c r="DD1184" s="59"/>
      <c r="DE1184" s="59"/>
      <c r="DF1184" s="59"/>
      <c r="DG1184" s="59"/>
      <c r="DH1184" s="59"/>
      <c r="DI1184" s="59"/>
      <c r="DJ1184" s="59"/>
      <c r="DK1184" s="59"/>
      <c r="DL1184" s="59"/>
      <c r="DM1184" s="59"/>
      <c r="DN1184" s="59"/>
      <c r="DO1184" s="59"/>
      <c r="DP1184" s="59"/>
      <c r="DQ1184" s="59"/>
      <c r="DR1184" s="59"/>
      <c r="DS1184" s="59"/>
      <c r="DT1184" s="59"/>
      <c r="DU1184" s="59"/>
      <c r="DV1184" s="59"/>
      <c r="DW1184" s="59"/>
      <c r="DX1184" s="59"/>
      <c r="DY1184" s="59"/>
      <c r="DZ1184" s="59"/>
      <c r="EA1184" s="59"/>
      <c r="EB1184" s="59"/>
      <c r="EC1184" s="59"/>
      <c r="ED1184" s="59"/>
      <c r="EE1184" s="59"/>
      <c r="EF1184" s="59"/>
      <c r="EG1184" s="59"/>
      <c r="EH1184" s="59"/>
      <c r="EI1184" s="59"/>
      <c r="EJ1184" s="59"/>
      <c r="EK1184" s="59"/>
      <c r="EL1184" s="59"/>
      <c r="EM1184" s="59"/>
      <c r="EN1184" s="59"/>
      <c r="EO1184" s="59"/>
      <c r="EP1184" s="59"/>
      <c r="EQ1184" s="59"/>
      <c r="ER1184" s="59"/>
      <c r="ES1184" s="59"/>
      <c r="ET1184" s="59"/>
      <c r="EU1184" s="59"/>
      <c r="EV1184" s="59"/>
      <c r="EW1184" s="59"/>
      <c r="EX1184" s="59"/>
      <c r="EY1184" s="59"/>
      <c r="EZ1184" s="59"/>
      <c r="FA1184" s="59"/>
      <c r="FB1184" s="59"/>
      <c r="FC1184" s="59"/>
      <c r="FD1184" s="59"/>
      <c r="FE1184" s="59"/>
      <c r="FF1184" s="59"/>
      <c r="FG1184" s="59"/>
      <c r="FH1184" s="59"/>
      <c r="FI1184" s="59"/>
      <c r="FJ1184" s="59"/>
      <c r="FK1184" s="59"/>
      <c r="FL1184" s="59"/>
      <c r="FM1184" s="59"/>
      <c r="FN1184" s="59"/>
      <c r="FO1184" s="59"/>
      <c r="FP1184" s="59"/>
      <c r="FQ1184" s="59"/>
      <c r="FR1184" s="59"/>
      <c r="FS1184" s="59"/>
      <c r="FT1184" s="59"/>
      <c r="FU1184" s="59"/>
      <c r="FV1184" s="59"/>
      <c r="FW1184" s="59"/>
      <c r="FX1184" s="59"/>
      <c r="FY1184" s="59"/>
      <c r="FZ1184" s="59"/>
      <c r="GA1184" s="59"/>
      <c r="GB1184" s="59"/>
      <c r="GC1184" s="59"/>
    </row>
    <row r="1185">
      <c r="A1185" s="59"/>
      <c r="B1185" s="59"/>
      <c r="C1185" s="59"/>
      <c r="D1185" s="59"/>
      <c r="E1185" s="59"/>
      <c r="F1185" s="59"/>
      <c r="G1185" s="59"/>
      <c r="H1185" s="59"/>
      <c r="I1185" s="59"/>
      <c r="J1185" s="59"/>
      <c r="K1185" s="59"/>
      <c r="L1185" s="59"/>
      <c r="M1185" s="59"/>
      <c r="N1185" s="59"/>
      <c r="O1185" s="59"/>
      <c r="P1185" s="59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  <c r="AD1185" s="59"/>
      <c r="AE1185" s="59"/>
      <c r="AF1185" s="59"/>
      <c r="AG1185" s="59"/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59"/>
      <c r="BR1185" s="59"/>
      <c r="BS1185" s="59"/>
      <c r="BT1185" s="59"/>
      <c r="BU1185" s="59"/>
      <c r="BV1185" s="59"/>
      <c r="BW1185" s="59"/>
      <c r="BX1185" s="59"/>
      <c r="BY1185" s="59"/>
      <c r="BZ1185" s="59"/>
      <c r="CA1185" s="59"/>
      <c r="CB1185" s="59"/>
      <c r="CC1185" s="59"/>
      <c r="CD1185" s="59"/>
      <c r="CE1185" s="59"/>
      <c r="CF1185" s="59"/>
      <c r="CG1185" s="59"/>
      <c r="CH1185" s="59"/>
      <c r="CI1185" s="59"/>
      <c r="CJ1185" s="59"/>
      <c r="CK1185" s="59"/>
      <c r="CL1185" s="59"/>
      <c r="CM1185" s="59"/>
      <c r="CN1185" s="59"/>
      <c r="CO1185" s="59"/>
      <c r="CP1185" s="59"/>
      <c r="CQ1185" s="59"/>
      <c r="CR1185" s="59"/>
      <c r="CS1185" s="59"/>
      <c r="CT1185" s="59"/>
      <c r="CU1185" s="59"/>
      <c r="CV1185" s="59"/>
      <c r="CW1185" s="59"/>
      <c r="CX1185" s="59"/>
      <c r="CY1185" s="59"/>
      <c r="CZ1185" s="59"/>
      <c r="DA1185" s="59"/>
      <c r="DB1185" s="59"/>
      <c r="DC1185" s="59"/>
      <c r="DD1185" s="59"/>
      <c r="DE1185" s="59"/>
      <c r="DF1185" s="59"/>
      <c r="DG1185" s="59"/>
      <c r="DH1185" s="59"/>
      <c r="DI1185" s="59"/>
      <c r="DJ1185" s="59"/>
      <c r="DK1185" s="59"/>
      <c r="DL1185" s="59"/>
      <c r="DM1185" s="59"/>
      <c r="DN1185" s="59"/>
      <c r="DO1185" s="59"/>
      <c r="DP1185" s="59"/>
      <c r="DQ1185" s="59"/>
      <c r="DR1185" s="59"/>
      <c r="DS1185" s="59"/>
      <c r="DT1185" s="59"/>
      <c r="DU1185" s="59"/>
      <c r="DV1185" s="59"/>
      <c r="DW1185" s="59"/>
      <c r="DX1185" s="59"/>
      <c r="DY1185" s="59"/>
      <c r="DZ1185" s="59"/>
      <c r="EA1185" s="59"/>
      <c r="EB1185" s="59"/>
      <c r="EC1185" s="59"/>
      <c r="ED1185" s="59"/>
      <c r="EE1185" s="59"/>
      <c r="EF1185" s="59"/>
      <c r="EG1185" s="59"/>
      <c r="EH1185" s="59"/>
      <c r="EI1185" s="59"/>
      <c r="EJ1185" s="59"/>
      <c r="EK1185" s="59"/>
      <c r="EL1185" s="59"/>
      <c r="EM1185" s="59"/>
      <c r="EN1185" s="59"/>
      <c r="EO1185" s="59"/>
      <c r="EP1185" s="59"/>
      <c r="EQ1185" s="59"/>
      <c r="ER1185" s="59"/>
      <c r="ES1185" s="59"/>
      <c r="ET1185" s="59"/>
      <c r="EU1185" s="59"/>
      <c r="EV1185" s="59"/>
      <c r="EW1185" s="59"/>
      <c r="EX1185" s="59"/>
      <c r="EY1185" s="59"/>
      <c r="EZ1185" s="59"/>
      <c r="FA1185" s="59"/>
      <c r="FB1185" s="59"/>
      <c r="FC1185" s="59"/>
      <c r="FD1185" s="59"/>
      <c r="FE1185" s="59"/>
      <c r="FF1185" s="59"/>
      <c r="FG1185" s="59"/>
      <c r="FH1185" s="59"/>
      <c r="FI1185" s="59"/>
      <c r="FJ1185" s="59"/>
      <c r="FK1185" s="59"/>
      <c r="FL1185" s="59"/>
      <c r="FM1185" s="59"/>
      <c r="FN1185" s="59"/>
      <c r="FO1185" s="59"/>
      <c r="FP1185" s="59"/>
      <c r="FQ1185" s="59"/>
      <c r="FR1185" s="59"/>
      <c r="FS1185" s="59"/>
      <c r="FT1185" s="59"/>
      <c r="FU1185" s="59"/>
      <c r="FV1185" s="59"/>
      <c r="FW1185" s="59"/>
      <c r="FX1185" s="59"/>
      <c r="FY1185" s="59"/>
      <c r="FZ1185" s="59"/>
      <c r="GA1185" s="59"/>
      <c r="GB1185" s="59"/>
      <c r="GC1185" s="59"/>
    </row>
    <row r="1186">
      <c r="A1186" s="59"/>
      <c r="B1186" s="59"/>
      <c r="C1186" s="59"/>
      <c r="D1186" s="59"/>
      <c r="E1186" s="59"/>
      <c r="F1186" s="59"/>
      <c r="G1186" s="59"/>
      <c r="H1186" s="59"/>
      <c r="I1186" s="59"/>
      <c r="J1186" s="59"/>
      <c r="K1186" s="59"/>
      <c r="L1186" s="59"/>
      <c r="M1186" s="59"/>
      <c r="N1186" s="59"/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59"/>
      <c r="BR1186" s="59"/>
      <c r="BS1186" s="59"/>
      <c r="BT1186" s="59"/>
      <c r="BU1186" s="59"/>
      <c r="BV1186" s="59"/>
      <c r="BW1186" s="59"/>
      <c r="BX1186" s="59"/>
      <c r="BY1186" s="59"/>
      <c r="BZ1186" s="59"/>
      <c r="CA1186" s="59"/>
      <c r="CB1186" s="59"/>
      <c r="CC1186" s="59"/>
      <c r="CD1186" s="59"/>
      <c r="CE1186" s="59"/>
      <c r="CF1186" s="59"/>
      <c r="CG1186" s="59"/>
      <c r="CH1186" s="59"/>
      <c r="CI1186" s="59"/>
      <c r="CJ1186" s="59"/>
      <c r="CK1186" s="59"/>
      <c r="CL1186" s="59"/>
      <c r="CM1186" s="59"/>
      <c r="CN1186" s="59"/>
      <c r="CO1186" s="59"/>
      <c r="CP1186" s="59"/>
      <c r="CQ1186" s="59"/>
      <c r="CR1186" s="59"/>
      <c r="CS1186" s="59"/>
      <c r="CT1186" s="59"/>
      <c r="CU1186" s="59"/>
      <c r="CV1186" s="59"/>
      <c r="CW1186" s="59"/>
      <c r="CX1186" s="59"/>
      <c r="CY1186" s="59"/>
      <c r="CZ1186" s="59"/>
      <c r="DA1186" s="59"/>
      <c r="DB1186" s="59"/>
      <c r="DC1186" s="59"/>
      <c r="DD1186" s="59"/>
      <c r="DE1186" s="59"/>
      <c r="DF1186" s="59"/>
      <c r="DG1186" s="59"/>
      <c r="DH1186" s="59"/>
      <c r="DI1186" s="59"/>
      <c r="DJ1186" s="59"/>
      <c r="DK1186" s="59"/>
      <c r="DL1186" s="59"/>
      <c r="DM1186" s="59"/>
      <c r="DN1186" s="59"/>
      <c r="DO1186" s="59"/>
      <c r="DP1186" s="59"/>
      <c r="DQ1186" s="59"/>
      <c r="DR1186" s="59"/>
      <c r="DS1186" s="59"/>
      <c r="DT1186" s="59"/>
      <c r="DU1186" s="59"/>
      <c r="DV1186" s="59"/>
      <c r="DW1186" s="59"/>
      <c r="DX1186" s="59"/>
      <c r="DY1186" s="59"/>
      <c r="DZ1186" s="59"/>
      <c r="EA1186" s="59"/>
      <c r="EB1186" s="59"/>
      <c r="EC1186" s="59"/>
      <c r="ED1186" s="59"/>
      <c r="EE1186" s="59"/>
      <c r="EF1186" s="59"/>
      <c r="EG1186" s="59"/>
      <c r="EH1186" s="59"/>
      <c r="EI1186" s="59"/>
      <c r="EJ1186" s="59"/>
      <c r="EK1186" s="59"/>
      <c r="EL1186" s="59"/>
      <c r="EM1186" s="59"/>
      <c r="EN1186" s="59"/>
      <c r="EO1186" s="59"/>
      <c r="EP1186" s="59"/>
      <c r="EQ1186" s="59"/>
      <c r="ER1186" s="59"/>
      <c r="ES1186" s="59"/>
      <c r="ET1186" s="59"/>
      <c r="EU1186" s="59"/>
      <c r="EV1186" s="59"/>
      <c r="EW1186" s="59"/>
      <c r="EX1186" s="59"/>
      <c r="EY1186" s="59"/>
      <c r="EZ1186" s="59"/>
      <c r="FA1186" s="59"/>
      <c r="FB1186" s="59"/>
      <c r="FC1186" s="59"/>
      <c r="FD1186" s="59"/>
      <c r="FE1186" s="59"/>
      <c r="FF1186" s="59"/>
      <c r="FG1186" s="59"/>
      <c r="FH1186" s="59"/>
      <c r="FI1186" s="59"/>
      <c r="FJ1186" s="59"/>
      <c r="FK1186" s="59"/>
      <c r="FL1186" s="59"/>
      <c r="FM1186" s="59"/>
      <c r="FN1186" s="59"/>
      <c r="FO1186" s="59"/>
      <c r="FP1186" s="59"/>
      <c r="FQ1186" s="59"/>
      <c r="FR1186" s="59"/>
      <c r="FS1186" s="59"/>
      <c r="FT1186" s="59"/>
      <c r="FU1186" s="59"/>
      <c r="FV1186" s="59"/>
      <c r="FW1186" s="59"/>
      <c r="FX1186" s="59"/>
      <c r="FY1186" s="59"/>
      <c r="FZ1186" s="59"/>
      <c r="GA1186" s="59"/>
      <c r="GB1186" s="59"/>
      <c r="GC1186" s="59"/>
    </row>
    <row r="1187">
      <c r="A1187" s="59"/>
      <c r="B1187" s="59"/>
      <c r="C1187" s="59"/>
      <c r="D1187" s="59"/>
      <c r="E1187" s="59"/>
      <c r="F1187" s="59"/>
      <c r="G1187" s="59"/>
      <c r="H1187" s="59"/>
      <c r="I1187" s="59"/>
      <c r="J1187" s="59"/>
      <c r="K1187" s="59"/>
      <c r="L1187" s="59"/>
      <c r="M1187" s="59"/>
      <c r="N1187" s="59"/>
      <c r="O1187" s="59"/>
      <c r="P1187" s="59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  <c r="AD1187" s="59"/>
      <c r="AE1187" s="59"/>
      <c r="AF1187" s="59"/>
      <c r="AG1187" s="59"/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59"/>
      <c r="BR1187" s="59"/>
      <c r="BS1187" s="59"/>
      <c r="BT1187" s="59"/>
      <c r="BU1187" s="59"/>
      <c r="BV1187" s="59"/>
      <c r="BW1187" s="59"/>
      <c r="BX1187" s="59"/>
      <c r="BY1187" s="59"/>
      <c r="BZ1187" s="59"/>
      <c r="CA1187" s="59"/>
      <c r="CB1187" s="59"/>
      <c r="CC1187" s="59"/>
      <c r="CD1187" s="59"/>
      <c r="CE1187" s="59"/>
      <c r="CF1187" s="59"/>
      <c r="CG1187" s="59"/>
      <c r="CH1187" s="59"/>
      <c r="CI1187" s="59"/>
      <c r="CJ1187" s="59"/>
      <c r="CK1187" s="59"/>
      <c r="CL1187" s="59"/>
      <c r="CM1187" s="59"/>
      <c r="CN1187" s="59"/>
      <c r="CO1187" s="59"/>
      <c r="CP1187" s="59"/>
      <c r="CQ1187" s="59"/>
      <c r="CR1187" s="59"/>
      <c r="CS1187" s="59"/>
      <c r="CT1187" s="59"/>
      <c r="CU1187" s="59"/>
      <c r="CV1187" s="59"/>
      <c r="CW1187" s="59"/>
      <c r="CX1187" s="59"/>
      <c r="CY1187" s="59"/>
      <c r="CZ1187" s="59"/>
      <c r="DA1187" s="59"/>
      <c r="DB1187" s="59"/>
      <c r="DC1187" s="59"/>
      <c r="DD1187" s="59"/>
      <c r="DE1187" s="59"/>
      <c r="DF1187" s="59"/>
      <c r="DG1187" s="59"/>
      <c r="DH1187" s="59"/>
      <c r="DI1187" s="59"/>
      <c r="DJ1187" s="59"/>
      <c r="DK1187" s="59"/>
      <c r="DL1187" s="59"/>
      <c r="DM1187" s="59"/>
      <c r="DN1187" s="59"/>
      <c r="DO1187" s="59"/>
      <c r="DP1187" s="59"/>
      <c r="DQ1187" s="59"/>
      <c r="DR1187" s="59"/>
      <c r="DS1187" s="59"/>
      <c r="DT1187" s="59"/>
      <c r="DU1187" s="59"/>
      <c r="DV1187" s="59"/>
      <c r="DW1187" s="59"/>
      <c r="DX1187" s="59"/>
      <c r="DY1187" s="59"/>
      <c r="DZ1187" s="59"/>
      <c r="EA1187" s="59"/>
      <c r="EB1187" s="59"/>
      <c r="EC1187" s="59"/>
      <c r="ED1187" s="59"/>
      <c r="EE1187" s="59"/>
      <c r="EF1187" s="59"/>
      <c r="EG1187" s="59"/>
      <c r="EH1187" s="59"/>
      <c r="EI1187" s="59"/>
      <c r="EJ1187" s="59"/>
      <c r="EK1187" s="59"/>
      <c r="EL1187" s="59"/>
      <c r="EM1187" s="59"/>
      <c r="EN1187" s="59"/>
      <c r="EO1187" s="59"/>
      <c r="EP1187" s="59"/>
      <c r="EQ1187" s="59"/>
      <c r="ER1187" s="59"/>
      <c r="ES1187" s="59"/>
      <c r="ET1187" s="59"/>
      <c r="EU1187" s="59"/>
      <c r="EV1187" s="59"/>
      <c r="EW1187" s="59"/>
      <c r="EX1187" s="59"/>
      <c r="EY1187" s="59"/>
      <c r="EZ1187" s="59"/>
      <c r="FA1187" s="59"/>
      <c r="FB1187" s="59"/>
      <c r="FC1187" s="59"/>
      <c r="FD1187" s="59"/>
      <c r="FE1187" s="59"/>
      <c r="FF1187" s="59"/>
      <c r="FG1187" s="59"/>
      <c r="FH1187" s="59"/>
      <c r="FI1187" s="59"/>
      <c r="FJ1187" s="59"/>
      <c r="FK1187" s="59"/>
      <c r="FL1187" s="59"/>
      <c r="FM1187" s="59"/>
      <c r="FN1187" s="59"/>
      <c r="FO1187" s="59"/>
      <c r="FP1187" s="59"/>
      <c r="FQ1187" s="59"/>
      <c r="FR1187" s="59"/>
      <c r="FS1187" s="59"/>
      <c r="FT1187" s="59"/>
      <c r="FU1187" s="59"/>
      <c r="FV1187" s="59"/>
      <c r="FW1187" s="59"/>
      <c r="FX1187" s="59"/>
      <c r="FY1187" s="59"/>
      <c r="FZ1187" s="59"/>
      <c r="GA1187" s="59"/>
      <c r="GB1187" s="59"/>
      <c r="GC1187" s="59"/>
    </row>
    <row r="1188">
      <c r="A1188" s="59"/>
      <c r="B1188" s="59"/>
      <c r="C1188" s="59"/>
      <c r="D1188" s="59"/>
      <c r="E1188" s="59"/>
      <c r="F1188" s="59"/>
      <c r="G1188" s="59"/>
      <c r="H1188" s="59"/>
      <c r="I1188" s="59"/>
      <c r="J1188" s="59"/>
      <c r="K1188" s="59"/>
      <c r="L1188" s="59"/>
      <c r="M1188" s="59"/>
      <c r="N1188" s="59"/>
      <c r="O1188" s="59"/>
      <c r="P1188" s="59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59"/>
      <c r="BR1188" s="59"/>
      <c r="BS1188" s="59"/>
      <c r="BT1188" s="59"/>
      <c r="BU1188" s="59"/>
      <c r="BV1188" s="59"/>
      <c r="BW1188" s="59"/>
      <c r="BX1188" s="59"/>
      <c r="BY1188" s="59"/>
      <c r="BZ1188" s="59"/>
      <c r="CA1188" s="59"/>
      <c r="CB1188" s="59"/>
      <c r="CC1188" s="59"/>
      <c r="CD1188" s="59"/>
      <c r="CE1188" s="59"/>
      <c r="CF1188" s="59"/>
      <c r="CG1188" s="59"/>
      <c r="CH1188" s="59"/>
      <c r="CI1188" s="59"/>
      <c r="CJ1188" s="59"/>
      <c r="CK1188" s="59"/>
      <c r="CL1188" s="59"/>
      <c r="CM1188" s="59"/>
      <c r="CN1188" s="59"/>
      <c r="CO1188" s="59"/>
      <c r="CP1188" s="59"/>
      <c r="CQ1188" s="59"/>
      <c r="CR1188" s="59"/>
      <c r="CS1188" s="59"/>
      <c r="CT1188" s="59"/>
      <c r="CU1188" s="59"/>
      <c r="CV1188" s="59"/>
      <c r="CW1188" s="59"/>
      <c r="CX1188" s="59"/>
      <c r="CY1188" s="59"/>
      <c r="CZ1188" s="59"/>
      <c r="DA1188" s="59"/>
      <c r="DB1188" s="59"/>
      <c r="DC1188" s="59"/>
      <c r="DD1188" s="59"/>
      <c r="DE1188" s="59"/>
      <c r="DF1188" s="59"/>
      <c r="DG1188" s="59"/>
      <c r="DH1188" s="59"/>
      <c r="DI1188" s="59"/>
      <c r="DJ1188" s="59"/>
      <c r="DK1188" s="59"/>
      <c r="DL1188" s="59"/>
      <c r="DM1188" s="59"/>
      <c r="DN1188" s="59"/>
      <c r="DO1188" s="59"/>
      <c r="DP1188" s="59"/>
      <c r="DQ1188" s="59"/>
      <c r="DR1188" s="59"/>
      <c r="DS1188" s="59"/>
      <c r="DT1188" s="59"/>
      <c r="DU1188" s="59"/>
      <c r="DV1188" s="59"/>
      <c r="DW1188" s="59"/>
      <c r="DX1188" s="59"/>
      <c r="DY1188" s="59"/>
      <c r="DZ1188" s="59"/>
      <c r="EA1188" s="59"/>
      <c r="EB1188" s="59"/>
      <c r="EC1188" s="59"/>
      <c r="ED1188" s="59"/>
      <c r="EE1188" s="59"/>
      <c r="EF1188" s="59"/>
      <c r="EG1188" s="59"/>
      <c r="EH1188" s="59"/>
      <c r="EI1188" s="59"/>
      <c r="EJ1188" s="59"/>
      <c r="EK1188" s="59"/>
      <c r="EL1188" s="59"/>
      <c r="EM1188" s="59"/>
      <c r="EN1188" s="59"/>
      <c r="EO1188" s="59"/>
      <c r="EP1188" s="59"/>
      <c r="EQ1188" s="59"/>
      <c r="ER1188" s="59"/>
      <c r="ES1188" s="59"/>
      <c r="ET1188" s="59"/>
      <c r="EU1188" s="59"/>
      <c r="EV1188" s="59"/>
      <c r="EW1188" s="59"/>
      <c r="EX1188" s="59"/>
      <c r="EY1188" s="59"/>
      <c r="EZ1188" s="59"/>
      <c r="FA1188" s="59"/>
      <c r="FB1188" s="59"/>
      <c r="FC1188" s="59"/>
      <c r="FD1188" s="59"/>
      <c r="FE1188" s="59"/>
      <c r="FF1188" s="59"/>
      <c r="FG1188" s="59"/>
      <c r="FH1188" s="59"/>
      <c r="FI1188" s="59"/>
      <c r="FJ1188" s="59"/>
      <c r="FK1188" s="59"/>
      <c r="FL1188" s="59"/>
      <c r="FM1188" s="59"/>
      <c r="FN1188" s="59"/>
      <c r="FO1188" s="59"/>
      <c r="FP1188" s="59"/>
      <c r="FQ1188" s="59"/>
      <c r="FR1188" s="59"/>
      <c r="FS1188" s="59"/>
      <c r="FT1188" s="59"/>
      <c r="FU1188" s="59"/>
      <c r="FV1188" s="59"/>
      <c r="FW1188" s="59"/>
      <c r="FX1188" s="59"/>
      <c r="FY1188" s="59"/>
      <c r="FZ1188" s="59"/>
      <c r="GA1188" s="59"/>
      <c r="GB1188" s="59"/>
      <c r="GC1188" s="59"/>
    </row>
    <row r="1189">
      <c r="A1189" s="59"/>
      <c r="B1189" s="59"/>
      <c r="C1189" s="59"/>
      <c r="D1189" s="59"/>
      <c r="E1189" s="59"/>
      <c r="F1189" s="59"/>
      <c r="G1189" s="59"/>
      <c r="H1189" s="59"/>
      <c r="I1189" s="59"/>
      <c r="J1189" s="59"/>
      <c r="K1189" s="59"/>
      <c r="L1189" s="59"/>
      <c r="M1189" s="59"/>
      <c r="N1189" s="59"/>
      <c r="O1189" s="59"/>
      <c r="P1189" s="59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  <c r="AD1189" s="59"/>
      <c r="AE1189" s="59"/>
      <c r="AF1189" s="59"/>
      <c r="AG1189" s="59"/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59"/>
      <c r="BR1189" s="59"/>
      <c r="BS1189" s="59"/>
      <c r="BT1189" s="59"/>
      <c r="BU1189" s="59"/>
      <c r="BV1189" s="59"/>
      <c r="BW1189" s="59"/>
      <c r="BX1189" s="59"/>
      <c r="BY1189" s="59"/>
      <c r="BZ1189" s="59"/>
      <c r="CA1189" s="59"/>
      <c r="CB1189" s="59"/>
      <c r="CC1189" s="59"/>
      <c r="CD1189" s="59"/>
      <c r="CE1189" s="59"/>
      <c r="CF1189" s="59"/>
      <c r="CG1189" s="59"/>
      <c r="CH1189" s="59"/>
      <c r="CI1189" s="59"/>
      <c r="CJ1189" s="59"/>
      <c r="CK1189" s="59"/>
      <c r="CL1189" s="59"/>
      <c r="CM1189" s="59"/>
      <c r="CN1189" s="59"/>
      <c r="CO1189" s="59"/>
      <c r="CP1189" s="59"/>
      <c r="CQ1189" s="59"/>
      <c r="CR1189" s="59"/>
      <c r="CS1189" s="59"/>
      <c r="CT1189" s="59"/>
      <c r="CU1189" s="59"/>
      <c r="CV1189" s="59"/>
      <c r="CW1189" s="59"/>
      <c r="CX1189" s="59"/>
      <c r="CY1189" s="59"/>
      <c r="CZ1189" s="59"/>
      <c r="DA1189" s="59"/>
      <c r="DB1189" s="59"/>
      <c r="DC1189" s="59"/>
      <c r="DD1189" s="59"/>
      <c r="DE1189" s="59"/>
      <c r="DF1189" s="59"/>
      <c r="DG1189" s="59"/>
      <c r="DH1189" s="59"/>
      <c r="DI1189" s="59"/>
      <c r="DJ1189" s="59"/>
      <c r="DK1189" s="59"/>
      <c r="DL1189" s="59"/>
      <c r="DM1189" s="59"/>
      <c r="DN1189" s="59"/>
      <c r="DO1189" s="59"/>
      <c r="DP1189" s="59"/>
      <c r="DQ1189" s="59"/>
      <c r="DR1189" s="59"/>
      <c r="DS1189" s="59"/>
      <c r="DT1189" s="59"/>
      <c r="DU1189" s="59"/>
      <c r="DV1189" s="59"/>
      <c r="DW1189" s="59"/>
      <c r="DX1189" s="59"/>
      <c r="DY1189" s="59"/>
      <c r="DZ1189" s="59"/>
      <c r="EA1189" s="59"/>
      <c r="EB1189" s="59"/>
      <c r="EC1189" s="59"/>
      <c r="ED1189" s="59"/>
      <c r="EE1189" s="59"/>
      <c r="EF1189" s="59"/>
      <c r="EG1189" s="59"/>
      <c r="EH1189" s="59"/>
      <c r="EI1189" s="59"/>
      <c r="EJ1189" s="59"/>
      <c r="EK1189" s="59"/>
      <c r="EL1189" s="59"/>
      <c r="EM1189" s="59"/>
      <c r="EN1189" s="59"/>
      <c r="EO1189" s="59"/>
      <c r="EP1189" s="59"/>
      <c r="EQ1189" s="59"/>
      <c r="ER1189" s="59"/>
      <c r="ES1189" s="59"/>
      <c r="ET1189" s="59"/>
      <c r="EU1189" s="59"/>
      <c r="EV1189" s="59"/>
      <c r="EW1189" s="59"/>
      <c r="EX1189" s="59"/>
      <c r="EY1189" s="59"/>
      <c r="EZ1189" s="59"/>
      <c r="FA1189" s="59"/>
      <c r="FB1189" s="59"/>
      <c r="FC1189" s="59"/>
      <c r="FD1189" s="59"/>
      <c r="FE1189" s="59"/>
      <c r="FF1189" s="59"/>
      <c r="FG1189" s="59"/>
      <c r="FH1189" s="59"/>
      <c r="FI1189" s="59"/>
      <c r="FJ1189" s="59"/>
      <c r="FK1189" s="59"/>
      <c r="FL1189" s="59"/>
      <c r="FM1189" s="59"/>
      <c r="FN1189" s="59"/>
      <c r="FO1189" s="59"/>
      <c r="FP1189" s="59"/>
      <c r="FQ1189" s="59"/>
      <c r="FR1189" s="59"/>
      <c r="FS1189" s="59"/>
      <c r="FT1189" s="59"/>
      <c r="FU1189" s="59"/>
      <c r="FV1189" s="59"/>
      <c r="FW1189" s="59"/>
      <c r="FX1189" s="59"/>
      <c r="FY1189" s="59"/>
      <c r="FZ1189" s="59"/>
      <c r="GA1189" s="59"/>
      <c r="GB1189" s="59"/>
      <c r="GC1189" s="59"/>
    </row>
    <row r="1190">
      <c r="A1190" s="59"/>
      <c r="B1190" s="59"/>
      <c r="C1190" s="59"/>
      <c r="D1190" s="59"/>
      <c r="E1190" s="59"/>
      <c r="F1190" s="59"/>
      <c r="G1190" s="59"/>
      <c r="H1190" s="59"/>
      <c r="I1190" s="59"/>
      <c r="J1190" s="59"/>
      <c r="K1190" s="59"/>
      <c r="L1190" s="59"/>
      <c r="M1190" s="59"/>
      <c r="N1190" s="59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59"/>
      <c r="BR1190" s="59"/>
      <c r="BS1190" s="59"/>
      <c r="BT1190" s="59"/>
      <c r="BU1190" s="59"/>
      <c r="BV1190" s="59"/>
      <c r="BW1190" s="59"/>
      <c r="BX1190" s="59"/>
      <c r="BY1190" s="59"/>
      <c r="BZ1190" s="59"/>
      <c r="CA1190" s="59"/>
      <c r="CB1190" s="59"/>
      <c r="CC1190" s="59"/>
      <c r="CD1190" s="59"/>
      <c r="CE1190" s="59"/>
      <c r="CF1190" s="59"/>
      <c r="CG1190" s="59"/>
      <c r="CH1190" s="59"/>
      <c r="CI1190" s="59"/>
      <c r="CJ1190" s="59"/>
      <c r="CK1190" s="59"/>
      <c r="CL1190" s="59"/>
      <c r="CM1190" s="59"/>
      <c r="CN1190" s="59"/>
      <c r="CO1190" s="59"/>
      <c r="CP1190" s="59"/>
      <c r="CQ1190" s="59"/>
      <c r="CR1190" s="59"/>
      <c r="CS1190" s="59"/>
      <c r="CT1190" s="59"/>
      <c r="CU1190" s="59"/>
      <c r="CV1190" s="59"/>
      <c r="CW1190" s="59"/>
      <c r="CX1190" s="59"/>
      <c r="CY1190" s="59"/>
      <c r="CZ1190" s="59"/>
      <c r="DA1190" s="59"/>
      <c r="DB1190" s="59"/>
      <c r="DC1190" s="59"/>
      <c r="DD1190" s="59"/>
      <c r="DE1190" s="59"/>
      <c r="DF1190" s="59"/>
      <c r="DG1190" s="59"/>
      <c r="DH1190" s="59"/>
      <c r="DI1190" s="59"/>
      <c r="DJ1190" s="59"/>
      <c r="DK1190" s="59"/>
      <c r="DL1190" s="59"/>
      <c r="DM1190" s="59"/>
      <c r="DN1190" s="59"/>
      <c r="DO1190" s="59"/>
      <c r="DP1190" s="59"/>
      <c r="DQ1190" s="59"/>
      <c r="DR1190" s="59"/>
      <c r="DS1190" s="59"/>
      <c r="DT1190" s="59"/>
      <c r="DU1190" s="59"/>
      <c r="DV1190" s="59"/>
      <c r="DW1190" s="59"/>
      <c r="DX1190" s="59"/>
      <c r="DY1190" s="59"/>
      <c r="DZ1190" s="59"/>
      <c r="EA1190" s="59"/>
      <c r="EB1190" s="59"/>
      <c r="EC1190" s="59"/>
      <c r="ED1190" s="59"/>
      <c r="EE1190" s="59"/>
      <c r="EF1190" s="59"/>
      <c r="EG1190" s="59"/>
      <c r="EH1190" s="59"/>
      <c r="EI1190" s="59"/>
      <c r="EJ1190" s="59"/>
      <c r="EK1190" s="59"/>
      <c r="EL1190" s="59"/>
      <c r="EM1190" s="59"/>
      <c r="EN1190" s="59"/>
      <c r="EO1190" s="59"/>
      <c r="EP1190" s="59"/>
      <c r="EQ1190" s="59"/>
      <c r="ER1190" s="59"/>
      <c r="ES1190" s="59"/>
      <c r="ET1190" s="59"/>
      <c r="EU1190" s="59"/>
      <c r="EV1190" s="59"/>
      <c r="EW1190" s="59"/>
      <c r="EX1190" s="59"/>
      <c r="EY1190" s="59"/>
      <c r="EZ1190" s="59"/>
      <c r="FA1190" s="59"/>
      <c r="FB1190" s="59"/>
      <c r="FC1190" s="59"/>
      <c r="FD1190" s="59"/>
      <c r="FE1190" s="59"/>
      <c r="FF1190" s="59"/>
      <c r="FG1190" s="59"/>
      <c r="FH1190" s="59"/>
      <c r="FI1190" s="59"/>
      <c r="FJ1190" s="59"/>
      <c r="FK1190" s="59"/>
      <c r="FL1190" s="59"/>
      <c r="FM1190" s="59"/>
      <c r="FN1190" s="59"/>
      <c r="FO1190" s="59"/>
      <c r="FP1190" s="59"/>
      <c r="FQ1190" s="59"/>
      <c r="FR1190" s="59"/>
      <c r="FS1190" s="59"/>
      <c r="FT1190" s="59"/>
      <c r="FU1190" s="59"/>
      <c r="FV1190" s="59"/>
      <c r="FW1190" s="59"/>
      <c r="FX1190" s="59"/>
      <c r="FY1190" s="59"/>
      <c r="FZ1190" s="59"/>
      <c r="GA1190" s="59"/>
      <c r="GB1190" s="59"/>
      <c r="GC1190" s="59"/>
    </row>
    <row r="1191">
      <c r="A1191" s="59"/>
      <c r="B1191" s="59"/>
      <c r="C1191" s="59"/>
      <c r="D1191" s="59"/>
      <c r="E1191" s="59"/>
      <c r="F1191" s="59"/>
      <c r="G1191" s="59"/>
      <c r="H1191" s="59"/>
      <c r="I1191" s="59"/>
      <c r="J1191" s="59"/>
      <c r="K1191" s="59"/>
      <c r="L1191" s="59"/>
      <c r="M1191" s="59"/>
      <c r="N1191" s="59"/>
      <c r="O1191" s="59"/>
      <c r="P1191" s="59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59"/>
      <c r="BR1191" s="59"/>
      <c r="BS1191" s="59"/>
      <c r="BT1191" s="59"/>
      <c r="BU1191" s="59"/>
      <c r="BV1191" s="59"/>
      <c r="BW1191" s="59"/>
      <c r="BX1191" s="59"/>
      <c r="BY1191" s="59"/>
      <c r="BZ1191" s="59"/>
      <c r="CA1191" s="59"/>
      <c r="CB1191" s="59"/>
      <c r="CC1191" s="59"/>
      <c r="CD1191" s="59"/>
      <c r="CE1191" s="59"/>
      <c r="CF1191" s="59"/>
      <c r="CG1191" s="59"/>
      <c r="CH1191" s="59"/>
      <c r="CI1191" s="59"/>
      <c r="CJ1191" s="59"/>
      <c r="CK1191" s="59"/>
      <c r="CL1191" s="59"/>
      <c r="CM1191" s="59"/>
      <c r="CN1191" s="59"/>
      <c r="CO1191" s="59"/>
      <c r="CP1191" s="59"/>
      <c r="CQ1191" s="59"/>
      <c r="CR1191" s="59"/>
      <c r="CS1191" s="59"/>
      <c r="CT1191" s="59"/>
      <c r="CU1191" s="59"/>
      <c r="CV1191" s="59"/>
      <c r="CW1191" s="59"/>
      <c r="CX1191" s="59"/>
      <c r="CY1191" s="59"/>
      <c r="CZ1191" s="59"/>
      <c r="DA1191" s="59"/>
      <c r="DB1191" s="59"/>
      <c r="DC1191" s="59"/>
      <c r="DD1191" s="59"/>
      <c r="DE1191" s="59"/>
      <c r="DF1191" s="59"/>
      <c r="DG1191" s="59"/>
      <c r="DH1191" s="59"/>
      <c r="DI1191" s="59"/>
      <c r="DJ1191" s="59"/>
      <c r="DK1191" s="59"/>
      <c r="DL1191" s="59"/>
      <c r="DM1191" s="59"/>
      <c r="DN1191" s="59"/>
      <c r="DO1191" s="59"/>
      <c r="DP1191" s="59"/>
      <c r="DQ1191" s="59"/>
      <c r="DR1191" s="59"/>
      <c r="DS1191" s="59"/>
      <c r="DT1191" s="59"/>
      <c r="DU1191" s="59"/>
      <c r="DV1191" s="59"/>
      <c r="DW1191" s="59"/>
      <c r="DX1191" s="59"/>
      <c r="DY1191" s="59"/>
      <c r="DZ1191" s="59"/>
      <c r="EA1191" s="59"/>
      <c r="EB1191" s="59"/>
      <c r="EC1191" s="59"/>
      <c r="ED1191" s="59"/>
      <c r="EE1191" s="59"/>
      <c r="EF1191" s="59"/>
      <c r="EG1191" s="59"/>
      <c r="EH1191" s="59"/>
      <c r="EI1191" s="59"/>
      <c r="EJ1191" s="59"/>
      <c r="EK1191" s="59"/>
      <c r="EL1191" s="59"/>
      <c r="EM1191" s="59"/>
      <c r="EN1191" s="59"/>
      <c r="EO1191" s="59"/>
      <c r="EP1191" s="59"/>
      <c r="EQ1191" s="59"/>
      <c r="ER1191" s="59"/>
      <c r="ES1191" s="59"/>
      <c r="ET1191" s="59"/>
      <c r="EU1191" s="59"/>
      <c r="EV1191" s="59"/>
      <c r="EW1191" s="59"/>
      <c r="EX1191" s="59"/>
      <c r="EY1191" s="59"/>
      <c r="EZ1191" s="59"/>
      <c r="FA1191" s="59"/>
      <c r="FB1191" s="59"/>
      <c r="FC1191" s="59"/>
      <c r="FD1191" s="59"/>
      <c r="FE1191" s="59"/>
      <c r="FF1191" s="59"/>
      <c r="FG1191" s="59"/>
      <c r="FH1191" s="59"/>
      <c r="FI1191" s="59"/>
      <c r="FJ1191" s="59"/>
      <c r="FK1191" s="59"/>
      <c r="FL1191" s="59"/>
      <c r="FM1191" s="59"/>
      <c r="FN1191" s="59"/>
      <c r="FO1191" s="59"/>
      <c r="FP1191" s="59"/>
      <c r="FQ1191" s="59"/>
      <c r="FR1191" s="59"/>
      <c r="FS1191" s="59"/>
      <c r="FT1191" s="59"/>
      <c r="FU1191" s="59"/>
      <c r="FV1191" s="59"/>
      <c r="FW1191" s="59"/>
      <c r="FX1191" s="59"/>
      <c r="FY1191" s="59"/>
      <c r="FZ1191" s="59"/>
      <c r="GA1191" s="59"/>
      <c r="GB1191" s="59"/>
      <c r="GC1191" s="59"/>
    </row>
    <row r="1192">
      <c r="A1192" s="59"/>
      <c r="B1192" s="59"/>
      <c r="C1192" s="59"/>
      <c r="D1192" s="59"/>
      <c r="E1192" s="59"/>
      <c r="F1192" s="59"/>
      <c r="G1192" s="59"/>
      <c r="H1192" s="59"/>
      <c r="I1192" s="59"/>
      <c r="J1192" s="59"/>
      <c r="K1192" s="59"/>
      <c r="L1192" s="59"/>
      <c r="M1192" s="59"/>
      <c r="N1192" s="59"/>
      <c r="O1192" s="59"/>
      <c r="P1192" s="59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59"/>
      <c r="BR1192" s="59"/>
      <c r="BS1192" s="59"/>
      <c r="BT1192" s="59"/>
      <c r="BU1192" s="59"/>
      <c r="BV1192" s="59"/>
      <c r="BW1192" s="59"/>
      <c r="BX1192" s="59"/>
      <c r="BY1192" s="59"/>
      <c r="BZ1192" s="59"/>
      <c r="CA1192" s="59"/>
      <c r="CB1192" s="59"/>
      <c r="CC1192" s="59"/>
      <c r="CD1192" s="59"/>
      <c r="CE1192" s="59"/>
      <c r="CF1192" s="59"/>
      <c r="CG1192" s="59"/>
      <c r="CH1192" s="59"/>
      <c r="CI1192" s="59"/>
      <c r="CJ1192" s="59"/>
      <c r="CK1192" s="59"/>
      <c r="CL1192" s="59"/>
      <c r="CM1192" s="59"/>
      <c r="CN1192" s="59"/>
      <c r="CO1192" s="59"/>
      <c r="CP1192" s="59"/>
      <c r="CQ1192" s="59"/>
      <c r="CR1192" s="59"/>
      <c r="CS1192" s="59"/>
      <c r="CT1192" s="59"/>
      <c r="CU1192" s="59"/>
      <c r="CV1192" s="59"/>
      <c r="CW1192" s="59"/>
      <c r="CX1192" s="59"/>
      <c r="CY1192" s="59"/>
      <c r="CZ1192" s="59"/>
      <c r="DA1192" s="59"/>
      <c r="DB1192" s="59"/>
      <c r="DC1192" s="59"/>
      <c r="DD1192" s="59"/>
      <c r="DE1192" s="59"/>
      <c r="DF1192" s="59"/>
      <c r="DG1192" s="59"/>
      <c r="DH1192" s="59"/>
      <c r="DI1192" s="59"/>
      <c r="DJ1192" s="59"/>
      <c r="DK1192" s="59"/>
      <c r="DL1192" s="59"/>
      <c r="DM1192" s="59"/>
      <c r="DN1192" s="59"/>
      <c r="DO1192" s="59"/>
      <c r="DP1192" s="59"/>
      <c r="DQ1192" s="59"/>
      <c r="DR1192" s="59"/>
      <c r="DS1192" s="59"/>
      <c r="DT1192" s="59"/>
      <c r="DU1192" s="59"/>
      <c r="DV1192" s="59"/>
      <c r="DW1192" s="59"/>
      <c r="DX1192" s="59"/>
      <c r="DY1192" s="59"/>
      <c r="DZ1192" s="59"/>
      <c r="EA1192" s="59"/>
      <c r="EB1192" s="59"/>
      <c r="EC1192" s="59"/>
      <c r="ED1192" s="59"/>
      <c r="EE1192" s="59"/>
      <c r="EF1192" s="59"/>
      <c r="EG1192" s="59"/>
      <c r="EH1192" s="59"/>
      <c r="EI1192" s="59"/>
      <c r="EJ1192" s="59"/>
      <c r="EK1192" s="59"/>
      <c r="EL1192" s="59"/>
      <c r="EM1192" s="59"/>
      <c r="EN1192" s="59"/>
      <c r="EO1192" s="59"/>
      <c r="EP1192" s="59"/>
      <c r="EQ1192" s="59"/>
      <c r="ER1192" s="59"/>
      <c r="ES1192" s="59"/>
      <c r="ET1192" s="59"/>
      <c r="EU1192" s="59"/>
      <c r="EV1192" s="59"/>
      <c r="EW1192" s="59"/>
      <c r="EX1192" s="59"/>
      <c r="EY1192" s="59"/>
      <c r="EZ1192" s="59"/>
      <c r="FA1192" s="59"/>
      <c r="FB1192" s="59"/>
      <c r="FC1192" s="59"/>
      <c r="FD1192" s="59"/>
      <c r="FE1192" s="59"/>
      <c r="FF1192" s="59"/>
      <c r="FG1192" s="59"/>
      <c r="FH1192" s="59"/>
      <c r="FI1192" s="59"/>
      <c r="FJ1192" s="59"/>
      <c r="FK1192" s="59"/>
      <c r="FL1192" s="59"/>
      <c r="FM1192" s="59"/>
      <c r="FN1192" s="59"/>
      <c r="FO1192" s="59"/>
      <c r="FP1192" s="59"/>
      <c r="FQ1192" s="59"/>
      <c r="FR1192" s="59"/>
      <c r="FS1192" s="59"/>
      <c r="FT1192" s="59"/>
      <c r="FU1192" s="59"/>
      <c r="FV1192" s="59"/>
      <c r="FW1192" s="59"/>
      <c r="FX1192" s="59"/>
      <c r="FY1192" s="59"/>
      <c r="FZ1192" s="59"/>
      <c r="GA1192" s="59"/>
      <c r="GB1192" s="59"/>
      <c r="GC1192" s="59"/>
    </row>
    <row r="1193">
      <c r="A1193" s="59"/>
      <c r="B1193" s="59"/>
      <c r="C1193" s="59"/>
      <c r="D1193" s="59"/>
      <c r="E1193" s="59"/>
      <c r="F1193" s="59"/>
      <c r="G1193" s="59"/>
      <c r="H1193" s="59"/>
      <c r="I1193" s="59"/>
      <c r="J1193" s="59"/>
      <c r="K1193" s="59"/>
      <c r="L1193" s="59"/>
      <c r="M1193" s="59"/>
      <c r="N1193" s="59"/>
      <c r="O1193" s="59"/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59"/>
      <c r="BR1193" s="59"/>
      <c r="BS1193" s="59"/>
      <c r="BT1193" s="59"/>
      <c r="BU1193" s="59"/>
      <c r="BV1193" s="59"/>
      <c r="BW1193" s="59"/>
      <c r="BX1193" s="59"/>
      <c r="BY1193" s="59"/>
      <c r="BZ1193" s="59"/>
      <c r="CA1193" s="59"/>
      <c r="CB1193" s="59"/>
      <c r="CC1193" s="59"/>
      <c r="CD1193" s="59"/>
      <c r="CE1193" s="59"/>
      <c r="CF1193" s="59"/>
      <c r="CG1193" s="59"/>
      <c r="CH1193" s="59"/>
      <c r="CI1193" s="59"/>
      <c r="CJ1193" s="59"/>
      <c r="CK1193" s="59"/>
      <c r="CL1193" s="59"/>
      <c r="CM1193" s="59"/>
      <c r="CN1193" s="59"/>
      <c r="CO1193" s="59"/>
      <c r="CP1193" s="59"/>
      <c r="CQ1193" s="59"/>
      <c r="CR1193" s="59"/>
      <c r="CS1193" s="59"/>
      <c r="CT1193" s="59"/>
      <c r="CU1193" s="59"/>
      <c r="CV1193" s="59"/>
      <c r="CW1193" s="59"/>
      <c r="CX1193" s="59"/>
      <c r="CY1193" s="59"/>
      <c r="CZ1193" s="59"/>
      <c r="DA1193" s="59"/>
      <c r="DB1193" s="59"/>
      <c r="DC1193" s="59"/>
      <c r="DD1193" s="59"/>
      <c r="DE1193" s="59"/>
      <c r="DF1193" s="59"/>
      <c r="DG1193" s="59"/>
      <c r="DH1193" s="59"/>
      <c r="DI1193" s="59"/>
      <c r="DJ1193" s="59"/>
      <c r="DK1193" s="59"/>
      <c r="DL1193" s="59"/>
      <c r="DM1193" s="59"/>
      <c r="DN1193" s="59"/>
      <c r="DO1193" s="59"/>
      <c r="DP1193" s="59"/>
      <c r="DQ1193" s="59"/>
      <c r="DR1193" s="59"/>
      <c r="DS1193" s="59"/>
      <c r="DT1193" s="59"/>
      <c r="DU1193" s="59"/>
      <c r="DV1193" s="59"/>
      <c r="DW1193" s="59"/>
      <c r="DX1193" s="59"/>
      <c r="DY1193" s="59"/>
      <c r="DZ1193" s="59"/>
      <c r="EA1193" s="59"/>
      <c r="EB1193" s="59"/>
      <c r="EC1193" s="59"/>
      <c r="ED1193" s="59"/>
      <c r="EE1193" s="59"/>
      <c r="EF1193" s="59"/>
      <c r="EG1193" s="59"/>
      <c r="EH1193" s="59"/>
      <c r="EI1193" s="59"/>
      <c r="EJ1193" s="59"/>
      <c r="EK1193" s="59"/>
      <c r="EL1193" s="59"/>
      <c r="EM1193" s="59"/>
      <c r="EN1193" s="59"/>
      <c r="EO1193" s="59"/>
      <c r="EP1193" s="59"/>
      <c r="EQ1193" s="59"/>
      <c r="ER1193" s="59"/>
      <c r="ES1193" s="59"/>
      <c r="ET1193" s="59"/>
      <c r="EU1193" s="59"/>
      <c r="EV1193" s="59"/>
      <c r="EW1193" s="59"/>
      <c r="EX1193" s="59"/>
      <c r="EY1193" s="59"/>
      <c r="EZ1193" s="59"/>
      <c r="FA1193" s="59"/>
      <c r="FB1193" s="59"/>
      <c r="FC1193" s="59"/>
      <c r="FD1193" s="59"/>
      <c r="FE1193" s="59"/>
      <c r="FF1193" s="59"/>
      <c r="FG1193" s="59"/>
      <c r="FH1193" s="59"/>
      <c r="FI1193" s="59"/>
      <c r="FJ1193" s="59"/>
      <c r="FK1193" s="59"/>
      <c r="FL1193" s="59"/>
      <c r="FM1193" s="59"/>
      <c r="FN1193" s="59"/>
      <c r="FO1193" s="59"/>
      <c r="FP1193" s="59"/>
      <c r="FQ1193" s="59"/>
      <c r="FR1193" s="59"/>
      <c r="FS1193" s="59"/>
      <c r="FT1193" s="59"/>
      <c r="FU1193" s="59"/>
      <c r="FV1193" s="59"/>
      <c r="FW1193" s="59"/>
      <c r="FX1193" s="59"/>
      <c r="FY1193" s="59"/>
      <c r="FZ1193" s="59"/>
      <c r="GA1193" s="59"/>
      <c r="GB1193" s="59"/>
      <c r="GC1193" s="59"/>
    </row>
    <row r="1194">
      <c r="A1194" s="59"/>
      <c r="B1194" s="59"/>
      <c r="C1194" s="59"/>
      <c r="D1194" s="59"/>
      <c r="E1194" s="59"/>
      <c r="F1194" s="59"/>
      <c r="G1194" s="59"/>
      <c r="H1194" s="59"/>
      <c r="I1194" s="59"/>
      <c r="J1194" s="59"/>
      <c r="K1194" s="59"/>
      <c r="L1194" s="59"/>
      <c r="M1194" s="59"/>
      <c r="N1194" s="59"/>
      <c r="O1194" s="59"/>
      <c r="P1194" s="59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59"/>
      <c r="BR1194" s="59"/>
      <c r="BS1194" s="59"/>
      <c r="BT1194" s="59"/>
      <c r="BU1194" s="59"/>
      <c r="BV1194" s="59"/>
      <c r="BW1194" s="59"/>
      <c r="BX1194" s="59"/>
      <c r="BY1194" s="59"/>
      <c r="BZ1194" s="59"/>
      <c r="CA1194" s="59"/>
      <c r="CB1194" s="59"/>
      <c r="CC1194" s="59"/>
      <c r="CD1194" s="59"/>
      <c r="CE1194" s="59"/>
      <c r="CF1194" s="59"/>
      <c r="CG1194" s="59"/>
      <c r="CH1194" s="59"/>
      <c r="CI1194" s="59"/>
      <c r="CJ1194" s="59"/>
      <c r="CK1194" s="59"/>
      <c r="CL1194" s="59"/>
      <c r="CM1194" s="59"/>
      <c r="CN1194" s="59"/>
      <c r="CO1194" s="59"/>
      <c r="CP1194" s="59"/>
      <c r="CQ1194" s="59"/>
      <c r="CR1194" s="59"/>
      <c r="CS1194" s="59"/>
      <c r="CT1194" s="59"/>
      <c r="CU1194" s="59"/>
      <c r="CV1194" s="59"/>
      <c r="CW1194" s="59"/>
      <c r="CX1194" s="59"/>
      <c r="CY1194" s="59"/>
      <c r="CZ1194" s="59"/>
      <c r="DA1194" s="59"/>
      <c r="DB1194" s="59"/>
      <c r="DC1194" s="59"/>
      <c r="DD1194" s="59"/>
      <c r="DE1194" s="59"/>
      <c r="DF1194" s="59"/>
      <c r="DG1194" s="59"/>
      <c r="DH1194" s="59"/>
      <c r="DI1194" s="59"/>
      <c r="DJ1194" s="59"/>
      <c r="DK1194" s="59"/>
      <c r="DL1194" s="59"/>
      <c r="DM1194" s="59"/>
      <c r="DN1194" s="59"/>
      <c r="DO1194" s="59"/>
      <c r="DP1194" s="59"/>
      <c r="DQ1194" s="59"/>
      <c r="DR1194" s="59"/>
      <c r="DS1194" s="59"/>
      <c r="DT1194" s="59"/>
      <c r="DU1194" s="59"/>
      <c r="DV1194" s="59"/>
      <c r="DW1194" s="59"/>
      <c r="DX1194" s="59"/>
      <c r="DY1194" s="59"/>
      <c r="DZ1194" s="59"/>
      <c r="EA1194" s="59"/>
      <c r="EB1194" s="59"/>
      <c r="EC1194" s="59"/>
      <c r="ED1194" s="59"/>
      <c r="EE1194" s="59"/>
      <c r="EF1194" s="59"/>
      <c r="EG1194" s="59"/>
      <c r="EH1194" s="59"/>
      <c r="EI1194" s="59"/>
      <c r="EJ1194" s="59"/>
      <c r="EK1194" s="59"/>
      <c r="EL1194" s="59"/>
      <c r="EM1194" s="59"/>
      <c r="EN1194" s="59"/>
      <c r="EO1194" s="59"/>
      <c r="EP1194" s="59"/>
      <c r="EQ1194" s="59"/>
      <c r="ER1194" s="59"/>
      <c r="ES1194" s="59"/>
      <c r="ET1194" s="59"/>
      <c r="EU1194" s="59"/>
      <c r="EV1194" s="59"/>
      <c r="EW1194" s="59"/>
      <c r="EX1194" s="59"/>
      <c r="EY1194" s="59"/>
      <c r="EZ1194" s="59"/>
      <c r="FA1194" s="59"/>
      <c r="FB1194" s="59"/>
      <c r="FC1194" s="59"/>
      <c r="FD1194" s="59"/>
      <c r="FE1194" s="59"/>
      <c r="FF1194" s="59"/>
      <c r="FG1194" s="59"/>
      <c r="FH1194" s="59"/>
      <c r="FI1194" s="59"/>
      <c r="FJ1194" s="59"/>
      <c r="FK1194" s="59"/>
      <c r="FL1194" s="59"/>
      <c r="FM1194" s="59"/>
      <c r="FN1194" s="59"/>
      <c r="FO1194" s="59"/>
      <c r="FP1194" s="59"/>
      <c r="FQ1194" s="59"/>
      <c r="FR1194" s="59"/>
      <c r="FS1194" s="59"/>
      <c r="FT1194" s="59"/>
      <c r="FU1194" s="59"/>
      <c r="FV1194" s="59"/>
      <c r="FW1194" s="59"/>
      <c r="FX1194" s="59"/>
      <c r="FY1194" s="59"/>
      <c r="FZ1194" s="59"/>
      <c r="GA1194" s="59"/>
      <c r="GB1194" s="59"/>
      <c r="GC1194" s="59"/>
    </row>
    <row r="1195">
      <c r="A1195" s="59"/>
      <c r="B1195" s="59"/>
      <c r="C1195" s="59"/>
      <c r="D1195" s="59"/>
      <c r="E1195" s="59"/>
      <c r="F1195" s="59"/>
      <c r="G1195" s="59"/>
      <c r="H1195" s="59"/>
      <c r="I1195" s="59"/>
      <c r="J1195" s="59"/>
      <c r="K1195" s="59"/>
      <c r="L1195" s="59"/>
      <c r="M1195" s="59"/>
      <c r="N1195" s="59"/>
      <c r="O1195" s="59"/>
      <c r="P1195" s="59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  <c r="AD1195" s="59"/>
      <c r="AE1195" s="59"/>
      <c r="AF1195" s="59"/>
      <c r="AG1195" s="59"/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59"/>
      <c r="BR1195" s="59"/>
      <c r="BS1195" s="59"/>
      <c r="BT1195" s="59"/>
      <c r="BU1195" s="59"/>
      <c r="BV1195" s="59"/>
      <c r="BW1195" s="59"/>
      <c r="BX1195" s="59"/>
      <c r="BY1195" s="59"/>
      <c r="BZ1195" s="59"/>
      <c r="CA1195" s="59"/>
      <c r="CB1195" s="59"/>
      <c r="CC1195" s="59"/>
      <c r="CD1195" s="59"/>
      <c r="CE1195" s="59"/>
      <c r="CF1195" s="59"/>
      <c r="CG1195" s="59"/>
      <c r="CH1195" s="59"/>
      <c r="CI1195" s="59"/>
      <c r="CJ1195" s="59"/>
      <c r="CK1195" s="59"/>
      <c r="CL1195" s="59"/>
      <c r="CM1195" s="59"/>
      <c r="CN1195" s="59"/>
      <c r="CO1195" s="59"/>
      <c r="CP1195" s="59"/>
      <c r="CQ1195" s="59"/>
      <c r="CR1195" s="59"/>
      <c r="CS1195" s="59"/>
      <c r="CT1195" s="59"/>
      <c r="CU1195" s="59"/>
      <c r="CV1195" s="59"/>
      <c r="CW1195" s="59"/>
      <c r="CX1195" s="59"/>
      <c r="CY1195" s="59"/>
      <c r="CZ1195" s="59"/>
      <c r="DA1195" s="59"/>
      <c r="DB1195" s="59"/>
      <c r="DC1195" s="59"/>
      <c r="DD1195" s="59"/>
      <c r="DE1195" s="59"/>
      <c r="DF1195" s="59"/>
      <c r="DG1195" s="59"/>
      <c r="DH1195" s="59"/>
      <c r="DI1195" s="59"/>
      <c r="DJ1195" s="59"/>
      <c r="DK1195" s="59"/>
      <c r="DL1195" s="59"/>
      <c r="DM1195" s="59"/>
      <c r="DN1195" s="59"/>
      <c r="DO1195" s="59"/>
      <c r="DP1195" s="59"/>
      <c r="DQ1195" s="59"/>
      <c r="DR1195" s="59"/>
      <c r="DS1195" s="59"/>
      <c r="DT1195" s="59"/>
      <c r="DU1195" s="59"/>
      <c r="DV1195" s="59"/>
      <c r="DW1195" s="59"/>
      <c r="DX1195" s="59"/>
      <c r="DY1195" s="59"/>
      <c r="DZ1195" s="59"/>
      <c r="EA1195" s="59"/>
      <c r="EB1195" s="59"/>
      <c r="EC1195" s="59"/>
      <c r="ED1195" s="59"/>
      <c r="EE1195" s="59"/>
      <c r="EF1195" s="59"/>
      <c r="EG1195" s="59"/>
      <c r="EH1195" s="59"/>
      <c r="EI1195" s="59"/>
      <c r="EJ1195" s="59"/>
      <c r="EK1195" s="59"/>
      <c r="EL1195" s="59"/>
      <c r="EM1195" s="59"/>
      <c r="EN1195" s="59"/>
      <c r="EO1195" s="59"/>
      <c r="EP1195" s="59"/>
      <c r="EQ1195" s="59"/>
      <c r="ER1195" s="59"/>
      <c r="ES1195" s="59"/>
      <c r="ET1195" s="59"/>
      <c r="EU1195" s="59"/>
      <c r="EV1195" s="59"/>
      <c r="EW1195" s="59"/>
      <c r="EX1195" s="59"/>
      <c r="EY1195" s="59"/>
      <c r="EZ1195" s="59"/>
      <c r="FA1195" s="59"/>
      <c r="FB1195" s="59"/>
      <c r="FC1195" s="59"/>
      <c r="FD1195" s="59"/>
      <c r="FE1195" s="59"/>
      <c r="FF1195" s="59"/>
      <c r="FG1195" s="59"/>
      <c r="FH1195" s="59"/>
      <c r="FI1195" s="59"/>
      <c r="FJ1195" s="59"/>
      <c r="FK1195" s="59"/>
      <c r="FL1195" s="59"/>
      <c r="FM1195" s="59"/>
      <c r="FN1195" s="59"/>
      <c r="FO1195" s="59"/>
      <c r="FP1195" s="59"/>
      <c r="FQ1195" s="59"/>
      <c r="FR1195" s="59"/>
      <c r="FS1195" s="59"/>
      <c r="FT1195" s="59"/>
      <c r="FU1195" s="59"/>
      <c r="FV1195" s="59"/>
      <c r="FW1195" s="59"/>
      <c r="FX1195" s="59"/>
      <c r="FY1195" s="59"/>
      <c r="FZ1195" s="59"/>
      <c r="GA1195" s="59"/>
      <c r="GB1195" s="59"/>
      <c r="GC1195" s="59"/>
    </row>
    <row r="1196">
      <c r="A1196" s="59"/>
      <c r="B1196" s="59"/>
      <c r="C1196" s="59"/>
      <c r="D1196" s="59"/>
      <c r="E1196" s="59"/>
      <c r="F1196" s="59"/>
      <c r="G1196" s="59"/>
      <c r="H1196" s="59"/>
      <c r="I1196" s="59"/>
      <c r="J1196" s="59"/>
      <c r="K1196" s="59"/>
      <c r="L1196" s="59"/>
      <c r="M1196" s="59"/>
      <c r="N1196" s="59"/>
      <c r="O1196" s="59"/>
      <c r="P1196" s="59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59"/>
      <c r="BR1196" s="59"/>
      <c r="BS1196" s="59"/>
      <c r="BT1196" s="59"/>
      <c r="BU1196" s="59"/>
      <c r="BV1196" s="59"/>
      <c r="BW1196" s="59"/>
      <c r="BX1196" s="59"/>
      <c r="BY1196" s="59"/>
      <c r="BZ1196" s="59"/>
      <c r="CA1196" s="59"/>
      <c r="CB1196" s="59"/>
      <c r="CC1196" s="59"/>
      <c r="CD1196" s="59"/>
      <c r="CE1196" s="59"/>
      <c r="CF1196" s="59"/>
      <c r="CG1196" s="59"/>
      <c r="CH1196" s="59"/>
      <c r="CI1196" s="59"/>
      <c r="CJ1196" s="59"/>
      <c r="CK1196" s="59"/>
      <c r="CL1196" s="59"/>
      <c r="CM1196" s="59"/>
      <c r="CN1196" s="59"/>
      <c r="CO1196" s="59"/>
      <c r="CP1196" s="59"/>
      <c r="CQ1196" s="59"/>
      <c r="CR1196" s="59"/>
      <c r="CS1196" s="59"/>
      <c r="CT1196" s="59"/>
      <c r="CU1196" s="59"/>
      <c r="CV1196" s="59"/>
      <c r="CW1196" s="59"/>
      <c r="CX1196" s="59"/>
      <c r="CY1196" s="59"/>
      <c r="CZ1196" s="59"/>
      <c r="DA1196" s="59"/>
      <c r="DB1196" s="59"/>
      <c r="DC1196" s="59"/>
      <c r="DD1196" s="59"/>
      <c r="DE1196" s="59"/>
      <c r="DF1196" s="59"/>
      <c r="DG1196" s="59"/>
      <c r="DH1196" s="59"/>
      <c r="DI1196" s="59"/>
      <c r="DJ1196" s="59"/>
      <c r="DK1196" s="59"/>
      <c r="DL1196" s="59"/>
      <c r="DM1196" s="59"/>
      <c r="DN1196" s="59"/>
      <c r="DO1196" s="59"/>
      <c r="DP1196" s="59"/>
      <c r="DQ1196" s="59"/>
      <c r="DR1196" s="59"/>
      <c r="DS1196" s="59"/>
      <c r="DT1196" s="59"/>
      <c r="DU1196" s="59"/>
      <c r="DV1196" s="59"/>
      <c r="DW1196" s="59"/>
      <c r="DX1196" s="59"/>
      <c r="DY1196" s="59"/>
      <c r="DZ1196" s="59"/>
      <c r="EA1196" s="59"/>
      <c r="EB1196" s="59"/>
      <c r="EC1196" s="59"/>
      <c r="ED1196" s="59"/>
      <c r="EE1196" s="59"/>
      <c r="EF1196" s="59"/>
      <c r="EG1196" s="59"/>
      <c r="EH1196" s="59"/>
      <c r="EI1196" s="59"/>
      <c r="EJ1196" s="59"/>
      <c r="EK1196" s="59"/>
      <c r="EL1196" s="59"/>
      <c r="EM1196" s="59"/>
      <c r="EN1196" s="59"/>
      <c r="EO1196" s="59"/>
      <c r="EP1196" s="59"/>
      <c r="EQ1196" s="59"/>
      <c r="ER1196" s="59"/>
      <c r="ES1196" s="59"/>
      <c r="ET1196" s="59"/>
      <c r="EU1196" s="59"/>
      <c r="EV1196" s="59"/>
      <c r="EW1196" s="59"/>
      <c r="EX1196" s="59"/>
      <c r="EY1196" s="59"/>
      <c r="EZ1196" s="59"/>
      <c r="FA1196" s="59"/>
      <c r="FB1196" s="59"/>
      <c r="FC1196" s="59"/>
      <c r="FD1196" s="59"/>
      <c r="FE1196" s="59"/>
      <c r="FF1196" s="59"/>
      <c r="FG1196" s="59"/>
      <c r="FH1196" s="59"/>
      <c r="FI1196" s="59"/>
      <c r="FJ1196" s="59"/>
      <c r="FK1196" s="59"/>
      <c r="FL1196" s="59"/>
      <c r="FM1196" s="59"/>
      <c r="FN1196" s="59"/>
      <c r="FO1196" s="59"/>
      <c r="FP1196" s="59"/>
      <c r="FQ1196" s="59"/>
      <c r="FR1196" s="59"/>
      <c r="FS1196" s="59"/>
      <c r="FT1196" s="59"/>
      <c r="FU1196" s="59"/>
      <c r="FV1196" s="59"/>
      <c r="FW1196" s="59"/>
      <c r="FX1196" s="59"/>
      <c r="FY1196" s="59"/>
      <c r="FZ1196" s="59"/>
      <c r="GA1196" s="59"/>
      <c r="GB1196" s="59"/>
      <c r="GC1196" s="59"/>
    </row>
    <row r="1197">
      <c r="A1197" s="59"/>
      <c r="B1197" s="59"/>
      <c r="C1197" s="59"/>
      <c r="D1197" s="59"/>
      <c r="E1197" s="59"/>
      <c r="F1197" s="59"/>
      <c r="G1197" s="59"/>
      <c r="H1197" s="59"/>
      <c r="I1197" s="59"/>
      <c r="J1197" s="59"/>
      <c r="K1197" s="59"/>
      <c r="L1197" s="59"/>
      <c r="M1197" s="59"/>
      <c r="N1197" s="59"/>
      <c r="O1197" s="59"/>
      <c r="P1197" s="59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  <c r="AD1197" s="59"/>
      <c r="AE1197" s="59"/>
      <c r="AF1197" s="59"/>
      <c r="AG1197" s="59"/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59"/>
      <c r="BR1197" s="59"/>
      <c r="BS1197" s="59"/>
      <c r="BT1197" s="59"/>
      <c r="BU1197" s="59"/>
      <c r="BV1197" s="59"/>
      <c r="BW1197" s="59"/>
      <c r="BX1197" s="59"/>
      <c r="BY1197" s="59"/>
      <c r="BZ1197" s="59"/>
      <c r="CA1197" s="59"/>
      <c r="CB1197" s="59"/>
      <c r="CC1197" s="59"/>
      <c r="CD1197" s="59"/>
      <c r="CE1197" s="59"/>
      <c r="CF1197" s="59"/>
      <c r="CG1197" s="59"/>
      <c r="CH1197" s="59"/>
      <c r="CI1197" s="59"/>
      <c r="CJ1197" s="59"/>
      <c r="CK1197" s="59"/>
      <c r="CL1197" s="59"/>
      <c r="CM1197" s="59"/>
      <c r="CN1197" s="59"/>
      <c r="CO1197" s="59"/>
      <c r="CP1197" s="59"/>
      <c r="CQ1197" s="59"/>
      <c r="CR1197" s="59"/>
      <c r="CS1197" s="59"/>
      <c r="CT1197" s="59"/>
      <c r="CU1197" s="59"/>
      <c r="CV1197" s="59"/>
      <c r="CW1197" s="59"/>
      <c r="CX1197" s="59"/>
      <c r="CY1197" s="59"/>
      <c r="CZ1197" s="59"/>
      <c r="DA1197" s="59"/>
      <c r="DB1197" s="59"/>
      <c r="DC1197" s="59"/>
      <c r="DD1197" s="59"/>
      <c r="DE1197" s="59"/>
      <c r="DF1197" s="59"/>
      <c r="DG1197" s="59"/>
      <c r="DH1197" s="59"/>
      <c r="DI1197" s="59"/>
      <c r="DJ1197" s="59"/>
      <c r="DK1197" s="59"/>
      <c r="DL1197" s="59"/>
      <c r="DM1197" s="59"/>
      <c r="DN1197" s="59"/>
      <c r="DO1197" s="59"/>
      <c r="DP1197" s="59"/>
      <c r="DQ1197" s="59"/>
      <c r="DR1197" s="59"/>
      <c r="DS1197" s="59"/>
      <c r="DT1197" s="59"/>
      <c r="DU1197" s="59"/>
      <c r="DV1197" s="59"/>
      <c r="DW1197" s="59"/>
      <c r="DX1197" s="59"/>
      <c r="DY1197" s="59"/>
      <c r="DZ1197" s="59"/>
      <c r="EA1197" s="59"/>
      <c r="EB1197" s="59"/>
      <c r="EC1197" s="59"/>
      <c r="ED1197" s="59"/>
      <c r="EE1197" s="59"/>
      <c r="EF1197" s="59"/>
      <c r="EG1197" s="59"/>
      <c r="EH1197" s="59"/>
      <c r="EI1197" s="59"/>
      <c r="EJ1197" s="59"/>
      <c r="EK1197" s="59"/>
      <c r="EL1197" s="59"/>
      <c r="EM1197" s="59"/>
      <c r="EN1197" s="59"/>
      <c r="EO1197" s="59"/>
      <c r="EP1197" s="59"/>
      <c r="EQ1197" s="59"/>
      <c r="ER1197" s="59"/>
      <c r="ES1197" s="59"/>
      <c r="ET1197" s="59"/>
      <c r="EU1197" s="59"/>
      <c r="EV1197" s="59"/>
      <c r="EW1197" s="59"/>
      <c r="EX1197" s="59"/>
      <c r="EY1197" s="59"/>
      <c r="EZ1197" s="59"/>
      <c r="FA1197" s="59"/>
      <c r="FB1197" s="59"/>
      <c r="FC1197" s="59"/>
      <c r="FD1197" s="59"/>
      <c r="FE1197" s="59"/>
      <c r="FF1197" s="59"/>
      <c r="FG1197" s="59"/>
      <c r="FH1197" s="59"/>
      <c r="FI1197" s="59"/>
      <c r="FJ1197" s="59"/>
      <c r="FK1197" s="59"/>
      <c r="FL1197" s="59"/>
      <c r="FM1197" s="59"/>
      <c r="FN1197" s="59"/>
      <c r="FO1197" s="59"/>
      <c r="FP1197" s="59"/>
      <c r="FQ1197" s="59"/>
      <c r="FR1197" s="59"/>
      <c r="FS1197" s="59"/>
      <c r="FT1197" s="59"/>
      <c r="FU1197" s="59"/>
      <c r="FV1197" s="59"/>
      <c r="FW1197" s="59"/>
      <c r="FX1197" s="59"/>
      <c r="FY1197" s="59"/>
      <c r="FZ1197" s="59"/>
      <c r="GA1197" s="59"/>
      <c r="GB1197" s="59"/>
      <c r="GC1197" s="59"/>
    </row>
    <row r="1198">
      <c r="A1198" s="59"/>
      <c r="B1198" s="59"/>
      <c r="C1198" s="59"/>
      <c r="D1198" s="59"/>
      <c r="E1198" s="59"/>
      <c r="F1198" s="59"/>
      <c r="G1198" s="59"/>
      <c r="H1198" s="59"/>
      <c r="I1198" s="59"/>
      <c r="J1198" s="59"/>
      <c r="K1198" s="59"/>
      <c r="L1198" s="59"/>
      <c r="M1198" s="59"/>
      <c r="N1198" s="59"/>
      <c r="O1198" s="59"/>
      <c r="P1198" s="59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59"/>
      <c r="BR1198" s="59"/>
      <c r="BS1198" s="59"/>
      <c r="BT1198" s="59"/>
      <c r="BU1198" s="59"/>
      <c r="BV1198" s="59"/>
      <c r="BW1198" s="59"/>
      <c r="BX1198" s="59"/>
      <c r="BY1198" s="59"/>
      <c r="BZ1198" s="59"/>
      <c r="CA1198" s="59"/>
      <c r="CB1198" s="59"/>
      <c r="CC1198" s="59"/>
      <c r="CD1198" s="59"/>
      <c r="CE1198" s="59"/>
      <c r="CF1198" s="59"/>
      <c r="CG1198" s="59"/>
      <c r="CH1198" s="59"/>
      <c r="CI1198" s="59"/>
      <c r="CJ1198" s="59"/>
      <c r="CK1198" s="59"/>
      <c r="CL1198" s="59"/>
      <c r="CM1198" s="59"/>
      <c r="CN1198" s="59"/>
      <c r="CO1198" s="59"/>
      <c r="CP1198" s="59"/>
      <c r="CQ1198" s="59"/>
      <c r="CR1198" s="59"/>
      <c r="CS1198" s="59"/>
      <c r="CT1198" s="59"/>
      <c r="CU1198" s="59"/>
      <c r="CV1198" s="59"/>
      <c r="CW1198" s="59"/>
      <c r="CX1198" s="59"/>
      <c r="CY1198" s="59"/>
      <c r="CZ1198" s="59"/>
      <c r="DA1198" s="59"/>
      <c r="DB1198" s="59"/>
      <c r="DC1198" s="59"/>
      <c r="DD1198" s="59"/>
      <c r="DE1198" s="59"/>
      <c r="DF1198" s="59"/>
      <c r="DG1198" s="59"/>
      <c r="DH1198" s="59"/>
      <c r="DI1198" s="59"/>
      <c r="DJ1198" s="59"/>
      <c r="DK1198" s="59"/>
      <c r="DL1198" s="59"/>
      <c r="DM1198" s="59"/>
      <c r="DN1198" s="59"/>
      <c r="DO1198" s="59"/>
      <c r="DP1198" s="59"/>
      <c r="DQ1198" s="59"/>
      <c r="DR1198" s="59"/>
      <c r="DS1198" s="59"/>
      <c r="DT1198" s="59"/>
      <c r="DU1198" s="59"/>
      <c r="DV1198" s="59"/>
      <c r="DW1198" s="59"/>
      <c r="DX1198" s="59"/>
      <c r="DY1198" s="59"/>
      <c r="DZ1198" s="59"/>
      <c r="EA1198" s="59"/>
      <c r="EB1198" s="59"/>
      <c r="EC1198" s="59"/>
      <c r="ED1198" s="59"/>
      <c r="EE1198" s="59"/>
      <c r="EF1198" s="59"/>
      <c r="EG1198" s="59"/>
      <c r="EH1198" s="59"/>
      <c r="EI1198" s="59"/>
      <c r="EJ1198" s="59"/>
      <c r="EK1198" s="59"/>
      <c r="EL1198" s="59"/>
      <c r="EM1198" s="59"/>
      <c r="EN1198" s="59"/>
      <c r="EO1198" s="59"/>
      <c r="EP1198" s="59"/>
      <c r="EQ1198" s="59"/>
      <c r="ER1198" s="59"/>
      <c r="ES1198" s="59"/>
      <c r="ET1198" s="59"/>
      <c r="EU1198" s="59"/>
      <c r="EV1198" s="59"/>
      <c r="EW1198" s="59"/>
      <c r="EX1198" s="59"/>
      <c r="EY1198" s="59"/>
      <c r="EZ1198" s="59"/>
      <c r="FA1198" s="59"/>
      <c r="FB1198" s="59"/>
      <c r="FC1198" s="59"/>
      <c r="FD1198" s="59"/>
      <c r="FE1198" s="59"/>
      <c r="FF1198" s="59"/>
      <c r="FG1198" s="59"/>
      <c r="FH1198" s="59"/>
      <c r="FI1198" s="59"/>
      <c r="FJ1198" s="59"/>
      <c r="FK1198" s="59"/>
      <c r="FL1198" s="59"/>
      <c r="FM1198" s="59"/>
      <c r="FN1198" s="59"/>
      <c r="FO1198" s="59"/>
      <c r="FP1198" s="59"/>
      <c r="FQ1198" s="59"/>
      <c r="FR1198" s="59"/>
      <c r="FS1198" s="59"/>
      <c r="FT1198" s="59"/>
      <c r="FU1198" s="59"/>
      <c r="FV1198" s="59"/>
      <c r="FW1198" s="59"/>
      <c r="FX1198" s="59"/>
      <c r="FY1198" s="59"/>
      <c r="FZ1198" s="59"/>
      <c r="GA1198" s="59"/>
      <c r="GB1198" s="59"/>
      <c r="GC1198" s="59"/>
    </row>
    <row r="1199">
      <c r="A1199" s="59"/>
      <c r="B1199" s="59"/>
      <c r="C1199" s="59"/>
      <c r="D1199" s="59"/>
      <c r="E1199" s="59"/>
      <c r="F1199" s="59"/>
      <c r="G1199" s="59"/>
      <c r="H1199" s="59"/>
      <c r="I1199" s="59"/>
      <c r="J1199" s="59"/>
      <c r="K1199" s="59"/>
      <c r="L1199" s="59"/>
      <c r="M1199" s="59"/>
      <c r="N1199" s="59"/>
      <c r="O1199" s="59"/>
      <c r="P1199" s="59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  <c r="AD1199" s="59"/>
      <c r="AE1199" s="59"/>
      <c r="AF1199" s="59"/>
      <c r="AG1199" s="59"/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59"/>
      <c r="BR1199" s="59"/>
      <c r="BS1199" s="59"/>
      <c r="BT1199" s="59"/>
      <c r="BU1199" s="59"/>
      <c r="BV1199" s="59"/>
      <c r="BW1199" s="59"/>
      <c r="BX1199" s="59"/>
      <c r="BY1199" s="59"/>
      <c r="BZ1199" s="59"/>
      <c r="CA1199" s="59"/>
      <c r="CB1199" s="59"/>
      <c r="CC1199" s="59"/>
      <c r="CD1199" s="59"/>
      <c r="CE1199" s="59"/>
      <c r="CF1199" s="59"/>
      <c r="CG1199" s="59"/>
      <c r="CH1199" s="59"/>
      <c r="CI1199" s="59"/>
      <c r="CJ1199" s="59"/>
      <c r="CK1199" s="59"/>
      <c r="CL1199" s="59"/>
      <c r="CM1199" s="59"/>
      <c r="CN1199" s="59"/>
      <c r="CO1199" s="59"/>
      <c r="CP1199" s="59"/>
      <c r="CQ1199" s="59"/>
      <c r="CR1199" s="59"/>
      <c r="CS1199" s="59"/>
      <c r="CT1199" s="59"/>
      <c r="CU1199" s="59"/>
      <c r="CV1199" s="59"/>
      <c r="CW1199" s="59"/>
      <c r="CX1199" s="59"/>
      <c r="CY1199" s="59"/>
      <c r="CZ1199" s="59"/>
      <c r="DA1199" s="59"/>
      <c r="DB1199" s="59"/>
      <c r="DC1199" s="59"/>
      <c r="DD1199" s="59"/>
      <c r="DE1199" s="59"/>
      <c r="DF1199" s="59"/>
      <c r="DG1199" s="59"/>
      <c r="DH1199" s="59"/>
      <c r="DI1199" s="59"/>
      <c r="DJ1199" s="59"/>
      <c r="DK1199" s="59"/>
      <c r="DL1199" s="59"/>
      <c r="DM1199" s="59"/>
      <c r="DN1199" s="59"/>
      <c r="DO1199" s="59"/>
      <c r="DP1199" s="59"/>
      <c r="DQ1199" s="59"/>
      <c r="DR1199" s="59"/>
      <c r="DS1199" s="59"/>
      <c r="DT1199" s="59"/>
      <c r="DU1199" s="59"/>
      <c r="DV1199" s="59"/>
      <c r="DW1199" s="59"/>
      <c r="DX1199" s="59"/>
      <c r="DY1199" s="59"/>
      <c r="DZ1199" s="59"/>
      <c r="EA1199" s="59"/>
      <c r="EB1199" s="59"/>
      <c r="EC1199" s="59"/>
      <c r="ED1199" s="59"/>
      <c r="EE1199" s="59"/>
      <c r="EF1199" s="59"/>
      <c r="EG1199" s="59"/>
      <c r="EH1199" s="59"/>
      <c r="EI1199" s="59"/>
      <c r="EJ1199" s="59"/>
      <c r="EK1199" s="59"/>
      <c r="EL1199" s="59"/>
      <c r="EM1199" s="59"/>
      <c r="EN1199" s="59"/>
      <c r="EO1199" s="59"/>
      <c r="EP1199" s="59"/>
      <c r="EQ1199" s="59"/>
      <c r="ER1199" s="59"/>
      <c r="ES1199" s="59"/>
      <c r="ET1199" s="59"/>
      <c r="EU1199" s="59"/>
      <c r="EV1199" s="59"/>
      <c r="EW1199" s="59"/>
      <c r="EX1199" s="59"/>
      <c r="EY1199" s="59"/>
      <c r="EZ1199" s="59"/>
      <c r="FA1199" s="59"/>
      <c r="FB1199" s="59"/>
      <c r="FC1199" s="59"/>
      <c r="FD1199" s="59"/>
      <c r="FE1199" s="59"/>
      <c r="FF1199" s="59"/>
      <c r="FG1199" s="59"/>
      <c r="FH1199" s="59"/>
      <c r="FI1199" s="59"/>
      <c r="FJ1199" s="59"/>
      <c r="FK1199" s="59"/>
      <c r="FL1199" s="59"/>
      <c r="FM1199" s="59"/>
      <c r="FN1199" s="59"/>
      <c r="FO1199" s="59"/>
      <c r="FP1199" s="59"/>
      <c r="FQ1199" s="59"/>
      <c r="FR1199" s="59"/>
      <c r="FS1199" s="59"/>
      <c r="FT1199" s="59"/>
      <c r="FU1199" s="59"/>
      <c r="FV1199" s="59"/>
      <c r="FW1199" s="59"/>
      <c r="FX1199" s="59"/>
      <c r="FY1199" s="59"/>
      <c r="FZ1199" s="59"/>
      <c r="GA1199" s="59"/>
      <c r="GB1199" s="59"/>
      <c r="GC1199" s="59"/>
    </row>
    <row r="1200">
      <c r="A1200" s="59"/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59"/>
      <c r="P1200" s="59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59"/>
      <c r="BR1200" s="59"/>
      <c r="BS1200" s="59"/>
      <c r="BT1200" s="59"/>
      <c r="BU1200" s="59"/>
      <c r="BV1200" s="59"/>
      <c r="BW1200" s="59"/>
      <c r="BX1200" s="59"/>
      <c r="BY1200" s="59"/>
      <c r="BZ1200" s="59"/>
      <c r="CA1200" s="59"/>
      <c r="CB1200" s="59"/>
      <c r="CC1200" s="59"/>
      <c r="CD1200" s="59"/>
      <c r="CE1200" s="59"/>
      <c r="CF1200" s="59"/>
      <c r="CG1200" s="59"/>
      <c r="CH1200" s="59"/>
      <c r="CI1200" s="59"/>
      <c r="CJ1200" s="59"/>
      <c r="CK1200" s="59"/>
      <c r="CL1200" s="59"/>
      <c r="CM1200" s="59"/>
      <c r="CN1200" s="59"/>
      <c r="CO1200" s="59"/>
      <c r="CP1200" s="59"/>
      <c r="CQ1200" s="59"/>
      <c r="CR1200" s="59"/>
      <c r="CS1200" s="59"/>
      <c r="CT1200" s="59"/>
      <c r="CU1200" s="59"/>
      <c r="CV1200" s="59"/>
      <c r="CW1200" s="59"/>
      <c r="CX1200" s="59"/>
      <c r="CY1200" s="59"/>
      <c r="CZ1200" s="59"/>
      <c r="DA1200" s="59"/>
      <c r="DB1200" s="59"/>
      <c r="DC1200" s="59"/>
      <c r="DD1200" s="59"/>
      <c r="DE1200" s="59"/>
      <c r="DF1200" s="59"/>
      <c r="DG1200" s="59"/>
      <c r="DH1200" s="59"/>
      <c r="DI1200" s="59"/>
      <c r="DJ1200" s="59"/>
      <c r="DK1200" s="59"/>
      <c r="DL1200" s="59"/>
      <c r="DM1200" s="59"/>
      <c r="DN1200" s="59"/>
      <c r="DO1200" s="59"/>
      <c r="DP1200" s="59"/>
      <c r="DQ1200" s="59"/>
      <c r="DR1200" s="59"/>
      <c r="DS1200" s="59"/>
      <c r="DT1200" s="59"/>
      <c r="DU1200" s="59"/>
      <c r="DV1200" s="59"/>
      <c r="DW1200" s="59"/>
      <c r="DX1200" s="59"/>
      <c r="DY1200" s="59"/>
      <c r="DZ1200" s="59"/>
      <c r="EA1200" s="59"/>
      <c r="EB1200" s="59"/>
      <c r="EC1200" s="59"/>
      <c r="ED1200" s="59"/>
      <c r="EE1200" s="59"/>
      <c r="EF1200" s="59"/>
      <c r="EG1200" s="59"/>
      <c r="EH1200" s="59"/>
      <c r="EI1200" s="59"/>
      <c r="EJ1200" s="59"/>
      <c r="EK1200" s="59"/>
      <c r="EL1200" s="59"/>
      <c r="EM1200" s="59"/>
      <c r="EN1200" s="59"/>
      <c r="EO1200" s="59"/>
      <c r="EP1200" s="59"/>
      <c r="EQ1200" s="59"/>
      <c r="ER1200" s="59"/>
      <c r="ES1200" s="59"/>
      <c r="ET1200" s="59"/>
      <c r="EU1200" s="59"/>
      <c r="EV1200" s="59"/>
      <c r="EW1200" s="59"/>
      <c r="EX1200" s="59"/>
      <c r="EY1200" s="59"/>
      <c r="EZ1200" s="59"/>
      <c r="FA1200" s="59"/>
      <c r="FB1200" s="59"/>
      <c r="FC1200" s="59"/>
      <c r="FD1200" s="59"/>
      <c r="FE1200" s="59"/>
      <c r="FF1200" s="59"/>
      <c r="FG1200" s="59"/>
      <c r="FH1200" s="59"/>
      <c r="FI1200" s="59"/>
      <c r="FJ1200" s="59"/>
      <c r="FK1200" s="59"/>
      <c r="FL1200" s="59"/>
      <c r="FM1200" s="59"/>
      <c r="FN1200" s="59"/>
      <c r="FO1200" s="59"/>
      <c r="FP1200" s="59"/>
      <c r="FQ1200" s="59"/>
      <c r="FR1200" s="59"/>
      <c r="FS1200" s="59"/>
      <c r="FT1200" s="59"/>
      <c r="FU1200" s="59"/>
      <c r="FV1200" s="59"/>
      <c r="FW1200" s="59"/>
      <c r="FX1200" s="59"/>
      <c r="FY1200" s="59"/>
      <c r="FZ1200" s="59"/>
      <c r="GA1200" s="59"/>
      <c r="GB1200" s="59"/>
      <c r="GC1200" s="59"/>
    </row>
    <row r="1201">
      <c r="A1201" s="59"/>
      <c r="B1201" s="59"/>
      <c r="C1201" s="59"/>
      <c r="D1201" s="59"/>
      <c r="E1201" s="59"/>
      <c r="F1201" s="59"/>
      <c r="G1201" s="59"/>
      <c r="H1201" s="59"/>
      <c r="I1201" s="59"/>
      <c r="J1201" s="59"/>
      <c r="K1201" s="59"/>
      <c r="L1201" s="59"/>
      <c r="M1201" s="59"/>
      <c r="N1201" s="59"/>
      <c r="O1201" s="59"/>
      <c r="P1201" s="59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  <c r="AA1201" s="59"/>
      <c r="AB1201" s="59"/>
      <c r="AC1201" s="59"/>
      <c r="AD1201" s="59"/>
      <c r="AE1201" s="59"/>
      <c r="AF1201" s="59"/>
      <c r="AG1201" s="59"/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59"/>
      <c r="BR1201" s="59"/>
      <c r="BS1201" s="59"/>
      <c r="BT1201" s="59"/>
      <c r="BU1201" s="59"/>
      <c r="BV1201" s="59"/>
      <c r="BW1201" s="59"/>
      <c r="BX1201" s="59"/>
      <c r="BY1201" s="59"/>
      <c r="BZ1201" s="59"/>
      <c r="CA1201" s="59"/>
      <c r="CB1201" s="59"/>
      <c r="CC1201" s="59"/>
      <c r="CD1201" s="59"/>
      <c r="CE1201" s="59"/>
      <c r="CF1201" s="59"/>
      <c r="CG1201" s="59"/>
      <c r="CH1201" s="59"/>
      <c r="CI1201" s="59"/>
      <c r="CJ1201" s="59"/>
      <c r="CK1201" s="59"/>
      <c r="CL1201" s="59"/>
      <c r="CM1201" s="59"/>
      <c r="CN1201" s="59"/>
      <c r="CO1201" s="59"/>
      <c r="CP1201" s="59"/>
      <c r="CQ1201" s="59"/>
      <c r="CR1201" s="59"/>
      <c r="CS1201" s="59"/>
      <c r="CT1201" s="59"/>
      <c r="CU1201" s="59"/>
      <c r="CV1201" s="59"/>
      <c r="CW1201" s="59"/>
      <c r="CX1201" s="59"/>
      <c r="CY1201" s="59"/>
      <c r="CZ1201" s="59"/>
      <c r="DA1201" s="59"/>
      <c r="DB1201" s="59"/>
      <c r="DC1201" s="59"/>
      <c r="DD1201" s="59"/>
      <c r="DE1201" s="59"/>
      <c r="DF1201" s="59"/>
      <c r="DG1201" s="59"/>
      <c r="DH1201" s="59"/>
      <c r="DI1201" s="59"/>
      <c r="DJ1201" s="59"/>
      <c r="DK1201" s="59"/>
      <c r="DL1201" s="59"/>
      <c r="DM1201" s="59"/>
      <c r="DN1201" s="59"/>
      <c r="DO1201" s="59"/>
      <c r="DP1201" s="59"/>
      <c r="DQ1201" s="59"/>
      <c r="DR1201" s="59"/>
      <c r="DS1201" s="59"/>
      <c r="DT1201" s="59"/>
      <c r="DU1201" s="59"/>
      <c r="DV1201" s="59"/>
      <c r="DW1201" s="59"/>
      <c r="DX1201" s="59"/>
      <c r="DY1201" s="59"/>
      <c r="DZ1201" s="59"/>
      <c r="EA1201" s="59"/>
      <c r="EB1201" s="59"/>
      <c r="EC1201" s="59"/>
      <c r="ED1201" s="59"/>
      <c r="EE1201" s="59"/>
      <c r="EF1201" s="59"/>
      <c r="EG1201" s="59"/>
      <c r="EH1201" s="59"/>
      <c r="EI1201" s="59"/>
      <c r="EJ1201" s="59"/>
      <c r="EK1201" s="59"/>
      <c r="EL1201" s="59"/>
      <c r="EM1201" s="59"/>
      <c r="EN1201" s="59"/>
      <c r="EO1201" s="59"/>
      <c r="EP1201" s="59"/>
      <c r="EQ1201" s="59"/>
      <c r="ER1201" s="59"/>
      <c r="ES1201" s="59"/>
      <c r="ET1201" s="59"/>
      <c r="EU1201" s="59"/>
      <c r="EV1201" s="59"/>
      <c r="EW1201" s="59"/>
      <c r="EX1201" s="59"/>
      <c r="EY1201" s="59"/>
      <c r="EZ1201" s="59"/>
      <c r="FA1201" s="59"/>
      <c r="FB1201" s="59"/>
      <c r="FC1201" s="59"/>
      <c r="FD1201" s="59"/>
      <c r="FE1201" s="59"/>
      <c r="FF1201" s="59"/>
      <c r="FG1201" s="59"/>
      <c r="FH1201" s="59"/>
      <c r="FI1201" s="59"/>
      <c r="FJ1201" s="59"/>
      <c r="FK1201" s="59"/>
      <c r="FL1201" s="59"/>
      <c r="FM1201" s="59"/>
      <c r="FN1201" s="59"/>
      <c r="FO1201" s="59"/>
      <c r="FP1201" s="59"/>
      <c r="FQ1201" s="59"/>
      <c r="FR1201" s="59"/>
      <c r="FS1201" s="59"/>
      <c r="FT1201" s="59"/>
      <c r="FU1201" s="59"/>
      <c r="FV1201" s="59"/>
      <c r="FW1201" s="59"/>
      <c r="FX1201" s="59"/>
      <c r="FY1201" s="59"/>
      <c r="FZ1201" s="59"/>
      <c r="GA1201" s="59"/>
      <c r="GB1201" s="59"/>
      <c r="GC1201" s="59"/>
    </row>
    <row r="1202">
      <c r="A1202" s="59"/>
      <c r="B1202" s="59"/>
      <c r="C1202" s="59"/>
      <c r="D1202" s="59"/>
      <c r="E1202" s="59"/>
      <c r="F1202" s="59"/>
      <c r="G1202" s="59"/>
      <c r="H1202" s="59"/>
      <c r="I1202" s="59"/>
      <c r="J1202" s="59"/>
      <c r="K1202" s="59"/>
      <c r="L1202" s="59"/>
      <c r="M1202" s="59"/>
      <c r="N1202" s="59"/>
      <c r="O1202" s="59"/>
      <c r="P1202" s="59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59"/>
      <c r="BR1202" s="59"/>
      <c r="BS1202" s="59"/>
      <c r="BT1202" s="59"/>
      <c r="BU1202" s="59"/>
      <c r="BV1202" s="59"/>
      <c r="BW1202" s="59"/>
      <c r="BX1202" s="59"/>
      <c r="BY1202" s="59"/>
      <c r="BZ1202" s="59"/>
      <c r="CA1202" s="59"/>
      <c r="CB1202" s="59"/>
      <c r="CC1202" s="59"/>
      <c r="CD1202" s="59"/>
      <c r="CE1202" s="59"/>
      <c r="CF1202" s="59"/>
      <c r="CG1202" s="59"/>
      <c r="CH1202" s="59"/>
      <c r="CI1202" s="59"/>
      <c r="CJ1202" s="59"/>
      <c r="CK1202" s="59"/>
      <c r="CL1202" s="59"/>
      <c r="CM1202" s="59"/>
      <c r="CN1202" s="59"/>
      <c r="CO1202" s="59"/>
      <c r="CP1202" s="59"/>
      <c r="CQ1202" s="59"/>
      <c r="CR1202" s="59"/>
      <c r="CS1202" s="59"/>
      <c r="CT1202" s="59"/>
      <c r="CU1202" s="59"/>
      <c r="CV1202" s="59"/>
      <c r="CW1202" s="59"/>
      <c r="CX1202" s="59"/>
      <c r="CY1202" s="59"/>
      <c r="CZ1202" s="59"/>
      <c r="DA1202" s="59"/>
      <c r="DB1202" s="59"/>
      <c r="DC1202" s="59"/>
      <c r="DD1202" s="59"/>
      <c r="DE1202" s="59"/>
      <c r="DF1202" s="59"/>
      <c r="DG1202" s="59"/>
      <c r="DH1202" s="59"/>
      <c r="DI1202" s="59"/>
      <c r="DJ1202" s="59"/>
      <c r="DK1202" s="59"/>
      <c r="DL1202" s="59"/>
      <c r="DM1202" s="59"/>
      <c r="DN1202" s="59"/>
      <c r="DO1202" s="59"/>
      <c r="DP1202" s="59"/>
      <c r="DQ1202" s="59"/>
      <c r="DR1202" s="59"/>
      <c r="DS1202" s="59"/>
      <c r="DT1202" s="59"/>
      <c r="DU1202" s="59"/>
      <c r="DV1202" s="59"/>
      <c r="DW1202" s="59"/>
      <c r="DX1202" s="59"/>
      <c r="DY1202" s="59"/>
      <c r="DZ1202" s="59"/>
      <c r="EA1202" s="59"/>
      <c r="EB1202" s="59"/>
      <c r="EC1202" s="59"/>
      <c r="ED1202" s="59"/>
      <c r="EE1202" s="59"/>
      <c r="EF1202" s="59"/>
      <c r="EG1202" s="59"/>
      <c r="EH1202" s="59"/>
      <c r="EI1202" s="59"/>
      <c r="EJ1202" s="59"/>
      <c r="EK1202" s="59"/>
      <c r="EL1202" s="59"/>
      <c r="EM1202" s="59"/>
      <c r="EN1202" s="59"/>
      <c r="EO1202" s="59"/>
      <c r="EP1202" s="59"/>
      <c r="EQ1202" s="59"/>
      <c r="ER1202" s="59"/>
      <c r="ES1202" s="59"/>
      <c r="ET1202" s="59"/>
      <c r="EU1202" s="59"/>
      <c r="EV1202" s="59"/>
      <c r="EW1202" s="59"/>
      <c r="EX1202" s="59"/>
      <c r="EY1202" s="59"/>
      <c r="EZ1202" s="59"/>
      <c r="FA1202" s="59"/>
      <c r="FB1202" s="59"/>
      <c r="FC1202" s="59"/>
      <c r="FD1202" s="59"/>
      <c r="FE1202" s="59"/>
      <c r="FF1202" s="59"/>
      <c r="FG1202" s="59"/>
      <c r="FH1202" s="59"/>
      <c r="FI1202" s="59"/>
      <c r="FJ1202" s="59"/>
      <c r="FK1202" s="59"/>
      <c r="FL1202" s="59"/>
      <c r="FM1202" s="59"/>
      <c r="FN1202" s="59"/>
      <c r="FO1202" s="59"/>
      <c r="FP1202" s="59"/>
      <c r="FQ1202" s="59"/>
      <c r="FR1202" s="59"/>
      <c r="FS1202" s="59"/>
      <c r="FT1202" s="59"/>
      <c r="FU1202" s="59"/>
      <c r="FV1202" s="59"/>
      <c r="FW1202" s="59"/>
      <c r="FX1202" s="59"/>
      <c r="FY1202" s="59"/>
      <c r="FZ1202" s="59"/>
      <c r="GA1202" s="59"/>
      <c r="GB1202" s="59"/>
      <c r="GC1202" s="59"/>
    </row>
    <row r="1203">
      <c r="A1203" s="59"/>
      <c r="B1203" s="59"/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  <c r="O1203" s="59"/>
      <c r="P1203" s="59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  <c r="AD1203" s="59"/>
      <c r="AE1203" s="59"/>
      <c r="AF1203" s="59"/>
      <c r="AG1203" s="59"/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59"/>
      <c r="BR1203" s="59"/>
      <c r="BS1203" s="59"/>
      <c r="BT1203" s="59"/>
      <c r="BU1203" s="59"/>
      <c r="BV1203" s="59"/>
      <c r="BW1203" s="59"/>
      <c r="BX1203" s="59"/>
      <c r="BY1203" s="59"/>
      <c r="BZ1203" s="59"/>
      <c r="CA1203" s="59"/>
      <c r="CB1203" s="59"/>
      <c r="CC1203" s="59"/>
      <c r="CD1203" s="59"/>
      <c r="CE1203" s="59"/>
      <c r="CF1203" s="59"/>
      <c r="CG1203" s="59"/>
      <c r="CH1203" s="59"/>
      <c r="CI1203" s="59"/>
      <c r="CJ1203" s="59"/>
      <c r="CK1203" s="59"/>
      <c r="CL1203" s="59"/>
      <c r="CM1203" s="59"/>
      <c r="CN1203" s="59"/>
      <c r="CO1203" s="59"/>
      <c r="CP1203" s="59"/>
      <c r="CQ1203" s="59"/>
      <c r="CR1203" s="59"/>
      <c r="CS1203" s="59"/>
      <c r="CT1203" s="59"/>
      <c r="CU1203" s="59"/>
      <c r="CV1203" s="59"/>
      <c r="CW1203" s="59"/>
      <c r="CX1203" s="59"/>
      <c r="CY1203" s="59"/>
      <c r="CZ1203" s="59"/>
      <c r="DA1203" s="59"/>
      <c r="DB1203" s="59"/>
      <c r="DC1203" s="59"/>
      <c r="DD1203" s="59"/>
      <c r="DE1203" s="59"/>
      <c r="DF1203" s="59"/>
      <c r="DG1203" s="59"/>
      <c r="DH1203" s="59"/>
      <c r="DI1203" s="59"/>
      <c r="DJ1203" s="59"/>
      <c r="DK1203" s="59"/>
      <c r="DL1203" s="59"/>
      <c r="DM1203" s="59"/>
      <c r="DN1203" s="59"/>
      <c r="DO1203" s="59"/>
      <c r="DP1203" s="59"/>
      <c r="DQ1203" s="59"/>
      <c r="DR1203" s="59"/>
      <c r="DS1203" s="59"/>
      <c r="DT1203" s="59"/>
      <c r="DU1203" s="59"/>
      <c r="DV1203" s="59"/>
      <c r="DW1203" s="59"/>
      <c r="DX1203" s="59"/>
      <c r="DY1203" s="59"/>
      <c r="DZ1203" s="59"/>
      <c r="EA1203" s="59"/>
      <c r="EB1203" s="59"/>
      <c r="EC1203" s="59"/>
      <c r="ED1203" s="59"/>
      <c r="EE1203" s="59"/>
      <c r="EF1203" s="59"/>
      <c r="EG1203" s="59"/>
      <c r="EH1203" s="59"/>
      <c r="EI1203" s="59"/>
      <c r="EJ1203" s="59"/>
      <c r="EK1203" s="59"/>
      <c r="EL1203" s="59"/>
      <c r="EM1203" s="59"/>
      <c r="EN1203" s="59"/>
      <c r="EO1203" s="59"/>
      <c r="EP1203" s="59"/>
      <c r="EQ1203" s="59"/>
      <c r="ER1203" s="59"/>
      <c r="ES1203" s="59"/>
      <c r="ET1203" s="59"/>
      <c r="EU1203" s="59"/>
      <c r="EV1203" s="59"/>
      <c r="EW1203" s="59"/>
      <c r="EX1203" s="59"/>
      <c r="EY1203" s="59"/>
      <c r="EZ1203" s="59"/>
      <c r="FA1203" s="59"/>
      <c r="FB1203" s="59"/>
      <c r="FC1203" s="59"/>
      <c r="FD1203" s="59"/>
      <c r="FE1203" s="59"/>
      <c r="FF1203" s="59"/>
      <c r="FG1203" s="59"/>
      <c r="FH1203" s="59"/>
      <c r="FI1203" s="59"/>
      <c r="FJ1203" s="59"/>
      <c r="FK1203" s="59"/>
      <c r="FL1203" s="59"/>
      <c r="FM1203" s="59"/>
      <c r="FN1203" s="59"/>
      <c r="FO1203" s="59"/>
      <c r="FP1203" s="59"/>
      <c r="FQ1203" s="59"/>
      <c r="FR1203" s="59"/>
      <c r="FS1203" s="59"/>
      <c r="FT1203" s="59"/>
      <c r="FU1203" s="59"/>
      <c r="FV1203" s="59"/>
      <c r="FW1203" s="59"/>
      <c r="FX1203" s="59"/>
      <c r="FY1203" s="59"/>
      <c r="FZ1203" s="59"/>
      <c r="GA1203" s="59"/>
      <c r="GB1203" s="59"/>
      <c r="GC1203" s="59"/>
    </row>
    <row r="1204">
      <c r="A1204" s="59"/>
      <c r="B1204" s="59"/>
      <c r="C1204" s="59"/>
      <c r="D1204" s="59"/>
      <c r="E1204" s="59"/>
      <c r="F1204" s="59"/>
      <c r="G1204" s="59"/>
      <c r="H1204" s="59"/>
      <c r="I1204" s="59"/>
      <c r="J1204" s="59"/>
      <c r="K1204" s="59"/>
      <c r="L1204" s="59"/>
      <c r="M1204" s="59"/>
      <c r="N1204" s="59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59"/>
      <c r="BR1204" s="59"/>
      <c r="BS1204" s="59"/>
      <c r="BT1204" s="59"/>
      <c r="BU1204" s="59"/>
      <c r="BV1204" s="59"/>
      <c r="BW1204" s="59"/>
      <c r="BX1204" s="59"/>
      <c r="BY1204" s="59"/>
      <c r="BZ1204" s="59"/>
      <c r="CA1204" s="59"/>
      <c r="CB1204" s="59"/>
      <c r="CC1204" s="59"/>
      <c r="CD1204" s="59"/>
      <c r="CE1204" s="59"/>
      <c r="CF1204" s="59"/>
      <c r="CG1204" s="59"/>
      <c r="CH1204" s="59"/>
      <c r="CI1204" s="59"/>
      <c r="CJ1204" s="59"/>
      <c r="CK1204" s="59"/>
      <c r="CL1204" s="59"/>
      <c r="CM1204" s="59"/>
      <c r="CN1204" s="59"/>
      <c r="CO1204" s="59"/>
      <c r="CP1204" s="59"/>
      <c r="CQ1204" s="59"/>
      <c r="CR1204" s="59"/>
      <c r="CS1204" s="59"/>
      <c r="CT1204" s="59"/>
      <c r="CU1204" s="59"/>
      <c r="CV1204" s="59"/>
      <c r="CW1204" s="59"/>
      <c r="CX1204" s="59"/>
      <c r="CY1204" s="59"/>
      <c r="CZ1204" s="59"/>
      <c r="DA1204" s="59"/>
      <c r="DB1204" s="59"/>
      <c r="DC1204" s="59"/>
      <c r="DD1204" s="59"/>
      <c r="DE1204" s="59"/>
      <c r="DF1204" s="59"/>
      <c r="DG1204" s="59"/>
      <c r="DH1204" s="59"/>
      <c r="DI1204" s="59"/>
      <c r="DJ1204" s="59"/>
      <c r="DK1204" s="59"/>
      <c r="DL1204" s="59"/>
      <c r="DM1204" s="59"/>
      <c r="DN1204" s="59"/>
      <c r="DO1204" s="59"/>
      <c r="DP1204" s="59"/>
      <c r="DQ1204" s="59"/>
      <c r="DR1204" s="59"/>
      <c r="DS1204" s="59"/>
      <c r="DT1204" s="59"/>
      <c r="DU1204" s="59"/>
      <c r="DV1204" s="59"/>
      <c r="DW1204" s="59"/>
      <c r="DX1204" s="59"/>
      <c r="DY1204" s="59"/>
      <c r="DZ1204" s="59"/>
      <c r="EA1204" s="59"/>
      <c r="EB1204" s="59"/>
      <c r="EC1204" s="59"/>
      <c r="ED1204" s="59"/>
      <c r="EE1204" s="59"/>
      <c r="EF1204" s="59"/>
      <c r="EG1204" s="59"/>
      <c r="EH1204" s="59"/>
      <c r="EI1204" s="59"/>
      <c r="EJ1204" s="59"/>
      <c r="EK1204" s="59"/>
      <c r="EL1204" s="59"/>
      <c r="EM1204" s="59"/>
      <c r="EN1204" s="59"/>
      <c r="EO1204" s="59"/>
      <c r="EP1204" s="59"/>
      <c r="EQ1204" s="59"/>
      <c r="ER1204" s="59"/>
      <c r="ES1204" s="59"/>
      <c r="ET1204" s="59"/>
      <c r="EU1204" s="59"/>
      <c r="EV1204" s="59"/>
      <c r="EW1204" s="59"/>
      <c r="EX1204" s="59"/>
      <c r="EY1204" s="59"/>
      <c r="EZ1204" s="59"/>
      <c r="FA1204" s="59"/>
      <c r="FB1204" s="59"/>
      <c r="FC1204" s="59"/>
      <c r="FD1204" s="59"/>
      <c r="FE1204" s="59"/>
      <c r="FF1204" s="59"/>
      <c r="FG1204" s="59"/>
      <c r="FH1204" s="59"/>
      <c r="FI1204" s="59"/>
      <c r="FJ1204" s="59"/>
      <c r="FK1204" s="59"/>
      <c r="FL1204" s="59"/>
      <c r="FM1204" s="59"/>
      <c r="FN1204" s="59"/>
      <c r="FO1204" s="59"/>
      <c r="FP1204" s="59"/>
      <c r="FQ1204" s="59"/>
      <c r="FR1204" s="59"/>
      <c r="FS1204" s="59"/>
      <c r="FT1204" s="59"/>
      <c r="FU1204" s="59"/>
      <c r="FV1204" s="59"/>
      <c r="FW1204" s="59"/>
      <c r="FX1204" s="59"/>
      <c r="FY1204" s="59"/>
      <c r="FZ1204" s="59"/>
      <c r="GA1204" s="59"/>
      <c r="GB1204" s="59"/>
      <c r="GC1204" s="59"/>
    </row>
    <row r="1205">
      <c r="A1205" s="59"/>
      <c r="B1205" s="59"/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  <c r="O1205" s="59"/>
      <c r="P1205" s="59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59"/>
      <c r="AE1205" s="59"/>
      <c r="AF1205" s="59"/>
      <c r="AG1205" s="59"/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59"/>
      <c r="BR1205" s="59"/>
      <c r="BS1205" s="59"/>
      <c r="BT1205" s="59"/>
      <c r="BU1205" s="59"/>
      <c r="BV1205" s="59"/>
      <c r="BW1205" s="59"/>
      <c r="BX1205" s="59"/>
      <c r="BY1205" s="59"/>
      <c r="BZ1205" s="59"/>
      <c r="CA1205" s="59"/>
      <c r="CB1205" s="59"/>
      <c r="CC1205" s="59"/>
      <c r="CD1205" s="59"/>
      <c r="CE1205" s="59"/>
      <c r="CF1205" s="59"/>
      <c r="CG1205" s="59"/>
      <c r="CH1205" s="59"/>
      <c r="CI1205" s="59"/>
      <c r="CJ1205" s="59"/>
      <c r="CK1205" s="59"/>
      <c r="CL1205" s="59"/>
      <c r="CM1205" s="59"/>
      <c r="CN1205" s="59"/>
      <c r="CO1205" s="59"/>
      <c r="CP1205" s="59"/>
      <c r="CQ1205" s="59"/>
      <c r="CR1205" s="59"/>
      <c r="CS1205" s="59"/>
      <c r="CT1205" s="59"/>
      <c r="CU1205" s="59"/>
      <c r="CV1205" s="59"/>
      <c r="CW1205" s="59"/>
      <c r="CX1205" s="59"/>
      <c r="CY1205" s="59"/>
      <c r="CZ1205" s="59"/>
      <c r="DA1205" s="59"/>
      <c r="DB1205" s="59"/>
      <c r="DC1205" s="59"/>
      <c r="DD1205" s="59"/>
      <c r="DE1205" s="59"/>
      <c r="DF1205" s="59"/>
      <c r="DG1205" s="59"/>
      <c r="DH1205" s="59"/>
      <c r="DI1205" s="59"/>
      <c r="DJ1205" s="59"/>
      <c r="DK1205" s="59"/>
      <c r="DL1205" s="59"/>
      <c r="DM1205" s="59"/>
      <c r="DN1205" s="59"/>
      <c r="DO1205" s="59"/>
      <c r="DP1205" s="59"/>
      <c r="DQ1205" s="59"/>
      <c r="DR1205" s="59"/>
      <c r="DS1205" s="59"/>
      <c r="DT1205" s="59"/>
      <c r="DU1205" s="59"/>
      <c r="DV1205" s="59"/>
      <c r="DW1205" s="59"/>
      <c r="DX1205" s="59"/>
      <c r="DY1205" s="59"/>
      <c r="DZ1205" s="59"/>
      <c r="EA1205" s="59"/>
      <c r="EB1205" s="59"/>
      <c r="EC1205" s="59"/>
      <c r="ED1205" s="59"/>
      <c r="EE1205" s="59"/>
      <c r="EF1205" s="59"/>
      <c r="EG1205" s="59"/>
      <c r="EH1205" s="59"/>
      <c r="EI1205" s="59"/>
      <c r="EJ1205" s="59"/>
      <c r="EK1205" s="59"/>
      <c r="EL1205" s="59"/>
      <c r="EM1205" s="59"/>
      <c r="EN1205" s="59"/>
      <c r="EO1205" s="59"/>
      <c r="EP1205" s="59"/>
      <c r="EQ1205" s="59"/>
      <c r="ER1205" s="59"/>
      <c r="ES1205" s="59"/>
      <c r="ET1205" s="59"/>
      <c r="EU1205" s="59"/>
      <c r="EV1205" s="59"/>
      <c r="EW1205" s="59"/>
      <c r="EX1205" s="59"/>
      <c r="EY1205" s="59"/>
      <c r="EZ1205" s="59"/>
      <c r="FA1205" s="59"/>
      <c r="FB1205" s="59"/>
      <c r="FC1205" s="59"/>
      <c r="FD1205" s="59"/>
      <c r="FE1205" s="59"/>
      <c r="FF1205" s="59"/>
      <c r="FG1205" s="59"/>
      <c r="FH1205" s="59"/>
      <c r="FI1205" s="59"/>
      <c r="FJ1205" s="59"/>
      <c r="FK1205" s="59"/>
      <c r="FL1205" s="59"/>
      <c r="FM1205" s="59"/>
      <c r="FN1205" s="59"/>
      <c r="FO1205" s="59"/>
      <c r="FP1205" s="59"/>
      <c r="FQ1205" s="59"/>
      <c r="FR1205" s="59"/>
      <c r="FS1205" s="59"/>
      <c r="FT1205" s="59"/>
      <c r="FU1205" s="59"/>
      <c r="FV1205" s="59"/>
      <c r="FW1205" s="59"/>
      <c r="FX1205" s="59"/>
      <c r="FY1205" s="59"/>
      <c r="FZ1205" s="59"/>
      <c r="GA1205" s="59"/>
      <c r="GB1205" s="59"/>
      <c r="GC1205" s="59"/>
    </row>
    <row r="1206">
      <c r="A1206" s="59"/>
      <c r="B1206" s="59"/>
      <c r="C1206" s="59"/>
      <c r="D1206" s="59"/>
      <c r="E1206" s="59"/>
      <c r="F1206" s="59"/>
      <c r="G1206" s="59"/>
      <c r="H1206" s="59"/>
      <c r="I1206" s="59"/>
      <c r="J1206" s="59"/>
      <c r="K1206" s="59"/>
      <c r="L1206" s="59"/>
      <c r="M1206" s="59"/>
      <c r="N1206" s="59"/>
      <c r="O1206" s="59"/>
      <c r="P1206" s="59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59"/>
      <c r="BR1206" s="59"/>
      <c r="BS1206" s="59"/>
      <c r="BT1206" s="59"/>
      <c r="BU1206" s="59"/>
      <c r="BV1206" s="59"/>
      <c r="BW1206" s="59"/>
      <c r="BX1206" s="59"/>
      <c r="BY1206" s="59"/>
      <c r="BZ1206" s="59"/>
      <c r="CA1206" s="59"/>
      <c r="CB1206" s="59"/>
      <c r="CC1206" s="59"/>
      <c r="CD1206" s="59"/>
      <c r="CE1206" s="59"/>
      <c r="CF1206" s="59"/>
      <c r="CG1206" s="59"/>
      <c r="CH1206" s="59"/>
      <c r="CI1206" s="59"/>
      <c r="CJ1206" s="59"/>
      <c r="CK1206" s="59"/>
      <c r="CL1206" s="59"/>
      <c r="CM1206" s="59"/>
      <c r="CN1206" s="59"/>
      <c r="CO1206" s="59"/>
      <c r="CP1206" s="59"/>
      <c r="CQ1206" s="59"/>
      <c r="CR1206" s="59"/>
      <c r="CS1206" s="59"/>
      <c r="CT1206" s="59"/>
      <c r="CU1206" s="59"/>
      <c r="CV1206" s="59"/>
      <c r="CW1206" s="59"/>
      <c r="CX1206" s="59"/>
      <c r="CY1206" s="59"/>
      <c r="CZ1206" s="59"/>
      <c r="DA1206" s="59"/>
      <c r="DB1206" s="59"/>
      <c r="DC1206" s="59"/>
      <c r="DD1206" s="59"/>
      <c r="DE1206" s="59"/>
      <c r="DF1206" s="59"/>
      <c r="DG1206" s="59"/>
      <c r="DH1206" s="59"/>
      <c r="DI1206" s="59"/>
      <c r="DJ1206" s="59"/>
      <c r="DK1206" s="59"/>
      <c r="DL1206" s="59"/>
      <c r="DM1206" s="59"/>
      <c r="DN1206" s="59"/>
      <c r="DO1206" s="59"/>
      <c r="DP1206" s="59"/>
      <c r="DQ1206" s="59"/>
      <c r="DR1206" s="59"/>
      <c r="DS1206" s="59"/>
      <c r="DT1206" s="59"/>
      <c r="DU1206" s="59"/>
      <c r="DV1206" s="59"/>
      <c r="DW1206" s="59"/>
      <c r="DX1206" s="59"/>
      <c r="DY1206" s="59"/>
      <c r="DZ1206" s="59"/>
      <c r="EA1206" s="59"/>
      <c r="EB1206" s="59"/>
      <c r="EC1206" s="59"/>
      <c r="ED1206" s="59"/>
      <c r="EE1206" s="59"/>
      <c r="EF1206" s="59"/>
      <c r="EG1206" s="59"/>
      <c r="EH1206" s="59"/>
      <c r="EI1206" s="59"/>
      <c r="EJ1206" s="59"/>
      <c r="EK1206" s="59"/>
      <c r="EL1206" s="59"/>
      <c r="EM1206" s="59"/>
      <c r="EN1206" s="59"/>
      <c r="EO1206" s="59"/>
      <c r="EP1206" s="59"/>
      <c r="EQ1206" s="59"/>
      <c r="ER1206" s="59"/>
      <c r="ES1206" s="59"/>
      <c r="ET1206" s="59"/>
      <c r="EU1206" s="59"/>
      <c r="EV1206" s="59"/>
      <c r="EW1206" s="59"/>
      <c r="EX1206" s="59"/>
      <c r="EY1206" s="59"/>
      <c r="EZ1206" s="59"/>
      <c r="FA1206" s="59"/>
      <c r="FB1206" s="59"/>
      <c r="FC1206" s="59"/>
      <c r="FD1206" s="59"/>
      <c r="FE1206" s="59"/>
      <c r="FF1206" s="59"/>
      <c r="FG1206" s="59"/>
      <c r="FH1206" s="59"/>
      <c r="FI1206" s="59"/>
      <c r="FJ1206" s="59"/>
      <c r="FK1206" s="59"/>
      <c r="FL1206" s="59"/>
      <c r="FM1206" s="59"/>
      <c r="FN1206" s="59"/>
      <c r="FO1206" s="59"/>
      <c r="FP1206" s="59"/>
      <c r="FQ1206" s="59"/>
      <c r="FR1206" s="59"/>
      <c r="FS1206" s="59"/>
      <c r="FT1206" s="59"/>
      <c r="FU1206" s="59"/>
      <c r="FV1206" s="59"/>
      <c r="FW1206" s="59"/>
      <c r="FX1206" s="59"/>
      <c r="FY1206" s="59"/>
      <c r="FZ1206" s="59"/>
      <c r="GA1206" s="59"/>
      <c r="GB1206" s="59"/>
      <c r="GC1206" s="59"/>
    </row>
    <row r="1207">
      <c r="A1207" s="59"/>
      <c r="B1207" s="59"/>
      <c r="C1207" s="59"/>
      <c r="D1207" s="59"/>
      <c r="E1207" s="59"/>
      <c r="F1207" s="59"/>
      <c r="G1207" s="59"/>
      <c r="H1207" s="59"/>
      <c r="I1207" s="59"/>
      <c r="J1207" s="59"/>
      <c r="K1207" s="59"/>
      <c r="L1207" s="59"/>
      <c r="M1207" s="59"/>
      <c r="N1207" s="59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59"/>
      <c r="BR1207" s="59"/>
      <c r="BS1207" s="59"/>
      <c r="BT1207" s="59"/>
      <c r="BU1207" s="59"/>
      <c r="BV1207" s="59"/>
      <c r="BW1207" s="59"/>
      <c r="BX1207" s="59"/>
      <c r="BY1207" s="59"/>
      <c r="BZ1207" s="59"/>
      <c r="CA1207" s="59"/>
      <c r="CB1207" s="59"/>
      <c r="CC1207" s="59"/>
      <c r="CD1207" s="59"/>
      <c r="CE1207" s="59"/>
      <c r="CF1207" s="59"/>
      <c r="CG1207" s="59"/>
      <c r="CH1207" s="59"/>
      <c r="CI1207" s="59"/>
      <c r="CJ1207" s="59"/>
      <c r="CK1207" s="59"/>
      <c r="CL1207" s="59"/>
      <c r="CM1207" s="59"/>
      <c r="CN1207" s="59"/>
      <c r="CO1207" s="59"/>
      <c r="CP1207" s="59"/>
      <c r="CQ1207" s="59"/>
      <c r="CR1207" s="59"/>
      <c r="CS1207" s="59"/>
      <c r="CT1207" s="59"/>
      <c r="CU1207" s="59"/>
      <c r="CV1207" s="59"/>
      <c r="CW1207" s="59"/>
      <c r="CX1207" s="59"/>
      <c r="CY1207" s="59"/>
      <c r="CZ1207" s="59"/>
      <c r="DA1207" s="59"/>
      <c r="DB1207" s="59"/>
      <c r="DC1207" s="59"/>
      <c r="DD1207" s="59"/>
      <c r="DE1207" s="59"/>
      <c r="DF1207" s="59"/>
      <c r="DG1207" s="59"/>
      <c r="DH1207" s="59"/>
      <c r="DI1207" s="59"/>
      <c r="DJ1207" s="59"/>
      <c r="DK1207" s="59"/>
      <c r="DL1207" s="59"/>
      <c r="DM1207" s="59"/>
      <c r="DN1207" s="59"/>
      <c r="DO1207" s="59"/>
      <c r="DP1207" s="59"/>
      <c r="DQ1207" s="59"/>
      <c r="DR1207" s="59"/>
      <c r="DS1207" s="59"/>
      <c r="DT1207" s="59"/>
      <c r="DU1207" s="59"/>
      <c r="DV1207" s="59"/>
      <c r="DW1207" s="59"/>
      <c r="DX1207" s="59"/>
      <c r="DY1207" s="59"/>
      <c r="DZ1207" s="59"/>
      <c r="EA1207" s="59"/>
      <c r="EB1207" s="59"/>
      <c r="EC1207" s="59"/>
      <c r="ED1207" s="59"/>
      <c r="EE1207" s="59"/>
      <c r="EF1207" s="59"/>
      <c r="EG1207" s="59"/>
      <c r="EH1207" s="59"/>
      <c r="EI1207" s="59"/>
      <c r="EJ1207" s="59"/>
      <c r="EK1207" s="59"/>
      <c r="EL1207" s="59"/>
      <c r="EM1207" s="59"/>
      <c r="EN1207" s="59"/>
      <c r="EO1207" s="59"/>
      <c r="EP1207" s="59"/>
      <c r="EQ1207" s="59"/>
      <c r="ER1207" s="59"/>
      <c r="ES1207" s="59"/>
      <c r="ET1207" s="59"/>
      <c r="EU1207" s="59"/>
      <c r="EV1207" s="59"/>
      <c r="EW1207" s="59"/>
      <c r="EX1207" s="59"/>
      <c r="EY1207" s="59"/>
      <c r="EZ1207" s="59"/>
      <c r="FA1207" s="59"/>
      <c r="FB1207" s="59"/>
      <c r="FC1207" s="59"/>
      <c r="FD1207" s="59"/>
      <c r="FE1207" s="59"/>
      <c r="FF1207" s="59"/>
      <c r="FG1207" s="59"/>
      <c r="FH1207" s="59"/>
      <c r="FI1207" s="59"/>
      <c r="FJ1207" s="59"/>
      <c r="FK1207" s="59"/>
      <c r="FL1207" s="59"/>
      <c r="FM1207" s="59"/>
      <c r="FN1207" s="59"/>
      <c r="FO1207" s="59"/>
      <c r="FP1207" s="59"/>
      <c r="FQ1207" s="59"/>
      <c r="FR1207" s="59"/>
      <c r="FS1207" s="59"/>
      <c r="FT1207" s="59"/>
      <c r="FU1207" s="59"/>
      <c r="FV1207" s="59"/>
      <c r="FW1207" s="59"/>
      <c r="FX1207" s="59"/>
      <c r="FY1207" s="59"/>
      <c r="FZ1207" s="59"/>
      <c r="GA1207" s="59"/>
      <c r="GB1207" s="59"/>
      <c r="GC1207" s="59"/>
    </row>
    <row r="1208">
      <c r="A1208" s="59"/>
      <c r="B1208" s="59"/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  <c r="O1208" s="59"/>
      <c r="P1208" s="59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59"/>
      <c r="BR1208" s="59"/>
      <c r="BS1208" s="59"/>
      <c r="BT1208" s="59"/>
      <c r="BU1208" s="59"/>
      <c r="BV1208" s="59"/>
      <c r="BW1208" s="59"/>
      <c r="BX1208" s="59"/>
      <c r="BY1208" s="59"/>
      <c r="BZ1208" s="59"/>
      <c r="CA1208" s="59"/>
      <c r="CB1208" s="59"/>
      <c r="CC1208" s="59"/>
      <c r="CD1208" s="59"/>
      <c r="CE1208" s="59"/>
      <c r="CF1208" s="59"/>
      <c r="CG1208" s="59"/>
      <c r="CH1208" s="59"/>
      <c r="CI1208" s="59"/>
      <c r="CJ1208" s="59"/>
      <c r="CK1208" s="59"/>
      <c r="CL1208" s="59"/>
      <c r="CM1208" s="59"/>
      <c r="CN1208" s="59"/>
      <c r="CO1208" s="59"/>
      <c r="CP1208" s="59"/>
      <c r="CQ1208" s="59"/>
      <c r="CR1208" s="59"/>
      <c r="CS1208" s="59"/>
      <c r="CT1208" s="59"/>
      <c r="CU1208" s="59"/>
      <c r="CV1208" s="59"/>
      <c r="CW1208" s="59"/>
      <c r="CX1208" s="59"/>
      <c r="CY1208" s="59"/>
      <c r="CZ1208" s="59"/>
      <c r="DA1208" s="59"/>
      <c r="DB1208" s="59"/>
      <c r="DC1208" s="59"/>
      <c r="DD1208" s="59"/>
      <c r="DE1208" s="59"/>
      <c r="DF1208" s="59"/>
      <c r="DG1208" s="59"/>
      <c r="DH1208" s="59"/>
      <c r="DI1208" s="59"/>
      <c r="DJ1208" s="59"/>
      <c r="DK1208" s="59"/>
      <c r="DL1208" s="59"/>
      <c r="DM1208" s="59"/>
      <c r="DN1208" s="59"/>
      <c r="DO1208" s="59"/>
      <c r="DP1208" s="59"/>
      <c r="DQ1208" s="59"/>
      <c r="DR1208" s="59"/>
      <c r="DS1208" s="59"/>
      <c r="DT1208" s="59"/>
      <c r="DU1208" s="59"/>
      <c r="DV1208" s="59"/>
      <c r="DW1208" s="59"/>
      <c r="DX1208" s="59"/>
      <c r="DY1208" s="59"/>
      <c r="DZ1208" s="59"/>
      <c r="EA1208" s="59"/>
      <c r="EB1208" s="59"/>
      <c r="EC1208" s="59"/>
      <c r="ED1208" s="59"/>
      <c r="EE1208" s="59"/>
      <c r="EF1208" s="59"/>
      <c r="EG1208" s="59"/>
      <c r="EH1208" s="59"/>
      <c r="EI1208" s="59"/>
      <c r="EJ1208" s="59"/>
      <c r="EK1208" s="59"/>
      <c r="EL1208" s="59"/>
      <c r="EM1208" s="59"/>
      <c r="EN1208" s="59"/>
      <c r="EO1208" s="59"/>
      <c r="EP1208" s="59"/>
      <c r="EQ1208" s="59"/>
      <c r="ER1208" s="59"/>
      <c r="ES1208" s="59"/>
      <c r="ET1208" s="59"/>
      <c r="EU1208" s="59"/>
      <c r="EV1208" s="59"/>
      <c r="EW1208" s="59"/>
      <c r="EX1208" s="59"/>
      <c r="EY1208" s="59"/>
      <c r="EZ1208" s="59"/>
      <c r="FA1208" s="59"/>
      <c r="FB1208" s="59"/>
      <c r="FC1208" s="59"/>
      <c r="FD1208" s="59"/>
      <c r="FE1208" s="59"/>
      <c r="FF1208" s="59"/>
      <c r="FG1208" s="59"/>
      <c r="FH1208" s="59"/>
      <c r="FI1208" s="59"/>
      <c r="FJ1208" s="59"/>
      <c r="FK1208" s="59"/>
      <c r="FL1208" s="59"/>
      <c r="FM1208" s="59"/>
      <c r="FN1208" s="59"/>
      <c r="FO1208" s="59"/>
      <c r="FP1208" s="59"/>
      <c r="FQ1208" s="59"/>
      <c r="FR1208" s="59"/>
      <c r="FS1208" s="59"/>
      <c r="FT1208" s="59"/>
      <c r="FU1208" s="59"/>
      <c r="FV1208" s="59"/>
      <c r="FW1208" s="59"/>
      <c r="FX1208" s="59"/>
      <c r="FY1208" s="59"/>
      <c r="FZ1208" s="59"/>
      <c r="GA1208" s="59"/>
      <c r="GB1208" s="59"/>
      <c r="GC1208" s="59"/>
    </row>
    <row r="1209">
      <c r="A1209" s="59"/>
      <c r="B1209" s="59"/>
      <c r="C1209" s="59"/>
      <c r="D1209" s="59"/>
      <c r="E1209" s="59"/>
      <c r="F1209" s="59"/>
      <c r="G1209" s="59"/>
      <c r="H1209" s="59"/>
      <c r="I1209" s="59"/>
      <c r="J1209" s="59"/>
      <c r="K1209" s="59"/>
      <c r="L1209" s="59"/>
      <c r="M1209" s="59"/>
      <c r="N1209" s="59"/>
      <c r="O1209" s="59"/>
      <c r="P1209" s="59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  <c r="AA1209" s="59"/>
      <c r="AB1209" s="59"/>
      <c r="AC1209" s="59"/>
      <c r="AD1209" s="59"/>
      <c r="AE1209" s="59"/>
      <c r="AF1209" s="59"/>
      <c r="AG1209" s="59"/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59"/>
      <c r="BR1209" s="59"/>
      <c r="BS1209" s="59"/>
      <c r="BT1209" s="59"/>
      <c r="BU1209" s="59"/>
      <c r="BV1209" s="59"/>
      <c r="BW1209" s="59"/>
      <c r="BX1209" s="59"/>
      <c r="BY1209" s="59"/>
      <c r="BZ1209" s="59"/>
      <c r="CA1209" s="59"/>
      <c r="CB1209" s="59"/>
      <c r="CC1209" s="59"/>
      <c r="CD1209" s="59"/>
      <c r="CE1209" s="59"/>
      <c r="CF1209" s="59"/>
      <c r="CG1209" s="59"/>
      <c r="CH1209" s="59"/>
      <c r="CI1209" s="59"/>
      <c r="CJ1209" s="59"/>
      <c r="CK1209" s="59"/>
      <c r="CL1209" s="59"/>
      <c r="CM1209" s="59"/>
      <c r="CN1209" s="59"/>
      <c r="CO1209" s="59"/>
      <c r="CP1209" s="59"/>
      <c r="CQ1209" s="59"/>
      <c r="CR1209" s="59"/>
      <c r="CS1209" s="59"/>
      <c r="CT1209" s="59"/>
      <c r="CU1209" s="59"/>
      <c r="CV1209" s="59"/>
      <c r="CW1209" s="59"/>
      <c r="CX1209" s="59"/>
      <c r="CY1209" s="59"/>
      <c r="CZ1209" s="59"/>
      <c r="DA1209" s="59"/>
      <c r="DB1209" s="59"/>
      <c r="DC1209" s="59"/>
      <c r="DD1209" s="59"/>
      <c r="DE1209" s="59"/>
      <c r="DF1209" s="59"/>
      <c r="DG1209" s="59"/>
      <c r="DH1209" s="59"/>
      <c r="DI1209" s="59"/>
      <c r="DJ1209" s="59"/>
      <c r="DK1209" s="59"/>
      <c r="DL1209" s="59"/>
      <c r="DM1209" s="59"/>
      <c r="DN1209" s="59"/>
      <c r="DO1209" s="59"/>
      <c r="DP1209" s="59"/>
      <c r="DQ1209" s="59"/>
      <c r="DR1209" s="59"/>
      <c r="DS1209" s="59"/>
      <c r="DT1209" s="59"/>
      <c r="DU1209" s="59"/>
      <c r="DV1209" s="59"/>
      <c r="DW1209" s="59"/>
      <c r="DX1209" s="59"/>
      <c r="DY1209" s="59"/>
      <c r="DZ1209" s="59"/>
      <c r="EA1209" s="59"/>
      <c r="EB1209" s="59"/>
      <c r="EC1209" s="59"/>
      <c r="ED1209" s="59"/>
      <c r="EE1209" s="59"/>
      <c r="EF1209" s="59"/>
      <c r="EG1209" s="59"/>
      <c r="EH1209" s="59"/>
      <c r="EI1209" s="59"/>
      <c r="EJ1209" s="59"/>
      <c r="EK1209" s="59"/>
      <c r="EL1209" s="59"/>
      <c r="EM1209" s="59"/>
      <c r="EN1209" s="59"/>
      <c r="EO1209" s="59"/>
      <c r="EP1209" s="59"/>
      <c r="EQ1209" s="59"/>
      <c r="ER1209" s="59"/>
      <c r="ES1209" s="59"/>
      <c r="ET1209" s="59"/>
      <c r="EU1209" s="59"/>
      <c r="EV1209" s="59"/>
      <c r="EW1209" s="59"/>
      <c r="EX1209" s="59"/>
      <c r="EY1209" s="59"/>
      <c r="EZ1209" s="59"/>
      <c r="FA1209" s="59"/>
      <c r="FB1209" s="59"/>
      <c r="FC1209" s="59"/>
      <c r="FD1209" s="59"/>
      <c r="FE1209" s="59"/>
      <c r="FF1209" s="59"/>
      <c r="FG1209" s="59"/>
      <c r="FH1209" s="59"/>
      <c r="FI1209" s="59"/>
      <c r="FJ1209" s="59"/>
      <c r="FK1209" s="59"/>
      <c r="FL1209" s="59"/>
      <c r="FM1209" s="59"/>
      <c r="FN1209" s="59"/>
      <c r="FO1209" s="59"/>
      <c r="FP1209" s="59"/>
      <c r="FQ1209" s="59"/>
      <c r="FR1209" s="59"/>
      <c r="FS1209" s="59"/>
      <c r="FT1209" s="59"/>
      <c r="FU1209" s="59"/>
      <c r="FV1209" s="59"/>
      <c r="FW1209" s="59"/>
      <c r="FX1209" s="59"/>
      <c r="FY1209" s="59"/>
      <c r="FZ1209" s="59"/>
      <c r="GA1209" s="59"/>
      <c r="GB1209" s="59"/>
      <c r="GC1209" s="59"/>
    </row>
    <row r="1210">
      <c r="A1210" s="59"/>
      <c r="B1210" s="59"/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59"/>
      <c r="BR1210" s="59"/>
      <c r="BS1210" s="59"/>
      <c r="BT1210" s="59"/>
      <c r="BU1210" s="59"/>
      <c r="BV1210" s="59"/>
      <c r="BW1210" s="59"/>
      <c r="BX1210" s="59"/>
      <c r="BY1210" s="59"/>
      <c r="BZ1210" s="59"/>
      <c r="CA1210" s="59"/>
      <c r="CB1210" s="59"/>
      <c r="CC1210" s="59"/>
      <c r="CD1210" s="59"/>
      <c r="CE1210" s="59"/>
      <c r="CF1210" s="59"/>
      <c r="CG1210" s="59"/>
      <c r="CH1210" s="59"/>
      <c r="CI1210" s="59"/>
      <c r="CJ1210" s="59"/>
      <c r="CK1210" s="59"/>
      <c r="CL1210" s="59"/>
      <c r="CM1210" s="59"/>
      <c r="CN1210" s="59"/>
      <c r="CO1210" s="59"/>
      <c r="CP1210" s="59"/>
      <c r="CQ1210" s="59"/>
      <c r="CR1210" s="59"/>
      <c r="CS1210" s="59"/>
      <c r="CT1210" s="59"/>
      <c r="CU1210" s="59"/>
      <c r="CV1210" s="59"/>
      <c r="CW1210" s="59"/>
      <c r="CX1210" s="59"/>
      <c r="CY1210" s="59"/>
      <c r="CZ1210" s="59"/>
      <c r="DA1210" s="59"/>
      <c r="DB1210" s="59"/>
      <c r="DC1210" s="59"/>
      <c r="DD1210" s="59"/>
      <c r="DE1210" s="59"/>
      <c r="DF1210" s="59"/>
      <c r="DG1210" s="59"/>
      <c r="DH1210" s="59"/>
      <c r="DI1210" s="59"/>
      <c r="DJ1210" s="59"/>
      <c r="DK1210" s="59"/>
      <c r="DL1210" s="59"/>
      <c r="DM1210" s="59"/>
      <c r="DN1210" s="59"/>
      <c r="DO1210" s="59"/>
      <c r="DP1210" s="59"/>
      <c r="DQ1210" s="59"/>
      <c r="DR1210" s="59"/>
      <c r="DS1210" s="59"/>
      <c r="DT1210" s="59"/>
      <c r="DU1210" s="59"/>
      <c r="DV1210" s="59"/>
      <c r="DW1210" s="59"/>
      <c r="DX1210" s="59"/>
      <c r="DY1210" s="59"/>
      <c r="DZ1210" s="59"/>
      <c r="EA1210" s="59"/>
      <c r="EB1210" s="59"/>
      <c r="EC1210" s="59"/>
      <c r="ED1210" s="59"/>
      <c r="EE1210" s="59"/>
      <c r="EF1210" s="59"/>
      <c r="EG1210" s="59"/>
      <c r="EH1210" s="59"/>
      <c r="EI1210" s="59"/>
      <c r="EJ1210" s="59"/>
      <c r="EK1210" s="59"/>
      <c r="EL1210" s="59"/>
      <c r="EM1210" s="59"/>
      <c r="EN1210" s="59"/>
      <c r="EO1210" s="59"/>
      <c r="EP1210" s="59"/>
      <c r="EQ1210" s="59"/>
      <c r="ER1210" s="59"/>
      <c r="ES1210" s="59"/>
      <c r="ET1210" s="59"/>
      <c r="EU1210" s="59"/>
      <c r="EV1210" s="59"/>
      <c r="EW1210" s="59"/>
      <c r="EX1210" s="59"/>
      <c r="EY1210" s="59"/>
      <c r="EZ1210" s="59"/>
      <c r="FA1210" s="59"/>
      <c r="FB1210" s="59"/>
      <c r="FC1210" s="59"/>
      <c r="FD1210" s="59"/>
      <c r="FE1210" s="59"/>
      <c r="FF1210" s="59"/>
      <c r="FG1210" s="59"/>
      <c r="FH1210" s="59"/>
      <c r="FI1210" s="59"/>
      <c r="FJ1210" s="59"/>
      <c r="FK1210" s="59"/>
      <c r="FL1210" s="59"/>
      <c r="FM1210" s="59"/>
      <c r="FN1210" s="59"/>
      <c r="FO1210" s="59"/>
      <c r="FP1210" s="59"/>
      <c r="FQ1210" s="59"/>
      <c r="FR1210" s="59"/>
      <c r="FS1210" s="59"/>
      <c r="FT1210" s="59"/>
      <c r="FU1210" s="59"/>
      <c r="FV1210" s="59"/>
      <c r="FW1210" s="59"/>
      <c r="FX1210" s="59"/>
      <c r="FY1210" s="59"/>
      <c r="FZ1210" s="59"/>
      <c r="GA1210" s="59"/>
      <c r="GB1210" s="59"/>
      <c r="GC1210" s="59"/>
    </row>
    <row r="1211">
      <c r="A1211" s="59"/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59"/>
      <c r="P1211" s="59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59"/>
      <c r="BR1211" s="59"/>
      <c r="BS1211" s="59"/>
      <c r="BT1211" s="59"/>
      <c r="BU1211" s="59"/>
      <c r="BV1211" s="59"/>
      <c r="BW1211" s="59"/>
      <c r="BX1211" s="59"/>
      <c r="BY1211" s="59"/>
      <c r="BZ1211" s="59"/>
      <c r="CA1211" s="59"/>
      <c r="CB1211" s="59"/>
      <c r="CC1211" s="59"/>
      <c r="CD1211" s="59"/>
      <c r="CE1211" s="59"/>
      <c r="CF1211" s="59"/>
      <c r="CG1211" s="59"/>
      <c r="CH1211" s="59"/>
      <c r="CI1211" s="59"/>
      <c r="CJ1211" s="59"/>
      <c r="CK1211" s="59"/>
      <c r="CL1211" s="59"/>
      <c r="CM1211" s="59"/>
      <c r="CN1211" s="59"/>
      <c r="CO1211" s="59"/>
      <c r="CP1211" s="59"/>
      <c r="CQ1211" s="59"/>
      <c r="CR1211" s="59"/>
      <c r="CS1211" s="59"/>
      <c r="CT1211" s="59"/>
      <c r="CU1211" s="59"/>
      <c r="CV1211" s="59"/>
      <c r="CW1211" s="59"/>
      <c r="CX1211" s="59"/>
      <c r="CY1211" s="59"/>
      <c r="CZ1211" s="59"/>
      <c r="DA1211" s="59"/>
      <c r="DB1211" s="59"/>
      <c r="DC1211" s="59"/>
      <c r="DD1211" s="59"/>
      <c r="DE1211" s="59"/>
      <c r="DF1211" s="59"/>
      <c r="DG1211" s="59"/>
      <c r="DH1211" s="59"/>
      <c r="DI1211" s="59"/>
      <c r="DJ1211" s="59"/>
      <c r="DK1211" s="59"/>
      <c r="DL1211" s="59"/>
      <c r="DM1211" s="59"/>
      <c r="DN1211" s="59"/>
      <c r="DO1211" s="59"/>
      <c r="DP1211" s="59"/>
      <c r="DQ1211" s="59"/>
      <c r="DR1211" s="59"/>
      <c r="DS1211" s="59"/>
      <c r="DT1211" s="59"/>
      <c r="DU1211" s="59"/>
      <c r="DV1211" s="59"/>
      <c r="DW1211" s="59"/>
      <c r="DX1211" s="59"/>
      <c r="DY1211" s="59"/>
      <c r="DZ1211" s="59"/>
      <c r="EA1211" s="59"/>
      <c r="EB1211" s="59"/>
      <c r="EC1211" s="59"/>
      <c r="ED1211" s="59"/>
      <c r="EE1211" s="59"/>
      <c r="EF1211" s="59"/>
      <c r="EG1211" s="59"/>
      <c r="EH1211" s="59"/>
      <c r="EI1211" s="59"/>
      <c r="EJ1211" s="59"/>
      <c r="EK1211" s="59"/>
      <c r="EL1211" s="59"/>
      <c r="EM1211" s="59"/>
      <c r="EN1211" s="59"/>
      <c r="EO1211" s="59"/>
      <c r="EP1211" s="59"/>
      <c r="EQ1211" s="59"/>
      <c r="ER1211" s="59"/>
      <c r="ES1211" s="59"/>
      <c r="ET1211" s="59"/>
      <c r="EU1211" s="59"/>
      <c r="EV1211" s="59"/>
      <c r="EW1211" s="59"/>
      <c r="EX1211" s="59"/>
      <c r="EY1211" s="59"/>
      <c r="EZ1211" s="59"/>
      <c r="FA1211" s="59"/>
      <c r="FB1211" s="59"/>
      <c r="FC1211" s="59"/>
      <c r="FD1211" s="59"/>
      <c r="FE1211" s="59"/>
      <c r="FF1211" s="59"/>
      <c r="FG1211" s="59"/>
      <c r="FH1211" s="59"/>
      <c r="FI1211" s="59"/>
      <c r="FJ1211" s="59"/>
      <c r="FK1211" s="59"/>
      <c r="FL1211" s="59"/>
      <c r="FM1211" s="59"/>
      <c r="FN1211" s="59"/>
      <c r="FO1211" s="59"/>
      <c r="FP1211" s="59"/>
      <c r="FQ1211" s="59"/>
      <c r="FR1211" s="59"/>
      <c r="FS1211" s="59"/>
      <c r="FT1211" s="59"/>
      <c r="FU1211" s="59"/>
      <c r="FV1211" s="59"/>
      <c r="FW1211" s="59"/>
      <c r="FX1211" s="59"/>
      <c r="FY1211" s="59"/>
      <c r="FZ1211" s="59"/>
      <c r="GA1211" s="59"/>
      <c r="GB1211" s="59"/>
      <c r="GC1211" s="59"/>
    </row>
    <row r="1212">
      <c r="A1212" s="59"/>
      <c r="B1212" s="59"/>
      <c r="C1212" s="59"/>
      <c r="D1212" s="59"/>
      <c r="E1212" s="59"/>
      <c r="F1212" s="59"/>
      <c r="G1212" s="59"/>
      <c r="H1212" s="59"/>
      <c r="I1212" s="59"/>
      <c r="J1212" s="59"/>
      <c r="K1212" s="59"/>
      <c r="L1212" s="59"/>
      <c r="M1212" s="59"/>
      <c r="N1212" s="59"/>
      <c r="O1212" s="59"/>
      <c r="P1212" s="59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59"/>
      <c r="BR1212" s="59"/>
      <c r="BS1212" s="59"/>
      <c r="BT1212" s="59"/>
      <c r="BU1212" s="59"/>
      <c r="BV1212" s="59"/>
      <c r="BW1212" s="59"/>
      <c r="BX1212" s="59"/>
      <c r="BY1212" s="59"/>
      <c r="BZ1212" s="59"/>
      <c r="CA1212" s="59"/>
      <c r="CB1212" s="59"/>
      <c r="CC1212" s="59"/>
      <c r="CD1212" s="59"/>
      <c r="CE1212" s="59"/>
      <c r="CF1212" s="59"/>
      <c r="CG1212" s="59"/>
      <c r="CH1212" s="59"/>
      <c r="CI1212" s="59"/>
      <c r="CJ1212" s="59"/>
      <c r="CK1212" s="59"/>
      <c r="CL1212" s="59"/>
      <c r="CM1212" s="59"/>
      <c r="CN1212" s="59"/>
      <c r="CO1212" s="59"/>
      <c r="CP1212" s="59"/>
      <c r="CQ1212" s="59"/>
      <c r="CR1212" s="59"/>
      <c r="CS1212" s="59"/>
      <c r="CT1212" s="59"/>
      <c r="CU1212" s="59"/>
      <c r="CV1212" s="59"/>
      <c r="CW1212" s="59"/>
      <c r="CX1212" s="59"/>
      <c r="CY1212" s="59"/>
      <c r="CZ1212" s="59"/>
      <c r="DA1212" s="59"/>
      <c r="DB1212" s="59"/>
      <c r="DC1212" s="59"/>
      <c r="DD1212" s="59"/>
      <c r="DE1212" s="59"/>
      <c r="DF1212" s="59"/>
      <c r="DG1212" s="59"/>
      <c r="DH1212" s="59"/>
      <c r="DI1212" s="59"/>
      <c r="DJ1212" s="59"/>
      <c r="DK1212" s="59"/>
      <c r="DL1212" s="59"/>
      <c r="DM1212" s="59"/>
      <c r="DN1212" s="59"/>
      <c r="DO1212" s="59"/>
      <c r="DP1212" s="59"/>
      <c r="DQ1212" s="59"/>
      <c r="DR1212" s="59"/>
      <c r="DS1212" s="59"/>
      <c r="DT1212" s="59"/>
      <c r="DU1212" s="59"/>
      <c r="DV1212" s="59"/>
      <c r="DW1212" s="59"/>
      <c r="DX1212" s="59"/>
      <c r="DY1212" s="59"/>
      <c r="DZ1212" s="59"/>
      <c r="EA1212" s="59"/>
      <c r="EB1212" s="59"/>
      <c r="EC1212" s="59"/>
      <c r="ED1212" s="59"/>
      <c r="EE1212" s="59"/>
      <c r="EF1212" s="59"/>
      <c r="EG1212" s="59"/>
      <c r="EH1212" s="59"/>
      <c r="EI1212" s="59"/>
      <c r="EJ1212" s="59"/>
      <c r="EK1212" s="59"/>
      <c r="EL1212" s="59"/>
      <c r="EM1212" s="59"/>
      <c r="EN1212" s="59"/>
      <c r="EO1212" s="59"/>
      <c r="EP1212" s="59"/>
      <c r="EQ1212" s="59"/>
      <c r="ER1212" s="59"/>
      <c r="ES1212" s="59"/>
      <c r="ET1212" s="59"/>
      <c r="EU1212" s="59"/>
      <c r="EV1212" s="59"/>
      <c r="EW1212" s="59"/>
      <c r="EX1212" s="59"/>
      <c r="EY1212" s="59"/>
      <c r="EZ1212" s="59"/>
      <c r="FA1212" s="59"/>
      <c r="FB1212" s="59"/>
      <c r="FC1212" s="59"/>
      <c r="FD1212" s="59"/>
      <c r="FE1212" s="59"/>
      <c r="FF1212" s="59"/>
      <c r="FG1212" s="59"/>
      <c r="FH1212" s="59"/>
      <c r="FI1212" s="59"/>
      <c r="FJ1212" s="59"/>
      <c r="FK1212" s="59"/>
      <c r="FL1212" s="59"/>
      <c r="FM1212" s="59"/>
      <c r="FN1212" s="59"/>
      <c r="FO1212" s="59"/>
      <c r="FP1212" s="59"/>
      <c r="FQ1212" s="59"/>
      <c r="FR1212" s="59"/>
      <c r="FS1212" s="59"/>
      <c r="FT1212" s="59"/>
      <c r="FU1212" s="59"/>
      <c r="FV1212" s="59"/>
      <c r="FW1212" s="59"/>
      <c r="FX1212" s="59"/>
      <c r="FY1212" s="59"/>
      <c r="FZ1212" s="59"/>
      <c r="GA1212" s="59"/>
      <c r="GB1212" s="59"/>
      <c r="GC1212" s="59"/>
    </row>
    <row r="1213">
      <c r="A1213" s="59"/>
      <c r="B1213" s="59"/>
      <c r="C1213" s="59"/>
      <c r="D1213" s="59"/>
      <c r="E1213" s="59"/>
      <c r="F1213" s="59"/>
      <c r="G1213" s="59"/>
      <c r="H1213" s="59"/>
      <c r="I1213" s="59"/>
      <c r="J1213" s="59"/>
      <c r="K1213" s="59"/>
      <c r="L1213" s="59"/>
      <c r="M1213" s="59"/>
      <c r="N1213" s="59"/>
      <c r="O1213" s="59"/>
      <c r="P1213" s="59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  <c r="AD1213" s="59"/>
      <c r="AE1213" s="59"/>
      <c r="AF1213" s="59"/>
      <c r="AG1213" s="59"/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59"/>
      <c r="BR1213" s="59"/>
      <c r="BS1213" s="59"/>
      <c r="BT1213" s="59"/>
      <c r="BU1213" s="59"/>
      <c r="BV1213" s="59"/>
      <c r="BW1213" s="59"/>
      <c r="BX1213" s="59"/>
      <c r="BY1213" s="59"/>
      <c r="BZ1213" s="59"/>
      <c r="CA1213" s="59"/>
      <c r="CB1213" s="59"/>
      <c r="CC1213" s="59"/>
      <c r="CD1213" s="59"/>
      <c r="CE1213" s="59"/>
      <c r="CF1213" s="59"/>
      <c r="CG1213" s="59"/>
      <c r="CH1213" s="59"/>
      <c r="CI1213" s="59"/>
      <c r="CJ1213" s="59"/>
      <c r="CK1213" s="59"/>
      <c r="CL1213" s="59"/>
      <c r="CM1213" s="59"/>
      <c r="CN1213" s="59"/>
      <c r="CO1213" s="59"/>
      <c r="CP1213" s="59"/>
      <c r="CQ1213" s="59"/>
      <c r="CR1213" s="59"/>
      <c r="CS1213" s="59"/>
      <c r="CT1213" s="59"/>
      <c r="CU1213" s="59"/>
      <c r="CV1213" s="59"/>
      <c r="CW1213" s="59"/>
      <c r="CX1213" s="59"/>
      <c r="CY1213" s="59"/>
      <c r="CZ1213" s="59"/>
      <c r="DA1213" s="59"/>
      <c r="DB1213" s="59"/>
      <c r="DC1213" s="59"/>
      <c r="DD1213" s="59"/>
      <c r="DE1213" s="59"/>
      <c r="DF1213" s="59"/>
      <c r="DG1213" s="59"/>
      <c r="DH1213" s="59"/>
      <c r="DI1213" s="59"/>
      <c r="DJ1213" s="59"/>
      <c r="DK1213" s="59"/>
      <c r="DL1213" s="59"/>
      <c r="DM1213" s="59"/>
      <c r="DN1213" s="59"/>
      <c r="DO1213" s="59"/>
      <c r="DP1213" s="59"/>
      <c r="DQ1213" s="59"/>
      <c r="DR1213" s="59"/>
      <c r="DS1213" s="59"/>
      <c r="DT1213" s="59"/>
      <c r="DU1213" s="59"/>
      <c r="DV1213" s="59"/>
      <c r="DW1213" s="59"/>
      <c r="DX1213" s="59"/>
      <c r="DY1213" s="59"/>
      <c r="DZ1213" s="59"/>
      <c r="EA1213" s="59"/>
      <c r="EB1213" s="59"/>
      <c r="EC1213" s="59"/>
      <c r="ED1213" s="59"/>
      <c r="EE1213" s="59"/>
      <c r="EF1213" s="59"/>
      <c r="EG1213" s="59"/>
      <c r="EH1213" s="59"/>
      <c r="EI1213" s="59"/>
      <c r="EJ1213" s="59"/>
      <c r="EK1213" s="59"/>
      <c r="EL1213" s="59"/>
      <c r="EM1213" s="59"/>
      <c r="EN1213" s="59"/>
      <c r="EO1213" s="59"/>
      <c r="EP1213" s="59"/>
      <c r="EQ1213" s="59"/>
      <c r="ER1213" s="59"/>
      <c r="ES1213" s="59"/>
      <c r="ET1213" s="59"/>
      <c r="EU1213" s="59"/>
      <c r="EV1213" s="59"/>
      <c r="EW1213" s="59"/>
      <c r="EX1213" s="59"/>
      <c r="EY1213" s="59"/>
      <c r="EZ1213" s="59"/>
      <c r="FA1213" s="59"/>
      <c r="FB1213" s="59"/>
      <c r="FC1213" s="59"/>
      <c r="FD1213" s="59"/>
      <c r="FE1213" s="59"/>
      <c r="FF1213" s="59"/>
      <c r="FG1213" s="59"/>
      <c r="FH1213" s="59"/>
      <c r="FI1213" s="59"/>
      <c r="FJ1213" s="59"/>
      <c r="FK1213" s="59"/>
      <c r="FL1213" s="59"/>
      <c r="FM1213" s="59"/>
      <c r="FN1213" s="59"/>
      <c r="FO1213" s="59"/>
      <c r="FP1213" s="59"/>
      <c r="FQ1213" s="59"/>
      <c r="FR1213" s="59"/>
      <c r="FS1213" s="59"/>
      <c r="FT1213" s="59"/>
      <c r="FU1213" s="59"/>
      <c r="FV1213" s="59"/>
      <c r="FW1213" s="59"/>
      <c r="FX1213" s="59"/>
      <c r="FY1213" s="59"/>
      <c r="FZ1213" s="59"/>
      <c r="GA1213" s="59"/>
      <c r="GB1213" s="59"/>
      <c r="GC1213" s="59"/>
    </row>
    <row r="1214">
      <c r="A1214" s="59"/>
      <c r="B1214" s="59"/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59"/>
      <c r="BR1214" s="59"/>
      <c r="BS1214" s="59"/>
      <c r="BT1214" s="59"/>
      <c r="BU1214" s="59"/>
      <c r="BV1214" s="59"/>
      <c r="BW1214" s="59"/>
      <c r="BX1214" s="59"/>
      <c r="BY1214" s="59"/>
      <c r="BZ1214" s="59"/>
      <c r="CA1214" s="59"/>
      <c r="CB1214" s="59"/>
      <c r="CC1214" s="59"/>
      <c r="CD1214" s="59"/>
      <c r="CE1214" s="59"/>
      <c r="CF1214" s="59"/>
      <c r="CG1214" s="59"/>
      <c r="CH1214" s="59"/>
      <c r="CI1214" s="59"/>
      <c r="CJ1214" s="59"/>
      <c r="CK1214" s="59"/>
      <c r="CL1214" s="59"/>
      <c r="CM1214" s="59"/>
      <c r="CN1214" s="59"/>
      <c r="CO1214" s="59"/>
      <c r="CP1214" s="59"/>
      <c r="CQ1214" s="59"/>
      <c r="CR1214" s="59"/>
      <c r="CS1214" s="59"/>
      <c r="CT1214" s="59"/>
      <c r="CU1214" s="59"/>
      <c r="CV1214" s="59"/>
      <c r="CW1214" s="59"/>
      <c r="CX1214" s="59"/>
      <c r="CY1214" s="59"/>
      <c r="CZ1214" s="59"/>
      <c r="DA1214" s="59"/>
      <c r="DB1214" s="59"/>
      <c r="DC1214" s="59"/>
      <c r="DD1214" s="59"/>
      <c r="DE1214" s="59"/>
      <c r="DF1214" s="59"/>
      <c r="DG1214" s="59"/>
      <c r="DH1214" s="59"/>
      <c r="DI1214" s="59"/>
      <c r="DJ1214" s="59"/>
      <c r="DK1214" s="59"/>
      <c r="DL1214" s="59"/>
      <c r="DM1214" s="59"/>
      <c r="DN1214" s="59"/>
      <c r="DO1214" s="59"/>
      <c r="DP1214" s="59"/>
      <c r="DQ1214" s="59"/>
      <c r="DR1214" s="59"/>
      <c r="DS1214" s="59"/>
      <c r="DT1214" s="59"/>
      <c r="DU1214" s="59"/>
      <c r="DV1214" s="59"/>
      <c r="DW1214" s="59"/>
      <c r="DX1214" s="59"/>
      <c r="DY1214" s="59"/>
      <c r="DZ1214" s="59"/>
      <c r="EA1214" s="59"/>
      <c r="EB1214" s="59"/>
      <c r="EC1214" s="59"/>
      <c r="ED1214" s="59"/>
      <c r="EE1214" s="59"/>
      <c r="EF1214" s="59"/>
      <c r="EG1214" s="59"/>
      <c r="EH1214" s="59"/>
      <c r="EI1214" s="59"/>
      <c r="EJ1214" s="59"/>
      <c r="EK1214" s="59"/>
      <c r="EL1214" s="59"/>
      <c r="EM1214" s="59"/>
      <c r="EN1214" s="59"/>
      <c r="EO1214" s="59"/>
      <c r="EP1214" s="59"/>
      <c r="EQ1214" s="59"/>
      <c r="ER1214" s="59"/>
      <c r="ES1214" s="59"/>
      <c r="ET1214" s="59"/>
      <c r="EU1214" s="59"/>
      <c r="EV1214" s="59"/>
      <c r="EW1214" s="59"/>
      <c r="EX1214" s="59"/>
      <c r="EY1214" s="59"/>
      <c r="EZ1214" s="59"/>
      <c r="FA1214" s="59"/>
      <c r="FB1214" s="59"/>
      <c r="FC1214" s="59"/>
      <c r="FD1214" s="59"/>
      <c r="FE1214" s="59"/>
      <c r="FF1214" s="59"/>
      <c r="FG1214" s="59"/>
      <c r="FH1214" s="59"/>
      <c r="FI1214" s="59"/>
      <c r="FJ1214" s="59"/>
      <c r="FK1214" s="59"/>
      <c r="FL1214" s="59"/>
      <c r="FM1214" s="59"/>
      <c r="FN1214" s="59"/>
      <c r="FO1214" s="59"/>
      <c r="FP1214" s="59"/>
      <c r="FQ1214" s="59"/>
      <c r="FR1214" s="59"/>
      <c r="FS1214" s="59"/>
      <c r="FT1214" s="59"/>
      <c r="FU1214" s="59"/>
      <c r="FV1214" s="59"/>
      <c r="FW1214" s="59"/>
      <c r="FX1214" s="59"/>
      <c r="FY1214" s="59"/>
      <c r="FZ1214" s="59"/>
      <c r="GA1214" s="59"/>
      <c r="GB1214" s="59"/>
      <c r="GC1214" s="59"/>
    </row>
    <row r="1215">
      <c r="A1215" s="59"/>
      <c r="B1215" s="59"/>
      <c r="C1215" s="59"/>
      <c r="D1215" s="59"/>
      <c r="E1215" s="59"/>
      <c r="F1215" s="59"/>
      <c r="G1215" s="59"/>
      <c r="H1215" s="59"/>
      <c r="I1215" s="59"/>
      <c r="J1215" s="59"/>
      <c r="K1215" s="59"/>
      <c r="L1215" s="59"/>
      <c r="M1215" s="59"/>
      <c r="N1215" s="59"/>
      <c r="O1215" s="59"/>
      <c r="P1215" s="59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59"/>
      <c r="BR1215" s="59"/>
      <c r="BS1215" s="59"/>
      <c r="BT1215" s="59"/>
      <c r="BU1215" s="59"/>
      <c r="BV1215" s="59"/>
      <c r="BW1215" s="59"/>
      <c r="BX1215" s="59"/>
      <c r="BY1215" s="59"/>
      <c r="BZ1215" s="59"/>
      <c r="CA1215" s="59"/>
      <c r="CB1215" s="59"/>
      <c r="CC1215" s="59"/>
      <c r="CD1215" s="59"/>
      <c r="CE1215" s="59"/>
      <c r="CF1215" s="59"/>
      <c r="CG1215" s="59"/>
      <c r="CH1215" s="59"/>
      <c r="CI1215" s="59"/>
      <c r="CJ1215" s="59"/>
      <c r="CK1215" s="59"/>
      <c r="CL1215" s="59"/>
      <c r="CM1215" s="59"/>
      <c r="CN1215" s="59"/>
      <c r="CO1215" s="59"/>
      <c r="CP1215" s="59"/>
      <c r="CQ1215" s="59"/>
      <c r="CR1215" s="59"/>
      <c r="CS1215" s="59"/>
      <c r="CT1215" s="59"/>
      <c r="CU1215" s="59"/>
      <c r="CV1215" s="59"/>
      <c r="CW1215" s="59"/>
      <c r="CX1215" s="59"/>
      <c r="CY1215" s="59"/>
      <c r="CZ1215" s="59"/>
      <c r="DA1215" s="59"/>
      <c r="DB1215" s="59"/>
      <c r="DC1215" s="59"/>
      <c r="DD1215" s="59"/>
      <c r="DE1215" s="59"/>
      <c r="DF1215" s="59"/>
      <c r="DG1215" s="59"/>
      <c r="DH1215" s="59"/>
      <c r="DI1215" s="59"/>
      <c r="DJ1215" s="59"/>
      <c r="DK1215" s="59"/>
      <c r="DL1215" s="59"/>
      <c r="DM1215" s="59"/>
      <c r="DN1215" s="59"/>
      <c r="DO1215" s="59"/>
      <c r="DP1215" s="59"/>
      <c r="DQ1215" s="59"/>
      <c r="DR1215" s="59"/>
      <c r="DS1215" s="59"/>
      <c r="DT1215" s="59"/>
      <c r="DU1215" s="59"/>
      <c r="DV1215" s="59"/>
      <c r="DW1215" s="59"/>
      <c r="DX1215" s="59"/>
      <c r="DY1215" s="59"/>
      <c r="DZ1215" s="59"/>
      <c r="EA1215" s="59"/>
      <c r="EB1215" s="59"/>
      <c r="EC1215" s="59"/>
      <c r="ED1215" s="59"/>
      <c r="EE1215" s="59"/>
      <c r="EF1215" s="59"/>
      <c r="EG1215" s="59"/>
      <c r="EH1215" s="59"/>
      <c r="EI1215" s="59"/>
      <c r="EJ1215" s="59"/>
      <c r="EK1215" s="59"/>
      <c r="EL1215" s="59"/>
      <c r="EM1215" s="59"/>
      <c r="EN1215" s="59"/>
      <c r="EO1215" s="59"/>
      <c r="EP1215" s="59"/>
      <c r="EQ1215" s="59"/>
      <c r="ER1215" s="59"/>
      <c r="ES1215" s="59"/>
      <c r="ET1215" s="59"/>
      <c r="EU1215" s="59"/>
      <c r="EV1215" s="59"/>
      <c r="EW1215" s="59"/>
      <c r="EX1215" s="59"/>
      <c r="EY1215" s="59"/>
      <c r="EZ1215" s="59"/>
      <c r="FA1215" s="59"/>
      <c r="FB1215" s="59"/>
      <c r="FC1215" s="59"/>
      <c r="FD1215" s="59"/>
      <c r="FE1215" s="59"/>
      <c r="FF1215" s="59"/>
      <c r="FG1215" s="59"/>
      <c r="FH1215" s="59"/>
      <c r="FI1215" s="59"/>
      <c r="FJ1215" s="59"/>
      <c r="FK1215" s="59"/>
      <c r="FL1215" s="59"/>
      <c r="FM1215" s="59"/>
      <c r="FN1215" s="59"/>
      <c r="FO1215" s="59"/>
      <c r="FP1215" s="59"/>
      <c r="FQ1215" s="59"/>
      <c r="FR1215" s="59"/>
      <c r="FS1215" s="59"/>
      <c r="FT1215" s="59"/>
      <c r="FU1215" s="59"/>
      <c r="FV1215" s="59"/>
      <c r="FW1215" s="59"/>
      <c r="FX1215" s="59"/>
      <c r="FY1215" s="59"/>
      <c r="FZ1215" s="59"/>
      <c r="GA1215" s="59"/>
      <c r="GB1215" s="59"/>
      <c r="GC1215" s="59"/>
    </row>
    <row r="1216">
      <c r="A1216" s="59"/>
      <c r="B1216" s="59"/>
      <c r="C1216" s="59"/>
      <c r="D1216" s="59"/>
      <c r="E1216" s="59"/>
      <c r="F1216" s="59"/>
      <c r="G1216" s="59"/>
      <c r="H1216" s="59"/>
      <c r="I1216" s="59"/>
      <c r="J1216" s="59"/>
      <c r="K1216" s="59"/>
      <c r="L1216" s="59"/>
      <c r="M1216" s="59"/>
      <c r="N1216" s="59"/>
      <c r="O1216" s="59"/>
      <c r="P1216" s="59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59"/>
      <c r="BR1216" s="59"/>
      <c r="BS1216" s="59"/>
      <c r="BT1216" s="59"/>
      <c r="BU1216" s="59"/>
      <c r="BV1216" s="59"/>
      <c r="BW1216" s="59"/>
      <c r="BX1216" s="59"/>
      <c r="BY1216" s="59"/>
      <c r="BZ1216" s="59"/>
      <c r="CA1216" s="59"/>
      <c r="CB1216" s="59"/>
      <c r="CC1216" s="59"/>
      <c r="CD1216" s="59"/>
      <c r="CE1216" s="59"/>
      <c r="CF1216" s="59"/>
      <c r="CG1216" s="59"/>
      <c r="CH1216" s="59"/>
      <c r="CI1216" s="59"/>
      <c r="CJ1216" s="59"/>
      <c r="CK1216" s="59"/>
      <c r="CL1216" s="59"/>
      <c r="CM1216" s="59"/>
      <c r="CN1216" s="59"/>
      <c r="CO1216" s="59"/>
      <c r="CP1216" s="59"/>
      <c r="CQ1216" s="59"/>
      <c r="CR1216" s="59"/>
      <c r="CS1216" s="59"/>
      <c r="CT1216" s="59"/>
      <c r="CU1216" s="59"/>
      <c r="CV1216" s="59"/>
      <c r="CW1216" s="59"/>
      <c r="CX1216" s="59"/>
      <c r="CY1216" s="59"/>
      <c r="CZ1216" s="59"/>
      <c r="DA1216" s="59"/>
      <c r="DB1216" s="59"/>
      <c r="DC1216" s="59"/>
      <c r="DD1216" s="59"/>
      <c r="DE1216" s="59"/>
      <c r="DF1216" s="59"/>
      <c r="DG1216" s="59"/>
      <c r="DH1216" s="59"/>
      <c r="DI1216" s="59"/>
      <c r="DJ1216" s="59"/>
      <c r="DK1216" s="59"/>
      <c r="DL1216" s="59"/>
      <c r="DM1216" s="59"/>
      <c r="DN1216" s="59"/>
      <c r="DO1216" s="59"/>
      <c r="DP1216" s="59"/>
      <c r="DQ1216" s="59"/>
      <c r="DR1216" s="59"/>
      <c r="DS1216" s="59"/>
      <c r="DT1216" s="59"/>
      <c r="DU1216" s="59"/>
      <c r="DV1216" s="59"/>
      <c r="DW1216" s="59"/>
      <c r="DX1216" s="59"/>
      <c r="DY1216" s="59"/>
      <c r="DZ1216" s="59"/>
      <c r="EA1216" s="59"/>
      <c r="EB1216" s="59"/>
      <c r="EC1216" s="59"/>
      <c r="ED1216" s="59"/>
      <c r="EE1216" s="59"/>
      <c r="EF1216" s="59"/>
      <c r="EG1216" s="59"/>
      <c r="EH1216" s="59"/>
      <c r="EI1216" s="59"/>
      <c r="EJ1216" s="59"/>
      <c r="EK1216" s="59"/>
      <c r="EL1216" s="59"/>
      <c r="EM1216" s="59"/>
      <c r="EN1216" s="59"/>
      <c r="EO1216" s="59"/>
      <c r="EP1216" s="59"/>
      <c r="EQ1216" s="59"/>
      <c r="ER1216" s="59"/>
      <c r="ES1216" s="59"/>
      <c r="ET1216" s="59"/>
      <c r="EU1216" s="59"/>
      <c r="EV1216" s="59"/>
      <c r="EW1216" s="59"/>
      <c r="EX1216" s="59"/>
      <c r="EY1216" s="59"/>
      <c r="EZ1216" s="59"/>
      <c r="FA1216" s="59"/>
      <c r="FB1216" s="59"/>
      <c r="FC1216" s="59"/>
      <c r="FD1216" s="59"/>
      <c r="FE1216" s="59"/>
      <c r="FF1216" s="59"/>
      <c r="FG1216" s="59"/>
      <c r="FH1216" s="59"/>
      <c r="FI1216" s="59"/>
      <c r="FJ1216" s="59"/>
      <c r="FK1216" s="59"/>
      <c r="FL1216" s="59"/>
      <c r="FM1216" s="59"/>
      <c r="FN1216" s="59"/>
      <c r="FO1216" s="59"/>
      <c r="FP1216" s="59"/>
      <c r="FQ1216" s="59"/>
      <c r="FR1216" s="59"/>
      <c r="FS1216" s="59"/>
      <c r="FT1216" s="59"/>
      <c r="FU1216" s="59"/>
      <c r="FV1216" s="59"/>
      <c r="FW1216" s="59"/>
      <c r="FX1216" s="59"/>
      <c r="FY1216" s="59"/>
      <c r="FZ1216" s="59"/>
      <c r="GA1216" s="59"/>
      <c r="GB1216" s="59"/>
      <c r="GC1216" s="59"/>
    </row>
    <row r="1217">
      <c r="A1217" s="59"/>
      <c r="B1217" s="59"/>
      <c r="C1217" s="59"/>
      <c r="D1217" s="59"/>
      <c r="E1217" s="59"/>
      <c r="F1217" s="59"/>
      <c r="G1217" s="59"/>
      <c r="H1217" s="59"/>
      <c r="I1217" s="59"/>
      <c r="J1217" s="59"/>
      <c r="K1217" s="59"/>
      <c r="L1217" s="59"/>
      <c r="M1217" s="59"/>
      <c r="N1217" s="59"/>
      <c r="O1217" s="59"/>
      <c r="P1217" s="59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  <c r="AD1217" s="59"/>
      <c r="AE1217" s="59"/>
      <c r="AF1217" s="59"/>
      <c r="AG1217" s="59"/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59"/>
      <c r="BR1217" s="59"/>
      <c r="BS1217" s="59"/>
      <c r="BT1217" s="59"/>
      <c r="BU1217" s="59"/>
      <c r="BV1217" s="59"/>
      <c r="BW1217" s="59"/>
      <c r="BX1217" s="59"/>
      <c r="BY1217" s="59"/>
      <c r="BZ1217" s="59"/>
      <c r="CA1217" s="59"/>
      <c r="CB1217" s="59"/>
      <c r="CC1217" s="59"/>
      <c r="CD1217" s="59"/>
      <c r="CE1217" s="59"/>
      <c r="CF1217" s="59"/>
      <c r="CG1217" s="59"/>
      <c r="CH1217" s="59"/>
      <c r="CI1217" s="59"/>
      <c r="CJ1217" s="59"/>
      <c r="CK1217" s="59"/>
      <c r="CL1217" s="59"/>
      <c r="CM1217" s="59"/>
      <c r="CN1217" s="59"/>
      <c r="CO1217" s="59"/>
      <c r="CP1217" s="59"/>
      <c r="CQ1217" s="59"/>
      <c r="CR1217" s="59"/>
      <c r="CS1217" s="59"/>
      <c r="CT1217" s="59"/>
      <c r="CU1217" s="59"/>
      <c r="CV1217" s="59"/>
      <c r="CW1217" s="59"/>
      <c r="CX1217" s="59"/>
      <c r="CY1217" s="59"/>
      <c r="CZ1217" s="59"/>
      <c r="DA1217" s="59"/>
      <c r="DB1217" s="59"/>
      <c r="DC1217" s="59"/>
      <c r="DD1217" s="59"/>
      <c r="DE1217" s="59"/>
      <c r="DF1217" s="59"/>
      <c r="DG1217" s="59"/>
      <c r="DH1217" s="59"/>
      <c r="DI1217" s="59"/>
      <c r="DJ1217" s="59"/>
      <c r="DK1217" s="59"/>
      <c r="DL1217" s="59"/>
      <c r="DM1217" s="59"/>
      <c r="DN1217" s="59"/>
      <c r="DO1217" s="59"/>
      <c r="DP1217" s="59"/>
      <c r="DQ1217" s="59"/>
      <c r="DR1217" s="59"/>
      <c r="DS1217" s="59"/>
      <c r="DT1217" s="59"/>
      <c r="DU1217" s="59"/>
      <c r="DV1217" s="59"/>
      <c r="DW1217" s="59"/>
      <c r="DX1217" s="59"/>
      <c r="DY1217" s="59"/>
      <c r="DZ1217" s="59"/>
      <c r="EA1217" s="59"/>
      <c r="EB1217" s="59"/>
      <c r="EC1217" s="59"/>
      <c r="ED1217" s="59"/>
      <c r="EE1217" s="59"/>
      <c r="EF1217" s="59"/>
      <c r="EG1217" s="59"/>
      <c r="EH1217" s="59"/>
      <c r="EI1217" s="59"/>
      <c r="EJ1217" s="59"/>
      <c r="EK1217" s="59"/>
      <c r="EL1217" s="59"/>
      <c r="EM1217" s="59"/>
      <c r="EN1217" s="59"/>
      <c r="EO1217" s="59"/>
      <c r="EP1217" s="59"/>
      <c r="EQ1217" s="59"/>
      <c r="ER1217" s="59"/>
      <c r="ES1217" s="59"/>
      <c r="ET1217" s="59"/>
      <c r="EU1217" s="59"/>
      <c r="EV1217" s="59"/>
      <c r="EW1217" s="59"/>
      <c r="EX1217" s="59"/>
      <c r="EY1217" s="59"/>
      <c r="EZ1217" s="59"/>
      <c r="FA1217" s="59"/>
      <c r="FB1217" s="59"/>
      <c r="FC1217" s="59"/>
      <c r="FD1217" s="59"/>
      <c r="FE1217" s="59"/>
      <c r="FF1217" s="59"/>
      <c r="FG1217" s="59"/>
      <c r="FH1217" s="59"/>
      <c r="FI1217" s="59"/>
      <c r="FJ1217" s="59"/>
      <c r="FK1217" s="59"/>
      <c r="FL1217" s="59"/>
      <c r="FM1217" s="59"/>
      <c r="FN1217" s="59"/>
      <c r="FO1217" s="59"/>
      <c r="FP1217" s="59"/>
      <c r="FQ1217" s="59"/>
      <c r="FR1217" s="59"/>
      <c r="FS1217" s="59"/>
      <c r="FT1217" s="59"/>
      <c r="FU1217" s="59"/>
      <c r="FV1217" s="59"/>
      <c r="FW1217" s="59"/>
      <c r="FX1217" s="59"/>
      <c r="FY1217" s="59"/>
      <c r="FZ1217" s="59"/>
      <c r="GA1217" s="59"/>
      <c r="GB1217" s="59"/>
      <c r="GC1217" s="59"/>
    </row>
    <row r="1218">
      <c r="A1218" s="59"/>
      <c r="B1218" s="59"/>
      <c r="C1218" s="59"/>
      <c r="D1218" s="59"/>
      <c r="E1218" s="59"/>
      <c r="F1218" s="59"/>
      <c r="G1218" s="59"/>
      <c r="H1218" s="59"/>
      <c r="I1218" s="59"/>
      <c r="J1218" s="59"/>
      <c r="K1218" s="59"/>
      <c r="L1218" s="59"/>
      <c r="M1218" s="59"/>
      <c r="N1218" s="59"/>
      <c r="O1218" s="59"/>
      <c r="P1218" s="59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59"/>
      <c r="BR1218" s="59"/>
      <c r="BS1218" s="59"/>
      <c r="BT1218" s="59"/>
      <c r="BU1218" s="59"/>
      <c r="BV1218" s="59"/>
      <c r="BW1218" s="59"/>
      <c r="BX1218" s="59"/>
      <c r="BY1218" s="59"/>
      <c r="BZ1218" s="59"/>
      <c r="CA1218" s="59"/>
      <c r="CB1218" s="59"/>
      <c r="CC1218" s="59"/>
      <c r="CD1218" s="59"/>
      <c r="CE1218" s="59"/>
      <c r="CF1218" s="59"/>
      <c r="CG1218" s="59"/>
      <c r="CH1218" s="59"/>
      <c r="CI1218" s="59"/>
      <c r="CJ1218" s="59"/>
      <c r="CK1218" s="59"/>
      <c r="CL1218" s="59"/>
      <c r="CM1218" s="59"/>
      <c r="CN1218" s="59"/>
      <c r="CO1218" s="59"/>
      <c r="CP1218" s="59"/>
      <c r="CQ1218" s="59"/>
      <c r="CR1218" s="59"/>
      <c r="CS1218" s="59"/>
      <c r="CT1218" s="59"/>
      <c r="CU1218" s="59"/>
      <c r="CV1218" s="59"/>
      <c r="CW1218" s="59"/>
      <c r="CX1218" s="59"/>
      <c r="CY1218" s="59"/>
      <c r="CZ1218" s="59"/>
      <c r="DA1218" s="59"/>
      <c r="DB1218" s="59"/>
      <c r="DC1218" s="59"/>
      <c r="DD1218" s="59"/>
      <c r="DE1218" s="59"/>
      <c r="DF1218" s="59"/>
      <c r="DG1218" s="59"/>
      <c r="DH1218" s="59"/>
      <c r="DI1218" s="59"/>
      <c r="DJ1218" s="59"/>
      <c r="DK1218" s="59"/>
      <c r="DL1218" s="59"/>
      <c r="DM1218" s="59"/>
      <c r="DN1218" s="59"/>
      <c r="DO1218" s="59"/>
      <c r="DP1218" s="59"/>
      <c r="DQ1218" s="59"/>
      <c r="DR1218" s="59"/>
      <c r="DS1218" s="59"/>
      <c r="DT1218" s="59"/>
      <c r="DU1218" s="59"/>
      <c r="DV1218" s="59"/>
      <c r="DW1218" s="59"/>
      <c r="DX1218" s="59"/>
      <c r="DY1218" s="59"/>
      <c r="DZ1218" s="59"/>
      <c r="EA1218" s="59"/>
      <c r="EB1218" s="59"/>
      <c r="EC1218" s="59"/>
      <c r="ED1218" s="59"/>
      <c r="EE1218" s="59"/>
      <c r="EF1218" s="59"/>
      <c r="EG1218" s="59"/>
      <c r="EH1218" s="59"/>
      <c r="EI1218" s="59"/>
      <c r="EJ1218" s="59"/>
      <c r="EK1218" s="59"/>
      <c r="EL1218" s="59"/>
      <c r="EM1218" s="59"/>
      <c r="EN1218" s="59"/>
      <c r="EO1218" s="59"/>
      <c r="EP1218" s="59"/>
      <c r="EQ1218" s="59"/>
      <c r="ER1218" s="59"/>
      <c r="ES1218" s="59"/>
      <c r="ET1218" s="59"/>
      <c r="EU1218" s="59"/>
      <c r="EV1218" s="59"/>
      <c r="EW1218" s="59"/>
      <c r="EX1218" s="59"/>
      <c r="EY1218" s="59"/>
      <c r="EZ1218" s="59"/>
      <c r="FA1218" s="59"/>
      <c r="FB1218" s="59"/>
      <c r="FC1218" s="59"/>
      <c r="FD1218" s="59"/>
      <c r="FE1218" s="59"/>
      <c r="FF1218" s="59"/>
      <c r="FG1218" s="59"/>
      <c r="FH1218" s="59"/>
      <c r="FI1218" s="59"/>
      <c r="FJ1218" s="59"/>
      <c r="FK1218" s="59"/>
      <c r="FL1218" s="59"/>
      <c r="FM1218" s="59"/>
      <c r="FN1218" s="59"/>
      <c r="FO1218" s="59"/>
      <c r="FP1218" s="59"/>
      <c r="FQ1218" s="59"/>
      <c r="FR1218" s="59"/>
      <c r="FS1218" s="59"/>
      <c r="FT1218" s="59"/>
      <c r="FU1218" s="59"/>
      <c r="FV1218" s="59"/>
      <c r="FW1218" s="59"/>
      <c r="FX1218" s="59"/>
      <c r="FY1218" s="59"/>
      <c r="FZ1218" s="59"/>
      <c r="GA1218" s="59"/>
      <c r="GB1218" s="59"/>
      <c r="GC1218" s="59"/>
    </row>
    <row r="1219">
      <c r="A1219" s="59"/>
      <c r="B1219" s="59"/>
      <c r="C1219" s="59"/>
      <c r="D1219" s="59"/>
      <c r="E1219" s="59"/>
      <c r="F1219" s="59"/>
      <c r="G1219" s="59"/>
      <c r="H1219" s="59"/>
      <c r="I1219" s="59"/>
      <c r="J1219" s="59"/>
      <c r="K1219" s="59"/>
      <c r="L1219" s="59"/>
      <c r="M1219" s="59"/>
      <c r="N1219" s="59"/>
      <c r="O1219" s="59"/>
      <c r="P1219" s="59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  <c r="AD1219" s="59"/>
      <c r="AE1219" s="59"/>
      <c r="AF1219" s="59"/>
      <c r="AG1219" s="59"/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59"/>
      <c r="BR1219" s="59"/>
      <c r="BS1219" s="59"/>
      <c r="BT1219" s="59"/>
      <c r="BU1219" s="59"/>
      <c r="BV1219" s="59"/>
      <c r="BW1219" s="59"/>
      <c r="BX1219" s="59"/>
      <c r="BY1219" s="59"/>
      <c r="BZ1219" s="59"/>
      <c r="CA1219" s="59"/>
      <c r="CB1219" s="59"/>
      <c r="CC1219" s="59"/>
      <c r="CD1219" s="59"/>
      <c r="CE1219" s="59"/>
      <c r="CF1219" s="59"/>
      <c r="CG1219" s="59"/>
      <c r="CH1219" s="59"/>
      <c r="CI1219" s="59"/>
      <c r="CJ1219" s="59"/>
      <c r="CK1219" s="59"/>
      <c r="CL1219" s="59"/>
      <c r="CM1219" s="59"/>
      <c r="CN1219" s="59"/>
      <c r="CO1219" s="59"/>
      <c r="CP1219" s="59"/>
      <c r="CQ1219" s="59"/>
      <c r="CR1219" s="59"/>
      <c r="CS1219" s="59"/>
      <c r="CT1219" s="59"/>
      <c r="CU1219" s="59"/>
      <c r="CV1219" s="59"/>
      <c r="CW1219" s="59"/>
      <c r="CX1219" s="59"/>
      <c r="CY1219" s="59"/>
      <c r="CZ1219" s="59"/>
      <c r="DA1219" s="59"/>
      <c r="DB1219" s="59"/>
      <c r="DC1219" s="59"/>
      <c r="DD1219" s="59"/>
      <c r="DE1219" s="59"/>
      <c r="DF1219" s="59"/>
      <c r="DG1219" s="59"/>
      <c r="DH1219" s="59"/>
      <c r="DI1219" s="59"/>
      <c r="DJ1219" s="59"/>
      <c r="DK1219" s="59"/>
      <c r="DL1219" s="59"/>
      <c r="DM1219" s="59"/>
      <c r="DN1219" s="59"/>
      <c r="DO1219" s="59"/>
      <c r="DP1219" s="59"/>
      <c r="DQ1219" s="59"/>
      <c r="DR1219" s="59"/>
      <c r="DS1219" s="59"/>
      <c r="DT1219" s="59"/>
      <c r="DU1219" s="59"/>
      <c r="DV1219" s="59"/>
      <c r="DW1219" s="59"/>
      <c r="DX1219" s="59"/>
      <c r="DY1219" s="59"/>
      <c r="DZ1219" s="59"/>
      <c r="EA1219" s="59"/>
      <c r="EB1219" s="59"/>
      <c r="EC1219" s="59"/>
      <c r="ED1219" s="59"/>
      <c r="EE1219" s="59"/>
      <c r="EF1219" s="59"/>
      <c r="EG1219" s="59"/>
      <c r="EH1219" s="59"/>
      <c r="EI1219" s="59"/>
      <c r="EJ1219" s="59"/>
      <c r="EK1219" s="59"/>
      <c r="EL1219" s="59"/>
      <c r="EM1219" s="59"/>
      <c r="EN1219" s="59"/>
      <c r="EO1219" s="59"/>
      <c r="EP1219" s="59"/>
      <c r="EQ1219" s="59"/>
      <c r="ER1219" s="59"/>
      <c r="ES1219" s="59"/>
      <c r="ET1219" s="59"/>
      <c r="EU1219" s="59"/>
      <c r="EV1219" s="59"/>
      <c r="EW1219" s="59"/>
      <c r="EX1219" s="59"/>
      <c r="EY1219" s="59"/>
      <c r="EZ1219" s="59"/>
      <c r="FA1219" s="59"/>
      <c r="FB1219" s="59"/>
      <c r="FC1219" s="59"/>
      <c r="FD1219" s="59"/>
      <c r="FE1219" s="59"/>
      <c r="FF1219" s="59"/>
      <c r="FG1219" s="59"/>
      <c r="FH1219" s="59"/>
      <c r="FI1219" s="59"/>
      <c r="FJ1219" s="59"/>
      <c r="FK1219" s="59"/>
      <c r="FL1219" s="59"/>
      <c r="FM1219" s="59"/>
      <c r="FN1219" s="59"/>
      <c r="FO1219" s="59"/>
      <c r="FP1219" s="59"/>
      <c r="FQ1219" s="59"/>
      <c r="FR1219" s="59"/>
      <c r="FS1219" s="59"/>
      <c r="FT1219" s="59"/>
      <c r="FU1219" s="59"/>
      <c r="FV1219" s="59"/>
      <c r="FW1219" s="59"/>
      <c r="FX1219" s="59"/>
      <c r="FY1219" s="59"/>
      <c r="FZ1219" s="59"/>
      <c r="GA1219" s="59"/>
      <c r="GB1219" s="59"/>
      <c r="GC1219" s="59"/>
    </row>
    <row r="1220">
      <c r="A1220" s="59"/>
      <c r="B1220" s="59"/>
      <c r="C1220" s="59"/>
      <c r="D1220" s="59"/>
      <c r="E1220" s="59"/>
      <c r="F1220" s="59"/>
      <c r="G1220" s="59"/>
      <c r="H1220" s="59"/>
      <c r="I1220" s="59"/>
      <c r="J1220" s="59"/>
      <c r="K1220" s="59"/>
      <c r="L1220" s="59"/>
      <c r="M1220" s="59"/>
      <c r="N1220" s="59"/>
      <c r="O1220" s="59"/>
      <c r="P1220" s="59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59"/>
      <c r="BR1220" s="59"/>
      <c r="BS1220" s="59"/>
      <c r="BT1220" s="59"/>
      <c r="BU1220" s="59"/>
      <c r="BV1220" s="59"/>
      <c r="BW1220" s="59"/>
      <c r="BX1220" s="59"/>
      <c r="BY1220" s="59"/>
      <c r="BZ1220" s="59"/>
      <c r="CA1220" s="59"/>
      <c r="CB1220" s="59"/>
      <c r="CC1220" s="59"/>
      <c r="CD1220" s="59"/>
      <c r="CE1220" s="59"/>
      <c r="CF1220" s="59"/>
      <c r="CG1220" s="59"/>
      <c r="CH1220" s="59"/>
      <c r="CI1220" s="59"/>
      <c r="CJ1220" s="59"/>
      <c r="CK1220" s="59"/>
      <c r="CL1220" s="59"/>
      <c r="CM1220" s="59"/>
      <c r="CN1220" s="59"/>
      <c r="CO1220" s="59"/>
      <c r="CP1220" s="59"/>
      <c r="CQ1220" s="59"/>
      <c r="CR1220" s="59"/>
      <c r="CS1220" s="59"/>
      <c r="CT1220" s="59"/>
      <c r="CU1220" s="59"/>
      <c r="CV1220" s="59"/>
      <c r="CW1220" s="59"/>
      <c r="CX1220" s="59"/>
      <c r="CY1220" s="59"/>
      <c r="CZ1220" s="59"/>
      <c r="DA1220" s="59"/>
      <c r="DB1220" s="59"/>
      <c r="DC1220" s="59"/>
      <c r="DD1220" s="59"/>
      <c r="DE1220" s="59"/>
      <c r="DF1220" s="59"/>
      <c r="DG1220" s="59"/>
      <c r="DH1220" s="59"/>
      <c r="DI1220" s="59"/>
      <c r="DJ1220" s="59"/>
      <c r="DK1220" s="59"/>
      <c r="DL1220" s="59"/>
      <c r="DM1220" s="59"/>
      <c r="DN1220" s="59"/>
      <c r="DO1220" s="59"/>
      <c r="DP1220" s="59"/>
      <c r="DQ1220" s="59"/>
      <c r="DR1220" s="59"/>
      <c r="DS1220" s="59"/>
      <c r="DT1220" s="59"/>
      <c r="DU1220" s="59"/>
      <c r="DV1220" s="59"/>
      <c r="DW1220" s="59"/>
      <c r="DX1220" s="59"/>
      <c r="DY1220" s="59"/>
      <c r="DZ1220" s="59"/>
      <c r="EA1220" s="59"/>
      <c r="EB1220" s="59"/>
      <c r="EC1220" s="59"/>
      <c r="ED1220" s="59"/>
      <c r="EE1220" s="59"/>
      <c r="EF1220" s="59"/>
      <c r="EG1220" s="59"/>
      <c r="EH1220" s="59"/>
      <c r="EI1220" s="59"/>
      <c r="EJ1220" s="59"/>
      <c r="EK1220" s="59"/>
      <c r="EL1220" s="59"/>
      <c r="EM1220" s="59"/>
      <c r="EN1220" s="59"/>
      <c r="EO1220" s="59"/>
      <c r="EP1220" s="59"/>
      <c r="EQ1220" s="59"/>
      <c r="ER1220" s="59"/>
      <c r="ES1220" s="59"/>
      <c r="ET1220" s="59"/>
      <c r="EU1220" s="59"/>
      <c r="EV1220" s="59"/>
      <c r="EW1220" s="59"/>
      <c r="EX1220" s="59"/>
      <c r="EY1220" s="59"/>
      <c r="EZ1220" s="59"/>
      <c r="FA1220" s="59"/>
      <c r="FB1220" s="59"/>
      <c r="FC1220" s="59"/>
      <c r="FD1220" s="59"/>
      <c r="FE1220" s="59"/>
      <c r="FF1220" s="59"/>
      <c r="FG1220" s="59"/>
      <c r="FH1220" s="59"/>
      <c r="FI1220" s="59"/>
      <c r="FJ1220" s="59"/>
      <c r="FK1220" s="59"/>
      <c r="FL1220" s="59"/>
      <c r="FM1220" s="59"/>
      <c r="FN1220" s="59"/>
      <c r="FO1220" s="59"/>
      <c r="FP1220" s="59"/>
      <c r="FQ1220" s="59"/>
      <c r="FR1220" s="59"/>
      <c r="FS1220" s="59"/>
      <c r="FT1220" s="59"/>
      <c r="FU1220" s="59"/>
      <c r="FV1220" s="59"/>
      <c r="FW1220" s="59"/>
      <c r="FX1220" s="59"/>
      <c r="FY1220" s="59"/>
      <c r="FZ1220" s="59"/>
      <c r="GA1220" s="59"/>
      <c r="GB1220" s="59"/>
      <c r="GC1220" s="59"/>
    </row>
    <row r="1221">
      <c r="A1221" s="59"/>
      <c r="B1221" s="59"/>
      <c r="C1221" s="59"/>
      <c r="D1221" s="59"/>
      <c r="E1221" s="59"/>
      <c r="F1221" s="59"/>
      <c r="G1221" s="59"/>
      <c r="H1221" s="59"/>
      <c r="I1221" s="59"/>
      <c r="J1221" s="59"/>
      <c r="K1221" s="59"/>
      <c r="L1221" s="59"/>
      <c r="M1221" s="59"/>
      <c r="N1221" s="59"/>
      <c r="O1221" s="59"/>
      <c r="P1221" s="59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  <c r="AD1221" s="59"/>
      <c r="AE1221" s="59"/>
      <c r="AF1221" s="59"/>
      <c r="AG1221" s="59"/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59"/>
      <c r="BR1221" s="59"/>
      <c r="BS1221" s="59"/>
      <c r="BT1221" s="59"/>
      <c r="BU1221" s="59"/>
      <c r="BV1221" s="59"/>
      <c r="BW1221" s="59"/>
      <c r="BX1221" s="59"/>
      <c r="BY1221" s="59"/>
      <c r="BZ1221" s="59"/>
      <c r="CA1221" s="59"/>
      <c r="CB1221" s="59"/>
      <c r="CC1221" s="59"/>
      <c r="CD1221" s="59"/>
      <c r="CE1221" s="59"/>
      <c r="CF1221" s="59"/>
      <c r="CG1221" s="59"/>
      <c r="CH1221" s="59"/>
      <c r="CI1221" s="59"/>
      <c r="CJ1221" s="59"/>
      <c r="CK1221" s="59"/>
      <c r="CL1221" s="59"/>
      <c r="CM1221" s="59"/>
      <c r="CN1221" s="59"/>
      <c r="CO1221" s="59"/>
      <c r="CP1221" s="59"/>
      <c r="CQ1221" s="59"/>
      <c r="CR1221" s="59"/>
      <c r="CS1221" s="59"/>
      <c r="CT1221" s="59"/>
      <c r="CU1221" s="59"/>
      <c r="CV1221" s="59"/>
      <c r="CW1221" s="59"/>
      <c r="CX1221" s="59"/>
      <c r="CY1221" s="59"/>
      <c r="CZ1221" s="59"/>
      <c r="DA1221" s="59"/>
      <c r="DB1221" s="59"/>
      <c r="DC1221" s="59"/>
      <c r="DD1221" s="59"/>
      <c r="DE1221" s="59"/>
      <c r="DF1221" s="59"/>
      <c r="DG1221" s="59"/>
      <c r="DH1221" s="59"/>
      <c r="DI1221" s="59"/>
      <c r="DJ1221" s="59"/>
      <c r="DK1221" s="59"/>
      <c r="DL1221" s="59"/>
      <c r="DM1221" s="59"/>
      <c r="DN1221" s="59"/>
      <c r="DO1221" s="59"/>
      <c r="DP1221" s="59"/>
      <c r="DQ1221" s="59"/>
      <c r="DR1221" s="59"/>
      <c r="DS1221" s="59"/>
      <c r="DT1221" s="59"/>
      <c r="DU1221" s="59"/>
      <c r="DV1221" s="59"/>
      <c r="DW1221" s="59"/>
      <c r="DX1221" s="59"/>
      <c r="DY1221" s="59"/>
      <c r="DZ1221" s="59"/>
      <c r="EA1221" s="59"/>
      <c r="EB1221" s="59"/>
      <c r="EC1221" s="59"/>
      <c r="ED1221" s="59"/>
      <c r="EE1221" s="59"/>
      <c r="EF1221" s="59"/>
      <c r="EG1221" s="59"/>
      <c r="EH1221" s="59"/>
      <c r="EI1221" s="59"/>
      <c r="EJ1221" s="59"/>
      <c r="EK1221" s="59"/>
      <c r="EL1221" s="59"/>
      <c r="EM1221" s="59"/>
      <c r="EN1221" s="59"/>
      <c r="EO1221" s="59"/>
      <c r="EP1221" s="59"/>
      <c r="EQ1221" s="59"/>
      <c r="ER1221" s="59"/>
      <c r="ES1221" s="59"/>
      <c r="ET1221" s="59"/>
      <c r="EU1221" s="59"/>
      <c r="EV1221" s="59"/>
      <c r="EW1221" s="59"/>
      <c r="EX1221" s="59"/>
      <c r="EY1221" s="59"/>
      <c r="EZ1221" s="59"/>
      <c r="FA1221" s="59"/>
      <c r="FB1221" s="59"/>
      <c r="FC1221" s="59"/>
      <c r="FD1221" s="59"/>
      <c r="FE1221" s="59"/>
      <c r="FF1221" s="59"/>
      <c r="FG1221" s="59"/>
      <c r="FH1221" s="59"/>
      <c r="FI1221" s="59"/>
      <c r="FJ1221" s="59"/>
      <c r="FK1221" s="59"/>
      <c r="FL1221" s="59"/>
      <c r="FM1221" s="59"/>
      <c r="FN1221" s="59"/>
      <c r="FO1221" s="59"/>
      <c r="FP1221" s="59"/>
      <c r="FQ1221" s="59"/>
      <c r="FR1221" s="59"/>
      <c r="FS1221" s="59"/>
      <c r="FT1221" s="59"/>
      <c r="FU1221" s="59"/>
      <c r="FV1221" s="59"/>
      <c r="FW1221" s="59"/>
      <c r="FX1221" s="59"/>
      <c r="FY1221" s="59"/>
      <c r="FZ1221" s="59"/>
      <c r="GA1221" s="59"/>
      <c r="GB1221" s="59"/>
      <c r="GC1221" s="59"/>
    </row>
    <row r="1222">
      <c r="A1222" s="59"/>
      <c r="B1222" s="59"/>
      <c r="C1222" s="59"/>
      <c r="D1222" s="59"/>
      <c r="E1222" s="59"/>
      <c r="F1222" s="59"/>
      <c r="G1222" s="59"/>
      <c r="H1222" s="59"/>
      <c r="I1222" s="59"/>
      <c r="J1222" s="59"/>
      <c r="K1222" s="59"/>
      <c r="L1222" s="59"/>
      <c r="M1222" s="59"/>
      <c r="N1222" s="59"/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59"/>
      <c r="BR1222" s="59"/>
      <c r="BS1222" s="59"/>
      <c r="BT1222" s="59"/>
      <c r="BU1222" s="59"/>
      <c r="BV1222" s="59"/>
      <c r="BW1222" s="59"/>
      <c r="BX1222" s="59"/>
      <c r="BY1222" s="59"/>
      <c r="BZ1222" s="59"/>
      <c r="CA1222" s="59"/>
      <c r="CB1222" s="59"/>
      <c r="CC1222" s="59"/>
      <c r="CD1222" s="59"/>
      <c r="CE1222" s="59"/>
      <c r="CF1222" s="59"/>
      <c r="CG1222" s="59"/>
      <c r="CH1222" s="59"/>
      <c r="CI1222" s="59"/>
      <c r="CJ1222" s="59"/>
      <c r="CK1222" s="59"/>
      <c r="CL1222" s="59"/>
      <c r="CM1222" s="59"/>
      <c r="CN1222" s="59"/>
      <c r="CO1222" s="59"/>
      <c r="CP1222" s="59"/>
      <c r="CQ1222" s="59"/>
      <c r="CR1222" s="59"/>
      <c r="CS1222" s="59"/>
      <c r="CT1222" s="59"/>
      <c r="CU1222" s="59"/>
      <c r="CV1222" s="59"/>
      <c r="CW1222" s="59"/>
      <c r="CX1222" s="59"/>
      <c r="CY1222" s="59"/>
      <c r="CZ1222" s="59"/>
      <c r="DA1222" s="59"/>
      <c r="DB1222" s="59"/>
      <c r="DC1222" s="59"/>
      <c r="DD1222" s="59"/>
      <c r="DE1222" s="59"/>
      <c r="DF1222" s="59"/>
      <c r="DG1222" s="59"/>
      <c r="DH1222" s="59"/>
      <c r="DI1222" s="59"/>
      <c r="DJ1222" s="59"/>
      <c r="DK1222" s="59"/>
      <c r="DL1222" s="59"/>
      <c r="DM1222" s="59"/>
      <c r="DN1222" s="59"/>
      <c r="DO1222" s="59"/>
      <c r="DP1222" s="59"/>
      <c r="DQ1222" s="59"/>
      <c r="DR1222" s="59"/>
      <c r="DS1222" s="59"/>
      <c r="DT1222" s="59"/>
      <c r="DU1222" s="59"/>
      <c r="DV1222" s="59"/>
      <c r="DW1222" s="59"/>
      <c r="DX1222" s="59"/>
      <c r="DY1222" s="59"/>
      <c r="DZ1222" s="59"/>
      <c r="EA1222" s="59"/>
      <c r="EB1222" s="59"/>
      <c r="EC1222" s="59"/>
      <c r="ED1222" s="59"/>
      <c r="EE1222" s="59"/>
      <c r="EF1222" s="59"/>
      <c r="EG1222" s="59"/>
      <c r="EH1222" s="59"/>
      <c r="EI1222" s="59"/>
      <c r="EJ1222" s="59"/>
      <c r="EK1222" s="59"/>
      <c r="EL1222" s="59"/>
      <c r="EM1222" s="59"/>
      <c r="EN1222" s="59"/>
      <c r="EO1222" s="59"/>
      <c r="EP1222" s="59"/>
      <c r="EQ1222" s="59"/>
      <c r="ER1222" s="59"/>
      <c r="ES1222" s="59"/>
      <c r="ET1222" s="59"/>
      <c r="EU1222" s="59"/>
      <c r="EV1222" s="59"/>
      <c r="EW1222" s="59"/>
      <c r="EX1222" s="59"/>
      <c r="EY1222" s="59"/>
      <c r="EZ1222" s="59"/>
      <c r="FA1222" s="59"/>
      <c r="FB1222" s="59"/>
      <c r="FC1222" s="59"/>
      <c r="FD1222" s="59"/>
      <c r="FE1222" s="59"/>
      <c r="FF1222" s="59"/>
      <c r="FG1222" s="59"/>
      <c r="FH1222" s="59"/>
      <c r="FI1222" s="59"/>
      <c r="FJ1222" s="59"/>
      <c r="FK1222" s="59"/>
      <c r="FL1222" s="59"/>
      <c r="FM1222" s="59"/>
      <c r="FN1222" s="59"/>
      <c r="FO1222" s="59"/>
      <c r="FP1222" s="59"/>
      <c r="FQ1222" s="59"/>
      <c r="FR1222" s="59"/>
      <c r="FS1222" s="59"/>
      <c r="FT1222" s="59"/>
      <c r="FU1222" s="59"/>
      <c r="FV1222" s="59"/>
      <c r="FW1222" s="59"/>
      <c r="FX1222" s="59"/>
      <c r="FY1222" s="59"/>
      <c r="FZ1222" s="59"/>
      <c r="GA1222" s="59"/>
      <c r="GB1222" s="59"/>
      <c r="GC1222" s="59"/>
    </row>
    <row r="1223">
      <c r="A1223" s="59"/>
      <c r="B1223" s="59"/>
      <c r="C1223" s="59"/>
      <c r="D1223" s="59"/>
      <c r="E1223" s="59"/>
      <c r="F1223" s="59"/>
      <c r="G1223" s="59"/>
      <c r="H1223" s="59"/>
      <c r="I1223" s="59"/>
      <c r="J1223" s="59"/>
      <c r="K1223" s="59"/>
      <c r="L1223" s="59"/>
      <c r="M1223" s="59"/>
      <c r="N1223" s="59"/>
      <c r="O1223" s="59"/>
      <c r="P1223" s="59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  <c r="AD1223" s="59"/>
      <c r="AE1223" s="59"/>
      <c r="AF1223" s="59"/>
      <c r="AG1223" s="59"/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59"/>
      <c r="BR1223" s="59"/>
      <c r="BS1223" s="59"/>
      <c r="BT1223" s="59"/>
      <c r="BU1223" s="59"/>
      <c r="BV1223" s="59"/>
      <c r="BW1223" s="59"/>
      <c r="BX1223" s="59"/>
      <c r="BY1223" s="59"/>
      <c r="BZ1223" s="59"/>
      <c r="CA1223" s="59"/>
      <c r="CB1223" s="59"/>
      <c r="CC1223" s="59"/>
      <c r="CD1223" s="59"/>
      <c r="CE1223" s="59"/>
      <c r="CF1223" s="59"/>
      <c r="CG1223" s="59"/>
      <c r="CH1223" s="59"/>
      <c r="CI1223" s="59"/>
      <c r="CJ1223" s="59"/>
      <c r="CK1223" s="59"/>
      <c r="CL1223" s="59"/>
      <c r="CM1223" s="59"/>
      <c r="CN1223" s="59"/>
      <c r="CO1223" s="59"/>
      <c r="CP1223" s="59"/>
      <c r="CQ1223" s="59"/>
      <c r="CR1223" s="59"/>
      <c r="CS1223" s="59"/>
      <c r="CT1223" s="59"/>
      <c r="CU1223" s="59"/>
      <c r="CV1223" s="59"/>
      <c r="CW1223" s="59"/>
      <c r="CX1223" s="59"/>
      <c r="CY1223" s="59"/>
      <c r="CZ1223" s="59"/>
      <c r="DA1223" s="59"/>
      <c r="DB1223" s="59"/>
      <c r="DC1223" s="59"/>
      <c r="DD1223" s="59"/>
      <c r="DE1223" s="59"/>
      <c r="DF1223" s="59"/>
      <c r="DG1223" s="59"/>
      <c r="DH1223" s="59"/>
      <c r="DI1223" s="59"/>
      <c r="DJ1223" s="59"/>
      <c r="DK1223" s="59"/>
      <c r="DL1223" s="59"/>
      <c r="DM1223" s="59"/>
      <c r="DN1223" s="59"/>
      <c r="DO1223" s="59"/>
      <c r="DP1223" s="59"/>
      <c r="DQ1223" s="59"/>
      <c r="DR1223" s="59"/>
      <c r="DS1223" s="59"/>
      <c r="DT1223" s="59"/>
      <c r="DU1223" s="59"/>
      <c r="DV1223" s="59"/>
      <c r="DW1223" s="59"/>
      <c r="DX1223" s="59"/>
      <c r="DY1223" s="59"/>
      <c r="DZ1223" s="59"/>
      <c r="EA1223" s="59"/>
      <c r="EB1223" s="59"/>
      <c r="EC1223" s="59"/>
      <c r="ED1223" s="59"/>
      <c r="EE1223" s="59"/>
      <c r="EF1223" s="59"/>
      <c r="EG1223" s="59"/>
      <c r="EH1223" s="59"/>
      <c r="EI1223" s="59"/>
      <c r="EJ1223" s="59"/>
      <c r="EK1223" s="59"/>
      <c r="EL1223" s="59"/>
      <c r="EM1223" s="59"/>
      <c r="EN1223" s="59"/>
      <c r="EO1223" s="59"/>
      <c r="EP1223" s="59"/>
      <c r="EQ1223" s="59"/>
      <c r="ER1223" s="59"/>
      <c r="ES1223" s="59"/>
      <c r="ET1223" s="59"/>
      <c r="EU1223" s="59"/>
      <c r="EV1223" s="59"/>
      <c r="EW1223" s="59"/>
      <c r="EX1223" s="59"/>
      <c r="EY1223" s="59"/>
      <c r="EZ1223" s="59"/>
      <c r="FA1223" s="59"/>
      <c r="FB1223" s="59"/>
      <c r="FC1223" s="59"/>
      <c r="FD1223" s="59"/>
      <c r="FE1223" s="59"/>
      <c r="FF1223" s="59"/>
      <c r="FG1223" s="59"/>
      <c r="FH1223" s="59"/>
      <c r="FI1223" s="59"/>
      <c r="FJ1223" s="59"/>
      <c r="FK1223" s="59"/>
      <c r="FL1223" s="59"/>
      <c r="FM1223" s="59"/>
      <c r="FN1223" s="59"/>
      <c r="FO1223" s="59"/>
      <c r="FP1223" s="59"/>
      <c r="FQ1223" s="59"/>
      <c r="FR1223" s="59"/>
      <c r="FS1223" s="59"/>
      <c r="FT1223" s="59"/>
      <c r="FU1223" s="59"/>
      <c r="FV1223" s="59"/>
      <c r="FW1223" s="59"/>
      <c r="FX1223" s="59"/>
      <c r="FY1223" s="59"/>
      <c r="FZ1223" s="59"/>
      <c r="GA1223" s="59"/>
      <c r="GB1223" s="59"/>
      <c r="GC1223" s="59"/>
    </row>
    <row r="1224">
      <c r="A1224" s="59"/>
      <c r="B1224" s="59"/>
      <c r="C1224" s="59"/>
      <c r="D1224" s="59"/>
      <c r="E1224" s="59"/>
      <c r="F1224" s="59"/>
      <c r="G1224" s="59"/>
      <c r="H1224" s="59"/>
      <c r="I1224" s="59"/>
      <c r="J1224" s="59"/>
      <c r="K1224" s="59"/>
      <c r="L1224" s="59"/>
      <c r="M1224" s="59"/>
      <c r="N1224" s="59"/>
      <c r="O1224" s="59"/>
      <c r="P1224" s="59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59"/>
      <c r="BR1224" s="59"/>
      <c r="BS1224" s="59"/>
      <c r="BT1224" s="59"/>
      <c r="BU1224" s="59"/>
      <c r="BV1224" s="59"/>
      <c r="BW1224" s="59"/>
      <c r="BX1224" s="59"/>
      <c r="BY1224" s="59"/>
      <c r="BZ1224" s="59"/>
      <c r="CA1224" s="59"/>
      <c r="CB1224" s="59"/>
      <c r="CC1224" s="59"/>
      <c r="CD1224" s="59"/>
      <c r="CE1224" s="59"/>
      <c r="CF1224" s="59"/>
      <c r="CG1224" s="59"/>
      <c r="CH1224" s="59"/>
      <c r="CI1224" s="59"/>
      <c r="CJ1224" s="59"/>
      <c r="CK1224" s="59"/>
      <c r="CL1224" s="59"/>
      <c r="CM1224" s="59"/>
      <c r="CN1224" s="59"/>
      <c r="CO1224" s="59"/>
      <c r="CP1224" s="59"/>
      <c r="CQ1224" s="59"/>
      <c r="CR1224" s="59"/>
      <c r="CS1224" s="59"/>
      <c r="CT1224" s="59"/>
      <c r="CU1224" s="59"/>
      <c r="CV1224" s="59"/>
      <c r="CW1224" s="59"/>
      <c r="CX1224" s="59"/>
      <c r="CY1224" s="59"/>
      <c r="CZ1224" s="59"/>
      <c r="DA1224" s="59"/>
      <c r="DB1224" s="59"/>
      <c r="DC1224" s="59"/>
      <c r="DD1224" s="59"/>
      <c r="DE1224" s="59"/>
      <c r="DF1224" s="59"/>
      <c r="DG1224" s="59"/>
      <c r="DH1224" s="59"/>
      <c r="DI1224" s="59"/>
      <c r="DJ1224" s="59"/>
      <c r="DK1224" s="59"/>
      <c r="DL1224" s="59"/>
      <c r="DM1224" s="59"/>
      <c r="DN1224" s="59"/>
      <c r="DO1224" s="59"/>
      <c r="DP1224" s="59"/>
      <c r="DQ1224" s="59"/>
      <c r="DR1224" s="59"/>
      <c r="DS1224" s="59"/>
      <c r="DT1224" s="59"/>
      <c r="DU1224" s="59"/>
      <c r="DV1224" s="59"/>
      <c r="DW1224" s="59"/>
      <c r="DX1224" s="59"/>
      <c r="DY1224" s="59"/>
      <c r="DZ1224" s="59"/>
      <c r="EA1224" s="59"/>
      <c r="EB1224" s="59"/>
      <c r="EC1224" s="59"/>
      <c r="ED1224" s="59"/>
      <c r="EE1224" s="59"/>
      <c r="EF1224" s="59"/>
      <c r="EG1224" s="59"/>
      <c r="EH1224" s="59"/>
      <c r="EI1224" s="59"/>
      <c r="EJ1224" s="59"/>
      <c r="EK1224" s="59"/>
      <c r="EL1224" s="59"/>
      <c r="EM1224" s="59"/>
      <c r="EN1224" s="59"/>
      <c r="EO1224" s="59"/>
      <c r="EP1224" s="59"/>
      <c r="EQ1224" s="59"/>
      <c r="ER1224" s="59"/>
      <c r="ES1224" s="59"/>
      <c r="ET1224" s="59"/>
      <c r="EU1224" s="59"/>
      <c r="EV1224" s="59"/>
      <c r="EW1224" s="59"/>
      <c r="EX1224" s="59"/>
      <c r="EY1224" s="59"/>
      <c r="EZ1224" s="59"/>
      <c r="FA1224" s="59"/>
      <c r="FB1224" s="59"/>
      <c r="FC1224" s="59"/>
      <c r="FD1224" s="59"/>
      <c r="FE1224" s="59"/>
      <c r="FF1224" s="59"/>
      <c r="FG1224" s="59"/>
      <c r="FH1224" s="59"/>
      <c r="FI1224" s="59"/>
      <c r="FJ1224" s="59"/>
      <c r="FK1224" s="59"/>
      <c r="FL1224" s="59"/>
      <c r="FM1224" s="59"/>
      <c r="FN1224" s="59"/>
      <c r="FO1224" s="59"/>
      <c r="FP1224" s="59"/>
      <c r="FQ1224" s="59"/>
      <c r="FR1224" s="59"/>
      <c r="FS1224" s="59"/>
      <c r="FT1224" s="59"/>
      <c r="FU1224" s="59"/>
      <c r="FV1224" s="59"/>
      <c r="FW1224" s="59"/>
      <c r="FX1224" s="59"/>
      <c r="FY1224" s="59"/>
      <c r="FZ1224" s="59"/>
      <c r="GA1224" s="59"/>
      <c r="GB1224" s="59"/>
      <c r="GC1224" s="59"/>
    </row>
    <row r="1225">
      <c r="A1225" s="59"/>
      <c r="B1225" s="59"/>
      <c r="C1225" s="59"/>
      <c r="D1225" s="59"/>
      <c r="E1225" s="59"/>
      <c r="F1225" s="59"/>
      <c r="G1225" s="59"/>
      <c r="H1225" s="59"/>
      <c r="I1225" s="59"/>
      <c r="J1225" s="59"/>
      <c r="K1225" s="59"/>
      <c r="L1225" s="59"/>
      <c r="M1225" s="59"/>
      <c r="N1225" s="59"/>
      <c r="O1225" s="59"/>
      <c r="P1225" s="59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  <c r="AD1225" s="59"/>
      <c r="AE1225" s="59"/>
      <c r="AF1225" s="59"/>
      <c r="AG1225" s="59"/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59"/>
      <c r="BR1225" s="59"/>
      <c r="BS1225" s="59"/>
      <c r="BT1225" s="59"/>
      <c r="BU1225" s="59"/>
      <c r="BV1225" s="59"/>
      <c r="BW1225" s="59"/>
      <c r="BX1225" s="59"/>
      <c r="BY1225" s="59"/>
      <c r="BZ1225" s="59"/>
      <c r="CA1225" s="59"/>
      <c r="CB1225" s="59"/>
      <c r="CC1225" s="59"/>
      <c r="CD1225" s="59"/>
      <c r="CE1225" s="59"/>
      <c r="CF1225" s="59"/>
      <c r="CG1225" s="59"/>
      <c r="CH1225" s="59"/>
      <c r="CI1225" s="59"/>
      <c r="CJ1225" s="59"/>
      <c r="CK1225" s="59"/>
      <c r="CL1225" s="59"/>
      <c r="CM1225" s="59"/>
      <c r="CN1225" s="59"/>
      <c r="CO1225" s="59"/>
      <c r="CP1225" s="59"/>
      <c r="CQ1225" s="59"/>
      <c r="CR1225" s="59"/>
      <c r="CS1225" s="59"/>
      <c r="CT1225" s="59"/>
      <c r="CU1225" s="59"/>
      <c r="CV1225" s="59"/>
      <c r="CW1225" s="59"/>
      <c r="CX1225" s="59"/>
      <c r="CY1225" s="59"/>
      <c r="CZ1225" s="59"/>
      <c r="DA1225" s="59"/>
      <c r="DB1225" s="59"/>
      <c r="DC1225" s="59"/>
      <c r="DD1225" s="59"/>
      <c r="DE1225" s="59"/>
      <c r="DF1225" s="59"/>
      <c r="DG1225" s="59"/>
      <c r="DH1225" s="59"/>
      <c r="DI1225" s="59"/>
      <c r="DJ1225" s="59"/>
      <c r="DK1225" s="59"/>
      <c r="DL1225" s="59"/>
      <c r="DM1225" s="59"/>
      <c r="DN1225" s="59"/>
      <c r="DO1225" s="59"/>
      <c r="DP1225" s="59"/>
      <c r="DQ1225" s="59"/>
      <c r="DR1225" s="59"/>
      <c r="DS1225" s="59"/>
      <c r="DT1225" s="59"/>
      <c r="DU1225" s="59"/>
      <c r="DV1225" s="59"/>
      <c r="DW1225" s="59"/>
      <c r="DX1225" s="59"/>
      <c r="DY1225" s="59"/>
      <c r="DZ1225" s="59"/>
      <c r="EA1225" s="59"/>
      <c r="EB1225" s="59"/>
      <c r="EC1225" s="59"/>
      <c r="ED1225" s="59"/>
      <c r="EE1225" s="59"/>
      <c r="EF1225" s="59"/>
      <c r="EG1225" s="59"/>
      <c r="EH1225" s="59"/>
      <c r="EI1225" s="59"/>
      <c r="EJ1225" s="59"/>
      <c r="EK1225" s="59"/>
      <c r="EL1225" s="59"/>
      <c r="EM1225" s="59"/>
      <c r="EN1225" s="59"/>
      <c r="EO1225" s="59"/>
      <c r="EP1225" s="59"/>
      <c r="EQ1225" s="59"/>
      <c r="ER1225" s="59"/>
      <c r="ES1225" s="59"/>
      <c r="ET1225" s="59"/>
      <c r="EU1225" s="59"/>
      <c r="EV1225" s="59"/>
      <c r="EW1225" s="59"/>
      <c r="EX1225" s="59"/>
      <c r="EY1225" s="59"/>
      <c r="EZ1225" s="59"/>
      <c r="FA1225" s="59"/>
      <c r="FB1225" s="59"/>
      <c r="FC1225" s="59"/>
      <c r="FD1225" s="59"/>
      <c r="FE1225" s="59"/>
      <c r="FF1225" s="59"/>
      <c r="FG1225" s="59"/>
      <c r="FH1225" s="59"/>
      <c r="FI1225" s="59"/>
      <c r="FJ1225" s="59"/>
      <c r="FK1225" s="59"/>
      <c r="FL1225" s="59"/>
      <c r="FM1225" s="59"/>
      <c r="FN1225" s="59"/>
      <c r="FO1225" s="59"/>
      <c r="FP1225" s="59"/>
      <c r="FQ1225" s="59"/>
      <c r="FR1225" s="59"/>
      <c r="FS1225" s="59"/>
      <c r="FT1225" s="59"/>
      <c r="FU1225" s="59"/>
      <c r="FV1225" s="59"/>
      <c r="FW1225" s="59"/>
      <c r="FX1225" s="59"/>
      <c r="FY1225" s="59"/>
      <c r="FZ1225" s="59"/>
      <c r="GA1225" s="59"/>
      <c r="GB1225" s="59"/>
      <c r="GC1225" s="59"/>
    </row>
    <row r="1226">
      <c r="A1226" s="59"/>
      <c r="B1226" s="59"/>
      <c r="C1226" s="59"/>
      <c r="D1226" s="59"/>
      <c r="E1226" s="59"/>
      <c r="F1226" s="59"/>
      <c r="G1226" s="59"/>
      <c r="H1226" s="59"/>
      <c r="I1226" s="59"/>
      <c r="J1226" s="59"/>
      <c r="K1226" s="59"/>
      <c r="L1226" s="59"/>
      <c r="M1226" s="59"/>
      <c r="N1226" s="59"/>
      <c r="O1226" s="59"/>
      <c r="P1226" s="59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59"/>
      <c r="BR1226" s="59"/>
      <c r="BS1226" s="59"/>
      <c r="BT1226" s="59"/>
      <c r="BU1226" s="59"/>
      <c r="BV1226" s="59"/>
      <c r="BW1226" s="59"/>
      <c r="BX1226" s="59"/>
      <c r="BY1226" s="59"/>
      <c r="BZ1226" s="59"/>
      <c r="CA1226" s="59"/>
      <c r="CB1226" s="59"/>
      <c r="CC1226" s="59"/>
      <c r="CD1226" s="59"/>
      <c r="CE1226" s="59"/>
      <c r="CF1226" s="59"/>
      <c r="CG1226" s="59"/>
      <c r="CH1226" s="59"/>
      <c r="CI1226" s="59"/>
      <c r="CJ1226" s="59"/>
      <c r="CK1226" s="59"/>
      <c r="CL1226" s="59"/>
      <c r="CM1226" s="59"/>
      <c r="CN1226" s="59"/>
      <c r="CO1226" s="59"/>
      <c r="CP1226" s="59"/>
      <c r="CQ1226" s="59"/>
      <c r="CR1226" s="59"/>
      <c r="CS1226" s="59"/>
      <c r="CT1226" s="59"/>
      <c r="CU1226" s="59"/>
      <c r="CV1226" s="59"/>
      <c r="CW1226" s="59"/>
      <c r="CX1226" s="59"/>
      <c r="CY1226" s="59"/>
      <c r="CZ1226" s="59"/>
      <c r="DA1226" s="59"/>
      <c r="DB1226" s="59"/>
      <c r="DC1226" s="59"/>
      <c r="DD1226" s="59"/>
      <c r="DE1226" s="59"/>
      <c r="DF1226" s="59"/>
      <c r="DG1226" s="59"/>
      <c r="DH1226" s="59"/>
      <c r="DI1226" s="59"/>
      <c r="DJ1226" s="59"/>
      <c r="DK1226" s="59"/>
      <c r="DL1226" s="59"/>
      <c r="DM1226" s="59"/>
      <c r="DN1226" s="59"/>
      <c r="DO1226" s="59"/>
      <c r="DP1226" s="59"/>
      <c r="DQ1226" s="59"/>
      <c r="DR1226" s="59"/>
      <c r="DS1226" s="59"/>
      <c r="DT1226" s="59"/>
      <c r="DU1226" s="59"/>
      <c r="DV1226" s="59"/>
      <c r="DW1226" s="59"/>
      <c r="DX1226" s="59"/>
      <c r="DY1226" s="59"/>
      <c r="DZ1226" s="59"/>
      <c r="EA1226" s="59"/>
      <c r="EB1226" s="59"/>
      <c r="EC1226" s="59"/>
      <c r="ED1226" s="59"/>
      <c r="EE1226" s="59"/>
      <c r="EF1226" s="59"/>
      <c r="EG1226" s="59"/>
      <c r="EH1226" s="59"/>
      <c r="EI1226" s="59"/>
      <c r="EJ1226" s="59"/>
      <c r="EK1226" s="59"/>
      <c r="EL1226" s="59"/>
      <c r="EM1226" s="59"/>
      <c r="EN1226" s="59"/>
      <c r="EO1226" s="59"/>
      <c r="EP1226" s="59"/>
      <c r="EQ1226" s="59"/>
      <c r="ER1226" s="59"/>
      <c r="ES1226" s="59"/>
      <c r="ET1226" s="59"/>
      <c r="EU1226" s="59"/>
      <c r="EV1226" s="59"/>
      <c r="EW1226" s="59"/>
      <c r="EX1226" s="59"/>
      <c r="EY1226" s="59"/>
      <c r="EZ1226" s="59"/>
      <c r="FA1226" s="59"/>
      <c r="FB1226" s="59"/>
      <c r="FC1226" s="59"/>
      <c r="FD1226" s="59"/>
      <c r="FE1226" s="59"/>
      <c r="FF1226" s="59"/>
      <c r="FG1226" s="59"/>
      <c r="FH1226" s="59"/>
      <c r="FI1226" s="59"/>
      <c r="FJ1226" s="59"/>
      <c r="FK1226" s="59"/>
      <c r="FL1226" s="59"/>
      <c r="FM1226" s="59"/>
      <c r="FN1226" s="59"/>
      <c r="FO1226" s="59"/>
      <c r="FP1226" s="59"/>
      <c r="FQ1226" s="59"/>
      <c r="FR1226" s="59"/>
      <c r="FS1226" s="59"/>
      <c r="FT1226" s="59"/>
      <c r="FU1226" s="59"/>
      <c r="FV1226" s="59"/>
      <c r="FW1226" s="59"/>
      <c r="FX1226" s="59"/>
      <c r="FY1226" s="59"/>
      <c r="FZ1226" s="59"/>
      <c r="GA1226" s="59"/>
      <c r="GB1226" s="59"/>
      <c r="GC1226" s="59"/>
    </row>
    <row r="1227">
      <c r="A1227" s="59"/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59"/>
      <c r="BR1227" s="59"/>
      <c r="BS1227" s="59"/>
      <c r="BT1227" s="59"/>
      <c r="BU1227" s="59"/>
      <c r="BV1227" s="59"/>
      <c r="BW1227" s="59"/>
      <c r="BX1227" s="59"/>
      <c r="BY1227" s="59"/>
      <c r="BZ1227" s="59"/>
      <c r="CA1227" s="59"/>
      <c r="CB1227" s="59"/>
      <c r="CC1227" s="59"/>
      <c r="CD1227" s="59"/>
      <c r="CE1227" s="59"/>
      <c r="CF1227" s="59"/>
      <c r="CG1227" s="59"/>
      <c r="CH1227" s="59"/>
      <c r="CI1227" s="59"/>
      <c r="CJ1227" s="59"/>
      <c r="CK1227" s="59"/>
      <c r="CL1227" s="59"/>
      <c r="CM1227" s="59"/>
      <c r="CN1227" s="59"/>
      <c r="CO1227" s="59"/>
      <c r="CP1227" s="59"/>
      <c r="CQ1227" s="59"/>
      <c r="CR1227" s="59"/>
      <c r="CS1227" s="59"/>
      <c r="CT1227" s="59"/>
      <c r="CU1227" s="59"/>
      <c r="CV1227" s="59"/>
      <c r="CW1227" s="59"/>
      <c r="CX1227" s="59"/>
      <c r="CY1227" s="59"/>
      <c r="CZ1227" s="59"/>
      <c r="DA1227" s="59"/>
      <c r="DB1227" s="59"/>
      <c r="DC1227" s="59"/>
      <c r="DD1227" s="59"/>
      <c r="DE1227" s="59"/>
      <c r="DF1227" s="59"/>
      <c r="DG1227" s="59"/>
      <c r="DH1227" s="59"/>
      <c r="DI1227" s="59"/>
      <c r="DJ1227" s="59"/>
      <c r="DK1227" s="59"/>
      <c r="DL1227" s="59"/>
      <c r="DM1227" s="59"/>
      <c r="DN1227" s="59"/>
      <c r="DO1227" s="59"/>
      <c r="DP1227" s="59"/>
      <c r="DQ1227" s="59"/>
      <c r="DR1227" s="59"/>
      <c r="DS1227" s="59"/>
      <c r="DT1227" s="59"/>
      <c r="DU1227" s="59"/>
      <c r="DV1227" s="59"/>
      <c r="DW1227" s="59"/>
      <c r="DX1227" s="59"/>
      <c r="DY1227" s="59"/>
      <c r="DZ1227" s="59"/>
      <c r="EA1227" s="59"/>
      <c r="EB1227" s="59"/>
      <c r="EC1227" s="59"/>
      <c r="ED1227" s="59"/>
      <c r="EE1227" s="59"/>
      <c r="EF1227" s="59"/>
      <c r="EG1227" s="59"/>
      <c r="EH1227" s="59"/>
      <c r="EI1227" s="59"/>
      <c r="EJ1227" s="59"/>
      <c r="EK1227" s="59"/>
      <c r="EL1227" s="59"/>
      <c r="EM1227" s="59"/>
      <c r="EN1227" s="59"/>
      <c r="EO1227" s="59"/>
      <c r="EP1227" s="59"/>
      <c r="EQ1227" s="59"/>
      <c r="ER1227" s="59"/>
      <c r="ES1227" s="59"/>
      <c r="ET1227" s="59"/>
      <c r="EU1227" s="59"/>
      <c r="EV1227" s="59"/>
      <c r="EW1227" s="59"/>
      <c r="EX1227" s="59"/>
      <c r="EY1227" s="59"/>
      <c r="EZ1227" s="59"/>
      <c r="FA1227" s="59"/>
      <c r="FB1227" s="59"/>
      <c r="FC1227" s="59"/>
      <c r="FD1227" s="59"/>
      <c r="FE1227" s="59"/>
      <c r="FF1227" s="59"/>
      <c r="FG1227" s="59"/>
      <c r="FH1227" s="59"/>
      <c r="FI1227" s="59"/>
      <c r="FJ1227" s="59"/>
      <c r="FK1227" s="59"/>
      <c r="FL1227" s="59"/>
      <c r="FM1227" s="59"/>
      <c r="FN1227" s="59"/>
      <c r="FO1227" s="59"/>
      <c r="FP1227" s="59"/>
      <c r="FQ1227" s="59"/>
      <c r="FR1227" s="59"/>
      <c r="FS1227" s="59"/>
      <c r="FT1227" s="59"/>
      <c r="FU1227" s="59"/>
      <c r="FV1227" s="59"/>
      <c r="FW1227" s="59"/>
      <c r="FX1227" s="59"/>
      <c r="FY1227" s="59"/>
      <c r="FZ1227" s="59"/>
      <c r="GA1227" s="59"/>
      <c r="GB1227" s="59"/>
      <c r="GC1227" s="59"/>
    </row>
    <row r="1228">
      <c r="A1228" s="59"/>
      <c r="B1228" s="59"/>
      <c r="C1228" s="59"/>
      <c r="D1228" s="59"/>
      <c r="E1228" s="59"/>
      <c r="F1228" s="59"/>
      <c r="G1228" s="59"/>
      <c r="H1228" s="59"/>
      <c r="I1228" s="59"/>
      <c r="J1228" s="59"/>
      <c r="K1228" s="59"/>
      <c r="L1228" s="59"/>
      <c r="M1228" s="59"/>
      <c r="N1228" s="59"/>
      <c r="O1228" s="59"/>
      <c r="P1228" s="59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59"/>
      <c r="BR1228" s="59"/>
      <c r="BS1228" s="59"/>
      <c r="BT1228" s="59"/>
      <c r="BU1228" s="59"/>
      <c r="BV1228" s="59"/>
      <c r="BW1228" s="59"/>
      <c r="BX1228" s="59"/>
      <c r="BY1228" s="59"/>
      <c r="BZ1228" s="59"/>
      <c r="CA1228" s="59"/>
      <c r="CB1228" s="59"/>
      <c r="CC1228" s="59"/>
      <c r="CD1228" s="59"/>
      <c r="CE1228" s="59"/>
      <c r="CF1228" s="59"/>
      <c r="CG1228" s="59"/>
      <c r="CH1228" s="59"/>
      <c r="CI1228" s="59"/>
      <c r="CJ1228" s="59"/>
      <c r="CK1228" s="59"/>
      <c r="CL1228" s="59"/>
      <c r="CM1228" s="59"/>
      <c r="CN1228" s="59"/>
      <c r="CO1228" s="59"/>
      <c r="CP1228" s="59"/>
      <c r="CQ1228" s="59"/>
      <c r="CR1228" s="59"/>
      <c r="CS1228" s="59"/>
      <c r="CT1228" s="59"/>
      <c r="CU1228" s="59"/>
      <c r="CV1228" s="59"/>
      <c r="CW1228" s="59"/>
      <c r="CX1228" s="59"/>
      <c r="CY1228" s="59"/>
      <c r="CZ1228" s="59"/>
      <c r="DA1228" s="59"/>
      <c r="DB1228" s="59"/>
      <c r="DC1228" s="59"/>
      <c r="DD1228" s="59"/>
      <c r="DE1228" s="59"/>
      <c r="DF1228" s="59"/>
      <c r="DG1228" s="59"/>
      <c r="DH1228" s="59"/>
      <c r="DI1228" s="59"/>
      <c r="DJ1228" s="59"/>
      <c r="DK1228" s="59"/>
      <c r="DL1228" s="59"/>
      <c r="DM1228" s="59"/>
      <c r="DN1228" s="59"/>
      <c r="DO1228" s="59"/>
      <c r="DP1228" s="59"/>
      <c r="DQ1228" s="59"/>
      <c r="DR1228" s="59"/>
      <c r="DS1228" s="59"/>
      <c r="DT1228" s="59"/>
      <c r="DU1228" s="59"/>
      <c r="DV1228" s="59"/>
      <c r="DW1228" s="59"/>
      <c r="DX1228" s="59"/>
      <c r="DY1228" s="59"/>
      <c r="DZ1228" s="59"/>
      <c r="EA1228" s="59"/>
      <c r="EB1228" s="59"/>
      <c r="EC1228" s="59"/>
      <c r="ED1228" s="59"/>
      <c r="EE1228" s="59"/>
      <c r="EF1228" s="59"/>
      <c r="EG1228" s="59"/>
      <c r="EH1228" s="59"/>
      <c r="EI1228" s="59"/>
      <c r="EJ1228" s="59"/>
      <c r="EK1228" s="59"/>
      <c r="EL1228" s="59"/>
      <c r="EM1228" s="59"/>
      <c r="EN1228" s="59"/>
      <c r="EO1228" s="59"/>
      <c r="EP1228" s="59"/>
      <c r="EQ1228" s="59"/>
      <c r="ER1228" s="59"/>
      <c r="ES1228" s="59"/>
      <c r="ET1228" s="59"/>
      <c r="EU1228" s="59"/>
      <c r="EV1228" s="59"/>
      <c r="EW1228" s="59"/>
      <c r="EX1228" s="59"/>
      <c r="EY1228" s="59"/>
      <c r="EZ1228" s="59"/>
      <c r="FA1228" s="59"/>
      <c r="FB1228" s="59"/>
      <c r="FC1228" s="59"/>
      <c r="FD1228" s="59"/>
      <c r="FE1228" s="59"/>
      <c r="FF1228" s="59"/>
      <c r="FG1228" s="59"/>
      <c r="FH1228" s="59"/>
      <c r="FI1228" s="59"/>
      <c r="FJ1228" s="59"/>
      <c r="FK1228" s="59"/>
      <c r="FL1228" s="59"/>
      <c r="FM1228" s="59"/>
      <c r="FN1228" s="59"/>
      <c r="FO1228" s="59"/>
      <c r="FP1228" s="59"/>
      <c r="FQ1228" s="59"/>
      <c r="FR1228" s="59"/>
      <c r="FS1228" s="59"/>
      <c r="FT1228" s="59"/>
      <c r="FU1228" s="59"/>
      <c r="FV1228" s="59"/>
      <c r="FW1228" s="59"/>
      <c r="FX1228" s="59"/>
      <c r="FY1228" s="59"/>
      <c r="FZ1228" s="59"/>
      <c r="GA1228" s="59"/>
      <c r="GB1228" s="59"/>
      <c r="GC1228" s="59"/>
    </row>
    <row r="1229">
      <c r="A1229" s="59"/>
      <c r="B1229" s="59"/>
      <c r="C1229" s="59"/>
      <c r="D1229" s="59"/>
      <c r="E1229" s="59"/>
      <c r="F1229" s="59"/>
      <c r="G1229" s="59"/>
      <c r="H1229" s="59"/>
      <c r="I1229" s="59"/>
      <c r="J1229" s="59"/>
      <c r="K1229" s="59"/>
      <c r="L1229" s="59"/>
      <c r="M1229" s="59"/>
      <c r="N1229" s="59"/>
      <c r="O1229" s="59"/>
      <c r="P1229" s="59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  <c r="AD1229" s="59"/>
      <c r="AE1229" s="59"/>
      <c r="AF1229" s="59"/>
      <c r="AG1229" s="59"/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59"/>
      <c r="BR1229" s="59"/>
      <c r="BS1229" s="59"/>
      <c r="BT1229" s="59"/>
      <c r="BU1229" s="59"/>
      <c r="BV1229" s="59"/>
      <c r="BW1229" s="59"/>
      <c r="BX1229" s="59"/>
      <c r="BY1229" s="59"/>
      <c r="BZ1229" s="59"/>
      <c r="CA1229" s="59"/>
      <c r="CB1229" s="59"/>
      <c r="CC1229" s="59"/>
      <c r="CD1229" s="59"/>
      <c r="CE1229" s="59"/>
      <c r="CF1229" s="59"/>
      <c r="CG1229" s="59"/>
      <c r="CH1229" s="59"/>
      <c r="CI1229" s="59"/>
      <c r="CJ1229" s="59"/>
      <c r="CK1229" s="59"/>
      <c r="CL1229" s="59"/>
      <c r="CM1229" s="59"/>
      <c r="CN1229" s="59"/>
      <c r="CO1229" s="59"/>
      <c r="CP1229" s="59"/>
      <c r="CQ1229" s="59"/>
      <c r="CR1229" s="59"/>
      <c r="CS1229" s="59"/>
      <c r="CT1229" s="59"/>
      <c r="CU1229" s="59"/>
      <c r="CV1229" s="59"/>
      <c r="CW1229" s="59"/>
      <c r="CX1229" s="59"/>
      <c r="CY1229" s="59"/>
      <c r="CZ1229" s="59"/>
      <c r="DA1229" s="59"/>
      <c r="DB1229" s="59"/>
      <c r="DC1229" s="59"/>
      <c r="DD1229" s="59"/>
      <c r="DE1229" s="59"/>
      <c r="DF1229" s="59"/>
      <c r="DG1229" s="59"/>
      <c r="DH1229" s="59"/>
      <c r="DI1229" s="59"/>
      <c r="DJ1229" s="59"/>
      <c r="DK1229" s="59"/>
      <c r="DL1229" s="59"/>
      <c r="DM1229" s="59"/>
      <c r="DN1229" s="59"/>
      <c r="DO1229" s="59"/>
      <c r="DP1229" s="59"/>
      <c r="DQ1229" s="59"/>
      <c r="DR1229" s="59"/>
      <c r="DS1229" s="59"/>
      <c r="DT1229" s="59"/>
      <c r="DU1229" s="59"/>
      <c r="DV1229" s="59"/>
      <c r="DW1229" s="59"/>
      <c r="DX1229" s="59"/>
      <c r="DY1229" s="59"/>
      <c r="DZ1229" s="59"/>
      <c r="EA1229" s="59"/>
      <c r="EB1229" s="59"/>
      <c r="EC1229" s="59"/>
      <c r="ED1229" s="59"/>
      <c r="EE1229" s="59"/>
      <c r="EF1229" s="59"/>
      <c r="EG1229" s="59"/>
      <c r="EH1229" s="59"/>
      <c r="EI1229" s="59"/>
      <c r="EJ1229" s="59"/>
      <c r="EK1229" s="59"/>
      <c r="EL1229" s="59"/>
      <c r="EM1229" s="59"/>
      <c r="EN1229" s="59"/>
      <c r="EO1229" s="59"/>
      <c r="EP1229" s="59"/>
      <c r="EQ1229" s="59"/>
      <c r="ER1229" s="59"/>
      <c r="ES1229" s="59"/>
      <c r="ET1229" s="59"/>
      <c r="EU1229" s="59"/>
      <c r="EV1229" s="59"/>
      <c r="EW1229" s="59"/>
      <c r="EX1229" s="59"/>
      <c r="EY1229" s="59"/>
      <c r="EZ1229" s="59"/>
      <c r="FA1229" s="59"/>
      <c r="FB1229" s="59"/>
      <c r="FC1229" s="59"/>
      <c r="FD1229" s="59"/>
      <c r="FE1229" s="59"/>
      <c r="FF1229" s="59"/>
      <c r="FG1229" s="59"/>
      <c r="FH1229" s="59"/>
      <c r="FI1229" s="59"/>
      <c r="FJ1229" s="59"/>
      <c r="FK1229" s="59"/>
      <c r="FL1229" s="59"/>
      <c r="FM1229" s="59"/>
      <c r="FN1229" s="59"/>
      <c r="FO1229" s="59"/>
      <c r="FP1229" s="59"/>
      <c r="FQ1229" s="59"/>
      <c r="FR1229" s="59"/>
      <c r="FS1229" s="59"/>
      <c r="FT1229" s="59"/>
      <c r="FU1229" s="59"/>
      <c r="FV1229" s="59"/>
      <c r="FW1229" s="59"/>
      <c r="FX1229" s="59"/>
      <c r="FY1229" s="59"/>
      <c r="FZ1229" s="59"/>
      <c r="GA1229" s="59"/>
      <c r="GB1229" s="59"/>
      <c r="GC1229" s="59"/>
    </row>
    <row r="1230">
      <c r="A1230" s="59"/>
      <c r="B1230" s="59"/>
      <c r="C1230" s="59"/>
      <c r="D1230" s="59"/>
      <c r="E1230" s="59"/>
      <c r="F1230" s="59"/>
      <c r="G1230" s="59"/>
      <c r="H1230" s="59"/>
      <c r="I1230" s="59"/>
      <c r="J1230" s="59"/>
      <c r="K1230" s="59"/>
      <c r="L1230" s="59"/>
      <c r="M1230" s="59"/>
      <c r="N1230" s="59"/>
      <c r="O1230" s="59"/>
      <c r="P1230" s="59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59"/>
      <c r="BR1230" s="59"/>
      <c r="BS1230" s="59"/>
      <c r="BT1230" s="59"/>
      <c r="BU1230" s="59"/>
      <c r="BV1230" s="59"/>
      <c r="BW1230" s="59"/>
      <c r="BX1230" s="59"/>
      <c r="BY1230" s="59"/>
      <c r="BZ1230" s="59"/>
      <c r="CA1230" s="59"/>
      <c r="CB1230" s="59"/>
      <c r="CC1230" s="59"/>
      <c r="CD1230" s="59"/>
      <c r="CE1230" s="59"/>
      <c r="CF1230" s="59"/>
      <c r="CG1230" s="59"/>
      <c r="CH1230" s="59"/>
      <c r="CI1230" s="59"/>
      <c r="CJ1230" s="59"/>
      <c r="CK1230" s="59"/>
      <c r="CL1230" s="59"/>
      <c r="CM1230" s="59"/>
      <c r="CN1230" s="59"/>
      <c r="CO1230" s="59"/>
      <c r="CP1230" s="59"/>
      <c r="CQ1230" s="59"/>
      <c r="CR1230" s="59"/>
      <c r="CS1230" s="59"/>
      <c r="CT1230" s="59"/>
      <c r="CU1230" s="59"/>
      <c r="CV1230" s="59"/>
      <c r="CW1230" s="59"/>
      <c r="CX1230" s="59"/>
      <c r="CY1230" s="59"/>
      <c r="CZ1230" s="59"/>
      <c r="DA1230" s="59"/>
      <c r="DB1230" s="59"/>
      <c r="DC1230" s="59"/>
      <c r="DD1230" s="59"/>
      <c r="DE1230" s="59"/>
      <c r="DF1230" s="59"/>
      <c r="DG1230" s="59"/>
      <c r="DH1230" s="59"/>
      <c r="DI1230" s="59"/>
      <c r="DJ1230" s="59"/>
      <c r="DK1230" s="59"/>
      <c r="DL1230" s="59"/>
      <c r="DM1230" s="59"/>
      <c r="DN1230" s="59"/>
      <c r="DO1230" s="59"/>
      <c r="DP1230" s="59"/>
      <c r="DQ1230" s="59"/>
      <c r="DR1230" s="59"/>
      <c r="DS1230" s="59"/>
      <c r="DT1230" s="59"/>
      <c r="DU1230" s="59"/>
      <c r="DV1230" s="59"/>
      <c r="DW1230" s="59"/>
      <c r="DX1230" s="59"/>
      <c r="DY1230" s="59"/>
      <c r="DZ1230" s="59"/>
      <c r="EA1230" s="59"/>
      <c r="EB1230" s="59"/>
      <c r="EC1230" s="59"/>
      <c r="ED1230" s="59"/>
      <c r="EE1230" s="59"/>
      <c r="EF1230" s="59"/>
      <c r="EG1230" s="59"/>
      <c r="EH1230" s="59"/>
      <c r="EI1230" s="59"/>
      <c r="EJ1230" s="59"/>
      <c r="EK1230" s="59"/>
      <c r="EL1230" s="59"/>
      <c r="EM1230" s="59"/>
      <c r="EN1230" s="59"/>
      <c r="EO1230" s="59"/>
      <c r="EP1230" s="59"/>
      <c r="EQ1230" s="59"/>
      <c r="ER1230" s="59"/>
      <c r="ES1230" s="59"/>
      <c r="ET1230" s="59"/>
      <c r="EU1230" s="59"/>
      <c r="EV1230" s="59"/>
      <c r="EW1230" s="59"/>
      <c r="EX1230" s="59"/>
      <c r="EY1230" s="59"/>
      <c r="EZ1230" s="59"/>
      <c r="FA1230" s="59"/>
      <c r="FB1230" s="59"/>
      <c r="FC1230" s="59"/>
      <c r="FD1230" s="59"/>
      <c r="FE1230" s="59"/>
      <c r="FF1230" s="59"/>
      <c r="FG1230" s="59"/>
      <c r="FH1230" s="59"/>
      <c r="FI1230" s="59"/>
      <c r="FJ1230" s="59"/>
      <c r="FK1230" s="59"/>
      <c r="FL1230" s="59"/>
      <c r="FM1230" s="59"/>
      <c r="FN1230" s="59"/>
      <c r="FO1230" s="59"/>
      <c r="FP1230" s="59"/>
      <c r="FQ1230" s="59"/>
      <c r="FR1230" s="59"/>
      <c r="FS1230" s="59"/>
      <c r="FT1230" s="59"/>
      <c r="FU1230" s="59"/>
      <c r="FV1230" s="59"/>
      <c r="FW1230" s="59"/>
      <c r="FX1230" s="59"/>
      <c r="FY1230" s="59"/>
      <c r="FZ1230" s="59"/>
      <c r="GA1230" s="59"/>
      <c r="GB1230" s="59"/>
      <c r="GC1230" s="59"/>
    </row>
    <row r="1231">
      <c r="A1231" s="59"/>
      <c r="B1231" s="59"/>
      <c r="C1231" s="59"/>
      <c r="D1231" s="59"/>
      <c r="E1231" s="59"/>
      <c r="F1231" s="59"/>
      <c r="G1231" s="59"/>
      <c r="H1231" s="59"/>
      <c r="I1231" s="59"/>
      <c r="J1231" s="59"/>
      <c r="K1231" s="59"/>
      <c r="L1231" s="59"/>
      <c r="M1231" s="59"/>
      <c r="N1231" s="59"/>
      <c r="O1231" s="59"/>
      <c r="P1231" s="59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  <c r="AD1231" s="59"/>
      <c r="AE1231" s="59"/>
      <c r="AF1231" s="59"/>
      <c r="AG1231" s="59"/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59"/>
      <c r="BR1231" s="59"/>
      <c r="BS1231" s="59"/>
      <c r="BT1231" s="59"/>
      <c r="BU1231" s="59"/>
      <c r="BV1231" s="59"/>
      <c r="BW1231" s="59"/>
      <c r="BX1231" s="59"/>
      <c r="BY1231" s="59"/>
      <c r="BZ1231" s="59"/>
      <c r="CA1231" s="59"/>
      <c r="CB1231" s="59"/>
      <c r="CC1231" s="59"/>
      <c r="CD1231" s="59"/>
      <c r="CE1231" s="59"/>
      <c r="CF1231" s="59"/>
      <c r="CG1231" s="59"/>
      <c r="CH1231" s="59"/>
      <c r="CI1231" s="59"/>
      <c r="CJ1231" s="59"/>
      <c r="CK1231" s="59"/>
      <c r="CL1231" s="59"/>
      <c r="CM1231" s="59"/>
      <c r="CN1231" s="59"/>
      <c r="CO1231" s="59"/>
      <c r="CP1231" s="59"/>
      <c r="CQ1231" s="59"/>
      <c r="CR1231" s="59"/>
      <c r="CS1231" s="59"/>
      <c r="CT1231" s="59"/>
      <c r="CU1231" s="59"/>
      <c r="CV1231" s="59"/>
      <c r="CW1231" s="59"/>
      <c r="CX1231" s="59"/>
      <c r="CY1231" s="59"/>
      <c r="CZ1231" s="59"/>
      <c r="DA1231" s="59"/>
      <c r="DB1231" s="59"/>
      <c r="DC1231" s="59"/>
      <c r="DD1231" s="59"/>
      <c r="DE1231" s="59"/>
      <c r="DF1231" s="59"/>
      <c r="DG1231" s="59"/>
      <c r="DH1231" s="59"/>
      <c r="DI1231" s="59"/>
      <c r="DJ1231" s="59"/>
      <c r="DK1231" s="59"/>
      <c r="DL1231" s="59"/>
      <c r="DM1231" s="59"/>
      <c r="DN1231" s="59"/>
      <c r="DO1231" s="59"/>
      <c r="DP1231" s="59"/>
      <c r="DQ1231" s="59"/>
      <c r="DR1231" s="59"/>
      <c r="DS1231" s="59"/>
      <c r="DT1231" s="59"/>
      <c r="DU1231" s="59"/>
      <c r="DV1231" s="59"/>
      <c r="DW1231" s="59"/>
      <c r="DX1231" s="59"/>
      <c r="DY1231" s="59"/>
      <c r="DZ1231" s="59"/>
      <c r="EA1231" s="59"/>
      <c r="EB1231" s="59"/>
      <c r="EC1231" s="59"/>
      <c r="ED1231" s="59"/>
      <c r="EE1231" s="59"/>
      <c r="EF1231" s="59"/>
      <c r="EG1231" s="59"/>
      <c r="EH1231" s="59"/>
      <c r="EI1231" s="59"/>
      <c r="EJ1231" s="59"/>
      <c r="EK1231" s="59"/>
      <c r="EL1231" s="59"/>
      <c r="EM1231" s="59"/>
      <c r="EN1231" s="59"/>
      <c r="EO1231" s="59"/>
      <c r="EP1231" s="59"/>
      <c r="EQ1231" s="59"/>
      <c r="ER1231" s="59"/>
      <c r="ES1231" s="59"/>
      <c r="ET1231" s="59"/>
      <c r="EU1231" s="59"/>
      <c r="EV1231" s="59"/>
      <c r="EW1231" s="59"/>
      <c r="EX1231" s="59"/>
      <c r="EY1231" s="59"/>
      <c r="EZ1231" s="59"/>
      <c r="FA1231" s="59"/>
      <c r="FB1231" s="59"/>
      <c r="FC1231" s="59"/>
      <c r="FD1231" s="59"/>
      <c r="FE1231" s="59"/>
      <c r="FF1231" s="59"/>
      <c r="FG1231" s="59"/>
      <c r="FH1231" s="59"/>
      <c r="FI1231" s="59"/>
      <c r="FJ1231" s="59"/>
      <c r="FK1231" s="59"/>
      <c r="FL1231" s="59"/>
      <c r="FM1231" s="59"/>
      <c r="FN1231" s="59"/>
      <c r="FO1231" s="59"/>
      <c r="FP1231" s="59"/>
      <c r="FQ1231" s="59"/>
      <c r="FR1231" s="59"/>
      <c r="FS1231" s="59"/>
      <c r="FT1231" s="59"/>
      <c r="FU1231" s="59"/>
      <c r="FV1231" s="59"/>
      <c r="FW1231" s="59"/>
      <c r="FX1231" s="59"/>
      <c r="FY1231" s="59"/>
      <c r="FZ1231" s="59"/>
      <c r="GA1231" s="59"/>
      <c r="GB1231" s="59"/>
      <c r="GC1231" s="59"/>
    </row>
    <row r="1232">
      <c r="A1232" s="59"/>
      <c r="B1232" s="59"/>
      <c r="C1232" s="59"/>
      <c r="D1232" s="59"/>
      <c r="E1232" s="59"/>
      <c r="F1232" s="59"/>
      <c r="G1232" s="59"/>
      <c r="H1232" s="59"/>
      <c r="I1232" s="59"/>
      <c r="J1232" s="59"/>
      <c r="K1232" s="59"/>
      <c r="L1232" s="59"/>
      <c r="M1232" s="59"/>
      <c r="N1232" s="59"/>
      <c r="O1232" s="59"/>
      <c r="P1232" s="59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59"/>
      <c r="BR1232" s="59"/>
      <c r="BS1232" s="59"/>
      <c r="BT1232" s="59"/>
      <c r="BU1232" s="59"/>
      <c r="BV1232" s="59"/>
      <c r="BW1232" s="59"/>
      <c r="BX1232" s="59"/>
      <c r="BY1232" s="59"/>
      <c r="BZ1232" s="59"/>
      <c r="CA1232" s="59"/>
      <c r="CB1232" s="59"/>
      <c r="CC1232" s="59"/>
      <c r="CD1232" s="59"/>
      <c r="CE1232" s="59"/>
      <c r="CF1232" s="59"/>
      <c r="CG1232" s="59"/>
      <c r="CH1232" s="59"/>
      <c r="CI1232" s="59"/>
      <c r="CJ1232" s="59"/>
      <c r="CK1232" s="59"/>
      <c r="CL1232" s="59"/>
      <c r="CM1232" s="59"/>
      <c r="CN1232" s="59"/>
      <c r="CO1232" s="59"/>
      <c r="CP1232" s="59"/>
      <c r="CQ1232" s="59"/>
      <c r="CR1232" s="59"/>
      <c r="CS1232" s="59"/>
      <c r="CT1232" s="59"/>
      <c r="CU1232" s="59"/>
      <c r="CV1232" s="59"/>
      <c r="CW1232" s="59"/>
      <c r="CX1232" s="59"/>
      <c r="CY1232" s="59"/>
      <c r="CZ1232" s="59"/>
      <c r="DA1232" s="59"/>
      <c r="DB1232" s="59"/>
      <c r="DC1232" s="59"/>
      <c r="DD1232" s="59"/>
      <c r="DE1232" s="59"/>
      <c r="DF1232" s="59"/>
      <c r="DG1232" s="59"/>
      <c r="DH1232" s="59"/>
      <c r="DI1232" s="59"/>
      <c r="DJ1232" s="59"/>
      <c r="DK1232" s="59"/>
      <c r="DL1232" s="59"/>
      <c r="DM1232" s="59"/>
      <c r="DN1232" s="59"/>
      <c r="DO1232" s="59"/>
      <c r="DP1232" s="59"/>
      <c r="DQ1232" s="59"/>
      <c r="DR1232" s="59"/>
      <c r="DS1232" s="59"/>
      <c r="DT1232" s="59"/>
      <c r="DU1232" s="59"/>
      <c r="DV1232" s="59"/>
      <c r="DW1232" s="59"/>
      <c r="DX1232" s="59"/>
      <c r="DY1232" s="59"/>
      <c r="DZ1232" s="59"/>
      <c r="EA1232" s="59"/>
      <c r="EB1232" s="59"/>
      <c r="EC1232" s="59"/>
      <c r="ED1232" s="59"/>
      <c r="EE1232" s="59"/>
      <c r="EF1232" s="59"/>
      <c r="EG1232" s="59"/>
      <c r="EH1232" s="59"/>
      <c r="EI1232" s="59"/>
      <c r="EJ1232" s="59"/>
      <c r="EK1232" s="59"/>
      <c r="EL1232" s="59"/>
      <c r="EM1232" s="59"/>
      <c r="EN1232" s="59"/>
      <c r="EO1232" s="59"/>
      <c r="EP1232" s="59"/>
      <c r="EQ1232" s="59"/>
      <c r="ER1232" s="59"/>
      <c r="ES1232" s="59"/>
      <c r="ET1232" s="59"/>
      <c r="EU1232" s="59"/>
      <c r="EV1232" s="59"/>
      <c r="EW1232" s="59"/>
      <c r="EX1232" s="59"/>
      <c r="EY1232" s="59"/>
      <c r="EZ1232" s="59"/>
      <c r="FA1232" s="59"/>
      <c r="FB1232" s="59"/>
      <c r="FC1232" s="59"/>
      <c r="FD1232" s="59"/>
      <c r="FE1232" s="59"/>
      <c r="FF1232" s="59"/>
      <c r="FG1232" s="59"/>
      <c r="FH1232" s="59"/>
      <c r="FI1232" s="59"/>
      <c r="FJ1232" s="59"/>
      <c r="FK1232" s="59"/>
      <c r="FL1232" s="59"/>
      <c r="FM1232" s="59"/>
      <c r="FN1232" s="59"/>
      <c r="FO1232" s="59"/>
      <c r="FP1232" s="59"/>
      <c r="FQ1232" s="59"/>
      <c r="FR1232" s="59"/>
      <c r="FS1232" s="59"/>
      <c r="FT1232" s="59"/>
      <c r="FU1232" s="59"/>
      <c r="FV1232" s="59"/>
      <c r="FW1232" s="59"/>
      <c r="FX1232" s="59"/>
      <c r="FY1232" s="59"/>
      <c r="FZ1232" s="59"/>
      <c r="GA1232" s="59"/>
      <c r="GB1232" s="59"/>
      <c r="GC1232" s="59"/>
    </row>
    <row r="1233">
      <c r="A1233" s="59"/>
      <c r="B1233" s="59"/>
      <c r="C1233" s="59"/>
      <c r="D1233" s="59"/>
      <c r="E1233" s="59"/>
      <c r="F1233" s="59"/>
      <c r="G1233" s="59"/>
      <c r="H1233" s="59"/>
      <c r="I1233" s="59"/>
      <c r="J1233" s="59"/>
      <c r="K1233" s="59"/>
      <c r="L1233" s="59"/>
      <c r="M1233" s="59"/>
      <c r="N1233" s="59"/>
      <c r="O1233" s="59"/>
      <c r="P1233" s="59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  <c r="AD1233" s="59"/>
      <c r="AE1233" s="59"/>
      <c r="AF1233" s="59"/>
      <c r="AG1233" s="59"/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59"/>
      <c r="BR1233" s="59"/>
      <c r="BS1233" s="59"/>
      <c r="BT1233" s="59"/>
      <c r="BU1233" s="59"/>
      <c r="BV1233" s="59"/>
      <c r="BW1233" s="59"/>
      <c r="BX1233" s="59"/>
      <c r="BY1233" s="59"/>
      <c r="BZ1233" s="59"/>
      <c r="CA1233" s="59"/>
      <c r="CB1233" s="59"/>
      <c r="CC1233" s="59"/>
      <c r="CD1233" s="59"/>
      <c r="CE1233" s="59"/>
      <c r="CF1233" s="59"/>
      <c r="CG1233" s="59"/>
      <c r="CH1233" s="59"/>
      <c r="CI1233" s="59"/>
      <c r="CJ1233" s="59"/>
      <c r="CK1233" s="59"/>
      <c r="CL1233" s="59"/>
      <c r="CM1233" s="59"/>
      <c r="CN1233" s="59"/>
      <c r="CO1233" s="59"/>
      <c r="CP1233" s="59"/>
      <c r="CQ1233" s="59"/>
      <c r="CR1233" s="59"/>
      <c r="CS1233" s="59"/>
      <c r="CT1233" s="59"/>
      <c r="CU1233" s="59"/>
      <c r="CV1233" s="59"/>
      <c r="CW1233" s="59"/>
      <c r="CX1233" s="59"/>
      <c r="CY1233" s="59"/>
      <c r="CZ1233" s="59"/>
      <c r="DA1233" s="59"/>
      <c r="DB1233" s="59"/>
      <c r="DC1233" s="59"/>
      <c r="DD1233" s="59"/>
      <c r="DE1233" s="59"/>
      <c r="DF1233" s="59"/>
      <c r="DG1233" s="59"/>
      <c r="DH1233" s="59"/>
      <c r="DI1233" s="59"/>
      <c r="DJ1233" s="59"/>
      <c r="DK1233" s="59"/>
      <c r="DL1233" s="59"/>
      <c r="DM1233" s="59"/>
      <c r="DN1233" s="59"/>
      <c r="DO1233" s="59"/>
      <c r="DP1233" s="59"/>
      <c r="DQ1233" s="59"/>
      <c r="DR1233" s="59"/>
      <c r="DS1233" s="59"/>
      <c r="DT1233" s="59"/>
      <c r="DU1233" s="59"/>
      <c r="DV1233" s="59"/>
      <c r="DW1233" s="59"/>
      <c r="DX1233" s="59"/>
      <c r="DY1233" s="59"/>
      <c r="DZ1233" s="59"/>
      <c r="EA1233" s="59"/>
      <c r="EB1233" s="59"/>
      <c r="EC1233" s="59"/>
      <c r="ED1233" s="59"/>
      <c r="EE1233" s="59"/>
      <c r="EF1233" s="59"/>
      <c r="EG1233" s="59"/>
      <c r="EH1233" s="59"/>
      <c r="EI1233" s="59"/>
      <c r="EJ1233" s="59"/>
      <c r="EK1233" s="59"/>
      <c r="EL1233" s="59"/>
      <c r="EM1233" s="59"/>
      <c r="EN1233" s="59"/>
      <c r="EO1233" s="59"/>
      <c r="EP1233" s="59"/>
      <c r="EQ1233" s="59"/>
      <c r="ER1233" s="59"/>
      <c r="ES1233" s="59"/>
      <c r="ET1233" s="59"/>
      <c r="EU1233" s="59"/>
      <c r="EV1233" s="59"/>
      <c r="EW1233" s="59"/>
      <c r="EX1233" s="59"/>
      <c r="EY1233" s="59"/>
      <c r="EZ1233" s="59"/>
      <c r="FA1233" s="59"/>
      <c r="FB1233" s="59"/>
      <c r="FC1233" s="59"/>
      <c r="FD1233" s="59"/>
      <c r="FE1233" s="59"/>
      <c r="FF1233" s="59"/>
      <c r="FG1233" s="59"/>
      <c r="FH1233" s="59"/>
      <c r="FI1233" s="59"/>
      <c r="FJ1233" s="59"/>
      <c r="FK1233" s="59"/>
      <c r="FL1233" s="59"/>
      <c r="FM1233" s="59"/>
      <c r="FN1233" s="59"/>
      <c r="FO1233" s="59"/>
      <c r="FP1233" s="59"/>
      <c r="FQ1233" s="59"/>
      <c r="FR1233" s="59"/>
      <c r="FS1233" s="59"/>
      <c r="FT1233" s="59"/>
      <c r="FU1233" s="59"/>
      <c r="FV1233" s="59"/>
      <c r="FW1233" s="59"/>
      <c r="FX1233" s="59"/>
      <c r="FY1233" s="59"/>
      <c r="FZ1233" s="59"/>
      <c r="GA1233" s="59"/>
      <c r="GB1233" s="59"/>
      <c r="GC1233" s="59"/>
    </row>
    <row r="1234">
      <c r="A1234" s="59"/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59"/>
      <c r="N1234" s="59"/>
      <c r="O1234" s="59"/>
      <c r="P1234" s="59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59"/>
      <c r="BR1234" s="59"/>
      <c r="BS1234" s="59"/>
      <c r="BT1234" s="59"/>
      <c r="BU1234" s="59"/>
      <c r="BV1234" s="59"/>
      <c r="BW1234" s="59"/>
      <c r="BX1234" s="59"/>
      <c r="BY1234" s="59"/>
      <c r="BZ1234" s="59"/>
      <c r="CA1234" s="59"/>
      <c r="CB1234" s="59"/>
      <c r="CC1234" s="59"/>
      <c r="CD1234" s="59"/>
      <c r="CE1234" s="59"/>
      <c r="CF1234" s="59"/>
      <c r="CG1234" s="59"/>
      <c r="CH1234" s="59"/>
      <c r="CI1234" s="59"/>
      <c r="CJ1234" s="59"/>
      <c r="CK1234" s="59"/>
      <c r="CL1234" s="59"/>
      <c r="CM1234" s="59"/>
      <c r="CN1234" s="59"/>
      <c r="CO1234" s="59"/>
      <c r="CP1234" s="59"/>
      <c r="CQ1234" s="59"/>
      <c r="CR1234" s="59"/>
      <c r="CS1234" s="59"/>
      <c r="CT1234" s="59"/>
      <c r="CU1234" s="59"/>
      <c r="CV1234" s="59"/>
      <c r="CW1234" s="59"/>
      <c r="CX1234" s="59"/>
      <c r="CY1234" s="59"/>
      <c r="CZ1234" s="59"/>
      <c r="DA1234" s="59"/>
      <c r="DB1234" s="59"/>
      <c r="DC1234" s="59"/>
      <c r="DD1234" s="59"/>
      <c r="DE1234" s="59"/>
      <c r="DF1234" s="59"/>
      <c r="DG1234" s="59"/>
      <c r="DH1234" s="59"/>
      <c r="DI1234" s="59"/>
      <c r="DJ1234" s="59"/>
      <c r="DK1234" s="59"/>
      <c r="DL1234" s="59"/>
      <c r="DM1234" s="59"/>
      <c r="DN1234" s="59"/>
      <c r="DO1234" s="59"/>
      <c r="DP1234" s="59"/>
      <c r="DQ1234" s="59"/>
      <c r="DR1234" s="59"/>
      <c r="DS1234" s="59"/>
      <c r="DT1234" s="59"/>
      <c r="DU1234" s="59"/>
      <c r="DV1234" s="59"/>
      <c r="DW1234" s="59"/>
      <c r="DX1234" s="59"/>
      <c r="DY1234" s="59"/>
      <c r="DZ1234" s="59"/>
      <c r="EA1234" s="59"/>
      <c r="EB1234" s="59"/>
      <c r="EC1234" s="59"/>
      <c r="ED1234" s="59"/>
      <c r="EE1234" s="59"/>
      <c r="EF1234" s="59"/>
      <c r="EG1234" s="59"/>
      <c r="EH1234" s="59"/>
      <c r="EI1234" s="59"/>
      <c r="EJ1234" s="59"/>
      <c r="EK1234" s="59"/>
      <c r="EL1234" s="59"/>
      <c r="EM1234" s="59"/>
      <c r="EN1234" s="59"/>
      <c r="EO1234" s="59"/>
      <c r="EP1234" s="59"/>
      <c r="EQ1234" s="59"/>
      <c r="ER1234" s="59"/>
      <c r="ES1234" s="59"/>
      <c r="ET1234" s="59"/>
      <c r="EU1234" s="59"/>
      <c r="EV1234" s="59"/>
      <c r="EW1234" s="59"/>
      <c r="EX1234" s="59"/>
      <c r="EY1234" s="59"/>
      <c r="EZ1234" s="59"/>
      <c r="FA1234" s="59"/>
      <c r="FB1234" s="59"/>
      <c r="FC1234" s="59"/>
      <c r="FD1234" s="59"/>
      <c r="FE1234" s="59"/>
      <c r="FF1234" s="59"/>
      <c r="FG1234" s="59"/>
      <c r="FH1234" s="59"/>
      <c r="FI1234" s="59"/>
      <c r="FJ1234" s="59"/>
      <c r="FK1234" s="59"/>
      <c r="FL1234" s="59"/>
      <c r="FM1234" s="59"/>
      <c r="FN1234" s="59"/>
      <c r="FO1234" s="59"/>
      <c r="FP1234" s="59"/>
      <c r="FQ1234" s="59"/>
      <c r="FR1234" s="59"/>
      <c r="FS1234" s="59"/>
      <c r="FT1234" s="59"/>
      <c r="FU1234" s="59"/>
      <c r="FV1234" s="59"/>
      <c r="FW1234" s="59"/>
      <c r="FX1234" s="59"/>
      <c r="FY1234" s="59"/>
      <c r="FZ1234" s="59"/>
      <c r="GA1234" s="59"/>
      <c r="GB1234" s="59"/>
      <c r="GC1234" s="59"/>
    </row>
    <row r="1235">
      <c r="A1235" s="59"/>
      <c r="B1235" s="59"/>
      <c r="C1235" s="59"/>
      <c r="D1235" s="59"/>
      <c r="E1235" s="59"/>
      <c r="F1235" s="59"/>
      <c r="G1235" s="59"/>
      <c r="H1235" s="59"/>
      <c r="I1235" s="59"/>
      <c r="J1235" s="59"/>
      <c r="K1235" s="59"/>
      <c r="L1235" s="59"/>
      <c r="M1235" s="59"/>
      <c r="N1235" s="59"/>
      <c r="O1235" s="59"/>
      <c r="P1235" s="59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  <c r="AD1235" s="59"/>
      <c r="AE1235" s="59"/>
      <c r="AF1235" s="59"/>
      <c r="AG1235" s="59"/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59"/>
      <c r="BR1235" s="59"/>
      <c r="BS1235" s="59"/>
      <c r="BT1235" s="59"/>
      <c r="BU1235" s="59"/>
      <c r="BV1235" s="59"/>
      <c r="BW1235" s="59"/>
      <c r="BX1235" s="59"/>
      <c r="BY1235" s="59"/>
      <c r="BZ1235" s="59"/>
      <c r="CA1235" s="59"/>
      <c r="CB1235" s="59"/>
      <c r="CC1235" s="59"/>
      <c r="CD1235" s="59"/>
      <c r="CE1235" s="59"/>
      <c r="CF1235" s="59"/>
      <c r="CG1235" s="59"/>
      <c r="CH1235" s="59"/>
      <c r="CI1235" s="59"/>
      <c r="CJ1235" s="59"/>
      <c r="CK1235" s="59"/>
      <c r="CL1235" s="59"/>
      <c r="CM1235" s="59"/>
      <c r="CN1235" s="59"/>
      <c r="CO1235" s="59"/>
      <c r="CP1235" s="59"/>
      <c r="CQ1235" s="59"/>
      <c r="CR1235" s="59"/>
      <c r="CS1235" s="59"/>
      <c r="CT1235" s="59"/>
      <c r="CU1235" s="59"/>
      <c r="CV1235" s="59"/>
      <c r="CW1235" s="59"/>
      <c r="CX1235" s="59"/>
      <c r="CY1235" s="59"/>
      <c r="CZ1235" s="59"/>
      <c r="DA1235" s="59"/>
      <c r="DB1235" s="59"/>
      <c r="DC1235" s="59"/>
      <c r="DD1235" s="59"/>
      <c r="DE1235" s="59"/>
      <c r="DF1235" s="59"/>
      <c r="DG1235" s="59"/>
      <c r="DH1235" s="59"/>
      <c r="DI1235" s="59"/>
      <c r="DJ1235" s="59"/>
      <c r="DK1235" s="59"/>
      <c r="DL1235" s="59"/>
      <c r="DM1235" s="59"/>
      <c r="DN1235" s="59"/>
      <c r="DO1235" s="59"/>
      <c r="DP1235" s="59"/>
      <c r="DQ1235" s="59"/>
      <c r="DR1235" s="59"/>
      <c r="DS1235" s="59"/>
      <c r="DT1235" s="59"/>
      <c r="DU1235" s="59"/>
      <c r="DV1235" s="59"/>
      <c r="DW1235" s="59"/>
      <c r="DX1235" s="59"/>
      <c r="DY1235" s="59"/>
      <c r="DZ1235" s="59"/>
      <c r="EA1235" s="59"/>
      <c r="EB1235" s="59"/>
      <c r="EC1235" s="59"/>
      <c r="ED1235" s="59"/>
      <c r="EE1235" s="59"/>
      <c r="EF1235" s="59"/>
      <c r="EG1235" s="59"/>
      <c r="EH1235" s="59"/>
      <c r="EI1235" s="59"/>
      <c r="EJ1235" s="59"/>
      <c r="EK1235" s="59"/>
      <c r="EL1235" s="59"/>
      <c r="EM1235" s="59"/>
      <c r="EN1235" s="59"/>
      <c r="EO1235" s="59"/>
      <c r="EP1235" s="59"/>
      <c r="EQ1235" s="59"/>
      <c r="ER1235" s="59"/>
      <c r="ES1235" s="59"/>
      <c r="ET1235" s="59"/>
      <c r="EU1235" s="59"/>
      <c r="EV1235" s="59"/>
      <c r="EW1235" s="59"/>
      <c r="EX1235" s="59"/>
      <c r="EY1235" s="59"/>
      <c r="EZ1235" s="59"/>
      <c r="FA1235" s="59"/>
      <c r="FB1235" s="59"/>
      <c r="FC1235" s="59"/>
      <c r="FD1235" s="59"/>
      <c r="FE1235" s="59"/>
      <c r="FF1235" s="59"/>
      <c r="FG1235" s="59"/>
      <c r="FH1235" s="59"/>
      <c r="FI1235" s="59"/>
      <c r="FJ1235" s="59"/>
      <c r="FK1235" s="59"/>
      <c r="FL1235" s="59"/>
      <c r="FM1235" s="59"/>
      <c r="FN1235" s="59"/>
      <c r="FO1235" s="59"/>
      <c r="FP1235" s="59"/>
      <c r="FQ1235" s="59"/>
      <c r="FR1235" s="59"/>
      <c r="FS1235" s="59"/>
      <c r="FT1235" s="59"/>
      <c r="FU1235" s="59"/>
      <c r="FV1235" s="59"/>
      <c r="FW1235" s="59"/>
      <c r="FX1235" s="59"/>
      <c r="FY1235" s="59"/>
      <c r="FZ1235" s="59"/>
      <c r="GA1235" s="59"/>
      <c r="GB1235" s="59"/>
      <c r="GC1235" s="59"/>
    </row>
    <row r="1236">
      <c r="A1236" s="59"/>
      <c r="B1236" s="59"/>
      <c r="C1236" s="59"/>
      <c r="D1236" s="59"/>
      <c r="E1236" s="59"/>
      <c r="F1236" s="59"/>
      <c r="G1236" s="59"/>
      <c r="H1236" s="59"/>
      <c r="I1236" s="59"/>
      <c r="J1236" s="59"/>
      <c r="K1236" s="59"/>
      <c r="L1236" s="59"/>
      <c r="M1236" s="59"/>
      <c r="N1236" s="59"/>
      <c r="O1236" s="59"/>
      <c r="P1236" s="59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59"/>
      <c r="BR1236" s="59"/>
      <c r="BS1236" s="59"/>
      <c r="BT1236" s="59"/>
      <c r="BU1236" s="59"/>
      <c r="BV1236" s="59"/>
      <c r="BW1236" s="59"/>
      <c r="BX1236" s="59"/>
      <c r="BY1236" s="59"/>
      <c r="BZ1236" s="59"/>
      <c r="CA1236" s="59"/>
      <c r="CB1236" s="59"/>
      <c r="CC1236" s="59"/>
      <c r="CD1236" s="59"/>
      <c r="CE1236" s="59"/>
      <c r="CF1236" s="59"/>
      <c r="CG1236" s="59"/>
      <c r="CH1236" s="59"/>
      <c r="CI1236" s="59"/>
      <c r="CJ1236" s="59"/>
      <c r="CK1236" s="59"/>
      <c r="CL1236" s="59"/>
      <c r="CM1236" s="59"/>
      <c r="CN1236" s="59"/>
      <c r="CO1236" s="59"/>
      <c r="CP1236" s="59"/>
      <c r="CQ1236" s="59"/>
      <c r="CR1236" s="59"/>
      <c r="CS1236" s="59"/>
      <c r="CT1236" s="59"/>
      <c r="CU1236" s="59"/>
      <c r="CV1236" s="59"/>
      <c r="CW1236" s="59"/>
      <c r="CX1236" s="59"/>
      <c r="CY1236" s="59"/>
      <c r="CZ1236" s="59"/>
      <c r="DA1236" s="59"/>
      <c r="DB1236" s="59"/>
      <c r="DC1236" s="59"/>
      <c r="DD1236" s="59"/>
      <c r="DE1236" s="59"/>
      <c r="DF1236" s="59"/>
      <c r="DG1236" s="59"/>
      <c r="DH1236" s="59"/>
      <c r="DI1236" s="59"/>
      <c r="DJ1236" s="59"/>
      <c r="DK1236" s="59"/>
      <c r="DL1236" s="59"/>
      <c r="DM1236" s="59"/>
      <c r="DN1236" s="59"/>
      <c r="DO1236" s="59"/>
      <c r="DP1236" s="59"/>
      <c r="DQ1236" s="59"/>
      <c r="DR1236" s="59"/>
      <c r="DS1236" s="59"/>
      <c r="DT1236" s="59"/>
      <c r="DU1236" s="59"/>
      <c r="DV1236" s="59"/>
      <c r="DW1236" s="59"/>
      <c r="DX1236" s="59"/>
      <c r="DY1236" s="59"/>
      <c r="DZ1236" s="59"/>
      <c r="EA1236" s="59"/>
      <c r="EB1236" s="59"/>
      <c r="EC1236" s="59"/>
      <c r="ED1236" s="59"/>
      <c r="EE1236" s="59"/>
      <c r="EF1236" s="59"/>
      <c r="EG1236" s="59"/>
      <c r="EH1236" s="59"/>
      <c r="EI1236" s="59"/>
      <c r="EJ1236" s="59"/>
      <c r="EK1236" s="59"/>
      <c r="EL1236" s="59"/>
      <c r="EM1236" s="59"/>
      <c r="EN1236" s="59"/>
      <c r="EO1236" s="59"/>
      <c r="EP1236" s="59"/>
      <c r="EQ1236" s="59"/>
      <c r="ER1236" s="59"/>
      <c r="ES1236" s="59"/>
      <c r="ET1236" s="59"/>
      <c r="EU1236" s="59"/>
      <c r="EV1236" s="59"/>
      <c r="EW1236" s="59"/>
      <c r="EX1236" s="59"/>
      <c r="EY1236" s="59"/>
      <c r="EZ1236" s="59"/>
      <c r="FA1236" s="59"/>
      <c r="FB1236" s="59"/>
      <c r="FC1236" s="59"/>
      <c r="FD1236" s="59"/>
      <c r="FE1236" s="59"/>
      <c r="FF1236" s="59"/>
      <c r="FG1236" s="59"/>
      <c r="FH1236" s="59"/>
      <c r="FI1236" s="59"/>
      <c r="FJ1236" s="59"/>
      <c r="FK1236" s="59"/>
      <c r="FL1236" s="59"/>
      <c r="FM1236" s="59"/>
      <c r="FN1236" s="59"/>
      <c r="FO1236" s="59"/>
      <c r="FP1236" s="59"/>
      <c r="FQ1236" s="59"/>
      <c r="FR1236" s="59"/>
      <c r="FS1236" s="59"/>
      <c r="FT1236" s="59"/>
      <c r="FU1236" s="59"/>
      <c r="FV1236" s="59"/>
      <c r="FW1236" s="59"/>
      <c r="FX1236" s="59"/>
      <c r="FY1236" s="59"/>
      <c r="FZ1236" s="59"/>
      <c r="GA1236" s="59"/>
      <c r="GB1236" s="59"/>
      <c r="GC1236" s="59"/>
    </row>
    <row r="1237">
      <c r="A1237" s="59"/>
      <c r="B1237" s="59"/>
      <c r="C1237" s="59"/>
      <c r="D1237" s="59"/>
      <c r="E1237" s="59"/>
      <c r="F1237" s="59"/>
      <c r="G1237" s="59"/>
      <c r="H1237" s="59"/>
      <c r="I1237" s="59"/>
      <c r="J1237" s="59"/>
      <c r="K1237" s="59"/>
      <c r="L1237" s="59"/>
      <c r="M1237" s="59"/>
      <c r="N1237" s="59"/>
      <c r="O1237" s="59"/>
      <c r="P1237" s="59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  <c r="AD1237" s="59"/>
      <c r="AE1237" s="59"/>
      <c r="AF1237" s="59"/>
      <c r="AG1237" s="59"/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59"/>
      <c r="BR1237" s="59"/>
      <c r="BS1237" s="59"/>
      <c r="BT1237" s="59"/>
      <c r="BU1237" s="59"/>
      <c r="BV1237" s="59"/>
      <c r="BW1237" s="59"/>
      <c r="BX1237" s="59"/>
      <c r="BY1237" s="59"/>
      <c r="BZ1237" s="59"/>
      <c r="CA1237" s="59"/>
      <c r="CB1237" s="59"/>
      <c r="CC1237" s="59"/>
      <c r="CD1237" s="59"/>
      <c r="CE1237" s="59"/>
      <c r="CF1237" s="59"/>
      <c r="CG1237" s="59"/>
      <c r="CH1237" s="59"/>
      <c r="CI1237" s="59"/>
      <c r="CJ1237" s="59"/>
      <c r="CK1237" s="59"/>
      <c r="CL1237" s="59"/>
      <c r="CM1237" s="59"/>
      <c r="CN1237" s="59"/>
      <c r="CO1237" s="59"/>
      <c r="CP1237" s="59"/>
      <c r="CQ1237" s="59"/>
      <c r="CR1237" s="59"/>
      <c r="CS1237" s="59"/>
      <c r="CT1237" s="59"/>
      <c r="CU1237" s="59"/>
      <c r="CV1237" s="59"/>
      <c r="CW1237" s="59"/>
      <c r="CX1237" s="59"/>
      <c r="CY1237" s="59"/>
      <c r="CZ1237" s="59"/>
      <c r="DA1237" s="59"/>
      <c r="DB1237" s="59"/>
      <c r="DC1237" s="59"/>
      <c r="DD1237" s="59"/>
      <c r="DE1237" s="59"/>
      <c r="DF1237" s="59"/>
      <c r="DG1237" s="59"/>
      <c r="DH1237" s="59"/>
      <c r="DI1237" s="59"/>
      <c r="DJ1237" s="59"/>
      <c r="DK1237" s="59"/>
      <c r="DL1237" s="59"/>
      <c r="DM1237" s="59"/>
      <c r="DN1237" s="59"/>
      <c r="DO1237" s="59"/>
      <c r="DP1237" s="59"/>
      <c r="DQ1237" s="59"/>
      <c r="DR1237" s="59"/>
      <c r="DS1237" s="59"/>
      <c r="DT1237" s="59"/>
      <c r="DU1237" s="59"/>
      <c r="DV1237" s="59"/>
      <c r="DW1237" s="59"/>
      <c r="DX1237" s="59"/>
      <c r="DY1237" s="59"/>
      <c r="DZ1237" s="59"/>
      <c r="EA1237" s="59"/>
      <c r="EB1237" s="59"/>
      <c r="EC1237" s="59"/>
      <c r="ED1237" s="59"/>
      <c r="EE1237" s="59"/>
      <c r="EF1237" s="59"/>
      <c r="EG1237" s="59"/>
      <c r="EH1237" s="59"/>
      <c r="EI1237" s="59"/>
      <c r="EJ1237" s="59"/>
      <c r="EK1237" s="59"/>
      <c r="EL1237" s="59"/>
      <c r="EM1237" s="59"/>
      <c r="EN1237" s="59"/>
      <c r="EO1237" s="59"/>
      <c r="EP1237" s="59"/>
      <c r="EQ1237" s="59"/>
      <c r="ER1237" s="59"/>
      <c r="ES1237" s="59"/>
      <c r="ET1237" s="59"/>
      <c r="EU1237" s="59"/>
      <c r="EV1237" s="59"/>
      <c r="EW1237" s="59"/>
      <c r="EX1237" s="59"/>
      <c r="EY1237" s="59"/>
      <c r="EZ1237" s="59"/>
      <c r="FA1237" s="59"/>
      <c r="FB1237" s="59"/>
      <c r="FC1237" s="59"/>
      <c r="FD1237" s="59"/>
      <c r="FE1237" s="59"/>
      <c r="FF1237" s="59"/>
      <c r="FG1237" s="59"/>
      <c r="FH1237" s="59"/>
      <c r="FI1237" s="59"/>
      <c r="FJ1237" s="59"/>
      <c r="FK1237" s="59"/>
      <c r="FL1237" s="59"/>
      <c r="FM1237" s="59"/>
      <c r="FN1237" s="59"/>
      <c r="FO1237" s="59"/>
      <c r="FP1237" s="59"/>
      <c r="FQ1237" s="59"/>
      <c r="FR1237" s="59"/>
      <c r="FS1237" s="59"/>
      <c r="FT1237" s="59"/>
      <c r="FU1237" s="59"/>
      <c r="FV1237" s="59"/>
      <c r="FW1237" s="59"/>
      <c r="FX1237" s="59"/>
      <c r="FY1237" s="59"/>
      <c r="FZ1237" s="59"/>
      <c r="GA1237" s="59"/>
      <c r="GB1237" s="59"/>
      <c r="GC1237" s="59"/>
    </row>
    <row r="1238">
      <c r="A1238" s="59"/>
      <c r="B1238" s="59"/>
      <c r="C1238" s="59"/>
      <c r="D1238" s="59"/>
      <c r="E1238" s="59"/>
      <c r="F1238" s="59"/>
      <c r="G1238" s="59"/>
      <c r="H1238" s="59"/>
      <c r="I1238" s="59"/>
      <c r="J1238" s="59"/>
      <c r="K1238" s="59"/>
      <c r="L1238" s="59"/>
      <c r="M1238" s="59"/>
      <c r="N1238" s="59"/>
      <c r="O1238" s="59"/>
      <c r="P1238" s="59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59"/>
      <c r="BR1238" s="59"/>
      <c r="BS1238" s="59"/>
      <c r="BT1238" s="59"/>
      <c r="BU1238" s="59"/>
      <c r="BV1238" s="59"/>
      <c r="BW1238" s="59"/>
      <c r="BX1238" s="59"/>
      <c r="BY1238" s="59"/>
      <c r="BZ1238" s="59"/>
      <c r="CA1238" s="59"/>
      <c r="CB1238" s="59"/>
      <c r="CC1238" s="59"/>
      <c r="CD1238" s="59"/>
      <c r="CE1238" s="59"/>
      <c r="CF1238" s="59"/>
      <c r="CG1238" s="59"/>
      <c r="CH1238" s="59"/>
      <c r="CI1238" s="59"/>
      <c r="CJ1238" s="59"/>
      <c r="CK1238" s="59"/>
      <c r="CL1238" s="59"/>
      <c r="CM1238" s="59"/>
      <c r="CN1238" s="59"/>
      <c r="CO1238" s="59"/>
      <c r="CP1238" s="59"/>
      <c r="CQ1238" s="59"/>
      <c r="CR1238" s="59"/>
      <c r="CS1238" s="59"/>
      <c r="CT1238" s="59"/>
      <c r="CU1238" s="59"/>
      <c r="CV1238" s="59"/>
      <c r="CW1238" s="59"/>
      <c r="CX1238" s="59"/>
      <c r="CY1238" s="59"/>
      <c r="CZ1238" s="59"/>
      <c r="DA1238" s="59"/>
      <c r="DB1238" s="59"/>
      <c r="DC1238" s="59"/>
      <c r="DD1238" s="59"/>
      <c r="DE1238" s="59"/>
      <c r="DF1238" s="59"/>
      <c r="DG1238" s="59"/>
      <c r="DH1238" s="59"/>
      <c r="DI1238" s="59"/>
      <c r="DJ1238" s="59"/>
      <c r="DK1238" s="59"/>
      <c r="DL1238" s="59"/>
      <c r="DM1238" s="59"/>
      <c r="DN1238" s="59"/>
      <c r="DO1238" s="59"/>
      <c r="DP1238" s="59"/>
      <c r="DQ1238" s="59"/>
      <c r="DR1238" s="59"/>
      <c r="DS1238" s="59"/>
      <c r="DT1238" s="59"/>
      <c r="DU1238" s="59"/>
      <c r="DV1238" s="59"/>
      <c r="DW1238" s="59"/>
      <c r="DX1238" s="59"/>
      <c r="DY1238" s="59"/>
      <c r="DZ1238" s="59"/>
      <c r="EA1238" s="59"/>
      <c r="EB1238" s="59"/>
      <c r="EC1238" s="59"/>
      <c r="ED1238" s="59"/>
      <c r="EE1238" s="59"/>
      <c r="EF1238" s="59"/>
      <c r="EG1238" s="59"/>
      <c r="EH1238" s="59"/>
      <c r="EI1238" s="59"/>
      <c r="EJ1238" s="59"/>
      <c r="EK1238" s="59"/>
      <c r="EL1238" s="59"/>
      <c r="EM1238" s="59"/>
      <c r="EN1238" s="59"/>
      <c r="EO1238" s="59"/>
      <c r="EP1238" s="59"/>
      <c r="EQ1238" s="59"/>
      <c r="ER1238" s="59"/>
      <c r="ES1238" s="59"/>
      <c r="ET1238" s="59"/>
      <c r="EU1238" s="59"/>
      <c r="EV1238" s="59"/>
      <c r="EW1238" s="59"/>
      <c r="EX1238" s="59"/>
      <c r="EY1238" s="59"/>
      <c r="EZ1238" s="59"/>
      <c r="FA1238" s="59"/>
      <c r="FB1238" s="59"/>
      <c r="FC1238" s="59"/>
      <c r="FD1238" s="59"/>
      <c r="FE1238" s="59"/>
      <c r="FF1238" s="59"/>
      <c r="FG1238" s="59"/>
      <c r="FH1238" s="59"/>
      <c r="FI1238" s="59"/>
      <c r="FJ1238" s="59"/>
      <c r="FK1238" s="59"/>
      <c r="FL1238" s="59"/>
      <c r="FM1238" s="59"/>
      <c r="FN1238" s="59"/>
      <c r="FO1238" s="59"/>
      <c r="FP1238" s="59"/>
      <c r="FQ1238" s="59"/>
      <c r="FR1238" s="59"/>
      <c r="FS1238" s="59"/>
      <c r="FT1238" s="59"/>
      <c r="FU1238" s="59"/>
      <c r="FV1238" s="59"/>
      <c r="FW1238" s="59"/>
      <c r="FX1238" s="59"/>
      <c r="FY1238" s="59"/>
      <c r="FZ1238" s="59"/>
      <c r="GA1238" s="59"/>
      <c r="GB1238" s="59"/>
      <c r="GC1238" s="59"/>
    </row>
    <row r="1239">
      <c r="A1239" s="59"/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59"/>
      <c r="N1239" s="59"/>
      <c r="O1239" s="59"/>
      <c r="P1239" s="59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59"/>
      <c r="AG1239" s="59"/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59"/>
      <c r="BR1239" s="59"/>
      <c r="BS1239" s="59"/>
      <c r="BT1239" s="59"/>
      <c r="BU1239" s="59"/>
      <c r="BV1239" s="59"/>
      <c r="BW1239" s="59"/>
      <c r="BX1239" s="59"/>
      <c r="BY1239" s="59"/>
      <c r="BZ1239" s="59"/>
      <c r="CA1239" s="59"/>
      <c r="CB1239" s="59"/>
      <c r="CC1239" s="59"/>
      <c r="CD1239" s="59"/>
      <c r="CE1239" s="59"/>
      <c r="CF1239" s="59"/>
      <c r="CG1239" s="59"/>
      <c r="CH1239" s="59"/>
      <c r="CI1239" s="59"/>
      <c r="CJ1239" s="59"/>
      <c r="CK1239" s="59"/>
      <c r="CL1239" s="59"/>
      <c r="CM1239" s="59"/>
      <c r="CN1239" s="59"/>
      <c r="CO1239" s="59"/>
      <c r="CP1239" s="59"/>
      <c r="CQ1239" s="59"/>
      <c r="CR1239" s="59"/>
      <c r="CS1239" s="59"/>
      <c r="CT1239" s="59"/>
      <c r="CU1239" s="59"/>
      <c r="CV1239" s="59"/>
      <c r="CW1239" s="59"/>
      <c r="CX1239" s="59"/>
      <c r="CY1239" s="59"/>
      <c r="CZ1239" s="59"/>
      <c r="DA1239" s="59"/>
      <c r="DB1239" s="59"/>
      <c r="DC1239" s="59"/>
      <c r="DD1239" s="59"/>
      <c r="DE1239" s="59"/>
      <c r="DF1239" s="59"/>
      <c r="DG1239" s="59"/>
      <c r="DH1239" s="59"/>
      <c r="DI1239" s="59"/>
      <c r="DJ1239" s="59"/>
      <c r="DK1239" s="59"/>
      <c r="DL1239" s="59"/>
      <c r="DM1239" s="59"/>
      <c r="DN1239" s="59"/>
      <c r="DO1239" s="59"/>
      <c r="DP1239" s="59"/>
      <c r="DQ1239" s="59"/>
      <c r="DR1239" s="59"/>
      <c r="DS1239" s="59"/>
      <c r="DT1239" s="59"/>
      <c r="DU1239" s="59"/>
      <c r="DV1239" s="59"/>
      <c r="DW1239" s="59"/>
      <c r="DX1239" s="59"/>
      <c r="DY1239" s="59"/>
      <c r="DZ1239" s="59"/>
      <c r="EA1239" s="59"/>
      <c r="EB1239" s="59"/>
      <c r="EC1239" s="59"/>
      <c r="ED1239" s="59"/>
      <c r="EE1239" s="59"/>
      <c r="EF1239" s="59"/>
      <c r="EG1239" s="59"/>
      <c r="EH1239" s="59"/>
      <c r="EI1239" s="59"/>
      <c r="EJ1239" s="59"/>
      <c r="EK1239" s="59"/>
      <c r="EL1239" s="59"/>
      <c r="EM1239" s="59"/>
      <c r="EN1239" s="59"/>
      <c r="EO1239" s="59"/>
      <c r="EP1239" s="59"/>
      <c r="EQ1239" s="59"/>
      <c r="ER1239" s="59"/>
      <c r="ES1239" s="59"/>
      <c r="ET1239" s="59"/>
      <c r="EU1239" s="59"/>
      <c r="EV1239" s="59"/>
      <c r="EW1239" s="59"/>
      <c r="EX1239" s="59"/>
      <c r="EY1239" s="59"/>
      <c r="EZ1239" s="59"/>
      <c r="FA1239" s="59"/>
      <c r="FB1239" s="59"/>
      <c r="FC1239" s="59"/>
      <c r="FD1239" s="59"/>
      <c r="FE1239" s="59"/>
      <c r="FF1239" s="59"/>
      <c r="FG1239" s="59"/>
      <c r="FH1239" s="59"/>
      <c r="FI1239" s="59"/>
      <c r="FJ1239" s="59"/>
      <c r="FK1239" s="59"/>
      <c r="FL1239" s="59"/>
      <c r="FM1239" s="59"/>
      <c r="FN1239" s="59"/>
      <c r="FO1239" s="59"/>
      <c r="FP1239" s="59"/>
      <c r="FQ1239" s="59"/>
      <c r="FR1239" s="59"/>
      <c r="FS1239" s="59"/>
      <c r="FT1239" s="59"/>
      <c r="FU1239" s="59"/>
      <c r="FV1239" s="59"/>
      <c r="FW1239" s="59"/>
      <c r="FX1239" s="59"/>
      <c r="FY1239" s="59"/>
      <c r="FZ1239" s="59"/>
      <c r="GA1239" s="59"/>
      <c r="GB1239" s="59"/>
      <c r="GC1239" s="59"/>
    </row>
    <row r="1240">
      <c r="A1240" s="59"/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59"/>
      <c r="BR1240" s="59"/>
      <c r="BS1240" s="59"/>
      <c r="BT1240" s="59"/>
      <c r="BU1240" s="59"/>
      <c r="BV1240" s="59"/>
      <c r="BW1240" s="59"/>
      <c r="BX1240" s="59"/>
      <c r="BY1240" s="59"/>
      <c r="BZ1240" s="59"/>
      <c r="CA1240" s="59"/>
      <c r="CB1240" s="59"/>
      <c r="CC1240" s="59"/>
      <c r="CD1240" s="59"/>
      <c r="CE1240" s="59"/>
      <c r="CF1240" s="59"/>
      <c r="CG1240" s="59"/>
      <c r="CH1240" s="59"/>
      <c r="CI1240" s="59"/>
      <c r="CJ1240" s="59"/>
      <c r="CK1240" s="59"/>
      <c r="CL1240" s="59"/>
      <c r="CM1240" s="59"/>
      <c r="CN1240" s="59"/>
      <c r="CO1240" s="59"/>
      <c r="CP1240" s="59"/>
      <c r="CQ1240" s="59"/>
      <c r="CR1240" s="59"/>
      <c r="CS1240" s="59"/>
      <c r="CT1240" s="59"/>
      <c r="CU1240" s="59"/>
      <c r="CV1240" s="59"/>
      <c r="CW1240" s="59"/>
      <c r="CX1240" s="59"/>
      <c r="CY1240" s="59"/>
      <c r="CZ1240" s="59"/>
      <c r="DA1240" s="59"/>
      <c r="DB1240" s="59"/>
      <c r="DC1240" s="59"/>
      <c r="DD1240" s="59"/>
      <c r="DE1240" s="59"/>
      <c r="DF1240" s="59"/>
      <c r="DG1240" s="59"/>
      <c r="DH1240" s="59"/>
      <c r="DI1240" s="59"/>
      <c r="DJ1240" s="59"/>
      <c r="DK1240" s="59"/>
      <c r="DL1240" s="59"/>
      <c r="DM1240" s="59"/>
      <c r="DN1240" s="59"/>
      <c r="DO1240" s="59"/>
      <c r="DP1240" s="59"/>
      <c r="DQ1240" s="59"/>
      <c r="DR1240" s="59"/>
      <c r="DS1240" s="59"/>
      <c r="DT1240" s="59"/>
      <c r="DU1240" s="59"/>
      <c r="DV1240" s="59"/>
      <c r="DW1240" s="59"/>
      <c r="DX1240" s="59"/>
      <c r="DY1240" s="59"/>
      <c r="DZ1240" s="59"/>
      <c r="EA1240" s="59"/>
      <c r="EB1240" s="59"/>
      <c r="EC1240" s="59"/>
      <c r="ED1240" s="59"/>
      <c r="EE1240" s="59"/>
      <c r="EF1240" s="59"/>
      <c r="EG1240" s="59"/>
      <c r="EH1240" s="59"/>
      <c r="EI1240" s="59"/>
      <c r="EJ1240" s="59"/>
      <c r="EK1240" s="59"/>
      <c r="EL1240" s="59"/>
      <c r="EM1240" s="59"/>
      <c r="EN1240" s="59"/>
      <c r="EO1240" s="59"/>
      <c r="EP1240" s="59"/>
      <c r="EQ1240" s="59"/>
      <c r="ER1240" s="59"/>
      <c r="ES1240" s="59"/>
      <c r="ET1240" s="59"/>
      <c r="EU1240" s="59"/>
      <c r="EV1240" s="59"/>
      <c r="EW1240" s="59"/>
      <c r="EX1240" s="59"/>
      <c r="EY1240" s="59"/>
      <c r="EZ1240" s="59"/>
      <c r="FA1240" s="59"/>
      <c r="FB1240" s="59"/>
      <c r="FC1240" s="59"/>
      <c r="FD1240" s="59"/>
      <c r="FE1240" s="59"/>
      <c r="FF1240" s="59"/>
      <c r="FG1240" s="59"/>
      <c r="FH1240" s="59"/>
      <c r="FI1240" s="59"/>
      <c r="FJ1240" s="59"/>
      <c r="FK1240" s="59"/>
      <c r="FL1240" s="59"/>
      <c r="FM1240" s="59"/>
      <c r="FN1240" s="59"/>
      <c r="FO1240" s="59"/>
      <c r="FP1240" s="59"/>
      <c r="FQ1240" s="59"/>
      <c r="FR1240" s="59"/>
      <c r="FS1240" s="59"/>
      <c r="FT1240" s="59"/>
      <c r="FU1240" s="59"/>
      <c r="FV1240" s="59"/>
      <c r="FW1240" s="59"/>
      <c r="FX1240" s="59"/>
      <c r="FY1240" s="59"/>
      <c r="FZ1240" s="59"/>
      <c r="GA1240" s="59"/>
      <c r="GB1240" s="59"/>
      <c r="GC1240" s="59"/>
    </row>
    <row r="1241">
      <c r="A1241" s="59"/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59"/>
      <c r="P1241" s="59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  <c r="AD1241" s="59"/>
      <c r="AE1241" s="59"/>
      <c r="AF1241" s="59"/>
      <c r="AG1241" s="59"/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59"/>
      <c r="BR1241" s="59"/>
      <c r="BS1241" s="59"/>
      <c r="BT1241" s="59"/>
      <c r="BU1241" s="59"/>
      <c r="BV1241" s="59"/>
      <c r="BW1241" s="59"/>
      <c r="BX1241" s="59"/>
      <c r="BY1241" s="59"/>
      <c r="BZ1241" s="59"/>
      <c r="CA1241" s="59"/>
      <c r="CB1241" s="59"/>
      <c r="CC1241" s="59"/>
      <c r="CD1241" s="59"/>
      <c r="CE1241" s="59"/>
      <c r="CF1241" s="59"/>
      <c r="CG1241" s="59"/>
      <c r="CH1241" s="59"/>
      <c r="CI1241" s="59"/>
      <c r="CJ1241" s="59"/>
      <c r="CK1241" s="59"/>
      <c r="CL1241" s="59"/>
      <c r="CM1241" s="59"/>
      <c r="CN1241" s="59"/>
      <c r="CO1241" s="59"/>
      <c r="CP1241" s="59"/>
      <c r="CQ1241" s="59"/>
      <c r="CR1241" s="59"/>
      <c r="CS1241" s="59"/>
      <c r="CT1241" s="59"/>
      <c r="CU1241" s="59"/>
      <c r="CV1241" s="59"/>
      <c r="CW1241" s="59"/>
      <c r="CX1241" s="59"/>
      <c r="CY1241" s="59"/>
      <c r="CZ1241" s="59"/>
      <c r="DA1241" s="59"/>
      <c r="DB1241" s="59"/>
      <c r="DC1241" s="59"/>
      <c r="DD1241" s="59"/>
      <c r="DE1241" s="59"/>
      <c r="DF1241" s="59"/>
      <c r="DG1241" s="59"/>
      <c r="DH1241" s="59"/>
      <c r="DI1241" s="59"/>
      <c r="DJ1241" s="59"/>
      <c r="DK1241" s="59"/>
      <c r="DL1241" s="59"/>
      <c r="DM1241" s="59"/>
      <c r="DN1241" s="59"/>
      <c r="DO1241" s="59"/>
      <c r="DP1241" s="59"/>
      <c r="DQ1241" s="59"/>
      <c r="DR1241" s="59"/>
      <c r="DS1241" s="59"/>
      <c r="DT1241" s="59"/>
      <c r="DU1241" s="59"/>
      <c r="DV1241" s="59"/>
      <c r="DW1241" s="59"/>
      <c r="DX1241" s="59"/>
      <c r="DY1241" s="59"/>
      <c r="DZ1241" s="59"/>
      <c r="EA1241" s="59"/>
      <c r="EB1241" s="59"/>
      <c r="EC1241" s="59"/>
      <c r="ED1241" s="59"/>
      <c r="EE1241" s="59"/>
      <c r="EF1241" s="59"/>
      <c r="EG1241" s="59"/>
      <c r="EH1241" s="59"/>
      <c r="EI1241" s="59"/>
      <c r="EJ1241" s="59"/>
      <c r="EK1241" s="59"/>
      <c r="EL1241" s="59"/>
      <c r="EM1241" s="59"/>
      <c r="EN1241" s="59"/>
      <c r="EO1241" s="59"/>
      <c r="EP1241" s="59"/>
      <c r="EQ1241" s="59"/>
      <c r="ER1241" s="59"/>
      <c r="ES1241" s="59"/>
      <c r="ET1241" s="59"/>
      <c r="EU1241" s="59"/>
      <c r="EV1241" s="59"/>
      <c r="EW1241" s="59"/>
      <c r="EX1241" s="59"/>
      <c r="EY1241" s="59"/>
      <c r="EZ1241" s="59"/>
      <c r="FA1241" s="59"/>
      <c r="FB1241" s="59"/>
      <c r="FC1241" s="59"/>
      <c r="FD1241" s="59"/>
      <c r="FE1241" s="59"/>
      <c r="FF1241" s="59"/>
      <c r="FG1241" s="59"/>
      <c r="FH1241" s="59"/>
      <c r="FI1241" s="59"/>
      <c r="FJ1241" s="59"/>
      <c r="FK1241" s="59"/>
      <c r="FL1241" s="59"/>
      <c r="FM1241" s="59"/>
      <c r="FN1241" s="59"/>
      <c r="FO1241" s="59"/>
      <c r="FP1241" s="59"/>
      <c r="FQ1241" s="59"/>
      <c r="FR1241" s="59"/>
      <c r="FS1241" s="59"/>
      <c r="FT1241" s="59"/>
      <c r="FU1241" s="59"/>
      <c r="FV1241" s="59"/>
      <c r="FW1241" s="59"/>
      <c r="FX1241" s="59"/>
      <c r="FY1241" s="59"/>
      <c r="FZ1241" s="59"/>
      <c r="GA1241" s="59"/>
      <c r="GB1241" s="59"/>
      <c r="GC1241" s="59"/>
    </row>
    <row r="1242">
      <c r="A1242" s="59"/>
      <c r="B1242" s="59"/>
      <c r="C1242" s="59"/>
      <c r="D1242" s="59"/>
      <c r="E1242" s="59"/>
      <c r="F1242" s="59"/>
      <c r="G1242" s="59"/>
      <c r="H1242" s="59"/>
      <c r="I1242" s="59"/>
      <c r="J1242" s="59"/>
      <c r="K1242" s="59"/>
      <c r="L1242" s="59"/>
      <c r="M1242" s="59"/>
      <c r="N1242" s="59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  <c r="BV1242" s="59"/>
      <c r="BW1242" s="59"/>
      <c r="BX1242" s="59"/>
      <c r="BY1242" s="59"/>
      <c r="BZ1242" s="59"/>
      <c r="CA1242" s="59"/>
      <c r="CB1242" s="59"/>
      <c r="CC1242" s="59"/>
      <c r="CD1242" s="59"/>
      <c r="CE1242" s="59"/>
      <c r="CF1242" s="59"/>
      <c r="CG1242" s="59"/>
      <c r="CH1242" s="59"/>
      <c r="CI1242" s="59"/>
      <c r="CJ1242" s="59"/>
      <c r="CK1242" s="59"/>
      <c r="CL1242" s="59"/>
      <c r="CM1242" s="59"/>
      <c r="CN1242" s="59"/>
      <c r="CO1242" s="59"/>
      <c r="CP1242" s="59"/>
      <c r="CQ1242" s="59"/>
      <c r="CR1242" s="59"/>
      <c r="CS1242" s="59"/>
      <c r="CT1242" s="59"/>
      <c r="CU1242" s="59"/>
      <c r="CV1242" s="59"/>
      <c r="CW1242" s="59"/>
      <c r="CX1242" s="59"/>
      <c r="CY1242" s="59"/>
      <c r="CZ1242" s="59"/>
      <c r="DA1242" s="59"/>
      <c r="DB1242" s="59"/>
      <c r="DC1242" s="59"/>
      <c r="DD1242" s="59"/>
      <c r="DE1242" s="59"/>
      <c r="DF1242" s="59"/>
      <c r="DG1242" s="59"/>
      <c r="DH1242" s="59"/>
      <c r="DI1242" s="59"/>
      <c r="DJ1242" s="59"/>
      <c r="DK1242" s="59"/>
      <c r="DL1242" s="59"/>
      <c r="DM1242" s="59"/>
      <c r="DN1242" s="59"/>
      <c r="DO1242" s="59"/>
      <c r="DP1242" s="59"/>
      <c r="DQ1242" s="59"/>
      <c r="DR1242" s="59"/>
      <c r="DS1242" s="59"/>
      <c r="DT1242" s="59"/>
      <c r="DU1242" s="59"/>
      <c r="DV1242" s="59"/>
      <c r="DW1242" s="59"/>
      <c r="DX1242" s="59"/>
      <c r="DY1242" s="59"/>
      <c r="DZ1242" s="59"/>
      <c r="EA1242" s="59"/>
      <c r="EB1242" s="59"/>
      <c r="EC1242" s="59"/>
      <c r="ED1242" s="59"/>
      <c r="EE1242" s="59"/>
      <c r="EF1242" s="59"/>
      <c r="EG1242" s="59"/>
      <c r="EH1242" s="59"/>
      <c r="EI1242" s="59"/>
      <c r="EJ1242" s="59"/>
      <c r="EK1242" s="59"/>
      <c r="EL1242" s="59"/>
      <c r="EM1242" s="59"/>
      <c r="EN1242" s="59"/>
      <c r="EO1242" s="59"/>
      <c r="EP1242" s="59"/>
      <c r="EQ1242" s="59"/>
      <c r="ER1242" s="59"/>
      <c r="ES1242" s="59"/>
      <c r="ET1242" s="59"/>
      <c r="EU1242" s="59"/>
      <c r="EV1242" s="59"/>
      <c r="EW1242" s="59"/>
      <c r="EX1242" s="59"/>
      <c r="EY1242" s="59"/>
      <c r="EZ1242" s="59"/>
      <c r="FA1242" s="59"/>
      <c r="FB1242" s="59"/>
      <c r="FC1242" s="59"/>
      <c r="FD1242" s="59"/>
      <c r="FE1242" s="59"/>
      <c r="FF1242" s="59"/>
      <c r="FG1242" s="59"/>
      <c r="FH1242" s="59"/>
      <c r="FI1242" s="59"/>
      <c r="FJ1242" s="59"/>
      <c r="FK1242" s="59"/>
      <c r="FL1242" s="59"/>
      <c r="FM1242" s="59"/>
      <c r="FN1242" s="59"/>
      <c r="FO1242" s="59"/>
      <c r="FP1242" s="59"/>
      <c r="FQ1242" s="59"/>
      <c r="FR1242" s="59"/>
      <c r="FS1242" s="59"/>
      <c r="FT1242" s="59"/>
      <c r="FU1242" s="59"/>
      <c r="FV1242" s="59"/>
      <c r="FW1242" s="59"/>
      <c r="FX1242" s="59"/>
      <c r="FY1242" s="59"/>
      <c r="FZ1242" s="59"/>
      <c r="GA1242" s="59"/>
      <c r="GB1242" s="59"/>
      <c r="GC1242" s="59"/>
    </row>
    <row r="1243">
      <c r="A1243" s="59"/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59"/>
      <c r="N1243" s="59"/>
      <c r="O1243" s="59"/>
      <c r="P1243" s="59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59"/>
      <c r="AG1243" s="59"/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59"/>
      <c r="BR1243" s="59"/>
      <c r="BS1243" s="59"/>
      <c r="BT1243" s="59"/>
      <c r="BU1243" s="59"/>
      <c r="BV1243" s="59"/>
      <c r="BW1243" s="59"/>
      <c r="BX1243" s="59"/>
      <c r="BY1243" s="59"/>
      <c r="BZ1243" s="59"/>
      <c r="CA1243" s="59"/>
      <c r="CB1243" s="59"/>
      <c r="CC1243" s="59"/>
      <c r="CD1243" s="59"/>
      <c r="CE1243" s="59"/>
      <c r="CF1243" s="59"/>
      <c r="CG1243" s="59"/>
      <c r="CH1243" s="59"/>
      <c r="CI1243" s="59"/>
      <c r="CJ1243" s="59"/>
      <c r="CK1243" s="59"/>
      <c r="CL1243" s="59"/>
      <c r="CM1243" s="59"/>
      <c r="CN1243" s="59"/>
      <c r="CO1243" s="59"/>
      <c r="CP1243" s="59"/>
      <c r="CQ1243" s="59"/>
      <c r="CR1243" s="59"/>
      <c r="CS1243" s="59"/>
      <c r="CT1243" s="59"/>
      <c r="CU1243" s="59"/>
      <c r="CV1243" s="59"/>
      <c r="CW1243" s="59"/>
      <c r="CX1243" s="59"/>
      <c r="CY1243" s="59"/>
      <c r="CZ1243" s="59"/>
      <c r="DA1243" s="59"/>
      <c r="DB1243" s="59"/>
      <c r="DC1243" s="59"/>
      <c r="DD1243" s="59"/>
      <c r="DE1243" s="59"/>
      <c r="DF1243" s="59"/>
      <c r="DG1243" s="59"/>
      <c r="DH1243" s="59"/>
      <c r="DI1243" s="59"/>
      <c r="DJ1243" s="59"/>
      <c r="DK1243" s="59"/>
      <c r="DL1243" s="59"/>
      <c r="DM1243" s="59"/>
      <c r="DN1243" s="59"/>
      <c r="DO1243" s="59"/>
      <c r="DP1243" s="59"/>
      <c r="DQ1243" s="59"/>
      <c r="DR1243" s="59"/>
      <c r="DS1243" s="59"/>
      <c r="DT1243" s="59"/>
      <c r="DU1243" s="59"/>
      <c r="DV1243" s="59"/>
      <c r="DW1243" s="59"/>
      <c r="DX1243" s="59"/>
      <c r="DY1243" s="59"/>
      <c r="DZ1243" s="59"/>
      <c r="EA1243" s="59"/>
      <c r="EB1243" s="59"/>
      <c r="EC1243" s="59"/>
      <c r="ED1243" s="59"/>
      <c r="EE1243" s="59"/>
      <c r="EF1243" s="59"/>
      <c r="EG1243" s="59"/>
      <c r="EH1243" s="59"/>
      <c r="EI1243" s="59"/>
      <c r="EJ1243" s="59"/>
      <c r="EK1243" s="59"/>
      <c r="EL1243" s="59"/>
      <c r="EM1243" s="59"/>
      <c r="EN1243" s="59"/>
      <c r="EO1243" s="59"/>
      <c r="EP1243" s="59"/>
      <c r="EQ1243" s="59"/>
      <c r="ER1243" s="59"/>
      <c r="ES1243" s="59"/>
      <c r="ET1243" s="59"/>
      <c r="EU1243" s="59"/>
      <c r="EV1243" s="59"/>
      <c r="EW1243" s="59"/>
      <c r="EX1243" s="59"/>
      <c r="EY1243" s="59"/>
      <c r="EZ1243" s="59"/>
      <c r="FA1243" s="59"/>
      <c r="FB1243" s="59"/>
      <c r="FC1243" s="59"/>
      <c r="FD1243" s="59"/>
      <c r="FE1243" s="59"/>
      <c r="FF1243" s="59"/>
      <c r="FG1243" s="59"/>
      <c r="FH1243" s="59"/>
      <c r="FI1243" s="59"/>
      <c r="FJ1243" s="59"/>
      <c r="FK1243" s="59"/>
      <c r="FL1243" s="59"/>
      <c r="FM1243" s="59"/>
      <c r="FN1243" s="59"/>
      <c r="FO1243" s="59"/>
      <c r="FP1243" s="59"/>
      <c r="FQ1243" s="59"/>
      <c r="FR1243" s="59"/>
      <c r="FS1243" s="59"/>
      <c r="FT1243" s="59"/>
      <c r="FU1243" s="59"/>
      <c r="FV1243" s="59"/>
      <c r="FW1243" s="59"/>
      <c r="FX1243" s="59"/>
      <c r="FY1243" s="59"/>
      <c r="FZ1243" s="59"/>
      <c r="GA1243" s="59"/>
      <c r="GB1243" s="59"/>
      <c r="GC1243" s="59"/>
    </row>
    <row r="1244">
      <c r="A1244" s="59"/>
      <c r="B1244" s="59"/>
      <c r="C1244" s="59"/>
      <c r="D1244" s="59"/>
      <c r="E1244" s="59"/>
      <c r="F1244" s="59"/>
      <c r="G1244" s="59"/>
      <c r="H1244" s="59"/>
      <c r="I1244" s="59"/>
      <c r="J1244" s="59"/>
      <c r="K1244" s="59"/>
      <c r="L1244" s="59"/>
      <c r="M1244" s="59"/>
      <c r="N1244" s="59"/>
      <c r="O1244" s="59"/>
      <c r="P1244" s="59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59"/>
      <c r="BR1244" s="59"/>
      <c r="BS1244" s="59"/>
      <c r="BT1244" s="59"/>
      <c r="BU1244" s="59"/>
      <c r="BV1244" s="59"/>
      <c r="BW1244" s="59"/>
      <c r="BX1244" s="59"/>
      <c r="BY1244" s="59"/>
      <c r="BZ1244" s="59"/>
      <c r="CA1244" s="59"/>
      <c r="CB1244" s="59"/>
      <c r="CC1244" s="59"/>
      <c r="CD1244" s="59"/>
      <c r="CE1244" s="59"/>
      <c r="CF1244" s="59"/>
      <c r="CG1244" s="59"/>
      <c r="CH1244" s="59"/>
      <c r="CI1244" s="59"/>
      <c r="CJ1244" s="59"/>
      <c r="CK1244" s="59"/>
      <c r="CL1244" s="59"/>
      <c r="CM1244" s="59"/>
      <c r="CN1244" s="59"/>
      <c r="CO1244" s="59"/>
      <c r="CP1244" s="59"/>
      <c r="CQ1244" s="59"/>
      <c r="CR1244" s="59"/>
      <c r="CS1244" s="59"/>
      <c r="CT1244" s="59"/>
      <c r="CU1244" s="59"/>
      <c r="CV1244" s="59"/>
      <c r="CW1244" s="59"/>
      <c r="CX1244" s="59"/>
      <c r="CY1244" s="59"/>
      <c r="CZ1244" s="59"/>
      <c r="DA1244" s="59"/>
      <c r="DB1244" s="59"/>
      <c r="DC1244" s="59"/>
      <c r="DD1244" s="59"/>
      <c r="DE1244" s="59"/>
      <c r="DF1244" s="59"/>
      <c r="DG1244" s="59"/>
      <c r="DH1244" s="59"/>
      <c r="DI1244" s="59"/>
      <c r="DJ1244" s="59"/>
      <c r="DK1244" s="59"/>
      <c r="DL1244" s="59"/>
      <c r="DM1244" s="59"/>
      <c r="DN1244" s="59"/>
      <c r="DO1244" s="59"/>
      <c r="DP1244" s="59"/>
      <c r="DQ1244" s="59"/>
      <c r="DR1244" s="59"/>
      <c r="DS1244" s="59"/>
      <c r="DT1244" s="59"/>
      <c r="DU1244" s="59"/>
      <c r="DV1244" s="59"/>
      <c r="DW1244" s="59"/>
      <c r="DX1244" s="59"/>
      <c r="DY1244" s="59"/>
      <c r="DZ1244" s="59"/>
      <c r="EA1244" s="59"/>
      <c r="EB1244" s="59"/>
      <c r="EC1244" s="59"/>
      <c r="ED1244" s="59"/>
      <c r="EE1244" s="59"/>
      <c r="EF1244" s="59"/>
      <c r="EG1244" s="59"/>
      <c r="EH1244" s="59"/>
      <c r="EI1244" s="59"/>
      <c r="EJ1244" s="59"/>
      <c r="EK1244" s="59"/>
      <c r="EL1244" s="59"/>
      <c r="EM1244" s="59"/>
      <c r="EN1244" s="59"/>
      <c r="EO1244" s="59"/>
      <c r="EP1244" s="59"/>
      <c r="EQ1244" s="59"/>
      <c r="ER1244" s="59"/>
      <c r="ES1244" s="59"/>
      <c r="ET1244" s="59"/>
      <c r="EU1244" s="59"/>
      <c r="EV1244" s="59"/>
      <c r="EW1244" s="59"/>
      <c r="EX1244" s="59"/>
      <c r="EY1244" s="59"/>
      <c r="EZ1244" s="59"/>
      <c r="FA1244" s="59"/>
      <c r="FB1244" s="59"/>
      <c r="FC1244" s="59"/>
      <c r="FD1244" s="59"/>
      <c r="FE1244" s="59"/>
      <c r="FF1244" s="59"/>
      <c r="FG1244" s="59"/>
      <c r="FH1244" s="59"/>
      <c r="FI1244" s="59"/>
      <c r="FJ1244" s="59"/>
      <c r="FK1244" s="59"/>
      <c r="FL1244" s="59"/>
      <c r="FM1244" s="59"/>
      <c r="FN1244" s="59"/>
      <c r="FO1244" s="59"/>
      <c r="FP1244" s="59"/>
      <c r="FQ1244" s="59"/>
      <c r="FR1244" s="59"/>
      <c r="FS1244" s="59"/>
      <c r="FT1244" s="59"/>
      <c r="FU1244" s="59"/>
      <c r="FV1244" s="59"/>
      <c r="FW1244" s="59"/>
      <c r="FX1244" s="59"/>
      <c r="FY1244" s="59"/>
      <c r="FZ1244" s="59"/>
      <c r="GA1244" s="59"/>
      <c r="GB1244" s="59"/>
      <c r="GC1244" s="59"/>
    </row>
    <row r="1245">
      <c r="A1245" s="59"/>
      <c r="B1245" s="59"/>
      <c r="C1245" s="59"/>
      <c r="D1245" s="59"/>
      <c r="E1245" s="59"/>
      <c r="F1245" s="59"/>
      <c r="G1245" s="59"/>
      <c r="H1245" s="59"/>
      <c r="I1245" s="59"/>
      <c r="J1245" s="59"/>
      <c r="K1245" s="59"/>
      <c r="L1245" s="59"/>
      <c r="M1245" s="59"/>
      <c r="N1245" s="59"/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  <c r="AD1245" s="59"/>
      <c r="AE1245" s="59"/>
      <c r="AF1245" s="59"/>
      <c r="AG1245" s="59"/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59"/>
      <c r="BR1245" s="59"/>
      <c r="BS1245" s="59"/>
      <c r="BT1245" s="59"/>
      <c r="BU1245" s="59"/>
      <c r="BV1245" s="59"/>
      <c r="BW1245" s="59"/>
      <c r="BX1245" s="59"/>
      <c r="BY1245" s="59"/>
      <c r="BZ1245" s="59"/>
      <c r="CA1245" s="59"/>
      <c r="CB1245" s="59"/>
      <c r="CC1245" s="59"/>
      <c r="CD1245" s="59"/>
      <c r="CE1245" s="59"/>
      <c r="CF1245" s="59"/>
      <c r="CG1245" s="59"/>
      <c r="CH1245" s="59"/>
      <c r="CI1245" s="59"/>
      <c r="CJ1245" s="59"/>
      <c r="CK1245" s="59"/>
      <c r="CL1245" s="59"/>
      <c r="CM1245" s="59"/>
      <c r="CN1245" s="59"/>
      <c r="CO1245" s="59"/>
      <c r="CP1245" s="59"/>
      <c r="CQ1245" s="59"/>
      <c r="CR1245" s="59"/>
      <c r="CS1245" s="59"/>
      <c r="CT1245" s="59"/>
      <c r="CU1245" s="59"/>
      <c r="CV1245" s="59"/>
      <c r="CW1245" s="59"/>
      <c r="CX1245" s="59"/>
      <c r="CY1245" s="59"/>
      <c r="CZ1245" s="59"/>
      <c r="DA1245" s="59"/>
      <c r="DB1245" s="59"/>
      <c r="DC1245" s="59"/>
      <c r="DD1245" s="59"/>
      <c r="DE1245" s="59"/>
      <c r="DF1245" s="59"/>
      <c r="DG1245" s="59"/>
      <c r="DH1245" s="59"/>
      <c r="DI1245" s="59"/>
      <c r="DJ1245" s="59"/>
      <c r="DK1245" s="59"/>
      <c r="DL1245" s="59"/>
      <c r="DM1245" s="59"/>
      <c r="DN1245" s="59"/>
      <c r="DO1245" s="59"/>
      <c r="DP1245" s="59"/>
      <c r="DQ1245" s="59"/>
      <c r="DR1245" s="59"/>
      <c r="DS1245" s="59"/>
      <c r="DT1245" s="59"/>
      <c r="DU1245" s="59"/>
      <c r="DV1245" s="59"/>
      <c r="DW1245" s="59"/>
      <c r="DX1245" s="59"/>
      <c r="DY1245" s="59"/>
      <c r="DZ1245" s="59"/>
      <c r="EA1245" s="59"/>
      <c r="EB1245" s="59"/>
      <c r="EC1245" s="59"/>
      <c r="ED1245" s="59"/>
      <c r="EE1245" s="59"/>
      <c r="EF1245" s="59"/>
      <c r="EG1245" s="59"/>
      <c r="EH1245" s="59"/>
      <c r="EI1245" s="59"/>
      <c r="EJ1245" s="59"/>
      <c r="EK1245" s="59"/>
      <c r="EL1245" s="59"/>
      <c r="EM1245" s="59"/>
      <c r="EN1245" s="59"/>
      <c r="EO1245" s="59"/>
      <c r="EP1245" s="59"/>
      <c r="EQ1245" s="59"/>
      <c r="ER1245" s="59"/>
      <c r="ES1245" s="59"/>
      <c r="ET1245" s="59"/>
      <c r="EU1245" s="59"/>
      <c r="EV1245" s="59"/>
      <c r="EW1245" s="59"/>
      <c r="EX1245" s="59"/>
      <c r="EY1245" s="59"/>
      <c r="EZ1245" s="59"/>
      <c r="FA1245" s="59"/>
      <c r="FB1245" s="59"/>
      <c r="FC1245" s="59"/>
      <c r="FD1245" s="59"/>
      <c r="FE1245" s="59"/>
      <c r="FF1245" s="59"/>
      <c r="FG1245" s="59"/>
      <c r="FH1245" s="59"/>
      <c r="FI1245" s="59"/>
      <c r="FJ1245" s="59"/>
      <c r="FK1245" s="59"/>
      <c r="FL1245" s="59"/>
      <c r="FM1245" s="59"/>
      <c r="FN1245" s="59"/>
      <c r="FO1245" s="59"/>
      <c r="FP1245" s="59"/>
      <c r="FQ1245" s="59"/>
      <c r="FR1245" s="59"/>
      <c r="FS1245" s="59"/>
      <c r="FT1245" s="59"/>
      <c r="FU1245" s="59"/>
      <c r="FV1245" s="59"/>
      <c r="FW1245" s="59"/>
      <c r="FX1245" s="59"/>
      <c r="FY1245" s="59"/>
      <c r="FZ1245" s="59"/>
      <c r="GA1245" s="59"/>
      <c r="GB1245" s="59"/>
      <c r="GC1245" s="59"/>
    </row>
    <row r="1246">
      <c r="A1246" s="59"/>
      <c r="B1246" s="59"/>
      <c r="C1246" s="59"/>
      <c r="D1246" s="59"/>
      <c r="E1246" s="59"/>
      <c r="F1246" s="59"/>
      <c r="G1246" s="59"/>
      <c r="H1246" s="59"/>
      <c r="I1246" s="59"/>
      <c r="J1246" s="59"/>
      <c r="K1246" s="59"/>
      <c r="L1246" s="59"/>
      <c r="M1246" s="59"/>
      <c r="N1246" s="59"/>
      <c r="O1246" s="59"/>
      <c r="P1246" s="59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59"/>
      <c r="BR1246" s="59"/>
      <c r="BS1246" s="59"/>
      <c r="BT1246" s="59"/>
      <c r="BU1246" s="59"/>
      <c r="BV1246" s="59"/>
      <c r="BW1246" s="59"/>
      <c r="BX1246" s="59"/>
      <c r="BY1246" s="59"/>
      <c r="BZ1246" s="59"/>
      <c r="CA1246" s="59"/>
      <c r="CB1246" s="59"/>
      <c r="CC1246" s="59"/>
      <c r="CD1246" s="59"/>
      <c r="CE1246" s="59"/>
      <c r="CF1246" s="59"/>
      <c r="CG1246" s="59"/>
      <c r="CH1246" s="59"/>
      <c r="CI1246" s="59"/>
      <c r="CJ1246" s="59"/>
      <c r="CK1246" s="59"/>
      <c r="CL1246" s="59"/>
      <c r="CM1246" s="59"/>
      <c r="CN1246" s="59"/>
      <c r="CO1246" s="59"/>
      <c r="CP1246" s="59"/>
      <c r="CQ1246" s="59"/>
      <c r="CR1246" s="59"/>
      <c r="CS1246" s="59"/>
      <c r="CT1246" s="59"/>
      <c r="CU1246" s="59"/>
      <c r="CV1246" s="59"/>
      <c r="CW1246" s="59"/>
      <c r="CX1246" s="59"/>
      <c r="CY1246" s="59"/>
      <c r="CZ1246" s="59"/>
      <c r="DA1246" s="59"/>
      <c r="DB1246" s="59"/>
      <c r="DC1246" s="59"/>
      <c r="DD1246" s="59"/>
      <c r="DE1246" s="59"/>
      <c r="DF1246" s="59"/>
      <c r="DG1246" s="59"/>
      <c r="DH1246" s="59"/>
      <c r="DI1246" s="59"/>
      <c r="DJ1246" s="59"/>
      <c r="DK1246" s="59"/>
      <c r="DL1246" s="59"/>
      <c r="DM1246" s="59"/>
      <c r="DN1246" s="59"/>
      <c r="DO1246" s="59"/>
      <c r="DP1246" s="59"/>
      <c r="DQ1246" s="59"/>
      <c r="DR1246" s="59"/>
      <c r="DS1246" s="59"/>
      <c r="DT1246" s="59"/>
      <c r="DU1246" s="59"/>
      <c r="DV1246" s="59"/>
      <c r="DW1246" s="59"/>
      <c r="DX1246" s="59"/>
      <c r="DY1246" s="59"/>
      <c r="DZ1246" s="59"/>
      <c r="EA1246" s="59"/>
      <c r="EB1246" s="59"/>
      <c r="EC1246" s="59"/>
      <c r="ED1246" s="59"/>
      <c r="EE1246" s="59"/>
      <c r="EF1246" s="59"/>
      <c r="EG1246" s="59"/>
      <c r="EH1246" s="59"/>
      <c r="EI1246" s="59"/>
      <c r="EJ1246" s="59"/>
      <c r="EK1246" s="59"/>
      <c r="EL1246" s="59"/>
      <c r="EM1246" s="59"/>
      <c r="EN1246" s="59"/>
      <c r="EO1246" s="59"/>
      <c r="EP1246" s="59"/>
      <c r="EQ1246" s="59"/>
      <c r="ER1246" s="59"/>
      <c r="ES1246" s="59"/>
      <c r="ET1246" s="59"/>
      <c r="EU1246" s="59"/>
      <c r="EV1246" s="59"/>
      <c r="EW1246" s="59"/>
      <c r="EX1246" s="59"/>
      <c r="EY1246" s="59"/>
      <c r="EZ1246" s="59"/>
      <c r="FA1246" s="59"/>
      <c r="FB1246" s="59"/>
      <c r="FC1246" s="59"/>
      <c r="FD1246" s="59"/>
      <c r="FE1246" s="59"/>
      <c r="FF1246" s="59"/>
      <c r="FG1246" s="59"/>
      <c r="FH1246" s="59"/>
      <c r="FI1246" s="59"/>
      <c r="FJ1246" s="59"/>
      <c r="FK1246" s="59"/>
      <c r="FL1246" s="59"/>
      <c r="FM1246" s="59"/>
      <c r="FN1246" s="59"/>
      <c r="FO1246" s="59"/>
      <c r="FP1246" s="59"/>
      <c r="FQ1246" s="59"/>
      <c r="FR1246" s="59"/>
      <c r="FS1246" s="59"/>
      <c r="FT1246" s="59"/>
      <c r="FU1246" s="59"/>
      <c r="FV1246" s="59"/>
      <c r="FW1246" s="59"/>
      <c r="FX1246" s="59"/>
      <c r="FY1246" s="59"/>
      <c r="FZ1246" s="59"/>
      <c r="GA1246" s="59"/>
      <c r="GB1246" s="59"/>
      <c r="GC1246" s="59"/>
    </row>
    <row r="1247">
      <c r="A1247" s="59"/>
      <c r="B1247" s="59"/>
      <c r="C1247" s="59"/>
      <c r="D1247" s="59"/>
      <c r="E1247" s="59"/>
      <c r="F1247" s="59"/>
      <c r="G1247" s="59"/>
      <c r="H1247" s="59"/>
      <c r="I1247" s="59"/>
      <c r="J1247" s="59"/>
      <c r="K1247" s="59"/>
      <c r="L1247" s="59"/>
      <c r="M1247" s="59"/>
      <c r="N1247" s="59"/>
      <c r="O1247" s="59"/>
      <c r="P1247" s="59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  <c r="AD1247" s="59"/>
      <c r="AE1247" s="59"/>
      <c r="AF1247" s="59"/>
      <c r="AG1247" s="59"/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59"/>
      <c r="BR1247" s="59"/>
      <c r="BS1247" s="59"/>
      <c r="BT1247" s="59"/>
      <c r="BU1247" s="59"/>
      <c r="BV1247" s="59"/>
      <c r="BW1247" s="59"/>
      <c r="BX1247" s="59"/>
      <c r="BY1247" s="59"/>
      <c r="BZ1247" s="59"/>
      <c r="CA1247" s="59"/>
      <c r="CB1247" s="59"/>
      <c r="CC1247" s="59"/>
      <c r="CD1247" s="59"/>
      <c r="CE1247" s="59"/>
      <c r="CF1247" s="59"/>
      <c r="CG1247" s="59"/>
      <c r="CH1247" s="59"/>
      <c r="CI1247" s="59"/>
      <c r="CJ1247" s="59"/>
      <c r="CK1247" s="59"/>
      <c r="CL1247" s="59"/>
      <c r="CM1247" s="59"/>
      <c r="CN1247" s="59"/>
      <c r="CO1247" s="59"/>
      <c r="CP1247" s="59"/>
      <c r="CQ1247" s="59"/>
      <c r="CR1247" s="59"/>
      <c r="CS1247" s="59"/>
      <c r="CT1247" s="59"/>
      <c r="CU1247" s="59"/>
      <c r="CV1247" s="59"/>
      <c r="CW1247" s="59"/>
      <c r="CX1247" s="59"/>
      <c r="CY1247" s="59"/>
      <c r="CZ1247" s="59"/>
      <c r="DA1247" s="59"/>
      <c r="DB1247" s="59"/>
      <c r="DC1247" s="59"/>
      <c r="DD1247" s="59"/>
      <c r="DE1247" s="59"/>
      <c r="DF1247" s="59"/>
      <c r="DG1247" s="59"/>
      <c r="DH1247" s="59"/>
      <c r="DI1247" s="59"/>
      <c r="DJ1247" s="59"/>
      <c r="DK1247" s="59"/>
      <c r="DL1247" s="59"/>
      <c r="DM1247" s="59"/>
      <c r="DN1247" s="59"/>
      <c r="DO1247" s="59"/>
      <c r="DP1247" s="59"/>
      <c r="DQ1247" s="59"/>
      <c r="DR1247" s="59"/>
      <c r="DS1247" s="59"/>
      <c r="DT1247" s="59"/>
      <c r="DU1247" s="59"/>
      <c r="DV1247" s="59"/>
      <c r="DW1247" s="59"/>
      <c r="DX1247" s="59"/>
      <c r="DY1247" s="59"/>
      <c r="DZ1247" s="59"/>
      <c r="EA1247" s="59"/>
      <c r="EB1247" s="59"/>
      <c r="EC1247" s="59"/>
      <c r="ED1247" s="59"/>
      <c r="EE1247" s="59"/>
      <c r="EF1247" s="59"/>
      <c r="EG1247" s="59"/>
      <c r="EH1247" s="59"/>
      <c r="EI1247" s="59"/>
      <c r="EJ1247" s="59"/>
      <c r="EK1247" s="59"/>
      <c r="EL1247" s="59"/>
      <c r="EM1247" s="59"/>
      <c r="EN1247" s="59"/>
      <c r="EO1247" s="59"/>
      <c r="EP1247" s="59"/>
      <c r="EQ1247" s="59"/>
      <c r="ER1247" s="59"/>
      <c r="ES1247" s="59"/>
      <c r="ET1247" s="59"/>
      <c r="EU1247" s="59"/>
      <c r="EV1247" s="59"/>
      <c r="EW1247" s="59"/>
      <c r="EX1247" s="59"/>
      <c r="EY1247" s="59"/>
      <c r="EZ1247" s="59"/>
      <c r="FA1247" s="59"/>
      <c r="FB1247" s="59"/>
      <c r="FC1247" s="59"/>
      <c r="FD1247" s="59"/>
      <c r="FE1247" s="59"/>
      <c r="FF1247" s="59"/>
      <c r="FG1247" s="59"/>
      <c r="FH1247" s="59"/>
      <c r="FI1247" s="59"/>
      <c r="FJ1247" s="59"/>
      <c r="FK1247" s="59"/>
      <c r="FL1247" s="59"/>
      <c r="FM1247" s="59"/>
      <c r="FN1247" s="59"/>
      <c r="FO1247" s="59"/>
      <c r="FP1247" s="59"/>
      <c r="FQ1247" s="59"/>
      <c r="FR1247" s="59"/>
      <c r="FS1247" s="59"/>
      <c r="FT1247" s="59"/>
      <c r="FU1247" s="59"/>
      <c r="FV1247" s="59"/>
      <c r="FW1247" s="59"/>
      <c r="FX1247" s="59"/>
      <c r="FY1247" s="59"/>
      <c r="FZ1247" s="59"/>
      <c r="GA1247" s="59"/>
      <c r="GB1247" s="59"/>
      <c r="GC1247" s="59"/>
    </row>
    <row r="1248">
      <c r="A1248" s="59"/>
      <c r="B1248" s="59"/>
      <c r="C1248" s="59"/>
      <c r="D1248" s="59"/>
      <c r="E1248" s="59"/>
      <c r="F1248" s="59"/>
      <c r="G1248" s="59"/>
      <c r="H1248" s="59"/>
      <c r="I1248" s="59"/>
      <c r="J1248" s="59"/>
      <c r="K1248" s="59"/>
      <c r="L1248" s="59"/>
      <c r="M1248" s="59"/>
      <c r="N1248" s="59"/>
      <c r="O1248" s="59"/>
      <c r="P1248" s="59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59"/>
      <c r="BR1248" s="59"/>
      <c r="BS1248" s="59"/>
      <c r="BT1248" s="59"/>
      <c r="BU1248" s="59"/>
      <c r="BV1248" s="59"/>
      <c r="BW1248" s="59"/>
      <c r="BX1248" s="59"/>
      <c r="BY1248" s="59"/>
      <c r="BZ1248" s="59"/>
      <c r="CA1248" s="59"/>
      <c r="CB1248" s="59"/>
      <c r="CC1248" s="59"/>
      <c r="CD1248" s="59"/>
      <c r="CE1248" s="59"/>
      <c r="CF1248" s="59"/>
      <c r="CG1248" s="59"/>
      <c r="CH1248" s="59"/>
      <c r="CI1248" s="59"/>
      <c r="CJ1248" s="59"/>
      <c r="CK1248" s="59"/>
      <c r="CL1248" s="59"/>
      <c r="CM1248" s="59"/>
      <c r="CN1248" s="59"/>
      <c r="CO1248" s="59"/>
      <c r="CP1248" s="59"/>
      <c r="CQ1248" s="59"/>
      <c r="CR1248" s="59"/>
      <c r="CS1248" s="59"/>
      <c r="CT1248" s="59"/>
      <c r="CU1248" s="59"/>
      <c r="CV1248" s="59"/>
      <c r="CW1248" s="59"/>
      <c r="CX1248" s="59"/>
      <c r="CY1248" s="59"/>
      <c r="CZ1248" s="59"/>
      <c r="DA1248" s="59"/>
      <c r="DB1248" s="59"/>
      <c r="DC1248" s="59"/>
      <c r="DD1248" s="59"/>
      <c r="DE1248" s="59"/>
      <c r="DF1248" s="59"/>
      <c r="DG1248" s="59"/>
      <c r="DH1248" s="59"/>
      <c r="DI1248" s="59"/>
      <c r="DJ1248" s="59"/>
      <c r="DK1248" s="59"/>
      <c r="DL1248" s="59"/>
      <c r="DM1248" s="59"/>
      <c r="DN1248" s="59"/>
      <c r="DO1248" s="59"/>
      <c r="DP1248" s="59"/>
      <c r="DQ1248" s="59"/>
      <c r="DR1248" s="59"/>
      <c r="DS1248" s="59"/>
      <c r="DT1248" s="59"/>
      <c r="DU1248" s="59"/>
      <c r="DV1248" s="59"/>
      <c r="DW1248" s="59"/>
      <c r="DX1248" s="59"/>
      <c r="DY1248" s="59"/>
      <c r="DZ1248" s="59"/>
      <c r="EA1248" s="59"/>
      <c r="EB1248" s="59"/>
      <c r="EC1248" s="59"/>
      <c r="ED1248" s="59"/>
      <c r="EE1248" s="59"/>
      <c r="EF1248" s="59"/>
      <c r="EG1248" s="59"/>
      <c r="EH1248" s="59"/>
      <c r="EI1248" s="59"/>
      <c r="EJ1248" s="59"/>
      <c r="EK1248" s="59"/>
      <c r="EL1248" s="59"/>
      <c r="EM1248" s="59"/>
      <c r="EN1248" s="59"/>
      <c r="EO1248" s="59"/>
      <c r="EP1248" s="59"/>
      <c r="EQ1248" s="59"/>
      <c r="ER1248" s="59"/>
      <c r="ES1248" s="59"/>
      <c r="ET1248" s="59"/>
      <c r="EU1248" s="59"/>
      <c r="EV1248" s="59"/>
      <c r="EW1248" s="59"/>
      <c r="EX1248" s="59"/>
      <c r="EY1248" s="59"/>
      <c r="EZ1248" s="59"/>
      <c r="FA1248" s="59"/>
      <c r="FB1248" s="59"/>
      <c r="FC1248" s="59"/>
      <c r="FD1248" s="59"/>
      <c r="FE1248" s="59"/>
      <c r="FF1248" s="59"/>
      <c r="FG1248" s="59"/>
      <c r="FH1248" s="59"/>
      <c r="FI1248" s="59"/>
      <c r="FJ1248" s="59"/>
      <c r="FK1248" s="59"/>
      <c r="FL1248" s="59"/>
      <c r="FM1248" s="59"/>
      <c r="FN1248" s="59"/>
      <c r="FO1248" s="59"/>
      <c r="FP1248" s="59"/>
      <c r="FQ1248" s="59"/>
      <c r="FR1248" s="59"/>
      <c r="FS1248" s="59"/>
      <c r="FT1248" s="59"/>
      <c r="FU1248" s="59"/>
      <c r="FV1248" s="59"/>
      <c r="FW1248" s="59"/>
      <c r="FX1248" s="59"/>
      <c r="FY1248" s="59"/>
      <c r="FZ1248" s="59"/>
      <c r="GA1248" s="59"/>
      <c r="GB1248" s="59"/>
      <c r="GC1248" s="59"/>
    </row>
    <row r="1249">
      <c r="A1249" s="59"/>
      <c r="B1249" s="59"/>
      <c r="C1249" s="59"/>
      <c r="D1249" s="59"/>
      <c r="E1249" s="59"/>
      <c r="F1249" s="59"/>
      <c r="G1249" s="59"/>
      <c r="H1249" s="59"/>
      <c r="I1249" s="59"/>
      <c r="J1249" s="59"/>
      <c r="K1249" s="59"/>
      <c r="L1249" s="59"/>
      <c r="M1249" s="59"/>
      <c r="N1249" s="59"/>
      <c r="O1249" s="59"/>
      <c r="P1249" s="59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  <c r="AD1249" s="59"/>
      <c r="AE1249" s="59"/>
      <c r="AF1249" s="59"/>
      <c r="AG1249" s="59"/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59"/>
      <c r="BR1249" s="59"/>
      <c r="BS1249" s="59"/>
      <c r="BT1249" s="59"/>
      <c r="BU1249" s="59"/>
      <c r="BV1249" s="59"/>
      <c r="BW1249" s="59"/>
      <c r="BX1249" s="59"/>
      <c r="BY1249" s="59"/>
      <c r="BZ1249" s="59"/>
      <c r="CA1249" s="59"/>
      <c r="CB1249" s="59"/>
      <c r="CC1249" s="59"/>
      <c r="CD1249" s="59"/>
      <c r="CE1249" s="59"/>
      <c r="CF1249" s="59"/>
      <c r="CG1249" s="59"/>
      <c r="CH1249" s="59"/>
      <c r="CI1249" s="59"/>
      <c r="CJ1249" s="59"/>
      <c r="CK1249" s="59"/>
      <c r="CL1249" s="59"/>
      <c r="CM1249" s="59"/>
      <c r="CN1249" s="59"/>
      <c r="CO1249" s="59"/>
      <c r="CP1249" s="59"/>
      <c r="CQ1249" s="59"/>
      <c r="CR1249" s="59"/>
      <c r="CS1249" s="59"/>
      <c r="CT1249" s="59"/>
      <c r="CU1249" s="59"/>
      <c r="CV1249" s="59"/>
      <c r="CW1249" s="59"/>
      <c r="CX1249" s="59"/>
      <c r="CY1249" s="59"/>
      <c r="CZ1249" s="59"/>
      <c r="DA1249" s="59"/>
      <c r="DB1249" s="59"/>
      <c r="DC1249" s="59"/>
      <c r="DD1249" s="59"/>
      <c r="DE1249" s="59"/>
      <c r="DF1249" s="59"/>
      <c r="DG1249" s="59"/>
      <c r="DH1249" s="59"/>
      <c r="DI1249" s="59"/>
      <c r="DJ1249" s="59"/>
      <c r="DK1249" s="59"/>
      <c r="DL1249" s="59"/>
      <c r="DM1249" s="59"/>
      <c r="DN1249" s="59"/>
      <c r="DO1249" s="59"/>
      <c r="DP1249" s="59"/>
      <c r="DQ1249" s="59"/>
      <c r="DR1249" s="59"/>
      <c r="DS1249" s="59"/>
      <c r="DT1249" s="59"/>
      <c r="DU1249" s="59"/>
      <c r="DV1249" s="59"/>
      <c r="DW1249" s="59"/>
      <c r="DX1249" s="59"/>
      <c r="DY1249" s="59"/>
      <c r="DZ1249" s="59"/>
      <c r="EA1249" s="59"/>
      <c r="EB1249" s="59"/>
      <c r="EC1249" s="59"/>
      <c r="ED1249" s="59"/>
      <c r="EE1249" s="59"/>
      <c r="EF1249" s="59"/>
      <c r="EG1249" s="59"/>
      <c r="EH1249" s="59"/>
      <c r="EI1249" s="59"/>
      <c r="EJ1249" s="59"/>
      <c r="EK1249" s="59"/>
      <c r="EL1249" s="59"/>
      <c r="EM1249" s="59"/>
      <c r="EN1249" s="59"/>
      <c r="EO1249" s="59"/>
      <c r="EP1249" s="59"/>
      <c r="EQ1249" s="59"/>
      <c r="ER1249" s="59"/>
      <c r="ES1249" s="59"/>
      <c r="ET1249" s="59"/>
      <c r="EU1249" s="59"/>
      <c r="EV1249" s="59"/>
      <c r="EW1249" s="59"/>
      <c r="EX1249" s="59"/>
      <c r="EY1249" s="59"/>
      <c r="EZ1249" s="59"/>
      <c r="FA1249" s="59"/>
      <c r="FB1249" s="59"/>
      <c r="FC1249" s="59"/>
      <c r="FD1249" s="59"/>
      <c r="FE1249" s="59"/>
      <c r="FF1249" s="59"/>
      <c r="FG1249" s="59"/>
      <c r="FH1249" s="59"/>
      <c r="FI1249" s="59"/>
      <c r="FJ1249" s="59"/>
      <c r="FK1249" s="59"/>
      <c r="FL1249" s="59"/>
      <c r="FM1249" s="59"/>
      <c r="FN1249" s="59"/>
      <c r="FO1249" s="59"/>
      <c r="FP1249" s="59"/>
      <c r="FQ1249" s="59"/>
      <c r="FR1249" s="59"/>
      <c r="FS1249" s="59"/>
      <c r="FT1249" s="59"/>
      <c r="FU1249" s="59"/>
      <c r="FV1249" s="59"/>
      <c r="FW1249" s="59"/>
      <c r="FX1249" s="59"/>
      <c r="FY1249" s="59"/>
      <c r="FZ1249" s="59"/>
      <c r="GA1249" s="59"/>
      <c r="GB1249" s="59"/>
      <c r="GC1249" s="59"/>
    </row>
    <row r="1250">
      <c r="A1250" s="59"/>
      <c r="B1250" s="59"/>
      <c r="C1250" s="59"/>
      <c r="D1250" s="59"/>
      <c r="E1250" s="59"/>
      <c r="F1250" s="59"/>
      <c r="G1250" s="59"/>
      <c r="H1250" s="59"/>
      <c r="I1250" s="59"/>
      <c r="J1250" s="59"/>
      <c r="K1250" s="59"/>
      <c r="L1250" s="59"/>
      <c r="M1250" s="59"/>
      <c r="N1250" s="59"/>
      <c r="O1250" s="59"/>
      <c r="P1250" s="59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59"/>
      <c r="BR1250" s="59"/>
      <c r="BS1250" s="59"/>
      <c r="BT1250" s="59"/>
      <c r="BU1250" s="59"/>
      <c r="BV1250" s="59"/>
      <c r="BW1250" s="59"/>
      <c r="BX1250" s="59"/>
      <c r="BY1250" s="59"/>
      <c r="BZ1250" s="59"/>
      <c r="CA1250" s="59"/>
      <c r="CB1250" s="59"/>
      <c r="CC1250" s="59"/>
      <c r="CD1250" s="59"/>
      <c r="CE1250" s="59"/>
      <c r="CF1250" s="59"/>
      <c r="CG1250" s="59"/>
      <c r="CH1250" s="59"/>
      <c r="CI1250" s="59"/>
      <c r="CJ1250" s="59"/>
      <c r="CK1250" s="59"/>
      <c r="CL1250" s="59"/>
      <c r="CM1250" s="59"/>
      <c r="CN1250" s="59"/>
      <c r="CO1250" s="59"/>
      <c r="CP1250" s="59"/>
      <c r="CQ1250" s="59"/>
      <c r="CR1250" s="59"/>
      <c r="CS1250" s="59"/>
      <c r="CT1250" s="59"/>
      <c r="CU1250" s="59"/>
      <c r="CV1250" s="59"/>
      <c r="CW1250" s="59"/>
      <c r="CX1250" s="59"/>
      <c r="CY1250" s="59"/>
      <c r="CZ1250" s="59"/>
      <c r="DA1250" s="59"/>
      <c r="DB1250" s="59"/>
      <c r="DC1250" s="59"/>
      <c r="DD1250" s="59"/>
      <c r="DE1250" s="59"/>
      <c r="DF1250" s="59"/>
      <c r="DG1250" s="59"/>
      <c r="DH1250" s="59"/>
      <c r="DI1250" s="59"/>
      <c r="DJ1250" s="59"/>
      <c r="DK1250" s="59"/>
      <c r="DL1250" s="59"/>
      <c r="DM1250" s="59"/>
      <c r="DN1250" s="59"/>
      <c r="DO1250" s="59"/>
      <c r="DP1250" s="59"/>
      <c r="DQ1250" s="59"/>
      <c r="DR1250" s="59"/>
      <c r="DS1250" s="59"/>
      <c r="DT1250" s="59"/>
      <c r="DU1250" s="59"/>
      <c r="DV1250" s="59"/>
      <c r="DW1250" s="59"/>
      <c r="DX1250" s="59"/>
      <c r="DY1250" s="59"/>
      <c r="DZ1250" s="59"/>
      <c r="EA1250" s="59"/>
      <c r="EB1250" s="59"/>
      <c r="EC1250" s="59"/>
      <c r="ED1250" s="59"/>
      <c r="EE1250" s="59"/>
      <c r="EF1250" s="59"/>
      <c r="EG1250" s="59"/>
      <c r="EH1250" s="59"/>
      <c r="EI1250" s="59"/>
      <c r="EJ1250" s="59"/>
      <c r="EK1250" s="59"/>
      <c r="EL1250" s="59"/>
      <c r="EM1250" s="59"/>
      <c r="EN1250" s="59"/>
      <c r="EO1250" s="59"/>
      <c r="EP1250" s="59"/>
      <c r="EQ1250" s="59"/>
      <c r="ER1250" s="59"/>
      <c r="ES1250" s="59"/>
      <c r="ET1250" s="59"/>
      <c r="EU1250" s="59"/>
      <c r="EV1250" s="59"/>
      <c r="EW1250" s="59"/>
      <c r="EX1250" s="59"/>
      <c r="EY1250" s="59"/>
      <c r="EZ1250" s="59"/>
      <c r="FA1250" s="59"/>
      <c r="FB1250" s="59"/>
      <c r="FC1250" s="59"/>
      <c r="FD1250" s="59"/>
      <c r="FE1250" s="59"/>
      <c r="FF1250" s="59"/>
      <c r="FG1250" s="59"/>
      <c r="FH1250" s="59"/>
      <c r="FI1250" s="59"/>
      <c r="FJ1250" s="59"/>
      <c r="FK1250" s="59"/>
      <c r="FL1250" s="59"/>
      <c r="FM1250" s="59"/>
      <c r="FN1250" s="59"/>
      <c r="FO1250" s="59"/>
      <c r="FP1250" s="59"/>
      <c r="FQ1250" s="59"/>
      <c r="FR1250" s="59"/>
      <c r="FS1250" s="59"/>
      <c r="FT1250" s="59"/>
      <c r="FU1250" s="59"/>
      <c r="FV1250" s="59"/>
      <c r="FW1250" s="59"/>
      <c r="FX1250" s="59"/>
      <c r="FY1250" s="59"/>
      <c r="FZ1250" s="59"/>
      <c r="GA1250" s="59"/>
      <c r="GB1250" s="59"/>
      <c r="GC1250" s="59"/>
    </row>
    <row r="1251">
      <c r="A1251" s="59"/>
      <c r="B1251" s="59"/>
      <c r="C1251" s="59"/>
      <c r="D1251" s="59"/>
      <c r="E1251" s="59"/>
      <c r="F1251" s="59"/>
      <c r="G1251" s="59"/>
      <c r="H1251" s="59"/>
      <c r="I1251" s="59"/>
      <c r="J1251" s="59"/>
      <c r="K1251" s="59"/>
      <c r="L1251" s="59"/>
      <c r="M1251" s="59"/>
      <c r="N1251" s="59"/>
      <c r="O1251" s="59"/>
      <c r="P1251" s="59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  <c r="AD1251" s="59"/>
      <c r="AE1251" s="59"/>
      <c r="AF1251" s="59"/>
      <c r="AG1251" s="59"/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59"/>
      <c r="BR1251" s="59"/>
      <c r="BS1251" s="59"/>
      <c r="BT1251" s="59"/>
      <c r="BU1251" s="59"/>
      <c r="BV1251" s="59"/>
      <c r="BW1251" s="59"/>
      <c r="BX1251" s="59"/>
      <c r="BY1251" s="59"/>
      <c r="BZ1251" s="59"/>
      <c r="CA1251" s="59"/>
      <c r="CB1251" s="59"/>
      <c r="CC1251" s="59"/>
      <c r="CD1251" s="59"/>
      <c r="CE1251" s="59"/>
      <c r="CF1251" s="59"/>
      <c r="CG1251" s="59"/>
      <c r="CH1251" s="59"/>
      <c r="CI1251" s="59"/>
      <c r="CJ1251" s="59"/>
      <c r="CK1251" s="59"/>
      <c r="CL1251" s="59"/>
      <c r="CM1251" s="59"/>
      <c r="CN1251" s="59"/>
      <c r="CO1251" s="59"/>
      <c r="CP1251" s="59"/>
      <c r="CQ1251" s="59"/>
      <c r="CR1251" s="59"/>
      <c r="CS1251" s="59"/>
      <c r="CT1251" s="59"/>
      <c r="CU1251" s="59"/>
      <c r="CV1251" s="59"/>
      <c r="CW1251" s="59"/>
      <c r="CX1251" s="59"/>
      <c r="CY1251" s="59"/>
      <c r="CZ1251" s="59"/>
      <c r="DA1251" s="59"/>
      <c r="DB1251" s="59"/>
      <c r="DC1251" s="59"/>
      <c r="DD1251" s="59"/>
      <c r="DE1251" s="59"/>
      <c r="DF1251" s="59"/>
      <c r="DG1251" s="59"/>
      <c r="DH1251" s="59"/>
      <c r="DI1251" s="59"/>
      <c r="DJ1251" s="59"/>
      <c r="DK1251" s="59"/>
      <c r="DL1251" s="59"/>
      <c r="DM1251" s="59"/>
      <c r="DN1251" s="59"/>
      <c r="DO1251" s="59"/>
      <c r="DP1251" s="59"/>
      <c r="DQ1251" s="59"/>
      <c r="DR1251" s="59"/>
      <c r="DS1251" s="59"/>
      <c r="DT1251" s="59"/>
      <c r="DU1251" s="59"/>
      <c r="DV1251" s="59"/>
      <c r="DW1251" s="59"/>
      <c r="DX1251" s="59"/>
      <c r="DY1251" s="59"/>
      <c r="DZ1251" s="59"/>
      <c r="EA1251" s="59"/>
      <c r="EB1251" s="59"/>
      <c r="EC1251" s="59"/>
      <c r="ED1251" s="59"/>
      <c r="EE1251" s="59"/>
      <c r="EF1251" s="59"/>
      <c r="EG1251" s="59"/>
      <c r="EH1251" s="59"/>
      <c r="EI1251" s="59"/>
      <c r="EJ1251" s="59"/>
      <c r="EK1251" s="59"/>
      <c r="EL1251" s="59"/>
      <c r="EM1251" s="59"/>
      <c r="EN1251" s="59"/>
      <c r="EO1251" s="59"/>
      <c r="EP1251" s="59"/>
      <c r="EQ1251" s="59"/>
      <c r="ER1251" s="59"/>
      <c r="ES1251" s="59"/>
      <c r="ET1251" s="59"/>
      <c r="EU1251" s="59"/>
      <c r="EV1251" s="59"/>
      <c r="EW1251" s="59"/>
      <c r="EX1251" s="59"/>
      <c r="EY1251" s="59"/>
      <c r="EZ1251" s="59"/>
      <c r="FA1251" s="59"/>
      <c r="FB1251" s="59"/>
      <c r="FC1251" s="59"/>
      <c r="FD1251" s="59"/>
      <c r="FE1251" s="59"/>
      <c r="FF1251" s="59"/>
      <c r="FG1251" s="59"/>
      <c r="FH1251" s="59"/>
      <c r="FI1251" s="59"/>
      <c r="FJ1251" s="59"/>
      <c r="FK1251" s="59"/>
      <c r="FL1251" s="59"/>
      <c r="FM1251" s="59"/>
      <c r="FN1251" s="59"/>
      <c r="FO1251" s="59"/>
      <c r="FP1251" s="59"/>
      <c r="FQ1251" s="59"/>
      <c r="FR1251" s="59"/>
      <c r="FS1251" s="59"/>
      <c r="FT1251" s="59"/>
      <c r="FU1251" s="59"/>
      <c r="FV1251" s="59"/>
      <c r="FW1251" s="59"/>
      <c r="FX1251" s="59"/>
      <c r="FY1251" s="59"/>
      <c r="FZ1251" s="59"/>
      <c r="GA1251" s="59"/>
      <c r="GB1251" s="59"/>
      <c r="GC1251" s="59"/>
    </row>
    <row r="1252">
      <c r="A1252" s="59"/>
      <c r="B1252" s="59"/>
      <c r="C1252" s="59"/>
      <c r="D1252" s="59"/>
      <c r="E1252" s="59"/>
      <c r="F1252" s="59"/>
      <c r="G1252" s="59"/>
      <c r="H1252" s="59"/>
      <c r="I1252" s="59"/>
      <c r="J1252" s="59"/>
      <c r="K1252" s="59"/>
      <c r="L1252" s="59"/>
      <c r="M1252" s="59"/>
      <c r="N1252" s="59"/>
      <c r="O1252" s="59"/>
      <c r="P1252" s="59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59"/>
      <c r="BR1252" s="59"/>
      <c r="BS1252" s="59"/>
      <c r="BT1252" s="59"/>
      <c r="BU1252" s="59"/>
      <c r="BV1252" s="59"/>
      <c r="BW1252" s="59"/>
      <c r="BX1252" s="59"/>
      <c r="BY1252" s="59"/>
      <c r="BZ1252" s="59"/>
      <c r="CA1252" s="59"/>
      <c r="CB1252" s="59"/>
      <c r="CC1252" s="59"/>
      <c r="CD1252" s="59"/>
      <c r="CE1252" s="59"/>
      <c r="CF1252" s="59"/>
      <c r="CG1252" s="59"/>
      <c r="CH1252" s="59"/>
      <c r="CI1252" s="59"/>
      <c r="CJ1252" s="59"/>
      <c r="CK1252" s="59"/>
      <c r="CL1252" s="59"/>
      <c r="CM1252" s="59"/>
      <c r="CN1252" s="59"/>
      <c r="CO1252" s="59"/>
      <c r="CP1252" s="59"/>
      <c r="CQ1252" s="59"/>
      <c r="CR1252" s="59"/>
      <c r="CS1252" s="59"/>
      <c r="CT1252" s="59"/>
      <c r="CU1252" s="59"/>
      <c r="CV1252" s="59"/>
      <c r="CW1252" s="59"/>
      <c r="CX1252" s="59"/>
      <c r="CY1252" s="59"/>
      <c r="CZ1252" s="59"/>
      <c r="DA1252" s="59"/>
      <c r="DB1252" s="59"/>
      <c r="DC1252" s="59"/>
      <c r="DD1252" s="59"/>
      <c r="DE1252" s="59"/>
      <c r="DF1252" s="59"/>
      <c r="DG1252" s="59"/>
      <c r="DH1252" s="59"/>
      <c r="DI1252" s="59"/>
      <c r="DJ1252" s="59"/>
      <c r="DK1252" s="59"/>
      <c r="DL1252" s="59"/>
      <c r="DM1252" s="59"/>
      <c r="DN1252" s="59"/>
      <c r="DO1252" s="59"/>
      <c r="DP1252" s="59"/>
      <c r="DQ1252" s="59"/>
      <c r="DR1252" s="59"/>
      <c r="DS1252" s="59"/>
      <c r="DT1252" s="59"/>
      <c r="DU1252" s="59"/>
      <c r="DV1252" s="59"/>
      <c r="DW1252" s="59"/>
      <c r="DX1252" s="59"/>
      <c r="DY1252" s="59"/>
      <c r="DZ1252" s="59"/>
      <c r="EA1252" s="59"/>
      <c r="EB1252" s="59"/>
      <c r="EC1252" s="59"/>
      <c r="ED1252" s="59"/>
      <c r="EE1252" s="59"/>
      <c r="EF1252" s="59"/>
      <c r="EG1252" s="59"/>
      <c r="EH1252" s="59"/>
      <c r="EI1252" s="59"/>
      <c r="EJ1252" s="59"/>
      <c r="EK1252" s="59"/>
      <c r="EL1252" s="59"/>
      <c r="EM1252" s="59"/>
      <c r="EN1252" s="59"/>
      <c r="EO1252" s="59"/>
      <c r="EP1252" s="59"/>
      <c r="EQ1252" s="59"/>
      <c r="ER1252" s="59"/>
      <c r="ES1252" s="59"/>
      <c r="ET1252" s="59"/>
      <c r="EU1252" s="59"/>
      <c r="EV1252" s="59"/>
      <c r="EW1252" s="59"/>
      <c r="EX1252" s="59"/>
      <c r="EY1252" s="59"/>
      <c r="EZ1252" s="59"/>
      <c r="FA1252" s="59"/>
      <c r="FB1252" s="59"/>
      <c r="FC1252" s="59"/>
      <c r="FD1252" s="59"/>
      <c r="FE1252" s="59"/>
      <c r="FF1252" s="59"/>
      <c r="FG1252" s="59"/>
      <c r="FH1252" s="59"/>
      <c r="FI1252" s="59"/>
      <c r="FJ1252" s="59"/>
      <c r="FK1252" s="59"/>
      <c r="FL1252" s="59"/>
      <c r="FM1252" s="59"/>
      <c r="FN1252" s="59"/>
      <c r="FO1252" s="59"/>
      <c r="FP1252" s="59"/>
      <c r="FQ1252" s="59"/>
      <c r="FR1252" s="59"/>
      <c r="FS1252" s="59"/>
      <c r="FT1252" s="59"/>
      <c r="FU1252" s="59"/>
      <c r="FV1252" s="59"/>
      <c r="FW1252" s="59"/>
      <c r="FX1252" s="59"/>
      <c r="FY1252" s="59"/>
      <c r="FZ1252" s="59"/>
      <c r="GA1252" s="59"/>
      <c r="GB1252" s="59"/>
      <c r="GC1252" s="59"/>
    </row>
    <row r="1253">
      <c r="A1253" s="59"/>
      <c r="B1253" s="59"/>
      <c r="C1253" s="59"/>
      <c r="D1253" s="59"/>
      <c r="E1253" s="59"/>
      <c r="F1253" s="59"/>
      <c r="G1253" s="59"/>
      <c r="H1253" s="59"/>
      <c r="I1253" s="59"/>
      <c r="J1253" s="59"/>
      <c r="K1253" s="59"/>
      <c r="L1253" s="59"/>
      <c r="M1253" s="59"/>
      <c r="N1253" s="59"/>
      <c r="O1253" s="59"/>
      <c r="P1253" s="59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  <c r="AD1253" s="59"/>
      <c r="AE1253" s="59"/>
      <c r="AF1253" s="59"/>
      <c r="AG1253" s="59"/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59"/>
      <c r="BR1253" s="59"/>
      <c r="BS1253" s="59"/>
      <c r="BT1253" s="59"/>
      <c r="BU1253" s="59"/>
      <c r="BV1253" s="59"/>
      <c r="BW1253" s="59"/>
      <c r="BX1253" s="59"/>
      <c r="BY1253" s="59"/>
      <c r="BZ1253" s="59"/>
      <c r="CA1253" s="59"/>
      <c r="CB1253" s="59"/>
      <c r="CC1253" s="59"/>
      <c r="CD1253" s="59"/>
      <c r="CE1253" s="59"/>
      <c r="CF1253" s="59"/>
      <c r="CG1253" s="59"/>
      <c r="CH1253" s="59"/>
      <c r="CI1253" s="59"/>
      <c r="CJ1253" s="59"/>
      <c r="CK1253" s="59"/>
      <c r="CL1253" s="59"/>
      <c r="CM1253" s="59"/>
      <c r="CN1253" s="59"/>
      <c r="CO1253" s="59"/>
      <c r="CP1253" s="59"/>
      <c r="CQ1253" s="59"/>
      <c r="CR1253" s="59"/>
      <c r="CS1253" s="59"/>
      <c r="CT1253" s="59"/>
      <c r="CU1253" s="59"/>
      <c r="CV1253" s="59"/>
      <c r="CW1253" s="59"/>
      <c r="CX1253" s="59"/>
      <c r="CY1253" s="59"/>
      <c r="CZ1253" s="59"/>
      <c r="DA1253" s="59"/>
      <c r="DB1253" s="59"/>
      <c r="DC1253" s="59"/>
      <c r="DD1253" s="59"/>
      <c r="DE1253" s="59"/>
      <c r="DF1253" s="59"/>
      <c r="DG1253" s="59"/>
      <c r="DH1253" s="59"/>
      <c r="DI1253" s="59"/>
      <c r="DJ1253" s="59"/>
      <c r="DK1253" s="59"/>
      <c r="DL1253" s="59"/>
      <c r="DM1253" s="59"/>
      <c r="DN1253" s="59"/>
      <c r="DO1253" s="59"/>
      <c r="DP1253" s="59"/>
      <c r="DQ1253" s="59"/>
      <c r="DR1253" s="59"/>
      <c r="DS1253" s="59"/>
      <c r="DT1253" s="59"/>
      <c r="DU1253" s="59"/>
      <c r="DV1253" s="59"/>
      <c r="DW1253" s="59"/>
      <c r="DX1253" s="59"/>
      <c r="DY1253" s="59"/>
      <c r="DZ1253" s="59"/>
      <c r="EA1253" s="59"/>
      <c r="EB1253" s="59"/>
      <c r="EC1253" s="59"/>
      <c r="ED1253" s="59"/>
      <c r="EE1253" s="59"/>
      <c r="EF1253" s="59"/>
      <c r="EG1253" s="59"/>
      <c r="EH1253" s="59"/>
      <c r="EI1253" s="59"/>
      <c r="EJ1253" s="59"/>
      <c r="EK1253" s="59"/>
      <c r="EL1253" s="59"/>
      <c r="EM1253" s="59"/>
      <c r="EN1253" s="59"/>
      <c r="EO1253" s="59"/>
      <c r="EP1253" s="59"/>
      <c r="EQ1253" s="59"/>
      <c r="ER1253" s="59"/>
      <c r="ES1253" s="59"/>
      <c r="ET1253" s="59"/>
      <c r="EU1253" s="59"/>
      <c r="EV1253" s="59"/>
      <c r="EW1253" s="59"/>
      <c r="EX1253" s="59"/>
      <c r="EY1253" s="59"/>
      <c r="EZ1253" s="59"/>
      <c r="FA1253" s="59"/>
      <c r="FB1253" s="59"/>
      <c r="FC1253" s="59"/>
      <c r="FD1253" s="59"/>
      <c r="FE1253" s="59"/>
      <c r="FF1253" s="59"/>
      <c r="FG1253" s="59"/>
      <c r="FH1253" s="59"/>
      <c r="FI1253" s="59"/>
      <c r="FJ1253" s="59"/>
      <c r="FK1253" s="59"/>
      <c r="FL1253" s="59"/>
      <c r="FM1253" s="59"/>
      <c r="FN1253" s="59"/>
      <c r="FO1253" s="59"/>
      <c r="FP1253" s="59"/>
      <c r="FQ1253" s="59"/>
      <c r="FR1253" s="59"/>
      <c r="FS1253" s="59"/>
      <c r="FT1253" s="59"/>
      <c r="FU1253" s="59"/>
      <c r="FV1253" s="59"/>
      <c r="FW1253" s="59"/>
      <c r="FX1253" s="59"/>
      <c r="FY1253" s="59"/>
      <c r="FZ1253" s="59"/>
      <c r="GA1253" s="59"/>
      <c r="GB1253" s="59"/>
      <c r="GC1253" s="59"/>
    </row>
    <row r="1254">
      <c r="A1254" s="59"/>
      <c r="B1254" s="59"/>
      <c r="C1254" s="59"/>
      <c r="D1254" s="59"/>
      <c r="E1254" s="59"/>
      <c r="F1254" s="59"/>
      <c r="G1254" s="59"/>
      <c r="H1254" s="59"/>
      <c r="I1254" s="59"/>
      <c r="J1254" s="59"/>
      <c r="K1254" s="59"/>
      <c r="L1254" s="59"/>
      <c r="M1254" s="59"/>
      <c r="N1254" s="59"/>
      <c r="O1254" s="59"/>
      <c r="P1254" s="59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59"/>
      <c r="BR1254" s="59"/>
      <c r="BS1254" s="59"/>
      <c r="BT1254" s="59"/>
      <c r="BU1254" s="59"/>
      <c r="BV1254" s="59"/>
      <c r="BW1254" s="59"/>
      <c r="BX1254" s="59"/>
      <c r="BY1254" s="59"/>
      <c r="BZ1254" s="59"/>
      <c r="CA1254" s="59"/>
      <c r="CB1254" s="59"/>
      <c r="CC1254" s="59"/>
      <c r="CD1254" s="59"/>
      <c r="CE1254" s="59"/>
      <c r="CF1254" s="59"/>
      <c r="CG1254" s="59"/>
      <c r="CH1254" s="59"/>
      <c r="CI1254" s="59"/>
      <c r="CJ1254" s="59"/>
      <c r="CK1254" s="59"/>
      <c r="CL1254" s="59"/>
      <c r="CM1254" s="59"/>
      <c r="CN1254" s="59"/>
      <c r="CO1254" s="59"/>
      <c r="CP1254" s="59"/>
      <c r="CQ1254" s="59"/>
      <c r="CR1254" s="59"/>
      <c r="CS1254" s="59"/>
      <c r="CT1254" s="59"/>
      <c r="CU1254" s="59"/>
      <c r="CV1254" s="59"/>
      <c r="CW1254" s="59"/>
      <c r="CX1254" s="59"/>
      <c r="CY1254" s="59"/>
      <c r="CZ1254" s="59"/>
      <c r="DA1254" s="59"/>
      <c r="DB1254" s="59"/>
      <c r="DC1254" s="59"/>
      <c r="DD1254" s="59"/>
      <c r="DE1254" s="59"/>
      <c r="DF1254" s="59"/>
      <c r="DG1254" s="59"/>
      <c r="DH1254" s="59"/>
      <c r="DI1254" s="59"/>
      <c r="DJ1254" s="59"/>
      <c r="DK1254" s="59"/>
      <c r="DL1254" s="59"/>
      <c r="DM1254" s="59"/>
      <c r="DN1254" s="59"/>
      <c r="DO1254" s="59"/>
      <c r="DP1254" s="59"/>
      <c r="DQ1254" s="59"/>
      <c r="DR1254" s="59"/>
      <c r="DS1254" s="59"/>
      <c r="DT1254" s="59"/>
      <c r="DU1254" s="59"/>
      <c r="DV1254" s="59"/>
      <c r="DW1254" s="59"/>
      <c r="DX1254" s="59"/>
      <c r="DY1254" s="59"/>
      <c r="DZ1254" s="59"/>
      <c r="EA1254" s="59"/>
      <c r="EB1254" s="59"/>
      <c r="EC1254" s="59"/>
      <c r="ED1254" s="59"/>
      <c r="EE1254" s="59"/>
      <c r="EF1254" s="59"/>
      <c r="EG1254" s="59"/>
      <c r="EH1254" s="59"/>
      <c r="EI1254" s="59"/>
      <c r="EJ1254" s="59"/>
      <c r="EK1254" s="59"/>
      <c r="EL1254" s="59"/>
      <c r="EM1254" s="59"/>
      <c r="EN1254" s="59"/>
      <c r="EO1254" s="59"/>
      <c r="EP1254" s="59"/>
      <c r="EQ1254" s="59"/>
      <c r="ER1254" s="59"/>
      <c r="ES1254" s="59"/>
      <c r="ET1254" s="59"/>
      <c r="EU1254" s="59"/>
      <c r="EV1254" s="59"/>
      <c r="EW1254" s="59"/>
      <c r="EX1254" s="59"/>
      <c r="EY1254" s="59"/>
      <c r="EZ1254" s="59"/>
      <c r="FA1254" s="59"/>
      <c r="FB1254" s="59"/>
      <c r="FC1254" s="59"/>
      <c r="FD1254" s="59"/>
      <c r="FE1254" s="59"/>
      <c r="FF1254" s="59"/>
      <c r="FG1254" s="59"/>
      <c r="FH1254" s="59"/>
      <c r="FI1254" s="59"/>
      <c r="FJ1254" s="59"/>
      <c r="FK1254" s="59"/>
      <c r="FL1254" s="59"/>
      <c r="FM1254" s="59"/>
      <c r="FN1254" s="59"/>
      <c r="FO1254" s="59"/>
      <c r="FP1254" s="59"/>
      <c r="FQ1254" s="59"/>
      <c r="FR1254" s="59"/>
      <c r="FS1254" s="59"/>
      <c r="FT1254" s="59"/>
      <c r="FU1254" s="59"/>
      <c r="FV1254" s="59"/>
      <c r="FW1254" s="59"/>
      <c r="FX1254" s="59"/>
      <c r="FY1254" s="59"/>
      <c r="FZ1254" s="59"/>
      <c r="GA1254" s="59"/>
      <c r="GB1254" s="59"/>
      <c r="GC1254" s="59"/>
    </row>
    <row r="1255">
      <c r="A1255" s="59"/>
      <c r="B1255" s="59"/>
      <c r="C1255" s="59"/>
      <c r="D1255" s="59"/>
      <c r="E1255" s="59"/>
      <c r="F1255" s="59"/>
      <c r="G1255" s="59"/>
      <c r="H1255" s="59"/>
      <c r="I1255" s="59"/>
      <c r="J1255" s="59"/>
      <c r="K1255" s="59"/>
      <c r="L1255" s="59"/>
      <c r="M1255" s="59"/>
      <c r="N1255" s="59"/>
      <c r="O1255" s="59"/>
      <c r="P1255" s="59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  <c r="AD1255" s="59"/>
      <c r="AE1255" s="59"/>
      <c r="AF1255" s="59"/>
      <c r="AG1255" s="59"/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  <c r="BV1255" s="59"/>
      <c r="BW1255" s="59"/>
      <c r="BX1255" s="59"/>
      <c r="BY1255" s="59"/>
      <c r="BZ1255" s="59"/>
      <c r="CA1255" s="59"/>
      <c r="CB1255" s="59"/>
      <c r="CC1255" s="59"/>
      <c r="CD1255" s="59"/>
      <c r="CE1255" s="59"/>
      <c r="CF1255" s="59"/>
      <c r="CG1255" s="59"/>
      <c r="CH1255" s="59"/>
      <c r="CI1255" s="59"/>
      <c r="CJ1255" s="59"/>
      <c r="CK1255" s="59"/>
      <c r="CL1255" s="59"/>
      <c r="CM1255" s="59"/>
      <c r="CN1255" s="59"/>
      <c r="CO1255" s="59"/>
      <c r="CP1255" s="59"/>
      <c r="CQ1255" s="59"/>
      <c r="CR1255" s="59"/>
      <c r="CS1255" s="59"/>
      <c r="CT1255" s="59"/>
      <c r="CU1255" s="59"/>
      <c r="CV1255" s="59"/>
      <c r="CW1255" s="59"/>
      <c r="CX1255" s="59"/>
      <c r="CY1255" s="59"/>
      <c r="CZ1255" s="59"/>
      <c r="DA1255" s="59"/>
      <c r="DB1255" s="59"/>
      <c r="DC1255" s="59"/>
      <c r="DD1255" s="59"/>
      <c r="DE1255" s="59"/>
      <c r="DF1255" s="59"/>
      <c r="DG1255" s="59"/>
      <c r="DH1255" s="59"/>
      <c r="DI1255" s="59"/>
      <c r="DJ1255" s="59"/>
      <c r="DK1255" s="59"/>
      <c r="DL1255" s="59"/>
      <c r="DM1255" s="59"/>
      <c r="DN1255" s="59"/>
      <c r="DO1255" s="59"/>
      <c r="DP1255" s="59"/>
      <c r="DQ1255" s="59"/>
      <c r="DR1255" s="59"/>
      <c r="DS1255" s="59"/>
      <c r="DT1255" s="59"/>
      <c r="DU1255" s="59"/>
      <c r="DV1255" s="59"/>
      <c r="DW1255" s="59"/>
      <c r="DX1255" s="59"/>
      <c r="DY1255" s="59"/>
      <c r="DZ1255" s="59"/>
      <c r="EA1255" s="59"/>
      <c r="EB1255" s="59"/>
      <c r="EC1255" s="59"/>
      <c r="ED1255" s="59"/>
      <c r="EE1255" s="59"/>
      <c r="EF1255" s="59"/>
      <c r="EG1255" s="59"/>
      <c r="EH1255" s="59"/>
      <c r="EI1255" s="59"/>
      <c r="EJ1255" s="59"/>
      <c r="EK1255" s="59"/>
      <c r="EL1255" s="59"/>
      <c r="EM1255" s="59"/>
      <c r="EN1255" s="59"/>
      <c r="EO1255" s="59"/>
      <c r="EP1255" s="59"/>
      <c r="EQ1255" s="59"/>
      <c r="ER1255" s="59"/>
      <c r="ES1255" s="59"/>
      <c r="ET1255" s="59"/>
      <c r="EU1255" s="59"/>
      <c r="EV1255" s="59"/>
      <c r="EW1255" s="59"/>
      <c r="EX1255" s="59"/>
      <c r="EY1255" s="59"/>
      <c r="EZ1255" s="59"/>
      <c r="FA1255" s="59"/>
      <c r="FB1255" s="59"/>
      <c r="FC1255" s="59"/>
      <c r="FD1255" s="59"/>
      <c r="FE1255" s="59"/>
      <c r="FF1255" s="59"/>
      <c r="FG1255" s="59"/>
      <c r="FH1255" s="59"/>
      <c r="FI1255" s="59"/>
      <c r="FJ1255" s="59"/>
      <c r="FK1255" s="59"/>
      <c r="FL1255" s="59"/>
      <c r="FM1255" s="59"/>
      <c r="FN1255" s="59"/>
      <c r="FO1255" s="59"/>
      <c r="FP1255" s="59"/>
      <c r="FQ1255" s="59"/>
      <c r="FR1255" s="59"/>
      <c r="FS1255" s="59"/>
      <c r="FT1255" s="59"/>
      <c r="FU1255" s="59"/>
      <c r="FV1255" s="59"/>
      <c r="FW1255" s="59"/>
      <c r="FX1255" s="59"/>
      <c r="FY1255" s="59"/>
      <c r="FZ1255" s="59"/>
      <c r="GA1255" s="59"/>
      <c r="GB1255" s="59"/>
      <c r="GC1255" s="59"/>
    </row>
    <row r="1256">
      <c r="A1256" s="59"/>
      <c r="B1256" s="59"/>
      <c r="C1256" s="59"/>
      <c r="D1256" s="59"/>
      <c r="E1256" s="59"/>
      <c r="F1256" s="59"/>
      <c r="G1256" s="59"/>
      <c r="H1256" s="59"/>
      <c r="I1256" s="59"/>
      <c r="J1256" s="59"/>
      <c r="K1256" s="59"/>
      <c r="L1256" s="59"/>
      <c r="M1256" s="59"/>
      <c r="N1256" s="59"/>
      <c r="O1256" s="59"/>
      <c r="P1256" s="59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59"/>
      <c r="BR1256" s="59"/>
      <c r="BS1256" s="59"/>
      <c r="BT1256" s="59"/>
      <c r="BU1256" s="59"/>
      <c r="BV1256" s="59"/>
      <c r="BW1256" s="59"/>
      <c r="BX1256" s="59"/>
      <c r="BY1256" s="59"/>
      <c r="BZ1256" s="59"/>
      <c r="CA1256" s="59"/>
      <c r="CB1256" s="59"/>
      <c r="CC1256" s="59"/>
      <c r="CD1256" s="59"/>
      <c r="CE1256" s="59"/>
      <c r="CF1256" s="59"/>
      <c r="CG1256" s="59"/>
      <c r="CH1256" s="59"/>
      <c r="CI1256" s="59"/>
      <c r="CJ1256" s="59"/>
      <c r="CK1256" s="59"/>
      <c r="CL1256" s="59"/>
      <c r="CM1256" s="59"/>
      <c r="CN1256" s="59"/>
      <c r="CO1256" s="59"/>
      <c r="CP1256" s="59"/>
      <c r="CQ1256" s="59"/>
      <c r="CR1256" s="59"/>
      <c r="CS1256" s="59"/>
      <c r="CT1256" s="59"/>
      <c r="CU1256" s="59"/>
      <c r="CV1256" s="59"/>
      <c r="CW1256" s="59"/>
      <c r="CX1256" s="59"/>
      <c r="CY1256" s="59"/>
      <c r="CZ1256" s="59"/>
      <c r="DA1256" s="59"/>
      <c r="DB1256" s="59"/>
      <c r="DC1256" s="59"/>
      <c r="DD1256" s="59"/>
      <c r="DE1256" s="59"/>
      <c r="DF1256" s="59"/>
      <c r="DG1256" s="59"/>
      <c r="DH1256" s="59"/>
      <c r="DI1256" s="59"/>
      <c r="DJ1256" s="59"/>
      <c r="DK1256" s="59"/>
      <c r="DL1256" s="59"/>
      <c r="DM1256" s="59"/>
      <c r="DN1256" s="59"/>
      <c r="DO1256" s="59"/>
      <c r="DP1256" s="59"/>
      <c r="DQ1256" s="59"/>
      <c r="DR1256" s="59"/>
      <c r="DS1256" s="59"/>
      <c r="DT1256" s="59"/>
      <c r="DU1256" s="59"/>
      <c r="DV1256" s="59"/>
      <c r="DW1256" s="59"/>
      <c r="DX1256" s="59"/>
      <c r="DY1256" s="59"/>
      <c r="DZ1256" s="59"/>
      <c r="EA1256" s="59"/>
      <c r="EB1256" s="59"/>
      <c r="EC1256" s="59"/>
      <c r="ED1256" s="59"/>
      <c r="EE1256" s="59"/>
      <c r="EF1256" s="59"/>
      <c r="EG1256" s="59"/>
      <c r="EH1256" s="59"/>
      <c r="EI1256" s="59"/>
      <c r="EJ1256" s="59"/>
      <c r="EK1256" s="59"/>
      <c r="EL1256" s="59"/>
      <c r="EM1256" s="59"/>
      <c r="EN1256" s="59"/>
      <c r="EO1256" s="59"/>
      <c r="EP1256" s="59"/>
      <c r="EQ1256" s="59"/>
      <c r="ER1256" s="59"/>
      <c r="ES1256" s="59"/>
      <c r="ET1256" s="59"/>
      <c r="EU1256" s="59"/>
      <c r="EV1256" s="59"/>
      <c r="EW1256" s="59"/>
      <c r="EX1256" s="59"/>
      <c r="EY1256" s="59"/>
      <c r="EZ1256" s="59"/>
      <c r="FA1256" s="59"/>
      <c r="FB1256" s="59"/>
      <c r="FC1256" s="59"/>
      <c r="FD1256" s="59"/>
      <c r="FE1256" s="59"/>
      <c r="FF1256" s="59"/>
      <c r="FG1256" s="59"/>
      <c r="FH1256" s="59"/>
      <c r="FI1256" s="59"/>
      <c r="FJ1256" s="59"/>
      <c r="FK1256" s="59"/>
      <c r="FL1256" s="59"/>
      <c r="FM1256" s="59"/>
      <c r="FN1256" s="59"/>
      <c r="FO1256" s="59"/>
      <c r="FP1256" s="59"/>
      <c r="FQ1256" s="59"/>
      <c r="FR1256" s="59"/>
      <c r="FS1256" s="59"/>
      <c r="FT1256" s="59"/>
      <c r="FU1256" s="59"/>
      <c r="FV1256" s="59"/>
      <c r="FW1256" s="59"/>
      <c r="FX1256" s="59"/>
      <c r="FY1256" s="59"/>
      <c r="FZ1256" s="59"/>
      <c r="GA1256" s="59"/>
      <c r="GB1256" s="59"/>
      <c r="GC1256" s="59"/>
    </row>
    <row r="1257">
      <c r="A1257" s="59"/>
      <c r="B1257" s="59"/>
      <c r="C1257" s="59"/>
      <c r="D1257" s="59"/>
      <c r="E1257" s="59"/>
      <c r="F1257" s="59"/>
      <c r="G1257" s="59"/>
      <c r="H1257" s="59"/>
      <c r="I1257" s="59"/>
      <c r="J1257" s="59"/>
      <c r="K1257" s="59"/>
      <c r="L1257" s="59"/>
      <c r="M1257" s="59"/>
      <c r="N1257" s="59"/>
      <c r="O1257" s="59"/>
      <c r="P1257" s="59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  <c r="AD1257" s="59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59"/>
      <c r="BR1257" s="59"/>
      <c r="BS1257" s="59"/>
      <c r="BT1257" s="59"/>
      <c r="BU1257" s="59"/>
      <c r="BV1257" s="59"/>
      <c r="BW1257" s="59"/>
      <c r="BX1257" s="59"/>
      <c r="BY1257" s="59"/>
      <c r="BZ1257" s="59"/>
      <c r="CA1257" s="59"/>
      <c r="CB1257" s="59"/>
      <c r="CC1257" s="59"/>
      <c r="CD1257" s="59"/>
      <c r="CE1257" s="59"/>
      <c r="CF1257" s="59"/>
      <c r="CG1257" s="59"/>
      <c r="CH1257" s="59"/>
      <c r="CI1257" s="59"/>
      <c r="CJ1257" s="59"/>
      <c r="CK1257" s="59"/>
      <c r="CL1257" s="59"/>
      <c r="CM1257" s="59"/>
      <c r="CN1257" s="59"/>
      <c r="CO1257" s="59"/>
      <c r="CP1257" s="59"/>
      <c r="CQ1257" s="59"/>
      <c r="CR1257" s="59"/>
      <c r="CS1257" s="59"/>
      <c r="CT1257" s="59"/>
      <c r="CU1257" s="59"/>
      <c r="CV1257" s="59"/>
      <c r="CW1257" s="59"/>
      <c r="CX1257" s="59"/>
      <c r="CY1257" s="59"/>
      <c r="CZ1257" s="59"/>
      <c r="DA1257" s="59"/>
      <c r="DB1257" s="59"/>
      <c r="DC1257" s="59"/>
      <c r="DD1257" s="59"/>
      <c r="DE1257" s="59"/>
      <c r="DF1257" s="59"/>
      <c r="DG1257" s="59"/>
      <c r="DH1257" s="59"/>
      <c r="DI1257" s="59"/>
      <c r="DJ1257" s="59"/>
      <c r="DK1257" s="59"/>
      <c r="DL1257" s="59"/>
      <c r="DM1257" s="59"/>
      <c r="DN1257" s="59"/>
      <c r="DO1257" s="59"/>
      <c r="DP1257" s="59"/>
      <c r="DQ1257" s="59"/>
      <c r="DR1257" s="59"/>
      <c r="DS1257" s="59"/>
      <c r="DT1257" s="59"/>
      <c r="DU1257" s="59"/>
      <c r="DV1257" s="59"/>
      <c r="DW1257" s="59"/>
      <c r="DX1257" s="59"/>
      <c r="DY1257" s="59"/>
      <c r="DZ1257" s="59"/>
      <c r="EA1257" s="59"/>
      <c r="EB1257" s="59"/>
      <c r="EC1257" s="59"/>
      <c r="ED1257" s="59"/>
      <c r="EE1257" s="59"/>
      <c r="EF1257" s="59"/>
      <c r="EG1257" s="59"/>
      <c r="EH1257" s="59"/>
      <c r="EI1257" s="59"/>
      <c r="EJ1257" s="59"/>
      <c r="EK1257" s="59"/>
      <c r="EL1257" s="59"/>
      <c r="EM1257" s="59"/>
      <c r="EN1257" s="59"/>
      <c r="EO1257" s="59"/>
      <c r="EP1257" s="59"/>
      <c r="EQ1257" s="59"/>
      <c r="ER1257" s="59"/>
      <c r="ES1257" s="59"/>
      <c r="ET1257" s="59"/>
      <c r="EU1257" s="59"/>
      <c r="EV1257" s="59"/>
      <c r="EW1257" s="59"/>
      <c r="EX1257" s="59"/>
      <c r="EY1257" s="59"/>
      <c r="EZ1257" s="59"/>
      <c r="FA1257" s="59"/>
      <c r="FB1257" s="59"/>
      <c r="FC1257" s="59"/>
      <c r="FD1257" s="59"/>
      <c r="FE1257" s="59"/>
      <c r="FF1257" s="59"/>
      <c r="FG1257" s="59"/>
      <c r="FH1257" s="59"/>
      <c r="FI1257" s="59"/>
      <c r="FJ1257" s="59"/>
      <c r="FK1257" s="59"/>
      <c r="FL1257" s="59"/>
      <c r="FM1257" s="59"/>
      <c r="FN1257" s="59"/>
      <c r="FO1257" s="59"/>
      <c r="FP1257" s="59"/>
      <c r="FQ1257" s="59"/>
      <c r="FR1257" s="59"/>
      <c r="FS1257" s="59"/>
      <c r="FT1257" s="59"/>
      <c r="FU1257" s="59"/>
      <c r="FV1257" s="59"/>
      <c r="FW1257" s="59"/>
      <c r="FX1257" s="59"/>
      <c r="FY1257" s="59"/>
      <c r="FZ1257" s="59"/>
      <c r="GA1257" s="59"/>
      <c r="GB1257" s="59"/>
      <c r="GC1257" s="59"/>
    </row>
    <row r="1258">
      <c r="A1258" s="59"/>
      <c r="B1258" s="59"/>
      <c r="C1258" s="59"/>
      <c r="D1258" s="59"/>
      <c r="E1258" s="59"/>
      <c r="F1258" s="59"/>
      <c r="G1258" s="59"/>
      <c r="H1258" s="59"/>
      <c r="I1258" s="59"/>
      <c r="J1258" s="59"/>
      <c r="K1258" s="59"/>
      <c r="L1258" s="59"/>
      <c r="M1258" s="59"/>
      <c r="N1258" s="59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59"/>
      <c r="BR1258" s="59"/>
      <c r="BS1258" s="59"/>
      <c r="BT1258" s="59"/>
      <c r="BU1258" s="59"/>
      <c r="BV1258" s="59"/>
      <c r="BW1258" s="59"/>
      <c r="BX1258" s="59"/>
      <c r="BY1258" s="59"/>
      <c r="BZ1258" s="59"/>
      <c r="CA1258" s="59"/>
      <c r="CB1258" s="59"/>
      <c r="CC1258" s="59"/>
      <c r="CD1258" s="59"/>
      <c r="CE1258" s="59"/>
      <c r="CF1258" s="59"/>
      <c r="CG1258" s="59"/>
      <c r="CH1258" s="59"/>
      <c r="CI1258" s="59"/>
      <c r="CJ1258" s="59"/>
      <c r="CK1258" s="59"/>
      <c r="CL1258" s="59"/>
      <c r="CM1258" s="59"/>
      <c r="CN1258" s="59"/>
      <c r="CO1258" s="59"/>
      <c r="CP1258" s="59"/>
      <c r="CQ1258" s="59"/>
      <c r="CR1258" s="59"/>
      <c r="CS1258" s="59"/>
      <c r="CT1258" s="59"/>
      <c r="CU1258" s="59"/>
      <c r="CV1258" s="59"/>
      <c r="CW1258" s="59"/>
      <c r="CX1258" s="59"/>
      <c r="CY1258" s="59"/>
      <c r="CZ1258" s="59"/>
      <c r="DA1258" s="59"/>
      <c r="DB1258" s="59"/>
      <c r="DC1258" s="59"/>
      <c r="DD1258" s="59"/>
      <c r="DE1258" s="59"/>
      <c r="DF1258" s="59"/>
      <c r="DG1258" s="59"/>
      <c r="DH1258" s="59"/>
      <c r="DI1258" s="59"/>
      <c r="DJ1258" s="59"/>
      <c r="DK1258" s="59"/>
      <c r="DL1258" s="59"/>
      <c r="DM1258" s="59"/>
      <c r="DN1258" s="59"/>
      <c r="DO1258" s="59"/>
      <c r="DP1258" s="59"/>
      <c r="DQ1258" s="59"/>
      <c r="DR1258" s="59"/>
      <c r="DS1258" s="59"/>
      <c r="DT1258" s="59"/>
      <c r="DU1258" s="59"/>
      <c r="DV1258" s="59"/>
      <c r="DW1258" s="59"/>
      <c r="DX1258" s="59"/>
      <c r="DY1258" s="59"/>
      <c r="DZ1258" s="59"/>
      <c r="EA1258" s="59"/>
      <c r="EB1258" s="59"/>
      <c r="EC1258" s="59"/>
      <c r="ED1258" s="59"/>
      <c r="EE1258" s="59"/>
      <c r="EF1258" s="59"/>
      <c r="EG1258" s="59"/>
      <c r="EH1258" s="59"/>
      <c r="EI1258" s="59"/>
      <c r="EJ1258" s="59"/>
      <c r="EK1258" s="59"/>
      <c r="EL1258" s="59"/>
      <c r="EM1258" s="59"/>
      <c r="EN1258" s="59"/>
      <c r="EO1258" s="59"/>
      <c r="EP1258" s="59"/>
      <c r="EQ1258" s="59"/>
      <c r="ER1258" s="59"/>
      <c r="ES1258" s="59"/>
      <c r="ET1258" s="59"/>
      <c r="EU1258" s="59"/>
      <c r="EV1258" s="59"/>
      <c r="EW1258" s="59"/>
      <c r="EX1258" s="59"/>
      <c r="EY1258" s="59"/>
      <c r="EZ1258" s="59"/>
      <c r="FA1258" s="59"/>
      <c r="FB1258" s="59"/>
      <c r="FC1258" s="59"/>
      <c r="FD1258" s="59"/>
      <c r="FE1258" s="59"/>
      <c r="FF1258" s="59"/>
      <c r="FG1258" s="59"/>
      <c r="FH1258" s="59"/>
      <c r="FI1258" s="59"/>
      <c r="FJ1258" s="59"/>
      <c r="FK1258" s="59"/>
      <c r="FL1258" s="59"/>
      <c r="FM1258" s="59"/>
      <c r="FN1258" s="59"/>
      <c r="FO1258" s="59"/>
      <c r="FP1258" s="59"/>
      <c r="FQ1258" s="59"/>
      <c r="FR1258" s="59"/>
      <c r="FS1258" s="59"/>
      <c r="FT1258" s="59"/>
      <c r="FU1258" s="59"/>
      <c r="FV1258" s="59"/>
      <c r="FW1258" s="59"/>
      <c r="FX1258" s="59"/>
      <c r="FY1258" s="59"/>
      <c r="FZ1258" s="59"/>
      <c r="GA1258" s="59"/>
      <c r="GB1258" s="59"/>
      <c r="GC1258" s="59"/>
    </row>
    <row r="1259">
      <c r="A1259" s="59"/>
      <c r="B1259" s="59"/>
      <c r="C1259" s="59"/>
      <c r="D1259" s="59"/>
      <c r="E1259" s="59"/>
      <c r="F1259" s="59"/>
      <c r="G1259" s="59"/>
      <c r="H1259" s="59"/>
      <c r="I1259" s="59"/>
      <c r="J1259" s="59"/>
      <c r="K1259" s="59"/>
      <c r="L1259" s="59"/>
      <c r="M1259" s="59"/>
      <c r="N1259" s="59"/>
      <c r="O1259" s="59"/>
      <c r="P1259" s="59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  <c r="AD1259" s="59"/>
      <c r="AE1259" s="59"/>
      <c r="AF1259" s="59"/>
      <c r="AG1259" s="59"/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59"/>
      <c r="BR1259" s="59"/>
      <c r="BS1259" s="59"/>
      <c r="BT1259" s="59"/>
      <c r="BU1259" s="59"/>
      <c r="BV1259" s="59"/>
      <c r="BW1259" s="59"/>
      <c r="BX1259" s="59"/>
      <c r="BY1259" s="59"/>
      <c r="BZ1259" s="59"/>
      <c r="CA1259" s="59"/>
      <c r="CB1259" s="59"/>
      <c r="CC1259" s="59"/>
      <c r="CD1259" s="59"/>
      <c r="CE1259" s="59"/>
      <c r="CF1259" s="59"/>
      <c r="CG1259" s="59"/>
      <c r="CH1259" s="59"/>
      <c r="CI1259" s="59"/>
      <c r="CJ1259" s="59"/>
      <c r="CK1259" s="59"/>
      <c r="CL1259" s="59"/>
      <c r="CM1259" s="59"/>
      <c r="CN1259" s="59"/>
      <c r="CO1259" s="59"/>
      <c r="CP1259" s="59"/>
      <c r="CQ1259" s="59"/>
      <c r="CR1259" s="59"/>
      <c r="CS1259" s="59"/>
      <c r="CT1259" s="59"/>
      <c r="CU1259" s="59"/>
      <c r="CV1259" s="59"/>
      <c r="CW1259" s="59"/>
      <c r="CX1259" s="59"/>
      <c r="CY1259" s="59"/>
      <c r="CZ1259" s="59"/>
      <c r="DA1259" s="59"/>
      <c r="DB1259" s="59"/>
      <c r="DC1259" s="59"/>
      <c r="DD1259" s="59"/>
      <c r="DE1259" s="59"/>
      <c r="DF1259" s="59"/>
      <c r="DG1259" s="59"/>
      <c r="DH1259" s="59"/>
      <c r="DI1259" s="59"/>
      <c r="DJ1259" s="59"/>
      <c r="DK1259" s="59"/>
      <c r="DL1259" s="59"/>
      <c r="DM1259" s="59"/>
      <c r="DN1259" s="59"/>
      <c r="DO1259" s="59"/>
      <c r="DP1259" s="59"/>
      <c r="DQ1259" s="59"/>
      <c r="DR1259" s="59"/>
      <c r="DS1259" s="59"/>
      <c r="DT1259" s="59"/>
      <c r="DU1259" s="59"/>
      <c r="DV1259" s="59"/>
      <c r="DW1259" s="59"/>
      <c r="DX1259" s="59"/>
      <c r="DY1259" s="59"/>
      <c r="DZ1259" s="59"/>
      <c r="EA1259" s="59"/>
      <c r="EB1259" s="59"/>
      <c r="EC1259" s="59"/>
      <c r="ED1259" s="59"/>
      <c r="EE1259" s="59"/>
      <c r="EF1259" s="59"/>
      <c r="EG1259" s="59"/>
      <c r="EH1259" s="59"/>
      <c r="EI1259" s="59"/>
      <c r="EJ1259" s="59"/>
      <c r="EK1259" s="59"/>
      <c r="EL1259" s="59"/>
      <c r="EM1259" s="59"/>
      <c r="EN1259" s="59"/>
      <c r="EO1259" s="59"/>
      <c r="EP1259" s="59"/>
      <c r="EQ1259" s="59"/>
      <c r="ER1259" s="59"/>
      <c r="ES1259" s="59"/>
      <c r="ET1259" s="59"/>
      <c r="EU1259" s="59"/>
      <c r="EV1259" s="59"/>
      <c r="EW1259" s="59"/>
      <c r="EX1259" s="59"/>
      <c r="EY1259" s="59"/>
      <c r="EZ1259" s="59"/>
      <c r="FA1259" s="59"/>
      <c r="FB1259" s="59"/>
      <c r="FC1259" s="59"/>
      <c r="FD1259" s="59"/>
      <c r="FE1259" s="59"/>
      <c r="FF1259" s="59"/>
      <c r="FG1259" s="59"/>
      <c r="FH1259" s="59"/>
      <c r="FI1259" s="59"/>
      <c r="FJ1259" s="59"/>
      <c r="FK1259" s="59"/>
      <c r="FL1259" s="59"/>
      <c r="FM1259" s="59"/>
      <c r="FN1259" s="59"/>
      <c r="FO1259" s="59"/>
      <c r="FP1259" s="59"/>
      <c r="FQ1259" s="59"/>
      <c r="FR1259" s="59"/>
      <c r="FS1259" s="59"/>
      <c r="FT1259" s="59"/>
      <c r="FU1259" s="59"/>
      <c r="FV1259" s="59"/>
      <c r="FW1259" s="59"/>
      <c r="FX1259" s="59"/>
      <c r="FY1259" s="59"/>
      <c r="FZ1259" s="59"/>
      <c r="GA1259" s="59"/>
      <c r="GB1259" s="59"/>
      <c r="GC1259" s="59"/>
    </row>
    <row r="1260">
      <c r="A1260" s="59"/>
      <c r="B1260" s="59"/>
      <c r="C1260" s="59"/>
      <c r="D1260" s="59"/>
      <c r="E1260" s="59"/>
      <c r="F1260" s="59"/>
      <c r="G1260" s="59"/>
      <c r="H1260" s="59"/>
      <c r="I1260" s="59"/>
      <c r="J1260" s="59"/>
      <c r="K1260" s="59"/>
      <c r="L1260" s="59"/>
      <c r="M1260" s="59"/>
      <c r="N1260" s="59"/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59"/>
      <c r="BR1260" s="59"/>
      <c r="BS1260" s="59"/>
      <c r="BT1260" s="59"/>
      <c r="BU1260" s="59"/>
      <c r="BV1260" s="59"/>
      <c r="BW1260" s="59"/>
      <c r="BX1260" s="59"/>
      <c r="BY1260" s="59"/>
      <c r="BZ1260" s="59"/>
      <c r="CA1260" s="59"/>
      <c r="CB1260" s="59"/>
      <c r="CC1260" s="59"/>
      <c r="CD1260" s="59"/>
      <c r="CE1260" s="59"/>
      <c r="CF1260" s="59"/>
      <c r="CG1260" s="59"/>
      <c r="CH1260" s="59"/>
      <c r="CI1260" s="59"/>
      <c r="CJ1260" s="59"/>
      <c r="CK1260" s="59"/>
      <c r="CL1260" s="59"/>
      <c r="CM1260" s="59"/>
      <c r="CN1260" s="59"/>
      <c r="CO1260" s="59"/>
      <c r="CP1260" s="59"/>
      <c r="CQ1260" s="59"/>
      <c r="CR1260" s="59"/>
      <c r="CS1260" s="59"/>
      <c r="CT1260" s="59"/>
      <c r="CU1260" s="59"/>
      <c r="CV1260" s="59"/>
      <c r="CW1260" s="59"/>
      <c r="CX1260" s="59"/>
      <c r="CY1260" s="59"/>
      <c r="CZ1260" s="59"/>
      <c r="DA1260" s="59"/>
      <c r="DB1260" s="59"/>
      <c r="DC1260" s="59"/>
      <c r="DD1260" s="59"/>
      <c r="DE1260" s="59"/>
      <c r="DF1260" s="59"/>
      <c r="DG1260" s="59"/>
      <c r="DH1260" s="59"/>
      <c r="DI1260" s="59"/>
      <c r="DJ1260" s="59"/>
      <c r="DK1260" s="59"/>
      <c r="DL1260" s="59"/>
      <c r="DM1260" s="59"/>
      <c r="DN1260" s="59"/>
      <c r="DO1260" s="59"/>
      <c r="DP1260" s="59"/>
      <c r="DQ1260" s="59"/>
      <c r="DR1260" s="59"/>
      <c r="DS1260" s="59"/>
      <c r="DT1260" s="59"/>
      <c r="DU1260" s="59"/>
      <c r="DV1260" s="59"/>
      <c r="DW1260" s="59"/>
      <c r="DX1260" s="59"/>
      <c r="DY1260" s="59"/>
      <c r="DZ1260" s="59"/>
      <c r="EA1260" s="59"/>
      <c r="EB1260" s="59"/>
      <c r="EC1260" s="59"/>
      <c r="ED1260" s="59"/>
      <c r="EE1260" s="59"/>
      <c r="EF1260" s="59"/>
      <c r="EG1260" s="59"/>
      <c r="EH1260" s="59"/>
      <c r="EI1260" s="59"/>
      <c r="EJ1260" s="59"/>
      <c r="EK1260" s="59"/>
      <c r="EL1260" s="59"/>
      <c r="EM1260" s="59"/>
      <c r="EN1260" s="59"/>
      <c r="EO1260" s="59"/>
      <c r="EP1260" s="59"/>
      <c r="EQ1260" s="59"/>
      <c r="ER1260" s="59"/>
      <c r="ES1260" s="59"/>
      <c r="ET1260" s="59"/>
      <c r="EU1260" s="59"/>
      <c r="EV1260" s="59"/>
      <c r="EW1260" s="59"/>
      <c r="EX1260" s="59"/>
      <c r="EY1260" s="59"/>
      <c r="EZ1260" s="59"/>
      <c r="FA1260" s="59"/>
      <c r="FB1260" s="59"/>
      <c r="FC1260" s="59"/>
      <c r="FD1260" s="59"/>
      <c r="FE1260" s="59"/>
      <c r="FF1260" s="59"/>
      <c r="FG1260" s="59"/>
      <c r="FH1260" s="59"/>
      <c r="FI1260" s="59"/>
      <c r="FJ1260" s="59"/>
      <c r="FK1260" s="59"/>
      <c r="FL1260" s="59"/>
      <c r="FM1260" s="59"/>
      <c r="FN1260" s="59"/>
      <c r="FO1260" s="59"/>
      <c r="FP1260" s="59"/>
      <c r="FQ1260" s="59"/>
      <c r="FR1260" s="59"/>
      <c r="FS1260" s="59"/>
      <c r="FT1260" s="59"/>
      <c r="FU1260" s="59"/>
      <c r="FV1260" s="59"/>
      <c r="FW1260" s="59"/>
      <c r="FX1260" s="59"/>
      <c r="FY1260" s="59"/>
      <c r="FZ1260" s="59"/>
      <c r="GA1260" s="59"/>
      <c r="GB1260" s="59"/>
      <c r="GC1260" s="59"/>
    </row>
    <row r="1261">
      <c r="A1261" s="59"/>
      <c r="B1261" s="59"/>
      <c r="C1261" s="59"/>
      <c r="D1261" s="59"/>
      <c r="E1261" s="59"/>
      <c r="F1261" s="59"/>
      <c r="G1261" s="59"/>
      <c r="H1261" s="59"/>
      <c r="I1261" s="59"/>
      <c r="J1261" s="59"/>
      <c r="K1261" s="59"/>
      <c r="L1261" s="59"/>
      <c r="M1261" s="59"/>
      <c r="N1261" s="59"/>
      <c r="O1261" s="59"/>
      <c r="P1261" s="59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  <c r="AD1261" s="59"/>
      <c r="AE1261" s="59"/>
      <c r="AF1261" s="59"/>
      <c r="AG1261" s="59"/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59"/>
      <c r="BR1261" s="59"/>
      <c r="BS1261" s="59"/>
      <c r="BT1261" s="59"/>
      <c r="BU1261" s="59"/>
      <c r="BV1261" s="59"/>
      <c r="BW1261" s="59"/>
      <c r="BX1261" s="59"/>
      <c r="BY1261" s="59"/>
      <c r="BZ1261" s="59"/>
      <c r="CA1261" s="59"/>
      <c r="CB1261" s="59"/>
      <c r="CC1261" s="59"/>
      <c r="CD1261" s="59"/>
      <c r="CE1261" s="59"/>
      <c r="CF1261" s="59"/>
      <c r="CG1261" s="59"/>
      <c r="CH1261" s="59"/>
      <c r="CI1261" s="59"/>
      <c r="CJ1261" s="59"/>
      <c r="CK1261" s="59"/>
      <c r="CL1261" s="59"/>
      <c r="CM1261" s="59"/>
      <c r="CN1261" s="59"/>
      <c r="CO1261" s="59"/>
      <c r="CP1261" s="59"/>
      <c r="CQ1261" s="59"/>
      <c r="CR1261" s="59"/>
      <c r="CS1261" s="59"/>
      <c r="CT1261" s="59"/>
      <c r="CU1261" s="59"/>
      <c r="CV1261" s="59"/>
      <c r="CW1261" s="59"/>
      <c r="CX1261" s="59"/>
      <c r="CY1261" s="59"/>
      <c r="CZ1261" s="59"/>
      <c r="DA1261" s="59"/>
      <c r="DB1261" s="59"/>
      <c r="DC1261" s="59"/>
      <c r="DD1261" s="59"/>
      <c r="DE1261" s="59"/>
      <c r="DF1261" s="59"/>
      <c r="DG1261" s="59"/>
      <c r="DH1261" s="59"/>
      <c r="DI1261" s="59"/>
      <c r="DJ1261" s="59"/>
      <c r="DK1261" s="59"/>
      <c r="DL1261" s="59"/>
      <c r="DM1261" s="59"/>
      <c r="DN1261" s="59"/>
      <c r="DO1261" s="59"/>
      <c r="DP1261" s="59"/>
      <c r="DQ1261" s="59"/>
      <c r="DR1261" s="59"/>
      <c r="DS1261" s="59"/>
      <c r="DT1261" s="59"/>
      <c r="DU1261" s="59"/>
      <c r="DV1261" s="59"/>
      <c r="DW1261" s="59"/>
      <c r="DX1261" s="59"/>
      <c r="DY1261" s="59"/>
      <c r="DZ1261" s="59"/>
      <c r="EA1261" s="59"/>
      <c r="EB1261" s="59"/>
      <c r="EC1261" s="59"/>
      <c r="ED1261" s="59"/>
      <c r="EE1261" s="59"/>
      <c r="EF1261" s="59"/>
      <c r="EG1261" s="59"/>
      <c r="EH1261" s="59"/>
      <c r="EI1261" s="59"/>
      <c r="EJ1261" s="59"/>
      <c r="EK1261" s="59"/>
      <c r="EL1261" s="59"/>
      <c r="EM1261" s="59"/>
      <c r="EN1261" s="59"/>
      <c r="EO1261" s="59"/>
      <c r="EP1261" s="59"/>
      <c r="EQ1261" s="59"/>
      <c r="ER1261" s="59"/>
      <c r="ES1261" s="59"/>
      <c r="ET1261" s="59"/>
      <c r="EU1261" s="59"/>
      <c r="EV1261" s="59"/>
      <c r="EW1261" s="59"/>
      <c r="EX1261" s="59"/>
      <c r="EY1261" s="59"/>
      <c r="EZ1261" s="59"/>
      <c r="FA1261" s="59"/>
      <c r="FB1261" s="59"/>
      <c r="FC1261" s="59"/>
      <c r="FD1261" s="59"/>
      <c r="FE1261" s="59"/>
      <c r="FF1261" s="59"/>
      <c r="FG1261" s="59"/>
      <c r="FH1261" s="59"/>
      <c r="FI1261" s="59"/>
      <c r="FJ1261" s="59"/>
      <c r="FK1261" s="59"/>
      <c r="FL1261" s="59"/>
      <c r="FM1261" s="59"/>
      <c r="FN1261" s="59"/>
      <c r="FO1261" s="59"/>
      <c r="FP1261" s="59"/>
      <c r="FQ1261" s="59"/>
      <c r="FR1261" s="59"/>
      <c r="FS1261" s="59"/>
      <c r="FT1261" s="59"/>
      <c r="FU1261" s="59"/>
      <c r="FV1261" s="59"/>
      <c r="FW1261" s="59"/>
      <c r="FX1261" s="59"/>
      <c r="FY1261" s="59"/>
      <c r="FZ1261" s="59"/>
      <c r="GA1261" s="59"/>
      <c r="GB1261" s="59"/>
      <c r="GC1261" s="59"/>
    </row>
    <row r="1262">
      <c r="A1262" s="59"/>
      <c r="B1262" s="59"/>
      <c r="C1262" s="59"/>
      <c r="D1262" s="59"/>
      <c r="E1262" s="59"/>
      <c r="F1262" s="59"/>
      <c r="G1262" s="59"/>
      <c r="H1262" s="59"/>
      <c r="I1262" s="59"/>
      <c r="J1262" s="59"/>
      <c r="K1262" s="59"/>
      <c r="L1262" s="59"/>
      <c r="M1262" s="59"/>
      <c r="N1262" s="59"/>
      <c r="O1262" s="59"/>
      <c r="P1262" s="59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59"/>
      <c r="BR1262" s="59"/>
      <c r="BS1262" s="59"/>
      <c r="BT1262" s="59"/>
      <c r="BU1262" s="59"/>
      <c r="BV1262" s="59"/>
      <c r="BW1262" s="59"/>
      <c r="BX1262" s="59"/>
      <c r="BY1262" s="59"/>
      <c r="BZ1262" s="59"/>
      <c r="CA1262" s="59"/>
      <c r="CB1262" s="59"/>
      <c r="CC1262" s="59"/>
      <c r="CD1262" s="59"/>
      <c r="CE1262" s="59"/>
      <c r="CF1262" s="59"/>
      <c r="CG1262" s="59"/>
      <c r="CH1262" s="59"/>
      <c r="CI1262" s="59"/>
      <c r="CJ1262" s="59"/>
      <c r="CK1262" s="59"/>
      <c r="CL1262" s="59"/>
      <c r="CM1262" s="59"/>
      <c r="CN1262" s="59"/>
      <c r="CO1262" s="59"/>
      <c r="CP1262" s="59"/>
      <c r="CQ1262" s="59"/>
      <c r="CR1262" s="59"/>
      <c r="CS1262" s="59"/>
      <c r="CT1262" s="59"/>
      <c r="CU1262" s="59"/>
      <c r="CV1262" s="59"/>
      <c r="CW1262" s="59"/>
      <c r="CX1262" s="59"/>
      <c r="CY1262" s="59"/>
      <c r="CZ1262" s="59"/>
      <c r="DA1262" s="59"/>
      <c r="DB1262" s="59"/>
      <c r="DC1262" s="59"/>
      <c r="DD1262" s="59"/>
      <c r="DE1262" s="59"/>
      <c r="DF1262" s="59"/>
      <c r="DG1262" s="59"/>
      <c r="DH1262" s="59"/>
      <c r="DI1262" s="59"/>
      <c r="DJ1262" s="59"/>
      <c r="DK1262" s="59"/>
      <c r="DL1262" s="59"/>
      <c r="DM1262" s="59"/>
      <c r="DN1262" s="59"/>
      <c r="DO1262" s="59"/>
      <c r="DP1262" s="59"/>
      <c r="DQ1262" s="59"/>
      <c r="DR1262" s="59"/>
      <c r="DS1262" s="59"/>
      <c r="DT1262" s="59"/>
      <c r="DU1262" s="59"/>
      <c r="DV1262" s="59"/>
      <c r="DW1262" s="59"/>
      <c r="DX1262" s="59"/>
      <c r="DY1262" s="59"/>
      <c r="DZ1262" s="59"/>
      <c r="EA1262" s="59"/>
      <c r="EB1262" s="59"/>
      <c r="EC1262" s="59"/>
      <c r="ED1262" s="59"/>
      <c r="EE1262" s="59"/>
      <c r="EF1262" s="59"/>
      <c r="EG1262" s="59"/>
      <c r="EH1262" s="59"/>
      <c r="EI1262" s="59"/>
      <c r="EJ1262" s="59"/>
      <c r="EK1262" s="59"/>
      <c r="EL1262" s="59"/>
      <c r="EM1262" s="59"/>
      <c r="EN1262" s="59"/>
      <c r="EO1262" s="59"/>
      <c r="EP1262" s="59"/>
      <c r="EQ1262" s="59"/>
      <c r="ER1262" s="59"/>
      <c r="ES1262" s="59"/>
      <c r="ET1262" s="59"/>
      <c r="EU1262" s="59"/>
      <c r="EV1262" s="59"/>
      <c r="EW1262" s="59"/>
      <c r="EX1262" s="59"/>
      <c r="EY1262" s="59"/>
      <c r="EZ1262" s="59"/>
      <c r="FA1262" s="59"/>
      <c r="FB1262" s="59"/>
      <c r="FC1262" s="59"/>
      <c r="FD1262" s="59"/>
      <c r="FE1262" s="59"/>
      <c r="FF1262" s="59"/>
      <c r="FG1262" s="59"/>
      <c r="FH1262" s="59"/>
      <c r="FI1262" s="59"/>
      <c r="FJ1262" s="59"/>
      <c r="FK1262" s="59"/>
      <c r="FL1262" s="59"/>
      <c r="FM1262" s="59"/>
      <c r="FN1262" s="59"/>
      <c r="FO1262" s="59"/>
      <c r="FP1262" s="59"/>
      <c r="FQ1262" s="59"/>
      <c r="FR1262" s="59"/>
      <c r="FS1262" s="59"/>
      <c r="FT1262" s="59"/>
      <c r="FU1262" s="59"/>
      <c r="FV1262" s="59"/>
      <c r="FW1262" s="59"/>
      <c r="FX1262" s="59"/>
      <c r="FY1262" s="59"/>
      <c r="FZ1262" s="59"/>
      <c r="GA1262" s="59"/>
      <c r="GB1262" s="59"/>
      <c r="GC1262" s="59"/>
    </row>
    <row r="1263">
      <c r="A1263" s="59"/>
      <c r="B1263" s="59"/>
      <c r="C1263" s="59"/>
      <c r="D1263" s="59"/>
      <c r="E1263" s="59"/>
      <c r="F1263" s="59"/>
      <c r="G1263" s="59"/>
      <c r="H1263" s="59"/>
      <c r="I1263" s="59"/>
      <c r="J1263" s="59"/>
      <c r="K1263" s="59"/>
      <c r="L1263" s="59"/>
      <c r="M1263" s="59"/>
      <c r="N1263" s="59"/>
      <c r="O1263" s="59"/>
      <c r="P1263" s="59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  <c r="AD1263" s="59"/>
      <c r="AE1263" s="59"/>
      <c r="AF1263" s="59"/>
      <c r="AG1263" s="59"/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59"/>
      <c r="BR1263" s="59"/>
      <c r="BS1263" s="59"/>
      <c r="BT1263" s="59"/>
      <c r="BU1263" s="59"/>
      <c r="BV1263" s="59"/>
      <c r="BW1263" s="59"/>
      <c r="BX1263" s="59"/>
      <c r="BY1263" s="59"/>
      <c r="BZ1263" s="59"/>
      <c r="CA1263" s="59"/>
      <c r="CB1263" s="59"/>
      <c r="CC1263" s="59"/>
      <c r="CD1263" s="59"/>
      <c r="CE1263" s="59"/>
      <c r="CF1263" s="59"/>
      <c r="CG1263" s="59"/>
      <c r="CH1263" s="59"/>
      <c r="CI1263" s="59"/>
      <c r="CJ1263" s="59"/>
      <c r="CK1263" s="59"/>
      <c r="CL1263" s="59"/>
      <c r="CM1263" s="59"/>
      <c r="CN1263" s="59"/>
      <c r="CO1263" s="59"/>
      <c r="CP1263" s="59"/>
      <c r="CQ1263" s="59"/>
      <c r="CR1263" s="59"/>
      <c r="CS1263" s="59"/>
      <c r="CT1263" s="59"/>
      <c r="CU1263" s="59"/>
      <c r="CV1263" s="59"/>
      <c r="CW1263" s="59"/>
      <c r="CX1263" s="59"/>
      <c r="CY1263" s="59"/>
      <c r="CZ1263" s="59"/>
      <c r="DA1263" s="59"/>
      <c r="DB1263" s="59"/>
      <c r="DC1263" s="59"/>
      <c r="DD1263" s="59"/>
      <c r="DE1263" s="59"/>
      <c r="DF1263" s="59"/>
      <c r="DG1263" s="59"/>
      <c r="DH1263" s="59"/>
      <c r="DI1263" s="59"/>
      <c r="DJ1263" s="59"/>
      <c r="DK1263" s="59"/>
      <c r="DL1263" s="59"/>
      <c r="DM1263" s="59"/>
      <c r="DN1263" s="59"/>
      <c r="DO1263" s="59"/>
      <c r="DP1263" s="59"/>
      <c r="DQ1263" s="59"/>
      <c r="DR1263" s="59"/>
      <c r="DS1263" s="59"/>
      <c r="DT1263" s="59"/>
      <c r="DU1263" s="59"/>
      <c r="DV1263" s="59"/>
      <c r="DW1263" s="59"/>
      <c r="DX1263" s="59"/>
      <c r="DY1263" s="59"/>
      <c r="DZ1263" s="59"/>
      <c r="EA1263" s="59"/>
      <c r="EB1263" s="59"/>
      <c r="EC1263" s="59"/>
      <c r="ED1263" s="59"/>
      <c r="EE1263" s="59"/>
      <c r="EF1263" s="59"/>
      <c r="EG1263" s="59"/>
      <c r="EH1263" s="59"/>
      <c r="EI1263" s="59"/>
      <c r="EJ1263" s="59"/>
      <c r="EK1263" s="59"/>
      <c r="EL1263" s="59"/>
      <c r="EM1263" s="59"/>
      <c r="EN1263" s="59"/>
      <c r="EO1263" s="59"/>
      <c r="EP1263" s="59"/>
      <c r="EQ1263" s="59"/>
      <c r="ER1263" s="59"/>
      <c r="ES1263" s="59"/>
      <c r="ET1263" s="59"/>
      <c r="EU1263" s="59"/>
      <c r="EV1263" s="59"/>
      <c r="EW1263" s="59"/>
      <c r="EX1263" s="59"/>
      <c r="EY1263" s="59"/>
      <c r="EZ1263" s="59"/>
      <c r="FA1263" s="59"/>
      <c r="FB1263" s="59"/>
      <c r="FC1263" s="59"/>
      <c r="FD1263" s="59"/>
      <c r="FE1263" s="59"/>
      <c r="FF1263" s="59"/>
      <c r="FG1263" s="59"/>
      <c r="FH1263" s="59"/>
      <c r="FI1263" s="59"/>
      <c r="FJ1263" s="59"/>
      <c r="FK1263" s="59"/>
      <c r="FL1263" s="59"/>
      <c r="FM1263" s="59"/>
      <c r="FN1263" s="59"/>
      <c r="FO1263" s="59"/>
      <c r="FP1263" s="59"/>
      <c r="FQ1263" s="59"/>
      <c r="FR1263" s="59"/>
      <c r="FS1263" s="59"/>
      <c r="FT1263" s="59"/>
      <c r="FU1263" s="59"/>
      <c r="FV1263" s="59"/>
      <c r="FW1263" s="59"/>
      <c r="FX1263" s="59"/>
      <c r="FY1263" s="59"/>
      <c r="FZ1263" s="59"/>
      <c r="GA1263" s="59"/>
      <c r="GB1263" s="59"/>
      <c r="GC1263" s="59"/>
    </row>
    <row r="1264">
      <c r="A1264" s="59"/>
      <c r="B1264" s="59"/>
      <c r="C1264" s="59"/>
      <c r="D1264" s="59"/>
      <c r="E1264" s="59"/>
      <c r="F1264" s="59"/>
      <c r="G1264" s="59"/>
      <c r="H1264" s="59"/>
      <c r="I1264" s="59"/>
      <c r="J1264" s="59"/>
      <c r="K1264" s="59"/>
      <c r="L1264" s="59"/>
      <c r="M1264" s="59"/>
      <c r="N1264" s="59"/>
      <c r="O1264" s="59"/>
      <c r="P1264" s="59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59"/>
      <c r="BR1264" s="59"/>
      <c r="BS1264" s="59"/>
      <c r="BT1264" s="59"/>
      <c r="BU1264" s="59"/>
      <c r="BV1264" s="59"/>
      <c r="BW1264" s="59"/>
      <c r="BX1264" s="59"/>
      <c r="BY1264" s="59"/>
      <c r="BZ1264" s="59"/>
      <c r="CA1264" s="59"/>
      <c r="CB1264" s="59"/>
      <c r="CC1264" s="59"/>
      <c r="CD1264" s="59"/>
      <c r="CE1264" s="59"/>
      <c r="CF1264" s="59"/>
      <c r="CG1264" s="59"/>
      <c r="CH1264" s="59"/>
      <c r="CI1264" s="59"/>
      <c r="CJ1264" s="59"/>
      <c r="CK1264" s="59"/>
      <c r="CL1264" s="59"/>
      <c r="CM1264" s="59"/>
      <c r="CN1264" s="59"/>
      <c r="CO1264" s="59"/>
      <c r="CP1264" s="59"/>
      <c r="CQ1264" s="59"/>
      <c r="CR1264" s="59"/>
      <c r="CS1264" s="59"/>
      <c r="CT1264" s="59"/>
      <c r="CU1264" s="59"/>
      <c r="CV1264" s="59"/>
      <c r="CW1264" s="59"/>
      <c r="CX1264" s="59"/>
      <c r="CY1264" s="59"/>
      <c r="CZ1264" s="59"/>
      <c r="DA1264" s="59"/>
      <c r="DB1264" s="59"/>
      <c r="DC1264" s="59"/>
      <c r="DD1264" s="59"/>
      <c r="DE1264" s="59"/>
      <c r="DF1264" s="59"/>
      <c r="DG1264" s="59"/>
      <c r="DH1264" s="59"/>
      <c r="DI1264" s="59"/>
      <c r="DJ1264" s="59"/>
      <c r="DK1264" s="59"/>
      <c r="DL1264" s="59"/>
      <c r="DM1264" s="59"/>
      <c r="DN1264" s="59"/>
      <c r="DO1264" s="59"/>
      <c r="DP1264" s="59"/>
      <c r="DQ1264" s="59"/>
      <c r="DR1264" s="59"/>
      <c r="DS1264" s="59"/>
      <c r="DT1264" s="59"/>
      <c r="DU1264" s="59"/>
      <c r="DV1264" s="59"/>
      <c r="DW1264" s="59"/>
      <c r="DX1264" s="59"/>
      <c r="DY1264" s="59"/>
      <c r="DZ1264" s="59"/>
      <c r="EA1264" s="59"/>
      <c r="EB1264" s="59"/>
      <c r="EC1264" s="59"/>
      <c r="ED1264" s="59"/>
      <c r="EE1264" s="59"/>
      <c r="EF1264" s="59"/>
      <c r="EG1264" s="59"/>
      <c r="EH1264" s="59"/>
      <c r="EI1264" s="59"/>
      <c r="EJ1264" s="59"/>
      <c r="EK1264" s="59"/>
      <c r="EL1264" s="59"/>
      <c r="EM1264" s="59"/>
      <c r="EN1264" s="59"/>
      <c r="EO1264" s="59"/>
      <c r="EP1264" s="59"/>
      <c r="EQ1264" s="59"/>
      <c r="ER1264" s="59"/>
      <c r="ES1264" s="59"/>
      <c r="ET1264" s="59"/>
      <c r="EU1264" s="59"/>
      <c r="EV1264" s="59"/>
      <c r="EW1264" s="59"/>
      <c r="EX1264" s="59"/>
      <c r="EY1264" s="59"/>
      <c r="EZ1264" s="59"/>
      <c r="FA1264" s="59"/>
      <c r="FB1264" s="59"/>
      <c r="FC1264" s="59"/>
      <c r="FD1264" s="59"/>
      <c r="FE1264" s="59"/>
      <c r="FF1264" s="59"/>
      <c r="FG1264" s="59"/>
      <c r="FH1264" s="59"/>
      <c r="FI1264" s="59"/>
      <c r="FJ1264" s="59"/>
      <c r="FK1264" s="59"/>
      <c r="FL1264" s="59"/>
      <c r="FM1264" s="59"/>
      <c r="FN1264" s="59"/>
      <c r="FO1264" s="59"/>
      <c r="FP1264" s="59"/>
      <c r="FQ1264" s="59"/>
      <c r="FR1264" s="59"/>
      <c r="FS1264" s="59"/>
      <c r="FT1264" s="59"/>
      <c r="FU1264" s="59"/>
      <c r="FV1264" s="59"/>
      <c r="FW1264" s="59"/>
      <c r="FX1264" s="59"/>
      <c r="FY1264" s="59"/>
      <c r="FZ1264" s="59"/>
      <c r="GA1264" s="59"/>
      <c r="GB1264" s="59"/>
      <c r="GC1264" s="59"/>
    </row>
    <row r="1265">
      <c r="A1265" s="59"/>
      <c r="B1265" s="59"/>
      <c r="C1265" s="59"/>
      <c r="D1265" s="59"/>
      <c r="E1265" s="59"/>
      <c r="F1265" s="59"/>
      <c r="G1265" s="59"/>
      <c r="H1265" s="59"/>
      <c r="I1265" s="59"/>
      <c r="J1265" s="59"/>
      <c r="K1265" s="59"/>
      <c r="L1265" s="59"/>
      <c r="M1265" s="59"/>
      <c r="N1265" s="59"/>
      <c r="O1265" s="59"/>
      <c r="P1265" s="59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  <c r="AD1265" s="59"/>
      <c r="AE1265" s="59"/>
      <c r="AF1265" s="59"/>
      <c r="AG1265" s="59"/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59"/>
      <c r="BR1265" s="59"/>
      <c r="BS1265" s="59"/>
      <c r="BT1265" s="59"/>
      <c r="BU1265" s="59"/>
      <c r="BV1265" s="59"/>
      <c r="BW1265" s="59"/>
      <c r="BX1265" s="59"/>
      <c r="BY1265" s="59"/>
      <c r="BZ1265" s="59"/>
      <c r="CA1265" s="59"/>
      <c r="CB1265" s="59"/>
      <c r="CC1265" s="59"/>
      <c r="CD1265" s="59"/>
      <c r="CE1265" s="59"/>
      <c r="CF1265" s="59"/>
      <c r="CG1265" s="59"/>
      <c r="CH1265" s="59"/>
      <c r="CI1265" s="59"/>
      <c r="CJ1265" s="59"/>
      <c r="CK1265" s="59"/>
      <c r="CL1265" s="59"/>
      <c r="CM1265" s="59"/>
      <c r="CN1265" s="59"/>
      <c r="CO1265" s="59"/>
      <c r="CP1265" s="59"/>
      <c r="CQ1265" s="59"/>
      <c r="CR1265" s="59"/>
      <c r="CS1265" s="59"/>
      <c r="CT1265" s="59"/>
      <c r="CU1265" s="59"/>
      <c r="CV1265" s="59"/>
      <c r="CW1265" s="59"/>
      <c r="CX1265" s="59"/>
      <c r="CY1265" s="59"/>
      <c r="CZ1265" s="59"/>
      <c r="DA1265" s="59"/>
      <c r="DB1265" s="59"/>
      <c r="DC1265" s="59"/>
      <c r="DD1265" s="59"/>
      <c r="DE1265" s="59"/>
      <c r="DF1265" s="59"/>
      <c r="DG1265" s="59"/>
      <c r="DH1265" s="59"/>
      <c r="DI1265" s="59"/>
      <c r="DJ1265" s="59"/>
      <c r="DK1265" s="59"/>
      <c r="DL1265" s="59"/>
      <c r="DM1265" s="59"/>
      <c r="DN1265" s="59"/>
      <c r="DO1265" s="59"/>
      <c r="DP1265" s="59"/>
      <c r="DQ1265" s="59"/>
      <c r="DR1265" s="59"/>
      <c r="DS1265" s="59"/>
      <c r="DT1265" s="59"/>
      <c r="DU1265" s="59"/>
      <c r="DV1265" s="59"/>
      <c r="DW1265" s="59"/>
      <c r="DX1265" s="59"/>
      <c r="DY1265" s="59"/>
      <c r="DZ1265" s="59"/>
      <c r="EA1265" s="59"/>
      <c r="EB1265" s="59"/>
      <c r="EC1265" s="59"/>
      <c r="ED1265" s="59"/>
      <c r="EE1265" s="59"/>
      <c r="EF1265" s="59"/>
      <c r="EG1265" s="59"/>
      <c r="EH1265" s="59"/>
      <c r="EI1265" s="59"/>
      <c r="EJ1265" s="59"/>
      <c r="EK1265" s="59"/>
      <c r="EL1265" s="59"/>
      <c r="EM1265" s="59"/>
      <c r="EN1265" s="59"/>
      <c r="EO1265" s="59"/>
      <c r="EP1265" s="59"/>
      <c r="EQ1265" s="59"/>
      <c r="ER1265" s="59"/>
      <c r="ES1265" s="59"/>
      <c r="ET1265" s="59"/>
      <c r="EU1265" s="59"/>
      <c r="EV1265" s="59"/>
      <c r="EW1265" s="59"/>
      <c r="EX1265" s="59"/>
      <c r="EY1265" s="59"/>
      <c r="EZ1265" s="59"/>
      <c r="FA1265" s="59"/>
      <c r="FB1265" s="59"/>
      <c r="FC1265" s="59"/>
      <c r="FD1265" s="59"/>
      <c r="FE1265" s="59"/>
      <c r="FF1265" s="59"/>
      <c r="FG1265" s="59"/>
      <c r="FH1265" s="59"/>
      <c r="FI1265" s="59"/>
      <c r="FJ1265" s="59"/>
      <c r="FK1265" s="59"/>
      <c r="FL1265" s="59"/>
      <c r="FM1265" s="59"/>
      <c r="FN1265" s="59"/>
      <c r="FO1265" s="59"/>
      <c r="FP1265" s="59"/>
      <c r="FQ1265" s="59"/>
      <c r="FR1265" s="59"/>
      <c r="FS1265" s="59"/>
      <c r="FT1265" s="59"/>
      <c r="FU1265" s="59"/>
      <c r="FV1265" s="59"/>
      <c r="FW1265" s="59"/>
      <c r="FX1265" s="59"/>
      <c r="FY1265" s="59"/>
      <c r="FZ1265" s="59"/>
      <c r="GA1265" s="59"/>
      <c r="GB1265" s="59"/>
      <c r="GC1265" s="59"/>
    </row>
    <row r="1266">
      <c r="A1266" s="59"/>
      <c r="B1266" s="59"/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59"/>
      <c r="BR1266" s="59"/>
      <c r="BS1266" s="59"/>
      <c r="BT1266" s="59"/>
      <c r="BU1266" s="59"/>
      <c r="BV1266" s="59"/>
      <c r="BW1266" s="59"/>
      <c r="BX1266" s="59"/>
      <c r="BY1266" s="59"/>
      <c r="BZ1266" s="59"/>
      <c r="CA1266" s="59"/>
      <c r="CB1266" s="59"/>
      <c r="CC1266" s="59"/>
      <c r="CD1266" s="59"/>
      <c r="CE1266" s="59"/>
      <c r="CF1266" s="59"/>
      <c r="CG1266" s="59"/>
      <c r="CH1266" s="59"/>
      <c r="CI1266" s="59"/>
      <c r="CJ1266" s="59"/>
      <c r="CK1266" s="59"/>
      <c r="CL1266" s="59"/>
      <c r="CM1266" s="59"/>
      <c r="CN1266" s="59"/>
      <c r="CO1266" s="59"/>
      <c r="CP1266" s="59"/>
      <c r="CQ1266" s="59"/>
      <c r="CR1266" s="59"/>
      <c r="CS1266" s="59"/>
      <c r="CT1266" s="59"/>
      <c r="CU1266" s="59"/>
      <c r="CV1266" s="59"/>
      <c r="CW1266" s="59"/>
      <c r="CX1266" s="59"/>
      <c r="CY1266" s="59"/>
      <c r="CZ1266" s="59"/>
      <c r="DA1266" s="59"/>
      <c r="DB1266" s="59"/>
      <c r="DC1266" s="59"/>
      <c r="DD1266" s="59"/>
      <c r="DE1266" s="59"/>
      <c r="DF1266" s="59"/>
      <c r="DG1266" s="59"/>
      <c r="DH1266" s="59"/>
      <c r="DI1266" s="59"/>
      <c r="DJ1266" s="59"/>
      <c r="DK1266" s="59"/>
      <c r="DL1266" s="59"/>
      <c r="DM1266" s="59"/>
      <c r="DN1266" s="59"/>
      <c r="DO1266" s="59"/>
      <c r="DP1266" s="59"/>
      <c r="DQ1266" s="59"/>
      <c r="DR1266" s="59"/>
      <c r="DS1266" s="59"/>
      <c r="DT1266" s="59"/>
      <c r="DU1266" s="59"/>
      <c r="DV1266" s="59"/>
      <c r="DW1266" s="59"/>
      <c r="DX1266" s="59"/>
      <c r="DY1266" s="59"/>
      <c r="DZ1266" s="59"/>
      <c r="EA1266" s="59"/>
      <c r="EB1266" s="59"/>
      <c r="EC1266" s="59"/>
      <c r="ED1266" s="59"/>
      <c r="EE1266" s="59"/>
      <c r="EF1266" s="59"/>
      <c r="EG1266" s="59"/>
      <c r="EH1266" s="59"/>
      <c r="EI1266" s="59"/>
      <c r="EJ1266" s="59"/>
      <c r="EK1266" s="59"/>
      <c r="EL1266" s="59"/>
      <c r="EM1266" s="59"/>
      <c r="EN1266" s="59"/>
      <c r="EO1266" s="59"/>
      <c r="EP1266" s="59"/>
      <c r="EQ1266" s="59"/>
      <c r="ER1266" s="59"/>
      <c r="ES1266" s="59"/>
      <c r="ET1266" s="59"/>
      <c r="EU1266" s="59"/>
      <c r="EV1266" s="59"/>
      <c r="EW1266" s="59"/>
      <c r="EX1266" s="59"/>
      <c r="EY1266" s="59"/>
      <c r="EZ1266" s="59"/>
      <c r="FA1266" s="59"/>
      <c r="FB1266" s="59"/>
      <c r="FC1266" s="59"/>
      <c r="FD1266" s="59"/>
      <c r="FE1266" s="59"/>
      <c r="FF1266" s="59"/>
      <c r="FG1266" s="59"/>
      <c r="FH1266" s="59"/>
      <c r="FI1266" s="59"/>
      <c r="FJ1266" s="59"/>
      <c r="FK1266" s="59"/>
      <c r="FL1266" s="59"/>
      <c r="FM1266" s="59"/>
      <c r="FN1266" s="59"/>
      <c r="FO1266" s="59"/>
      <c r="FP1266" s="59"/>
      <c r="FQ1266" s="59"/>
      <c r="FR1266" s="59"/>
      <c r="FS1266" s="59"/>
      <c r="FT1266" s="59"/>
      <c r="FU1266" s="59"/>
      <c r="FV1266" s="59"/>
      <c r="FW1266" s="59"/>
      <c r="FX1266" s="59"/>
      <c r="FY1266" s="59"/>
      <c r="FZ1266" s="59"/>
      <c r="GA1266" s="59"/>
      <c r="GB1266" s="59"/>
      <c r="GC1266" s="59"/>
    </row>
    <row r="1267">
      <c r="A1267" s="59"/>
      <c r="B1267" s="59"/>
      <c r="C1267" s="59"/>
      <c r="D1267" s="59"/>
      <c r="E1267" s="59"/>
      <c r="F1267" s="59"/>
      <c r="G1267" s="59"/>
      <c r="H1267" s="59"/>
      <c r="I1267" s="59"/>
      <c r="J1267" s="59"/>
      <c r="K1267" s="59"/>
      <c r="L1267" s="59"/>
      <c r="M1267" s="59"/>
      <c r="N1267" s="59"/>
      <c r="O1267" s="59"/>
      <c r="P1267" s="59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  <c r="AD1267" s="59"/>
      <c r="AE1267" s="59"/>
      <c r="AF1267" s="59"/>
      <c r="AG1267" s="59"/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59"/>
      <c r="BR1267" s="59"/>
      <c r="BS1267" s="59"/>
      <c r="BT1267" s="59"/>
      <c r="BU1267" s="59"/>
      <c r="BV1267" s="59"/>
      <c r="BW1267" s="59"/>
      <c r="BX1267" s="59"/>
      <c r="BY1267" s="59"/>
      <c r="BZ1267" s="59"/>
      <c r="CA1267" s="59"/>
      <c r="CB1267" s="59"/>
      <c r="CC1267" s="59"/>
      <c r="CD1267" s="59"/>
      <c r="CE1267" s="59"/>
      <c r="CF1267" s="59"/>
      <c r="CG1267" s="59"/>
      <c r="CH1267" s="59"/>
      <c r="CI1267" s="59"/>
      <c r="CJ1267" s="59"/>
      <c r="CK1267" s="59"/>
      <c r="CL1267" s="59"/>
      <c r="CM1267" s="59"/>
      <c r="CN1267" s="59"/>
      <c r="CO1267" s="59"/>
      <c r="CP1267" s="59"/>
      <c r="CQ1267" s="59"/>
      <c r="CR1267" s="59"/>
      <c r="CS1267" s="59"/>
      <c r="CT1267" s="59"/>
      <c r="CU1267" s="59"/>
      <c r="CV1267" s="59"/>
      <c r="CW1267" s="59"/>
      <c r="CX1267" s="59"/>
      <c r="CY1267" s="59"/>
      <c r="CZ1267" s="59"/>
      <c r="DA1267" s="59"/>
      <c r="DB1267" s="59"/>
      <c r="DC1267" s="59"/>
      <c r="DD1267" s="59"/>
      <c r="DE1267" s="59"/>
      <c r="DF1267" s="59"/>
      <c r="DG1267" s="59"/>
      <c r="DH1267" s="59"/>
      <c r="DI1267" s="59"/>
      <c r="DJ1267" s="59"/>
      <c r="DK1267" s="59"/>
      <c r="DL1267" s="59"/>
      <c r="DM1267" s="59"/>
      <c r="DN1267" s="59"/>
      <c r="DO1267" s="59"/>
      <c r="DP1267" s="59"/>
      <c r="DQ1267" s="59"/>
      <c r="DR1267" s="59"/>
      <c r="DS1267" s="59"/>
      <c r="DT1267" s="59"/>
      <c r="DU1267" s="59"/>
      <c r="DV1267" s="59"/>
      <c r="DW1267" s="59"/>
      <c r="DX1267" s="59"/>
      <c r="DY1267" s="59"/>
      <c r="DZ1267" s="59"/>
      <c r="EA1267" s="59"/>
      <c r="EB1267" s="59"/>
      <c r="EC1267" s="59"/>
      <c r="ED1267" s="59"/>
      <c r="EE1267" s="59"/>
      <c r="EF1267" s="59"/>
      <c r="EG1267" s="59"/>
      <c r="EH1267" s="59"/>
      <c r="EI1267" s="59"/>
      <c r="EJ1267" s="59"/>
      <c r="EK1267" s="59"/>
      <c r="EL1267" s="59"/>
      <c r="EM1267" s="59"/>
      <c r="EN1267" s="59"/>
      <c r="EO1267" s="59"/>
      <c r="EP1267" s="59"/>
      <c r="EQ1267" s="59"/>
      <c r="ER1267" s="59"/>
      <c r="ES1267" s="59"/>
      <c r="ET1267" s="59"/>
      <c r="EU1267" s="59"/>
      <c r="EV1267" s="59"/>
      <c r="EW1267" s="59"/>
      <c r="EX1267" s="59"/>
      <c r="EY1267" s="59"/>
      <c r="EZ1267" s="59"/>
      <c r="FA1267" s="59"/>
      <c r="FB1267" s="59"/>
      <c r="FC1267" s="59"/>
      <c r="FD1267" s="59"/>
      <c r="FE1267" s="59"/>
      <c r="FF1267" s="59"/>
      <c r="FG1267" s="59"/>
      <c r="FH1267" s="59"/>
      <c r="FI1267" s="59"/>
      <c r="FJ1267" s="59"/>
      <c r="FK1267" s="59"/>
      <c r="FL1267" s="59"/>
      <c r="FM1267" s="59"/>
      <c r="FN1267" s="59"/>
      <c r="FO1267" s="59"/>
      <c r="FP1267" s="59"/>
      <c r="FQ1267" s="59"/>
      <c r="FR1267" s="59"/>
      <c r="FS1267" s="59"/>
      <c r="FT1267" s="59"/>
      <c r="FU1267" s="59"/>
      <c r="FV1267" s="59"/>
      <c r="FW1267" s="59"/>
      <c r="FX1267" s="59"/>
      <c r="FY1267" s="59"/>
      <c r="FZ1267" s="59"/>
      <c r="GA1267" s="59"/>
      <c r="GB1267" s="59"/>
      <c r="GC1267" s="59"/>
    </row>
    <row r="1268">
      <c r="A1268" s="59"/>
      <c r="B1268" s="59"/>
      <c r="C1268" s="59"/>
      <c r="D1268" s="59"/>
      <c r="E1268" s="59"/>
      <c r="F1268" s="59"/>
      <c r="G1268" s="59"/>
      <c r="H1268" s="59"/>
      <c r="I1268" s="59"/>
      <c r="J1268" s="59"/>
      <c r="K1268" s="59"/>
      <c r="L1268" s="59"/>
      <c r="M1268" s="59"/>
      <c r="N1268" s="59"/>
      <c r="O1268" s="59"/>
      <c r="P1268" s="59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59"/>
      <c r="BR1268" s="59"/>
      <c r="BS1268" s="59"/>
      <c r="BT1268" s="59"/>
      <c r="BU1268" s="59"/>
      <c r="BV1268" s="59"/>
      <c r="BW1268" s="59"/>
      <c r="BX1268" s="59"/>
      <c r="BY1268" s="59"/>
      <c r="BZ1268" s="59"/>
      <c r="CA1268" s="59"/>
      <c r="CB1268" s="59"/>
      <c r="CC1268" s="59"/>
      <c r="CD1268" s="59"/>
      <c r="CE1268" s="59"/>
      <c r="CF1268" s="59"/>
      <c r="CG1268" s="59"/>
      <c r="CH1268" s="59"/>
      <c r="CI1268" s="59"/>
      <c r="CJ1268" s="59"/>
      <c r="CK1268" s="59"/>
      <c r="CL1268" s="59"/>
      <c r="CM1268" s="59"/>
      <c r="CN1268" s="59"/>
      <c r="CO1268" s="59"/>
      <c r="CP1268" s="59"/>
      <c r="CQ1268" s="59"/>
      <c r="CR1268" s="59"/>
      <c r="CS1268" s="59"/>
      <c r="CT1268" s="59"/>
      <c r="CU1268" s="59"/>
      <c r="CV1268" s="59"/>
      <c r="CW1268" s="59"/>
      <c r="CX1268" s="59"/>
      <c r="CY1268" s="59"/>
      <c r="CZ1268" s="59"/>
      <c r="DA1268" s="59"/>
      <c r="DB1268" s="59"/>
      <c r="DC1268" s="59"/>
      <c r="DD1268" s="59"/>
      <c r="DE1268" s="59"/>
      <c r="DF1268" s="59"/>
      <c r="DG1268" s="59"/>
      <c r="DH1268" s="59"/>
      <c r="DI1268" s="59"/>
      <c r="DJ1268" s="59"/>
      <c r="DK1268" s="59"/>
      <c r="DL1268" s="59"/>
      <c r="DM1268" s="59"/>
      <c r="DN1268" s="59"/>
      <c r="DO1268" s="59"/>
      <c r="DP1268" s="59"/>
      <c r="DQ1268" s="59"/>
      <c r="DR1268" s="59"/>
      <c r="DS1268" s="59"/>
      <c r="DT1268" s="59"/>
      <c r="DU1268" s="59"/>
      <c r="DV1268" s="59"/>
      <c r="DW1268" s="59"/>
      <c r="DX1268" s="59"/>
      <c r="DY1268" s="59"/>
      <c r="DZ1268" s="59"/>
      <c r="EA1268" s="59"/>
      <c r="EB1268" s="59"/>
      <c r="EC1268" s="59"/>
      <c r="ED1268" s="59"/>
      <c r="EE1268" s="59"/>
      <c r="EF1268" s="59"/>
      <c r="EG1268" s="59"/>
      <c r="EH1268" s="59"/>
      <c r="EI1268" s="59"/>
      <c r="EJ1268" s="59"/>
      <c r="EK1268" s="59"/>
      <c r="EL1268" s="59"/>
      <c r="EM1268" s="59"/>
      <c r="EN1268" s="59"/>
      <c r="EO1268" s="59"/>
      <c r="EP1268" s="59"/>
      <c r="EQ1268" s="59"/>
      <c r="ER1268" s="59"/>
      <c r="ES1268" s="59"/>
      <c r="ET1268" s="59"/>
      <c r="EU1268" s="59"/>
      <c r="EV1268" s="59"/>
      <c r="EW1268" s="59"/>
      <c r="EX1268" s="59"/>
      <c r="EY1268" s="59"/>
      <c r="EZ1268" s="59"/>
      <c r="FA1268" s="59"/>
      <c r="FB1268" s="59"/>
      <c r="FC1268" s="59"/>
      <c r="FD1268" s="59"/>
      <c r="FE1268" s="59"/>
      <c r="FF1268" s="59"/>
      <c r="FG1268" s="59"/>
      <c r="FH1268" s="59"/>
      <c r="FI1268" s="59"/>
      <c r="FJ1268" s="59"/>
      <c r="FK1268" s="59"/>
      <c r="FL1268" s="59"/>
      <c r="FM1268" s="59"/>
      <c r="FN1268" s="59"/>
      <c r="FO1268" s="59"/>
      <c r="FP1268" s="59"/>
      <c r="FQ1268" s="59"/>
      <c r="FR1268" s="59"/>
      <c r="FS1268" s="59"/>
      <c r="FT1268" s="59"/>
      <c r="FU1268" s="59"/>
      <c r="FV1268" s="59"/>
      <c r="FW1268" s="59"/>
      <c r="FX1268" s="59"/>
      <c r="FY1268" s="59"/>
      <c r="FZ1268" s="59"/>
      <c r="GA1268" s="59"/>
      <c r="GB1268" s="59"/>
      <c r="GC1268" s="59"/>
    </row>
    <row r="1269">
      <c r="A1269" s="59"/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59"/>
      <c r="P1269" s="59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  <c r="AD1269" s="59"/>
      <c r="AE1269" s="59"/>
      <c r="AF1269" s="59"/>
      <c r="AG1269" s="59"/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59"/>
      <c r="BR1269" s="59"/>
      <c r="BS1269" s="59"/>
      <c r="BT1269" s="59"/>
      <c r="BU1269" s="59"/>
      <c r="BV1269" s="59"/>
      <c r="BW1269" s="59"/>
      <c r="BX1269" s="59"/>
      <c r="BY1269" s="59"/>
      <c r="BZ1269" s="59"/>
      <c r="CA1269" s="59"/>
      <c r="CB1269" s="59"/>
      <c r="CC1269" s="59"/>
      <c r="CD1269" s="59"/>
      <c r="CE1269" s="59"/>
      <c r="CF1269" s="59"/>
      <c r="CG1269" s="59"/>
      <c r="CH1269" s="59"/>
      <c r="CI1269" s="59"/>
      <c r="CJ1269" s="59"/>
      <c r="CK1269" s="59"/>
      <c r="CL1269" s="59"/>
      <c r="CM1269" s="59"/>
      <c r="CN1269" s="59"/>
      <c r="CO1269" s="59"/>
      <c r="CP1269" s="59"/>
      <c r="CQ1269" s="59"/>
      <c r="CR1269" s="59"/>
      <c r="CS1269" s="59"/>
      <c r="CT1269" s="59"/>
      <c r="CU1269" s="59"/>
      <c r="CV1269" s="59"/>
      <c r="CW1269" s="59"/>
      <c r="CX1269" s="59"/>
      <c r="CY1269" s="59"/>
      <c r="CZ1269" s="59"/>
      <c r="DA1269" s="59"/>
      <c r="DB1269" s="59"/>
      <c r="DC1269" s="59"/>
      <c r="DD1269" s="59"/>
      <c r="DE1269" s="59"/>
      <c r="DF1269" s="59"/>
      <c r="DG1269" s="59"/>
      <c r="DH1269" s="59"/>
      <c r="DI1269" s="59"/>
      <c r="DJ1269" s="59"/>
      <c r="DK1269" s="59"/>
      <c r="DL1269" s="59"/>
      <c r="DM1269" s="59"/>
      <c r="DN1269" s="59"/>
      <c r="DO1269" s="59"/>
      <c r="DP1269" s="59"/>
      <c r="DQ1269" s="59"/>
      <c r="DR1269" s="59"/>
      <c r="DS1269" s="59"/>
      <c r="DT1269" s="59"/>
      <c r="DU1269" s="59"/>
      <c r="DV1269" s="59"/>
      <c r="DW1269" s="59"/>
      <c r="DX1269" s="59"/>
      <c r="DY1269" s="59"/>
      <c r="DZ1269" s="59"/>
      <c r="EA1269" s="59"/>
      <c r="EB1269" s="59"/>
      <c r="EC1269" s="59"/>
      <c r="ED1269" s="59"/>
      <c r="EE1269" s="59"/>
      <c r="EF1269" s="59"/>
      <c r="EG1269" s="59"/>
      <c r="EH1269" s="59"/>
      <c r="EI1269" s="59"/>
      <c r="EJ1269" s="59"/>
      <c r="EK1269" s="59"/>
      <c r="EL1269" s="59"/>
      <c r="EM1269" s="59"/>
      <c r="EN1269" s="59"/>
      <c r="EO1269" s="59"/>
      <c r="EP1269" s="59"/>
      <c r="EQ1269" s="59"/>
      <c r="ER1269" s="59"/>
      <c r="ES1269" s="59"/>
      <c r="ET1269" s="59"/>
      <c r="EU1269" s="59"/>
      <c r="EV1269" s="59"/>
      <c r="EW1269" s="59"/>
      <c r="EX1269" s="59"/>
      <c r="EY1269" s="59"/>
      <c r="EZ1269" s="59"/>
      <c r="FA1269" s="59"/>
      <c r="FB1269" s="59"/>
      <c r="FC1269" s="59"/>
      <c r="FD1269" s="59"/>
      <c r="FE1269" s="59"/>
      <c r="FF1269" s="59"/>
      <c r="FG1269" s="59"/>
      <c r="FH1269" s="59"/>
      <c r="FI1269" s="59"/>
      <c r="FJ1269" s="59"/>
      <c r="FK1269" s="59"/>
      <c r="FL1269" s="59"/>
      <c r="FM1269" s="59"/>
      <c r="FN1269" s="59"/>
      <c r="FO1269" s="59"/>
      <c r="FP1269" s="59"/>
      <c r="FQ1269" s="59"/>
      <c r="FR1269" s="59"/>
      <c r="FS1269" s="59"/>
      <c r="FT1269" s="59"/>
      <c r="FU1269" s="59"/>
      <c r="FV1269" s="59"/>
      <c r="FW1269" s="59"/>
      <c r="FX1269" s="59"/>
      <c r="FY1269" s="59"/>
      <c r="FZ1269" s="59"/>
      <c r="GA1269" s="59"/>
      <c r="GB1269" s="59"/>
      <c r="GC1269" s="59"/>
    </row>
    <row r="1270">
      <c r="A1270" s="59"/>
      <c r="B1270" s="59"/>
      <c r="C1270" s="59"/>
      <c r="D1270" s="59"/>
      <c r="E1270" s="59"/>
      <c r="F1270" s="59"/>
      <c r="G1270" s="59"/>
      <c r="H1270" s="59"/>
      <c r="I1270" s="59"/>
      <c r="J1270" s="59"/>
      <c r="K1270" s="59"/>
      <c r="L1270" s="59"/>
      <c r="M1270" s="59"/>
      <c r="N1270" s="59"/>
      <c r="O1270" s="59"/>
      <c r="P1270" s="59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59"/>
      <c r="BR1270" s="59"/>
      <c r="BS1270" s="59"/>
      <c r="BT1270" s="59"/>
      <c r="BU1270" s="59"/>
      <c r="BV1270" s="59"/>
      <c r="BW1270" s="59"/>
      <c r="BX1270" s="59"/>
      <c r="BY1270" s="59"/>
      <c r="BZ1270" s="59"/>
      <c r="CA1270" s="59"/>
      <c r="CB1270" s="59"/>
      <c r="CC1270" s="59"/>
      <c r="CD1270" s="59"/>
      <c r="CE1270" s="59"/>
      <c r="CF1270" s="59"/>
      <c r="CG1270" s="59"/>
      <c r="CH1270" s="59"/>
      <c r="CI1270" s="59"/>
      <c r="CJ1270" s="59"/>
      <c r="CK1270" s="59"/>
      <c r="CL1270" s="59"/>
      <c r="CM1270" s="59"/>
      <c r="CN1270" s="59"/>
      <c r="CO1270" s="59"/>
      <c r="CP1270" s="59"/>
      <c r="CQ1270" s="59"/>
      <c r="CR1270" s="59"/>
      <c r="CS1270" s="59"/>
      <c r="CT1270" s="59"/>
      <c r="CU1270" s="59"/>
      <c r="CV1270" s="59"/>
      <c r="CW1270" s="59"/>
      <c r="CX1270" s="59"/>
      <c r="CY1270" s="59"/>
      <c r="CZ1270" s="59"/>
      <c r="DA1270" s="59"/>
      <c r="DB1270" s="59"/>
      <c r="DC1270" s="59"/>
      <c r="DD1270" s="59"/>
      <c r="DE1270" s="59"/>
      <c r="DF1270" s="59"/>
      <c r="DG1270" s="59"/>
      <c r="DH1270" s="59"/>
      <c r="DI1270" s="59"/>
      <c r="DJ1270" s="59"/>
      <c r="DK1270" s="59"/>
      <c r="DL1270" s="59"/>
      <c r="DM1270" s="59"/>
      <c r="DN1270" s="59"/>
      <c r="DO1270" s="59"/>
      <c r="DP1270" s="59"/>
      <c r="DQ1270" s="59"/>
      <c r="DR1270" s="59"/>
      <c r="DS1270" s="59"/>
      <c r="DT1270" s="59"/>
      <c r="DU1270" s="59"/>
      <c r="DV1270" s="59"/>
      <c r="DW1270" s="59"/>
      <c r="DX1270" s="59"/>
      <c r="DY1270" s="59"/>
      <c r="DZ1270" s="59"/>
      <c r="EA1270" s="59"/>
      <c r="EB1270" s="59"/>
      <c r="EC1270" s="59"/>
      <c r="ED1270" s="59"/>
      <c r="EE1270" s="59"/>
      <c r="EF1270" s="59"/>
      <c r="EG1270" s="59"/>
      <c r="EH1270" s="59"/>
      <c r="EI1270" s="59"/>
      <c r="EJ1270" s="59"/>
      <c r="EK1270" s="59"/>
      <c r="EL1270" s="59"/>
      <c r="EM1270" s="59"/>
      <c r="EN1270" s="59"/>
      <c r="EO1270" s="59"/>
      <c r="EP1270" s="59"/>
      <c r="EQ1270" s="59"/>
      <c r="ER1270" s="59"/>
      <c r="ES1270" s="59"/>
      <c r="ET1270" s="59"/>
      <c r="EU1270" s="59"/>
      <c r="EV1270" s="59"/>
      <c r="EW1270" s="59"/>
      <c r="EX1270" s="59"/>
      <c r="EY1270" s="59"/>
      <c r="EZ1270" s="59"/>
      <c r="FA1270" s="59"/>
      <c r="FB1270" s="59"/>
      <c r="FC1270" s="59"/>
      <c r="FD1270" s="59"/>
      <c r="FE1270" s="59"/>
      <c r="FF1270" s="59"/>
      <c r="FG1270" s="59"/>
      <c r="FH1270" s="59"/>
      <c r="FI1270" s="59"/>
      <c r="FJ1270" s="59"/>
      <c r="FK1270" s="59"/>
      <c r="FL1270" s="59"/>
      <c r="FM1270" s="59"/>
      <c r="FN1270" s="59"/>
      <c r="FO1270" s="59"/>
      <c r="FP1270" s="59"/>
      <c r="FQ1270" s="59"/>
      <c r="FR1270" s="59"/>
      <c r="FS1270" s="59"/>
      <c r="FT1270" s="59"/>
      <c r="FU1270" s="59"/>
      <c r="FV1270" s="59"/>
      <c r="FW1270" s="59"/>
      <c r="FX1270" s="59"/>
      <c r="FY1270" s="59"/>
      <c r="FZ1270" s="59"/>
      <c r="GA1270" s="59"/>
      <c r="GB1270" s="59"/>
      <c r="GC1270" s="59"/>
    </row>
    <row r="1271">
      <c r="A1271" s="59"/>
      <c r="B1271" s="59"/>
      <c r="C1271" s="59"/>
      <c r="D1271" s="59"/>
      <c r="E1271" s="59"/>
      <c r="F1271" s="59"/>
      <c r="G1271" s="59"/>
      <c r="H1271" s="59"/>
      <c r="I1271" s="59"/>
      <c r="J1271" s="59"/>
      <c r="K1271" s="59"/>
      <c r="L1271" s="59"/>
      <c r="M1271" s="59"/>
      <c r="N1271" s="59"/>
      <c r="O1271" s="59"/>
      <c r="P1271" s="59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  <c r="AD1271" s="59"/>
      <c r="AE1271" s="59"/>
      <c r="AF1271" s="59"/>
      <c r="AG1271" s="59"/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59"/>
      <c r="BR1271" s="59"/>
      <c r="BS1271" s="59"/>
      <c r="BT1271" s="59"/>
      <c r="BU1271" s="59"/>
      <c r="BV1271" s="59"/>
      <c r="BW1271" s="59"/>
      <c r="BX1271" s="59"/>
      <c r="BY1271" s="59"/>
      <c r="BZ1271" s="59"/>
      <c r="CA1271" s="59"/>
      <c r="CB1271" s="59"/>
      <c r="CC1271" s="59"/>
      <c r="CD1271" s="59"/>
      <c r="CE1271" s="59"/>
      <c r="CF1271" s="59"/>
      <c r="CG1271" s="59"/>
      <c r="CH1271" s="59"/>
      <c r="CI1271" s="59"/>
      <c r="CJ1271" s="59"/>
      <c r="CK1271" s="59"/>
      <c r="CL1271" s="59"/>
      <c r="CM1271" s="59"/>
      <c r="CN1271" s="59"/>
      <c r="CO1271" s="59"/>
      <c r="CP1271" s="59"/>
      <c r="CQ1271" s="59"/>
      <c r="CR1271" s="59"/>
      <c r="CS1271" s="59"/>
      <c r="CT1271" s="59"/>
      <c r="CU1271" s="59"/>
      <c r="CV1271" s="59"/>
      <c r="CW1271" s="59"/>
      <c r="CX1271" s="59"/>
      <c r="CY1271" s="59"/>
      <c r="CZ1271" s="59"/>
      <c r="DA1271" s="59"/>
      <c r="DB1271" s="59"/>
      <c r="DC1271" s="59"/>
      <c r="DD1271" s="59"/>
      <c r="DE1271" s="59"/>
      <c r="DF1271" s="59"/>
      <c r="DG1271" s="59"/>
      <c r="DH1271" s="59"/>
      <c r="DI1271" s="59"/>
      <c r="DJ1271" s="59"/>
      <c r="DK1271" s="59"/>
      <c r="DL1271" s="59"/>
      <c r="DM1271" s="59"/>
      <c r="DN1271" s="59"/>
      <c r="DO1271" s="59"/>
      <c r="DP1271" s="59"/>
      <c r="DQ1271" s="59"/>
      <c r="DR1271" s="59"/>
      <c r="DS1271" s="59"/>
      <c r="DT1271" s="59"/>
      <c r="DU1271" s="59"/>
      <c r="DV1271" s="59"/>
      <c r="DW1271" s="59"/>
      <c r="DX1271" s="59"/>
      <c r="DY1271" s="59"/>
      <c r="DZ1271" s="59"/>
      <c r="EA1271" s="59"/>
      <c r="EB1271" s="59"/>
      <c r="EC1271" s="59"/>
      <c r="ED1271" s="59"/>
      <c r="EE1271" s="59"/>
      <c r="EF1271" s="59"/>
      <c r="EG1271" s="59"/>
      <c r="EH1271" s="59"/>
      <c r="EI1271" s="59"/>
      <c r="EJ1271" s="59"/>
      <c r="EK1271" s="59"/>
      <c r="EL1271" s="59"/>
      <c r="EM1271" s="59"/>
      <c r="EN1271" s="59"/>
      <c r="EO1271" s="59"/>
      <c r="EP1271" s="59"/>
      <c r="EQ1271" s="59"/>
      <c r="ER1271" s="59"/>
      <c r="ES1271" s="59"/>
      <c r="ET1271" s="59"/>
      <c r="EU1271" s="59"/>
      <c r="EV1271" s="59"/>
      <c r="EW1271" s="59"/>
      <c r="EX1271" s="59"/>
      <c r="EY1271" s="59"/>
      <c r="EZ1271" s="59"/>
      <c r="FA1271" s="59"/>
      <c r="FB1271" s="59"/>
      <c r="FC1271" s="59"/>
      <c r="FD1271" s="59"/>
      <c r="FE1271" s="59"/>
      <c r="FF1271" s="59"/>
      <c r="FG1271" s="59"/>
      <c r="FH1271" s="59"/>
      <c r="FI1271" s="59"/>
      <c r="FJ1271" s="59"/>
      <c r="FK1271" s="59"/>
      <c r="FL1271" s="59"/>
      <c r="FM1271" s="59"/>
      <c r="FN1271" s="59"/>
      <c r="FO1271" s="59"/>
      <c r="FP1271" s="59"/>
      <c r="FQ1271" s="59"/>
      <c r="FR1271" s="59"/>
      <c r="FS1271" s="59"/>
      <c r="FT1271" s="59"/>
      <c r="FU1271" s="59"/>
      <c r="FV1271" s="59"/>
      <c r="FW1271" s="59"/>
      <c r="FX1271" s="59"/>
      <c r="FY1271" s="59"/>
      <c r="FZ1271" s="59"/>
      <c r="GA1271" s="59"/>
      <c r="GB1271" s="59"/>
      <c r="GC1271" s="59"/>
    </row>
    <row r="1272">
      <c r="A1272" s="59"/>
      <c r="B1272" s="59"/>
      <c r="C1272" s="59"/>
      <c r="D1272" s="59"/>
      <c r="E1272" s="59"/>
      <c r="F1272" s="59"/>
      <c r="G1272" s="59"/>
      <c r="H1272" s="59"/>
      <c r="I1272" s="59"/>
      <c r="J1272" s="59"/>
      <c r="K1272" s="59"/>
      <c r="L1272" s="59"/>
      <c r="M1272" s="59"/>
      <c r="N1272" s="59"/>
      <c r="O1272" s="59"/>
      <c r="P1272" s="59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59"/>
      <c r="BR1272" s="59"/>
      <c r="BS1272" s="59"/>
      <c r="BT1272" s="59"/>
      <c r="BU1272" s="59"/>
      <c r="BV1272" s="59"/>
      <c r="BW1272" s="59"/>
      <c r="BX1272" s="59"/>
      <c r="BY1272" s="59"/>
      <c r="BZ1272" s="59"/>
      <c r="CA1272" s="59"/>
      <c r="CB1272" s="59"/>
      <c r="CC1272" s="59"/>
      <c r="CD1272" s="59"/>
      <c r="CE1272" s="59"/>
      <c r="CF1272" s="59"/>
      <c r="CG1272" s="59"/>
      <c r="CH1272" s="59"/>
      <c r="CI1272" s="59"/>
      <c r="CJ1272" s="59"/>
      <c r="CK1272" s="59"/>
      <c r="CL1272" s="59"/>
      <c r="CM1272" s="59"/>
      <c r="CN1272" s="59"/>
      <c r="CO1272" s="59"/>
      <c r="CP1272" s="59"/>
      <c r="CQ1272" s="59"/>
      <c r="CR1272" s="59"/>
      <c r="CS1272" s="59"/>
      <c r="CT1272" s="59"/>
      <c r="CU1272" s="59"/>
      <c r="CV1272" s="59"/>
      <c r="CW1272" s="59"/>
      <c r="CX1272" s="59"/>
      <c r="CY1272" s="59"/>
      <c r="CZ1272" s="59"/>
      <c r="DA1272" s="59"/>
      <c r="DB1272" s="59"/>
      <c r="DC1272" s="59"/>
      <c r="DD1272" s="59"/>
      <c r="DE1272" s="59"/>
      <c r="DF1272" s="59"/>
      <c r="DG1272" s="59"/>
      <c r="DH1272" s="59"/>
      <c r="DI1272" s="59"/>
      <c r="DJ1272" s="59"/>
      <c r="DK1272" s="59"/>
      <c r="DL1272" s="59"/>
      <c r="DM1272" s="59"/>
      <c r="DN1272" s="59"/>
      <c r="DO1272" s="59"/>
      <c r="DP1272" s="59"/>
      <c r="DQ1272" s="59"/>
      <c r="DR1272" s="59"/>
      <c r="DS1272" s="59"/>
      <c r="DT1272" s="59"/>
      <c r="DU1272" s="59"/>
      <c r="DV1272" s="59"/>
      <c r="DW1272" s="59"/>
      <c r="DX1272" s="59"/>
      <c r="DY1272" s="59"/>
      <c r="DZ1272" s="59"/>
      <c r="EA1272" s="59"/>
      <c r="EB1272" s="59"/>
      <c r="EC1272" s="59"/>
      <c r="ED1272" s="59"/>
      <c r="EE1272" s="59"/>
      <c r="EF1272" s="59"/>
      <c r="EG1272" s="59"/>
      <c r="EH1272" s="59"/>
      <c r="EI1272" s="59"/>
      <c r="EJ1272" s="59"/>
      <c r="EK1272" s="59"/>
      <c r="EL1272" s="59"/>
      <c r="EM1272" s="59"/>
      <c r="EN1272" s="59"/>
      <c r="EO1272" s="59"/>
      <c r="EP1272" s="59"/>
      <c r="EQ1272" s="59"/>
      <c r="ER1272" s="59"/>
      <c r="ES1272" s="59"/>
      <c r="ET1272" s="59"/>
      <c r="EU1272" s="59"/>
      <c r="EV1272" s="59"/>
      <c r="EW1272" s="59"/>
      <c r="EX1272" s="59"/>
      <c r="EY1272" s="59"/>
      <c r="EZ1272" s="59"/>
      <c r="FA1272" s="59"/>
      <c r="FB1272" s="59"/>
      <c r="FC1272" s="59"/>
      <c r="FD1272" s="59"/>
      <c r="FE1272" s="59"/>
      <c r="FF1272" s="59"/>
      <c r="FG1272" s="59"/>
      <c r="FH1272" s="59"/>
      <c r="FI1272" s="59"/>
      <c r="FJ1272" s="59"/>
      <c r="FK1272" s="59"/>
      <c r="FL1272" s="59"/>
      <c r="FM1272" s="59"/>
      <c r="FN1272" s="59"/>
      <c r="FO1272" s="59"/>
      <c r="FP1272" s="59"/>
      <c r="FQ1272" s="59"/>
      <c r="FR1272" s="59"/>
      <c r="FS1272" s="59"/>
      <c r="FT1272" s="59"/>
      <c r="FU1272" s="59"/>
      <c r="FV1272" s="59"/>
      <c r="FW1272" s="59"/>
      <c r="FX1272" s="59"/>
      <c r="FY1272" s="59"/>
      <c r="FZ1272" s="59"/>
      <c r="GA1272" s="59"/>
      <c r="GB1272" s="59"/>
      <c r="GC1272" s="59"/>
    </row>
    <row r="1273">
      <c r="A1273" s="59"/>
      <c r="B1273" s="59"/>
      <c r="C1273" s="59"/>
      <c r="D1273" s="59"/>
      <c r="E1273" s="59"/>
      <c r="F1273" s="59"/>
      <c r="G1273" s="59"/>
      <c r="H1273" s="59"/>
      <c r="I1273" s="59"/>
      <c r="J1273" s="59"/>
      <c r="K1273" s="59"/>
      <c r="L1273" s="59"/>
      <c r="M1273" s="59"/>
      <c r="N1273" s="59"/>
      <c r="O1273" s="59"/>
      <c r="P1273" s="59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  <c r="AD1273" s="59"/>
      <c r="AE1273" s="59"/>
      <c r="AF1273" s="59"/>
      <c r="AG1273" s="59"/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59"/>
      <c r="BR1273" s="59"/>
      <c r="BS1273" s="59"/>
      <c r="BT1273" s="59"/>
      <c r="BU1273" s="59"/>
      <c r="BV1273" s="59"/>
      <c r="BW1273" s="59"/>
      <c r="BX1273" s="59"/>
      <c r="BY1273" s="59"/>
      <c r="BZ1273" s="59"/>
      <c r="CA1273" s="59"/>
      <c r="CB1273" s="59"/>
      <c r="CC1273" s="59"/>
      <c r="CD1273" s="59"/>
      <c r="CE1273" s="59"/>
      <c r="CF1273" s="59"/>
      <c r="CG1273" s="59"/>
      <c r="CH1273" s="59"/>
      <c r="CI1273" s="59"/>
      <c r="CJ1273" s="59"/>
      <c r="CK1273" s="59"/>
      <c r="CL1273" s="59"/>
      <c r="CM1273" s="59"/>
      <c r="CN1273" s="59"/>
      <c r="CO1273" s="59"/>
      <c r="CP1273" s="59"/>
      <c r="CQ1273" s="59"/>
      <c r="CR1273" s="59"/>
      <c r="CS1273" s="59"/>
      <c r="CT1273" s="59"/>
      <c r="CU1273" s="59"/>
      <c r="CV1273" s="59"/>
      <c r="CW1273" s="59"/>
      <c r="CX1273" s="59"/>
      <c r="CY1273" s="59"/>
      <c r="CZ1273" s="59"/>
      <c r="DA1273" s="59"/>
      <c r="DB1273" s="59"/>
      <c r="DC1273" s="59"/>
      <c r="DD1273" s="59"/>
      <c r="DE1273" s="59"/>
      <c r="DF1273" s="59"/>
      <c r="DG1273" s="59"/>
      <c r="DH1273" s="59"/>
      <c r="DI1273" s="59"/>
      <c r="DJ1273" s="59"/>
      <c r="DK1273" s="59"/>
      <c r="DL1273" s="59"/>
      <c r="DM1273" s="59"/>
      <c r="DN1273" s="59"/>
      <c r="DO1273" s="59"/>
      <c r="DP1273" s="59"/>
      <c r="DQ1273" s="59"/>
      <c r="DR1273" s="59"/>
      <c r="DS1273" s="59"/>
      <c r="DT1273" s="59"/>
      <c r="DU1273" s="59"/>
      <c r="DV1273" s="59"/>
      <c r="DW1273" s="59"/>
      <c r="DX1273" s="59"/>
      <c r="DY1273" s="59"/>
      <c r="DZ1273" s="59"/>
      <c r="EA1273" s="59"/>
      <c r="EB1273" s="59"/>
      <c r="EC1273" s="59"/>
      <c r="ED1273" s="59"/>
      <c r="EE1273" s="59"/>
      <c r="EF1273" s="59"/>
      <c r="EG1273" s="59"/>
      <c r="EH1273" s="59"/>
      <c r="EI1273" s="59"/>
      <c r="EJ1273" s="59"/>
      <c r="EK1273" s="59"/>
      <c r="EL1273" s="59"/>
      <c r="EM1273" s="59"/>
      <c r="EN1273" s="59"/>
      <c r="EO1273" s="59"/>
      <c r="EP1273" s="59"/>
      <c r="EQ1273" s="59"/>
      <c r="ER1273" s="59"/>
      <c r="ES1273" s="59"/>
      <c r="ET1273" s="59"/>
      <c r="EU1273" s="59"/>
      <c r="EV1273" s="59"/>
      <c r="EW1273" s="59"/>
      <c r="EX1273" s="59"/>
      <c r="EY1273" s="59"/>
      <c r="EZ1273" s="59"/>
      <c r="FA1273" s="59"/>
      <c r="FB1273" s="59"/>
      <c r="FC1273" s="59"/>
      <c r="FD1273" s="59"/>
      <c r="FE1273" s="59"/>
      <c r="FF1273" s="59"/>
      <c r="FG1273" s="59"/>
      <c r="FH1273" s="59"/>
      <c r="FI1273" s="59"/>
      <c r="FJ1273" s="59"/>
      <c r="FK1273" s="59"/>
      <c r="FL1273" s="59"/>
      <c r="FM1273" s="59"/>
      <c r="FN1273" s="59"/>
      <c r="FO1273" s="59"/>
      <c r="FP1273" s="59"/>
      <c r="FQ1273" s="59"/>
      <c r="FR1273" s="59"/>
      <c r="FS1273" s="59"/>
      <c r="FT1273" s="59"/>
      <c r="FU1273" s="59"/>
      <c r="FV1273" s="59"/>
      <c r="FW1273" s="59"/>
      <c r="FX1273" s="59"/>
      <c r="FY1273" s="59"/>
      <c r="FZ1273" s="59"/>
      <c r="GA1273" s="59"/>
      <c r="GB1273" s="59"/>
      <c r="GC1273" s="59"/>
    </row>
    <row r="1274">
      <c r="A1274" s="59"/>
      <c r="B1274" s="59"/>
      <c r="C1274" s="59"/>
      <c r="D1274" s="59"/>
      <c r="E1274" s="59"/>
      <c r="F1274" s="59"/>
      <c r="G1274" s="59"/>
      <c r="H1274" s="59"/>
      <c r="I1274" s="59"/>
      <c r="J1274" s="59"/>
      <c r="K1274" s="59"/>
      <c r="L1274" s="59"/>
      <c r="M1274" s="59"/>
      <c r="N1274" s="59"/>
      <c r="O1274" s="59"/>
      <c r="P1274" s="59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59"/>
      <c r="BR1274" s="59"/>
      <c r="BS1274" s="59"/>
      <c r="BT1274" s="59"/>
      <c r="BU1274" s="59"/>
      <c r="BV1274" s="59"/>
      <c r="BW1274" s="59"/>
      <c r="BX1274" s="59"/>
      <c r="BY1274" s="59"/>
      <c r="BZ1274" s="59"/>
      <c r="CA1274" s="59"/>
      <c r="CB1274" s="59"/>
      <c r="CC1274" s="59"/>
      <c r="CD1274" s="59"/>
      <c r="CE1274" s="59"/>
      <c r="CF1274" s="59"/>
      <c r="CG1274" s="59"/>
      <c r="CH1274" s="59"/>
      <c r="CI1274" s="59"/>
      <c r="CJ1274" s="59"/>
      <c r="CK1274" s="59"/>
      <c r="CL1274" s="59"/>
      <c r="CM1274" s="59"/>
      <c r="CN1274" s="59"/>
      <c r="CO1274" s="59"/>
      <c r="CP1274" s="59"/>
      <c r="CQ1274" s="59"/>
      <c r="CR1274" s="59"/>
      <c r="CS1274" s="59"/>
      <c r="CT1274" s="59"/>
      <c r="CU1274" s="59"/>
      <c r="CV1274" s="59"/>
      <c r="CW1274" s="59"/>
      <c r="CX1274" s="59"/>
      <c r="CY1274" s="59"/>
      <c r="CZ1274" s="59"/>
      <c r="DA1274" s="59"/>
      <c r="DB1274" s="59"/>
      <c r="DC1274" s="59"/>
      <c r="DD1274" s="59"/>
      <c r="DE1274" s="59"/>
      <c r="DF1274" s="59"/>
      <c r="DG1274" s="59"/>
      <c r="DH1274" s="59"/>
      <c r="DI1274" s="59"/>
      <c r="DJ1274" s="59"/>
      <c r="DK1274" s="59"/>
      <c r="DL1274" s="59"/>
      <c r="DM1274" s="59"/>
      <c r="DN1274" s="59"/>
      <c r="DO1274" s="59"/>
      <c r="DP1274" s="59"/>
      <c r="DQ1274" s="59"/>
      <c r="DR1274" s="59"/>
      <c r="DS1274" s="59"/>
      <c r="DT1274" s="59"/>
      <c r="DU1274" s="59"/>
      <c r="DV1274" s="59"/>
      <c r="DW1274" s="59"/>
      <c r="DX1274" s="59"/>
      <c r="DY1274" s="59"/>
      <c r="DZ1274" s="59"/>
      <c r="EA1274" s="59"/>
      <c r="EB1274" s="59"/>
      <c r="EC1274" s="59"/>
      <c r="ED1274" s="59"/>
      <c r="EE1274" s="59"/>
      <c r="EF1274" s="59"/>
      <c r="EG1274" s="59"/>
      <c r="EH1274" s="59"/>
      <c r="EI1274" s="59"/>
      <c r="EJ1274" s="59"/>
      <c r="EK1274" s="59"/>
      <c r="EL1274" s="59"/>
      <c r="EM1274" s="59"/>
      <c r="EN1274" s="59"/>
      <c r="EO1274" s="59"/>
      <c r="EP1274" s="59"/>
      <c r="EQ1274" s="59"/>
      <c r="ER1274" s="59"/>
      <c r="ES1274" s="59"/>
      <c r="ET1274" s="59"/>
      <c r="EU1274" s="59"/>
      <c r="EV1274" s="59"/>
      <c r="EW1274" s="59"/>
      <c r="EX1274" s="59"/>
      <c r="EY1274" s="59"/>
      <c r="EZ1274" s="59"/>
      <c r="FA1274" s="59"/>
      <c r="FB1274" s="59"/>
      <c r="FC1274" s="59"/>
      <c r="FD1274" s="59"/>
      <c r="FE1274" s="59"/>
      <c r="FF1274" s="59"/>
      <c r="FG1274" s="59"/>
      <c r="FH1274" s="59"/>
      <c r="FI1274" s="59"/>
      <c r="FJ1274" s="59"/>
      <c r="FK1274" s="59"/>
      <c r="FL1274" s="59"/>
      <c r="FM1274" s="59"/>
      <c r="FN1274" s="59"/>
      <c r="FO1274" s="59"/>
      <c r="FP1274" s="59"/>
      <c r="FQ1274" s="59"/>
      <c r="FR1274" s="59"/>
      <c r="FS1274" s="59"/>
      <c r="FT1274" s="59"/>
      <c r="FU1274" s="59"/>
      <c r="FV1274" s="59"/>
      <c r="FW1274" s="59"/>
      <c r="FX1274" s="59"/>
      <c r="FY1274" s="59"/>
      <c r="FZ1274" s="59"/>
      <c r="GA1274" s="59"/>
      <c r="GB1274" s="59"/>
      <c r="GC1274" s="59"/>
    </row>
    <row r="1275">
      <c r="A1275" s="59"/>
      <c r="B1275" s="59"/>
      <c r="C1275" s="59"/>
      <c r="D1275" s="59"/>
      <c r="E1275" s="59"/>
      <c r="F1275" s="59"/>
      <c r="G1275" s="59"/>
      <c r="H1275" s="59"/>
      <c r="I1275" s="59"/>
      <c r="J1275" s="59"/>
      <c r="K1275" s="59"/>
      <c r="L1275" s="59"/>
      <c r="M1275" s="59"/>
      <c r="N1275" s="59"/>
      <c r="O1275" s="59"/>
      <c r="P1275" s="59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  <c r="AD1275" s="59"/>
      <c r="AE1275" s="59"/>
      <c r="AF1275" s="59"/>
      <c r="AG1275" s="59"/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59"/>
      <c r="BR1275" s="59"/>
      <c r="BS1275" s="59"/>
      <c r="BT1275" s="59"/>
      <c r="BU1275" s="59"/>
      <c r="BV1275" s="59"/>
      <c r="BW1275" s="59"/>
      <c r="BX1275" s="59"/>
      <c r="BY1275" s="59"/>
      <c r="BZ1275" s="59"/>
      <c r="CA1275" s="59"/>
      <c r="CB1275" s="59"/>
      <c r="CC1275" s="59"/>
      <c r="CD1275" s="59"/>
      <c r="CE1275" s="59"/>
      <c r="CF1275" s="59"/>
      <c r="CG1275" s="59"/>
      <c r="CH1275" s="59"/>
      <c r="CI1275" s="59"/>
      <c r="CJ1275" s="59"/>
      <c r="CK1275" s="59"/>
      <c r="CL1275" s="59"/>
      <c r="CM1275" s="59"/>
      <c r="CN1275" s="59"/>
      <c r="CO1275" s="59"/>
      <c r="CP1275" s="59"/>
      <c r="CQ1275" s="59"/>
      <c r="CR1275" s="59"/>
      <c r="CS1275" s="59"/>
      <c r="CT1275" s="59"/>
      <c r="CU1275" s="59"/>
      <c r="CV1275" s="59"/>
      <c r="CW1275" s="59"/>
      <c r="CX1275" s="59"/>
      <c r="CY1275" s="59"/>
      <c r="CZ1275" s="59"/>
      <c r="DA1275" s="59"/>
      <c r="DB1275" s="59"/>
      <c r="DC1275" s="59"/>
      <c r="DD1275" s="59"/>
      <c r="DE1275" s="59"/>
      <c r="DF1275" s="59"/>
      <c r="DG1275" s="59"/>
      <c r="DH1275" s="59"/>
      <c r="DI1275" s="59"/>
      <c r="DJ1275" s="59"/>
      <c r="DK1275" s="59"/>
      <c r="DL1275" s="59"/>
      <c r="DM1275" s="59"/>
      <c r="DN1275" s="59"/>
      <c r="DO1275" s="59"/>
      <c r="DP1275" s="59"/>
      <c r="DQ1275" s="59"/>
      <c r="DR1275" s="59"/>
      <c r="DS1275" s="59"/>
      <c r="DT1275" s="59"/>
      <c r="DU1275" s="59"/>
      <c r="DV1275" s="59"/>
      <c r="DW1275" s="59"/>
      <c r="DX1275" s="59"/>
      <c r="DY1275" s="59"/>
      <c r="DZ1275" s="59"/>
      <c r="EA1275" s="59"/>
      <c r="EB1275" s="59"/>
      <c r="EC1275" s="59"/>
      <c r="ED1275" s="59"/>
      <c r="EE1275" s="59"/>
      <c r="EF1275" s="59"/>
      <c r="EG1275" s="59"/>
      <c r="EH1275" s="59"/>
      <c r="EI1275" s="59"/>
      <c r="EJ1275" s="59"/>
      <c r="EK1275" s="59"/>
      <c r="EL1275" s="59"/>
      <c r="EM1275" s="59"/>
      <c r="EN1275" s="59"/>
      <c r="EO1275" s="59"/>
      <c r="EP1275" s="59"/>
      <c r="EQ1275" s="59"/>
      <c r="ER1275" s="59"/>
      <c r="ES1275" s="59"/>
      <c r="ET1275" s="59"/>
      <c r="EU1275" s="59"/>
      <c r="EV1275" s="59"/>
      <c r="EW1275" s="59"/>
      <c r="EX1275" s="59"/>
      <c r="EY1275" s="59"/>
      <c r="EZ1275" s="59"/>
      <c r="FA1275" s="59"/>
      <c r="FB1275" s="59"/>
      <c r="FC1275" s="59"/>
      <c r="FD1275" s="59"/>
      <c r="FE1275" s="59"/>
      <c r="FF1275" s="59"/>
      <c r="FG1275" s="59"/>
      <c r="FH1275" s="59"/>
      <c r="FI1275" s="59"/>
      <c r="FJ1275" s="59"/>
      <c r="FK1275" s="59"/>
      <c r="FL1275" s="59"/>
      <c r="FM1275" s="59"/>
      <c r="FN1275" s="59"/>
      <c r="FO1275" s="59"/>
      <c r="FP1275" s="59"/>
      <c r="FQ1275" s="59"/>
      <c r="FR1275" s="59"/>
      <c r="FS1275" s="59"/>
      <c r="FT1275" s="59"/>
      <c r="FU1275" s="59"/>
      <c r="FV1275" s="59"/>
      <c r="FW1275" s="59"/>
      <c r="FX1275" s="59"/>
      <c r="FY1275" s="59"/>
      <c r="FZ1275" s="59"/>
      <c r="GA1275" s="59"/>
      <c r="GB1275" s="59"/>
      <c r="GC1275" s="59"/>
    </row>
    <row r="1276">
      <c r="A1276" s="59"/>
      <c r="B1276" s="59"/>
      <c r="C1276" s="59"/>
      <c r="D1276" s="59"/>
      <c r="E1276" s="59"/>
      <c r="F1276" s="59"/>
      <c r="G1276" s="59"/>
      <c r="H1276" s="59"/>
      <c r="I1276" s="59"/>
      <c r="J1276" s="59"/>
      <c r="K1276" s="59"/>
      <c r="L1276" s="59"/>
      <c r="M1276" s="59"/>
      <c r="N1276" s="59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9"/>
      <c r="AY1276" s="59"/>
      <c r="AZ1276" s="59"/>
      <c r="BA1276" s="59"/>
      <c r="BB1276" s="59"/>
      <c r="BC1276" s="59"/>
      <c r="BD1276" s="59"/>
      <c r="BE1276" s="59"/>
      <c r="BF1276" s="59"/>
      <c r="BG1276" s="59"/>
      <c r="BH1276" s="59"/>
      <c r="BI1276" s="59"/>
      <c r="BJ1276" s="59"/>
      <c r="BK1276" s="59"/>
      <c r="BL1276" s="59"/>
      <c r="BM1276" s="59"/>
      <c r="BN1276" s="59"/>
      <c r="BO1276" s="59"/>
      <c r="BP1276" s="59"/>
      <c r="BQ1276" s="59"/>
      <c r="BR1276" s="59"/>
      <c r="BS1276" s="59"/>
      <c r="BT1276" s="59"/>
      <c r="BU1276" s="59"/>
      <c r="BV1276" s="59"/>
      <c r="BW1276" s="59"/>
      <c r="BX1276" s="59"/>
      <c r="BY1276" s="59"/>
      <c r="BZ1276" s="59"/>
      <c r="CA1276" s="59"/>
      <c r="CB1276" s="59"/>
      <c r="CC1276" s="59"/>
      <c r="CD1276" s="59"/>
      <c r="CE1276" s="59"/>
      <c r="CF1276" s="59"/>
      <c r="CG1276" s="59"/>
      <c r="CH1276" s="59"/>
      <c r="CI1276" s="59"/>
      <c r="CJ1276" s="59"/>
      <c r="CK1276" s="59"/>
      <c r="CL1276" s="59"/>
      <c r="CM1276" s="59"/>
      <c r="CN1276" s="59"/>
      <c r="CO1276" s="59"/>
      <c r="CP1276" s="59"/>
      <c r="CQ1276" s="59"/>
      <c r="CR1276" s="59"/>
      <c r="CS1276" s="59"/>
      <c r="CT1276" s="59"/>
      <c r="CU1276" s="59"/>
      <c r="CV1276" s="59"/>
      <c r="CW1276" s="59"/>
      <c r="CX1276" s="59"/>
      <c r="CY1276" s="59"/>
      <c r="CZ1276" s="59"/>
      <c r="DA1276" s="59"/>
      <c r="DB1276" s="59"/>
      <c r="DC1276" s="59"/>
      <c r="DD1276" s="59"/>
      <c r="DE1276" s="59"/>
      <c r="DF1276" s="59"/>
      <c r="DG1276" s="59"/>
      <c r="DH1276" s="59"/>
      <c r="DI1276" s="59"/>
      <c r="DJ1276" s="59"/>
      <c r="DK1276" s="59"/>
      <c r="DL1276" s="59"/>
      <c r="DM1276" s="59"/>
      <c r="DN1276" s="59"/>
      <c r="DO1276" s="59"/>
      <c r="DP1276" s="59"/>
      <c r="DQ1276" s="59"/>
      <c r="DR1276" s="59"/>
      <c r="DS1276" s="59"/>
      <c r="DT1276" s="59"/>
      <c r="DU1276" s="59"/>
      <c r="DV1276" s="59"/>
      <c r="DW1276" s="59"/>
      <c r="DX1276" s="59"/>
      <c r="DY1276" s="59"/>
      <c r="DZ1276" s="59"/>
      <c r="EA1276" s="59"/>
      <c r="EB1276" s="59"/>
      <c r="EC1276" s="59"/>
      <c r="ED1276" s="59"/>
      <c r="EE1276" s="59"/>
      <c r="EF1276" s="59"/>
      <c r="EG1276" s="59"/>
      <c r="EH1276" s="59"/>
      <c r="EI1276" s="59"/>
      <c r="EJ1276" s="59"/>
      <c r="EK1276" s="59"/>
      <c r="EL1276" s="59"/>
      <c r="EM1276" s="59"/>
      <c r="EN1276" s="59"/>
      <c r="EO1276" s="59"/>
      <c r="EP1276" s="59"/>
      <c r="EQ1276" s="59"/>
      <c r="ER1276" s="59"/>
      <c r="ES1276" s="59"/>
      <c r="ET1276" s="59"/>
      <c r="EU1276" s="59"/>
      <c r="EV1276" s="59"/>
      <c r="EW1276" s="59"/>
      <c r="EX1276" s="59"/>
      <c r="EY1276" s="59"/>
      <c r="EZ1276" s="59"/>
      <c r="FA1276" s="59"/>
      <c r="FB1276" s="59"/>
      <c r="FC1276" s="59"/>
      <c r="FD1276" s="59"/>
      <c r="FE1276" s="59"/>
      <c r="FF1276" s="59"/>
      <c r="FG1276" s="59"/>
      <c r="FH1276" s="59"/>
      <c r="FI1276" s="59"/>
      <c r="FJ1276" s="59"/>
      <c r="FK1276" s="59"/>
      <c r="FL1276" s="59"/>
      <c r="FM1276" s="59"/>
      <c r="FN1276" s="59"/>
      <c r="FO1276" s="59"/>
      <c r="FP1276" s="59"/>
      <c r="FQ1276" s="59"/>
      <c r="FR1276" s="59"/>
      <c r="FS1276" s="59"/>
      <c r="FT1276" s="59"/>
      <c r="FU1276" s="59"/>
      <c r="FV1276" s="59"/>
      <c r="FW1276" s="59"/>
      <c r="FX1276" s="59"/>
      <c r="FY1276" s="59"/>
      <c r="FZ1276" s="59"/>
      <c r="GA1276" s="59"/>
      <c r="GB1276" s="59"/>
      <c r="GC1276" s="59"/>
    </row>
    <row r="1277">
      <c r="A1277" s="59"/>
      <c r="B1277" s="59"/>
      <c r="C1277" s="59"/>
      <c r="D1277" s="59"/>
      <c r="E1277" s="59"/>
      <c r="F1277" s="59"/>
      <c r="G1277" s="59"/>
      <c r="H1277" s="59"/>
      <c r="I1277" s="59"/>
      <c r="J1277" s="59"/>
      <c r="K1277" s="59"/>
      <c r="L1277" s="59"/>
      <c r="M1277" s="59"/>
      <c r="N1277" s="59"/>
      <c r="O1277" s="59"/>
      <c r="P1277" s="59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  <c r="AD1277" s="59"/>
      <c r="AE1277" s="59"/>
      <c r="AF1277" s="59"/>
      <c r="AG1277" s="59"/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/>
      <c r="AY1277" s="59"/>
      <c r="AZ1277" s="59"/>
      <c r="BA1277" s="59"/>
      <c r="BB1277" s="59"/>
      <c r="BC1277" s="59"/>
      <c r="BD1277" s="59"/>
      <c r="BE1277" s="59"/>
      <c r="BF1277" s="59"/>
      <c r="BG1277" s="59"/>
      <c r="BH1277" s="59"/>
      <c r="BI1277" s="59"/>
      <c r="BJ1277" s="59"/>
      <c r="BK1277" s="59"/>
      <c r="BL1277" s="59"/>
      <c r="BM1277" s="59"/>
      <c r="BN1277" s="59"/>
      <c r="BO1277" s="59"/>
      <c r="BP1277" s="59"/>
      <c r="BQ1277" s="59"/>
      <c r="BR1277" s="59"/>
      <c r="BS1277" s="59"/>
      <c r="BT1277" s="59"/>
      <c r="BU1277" s="59"/>
      <c r="BV1277" s="59"/>
      <c r="BW1277" s="59"/>
      <c r="BX1277" s="59"/>
      <c r="BY1277" s="59"/>
      <c r="BZ1277" s="59"/>
      <c r="CA1277" s="59"/>
      <c r="CB1277" s="59"/>
      <c r="CC1277" s="59"/>
      <c r="CD1277" s="59"/>
      <c r="CE1277" s="59"/>
      <c r="CF1277" s="59"/>
      <c r="CG1277" s="59"/>
      <c r="CH1277" s="59"/>
      <c r="CI1277" s="59"/>
      <c r="CJ1277" s="59"/>
      <c r="CK1277" s="59"/>
      <c r="CL1277" s="59"/>
      <c r="CM1277" s="59"/>
      <c r="CN1277" s="59"/>
      <c r="CO1277" s="59"/>
      <c r="CP1277" s="59"/>
      <c r="CQ1277" s="59"/>
      <c r="CR1277" s="59"/>
      <c r="CS1277" s="59"/>
      <c r="CT1277" s="59"/>
      <c r="CU1277" s="59"/>
      <c r="CV1277" s="59"/>
      <c r="CW1277" s="59"/>
      <c r="CX1277" s="59"/>
      <c r="CY1277" s="59"/>
      <c r="CZ1277" s="59"/>
      <c r="DA1277" s="59"/>
      <c r="DB1277" s="59"/>
      <c r="DC1277" s="59"/>
      <c r="DD1277" s="59"/>
      <c r="DE1277" s="59"/>
      <c r="DF1277" s="59"/>
      <c r="DG1277" s="59"/>
      <c r="DH1277" s="59"/>
      <c r="DI1277" s="59"/>
      <c r="DJ1277" s="59"/>
      <c r="DK1277" s="59"/>
      <c r="DL1277" s="59"/>
      <c r="DM1277" s="59"/>
      <c r="DN1277" s="59"/>
      <c r="DO1277" s="59"/>
      <c r="DP1277" s="59"/>
      <c r="DQ1277" s="59"/>
      <c r="DR1277" s="59"/>
      <c r="DS1277" s="59"/>
      <c r="DT1277" s="59"/>
      <c r="DU1277" s="59"/>
      <c r="DV1277" s="59"/>
      <c r="DW1277" s="59"/>
      <c r="DX1277" s="59"/>
      <c r="DY1277" s="59"/>
      <c r="DZ1277" s="59"/>
      <c r="EA1277" s="59"/>
      <c r="EB1277" s="59"/>
      <c r="EC1277" s="59"/>
      <c r="ED1277" s="59"/>
      <c r="EE1277" s="59"/>
      <c r="EF1277" s="59"/>
      <c r="EG1277" s="59"/>
      <c r="EH1277" s="59"/>
      <c r="EI1277" s="59"/>
      <c r="EJ1277" s="59"/>
      <c r="EK1277" s="59"/>
      <c r="EL1277" s="59"/>
      <c r="EM1277" s="59"/>
      <c r="EN1277" s="59"/>
      <c r="EO1277" s="59"/>
      <c r="EP1277" s="59"/>
      <c r="EQ1277" s="59"/>
      <c r="ER1277" s="59"/>
      <c r="ES1277" s="59"/>
      <c r="ET1277" s="59"/>
      <c r="EU1277" s="59"/>
      <c r="EV1277" s="59"/>
      <c r="EW1277" s="59"/>
      <c r="EX1277" s="59"/>
      <c r="EY1277" s="59"/>
      <c r="EZ1277" s="59"/>
      <c r="FA1277" s="59"/>
      <c r="FB1277" s="59"/>
      <c r="FC1277" s="59"/>
      <c r="FD1277" s="59"/>
      <c r="FE1277" s="59"/>
      <c r="FF1277" s="59"/>
      <c r="FG1277" s="59"/>
      <c r="FH1277" s="59"/>
      <c r="FI1277" s="59"/>
      <c r="FJ1277" s="59"/>
      <c r="FK1277" s="59"/>
      <c r="FL1277" s="59"/>
      <c r="FM1277" s="59"/>
      <c r="FN1277" s="59"/>
      <c r="FO1277" s="59"/>
      <c r="FP1277" s="59"/>
      <c r="FQ1277" s="59"/>
      <c r="FR1277" s="59"/>
      <c r="FS1277" s="59"/>
      <c r="FT1277" s="59"/>
      <c r="FU1277" s="59"/>
      <c r="FV1277" s="59"/>
      <c r="FW1277" s="59"/>
      <c r="FX1277" s="59"/>
      <c r="FY1277" s="59"/>
      <c r="FZ1277" s="59"/>
      <c r="GA1277" s="59"/>
      <c r="GB1277" s="59"/>
      <c r="GC1277" s="59"/>
    </row>
    <row r="1278">
      <c r="A1278" s="59"/>
      <c r="B1278" s="59"/>
      <c r="C1278" s="59"/>
      <c r="D1278" s="59"/>
      <c r="E1278" s="59"/>
      <c r="F1278" s="59"/>
      <c r="G1278" s="59"/>
      <c r="H1278" s="59"/>
      <c r="I1278" s="59"/>
      <c r="J1278" s="59"/>
      <c r="K1278" s="59"/>
      <c r="L1278" s="59"/>
      <c r="M1278" s="59"/>
      <c r="N1278" s="59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9"/>
      <c r="AY1278" s="59"/>
      <c r="AZ1278" s="59"/>
      <c r="BA1278" s="59"/>
      <c r="BB1278" s="59"/>
      <c r="BC1278" s="59"/>
      <c r="BD1278" s="59"/>
      <c r="BE1278" s="59"/>
      <c r="BF1278" s="59"/>
      <c r="BG1278" s="59"/>
      <c r="BH1278" s="59"/>
      <c r="BI1278" s="59"/>
      <c r="BJ1278" s="59"/>
      <c r="BK1278" s="59"/>
      <c r="BL1278" s="59"/>
      <c r="BM1278" s="59"/>
      <c r="BN1278" s="59"/>
      <c r="BO1278" s="59"/>
      <c r="BP1278" s="59"/>
      <c r="BQ1278" s="59"/>
      <c r="BR1278" s="59"/>
      <c r="BS1278" s="59"/>
      <c r="BT1278" s="59"/>
      <c r="BU1278" s="59"/>
      <c r="BV1278" s="59"/>
      <c r="BW1278" s="59"/>
      <c r="BX1278" s="59"/>
      <c r="BY1278" s="59"/>
      <c r="BZ1278" s="59"/>
      <c r="CA1278" s="59"/>
      <c r="CB1278" s="59"/>
      <c r="CC1278" s="59"/>
      <c r="CD1278" s="59"/>
      <c r="CE1278" s="59"/>
      <c r="CF1278" s="59"/>
      <c r="CG1278" s="59"/>
      <c r="CH1278" s="59"/>
      <c r="CI1278" s="59"/>
      <c r="CJ1278" s="59"/>
      <c r="CK1278" s="59"/>
      <c r="CL1278" s="59"/>
      <c r="CM1278" s="59"/>
      <c r="CN1278" s="59"/>
      <c r="CO1278" s="59"/>
      <c r="CP1278" s="59"/>
      <c r="CQ1278" s="59"/>
      <c r="CR1278" s="59"/>
      <c r="CS1278" s="59"/>
      <c r="CT1278" s="59"/>
      <c r="CU1278" s="59"/>
      <c r="CV1278" s="59"/>
      <c r="CW1278" s="59"/>
      <c r="CX1278" s="59"/>
      <c r="CY1278" s="59"/>
      <c r="CZ1278" s="59"/>
      <c r="DA1278" s="59"/>
      <c r="DB1278" s="59"/>
      <c r="DC1278" s="59"/>
      <c r="DD1278" s="59"/>
      <c r="DE1278" s="59"/>
      <c r="DF1278" s="59"/>
      <c r="DG1278" s="59"/>
      <c r="DH1278" s="59"/>
      <c r="DI1278" s="59"/>
      <c r="DJ1278" s="59"/>
      <c r="DK1278" s="59"/>
      <c r="DL1278" s="59"/>
      <c r="DM1278" s="59"/>
      <c r="DN1278" s="59"/>
      <c r="DO1278" s="59"/>
      <c r="DP1278" s="59"/>
      <c r="DQ1278" s="59"/>
      <c r="DR1278" s="59"/>
      <c r="DS1278" s="59"/>
      <c r="DT1278" s="59"/>
      <c r="DU1278" s="59"/>
      <c r="DV1278" s="59"/>
      <c r="DW1278" s="59"/>
      <c r="DX1278" s="59"/>
      <c r="DY1278" s="59"/>
      <c r="DZ1278" s="59"/>
      <c r="EA1278" s="59"/>
      <c r="EB1278" s="59"/>
      <c r="EC1278" s="59"/>
      <c r="ED1278" s="59"/>
      <c r="EE1278" s="59"/>
      <c r="EF1278" s="59"/>
      <c r="EG1278" s="59"/>
      <c r="EH1278" s="59"/>
      <c r="EI1278" s="59"/>
      <c r="EJ1278" s="59"/>
      <c r="EK1278" s="59"/>
      <c r="EL1278" s="59"/>
      <c r="EM1278" s="59"/>
      <c r="EN1278" s="59"/>
      <c r="EO1278" s="59"/>
      <c r="EP1278" s="59"/>
      <c r="EQ1278" s="59"/>
      <c r="ER1278" s="59"/>
      <c r="ES1278" s="59"/>
      <c r="ET1278" s="59"/>
      <c r="EU1278" s="59"/>
      <c r="EV1278" s="59"/>
      <c r="EW1278" s="59"/>
      <c r="EX1278" s="59"/>
      <c r="EY1278" s="59"/>
      <c r="EZ1278" s="59"/>
      <c r="FA1278" s="59"/>
      <c r="FB1278" s="59"/>
      <c r="FC1278" s="59"/>
      <c r="FD1278" s="59"/>
      <c r="FE1278" s="59"/>
      <c r="FF1278" s="59"/>
      <c r="FG1278" s="59"/>
      <c r="FH1278" s="59"/>
      <c r="FI1278" s="59"/>
      <c r="FJ1278" s="59"/>
      <c r="FK1278" s="59"/>
      <c r="FL1278" s="59"/>
      <c r="FM1278" s="59"/>
      <c r="FN1278" s="59"/>
      <c r="FO1278" s="59"/>
      <c r="FP1278" s="59"/>
      <c r="FQ1278" s="59"/>
      <c r="FR1278" s="59"/>
      <c r="FS1278" s="59"/>
      <c r="FT1278" s="59"/>
      <c r="FU1278" s="59"/>
      <c r="FV1278" s="59"/>
      <c r="FW1278" s="59"/>
      <c r="FX1278" s="59"/>
      <c r="FY1278" s="59"/>
      <c r="FZ1278" s="59"/>
      <c r="GA1278" s="59"/>
      <c r="GB1278" s="59"/>
      <c r="GC1278" s="59"/>
    </row>
    <row r="1279">
      <c r="A1279" s="59"/>
      <c r="B1279" s="59"/>
      <c r="C1279" s="59"/>
      <c r="D1279" s="59"/>
      <c r="E1279" s="59"/>
      <c r="F1279" s="59"/>
      <c r="G1279" s="59"/>
      <c r="H1279" s="59"/>
      <c r="I1279" s="59"/>
      <c r="J1279" s="59"/>
      <c r="K1279" s="59"/>
      <c r="L1279" s="59"/>
      <c r="M1279" s="59"/>
      <c r="N1279" s="59"/>
      <c r="O1279" s="59"/>
      <c r="P1279" s="59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  <c r="AD1279" s="59"/>
      <c r="AE1279" s="59"/>
      <c r="AF1279" s="59"/>
      <c r="AG1279" s="59"/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9"/>
      <c r="AY1279" s="59"/>
      <c r="AZ1279" s="59"/>
      <c r="BA1279" s="59"/>
      <c r="BB1279" s="59"/>
      <c r="BC1279" s="59"/>
      <c r="BD1279" s="59"/>
      <c r="BE1279" s="59"/>
      <c r="BF1279" s="59"/>
      <c r="BG1279" s="59"/>
      <c r="BH1279" s="59"/>
      <c r="BI1279" s="59"/>
      <c r="BJ1279" s="59"/>
      <c r="BK1279" s="59"/>
      <c r="BL1279" s="59"/>
      <c r="BM1279" s="59"/>
      <c r="BN1279" s="59"/>
      <c r="BO1279" s="59"/>
      <c r="BP1279" s="59"/>
      <c r="BQ1279" s="59"/>
      <c r="BR1279" s="59"/>
      <c r="BS1279" s="59"/>
      <c r="BT1279" s="59"/>
      <c r="BU1279" s="59"/>
      <c r="BV1279" s="59"/>
      <c r="BW1279" s="59"/>
      <c r="BX1279" s="59"/>
      <c r="BY1279" s="59"/>
      <c r="BZ1279" s="59"/>
      <c r="CA1279" s="59"/>
      <c r="CB1279" s="59"/>
      <c r="CC1279" s="59"/>
      <c r="CD1279" s="59"/>
      <c r="CE1279" s="59"/>
      <c r="CF1279" s="59"/>
      <c r="CG1279" s="59"/>
      <c r="CH1279" s="59"/>
      <c r="CI1279" s="59"/>
      <c r="CJ1279" s="59"/>
      <c r="CK1279" s="59"/>
      <c r="CL1279" s="59"/>
      <c r="CM1279" s="59"/>
      <c r="CN1279" s="59"/>
      <c r="CO1279" s="59"/>
      <c r="CP1279" s="59"/>
      <c r="CQ1279" s="59"/>
      <c r="CR1279" s="59"/>
      <c r="CS1279" s="59"/>
      <c r="CT1279" s="59"/>
      <c r="CU1279" s="59"/>
      <c r="CV1279" s="59"/>
      <c r="CW1279" s="59"/>
      <c r="CX1279" s="59"/>
      <c r="CY1279" s="59"/>
      <c r="CZ1279" s="59"/>
      <c r="DA1279" s="59"/>
      <c r="DB1279" s="59"/>
      <c r="DC1279" s="59"/>
      <c r="DD1279" s="59"/>
      <c r="DE1279" s="59"/>
      <c r="DF1279" s="59"/>
      <c r="DG1279" s="59"/>
      <c r="DH1279" s="59"/>
      <c r="DI1279" s="59"/>
      <c r="DJ1279" s="59"/>
      <c r="DK1279" s="59"/>
      <c r="DL1279" s="59"/>
      <c r="DM1279" s="59"/>
      <c r="DN1279" s="59"/>
      <c r="DO1279" s="59"/>
      <c r="DP1279" s="59"/>
      <c r="DQ1279" s="59"/>
      <c r="DR1279" s="59"/>
      <c r="DS1279" s="59"/>
      <c r="DT1279" s="59"/>
      <c r="DU1279" s="59"/>
      <c r="DV1279" s="59"/>
      <c r="DW1279" s="59"/>
      <c r="DX1279" s="59"/>
      <c r="DY1279" s="59"/>
      <c r="DZ1279" s="59"/>
      <c r="EA1279" s="59"/>
      <c r="EB1279" s="59"/>
      <c r="EC1279" s="59"/>
      <c r="ED1279" s="59"/>
      <c r="EE1279" s="59"/>
      <c r="EF1279" s="59"/>
      <c r="EG1279" s="59"/>
      <c r="EH1279" s="59"/>
      <c r="EI1279" s="59"/>
      <c r="EJ1279" s="59"/>
      <c r="EK1279" s="59"/>
      <c r="EL1279" s="59"/>
      <c r="EM1279" s="59"/>
      <c r="EN1279" s="59"/>
      <c r="EO1279" s="59"/>
      <c r="EP1279" s="59"/>
      <c r="EQ1279" s="59"/>
      <c r="ER1279" s="59"/>
      <c r="ES1279" s="59"/>
      <c r="ET1279" s="59"/>
      <c r="EU1279" s="59"/>
      <c r="EV1279" s="59"/>
      <c r="EW1279" s="59"/>
      <c r="EX1279" s="59"/>
      <c r="EY1279" s="59"/>
      <c r="EZ1279" s="59"/>
      <c r="FA1279" s="59"/>
      <c r="FB1279" s="59"/>
      <c r="FC1279" s="59"/>
      <c r="FD1279" s="59"/>
      <c r="FE1279" s="59"/>
      <c r="FF1279" s="59"/>
      <c r="FG1279" s="59"/>
      <c r="FH1279" s="59"/>
      <c r="FI1279" s="59"/>
      <c r="FJ1279" s="59"/>
      <c r="FK1279" s="59"/>
      <c r="FL1279" s="59"/>
      <c r="FM1279" s="59"/>
      <c r="FN1279" s="59"/>
      <c r="FO1279" s="59"/>
      <c r="FP1279" s="59"/>
      <c r="FQ1279" s="59"/>
      <c r="FR1279" s="59"/>
      <c r="FS1279" s="59"/>
      <c r="FT1279" s="59"/>
      <c r="FU1279" s="59"/>
      <c r="FV1279" s="59"/>
      <c r="FW1279" s="59"/>
      <c r="FX1279" s="59"/>
      <c r="FY1279" s="59"/>
      <c r="FZ1279" s="59"/>
      <c r="GA1279" s="59"/>
      <c r="GB1279" s="59"/>
      <c r="GC1279" s="59"/>
    </row>
    <row r="1280">
      <c r="A1280" s="59"/>
      <c r="B1280" s="59"/>
      <c r="C1280" s="59"/>
      <c r="D1280" s="59"/>
      <c r="E1280" s="59"/>
      <c r="F1280" s="59"/>
      <c r="G1280" s="59"/>
      <c r="H1280" s="59"/>
      <c r="I1280" s="59"/>
      <c r="J1280" s="59"/>
      <c r="K1280" s="59"/>
      <c r="L1280" s="59"/>
      <c r="M1280" s="59"/>
      <c r="N1280" s="59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/>
      <c r="AY1280" s="59"/>
      <c r="AZ1280" s="59"/>
      <c r="BA1280" s="59"/>
      <c r="BB1280" s="59"/>
      <c r="BC1280" s="59"/>
      <c r="BD1280" s="59"/>
      <c r="BE1280" s="59"/>
      <c r="BF1280" s="59"/>
      <c r="BG1280" s="59"/>
      <c r="BH1280" s="59"/>
      <c r="BI1280" s="59"/>
      <c r="BJ1280" s="59"/>
      <c r="BK1280" s="59"/>
      <c r="BL1280" s="59"/>
      <c r="BM1280" s="59"/>
      <c r="BN1280" s="59"/>
      <c r="BO1280" s="59"/>
      <c r="BP1280" s="59"/>
      <c r="BQ1280" s="59"/>
      <c r="BR1280" s="59"/>
      <c r="BS1280" s="59"/>
      <c r="BT1280" s="59"/>
      <c r="BU1280" s="59"/>
      <c r="BV1280" s="59"/>
      <c r="BW1280" s="59"/>
      <c r="BX1280" s="59"/>
      <c r="BY1280" s="59"/>
      <c r="BZ1280" s="59"/>
      <c r="CA1280" s="59"/>
      <c r="CB1280" s="59"/>
      <c r="CC1280" s="59"/>
      <c r="CD1280" s="59"/>
      <c r="CE1280" s="59"/>
      <c r="CF1280" s="59"/>
      <c r="CG1280" s="59"/>
      <c r="CH1280" s="59"/>
      <c r="CI1280" s="59"/>
      <c r="CJ1280" s="59"/>
      <c r="CK1280" s="59"/>
      <c r="CL1280" s="59"/>
      <c r="CM1280" s="59"/>
      <c r="CN1280" s="59"/>
      <c r="CO1280" s="59"/>
      <c r="CP1280" s="59"/>
      <c r="CQ1280" s="59"/>
      <c r="CR1280" s="59"/>
      <c r="CS1280" s="59"/>
      <c r="CT1280" s="59"/>
      <c r="CU1280" s="59"/>
      <c r="CV1280" s="59"/>
      <c r="CW1280" s="59"/>
      <c r="CX1280" s="59"/>
      <c r="CY1280" s="59"/>
      <c r="CZ1280" s="59"/>
      <c r="DA1280" s="59"/>
      <c r="DB1280" s="59"/>
      <c r="DC1280" s="59"/>
      <c r="DD1280" s="59"/>
      <c r="DE1280" s="59"/>
      <c r="DF1280" s="59"/>
      <c r="DG1280" s="59"/>
      <c r="DH1280" s="59"/>
      <c r="DI1280" s="59"/>
      <c r="DJ1280" s="59"/>
      <c r="DK1280" s="59"/>
      <c r="DL1280" s="59"/>
      <c r="DM1280" s="59"/>
      <c r="DN1280" s="59"/>
      <c r="DO1280" s="59"/>
      <c r="DP1280" s="59"/>
      <c r="DQ1280" s="59"/>
      <c r="DR1280" s="59"/>
      <c r="DS1280" s="59"/>
      <c r="DT1280" s="59"/>
      <c r="DU1280" s="59"/>
      <c r="DV1280" s="59"/>
      <c r="DW1280" s="59"/>
      <c r="DX1280" s="59"/>
      <c r="DY1280" s="59"/>
      <c r="DZ1280" s="59"/>
      <c r="EA1280" s="59"/>
      <c r="EB1280" s="59"/>
      <c r="EC1280" s="59"/>
      <c r="ED1280" s="59"/>
      <c r="EE1280" s="59"/>
      <c r="EF1280" s="59"/>
      <c r="EG1280" s="59"/>
      <c r="EH1280" s="59"/>
      <c r="EI1280" s="59"/>
      <c r="EJ1280" s="59"/>
      <c r="EK1280" s="59"/>
      <c r="EL1280" s="59"/>
      <c r="EM1280" s="59"/>
      <c r="EN1280" s="59"/>
      <c r="EO1280" s="59"/>
      <c r="EP1280" s="59"/>
      <c r="EQ1280" s="59"/>
      <c r="ER1280" s="59"/>
      <c r="ES1280" s="59"/>
      <c r="ET1280" s="59"/>
      <c r="EU1280" s="59"/>
      <c r="EV1280" s="59"/>
      <c r="EW1280" s="59"/>
      <c r="EX1280" s="59"/>
      <c r="EY1280" s="59"/>
      <c r="EZ1280" s="59"/>
      <c r="FA1280" s="59"/>
      <c r="FB1280" s="59"/>
      <c r="FC1280" s="59"/>
      <c r="FD1280" s="59"/>
      <c r="FE1280" s="59"/>
      <c r="FF1280" s="59"/>
      <c r="FG1280" s="59"/>
      <c r="FH1280" s="59"/>
      <c r="FI1280" s="59"/>
      <c r="FJ1280" s="59"/>
      <c r="FK1280" s="59"/>
      <c r="FL1280" s="59"/>
      <c r="FM1280" s="59"/>
      <c r="FN1280" s="59"/>
      <c r="FO1280" s="59"/>
      <c r="FP1280" s="59"/>
      <c r="FQ1280" s="59"/>
      <c r="FR1280" s="59"/>
      <c r="FS1280" s="59"/>
      <c r="FT1280" s="59"/>
      <c r="FU1280" s="59"/>
      <c r="FV1280" s="59"/>
      <c r="FW1280" s="59"/>
      <c r="FX1280" s="59"/>
      <c r="FY1280" s="59"/>
      <c r="FZ1280" s="59"/>
      <c r="GA1280" s="59"/>
      <c r="GB1280" s="59"/>
      <c r="GC1280" s="59"/>
    </row>
    <row r="1281">
      <c r="A1281" s="59"/>
      <c r="B1281" s="59"/>
      <c r="C1281" s="59"/>
      <c r="D1281" s="59"/>
      <c r="E1281" s="59"/>
      <c r="F1281" s="59"/>
      <c r="G1281" s="59"/>
      <c r="H1281" s="59"/>
      <c r="I1281" s="59"/>
      <c r="J1281" s="59"/>
      <c r="K1281" s="59"/>
      <c r="L1281" s="59"/>
      <c r="M1281" s="59"/>
      <c r="N1281" s="59"/>
      <c r="O1281" s="59"/>
      <c r="P1281" s="59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  <c r="AD1281" s="59"/>
      <c r="AE1281" s="59"/>
      <c r="AF1281" s="59"/>
      <c r="AG1281" s="59"/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9"/>
      <c r="AY1281" s="59"/>
      <c r="AZ1281" s="59"/>
      <c r="BA1281" s="59"/>
      <c r="BB1281" s="59"/>
      <c r="BC1281" s="59"/>
      <c r="BD1281" s="59"/>
      <c r="BE1281" s="59"/>
      <c r="BF1281" s="59"/>
      <c r="BG1281" s="59"/>
      <c r="BH1281" s="59"/>
      <c r="BI1281" s="59"/>
      <c r="BJ1281" s="59"/>
      <c r="BK1281" s="59"/>
      <c r="BL1281" s="59"/>
      <c r="BM1281" s="59"/>
      <c r="BN1281" s="59"/>
      <c r="BO1281" s="59"/>
      <c r="BP1281" s="59"/>
      <c r="BQ1281" s="59"/>
      <c r="BR1281" s="59"/>
      <c r="BS1281" s="59"/>
      <c r="BT1281" s="59"/>
      <c r="BU1281" s="59"/>
      <c r="BV1281" s="59"/>
      <c r="BW1281" s="59"/>
      <c r="BX1281" s="59"/>
      <c r="BY1281" s="59"/>
      <c r="BZ1281" s="59"/>
      <c r="CA1281" s="59"/>
      <c r="CB1281" s="59"/>
      <c r="CC1281" s="59"/>
      <c r="CD1281" s="59"/>
      <c r="CE1281" s="59"/>
      <c r="CF1281" s="59"/>
      <c r="CG1281" s="59"/>
      <c r="CH1281" s="59"/>
      <c r="CI1281" s="59"/>
      <c r="CJ1281" s="59"/>
      <c r="CK1281" s="59"/>
      <c r="CL1281" s="59"/>
      <c r="CM1281" s="59"/>
      <c r="CN1281" s="59"/>
      <c r="CO1281" s="59"/>
      <c r="CP1281" s="59"/>
      <c r="CQ1281" s="59"/>
      <c r="CR1281" s="59"/>
      <c r="CS1281" s="59"/>
      <c r="CT1281" s="59"/>
      <c r="CU1281" s="59"/>
      <c r="CV1281" s="59"/>
      <c r="CW1281" s="59"/>
      <c r="CX1281" s="59"/>
      <c r="CY1281" s="59"/>
      <c r="CZ1281" s="59"/>
      <c r="DA1281" s="59"/>
      <c r="DB1281" s="59"/>
      <c r="DC1281" s="59"/>
      <c r="DD1281" s="59"/>
      <c r="DE1281" s="59"/>
      <c r="DF1281" s="59"/>
      <c r="DG1281" s="59"/>
      <c r="DH1281" s="59"/>
      <c r="DI1281" s="59"/>
      <c r="DJ1281" s="59"/>
      <c r="DK1281" s="59"/>
      <c r="DL1281" s="59"/>
      <c r="DM1281" s="59"/>
      <c r="DN1281" s="59"/>
      <c r="DO1281" s="59"/>
      <c r="DP1281" s="59"/>
      <c r="DQ1281" s="59"/>
      <c r="DR1281" s="59"/>
      <c r="DS1281" s="59"/>
      <c r="DT1281" s="59"/>
      <c r="DU1281" s="59"/>
      <c r="DV1281" s="59"/>
      <c r="DW1281" s="59"/>
      <c r="DX1281" s="59"/>
      <c r="DY1281" s="59"/>
      <c r="DZ1281" s="59"/>
      <c r="EA1281" s="59"/>
      <c r="EB1281" s="59"/>
      <c r="EC1281" s="59"/>
      <c r="ED1281" s="59"/>
      <c r="EE1281" s="59"/>
      <c r="EF1281" s="59"/>
      <c r="EG1281" s="59"/>
      <c r="EH1281" s="59"/>
      <c r="EI1281" s="59"/>
      <c r="EJ1281" s="59"/>
      <c r="EK1281" s="59"/>
      <c r="EL1281" s="59"/>
      <c r="EM1281" s="59"/>
      <c r="EN1281" s="59"/>
      <c r="EO1281" s="59"/>
      <c r="EP1281" s="59"/>
      <c r="EQ1281" s="59"/>
      <c r="ER1281" s="59"/>
      <c r="ES1281" s="59"/>
      <c r="ET1281" s="59"/>
      <c r="EU1281" s="59"/>
      <c r="EV1281" s="59"/>
      <c r="EW1281" s="59"/>
      <c r="EX1281" s="59"/>
      <c r="EY1281" s="59"/>
      <c r="EZ1281" s="59"/>
      <c r="FA1281" s="59"/>
      <c r="FB1281" s="59"/>
      <c r="FC1281" s="59"/>
      <c r="FD1281" s="59"/>
      <c r="FE1281" s="59"/>
      <c r="FF1281" s="59"/>
      <c r="FG1281" s="59"/>
      <c r="FH1281" s="59"/>
      <c r="FI1281" s="59"/>
      <c r="FJ1281" s="59"/>
      <c r="FK1281" s="59"/>
      <c r="FL1281" s="59"/>
      <c r="FM1281" s="59"/>
      <c r="FN1281" s="59"/>
      <c r="FO1281" s="59"/>
      <c r="FP1281" s="59"/>
      <c r="FQ1281" s="59"/>
      <c r="FR1281" s="59"/>
      <c r="FS1281" s="59"/>
      <c r="FT1281" s="59"/>
      <c r="FU1281" s="59"/>
      <c r="FV1281" s="59"/>
      <c r="FW1281" s="59"/>
      <c r="FX1281" s="59"/>
      <c r="FY1281" s="59"/>
      <c r="FZ1281" s="59"/>
      <c r="GA1281" s="59"/>
      <c r="GB1281" s="59"/>
      <c r="GC1281" s="59"/>
    </row>
    <row r="1282">
      <c r="A1282" s="59"/>
      <c r="B1282" s="59"/>
      <c r="C1282" s="59"/>
      <c r="D1282" s="59"/>
      <c r="E1282" s="59"/>
      <c r="F1282" s="59"/>
      <c r="G1282" s="59"/>
      <c r="H1282" s="59"/>
      <c r="I1282" s="59"/>
      <c r="J1282" s="59"/>
      <c r="K1282" s="59"/>
      <c r="L1282" s="59"/>
      <c r="M1282" s="59"/>
      <c r="N1282" s="59"/>
      <c r="O1282" s="59"/>
      <c r="P1282" s="59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9"/>
      <c r="AY1282" s="59"/>
      <c r="AZ1282" s="59"/>
      <c r="BA1282" s="59"/>
      <c r="BB1282" s="59"/>
      <c r="BC1282" s="59"/>
      <c r="BD1282" s="59"/>
      <c r="BE1282" s="59"/>
      <c r="BF1282" s="59"/>
      <c r="BG1282" s="59"/>
      <c r="BH1282" s="59"/>
      <c r="BI1282" s="59"/>
      <c r="BJ1282" s="59"/>
      <c r="BK1282" s="59"/>
      <c r="BL1282" s="59"/>
      <c r="BM1282" s="59"/>
      <c r="BN1282" s="59"/>
      <c r="BO1282" s="59"/>
      <c r="BP1282" s="59"/>
      <c r="BQ1282" s="59"/>
      <c r="BR1282" s="59"/>
      <c r="BS1282" s="59"/>
      <c r="BT1282" s="59"/>
      <c r="BU1282" s="59"/>
      <c r="BV1282" s="59"/>
      <c r="BW1282" s="59"/>
      <c r="BX1282" s="59"/>
      <c r="BY1282" s="59"/>
      <c r="BZ1282" s="59"/>
      <c r="CA1282" s="59"/>
      <c r="CB1282" s="59"/>
      <c r="CC1282" s="59"/>
      <c r="CD1282" s="59"/>
      <c r="CE1282" s="59"/>
      <c r="CF1282" s="59"/>
      <c r="CG1282" s="59"/>
      <c r="CH1282" s="59"/>
      <c r="CI1282" s="59"/>
      <c r="CJ1282" s="59"/>
      <c r="CK1282" s="59"/>
      <c r="CL1282" s="59"/>
      <c r="CM1282" s="59"/>
      <c r="CN1282" s="59"/>
      <c r="CO1282" s="59"/>
      <c r="CP1282" s="59"/>
      <c r="CQ1282" s="59"/>
      <c r="CR1282" s="59"/>
      <c r="CS1282" s="59"/>
      <c r="CT1282" s="59"/>
      <c r="CU1282" s="59"/>
      <c r="CV1282" s="59"/>
      <c r="CW1282" s="59"/>
      <c r="CX1282" s="59"/>
      <c r="CY1282" s="59"/>
      <c r="CZ1282" s="59"/>
      <c r="DA1282" s="59"/>
      <c r="DB1282" s="59"/>
      <c r="DC1282" s="59"/>
      <c r="DD1282" s="59"/>
      <c r="DE1282" s="59"/>
      <c r="DF1282" s="59"/>
      <c r="DG1282" s="59"/>
      <c r="DH1282" s="59"/>
      <c r="DI1282" s="59"/>
      <c r="DJ1282" s="59"/>
      <c r="DK1282" s="59"/>
      <c r="DL1282" s="59"/>
      <c r="DM1282" s="59"/>
      <c r="DN1282" s="59"/>
      <c r="DO1282" s="59"/>
      <c r="DP1282" s="59"/>
      <c r="DQ1282" s="59"/>
      <c r="DR1282" s="59"/>
      <c r="DS1282" s="59"/>
      <c r="DT1282" s="59"/>
      <c r="DU1282" s="59"/>
      <c r="DV1282" s="59"/>
      <c r="DW1282" s="59"/>
      <c r="DX1282" s="59"/>
      <c r="DY1282" s="59"/>
      <c r="DZ1282" s="59"/>
      <c r="EA1282" s="59"/>
      <c r="EB1282" s="59"/>
      <c r="EC1282" s="59"/>
      <c r="ED1282" s="59"/>
      <c r="EE1282" s="59"/>
      <c r="EF1282" s="59"/>
      <c r="EG1282" s="59"/>
      <c r="EH1282" s="59"/>
      <c r="EI1282" s="59"/>
      <c r="EJ1282" s="59"/>
      <c r="EK1282" s="59"/>
      <c r="EL1282" s="59"/>
      <c r="EM1282" s="59"/>
      <c r="EN1282" s="59"/>
      <c r="EO1282" s="59"/>
      <c r="EP1282" s="59"/>
      <c r="EQ1282" s="59"/>
      <c r="ER1282" s="59"/>
      <c r="ES1282" s="59"/>
      <c r="ET1282" s="59"/>
      <c r="EU1282" s="59"/>
      <c r="EV1282" s="59"/>
      <c r="EW1282" s="59"/>
      <c r="EX1282" s="59"/>
      <c r="EY1282" s="59"/>
      <c r="EZ1282" s="59"/>
      <c r="FA1282" s="59"/>
      <c r="FB1282" s="59"/>
      <c r="FC1282" s="59"/>
      <c r="FD1282" s="59"/>
      <c r="FE1282" s="59"/>
      <c r="FF1282" s="59"/>
      <c r="FG1282" s="59"/>
      <c r="FH1282" s="59"/>
      <c r="FI1282" s="59"/>
      <c r="FJ1282" s="59"/>
      <c r="FK1282" s="59"/>
      <c r="FL1282" s="59"/>
      <c r="FM1282" s="59"/>
      <c r="FN1282" s="59"/>
      <c r="FO1282" s="59"/>
      <c r="FP1282" s="59"/>
      <c r="FQ1282" s="59"/>
      <c r="FR1282" s="59"/>
      <c r="FS1282" s="59"/>
      <c r="FT1282" s="59"/>
      <c r="FU1282" s="59"/>
      <c r="FV1282" s="59"/>
      <c r="FW1282" s="59"/>
      <c r="FX1282" s="59"/>
      <c r="FY1282" s="59"/>
      <c r="FZ1282" s="59"/>
      <c r="GA1282" s="59"/>
      <c r="GB1282" s="59"/>
      <c r="GC1282" s="59"/>
    </row>
    <row r="1283">
      <c r="A1283" s="59"/>
      <c r="B1283" s="59"/>
      <c r="C1283" s="59"/>
      <c r="D1283" s="59"/>
      <c r="E1283" s="59"/>
      <c r="F1283" s="59"/>
      <c r="G1283" s="59"/>
      <c r="H1283" s="59"/>
      <c r="I1283" s="59"/>
      <c r="J1283" s="59"/>
      <c r="K1283" s="59"/>
      <c r="L1283" s="59"/>
      <c r="M1283" s="59"/>
      <c r="N1283" s="59"/>
      <c r="O1283" s="59"/>
      <c r="P1283" s="59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  <c r="AD1283" s="59"/>
      <c r="AE1283" s="59"/>
      <c r="AF1283" s="59"/>
      <c r="AG1283" s="59"/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/>
      <c r="AY1283" s="59"/>
      <c r="AZ1283" s="59"/>
      <c r="BA1283" s="59"/>
      <c r="BB1283" s="59"/>
      <c r="BC1283" s="59"/>
      <c r="BD1283" s="59"/>
      <c r="BE1283" s="59"/>
      <c r="BF1283" s="59"/>
      <c r="BG1283" s="59"/>
      <c r="BH1283" s="59"/>
      <c r="BI1283" s="59"/>
      <c r="BJ1283" s="59"/>
      <c r="BK1283" s="59"/>
      <c r="BL1283" s="59"/>
      <c r="BM1283" s="59"/>
      <c r="BN1283" s="59"/>
      <c r="BO1283" s="59"/>
      <c r="BP1283" s="59"/>
      <c r="BQ1283" s="59"/>
      <c r="BR1283" s="59"/>
      <c r="BS1283" s="59"/>
      <c r="BT1283" s="59"/>
      <c r="BU1283" s="59"/>
      <c r="BV1283" s="59"/>
      <c r="BW1283" s="59"/>
      <c r="BX1283" s="59"/>
      <c r="BY1283" s="59"/>
      <c r="BZ1283" s="59"/>
      <c r="CA1283" s="59"/>
      <c r="CB1283" s="59"/>
      <c r="CC1283" s="59"/>
      <c r="CD1283" s="59"/>
      <c r="CE1283" s="59"/>
      <c r="CF1283" s="59"/>
      <c r="CG1283" s="59"/>
      <c r="CH1283" s="59"/>
      <c r="CI1283" s="59"/>
      <c r="CJ1283" s="59"/>
      <c r="CK1283" s="59"/>
      <c r="CL1283" s="59"/>
      <c r="CM1283" s="59"/>
      <c r="CN1283" s="59"/>
      <c r="CO1283" s="59"/>
      <c r="CP1283" s="59"/>
      <c r="CQ1283" s="59"/>
      <c r="CR1283" s="59"/>
      <c r="CS1283" s="59"/>
      <c r="CT1283" s="59"/>
      <c r="CU1283" s="59"/>
      <c r="CV1283" s="59"/>
      <c r="CW1283" s="59"/>
      <c r="CX1283" s="59"/>
      <c r="CY1283" s="59"/>
      <c r="CZ1283" s="59"/>
      <c r="DA1283" s="59"/>
      <c r="DB1283" s="59"/>
      <c r="DC1283" s="59"/>
      <c r="DD1283" s="59"/>
      <c r="DE1283" s="59"/>
      <c r="DF1283" s="59"/>
      <c r="DG1283" s="59"/>
      <c r="DH1283" s="59"/>
      <c r="DI1283" s="59"/>
      <c r="DJ1283" s="59"/>
      <c r="DK1283" s="59"/>
      <c r="DL1283" s="59"/>
      <c r="DM1283" s="59"/>
      <c r="DN1283" s="59"/>
      <c r="DO1283" s="59"/>
      <c r="DP1283" s="59"/>
      <c r="DQ1283" s="59"/>
      <c r="DR1283" s="59"/>
      <c r="DS1283" s="59"/>
      <c r="DT1283" s="59"/>
      <c r="DU1283" s="59"/>
      <c r="DV1283" s="59"/>
      <c r="DW1283" s="59"/>
      <c r="DX1283" s="59"/>
      <c r="DY1283" s="59"/>
      <c r="DZ1283" s="59"/>
      <c r="EA1283" s="59"/>
      <c r="EB1283" s="59"/>
      <c r="EC1283" s="59"/>
      <c r="ED1283" s="59"/>
      <c r="EE1283" s="59"/>
      <c r="EF1283" s="59"/>
      <c r="EG1283" s="59"/>
      <c r="EH1283" s="59"/>
      <c r="EI1283" s="59"/>
      <c r="EJ1283" s="59"/>
      <c r="EK1283" s="59"/>
      <c r="EL1283" s="59"/>
      <c r="EM1283" s="59"/>
      <c r="EN1283" s="59"/>
      <c r="EO1283" s="59"/>
      <c r="EP1283" s="59"/>
      <c r="EQ1283" s="59"/>
      <c r="ER1283" s="59"/>
      <c r="ES1283" s="59"/>
      <c r="ET1283" s="59"/>
      <c r="EU1283" s="59"/>
      <c r="EV1283" s="59"/>
      <c r="EW1283" s="59"/>
      <c r="EX1283" s="59"/>
      <c r="EY1283" s="59"/>
      <c r="EZ1283" s="59"/>
      <c r="FA1283" s="59"/>
      <c r="FB1283" s="59"/>
      <c r="FC1283" s="59"/>
      <c r="FD1283" s="59"/>
      <c r="FE1283" s="59"/>
      <c r="FF1283" s="59"/>
      <c r="FG1283" s="59"/>
      <c r="FH1283" s="59"/>
      <c r="FI1283" s="59"/>
      <c r="FJ1283" s="59"/>
      <c r="FK1283" s="59"/>
      <c r="FL1283" s="59"/>
      <c r="FM1283" s="59"/>
      <c r="FN1283" s="59"/>
      <c r="FO1283" s="59"/>
      <c r="FP1283" s="59"/>
      <c r="FQ1283" s="59"/>
      <c r="FR1283" s="59"/>
      <c r="FS1283" s="59"/>
      <c r="FT1283" s="59"/>
      <c r="FU1283" s="59"/>
      <c r="FV1283" s="59"/>
      <c r="FW1283" s="59"/>
      <c r="FX1283" s="59"/>
      <c r="FY1283" s="59"/>
      <c r="FZ1283" s="59"/>
      <c r="GA1283" s="59"/>
      <c r="GB1283" s="59"/>
      <c r="GC1283" s="59"/>
    </row>
    <row r="1284">
      <c r="A1284" s="59"/>
      <c r="B1284" s="59"/>
      <c r="C1284" s="59"/>
      <c r="D1284" s="59"/>
      <c r="E1284" s="59"/>
      <c r="F1284" s="59"/>
      <c r="G1284" s="59"/>
      <c r="H1284" s="59"/>
      <c r="I1284" s="59"/>
      <c r="J1284" s="59"/>
      <c r="K1284" s="59"/>
      <c r="L1284" s="59"/>
      <c r="M1284" s="59"/>
      <c r="N1284" s="59"/>
      <c r="O1284" s="59"/>
      <c r="P1284" s="59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59"/>
      <c r="AU1284" s="59"/>
      <c r="AV1284" s="59"/>
      <c r="AW1284" s="59"/>
      <c r="AX1284" s="59"/>
      <c r="AY1284" s="59"/>
      <c r="AZ1284" s="59"/>
      <c r="BA1284" s="59"/>
      <c r="BB1284" s="59"/>
      <c r="BC1284" s="59"/>
      <c r="BD1284" s="59"/>
      <c r="BE1284" s="59"/>
      <c r="BF1284" s="59"/>
      <c r="BG1284" s="59"/>
      <c r="BH1284" s="59"/>
      <c r="BI1284" s="59"/>
      <c r="BJ1284" s="59"/>
      <c r="BK1284" s="59"/>
      <c r="BL1284" s="59"/>
      <c r="BM1284" s="59"/>
      <c r="BN1284" s="59"/>
      <c r="BO1284" s="59"/>
      <c r="BP1284" s="59"/>
      <c r="BQ1284" s="59"/>
      <c r="BR1284" s="59"/>
      <c r="BS1284" s="59"/>
      <c r="BT1284" s="59"/>
      <c r="BU1284" s="59"/>
      <c r="BV1284" s="59"/>
      <c r="BW1284" s="59"/>
      <c r="BX1284" s="59"/>
      <c r="BY1284" s="59"/>
      <c r="BZ1284" s="59"/>
      <c r="CA1284" s="59"/>
      <c r="CB1284" s="59"/>
      <c r="CC1284" s="59"/>
      <c r="CD1284" s="59"/>
      <c r="CE1284" s="59"/>
      <c r="CF1284" s="59"/>
      <c r="CG1284" s="59"/>
      <c r="CH1284" s="59"/>
      <c r="CI1284" s="59"/>
      <c r="CJ1284" s="59"/>
      <c r="CK1284" s="59"/>
      <c r="CL1284" s="59"/>
      <c r="CM1284" s="59"/>
      <c r="CN1284" s="59"/>
      <c r="CO1284" s="59"/>
      <c r="CP1284" s="59"/>
      <c r="CQ1284" s="59"/>
      <c r="CR1284" s="59"/>
      <c r="CS1284" s="59"/>
      <c r="CT1284" s="59"/>
      <c r="CU1284" s="59"/>
      <c r="CV1284" s="59"/>
      <c r="CW1284" s="59"/>
      <c r="CX1284" s="59"/>
      <c r="CY1284" s="59"/>
      <c r="CZ1284" s="59"/>
      <c r="DA1284" s="59"/>
      <c r="DB1284" s="59"/>
      <c r="DC1284" s="59"/>
      <c r="DD1284" s="59"/>
      <c r="DE1284" s="59"/>
      <c r="DF1284" s="59"/>
      <c r="DG1284" s="59"/>
      <c r="DH1284" s="59"/>
      <c r="DI1284" s="59"/>
      <c r="DJ1284" s="59"/>
      <c r="DK1284" s="59"/>
      <c r="DL1284" s="59"/>
      <c r="DM1284" s="59"/>
      <c r="DN1284" s="59"/>
      <c r="DO1284" s="59"/>
      <c r="DP1284" s="59"/>
      <c r="DQ1284" s="59"/>
      <c r="DR1284" s="59"/>
      <c r="DS1284" s="59"/>
      <c r="DT1284" s="59"/>
      <c r="DU1284" s="59"/>
      <c r="DV1284" s="59"/>
      <c r="DW1284" s="59"/>
      <c r="DX1284" s="59"/>
      <c r="DY1284" s="59"/>
      <c r="DZ1284" s="59"/>
      <c r="EA1284" s="59"/>
      <c r="EB1284" s="59"/>
      <c r="EC1284" s="59"/>
      <c r="ED1284" s="59"/>
      <c r="EE1284" s="59"/>
      <c r="EF1284" s="59"/>
      <c r="EG1284" s="59"/>
      <c r="EH1284" s="59"/>
      <c r="EI1284" s="59"/>
      <c r="EJ1284" s="59"/>
      <c r="EK1284" s="59"/>
      <c r="EL1284" s="59"/>
      <c r="EM1284" s="59"/>
      <c r="EN1284" s="59"/>
      <c r="EO1284" s="59"/>
      <c r="EP1284" s="59"/>
      <c r="EQ1284" s="59"/>
      <c r="ER1284" s="59"/>
      <c r="ES1284" s="59"/>
      <c r="ET1284" s="59"/>
      <c r="EU1284" s="59"/>
      <c r="EV1284" s="59"/>
      <c r="EW1284" s="59"/>
      <c r="EX1284" s="59"/>
      <c r="EY1284" s="59"/>
      <c r="EZ1284" s="59"/>
      <c r="FA1284" s="59"/>
      <c r="FB1284" s="59"/>
      <c r="FC1284" s="59"/>
      <c r="FD1284" s="59"/>
      <c r="FE1284" s="59"/>
      <c r="FF1284" s="59"/>
      <c r="FG1284" s="59"/>
      <c r="FH1284" s="59"/>
      <c r="FI1284" s="59"/>
      <c r="FJ1284" s="59"/>
      <c r="FK1284" s="59"/>
      <c r="FL1284" s="59"/>
      <c r="FM1284" s="59"/>
      <c r="FN1284" s="59"/>
      <c r="FO1284" s="59"/>
      <c r="FP1284" s="59"/>
      <c r="FQ1284" s="59"/>
      <c r="FR1284" s="59"/>
      <c r="FS1284" s="59"/>
      <c r="FT1284" s="59"/>
      <c r="FU1284" s="59"/>
      <c r="FV1284" s="59"/>
      <c r="FW1284" s="59"/>
      <c r="FX1284" s="59"/>
      <c r="FY1284" s="59"/>
      <c r="FZ1284" s="59"/>
      <c r="GA1284" s="59"/>
      <c r="GB1284" s="59"/>
      <c r="GC1284" s="59"/>
    </row>
    <row r="1285">
      <c r="A1285" s="59"/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/>
      <c r="AY1285" s="59"/>
      <c r="AZ1285" s="59"/>
      <c r="BA1285" s="59"/>
      <c r="BB1285" s="59"/>
      <c r="BC1285" s="59"/>
      <c r="BD1285" s="59"/>
      <c r="BE1285" s="59"/>
      <c r="BF1285" s="59"/>
      <c r="BG1285" s="59"/>
      <c r="BH1285" s="59"/>
      <c r="BI1285" s="59"/>
      <c r="BJ1285" s="59"/>
      <c r="BK1285" s="59"/>
      <c r="BL1285" s="59"/>
      <c r="BM1285" s="59"/>
      <c r="BN1285" s="59"/>
      <c r="BO1285" s="59"/>
      <c r="BP1285" s="59"/>
      <c r="BQ1285" s="59"/>
      <c r="BR1285" s="59"/>
      <c r="BS1285" s="59"/>
      <c r="BT1285" s="59"/>
      <c r="BU1285" s="59"/>
      <c r="BV1285" s="59"/>
      <c r="BW1285" s="59"/>
      <c r="BX1285" s="59"/>
      <c r="BY1285" s="59"/>
      <c r="BZ1285" s="59"/>
      <c r="CA1285" s="59"/>
      <c r="CB1285" s="59"/>
      <c r="CC1285" s="59"/>
      <c r="CD1285" s="59"/>
      <c r="CE1285" s="59"/>
      <c r="CF1285" s="59"/>
      <c r="CG1285" s="59"/>
      <c r="CH1285" s="59"/>
      <c r="CI1285" s="59"/>
      <c r="CJ1285" s="59"/>
      <c r="CK1285" s="59"/>
      <c r="CL1285" s="59"/>
      <c r="CM1285" s="59"/>
      <c r="CN1285" s="59"/>
      <c r="CO1285" s="59"/>
      <c r="CP1285" s="59"/>
      <c r="CQ1285" s="59"/>
      <c r="CR1285" s="59"/>
      <c r="CS1285" s="59"/>
      <c r="CT1285" s="59"/>
      <c r="CU1285" s="59"/>
      <c r="CV1285" s="59"/>
      <c r="CW1285" s="59"/>
      <c r="CX1285" s="59"/>
      <c r="CY1285" s="59"/>
      <c r="CZ1285" s="59"/>
      <c r="DA1285" s="59"/>
      <c r="DB1285" s="59"/>
      <c r="DC1285" s="59"/>
      <c r="DD1285" s="59"/>
      <c r="DE1285" s="59"/>
      <c r="DF1285" s="59"/>
      <c r="DG1285" s="59"/>
      <c r="DH1285" s="59"/>
      <c r="DI1285" s="59"/>
      <c r="DJ1285" s="59"/>
      <c r="DK1285" s="59"/>
      <c r="DL1285" s="59"/>
      <c r="DM1285" s="59"/>
      <c r="DN1285" s="59"/>
      <c r="DO1285" s="59"/>
      <c r="DP1285" s="59"/>
      <c r="DQ1285" s="59"/>
      <c r="DR1285" s="59"/>
      <c r="DS1285" s="59"/>
      <c r="DT1285" s="59"/>
      <c r="DU1285" s="59"/>
      <c r="DV1285" s="59"/>
      <c r="DW1285" s="59"/>
      <c r="DX1285" s="59"/>
      <c r="DY1285" s="59"/>
      <c r="DZ1285" s="59"/>
      <c r="EA1285" s="59"/>
      <c r="EB1285" s="59"/>
      <c r="EC1285" s="59"/>
      <c r="ED1285" s="59"/>
      <c r="EE1285" s="59"/>
      <c r="EF1285" s="59"/>
      <c r="EG1285" s="59"/>
      <c r="EH1285" s="59"/>
      <c r="EI1285" s="59"/>
      <c r="EJ1285" s="59"/>
      <c r="EK1285" s="59"/>
      <c r="EL1285" s="59"/>
      <c r="EM1285" s="59"/>
      <c r="EN1285" s="59"/>
      <c r="EO1285" s="59"/>
      <c r="EP1285" s="59"/>
      <c r="EQ1285" s="59"/>
      <c r="ER1285" s="59"/>
      <c r="ES1285" s="59"/>
      <c r="ET1285" s="59"/>
      <c r="EU1285" s="59"/>
      <c r="EV1285" s="59"/>
      <c r="EW1285" s="59"/>
      <c r="EX1285" s="59"/>
      <c r="EY1285" s="59"/>
      <c r="EZ1285" s="59"/>
      <c r="FA1285" s="59"/>
      <c r="FB1285" s="59"/>
      <c r="FC1285" s="59"/>
      <c r="FD1285" s="59"/>
      <c r="FE1285" s="59"/>
      <c r="FF1285" s="59"/>
      <c r="FG1285" s="59"/>
      <c r="FH1285" s="59"/>
      <c r="FI1285" s="59"/>
      <c r="FJ1285" s="59"/>
      <c r="FK1285" s="59"/>
      <c r="FL1285" s="59"/>
      <c r="FM1285" s="59"/>
      <c r="FN1285" s="59"/>
      <c r="FO1285" s="59"/>
      <c r="FP1285" s="59"/>
      <c r="FQ1285" s="59"/>
      <c r="FR1285" s="59"/>
      <c r="FS1285" s="59"/>
      <c r="FT1285" s="59"/>
      <c r="FU1285" s="59"/>
      <c r="FV1285" s="59"/>
      <c r="FW1285" s="59"/>
      <c r="FX1285" s="59"/>
      <c r="FY1285" s="59"/>
      <c r="FZ1285" s="59"/>
      <c r="GA1285" s="59"/>
      <c r="GB1285" s="59"/>
      <c r="GC1285" s="59"/>
    </row>
    <row r="1286">
      <c r="A1286" s="59"/>
      <c r="B1286" s="59"/>
      <c r="C1286" s="59"/>
      <c r="D1286" s="59"/>
      <c r="E1286" s="59"/>
      <c r="F1286" s="59"/>
      <c r="G1286" s="59"/>
      <c r="H1286" s="59"/>
      <c r="I1286" s="59"/>
      <c r="J1286" s="59"/>
      <c r="K1286" s="59"/>
      <c r="L1286" s="59"/>
      <c r="M1286" s="59"/>
      <c r="N1286" s="59"/>
      <c r="O1286" s="59"/>
      <c r="P1286" s="59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59"/>
      <c r="AU1286" s="59"/>
      <c r="AV1286" s="59"/>
      <c r="AW1286" s="59"/>
      <c r="AX1286" s="59"/>
      <c r="AY1286" s="59"/>
      <c r="AZ1286" s="59"/>
      <c r="BA1286" s="59"/>
      <c r="BB1286" s="59"/>
      <c r="BC1286" s="59"/>
      <c r="BD1286" s="59"/>
      <c r="BE1286" s="59"/>
      <c r="BF1286" s="59"/>
      <c r="BG1286" s="59"/>
      <c r="BH1286" s="59"/>
      <c r="BI1286" s="59"/>
      <c r="BJ1286" s="59"/>
      <c r="BK1286" s="59"/>
      <c r="BL1286" s="59"/>
      <c r="BM1286" s="59"/>
      <c r="BN1286" s="59"/>
      <c r="BO1286" s="59"/>
      <c r="BP1286" s="59"/>
      <c r="BQ1286" s="59"/>
      <c r="BR1286" s="59"/>
      <c r="BS1286" s="59"/>
      <c r="BT1286" s="59"/>
      <c r="BU1286" s="59"/>
      <c r="BV1286" s="59"/>
      <c r="BW1286" s="59"/>
      <c r="BX1286" s="59"/>
      <c r="BY1286" s="59"/>
      <c r="BZ1286" s="59"/>
      <c r="CA1286" s="59"/>
      <c r="CB1286" s="59"/>
      <c r="CC1286" s="59"/>
      <c r="CD1286" s="59"/>
      <c r="CE1286" s="59"/>
      <c r="CF1286" s="59"/>
      <c r="CG1286" s="59"/>
      <c r="CH1286" s="59"/>
      <c r="CI1286" s="59"/>
      <c r="CJ1286" s="59"/>
      <c r="CK1286" s="59"/>
      <c r="CL1286" s="59"/>
      <c r="CM1286" s="59"/>
      <c r="CN1286" s="59"/>
      <c r="CO1286" s="59"/>
      <c r="CP1286" s="59"/>
      <c r="CQ1286" s="59"/>
      <c r="CR1286" s="59"/>
      <c r="CS1286" s="59"/>
      <c r="CT1286" s="59"/>
      <c r="CU1286" s="59"/>
      <c r="CV1286" s="59"/>
      <c r="CW1286" s="59"/>
      <c r="CX1286" s="59"/>
      <c r="CY1286" s="59"/>
      <c r="CZ1286" s="59"/>
      <c r="DA1286" s="59"/>
      <c r="DB1286" s="59"/>
      <c r="DC1286" s="59"/>
      <c r="DD1286" s="59"/>
      <c r="DE1286" s="59"/>
      <c r="DF1286" s="59"/>
      <c r="DG1286" s="59"/>
      <c r="DH1286" s="59"/>
      <c r="DI1286" s="59"/>
      <c r="DJ1286" s="59"/>
      <c r="DK1286" s="59"/>
      <c r="DL1286" s="59"/>
      <c r="DM1286" s="59"/>
      <c r="DN1286" s="59"/>
      <c r="DO1286" s="59"/>
      <c r="DP1286" s="59"/>
      <c r="DQ1286" s="59"/>
      <c r="DR1286" s="59"/>
      <c r="DS1286" s="59"/>
      <c r="DT1286" s="59"/>
      <c r="DU1286" s="59"/>
      <c r="DV1286" s="59"/>
      <c r="DW1286" s="59"/>
      <c r="DX1286" s="59"/>
      <c r="DY1286" s="59"/>
      <c r="DZ1286" s="59"/>
      <c r="EA1286" s="59"/>
      <c r="EB1286" s="59"/>
      <c r="EC1286" s="59"/>
      <c r="ED1286" s="59"/>
      <c r="EE1286" s="59"/>
      <c r="EF1286" s="59"/>
      <c r="EG1286" s="59"/>
      <c r="EH1286" s="59"/>
      <c r="EI1286" s="59"/>
      <c r="EJ1286" s="59"/>
      <c r="EK1286" s="59"/>
      <c r="EL1286" s="59"/>
      <c r="EM1286" s="59"/>
      <c r="EN1286" s="59"/>
      <c r="EO1286" s="59"/>
      <c r="EP1286" s="59"/>
      <c r="EQ1286" s="59"/>
      <c r="ER1286" s="59"/>
      <c r="ES1286" s="59"/>
      <c r="ET1286" s="59"/>
      <c r="EU1286" s="59"/>
      <c r="EV1286" s="59"/>
      <c r="EW1286" s="59"/>
      <c r="EX1286" s="59"/>
      <c r="EY1286" s="59"/>
      <c r="EZ1286" s="59"/>
      <c r="FA1286" s="59"/>
      <c r="FB1286" s="59"/>
      <c r="FC1286" s="59"/>
      <c r="FD1286" s="59"/>
      <c r="FE1286" s="59"/>
      <c r="FF1286" s="59"/>
      <c r="FG1286" s="59"/>
      <c r="FH1286" s="59"/>
      <c r="FI1286" s="59"/>
      <c r="FJ1286" s="59"/>
      <c r="FK1286" s="59"/>
      <c r="FL1286" s="59"/>
      <c r="FM1286" s="59"/>
      <c r="FN1286" s="59"/>
      <c r="FO1286" s="59"/>
      <c r="FP1286" s="59"/>
      <c r="FQ1286" s="59"/>
      <c r="FR1286" s="59"/>
      <c r="FS1286" s="59"/>
      <c r="FT1286" s="59"/>
      <c r="FU1286" s="59"/>
      <c r="FV1286" s="59"/>
      <c r="FW1286" s="59"/>
      <c r="FX1286" s="59"/>
      <c r="FY1286" s="59"/>
      <c r="FZ1286" s="59"/>
      <c r="GA1286" s="59"/>
      <c r="GB1286" s="59"/>
      <c r="GC1286" s="59"/>
    </row>
    <row r="1287">
      <c r="A1287" s="59"/>
      <c r="B1287" s="59"/>
      <c r="C1287" s="59"/>
      <c r="D1287" s="59"/>
      <c r="E1287" s="59"/>
      <c r="F1287" s="59"/>
      <c r="G1287" s="59"/>
      <c r="H1287" s="59"/>
      <c r="I1287" s="59"/>
      <c r="J1287" s="59"/>
      <c r="K1287" s="59"/>
      <c r="L1287" s="59"/>
      <c r="M1287" s="59"/>
      <c r="N1287" s="59"/>
      <c r="O1287" s="59"/>
      <c r="P1287" s="59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  <c r="AD1287" s="59"/>
      <c r="AE1287" s="59"/>
      <c r="AF1287" s="59"/>
      <c r="AG1287" s="59"/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/>
      <c r="AY1287" s="59"/>
      <c r="AZ1287" s="59"/>
      <c r="BA1287" s="59"/>
      <c r="BB1287" s="59"/>
      <c r="BC1287" s="59"/>
      <c r="BD1287" s="59"/>
      <c r="BE1287" s="59"/>
      <c r="BF1287" s="59"/>
      <c r="BG1287" s="59"/>
      <c r="BH1287" s="59"/>
      <c r="BI1287" s="59"/>
      <c r="BJ1287" s="59"/>
      <c r="BK1287" s="59"/>
      <c r="BL1287" s="59"/>
      <c r="BM1287" s="59"/>
      <c r="BN1287" s="59"/>
      <c r="BO1287" s="59"/>
      <c r="BP1287" s="59"/>
      <c r="BQ1287" s="59"/>
      <c r="BR1287" s="59"/>
      <c r="BS1287" s="59"/>
      <c r="BT1287" s="59"/>
      <c r="BU1287" s="59"/>
      <c r="BV1287" s="59"/>
      <c r="BW1287" s="59"/>
      <c r="BX1287" s="59"/>
      <c r="BY1287" s="59"/>
      <c r="BZ1287" s="59"/>
      <c r="CA1287" s="59"/>
      <c r="CB1287" s="59"/>
      <c r="CC1287" s="59"/>
      <c r="CD1287" s="59"/>
      <c r="CE1287" s="59"/>
      <c r="CF1287" s="59"/>
      <c r="CG1287" s="59"/>
      <c r="CH1287" s="59"/>
      <c r="CI1287" s="59"/>
      <c r="CJ1287" s="59"/>
      <c r="CK1287" s="59"/>
      <c r="CL1287" s="59"/>
      <c r="CM1287" s="59"/>
      <c r="CN1287" s="59"/>
      <c r="CO1287" s="59"/>
      <c r="CP1287" s="59"/>
      <c r="CQ1287" s="59"/>
      <c r="CR1287" s="59"/>
      <c r="CS1287" s="59"/>
      <c r="CT1287" s="59"/>
      <c r="CU1287" s="59"/>
      <c r="CV1287" s="59"/>
      <c r="CW1287" s="59"/>
      <c r="CX1287" s="59"/>
      <c r="CY1287" s="59"/>
      <c r="CZ1287" s="59"/>
      <c r="DA1287" s="59"/>
      <c r="DB1287" s="59"/>
      <c r="DC1287" s="59"/>
      <c r="DD1287" s="59"/>
      <c r="DE1287" s="59"/>
      <c r="DF1287" s="59"/>
      <c r="DG1287" s="59"/>
      <c r="DH1287" s="59"/>
      <c r="DI1287" s="59"/>
      <c r="DJ1287" s="59"/>
      <c r="DK1287" s="59"/>
      <c r="DL1287" s="59"/>
      <c r="DM1287" s="59"/>
      <c r="DN1287" s="59"/>
      <c r="DO1287" s="59"/>
      <c r="DP1287" s="59"/>
      <c r="DQ1287" s="59"/>
      <c r="DR1287" s="59"/>
      <c r="DS1287" s="59"/>
      <c r="DT1287" s="59"/>
      <c r="DU1287" s="59"/>
      <c r="DV1287" s="59"/>
      <c r="DW1287" s="59"/>
      <c r="DX1287" s="59"/>
      <c r="DY1287" s="59"/>
      <c r="DZ1287" s="59"/>
      <c r="EA1287" s="59"/>
      <c r="EB1287" s="59"/>
      <c r="EC1287" s="59"/>
      <c r="ED1287" s="59"/>
      <c r="EE1287" s="59"/>
      <c r="EF1287" s="59"/>
      <c r="EG1287" s="59"/>
      <c r="EH1287" s="59"/>
      <c r="EI1287" s="59"/>
      <c r="EJ1287" s="59"/>
      <c r="EK1287" s="59"/>
      <c r="EL1287" s="59"/>
      <c r="EM1287" s="59"/>
      <c r="EN1287" s="59"/>
      <c r="EO1287" s="59"/>
      <c r="EP1287" s="59"/>
      <c r="EQ1287" s="59"/>
      <c r="ER1287" s="59"/>
      <c r="ES1287" s="59"/>
      <c r="ET1287" s="59"/>
      <c r="EU1287" s="59"/>
      <c r="EV1287" s="59"/>
      <c r="EW1287" s="59"/>
      <c r="EX1287" s="59"/>
      <c r="EY1287" s="59"/>
      <c r="EZ1287" s="59"/>
      <c r="FA1287" s="59"/>
      <c r="FB1287" s="59"/>
      <c r="FC1287" s="59"/>
      <c r="FD1287" s="59"/>
      <c r="FE1287" s="59"/>
      <c r="FF1287" s="59"/>
      <c r="FG1287" s="59"/>
      <c r="FH1287" s="59"/>
      <c r="FI1287" s="59"/>
      <c r="FJ1287" s="59"/>
      <c r="FK1287" s="59"/>
      <c r="FL1287" s="59"/>
      <c r="FM1287" s="59"/>
      <c r="FN1287" s="59"/>
      <c r="FO1287" s="59"/>
      <c r="FP1287" s="59"/>
      <c r="FQ1287" s="59"/>
      <c r="FR1287" s="59"/>
      <c r="FS1287" s="59"/>
      <c r="FT1287" s="59"/>
      <c r="FU1287" s="59"/>
      <c r="FV1287" s="59"/>
      <c r="FW1287" s="59"/>
      <c r="FX1287" s="59"/>
      <c r="FY1287" s="59"/>
      <c r="FZ1287" s="59"/>
      <c r="GA1287" s="59"/>
      <c r="GB1287" s="59"/>
      <c r="GC1287" s="59"/>
    </row>
    <row r="1288">
      <c r="A1288" s="59"/>
      <c r="B1288" s="59"/>
      <c r="C1288" s="59"/>
      <c r="D1288" s="59"/>
      <c r="E1288" s="59"/>
      <c r="F1288" s="59"/>
      <c r="G1288" s="59"/>
      <c r="H1288" s="59"/>
      <c r="I1288" s="59"/>
      <c r="J1288" s="59"/>
      <c r="K1288" s="59"/>
      <c r="L1288" s="59"/>
      <c r="M1288" s="59"/>
      <c r="N1288" s="59"/>
      <c r="O1288" s="59"/>
      <c r="P1288" s="59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/>
      <c r="AY1288" s="59"/>
      <c r="AZ1288" s="59"/>
      <c r="BA1288" s="59"/>
      <c r="BB1288" s="59"/>
      <c r="BC1288" s="59"/>
      <c r="BD1288" s="59"/>
      <c r="BE1288" s="59"/>
      <c r="BF1288" s="59"/>
      <c r="BG1288" s="59"/>
      <c r="BH1288" s="59"/>
      <c r="BI1288" s="59"/>
      <c r="BJ1288" s="59"/>
      <c r="BK1288" s="59"/>
      <c r="BL1288" s="59"/>
      <c r="BM1288" s="59"/>
      <c r="BN1288" s="59"/>
      <c r="BO1288" s="59"/>
      <c r="BP1288" s="59"/>
      <c r="BQ1288" s="59"/>
      <c r="BR1288" s="59"/>
      <c r="BS1288" s="59"/>
      <c r="BT1288" s="59"/>
      <c r="BU1288" s="59"/>
      <c r="BV1288" s="59"/>
      <c r="BW1288" s="59"/>
      <c r="BX1288" s="59"/>
      <c r="BY1288" s="59"/>
      <c r="BZ1288" s="59"/>
      <c r="CA1288" s="59"/>
      <c r="CB1288" s="59"/>
      <c r="CC1288" s="59"/>
      <c r="CD1288" s="59"/>
      <c r="CE1288" s="59"/>
      <c r="CF1288" s="59"/>
      <c r="CG1288" s="59"/>
      <c r="CH1288" s="59"/>
      <c r="CI1288" s="59"/>
      <c r="CJ1288" s="59"/>
      <c r="CK1288" s="59"/>
      <c r="CL1288" s="59"/>
      <c r="CM1288" s="59"/>
      <c r="CN1288" s="59"/>
      <c r="CO1288" s="59"/>
      <c r="CP1288" s="59"/>
      <c r="CQ1288" s="59"/>
      <c r="CR1288" s="59"/>
      <c r="CS1288" s="59"/>
      <c r="CT1288" s="59"/>
      <c r="CU1288" s="59"/>
      <c r="CV1288" s="59"/>
      <c r="CW1288" s="59"/>
      <c r="CX1288" s="59"/>
      <c r="CY1288" s="59"/>
      <c r="CZ1288" s="59"/>
      <c r="DA1288" s="59"/>
      <c r="DB1288" s="59"/>
      <c r="DC1288" s="59"/>
      <c r="DD1288" s="59"/>
      <c r="DE1288" s="59"/>
      <c r="DF1288" s="59"/>
      <c r="DG1288" s="59"/>
      <c r="DH1288" s="59"/>
      <c r="DI1288" s="59"/>
      <c r="DJ1288" s="59"/>
      <c r="DK1288" s="59"/>
      <c r="DL1288" s="59"/>
      <c r="DM1288" s="59"/>
      <c r="DN1288" s="59"/>
      <c r="DO1288" s="59"/>
      <c r="DP1288" s="59"/>
      <c r="DQ1288" s="59"/>
      <c r="DR1288" s="59"/>
      <c r="DS1288" s="59"/>
      <c r="DT1288" s="59"/>
      <c r="DU1288" s="59"/>
      <c r="DV1288" s="59"/>
      <c r="DW1288" s="59"/>
      <c r="DX1288" s="59"/>
      <c r="DY1288" s="59"/>
      <c r="DZ1288" s="59"/>
      <c r="EA1288" s="59"/>
      <c r="EB1288" s="59"/>
      <c r="EC1288" s="59"/>
      <c r="ED1288" s="59"/>
      <c r="EE1288" s="59"/>
      <c r="EF1288" s="59"/>
      <c r="EG1288" s="59"/>
      <c r="EH1288" s="59"/>
      <c r="EI1288" s="59"/>
      <c r="EJ1288" s="59"/>
      <c r="EK1288" s="59"/>
      <c r="EL1288" s="59"/>
      <c r="EM1288" s="59"/>
      <c r="EN1288" s="59"/>
      <c r="EO1288" s="59"/>
      <c r="EP1288" s="59"/>
      <c r="EQ1288" s="59"/>
      <c r="ER1288" s="59"/>
      <c r="ES1288" s="59"/>
      <c r="ET1288" s="59"/>
      <c r="EU1288" s="59"/>
      <c r="EV1288" s="59"/>
      <c r="EW1288" s="59"/>
      <c r="EX1288" s="59"/>
      <c r="EY1288" s="59"/>
      <c r="EZ1288" s="59"/>
      <c r="FA1288" s="59"/>
      <c r="FB1288" s="59"/>
      <c r="FC1288" s="59"/>
      <c r="FD1288" s="59"/>
      <c r="FE1288" s="59"/>
      <c r="FF1288" s="59"/>
      <c r="FG1288" s="59"/>
      <c r="FH1288" s="59"/>
      <c r="FI1288" s="59"/>
      <c r="FJ1288" s="59"/>
      <c r="FK1288" s="59"/>
      <c r="FL1288" s="59"/>
      <c r="FM1288" s="59"/>
      <c r="FN1288" s="59"/>
      <c r="FO1288" s="59"/>
      <c r="FP1288" s="59"/>
      <c r="FQ1288" s="59"/>
      <c r="FR1288" s="59"/>
      <c r="FS1288" s="59"/>
      <c r="FT1288" s="59"/>
      <c r="FU1288" s="59"/>
      <c r="FV1288" s="59"/>
      <c r="FW1288" s="59"/>
      <c r="FX1288" s="59"/>
      <c r="FY1288" s="59"/>
      <c r="FZ1288" s="59"/>
      <c r="GA1288" s="59"/>
      <c r="GB1288" s="59"/>
      <c r="GC1288" s="59"/>
    </row>
    <row r="1289">
      <c r="A1289" s="59"/>
      <c r="B1289" s="59"/>
      <c r="C1289" s="59"/>
      <c r="D1289" s="59"/>
      <c r="E1289" s="59"/>
      <c r="F1289" s="59"/>
      <c r="G1289" s="59"/>
      <c r="H1289" s="59"/>
      <c r="I1289" s="59"/>
      <c r="J1289" s="59"/>
      <c r="K1289" s="59"/>
      <c r="L1289" s="59"/>
      <c r="M1289" s="59"/>
      <c r="N1289" s="59"/>
      <c r="O1289" s="59"/>
      <c r="P1289" s="59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  <c r="AD1289" s="59"/>
      <c r="AE1289" s="59"/>
      <c r="AF1289" s="59"/>
      <c r="AG1289" s="59"/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/>
      <c r="AY1289" s="59"/>
      <c r="AZ1289" s="59"/>
      <c r="BA1289" s="59"/>
      <c r="BB1289" s="59"/>
      <c r="BC1289" s="59"/>
      <c r="BD1289" s="59"/>
      <c r="BE1289" s="59"/>
      <c r="BF1289" s="59"/>
      <c r="BG1289" s="59"/>
      <c r="BH1289" s="59"/>
      <c r="BI1289" s="59"/>
      <c r="BJ1289" s="59"/>
      <c r="BK1289" s="59"/>
      <c r="BL1289" s="59"/>
      <c r="BM1289" s="59"/>
      <c r="BN1289" s="59"/>
      <c r="BO1289" s="59"/>
      <c r="BP1289" s="59"/>
      <c r="BQ1289" s="59"/>
      <c r="BR1289" s="59"/>
      <c r="BS1289" s="59"/>
      <c r="BT1289" s="59"/>
      <c r="BU1289" s="59"/>
      <c r="BV1289" s="59"/>
      <c r="BW1289" s="59"/>
      <c r="BX1289" s="59"/>
      <c r="BY1289" s="59"/>
      <c r="BZ1289" s="59"/>
      <c r="CA1289" s="59"/>
      <c r="CB1289" s="59"/>
      <c r="CC1289" s="59"/>
      <c r="CD1289" s="59"/>
      <c r="CE1289" s="59"/>
      <c r="CF1289" s="59"/>
      <c r="CG1289" s="59"/>
      <c r="CH1289" s="59"/>
      <c r="CI1289" s="59"/>
      <c r="CJ1289" s="59"/>
      <c r="CK1289" s="59"/>
      <c r="CL1289" s="59"/>
      <c r="CM1289" s="59"/>
      <c r="CN1289" s="59"/>
      <c r="CO1289" s="59"/>
      <c r="CP1289" s="59"/>
      <c r="CQ1289" s="59"/>
      <c r="CR1289" s="59"/>
      <c r="CS1289" s="59"/>
      <c r="CT1289" s="59"/>
      <c r="CU1289" s="59"/>
      <c r="CV1289" s="59"/>
      <c r="CW1289" s="59"/>
      <c r="CX1289" s="59"/>
      <c r="CY1289" s="59"/>
      <c r="CZ1289" s="59"/>
      <c r="DA1289" s="59"/>
      <c r="DB1289" s="59"/>
      <c r="DC1289" s="59"/>
      <c r="DD1289" s="59"/>
      <c r="DE1289" s="59"/>
      <c r="DF1289" s="59"/>
      <c r="DG1289" s="59"/>
      <c r="DH1289" s="59"/>
      <c r="DI1289" s="59"/>
      <c r="DJ1289" s="59"/>
      <c r="DK1289" s="59"/>
      <c r="DL1289" s="59"/>
      <c r="DM1289" s="59"/>
      <c r="DN1289" s="59"/>
      <c r="DO1289" s="59"/>
      <c r="DP1289" s="59"/>
      <c r="DQ1289" s="59"/>
      <c r="DR1289" s="59"/>
      <c r="DS1289" s="59"/>
      <c r="DT1289" s="59"/>
      <c r="DU1289" s="59"/>
      <c r="DV1289" s="59"/>
      <c r="DW1289" s="59"/>
      <c r="DX1289" s="59"/>
      <c r="DY1289" s="59"/>
      <c r="DZ1289" s="59"/>
      <c r="EA1289" s="59"/>
      <c r="EB1289" s="59"/>
      <c r="EC1289" s="59"/>
      <c r="ED1289" s="59"/>
      <c r="EE1289" s="59"/>
      <c r="EF1289" s="59"/>
      <c r="EG1289" s="59"/>
      <c r="EH1289" s="59"/>
      <c r="EI1289" s="59"/>
      <c r="EJ1289" s="59"/>
      <c r="EK1289" s="59"/>
      <c r="EL1289" s="59"/>
      <c r="EM1289" s="59"/>
      <c r="EN1289" s="59"/>
      <c r="EO1289" s="59"/>
      <c r="EP1289" s="59"/>
      <c r="EQ1289" s="59"/>
      <c r="ER1289" s="59"/>
      <c r="ES1289" s="59"/>
      <c r="ET1289" s="59"/>
      <c r="EU1289" s="59"/>
      <c r="EV1289" s="59"/>
      <c r="EW1289" s="59"/>
      <c r="EX1289" s="59"/>
      <c r="EY1289" s="59"/>
      <c r="EZ1289" s="59"/>
      <c r="FA1289" s="59"/>
      <c r="FB1289" s="59"/>
      <c r="FC1289" s="59"/>
      <c r="FD1289" s="59"/>
      <c r="FE1289" s="59"/>
      <c r="FF1289" s="59"/>
      <c r="FG1289" s="59"/>
      <c r="FH1289" s="59"/>
      <c r="FI1289" s="59"/>
      <c r="FJ1289" s="59"/>
      <c r="FK1289" s="59"/>
      <c r="FL1289" s="59"/>
      <c r="FM1289" s="59"/>
      <c r="FN1289" s="59"/>
      <c r="FO1289" s="59"/>
      <c r="FP1289" s="59"/>
      <c r="FQ1289" s="59"/>
      <c r="FR1289" s="59"/>
      <c r="FS1289" s="59"/>
      <c r="FT1289" s="59"/>
      <c r="FU1289" s="59"/>
      <c r="FV1289" s="59"/>
      <c r="FW1289" s="59"/>
      <c r="FX1289" s="59"/>
      <c r="FY1289" s="59"/>
      <c r="FZ1289" s="59"/>
      <c r="GA1289" s="59"/>
      <c r="GB1289" s="59"/>
      <c r="GC1289" s="59"/>
    </row>
    <row r="1290">
      <c r="A1290" s="59"/>
      <c r="B1290" s="59"/>
      <c r="C1290" s="59"/>
      <c r="D1290" s="59"/>
      <c r="E1290" s="59"/>
      <c r="F1290" s="59"/>
      <c r="G1290" s="59"/>
      <c r="H1290" s="59"/>
      <c r="I1290" s="59"/>
      <c r="J1290" s="59"/>
      <c r="K1290" s="59"/>
      <c r="L1290" s="59"/>
      <c r="M1290" s="59"/>
      <c r="N1290" s="59"/>
      <c r="O1290" s="59"/>
      <c r="P1290" s="59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9"/>
      <c r="AY1290" s="59"/>
      <c r="AZ1290" s="59"/>
      <c r="BA1290" s="59"/>
      <c r="BB1290" s="59"/>
      <c r="BC1290" s="59"/>
      <c r="BD1290" s="59"/>
      <c r="BE1290" s="59"/>
      <c r="BF1290" s="59"/>
      <c r="BG1290" s="59"/>
      <c r="BH1290" s="59"/>
      <c r="BI1290" s="59"/>
      <c r="BJ1290" s="59"/>
      <c r="BK1290" s="59"/>
      <c r="BL1290" s="59"/>
      <c r="BM1290" s="59"/>
      <c r="BN1290" s="59"/>
      <c r="BO1290" s="59"/>
      <c r="BP1290" s="59"/>
      <c r="BQ1290" s="59"/>
      <c r="BR1290" s="59"/>
      <c r="BS1290" s="59"/>
      <c r="BT1290" s="59"/>
      <c r="BU1290" s="59"/>
      <c r="BV1290" s="59"/>
      <c r="BW1290" s="59"/>
      <c r="BX1290" s="59"/>
      <c r="BY1290" s="59"/>
      <c r="BZ1290" s="59"/>
      <c r="CA1290" s="59"/>
      <c r="CB1290" s="59"/>
      <c r="CC1290" s="59"/>
      <c r="CD1290" s="59"/>
      <c r="CE1290" s="59"/>
      <c r="CF1290" s="59"/>
      <c r="CG1290" s="59"/>
      <c r="CH1290" s="59"/>
      <c r="CI1290" s="59"/>
      <c r="CJ1290" s="59"/>
      <c r="CK1290" s="59"/>
      <c r="CL1290" s="59"/>
      <c r="CM1290" s="59"/>
      <c r="CN1290" s="59"/>
      <c r="CO1290" s="59"/>
      <c r="CP1290" s="59"/>
      <c r="CQ1290" s="59"/>
      <c r="CR1290" s="59"/>
      <c r="CS1290" s="59"/>
      <c r="CT1290" s="59"/>
      <c r="CU1290" s="59"/>
      <c r="CV1290" s="59"/>
      <c r="CW1290" s="59"/>
      <c r="CX1290" s="59"/>
      <c r="CY1290" s="59"/>
      <c r="CZ1290" s="59"/>
      <c r="DA1290" s="59"/>
      <c r="DB1290" s="59"/>
      <c r="DC1290" s="59"/>
      <c r="DD1290" s="59"/>
      <c r="DE1290" s="59"/>
      <c r="DF1290" s="59"/>
      <c r="DG1290" s="59"/>
      <c r="DH1290" s="59"/>
      <c r="DI1290" s="59"/>
      <c r="DJ1290" s="59"/>
      <c r="DK1290" s="59"/>
      <c r="DL1290" s="59"/>
      <c r="DM1290" s="59"/>
      <c r="DN1290" s="59"/>
      <c r="DO1290" s="59"/>
      <c r="DP1290" s="59"/>
      <c r="DQ1290" s="59"/>
      <c r="DR1290" s="59"/>
      <c r="DS1290" s="59"/>
      <c r="DT1290" s="59"/>
      <c r="DU1290" s="59"/>
      <c r="DV1290" s="59"/>
      <c r="DW1290" s="59"/>
      <c r="DX1290" s="59"/>
      <c r="DY1290" s="59"/>
      <c r="DZ1290" s="59"/>
      <c r="EA1290" s="59"/>
      <c r="EB1290" s="59"/>
      <c r="EC1290" s="59"/>
      <c r="ED1290" s="59"/>
      <c r="EE1290" s="59"/>
      <c r="EF1290" s="59"/>
      <c r="EG1290" s="59"/>
      <c r="EH1290" s="59"/>
      <c r="EI1290" s="59"/>
      <c r="EJ1290" s="59"/>
      <c r="EK1290" s="59"/>
      <c r="EL1290" s="59"/>
      <c r="EM1290" s="59"/>
      <c r="EN1290" s="59"/>
      <c r="EO1290" s="59"/>
      <c r="EP1290" s="59"/>
      <c r="EQ1290" s="59"/>
      <c r="ER1290" s="59"/>
      <c r="ES1290" s="59"/>
      <c r="ET1290" s="59"/>
      <c r="EU1290" s="59"/>
      <c r="EV1290" s="59"/>
      <c r="EW1290" s="59"/>
      <c r="EX1290" s="59"/>
      <c r="EY1290" s="59"/>
      <c r="EZ1290" s="59"/>
      <c r="FA1290" s="59"/>
      <c r="FB1290" s="59"/>
      <c r="FC1290" s="59"/>
      <c r="FD1290" s="59"/>
      <c r="FE1290" s="59"/>
      <c r="FF1290" s="59"/>
      <c r="FG1290" s="59"/>
      <c r="FH1290" s="59"/>
      <c r="FI1290" s="59"/>
      <c r="FJ1290" s="59"/>
      <c r="FK1290" s="59"/>
      <c r="FL1290" s="59"/>
      <c r="FM1290" s="59"/>
      <c r="FN1290" s="59"/>
      <c r="FO1290" s="59"/>
      <c r="FP1290" s="59"/>
      <c r="FQ1290" s="59"/>
      <c r="FR1290" s="59"/>
      <c r="FS1290" s="59"/>
      <c r="FT1290" s="59"/>
      <c r="FU1290" s="59"/>
      <c r="FV1290" s="59"/>
      <c r="FW1290" s="59"/>
      <c r="FX1290" s="59"/>
      <c r="FY1290" s="59"/>
      <c r="FZ1290" s="59"/>
      <c r="GA1290" s="59"/>
      <c r="GB1290" s="59"/>
      <c r="GC1290" s="59"/>
    </row>
    <row r="1291">
      <c r="A1291" s="59"/>
      <c r="B1291" s="59"/>
      <c r="C1291" s="59"/>
      <c r="D1291" s="59"/>
      <c r="E1291" s="59"/>
      <c r="F1291" s="59"/>
      <c r="G1291" s="59"/>
      <c r="H1291" s="59"/>
      <c r="I1291" s="59"/>
      <c r="J1291" s="59"/>
      <c r="K1291" s="59"/>
      <c r="L1291" s="59"/>
      <c r="M1291" s="59"/>
      <c r="N1291" s="59"/>
      <c r="O1291" s="59"/>
      <c r="P1291" s="59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  <c r="AD1291" s="59"/>
      <c r="AE1291" s="59"/>
      <c r="AF1291" s="59"/>
      <c r="AG1291" s="59"/>
      <c r="AH1291" s="59"/>
      <c r="AI1291" s="59"/>
      <c r="AJ1291" s="59"/>
      <c r="AK1291" s="59"/>
      <c r="AL1291" s="59"/>
      <c r="AM1291" s="59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/>
      <c r="AY1291" s="59"/>
      <c r="AZ1291" s="59"/>
      <c r="BA1291" s="59"/>
      <c r="BB1291" s="59"/>
      <c r="BC1291" s="59"/>
      <c r="BD1291" s="59"/>
      <c r="BE1291" s="59"/>
      <c r="BF1291" s="59"/>
      <c r="BG1291" s="59"/>
      <c r="BH1291" s="59"/>
      <c r="BI1291" s="59"/>
      <c r="BJ1291" s="59"/>
      <c r="BK1291" s="59"/>
      <c r="BL1291" s="59"/>
      <c r="BM1291" s="59"/>
      <c r="BN1291" s="59"/>
      <c r="BO1291" s="59"/>
      <c r="BP1291" s="59"/>
      <c r="BQ1291" s="59"/>
      <c r="BR1291" s="59"/>
      <c r="BS1291" s="59"/>
      <c r="BT1291" s="59"/>
      <c r="BU1291" s="59"/>
      <c r="BV1291" s="59"/>
      <c r="BW1291" s="59"/>
      <c r="BX1291" s="59"/>
      <c r="BY1291" s="59"/>
      <c r="BZ1291" s="59"/>
      <c r="CA1291" s="59"/>
      <c r="CB1291" s="59"/>
      <c r="CC1291" s="59"/>
      <c r="CD1291" s="59"/>
      <c r="CE1291" s="59"/>
      <c r="CF1291" s="59"/>
      <c r="CG1291" s="59"/>
      <c r="CH1291" s="59"/>
      <c r="CI1291" s="59"/>
      <c r="CJ1291" s="59"/>
      <c r="CK1291" s="59"/>
      <c r="CL1291" s="59"/>
      <c r="CM1291" s="59"/>
      <c r="CN1291" s="59"/>
      <c r="CO1291" s="59"/>
      <c r="CP1291" s="59"/>
      <c r="CQ1291" s="59"/>
      <c r="CR1291" s="59"/>
      <c r="CS1291" s="59"/>
      <c r="CT1291" s="59"/>
      <c r="CU1291" s="59"/>
      <c r="CV1291" s="59"/>
      <c r="CW1291" s="59"/>
      <c r="CX1291" s="59"/>
      <c r="CY1291" s="59"/>
      <c r="CZ1291" s="59"/>
      <c r="DA1291" s="59"/>
      <c r="DB1291" s="59"/>
      <c r="DC1291" s="59"/>
      <c r="DD1291" s="59"/>
      <c r="DE1291" s="59"/>
      <c r="DF1291" s="59"/>
      <c r="DG1291" s="59"/>
      <c r="DH1291" s="59"/>
      <c r="DI1291" s="59"/>
      <c r="DJ1291" s="59"/>
      <c r="DK1291" s="59"/>
      <c r="DL1291" s="59"/>
      <c r="DM1291" s="59"/>
      <c r="DN1291" s="59"/>
      <c r="DO1291" s="59"/>
      <c r="DP1291" s="59"/>
      <c r="DQ1291" s="59"/>
      <c r="DR1291" s="59"/>
      <c r="DS1291" s="59"/>
      <c r="DT1291" s="59"/>
      <c r="DU1291" s="59"/>
      <c r="DV1291" s="59"/>
      <c r="DW1291" s="59"/>
      <c r="DX1291" s="59"/>
      <c r="DY1291" s="59"/>
      <c r="DZ1291" s="59"/>
      <c r="EA1291" s="59"/>
      <c r="EB1291" s="59"/>
      <c r="EC1291" s="59"/>
      <c r="ED1291" s="59"/>
      <c r="EE1291" s="59"/>
      <c r="EF1291" s="59"/>
      <c r="EG1291" s="59"/>
      <c r="EH1291" s="59"/>
      <c r="EI1291" s="59"/>
      <c r="EJ1291" s="59"/>
      <c r="EK1291" s="59"/>
      <c r="EL1291" s="59"/>
      <c r="EM1291" s="59"/>
      <c r="EN1291" s="59"/>
      <c r="EO1291" s="59"/>
      <c r="EP1291" s="59"/>
      <c r="EQ1291" s="59"/>
      <c r="ER1291" s="59"/>
      <c r="ES1291" s="59"/>
      <c r="ET1291" s="59"/>
      <c r="EU1291" s="59"/>
      <c r="EV1291" s="59"/>
      <c r="EW1291" s="59"/>
      <c r="EX1291" s="59"/>
      <c r="EY1291" s="59"/>
      <c r="EZ1291" s="59"/>
      <c r="FA1291" s="59"/>
      <c r="FB1291" s="59"/>
      <c r="FC1291" s="59"/>
      <c r="FD1291" s="59"/>
      <c r="FE1291" s="59"/>
      <c r="FF1291" s="59"/>
      <c r="FG1291" s="59"/>
      <c r="FH1291" s="59"/>
      <c r="FI1291" s="59"/>
      <c r="FJ1291" s="59"/>
      <c r="FK1291" s="59"/>
      <c r="FL1291" s="59"/>
      <c r="FM1291" s="59"/>
      <c r="FN1291" s="59"/>
      <c r="FO1291" s="59"/>
      <c r="FP1291" s="59"/>
      <c r="FQ1291" s="59"/>
      <c r="FR1291" s="59"/>
      <c r="FS1291" s="59"/>
      <c r="FT1291" s="59"/>
      <c r="FU1291" s="59"/>
      <c r="FV1291" s="59"/>
      <c r="FW1291" s="59"/>
      <c r="FX1291" s="59"/>
      <c r="FY1291" s="59"/>
      <c r="FZ1291" s="59"/>
      <c r="GA1291" s="59"/>
      <c r="GB1291" s="59"/>
      <c r="GC1291" s="59"/>
    </row>
    <row r="1292">
      <c r="A1292" s="59"/>
      <c r="B1292" s="59"/>
      <c r="C1292" s="59"/>
      <c r="D1292" s="59"/>
      <c r="E1292" s="59"/>
      <c r="F1292" s="59"/>
      <c r="G1292" s="59"/>
      <c r="H1292" s="59"/>
      <c r="I1292" s="59"/>
      <c r="J1292" s="59"/>
      <c r="K1292" s="59"/>
      <c r="L1292" s="59"/>
      <c r="M1292" s="59"/>
      <c r="N1292" s="59"/>
      <c r="O1292" s="59"/>
      <c r="P1292" s="59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/>
      <c r="AY1292" s="59"/>
      <c r="AZ1292" s="59"/>
      <c r="BA1292" s="59"/>
      <c r="BB1292" s="59"/>
      <c r="BC1292" s="59"/>
      <c r="BD1292" s="59"/>
      <c r="BE1292" s="59"/>
      <c r="BF1292" s="59"/>
      <c r="BG1292" s="59"/>
      <c r="BH1292" s="59"/>
      <c r="BI1292" s="59"/>
      <c r="BJ1292" s="59"/>
      <c r="BK1292" s="59"/>
      <c r="BL1292" s="59"/>
      <c r="BM1292" s="59"/>
      <c r="BN1292" s="59"/>
      <c r="BO1292" s="59"/>
      <c r="BP1292" s="59"/>
      <c r="BQ1292" s="59"/>
      <c r="BR1292" s="59"/>
      <c r="BS1292" s="59"/>
      <c r="BT1292" s="59"/>
      <c r="BU1292" s="59"/>
      <c r="BV1292" s="59"/>
      <c r="BW1292" s="59"/>
      <c r="BX1292" s="59"/>
      <c r="BY1292" s="59"/>
      <c r="BZ1292" s="59"/>
      <c r="CA1292" s="59"/>
      <c r="CB1292" s="59"/>
      <c r="CC1292" s="59"/>
      <c r="CD1292" s="59"/>
      <c r="CE1292" s="59"/>
      <c r="CF1292" s="59"/>
      <c r="CG1292" s="59"/>
      <c r="CH1292" s="59"/>
      <c r="CI1292" s="59"/>
      <c r="CJ1292" s="59"/>
      <c r="CK1292" s="59"/>
      <c r="CL1292" s="59"/>
      <c r="CM1292" s="59"/>
      <c r="CN1292" s="59"/>
      <c r="CO1292" s="59"/>
      <c r="CP1292" s="59"/>
      <c r="CQ1292" s="59"/>
      <c r="CR1292" s="59"/>
      <c r="CS1292" s="59"/>
      <c r="CT1292" s="59"/>
      <c r="CU1292" s="59"/>
      <c r="CV1292" s="59"/>
      <c r="CW1292" s="59"/>
      <c r="CX1292" s="59"/>
      <c r="CY1292" s="59"/>
      <c r="CZ1292" s="59"/>
      <c r="DA1292" s="59"/>
      <c r="DB1292" s="59"/>
      <c r="DC1292" s="59"/>
      <c r="DD1292" s="59"/>
      <c r="DE1292" s="59"/>
      <c r="DF1292" s="59"/>
      <c r="DG1292" s="59"/>
      <c r="DH1292" s="59"/>
      <c r="DI1292" s="59"/>
      <c r="DJ1292" s="59"/>
      <c r="DK1292" s="59"/>
      <c r="DL1292" s="59"/>
      <c r="DM1292" s="59"/>
      <c r="DN1292" s="59"/>
      <c r="DO1292" s="59"/>
      <c r="DP1292" s="59"/>
      <c r="DQ1292" s="59"/>
      <c r="DR1292" s="59"/>
      <c r="DS1292" s="59"/>
      <c r="DT1292" s="59"/>
      <c r="DU1292" s="59"/>
      <c r="DV1292" s="59"/>
      <c r="DW1292" s="59"/>
      <c r="DX1292" s="59"/>
      <c r="DY1292" s="59"/>
      <c r="DZ1292" s="59"/>
      <c r="EA1292" s="59"/>
      <c r="EB1292" s="59"/>
      <c r="EC1292" s="59"/>
      <c r="ED1292" s="59"/>
      <c r="EE1292" s="59"/>
      <c r="EF1292" s="59"/>
      <c r="EG1292" s="59"/>
      <c r="EH1292" s="59"/>
      <c r="EI1292" s="59"/>
      <c r="EJ1292" s="59"/>
      <c r="EK1292" s="59"/>
      <c r="EL1292" s="59"/>
      <c r="EM1292" s="59"/>
      <c r="EN1292" s="59"/>
      <c r="EO1292" s="59"/>
      <c r="EP1292" s="59"/>
      <c r="EQ1292" s="59"/>
      <c r="ER1292" s="59"/>
      <c r="ES1292" s="59"/>
      <c r="ET1292" s="59"/>
      <c r="EU1292" s="59"/>
      <c r="EV1292" s="59"/>
      <c r="EW1292" s="59"/>
      <c r="EX1292" s="59"/>
      <c r="EY1292" s="59"/>
      <c r="EZ1292" s="59"/>
      <c r="FA1292" s="59"/>
      <c r="FB1292" s="59"/>
      <c r="FC1292" s="59"/>
      <c r="FD1292" s="59"/>
      <c r="FE1292" s="59"/>
      <c r="FF1292" s="59"/>
      <c r="FG1292" s="59"/>
      <c r="FH1292" s="59"/>
      <c r="FI1292" s="59"/>
      <c r="FJ1292" s="59"/>
      <c r="FK1292" s="59"/>
      <c r="FL1292" s="59"/>
      <c r="FM1292" s="59"/>
      <c r="FN1292" s="59"/>
      <c r="FO1292" s="59"/>
      <c r="FP1292" s="59"/>
      <c r="FQ1292" s="59"/>
      <c r="FR1292" s="59"/>
      <c r="FS1292" s="59"/>
      <c r="FT1292" s="59"/>
      <c r="FU1292" s="59"/>
      <c r="FV1292" s="59"/>
      <c r="FW1292" s="59"/>
      <c r="FX1292" s="59"/>
      <c r="FY1292" s="59"/>
      <c r="FZ1292" s="59"/>
      <c r="GA1292" s="59"/>
      <c r="GB1292" s="59"/>
      <c r="GC1292" s="59"/>
    </row>
    <row r="1293">
      <c r="A1293" s="59"/>
      <c r="B1293" s="59"/>
      <c r="C1293" s="59"/>
      <c r="D1293" s="59"/>
      <c r="E1293" s="59"/>
      <c r="F1293" s="59"/>
      <c r="G1293" s="59"/>
      <c r="H1293" s="59"/>
      <c r="I1293" s="59"/>
      <c r="J1293" s="59"/>
      <c r="K1293" s="59"/>
      <c r="L1293" s="59"/>
      <c r="M1293" s="59"/>
      <c r="N1293" s="59"/>
      <c r="O1293" s="59"/>
      <c r="P1293" s="59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  <c r="AD1293" s="59"/>
      <c r="AE1293" s="59"/>
      <c r="AF1293" s="59"/>
      <c r="AG1293" s="59"/>
      <c r="AH1293" s="59"/>
      <c r="AI1293" s="59"/>
      <c r="AJ1293" s="59"/>
      <c r="AK1293" s="59"/>
      <c r="AL1293" s="59"/>
      <c r="AM1293" s="59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/>
      <c r="AY1293" s="59"/>
      <c r="AZ1293" s="59"/>
      <c r="BA1293" s="59"/>
      <c r="BB1293" s="59"/>
      <c r="BC1293" s="59"/>
      <c r="BD1293" s="59"/>
      <c r="BE1293" s="59"/>
      <c r="BF1293" s="59"/>
      <c r="BG1293" s="59"/>
      <c r="BH1293" s="59"/>
      <c r="BI1293" s="59"/>
      <c r="BJ1293" s="59"/>
      <c r="BK1293" s="59"/>
      <c r="BL1293" s="59"/>
      <c r="BM1293" s="59"/>
      <c r="BN1293" s="59"/>
      <c r="BO1293" s="59"/>
      <c r="BP1293" s="59"/>
      <c r="BQ1293" s="59"/>
      <c r="BR1293" s="59"/>
      <c r="BS1293" s="59"/>
      <c r="BT1293" s="59"/>
      <c r="BU1293" s="59"/>
      <c r="BV1293" s="59"/>
      <c r="BW1293" s="59"/>
      <c r="BX1293" s="59"/>
      <c r="BY1293" s="59"/>
      <c r="BZ1293" s="59"/>
      <c r="CA1293" s="59"/>
      <c r="CB1293" s="59"/>
      <c r="CC1293" s="59"/>
      <c r="CD1293" s="59"/>
      <c r="CE1293" s="59"/>
      <c r="CF1293" s="59"/>
      <c r="CG1293" s="59"/>
      <c r="CH1293" s="59"/>
      <c r="CI1293" s="59"/>
      <c r="CJ1293" s="59"/>
      <c r="CK1293" s="59"/>
      <c r="CL1293" s="59"/>
      <c r="CM1293" s="59"/>
      <c r="CN1293" s="59"/>
      <c r="CO1293" s="59"/>
      <c r="CP1293" s="59"/>
      <c r="CQ1293" s="59"/>
      <c r="CR1293" s="59"/>
      <c r="CS1293" s="59"/>
      <c r="CT1293" s="59"/>
      <c r="CU1293" s="59"/>
      <c r="CV1293" s="59"/>
      <c r="CW1293" s="59"/>
      <c r="CX1293" s="59"/>
      <c r="CY1293" s="59"/>
      <c r="CZ1293" s="59"/>
      <c r="DA1293" s="59"/>
      <c r="DB1293" s="59"/>
      <c r="DC1293" s="59"/>
      <c r="DD1293" s="59"/>
      <c r="DE1293" s="59"/>
      <c r="DF1293" s="59"/>
      <c r="DG1293" s="59"/>
      <c r="DH1293" s="59"/>
      <c r="DI1293" s="59"/>
      <c r="DJ1293" s="59"/>
      <c r="DK1293" s="59"/>
      <c r="DL1293" s="59"/>
      <c r="DM1293" s="59"/>
      <c r="DN1293" s="59"/>
      <c r="DO1293" s="59"/>
      <c r="DP1293" s="59"/>
      <c r="DQ1293" s="59"/>
      <c r="DR1293" s="59"/>
      <c r="DS1293" s="59"/>
      <c r="DT1293" s="59"/>
      <c r="DU1293" s="59"/>
      <c r="DV1293" s="59"/>
      <c r="DW1293" s="59"/>
      <c r="DX1293" s="59"/>
      <c r="DY1293" s="59"/>
      <c r="DZ1293" s="59"/>
      <c r="EA1293" s="59"/>
      <c r="EB1293" s="59"/>
      <c r="EC1293" s="59"/>
      <c r="ED1293" s="59"/>
      <c r="EE1293" s="59"/>
      <c r="EF1293" s="59"/>
      <c r="EG1293" s="59"/>
      <c r="EH1293" s="59"/>
      <c r="EI1293" s="59"/>
      <c r="EJ1293" s="59"/>
      <c r="EK1293" s="59"/>
      <c r="EL1293" s="59"/>
      <c r="EM1293" s="59"/>
      <c r="EN1293" s="59"/>
      <c r="EO1293" s="59"/>
      <c r="EP1293" s="59"/>
      <c r="EQ1293" s="59"/>
      <c r="ER1293" s="59"/>
      <c r="ES1293" s="59"/>
      <c r="ET1293" s="59"/>
      <c r="EU1293" s="59"/>
      <c r="EV1293" s="59"/>
      <c r="EW1293" s="59"/>
      <c r="EX1293" s="59"/>
      <c r="EY1293" s="59"/>
      <c r="EZ1293" s="59"/>
      <c r="FA1293" s="59"/>
      <c r="FB1293" s="59"/>
      <c r="FC1293" s="59"/>
      <c r="FD1293" s="59"/>
      <c r="FE1293" s="59"/>
      <c r="FF1293" s="59"/>
      <c r="FG1293" s="59"/>
      <c r="FH1293" s="59"/>
      <c r="FI1293" s="59"/>
      <c r="FJ1293" s="59"/>
      <c r="FK1293" s="59"/>
      <c r="FL1293" s="59"/>
      <c r="FM1293" s="59"/>
      <c r="FN1293" s="59"/>
      <c r="FO1293" s="59"/>
      <c r="FP1293" s="59"/>
      <c r="FQ1293" s="59"/>
      <c r="FR1293" s="59"/>
      <c r="FS1293" s="59"/>
      <c r="FT1293" s="59"/>
      <c r="FU1293" s="59"/>
      <c r="FV1293" s="59"/>
      <c r="FW1293" s="59"/>
      <c r="FX1293" s="59"/>
      <c r="FY1293" s="59"/>
      <c r="FZ1293" s="59"/>
      <c r="GA1293" s="59"/>
      <c r="GB1293" s="59"/>
      <c r="GC1293" s="59"/>
    </row>
    <row r="1294">
      <c r="A1294" s="59"/>
      <c r="B1294" s="59"/>
      <c r="C1294" s="59"/>
      <c r="D1294" s="59"/>
      <c r="E1294" s="59"/>
      <c r="F1294" s="59"/>
      <c r="G1294" s="59"/>
      <c r="H1294" s="59"/>
      <c r="I1294" s="59"/>
      <c r="J1294" s="59"/>
      <c r="K1294" s="59"/>
      <c r="L1294" s="59"/>
      <c r="M1294" s="59"/>
      <c r="N1294" s="59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59"/>
      <c r="AU1294" s="59"/>
      <c r="AV1294" s="59"/>
      <c r="AW1294" s="59"/>
      <c r="AX1294" s="59"/>
      <c r="AY1294" s="59"/>
      <c r="AZ1294" s="59"/>
      <c r="BA1294" s="59"/>
      <c r="BB1294" s="59"/>
      <c r="BC1294" s="59"/>
      <c r="BD1294" s="59"/>
      <c r="BE1294" s="59"/>
      <c r="BF1294" s="59"/>
      <c r="BG1294" s="59"/>
      <c r="BH1294" s="59"/>
      <c r="BI1294" s="59"/>
      <c r="BJ1294" s="59"/>
      <c r="BK1294" s="59"/>
      <c r="BL1294" s="59"/>
      <c r="BM1294" s="59"/>
      <c r="BN1294" s="59"/>
      <c r="BO1294" s="59"/>
      <c r="BP1294" s="59"/>
      <c r="BQ1294" s="59"/>
      <c r="BR1294" s="59"/>
      <c r="BS1294" s="59"/>
      <c r="BT1294" s="59"/>
      <c r="BU1294" s="59"/>
      <c r="BV1294" s="59"/>
      <c r="BW1294" s="59"/>
      <c r="BX1294" s="59"/>
      <c r="BY1294" s="59"/>
      <c r="BZ1294" s="59"/>
      <c r="CA1294" s="59"/>
      <c r="CB1294" s="59"/>
      <c r="CC1294" s="59"/>
      <c r="CD1294" s="59"/>
      <c r="CE1294" s="59"/>
      <c r="CF1294" s="59"/>
      <c r="CG1294" s="59"/>
      <c r="CH1294" s="59"/>
      <c r="CI1294" s="59"/>
      <c r="CJ1294" s="59"/>
      <c r="CK1294" s="59"/>
      <c r="CL1294" s="59"/>
      <c r="CM1294" s="59"/>
      <c r="CN1294" s="59"/>
      <c r="CO1294" s="59"/>
      <c r="CP1294" s="59"/>
      <c r="CQ1294" s="59"/>
      <c r="CR1294" s="59"/>
      <c r="CS1294" s="59"/>
      <c r="CT1294" s="59"/>
      <c r="CU1294" s="59"/>
      <c r="CV1294" s="59"/>
      <c r="CW1294" s="59"/>
      <c r="CX1294" s="59"/>
      <c r="CY1294" s="59"/>
      <c r="CZ1294" s="59"/>
      <c r="DA1294" s="59"/>
      <c r="DB1294" s="59"/>
      <c r="DC1294" s="59"/>
      <c r="DD1294" s="59"/>
      <c r="DE1294" s="59"/>
      <c r="DF1294" s="59"/>
      <c r="DG1294" s="59"/>
      <c r="DH1294" s="59"/>
      <c r="DI1294" s="59"/>
      <c r="DJ1294" s="59"/>
      <c r="DK1294" s="59"/>
      <c r="DL1294" s="59"/>
      <c r="DM1294" s="59"/>
      <c r="DN1294" s="59"/>
      <c r="DO1294" s="59"/>
      <c r="DP1294" s="59"/>
      <c r="DQ1294" s="59"/>
      <c r="DR1294" s="59"/>
      <c r="DS1294" s="59"/>
      <c r="DT1294" s="59"/>
      <c r="DU1294" s="59"/>
      <c r="DV1294" s="59"/>
      <c r="DW1294" s="59"/>
      <c r="DX1294" s="59"/>
      <c r="DY1294" s="59"/>
      <c r="DZ1294" s="59"/>
      <c r="EA1294" s="59"/>
      <c r="EB1294" s="59"/>
      <c r="EC1294" s="59"/>
      <c r="ED1294" s="59"/>
      <c r="EE1294" s="59"/>
      <c r="EF1294" s="59"/>
      <c r="EG1294" s="59"/>
      <c r="EH1294" s="59"/>
      <c r="EI1294" s="59"/>
      <c r="EJ1294" s="59"/>
      <c r="EK1294" s="59"/>
      <c r="EL1294" s="59"/>
      <c r="EM1294" s="59"/>
      <c r="EN1294" s="59"/>
      <c r="EO1294" s="59"/>
      <c r="EP1294" s="59"/>
      <c r="EQ1294" s="59"/>
      <c r="ER1294" s="59"/>
      <c r="ES1294" s="59"/>
      <c r="ET1294" s="59"/>
      <c r="EU1294" s="59"/>
      <c r="EV1294" s="59"/>
      <c r="EW1294" s="59"/>
      <c r="EX1294" s="59"/>
      <c r="EY1294" s="59"/>
      <c r="EZ1294" s="59"/>
      <c r="FA1294" s="59"/>
      <c r="FB1294" s="59"/>
      <c r="FC1294" s="59"/>
      <c r="FD1294" s="59"/>
      <c r="FE1294" s="59"/>
      <c r="FF1294" s="59"/>
      <c r="FG1294" s="59"/>
      <c r="FH1294" s="59"/>
      <c r="FI1294" s="59"/>
      <c r="FJ1294" s="59"/>
      <c r="FK1294" s="59"/>
      <c r="FL1294" s="59"/>
      <c r="FM1294" s="59"/>
      <c r="FN1294" s="59"/>
      <c r="FO1294" s="59"/>
      <c r="FP1294" s="59"/>
      <c r="FQ1294" s="59"/>
      <c r="FR1294" s="59"/>
      <c r="FS1294" s="59"/>
      <c r="FT1294" s="59"/>
      <c r="FU1294" s="59"/>
      <c r="FV1294" s="59"/>
      <c r="FW1294" s="59"/>
      <c r="FX1294" s="59"/>
      <c r="FY1294" s="59"/>
      <c r="FZ1294" s="59"/>
      <c r="GA1294" s="59"/>
      <c r="GB1294" s="59"/>
      <c r="GC1294" s="59"/>
    </row>
    <row r="1295">
      <c r="A1295" s="59"/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59"/>
      <c r="N1295" s="59"/>
      <c r="O1295" s="59"/>
      <c r="P1295" s="59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  <c r="AD1295" s="59"/>
      <c r="AE1295" s="59"/>
      <c r="AF1295" s="59"/>
      <c r="AG1295" s="59"/>
      <c r="AH1295" s="59"/>
      <c r="AI1295" s="59"/>
      <c r="AJ1295" s="59"/>
      <c r="AK1295" s="59"/>
      <c r="AL1295" s="59"/>
      <c r="AM1295" s="59"/>
      <c r="AN1295" s="59"/>
      <c r="AO1295" s="59"/>
      <c r="AP1295" s="59"/>
      <c r="AQ1295" s="59"/>
      <c r="AR1295" s="59"/>
      <c r="AS1295" s="59"/>
      <c r="AT1295" s="59"/>
      <c r="AU1295" s="59"/>
      <c r="AV1295" s="59"/>
      <c r="AW1295" s="59"/>
      <c r="AX1295" s="59"/>
      <c r="AY1295" s="59"/>
      <c r="AZ1295" s="59"/>
      <c r="BA1295" s="59"/>
      <c r="BB1295" s="59"/>
      <c r="BC1295" s="59"/>
      <c r="BD1295" s="59"/>
      <c r="BE1295" s="59"/>
      <c r="BF1295" s="59"/>
      <c r="BG1295" s="59"/>
      <c r="BH1295" s="59"/>
      <c r="BI1295" s="59"/>
      <c r="BJ1295" s="59"/>
      <c r="BK1295" s="59"/>
      <c r="BL1295" s="59"/>
      <c r="BM1295" s="59"/>
      <c r="BN1295" s="59"/>
      <c r="BO1295" s="59"/>
      <c r="BP1295" s="59"/>
      <c r="BQ1295" s="59"/>
      <c r="BR1295" s="59"/>
      <c r="BS1295" s="59"/>
      <c r="BT1295" s="59"/>
      <c r="BU1295" s="59"/>
      <c r="BV1295" s="59"/>
      <c r="BW1295" s="59"/>
      <c r="BX1295" s="59"/>
      <c r="BY1295" s="59"/>
      <c r="BZ1295" s="59"/>
      <c r="CA1295" s="59"/>
      <c r="CB1295" s="59"/>
      <c r="CC1295" s="59"/>
      <c r="CD1295" s="59"/>
      <c r="CE1295" s="59"/>
      <c r="CF1295" s="59"/>
      <c r="CG1295" s="59"/>
      <c r="CH1295" s="59"/>
      <c r="CI1295" s="59"/>
      <c r="CJ1295" s="59"/>
      <c r="CK1295" s="59"/>
      <c r="CL1295" s="59"/>
      <c r="CM1295" s="59"/>
      <c r="CN1295" s="59"/>
      <c r="CO1295" s="59"/>
      <c r="CP1295" s="59"/>
      <c r="CQ1295" s="59"/>
      <c r="CR1295" s="59"/>
      <c r="CS1295" s="59"/>
      <c r="CT1295" s="59"/>
      <c r="CU1295" s="59"/>
      <c r="CV1295" s="59"/>
      <c r="CW1295" s="59"/>
      <c r="CX1295" s="59"/>
      <c r="CY1295" s="59"/>
      <c r="CZ1295" s="59"/>
      <c r="DA1295" s="59"/>
      <c r="DB1295" s="59"/>
      <c r="DC1295" s="59"/>
      <c r="DD1295" s="59"/>
      <c r="DE1295" s="59"/>
      <c r="DF1295" s="59"/>
      <c r="DG1295" s="59"/>
      <c r="DH1295" s="59"/>
      <c r="DI1295" s="59"/>
      <c r="DJ1295" s="59"/>
      <c r="DK1295" s="59"/>
      <c r="DL1295" s="59"/>
      <c r="DM1295" s="59"/>
      <c r="DN1295" s="59"/>
      <c r="DO1295" s="59"/>
      <c r="DP1295" s="59"/>
      <c r="DQ1295" s="59"/>
      <c r="DR1295" s="59"/>
      <c r="DS1295" s="59"/>
      <c r="DT1295" s="59"/>
      <c r="DU1295" s="59"/>
      <c r="DV1295" s="59"/>
      <c r="DW1295" s="59"/>
      <c r="DX1295" s="59"/>
      <c r="DY1295" s="59"/>
      <c r="DZ1295" s="59"/>
      <c r="EA1295" s="59"/>
      <c r="EB1295" s="59"/>
      <c r="EC1295" s="59"/>
      <c r="ED1295" s="59"/>
      <c r="EE1295" s="59"/>
      <c r="EF1295" s="59"/>
      <c r="EG1295" s="59"/>
      <c r="EH1295" s="59"/>
      <c r="EI1295" s="59"/>
      <c r="EJ1295" s="59"/>
      <c r="EK1295" s="59"/>
      <c r="EL1295" s="59"/>
      <c r="EM1295" s="59"/>
      <c r="EN1295" s="59"/>
      <c r="EO1295" s="59"/>
      <c r="EP1295" s="59"/>
      <c r="EQ1295" s="59"/>
      <c r="ER1295" s="59"/>
      <c r="ES1295" s="59"/>
      <c r="ET1295" s="59"/>
      <c r="EU1295" s="59"/>
      <c r="EV1295" s="59"/>
      <c r="EW1295" s="59"/>
      <c r="EX1295" s="59"/>
      <c r="EY1295" s="59"/>
      <c r="EZ1295" s="59"/>
      <c r="FA1295" s="59"/>
      <c r="FB1295" s="59"/>
      <c r="FC1295" s="59"/>
      <c r="FD1295" s="59"/>
      <c r="FE1295" s="59"/>
      <c r="FF1295" s="59"/>
      <c r="FG1295" s="59"/>
      <c r="FH1295" s="59"/>
      <c r="FI1295" s="59"/>
      <c r="FJ1295" s="59"/>
      <c r="FK1295" s="59"/>
      <c r="FL1295" s="59"/>
      <c r="FM1295" s="59"/>
      <c r="FN1295" s="59"/>
      <c r="FO1295" s="59"/>
      <c r="FP1295" s="59"/>
      <c r="FQ1295" s="59"/>
      <c r="FR1295" s="59"/>
      <c r="FS1295" s="59"/>
      <c r="FT1295" s="59"/>
      <c r="FU1295" s="59"/>
      <c r="FV1295" s="59"/>
      <c r="FW1295" s="59"/>
      <c r="FX1295" s="59"/>
      <c r="FY1295" s="59"/>
      <c r="FZ1295" s="59"/>
      <c r="GA1295" s="59"/>
      <c r="GB1295" s="59"/>
      <c r="GC1295" s="59"/>
    </row>
    <row r="1296">
      <c r="A1296" s="59"/>
      <c r="B1296" s="59"/>
      <c r="C1296" s="59"/>
      <c r="D1296" s="59"/>
      <c r="E1296" s="59"/>
      <c r="F1296" s="59"/>
      <c r="G1296" s="59"/>
      <c r="H1296" s="59"/>
      <c r="I1296" s="59"/>
      <c r="J1296" s="59"/>
      <c r="K1296" s="59"/>
      <c r="L1296" s="59"/>
      <c r="M1296" s="59"/>
      <c r="N1296" s="59"/>
      <c r="O1296" s="59"/>
      <c r="P1296" s="59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59"/>
      <c r="AU1296" s="59"/>
      <c r="AV1296" s="59"/>
      <c r="AW1296" s="59"/>
      <c r="AX1296" s="59"/>
      <c r="AY1296" s="59"/>
      <c r="AZ1296" s="59"/>
      <c r="BA1296" s="59"/>
      <c r="BB1296" s="59"/>
      <c r="BC1296" s="59"/>
      <c r="BD1296" s="59"/>
      <c r="BE1296" s="59"/>
      <c r="BF1296" s="59"/>
      <c r="BG1296" s="59"/>
      <c r="BH1296" s="59"/>
      <c r="BI1296" s="59"/>
      <c r="BJ1296" s="59"/>
      <c r="BK1296" s="59"/>
      <c r="BL1296" s="59"/>
      <c r="BM1296" s="59"/>
      <c r="BN1296" s="59"/>
      <c r="BO1296" s="59"/>
      <c r="BP1296" s="59"/>
      <c r="BQ1296" s="59"/>
      <c r="BR1296" s="59"/>
      <c r="BS1296" s="59"/>
      <c r="BT1296" s="59"/>
      <c r="BU1296" s="59"/>
      <c r="BV1296" s="59"/>
      <c r="BW1296" s="59"/>
      <c r="BX1296" s="59"/>
      <c r="BY1296" s="59"/>
      <c r="BZ1296" s="59"/>
      <c r="CA1296" s="59"/>
      <c r="CB1296" s="59"/>
      <c r="CC1296" s="59"/>
      <c r="CD1296" s="59"/>
      <c r="CE1296" s="59"/>
      <c r="CF1296" s="59"/>
      <c r="CG1296" s="59"/>
      <c r="CH1296" s="59"/>
      <c r="CI1296" s="59"/>
      <c r="CJ1296" s="59"/>
      <c r="CK1296" s="59"/>
      <c r="CL1296" s="59"/>
      <c r="CM1296" s="59"/>
      <c r="CN1296" s="59"/>
      <c r="CO1296" s="59"/>
      <c r="CP1296" s="59"/>
      <c r="CQ1296" s="59"/>
      <c r="CR1296" s="59"/>
      <c r="CS1296" s="59"/>
      <c r="CT1296" s="59"/>
      <c r="CU1296" s="59"/>
      <c r="CV1296" s="59"/>
      <c r="CW1296" s="59"/>
      <c r="CX1296" s="59"/>
      <c r="CY1296" s="59"/>
      <c r="CZ1296" s="59"/>
      <c r="DA1296" s="59"/>
      <c r="DB1296" s="59"/>
      <c r="DC1296" s="59"/>
      <c r="DD1296" s="59"/>
      <c r="DE1296" s="59"/>
      <c r="DF1296" s="59"/>
      <c r="DG1296" s="59"/>
      <c r="DH1296" s="59"/>
      <c r="DI1296" s="59"/>
      <c r="DJ1296" s="59"/>
      <c r="DK1296" s="59"/>
      <c r="DL1296" s="59"/>
      <c r="DM1296" s="59"/>
      <c r="DN1296" s="59"/>
      <c r="DO1296" s="59"/>
      <c r="DP1296" s="59"/>
      <c r="DQ1296" s="59"/>
      <c r="DR1296" s="59"/>
      <c r="DS1296" s="59"/>
      <c r="DT1296" s="59"/>
      <c r="DU1296" s="59"/>
      <c r="DV1296" s="59"/>
      <c r="DW1296" s="59"/>
      <c r="DX1296" s="59"/>
      <c r="DY1296" s="59"/>
      <c r="DZ1296" s="59"/>
      <c r="EA1296" s="59"/>
      <c r="EB1296" s="59"/>
      <c r="EC1296" s="59"/>
      <c r="ED1296" s="59"/>
      <c r="EE1296" s="59"/>
      <c r="EF1296" s="59"/>
      <c r="EG1296" s="59"/>
      <c r="EH1296" s="59"/>
      <c r="EI1296" s="59"/>
      <c r="EJ1296" s="59"/>
      <c r="EK1296" s="59"/>
      <c r="EL1296" s="59"/>
      <c r="EM1296" s="59"/>
      <c r="EN1296" s="59"/>
      <c r="EO1296" s="59"/>
      <c r="EP1296" s="59"/>
      <c r="EQ1296" s="59"/>
      <c r="ER1296" s="59"/>
      <c r="ES1296" s="59"/>
      <c r="ET1296" s="59"/>
      <c r="EU1296" s="59"/>
      <c r="EV1296" s="59"/>
      <c r="EW1296" s="59"/>
      <c r="EX1296" s="59"/>
      <c r="EY1296" s="59"/>
      <c r="EZ1296" s="59"/>
      <c r="FA1296" s="59"/>
      <c r="FB1296" s="59"/>
      <c r="FC1296" s="59"/>
      <c r="FD1296" s="59"/>
      <c r="FE1296" s="59"/>
      <c r="FF1296" s="59"/>
      <c r="FG1296" s="59"/>
      <c r="FH1296" s="59"/>
      <c r="FI1296" s="59"/>
      <c r="FJ1296" s="59"/>
      <c r="FK1296" s="59"/>
      <c r="FL1296" s="59"/>
      <c r="FM1296" s="59"/>
      <c r="FN1296" s="59"/>
      <c r="FO1296" s="59"/>
      <c r="FP1296" s="59"/>
      <c r="FQ1296" s="59"/>
      <c r="FR1296" s="59"/>
      <c r="FS1296" s="59"/>
      <c r="FT1296" s="59"/>
      <c r="FU1296" s="59"/>
      <c r="FV1296" s="59"/>
      <c r="FW1296" s="59"/>
      <c r="FX1296" s="59"/>
      <c r="FY1296" s="59"/>
      <c r="FZ1296" s="59"/>
      <c r="GA1296" s="59"/>
      <c r="GB1296" s="59"/>
      <c r="GC1296" s="59"/>
    </row>
    <row r="1297">
      <c r="A1297" s="59"/>
      <c r="B1297" s="59"/>
      <c r="C1297" s="59"/>
      <c r="D1297" s="59"/>
      <c r="E1297" s="59"/>
      <c r="F1297" s="59"/>
      <c r="G1297" s="59"/>
      <c r="H1297" s="59"/>
      <c r="I1297" s="59"/>
      <c r="J1297" s="59"/>
      <c r="K1297" s="59"/>
      <c r="L1297" s="59"/>
      <c r="M1297" s="59"/>
      <c r="N1297" s="59"/>
      <c r="O1297" s="59"/>
      <c r="P1297" s="59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  <c r="AD1297" s="59"/>
      <c r="AE1297" s="59"/>
      <c r="AF1297" s="59"/>
      <c r="AG1297" s="59"/>
      <c r="AH1297" s="59"/>
      <c r="AI1297" s="59"/>
      <c r="AJ1297" s="59"/>
      <c r="AK1297" s="59"/>
      <c r="AL1297" s="59"/>
      <c r="AM1297" s="59"/>
      <c r="AN1297" s="59"/>
      <c r="AO1297" s="59"/>
      <c r="AP1297" s="59"/>
      <c r="AQ1297" s="59"/>
      <c r="AR1297" s="59"/>
      <c r="AS1297" s="59"/>
      <c r="AT1297" s="59"/>
      <c r="AU1297" s="59"/>
      <c r="AV1297" s="59"/>
      <c r="AW1297" s="59"/>
      <c r="AX1297" s="59"/>
      <c r="AY1297" s="59"/>
      <c r="AZ1297" s="59"/>
      <c r="BA1297" s="59"/>
      <c r="BB1297" s="59"/>
      <c r="BC1297" s="59"/>
      <c r="BD1297" s="59"/>
      <c r="BE1297" s="59"/>
      <c r="BF1297" s="59"/>
      <c r="BG1297" s="59"/>
      <c r="BH1297" s="59"/>
      <c r="BI1297" s="59"/>
      <c r="BJ1297" s="59"/>
      <c r="BK1297" s="59"/>
      <c r="BL1297" s="59"/>
      <c r="BM1297" s="59"/>
      <c r="BN1297" s="59"/>
      <c r="BO1297" s="59"/>
      <c r="BP1297" s="59"/>
      <c r="BQ1297" s="59"/>
      <c r="BR1297" s="59"/>
      <c r="BS1297" s="59"/>
      <c r="BT1297" s="59"/>
      <c r="BU1297" s="59"/>
      <c r="BV1297" s="59"/>
      <c r="BW1297" s="59"/>
      <c r="BX1297" s="59"/>
      <c r="BY1297" s="59"/>
      <c r="BZ1297" s="59"/>
      <c r="CA1297" s="59"/>
      <c r="CB1297" s="59"/>
      <c r="CC1297" s="59"/>
      <c r="CD1297" s="59"/>
      <c r="CE1297" s="59"/>
      <c r="CF1297" s="59"/>
      <c r="CG1297" s="59"/>
      <c r="CH1297" s="59"/>
      <c r="CI1297" s="59"/>
      <c r="CJ1297" s="59"/>
      <c r="CK1297" s="59"/>
      <c r="CL1297" s="59"/>
      <c r="CM1297" s="59"/>
      <c r="CN1297" s="59"/>
      <c r="CO1297" s="59"/>
      <c r="CP1297" s="59"/>
      <c r="CQ1297" s="59"/>
      <c r="CR1297" s="59"/>
      <c r="CS1297" s="59"/>
      <c r="CT1297" s="59"/>
      <c r="CU1297" s="59"/>
      <c r="CV1297" s="59"/>
      <c r="CW1297" s="59"/>
      <c r="CX1297" s="59"/>
      <c r="CY1297" s="59"/>
      <c r="CZ1297" s="59"/>
      <c r="DA1297" s="59"/>
      <c r="DB1297" s="59"/>
      <c r="DC1297" s="59"/>
      <c r="DD1297" s="59"/>
      <c r="DE1297" s="59"/>
      <c r="DF1297" s="59"/>
      <c r="DG1297" s="59"/>
      <c r="DH1297" s="59"/>
      <c r="DI1297" s="59"/>
      <c r="DJ1297" s="59"/>
      <c r="DK1297" s="59"/>
      <c r="DL1297" s="59"/>
      <c r="DM1297" s="59"/>
      <c r="DN1297" s="59"/>
      <c r="DO1297" s="59"/>
      <c r="DP1297" s="59"/>
      <c r="DQ1297" s="59"/>
      <c r="DR1297" s="59"/>
      <c r="DS1297" s="59"/>
      <c r="DT1297" s="59"/>
      <c r="DU1297" s="59"/>
      <c r="DV1297" s="59"/>
      <c r="DW1297" s="59"/>
      <c r="DX1297" s="59"/>
      <c r="DY1297" s="59"/>
      <c r="DZ1297" s="59"/>
      <c r="EA1297" s="59"/>
      <c r="EB1297" s="59"/>
      <c r="EC1297" s="59"/>
      <c r="ED1297" s="59"/>
      <c r="EE1297" s="59"/>
      <c r="EF1297" s="59"/>
      <c r="EG1297" s="59"/>
      <c r="EH1297" s="59"/>
      <c r="EI1297" s="59"/>
      <c r="EJ1297" s="59"/>
      <c r="EK1297" s="59"/>
      <c r="EL1297" s="59"/>
      <c r="EM1297" s="59"/>
      <c r="EN1297" s="59"/>
      <c r="EO1297" s="59"/>
      <c r="EP1297" s="59"/>
      <c r="EQ1297" s="59"/>
      <c r="ER1297" s="59"/>
      <c r="ES1297" s="59"/>
      <c r="ET1297" s="59"/>
      <c r="EU1297" s="59"/>
      <c r="EV1297" s="59"/>
      <c r="EW1297" s="59"/>
      <c r="EX1297" s="59"/>
      <c r="EY1297" s="59"/>
      <c r="EZ1297" s="59"/>
      <c r="FA1297" s="59"/>
      <c r="FB1297" s="59"/>
      <c r="FC1297" s="59"/>
      <c r="FD1297" s="59"/>
      <c r="FE1297" s="59"/>
      <c r="FF1297" s="59"/>
      <c r="FG1297" s="59"/>
      <c r="FH1297" s="59"/>
      <c r="FI1297" s="59"/>
      <c r="FJ1297" s="59"/>
      <c r="FK1297" s="59"/>
      <c r="FL1297" s="59"/>
      <c r="FM1297" s="59"/>
      <c r="FN1297" s="59"/>
      <c r="FO1297" s="59"/>
      <c r="FP1297" s="59"/>
      <c r="FQ1297" s="59"/>
      <c r="FR1297" s="59"/>
      <c r="FS1297" s="59"/>
      <c r="FT1297" s="59"/>
      <c r="FU1297" s="59"/>
      <c r="FV1297" s="59"/>
      <c r="FW1297" s="59"/>
      <c r="FX1297" s="59"/>
      <c r="FY1297" s="59"/>
      <c r="FZ1297" s="59"/>
      <c r="GA1297" s="59"/>
      <c r="GB1297" s="59"/>
      <c r="GC1297" s="59"/>
    </row>
    <row r="1298">
      <c r="A1298" s="59"/>
      <c r="B1298" s="59"/>
      <c r="C1298" s="59"/>
      <c r="D1298" s="59"/>
      <c r="E1298" s="59"/>
      <c r="F1298" s="59"/>
      <c r="G1298" s="59"/>
      <c r="H1298" s="59"/>
      <c r="I1298" s="59"/>
      <c r="J1298" s="59"/>
      <c r="K1298" s="59"/>
      <c r="L1298" s="59"/>
      <c r="M1298" s="59"/>
      <c r="N1298" s="59"/>
      <c r="O1298" s="59"/>
      <c r="P1298" s="59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59"/>
      <c r="AU1298" s="59"/>
      <c r="AV1298" s="59"/>
      <c r="AW1298" s="59"/>
      <c r="AX1298" s="59"/>
      <c r="AY1298" s="59"/>
      <c r="AZ1298" s="59"/>
      <c r="BA1298" s="59"/>
      <c r="BB1298" s="59"/>
      <c r="BC1298" s="59"/>
      <c r="BD1298" s="59"/>
      <c r="BE1298" s="59"/>
      <c r="BF1298" s="59"/>
      <c r="BG1298" s="59"/>
      <c r="BH1298" s="59"/>
      <c r="BI1298" s="59"/>
      <c r="BJ1298" s="59"/>
      <c r="BK1298" s="59"/>
      <c r="BL1298" s="59"/>
      <c r="BM1298" s="59"/>
      <c r="BN1298" s="59"/>
      <c r="BO1298" s="59"/>
      <c r="BP1298" s="59"/>
      <c r="BQ1298" s="59"/>
      <c r="BR1298" s="59"/>
      <c r="BS1298" s="59"/>
      <c r="BT1298" s="59"/>
      <c r="BU1298" s="59"/>
      <c r="BV1298" s="59"/>
      <c r="BW1298" s="59"/>
      <c r="BX1298" s="59"/>
      <c r="BY1298" s="59"/>
      <c r="BZ1298" s="59"/>
      <c r="CA1298" s="59"/>
      <c r="CB1298" s="59"/>
      <c r="CC1298" s="59"/>
      <c r="CD1298" s="59"/>
      <c r="CE1298" s="59"/>
      <c r="CF1298" s="59"/>
      <c r="CG1298" s="59"/>
      <c r="CH1298" s="59"/>
      <c r="CI1298" s="59"/>
      <c r="CJ1298" s="59"/>
      <c r="CK1298" s="59"/>
      <c r="CL1298" s="59"/>
      <c r="CM1298" s="59"/>
      <c r="CN1298" s="59"/>
      <c r="CO1298" s="59"/>
      <c r="CP1298" s="59"/>
      <c r="CQ1298" s="59"/>
      <c r="CR1298" s="59"/>
      <c r="CS1298" s="59"/>
      <c r="CT1298" s="59"/>
      <c r="CU1298" s="59"/>
      <c r="CV1298" s="59"/>
      <c r="CW1298" s="59"/>
      <c r="CX1298" s="59"/>
      <c r="CY1298" s="59"/>
      <c r="CZ1298" s="59"/>
      <c r="DA1298" s="59"/>
      <c r="DB1298" s="59"/>
      <c r="DC1298" s="59"/>
      <c r="DD1298" s="59"/>
      <c r="DE1298" s="59"/>
      <c r="DF1298" s="59"/>
      <c r="DG1298" s="59"/>
      <c r="DH1298" s="59"/>
      <c r="DI1298" s="59"/>
      <c r="DJ1298" s="59"/>
      <c r="DK1298" s="59"/>
      <c r="DL1298" s="59"/>
      <c r="DM1298" s="59"/>
      <c r="DN1298" s="59"/>
      <c r="DO1298" s="59"/>
      <c r="DP1298" s="59"/>
      <c r="DQ1298" s="59"/>
      <c r="DR1298" s="59"/>
      <c r="DS1298" s="59"/>
      <c r="DT1298" s="59"/>
      <c r="DU1298" s="59"/>
      <c r="DV1298" s="59"/>
      <c r="DW1298" s="59"/>
      <c r="DX1298" s="59"/>
      <c r="DY1298" s="59"/>
      <c r="DZ1298" s="59"/>
      <c r="EA1298" s="59"/>
      <c r="EB1298" s="59"/>
      <c r="EC1298" s="59"/>
      <c r="ED1298" s="59"/>
      <c r="EE1298" s="59"/>
      <c r="EF1298" s="59"/>
      <c r="EG1298" s="59"/>
      <c r="EH1298" s="59"/>
      <c r="EI1298" s="59"/>
      <c r="EJ1298" s="59"/>
      <c r="EK1298" s="59"/>
      <c r="EL1298" s="59"/>
      <c r="EM1298" s="59"/>
      <c r="EN1298" s="59"/>
      <c r="EO1298" s="59"/>
      <c r="EP1298" s="59"/>
      <c r="EQ1298" s="59"/>
      <c r="ER1298" s="59"/>
      <c r="ES1298" s="59"/>
      <c r="ET1298" s="59"/>
      <c r="EU1298" s="59"/>
      <c r="EV1298" s="59"/>
      <c r="EW1298" s="59"/>
      <c r="EX1298" s="59"/>
      <c r="EY1298" s="59"/>
      <c r="EZ1298" s="59"/>
      <c r="FA1298" s="59"/>
      <c r="FB1298" s="59"/>
      <c r="FC1298" s="59"/>
      <c r="FD1298" s="59"/>
      <c r="FE1298" s="59"/>
      <c r="FF1298" s="59"/>
      <c r="FG1298" s="59"/>
      <c r="FH1298" s="59"/>
      <c r="FI1298" s="59"/>
      <c r="FJ1298" s="59"/>
      <c r="FK1298" s="59"/>
      <c r="FL1298" s="59"/>
      <c r="FM1298" s="59"/>
      <c r="FN1298" s="59"/>
      <c r="FO1298" s="59"/>
      <c r="FP1298" s="59"/>
      <c r="FQ1298" s="59"/>
      <c r="FR1298" s="59"/>
      <c r="FS1298" s="59"/>
      <c r="FT1298" s="59"/>
      <c r="FU1298" s="59"/>
      <c r="FV1298" s="59"/>
      <c r="FW1298" s="59"/>
      <c r="FX1298" s="59"/>
      <c r="FY1298" s="59"/>
      <c r="FZ1298" s="59"/>
      <c r="GA1298" s="59"/>
      <c r="GB1298" s="59"/>
      <c r="GC1298" s="59"/>
    </row>
    <row r="1299">
      <c r="A1299" s="59"/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59"/>
      <c r="N1299" s="59"/>
      <c r="O1299" s="59"/>
      <c r="P1299" s="59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  <c r="AA1299" s="59"/>
      <c r="AB1299" s="59"/>
      <c r="AC1299" s="59"/>
      <c r="AD1299" s="59"/>
      <c r="AE1299" s="59"/>
      <c r="AF1299" s="59"/>
      <c r="AG1299" s="59"/>
      <c r="AH1299" s="59"/>
      <c r="AI1299" s="59"/>
      <c r="AJ1299" s="59"/>
      <c r="AK1299" s="59"/>
      <c r="AL1299" s="59"/>
      <c r="AM1299" s="59"/>
      <c r="AN1299" s="59"/>
      <c r="AO1299" s="59"/>
      <c r="AP1299" s="59"/>
      <c r="AQ1299" s="59"/>
      <c r="AR1299" s="59"/>
      <c r="AS1299" s="59"/>
      <c r="AT1299" s="59"/>
      <c r="AU1299" s="59"/>
      <c r="AV1299" s="59"/>
      <c r="AW1299" s="59"/>
      <c r="AX1299" s="59"/>
      <c r="AY1299" s="59"/>
      <c r="AZ1299" s="59"/>
      <c r="BA1299" s="59"/>
      <c r="BB1299" s="59"/>
      <c r="BC1299" s="59"/>
      <c r="BD1299" s="59"/>
      <c r="BE1299" s="59"/>
      <c r="BF1299" s="59"/>
      <c r="BG1299" s="59"/>
      <c r="BH1299" s="59"/>
      <c r="BI1299" s="59"/>
      <c r="BJ1299" s="59"/>
      <c r="BK1299" s="59"/>
      <c r="BL1299" s="59"/>
      <c r="BM1299" s="59"/>
      <c r="BN1299" s="59"/>
      <c r="BO1299" s="59"/>
      <c r="BP1299" s="59"/>
      <c r="BQ1299" s="59"/>
      <c r="BR1299" s="59"/>
      <c r="BS1299" s="59"/>
      <c r="BT1299" s="59"/>
      <c r="BU1299" s="59"/>
      <c r="BV1299" s="59"/>
      <c r="BW1299" s="59"/>
      <c r="BX1299" s="59"/>
      <c r="BY1299" s="59"/>
      <c r="BZ1299" s="59"/>
      <c r="CA1299" s="59"/>
      <c r="CB1299" s="59"/>
      <c r="CC1299" s="59"/>
      <c r="CD1299" s="59"/>
      <c r="CE1299" s="59"/>
      <c r="CF1299" s="59"/>
      <c r="CG1299" s="59"/>
      <c r="CH1299" s="59"/>
      <c r="CI1299" s="59"/>
      <c r="CJ1299" s="59"/>
      <c r="CK1299" s="59"/>
      <c r="CL1299" s="59"/>
      <c r="CM1299" s="59"/>
      <c r="CN1299" s="59"/>
      <c r="CO1299" s="59"/>
      <c r="CP1299" s="59"/>
      <c r="CQ1299" s="59"/>
      <c r="CR1299" s="59"/>
      <c r="CS1299" s="59"/>
      <c r="CT1299" s="59"/>
      <c r="CU1299" s="59"/>
      <c r="CV1299" s="59"/>
      <c r="CW1299" s="59"/>
      <c r="CX1299" s="59"/>
      <c r="CY1299" s="59"/>
      <c r="CZ1299" s="59"/>
      <c r="DA1299" s="59"/>
      <c r="DB1299" s="59"/>
      <c r="DC1299" s="59"/>
      <c r="DD1299" s="59"/>
      <c r="DE1299" s="59"/>
      <c r="DF1299" s="59"/>
      <c r="DG1299" s="59"/>
      <c r="DH1299" s="59"/>
      <c r="DI1299" s="59"/>
      <c r="DJ1299" s="59"/>
      <c r="DK1299" s="59"/>
      <c r="DL1299" s="59"/>
      <c r="DM1299" s="59"/>
      <c r="DN1299" s="59"/>
      <c r="DO1299" s="59"/>
      <c r="DP1299" s="59"/>
      <c r="DQ1299" s="59"/>
      <c r="DR1299" s="59"/>
      <c r="DS1299" s="59"/>
      <c r="DT1299" s="59"/>
      <c r="DU1299" s="59"/>
      <c r="DV1299" s="59"/>
      <c r="DW1299" s="59"/>
      <c r="DX1299" s="59"/>
      <c r="DY1299" s="59"/>
      <c r="DZ1299" s="59"/>
      <c r="EA1299" s="59"/>
      <c r="EB1299" s="59"/>
      <c r="EC1299" s="59"/>
      <c r="ED1299" s="59"/>
      <c r="EE1299" s="59"/>
      <c r="EF1299" s="59"/>
      <c r="EG1299" s="59"/>
      <c r="EH1299" s="59"/>
      <c r="EI1299" s="59"/>
      <c r="EJ1299" s="59"/>
      <c r="EK1299" s="59"/>
      <c r="EL1299" s="59"/>
      <c r="EM1299" s="59"/>
      <c r="EN1299" s="59"/>
      <c r="EO1299" s="59"/>
      <c r="EP1299" s="59"/>
      <c r="EQ1299" s="59"/>
      <c r="ER1299" s="59"/>
      <c r="ES1299" s="59"/>
      <c r="ET1299" s="59"/>
      <c r="EU1299" s="59"/>
      <c r="EV1299" s="59"/>
      <c r="EW1299" s="59"/>
      <c r="EX1299" s="59"/>
      <c r="EY1299" s="59"/>
      <c r="EZ1299" s="59"/>
      <c r="FA1299" s="59"/>
      <c r="FB1299" s="59"/>
      <c r="FC1299" s="59"/>
      <c r="FD1299" s="59"/>
      <c r="FE1299" s="59"/>
      <c r="FF1299" s="59"/>
      <c r="FG1299" s="59"/>
      <c r="FH1299" s="59"/>
      <c r="FI1299" s="59"/>
      <c r="FJ1299" s="59"/>
      <c r="FK1299" s="59"/>
      <c r="FL1299" s="59"/>
      <c r="FM1299" s="59"/>
      <c r="FN1299" s="59"/>
      <c r="FO1299" s="59"/>
      <c r="FP1299" s="59"/>
      <c r="FQ1299" s="59"/>
      <c r="FR1299" s="59"/>
      <c r="FS1299" s="59"/>
      <c r="FT1299" s="59"/>
      <c r="FU1299" s="59"/>
      <c r="FV1299" s="59"/>
      <c r="FW1299" s="59"/>
      <c r="FX1299" s="59"/>
      <c r="FY1299" s="59"/>
      <c r="FZ1299" s="59"/>
      <c r="GA1299" s="59"/>
      <c r="GB1299" s="59"/>
      <c r="GC1299" s="59"/>
    </row>
    <row r="1300">
      <c r="A1300" s="59"/>
      <c r="B1300" s="59"/>
      <c r="C1300" s="59"/>
      <c r="D1300" s="59"/>
      <c r="E1300" s="59"/>
      <c r="F1300" s="59"/>
      <c r="G1300" s="59"/>
      <c r="H1300" s="59"/>
      <c r="I1300" s="59"/>
      <c r="J1300" s="59"/>
      <c r="K1300" s="59"/>
      <c r="L1300" s="59"/>
      <c r="M1300" s="59"/>
      <c r="N1300" s="59"/>
      <c r="O1300" s="59"/>
      <c r="P1300" s="59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59"/>
      <c r="AU1300" s="59"/>
      <c r="AV1300" s="59"/>
      <c r="AW1300" s="59"/>
      <c r="AX1300" s="59"/>
      <c r="AY1300" s="59"/>
      <c r="AZ1300" s="59"/>
      <c r="BA1300" s="59"/>
      <c r="BB1300" s="59"/>
      <c r="BC1300" s="59"/>
      <c r="BD1300" s="59"/>
      <c r="BE1300" s="59"/>
      <c r="BF1300" s="59"/>
      <c r="BG1300" s="59"/>
      <c r="BH1300" s="59"/>
      <c r="BI1300" s="59"/>
      <c r="BJ1300" s="59"/>
      <c r="BK1300" s="59"/>
      <c r="BL1300" s="59"/>
      <c r="BM1300" s="59"/>
      <c r="BN1300" s="59"/>
      <c r="BO1300" s="59"/>
      <c r="BP1300" s="59"/>
      <c r="BQ1300" s="59"/>
      <c r="BR1300" s="59"/>
      <c r="BS1300" s="59"/>
      <c r="BT1300" s="59"/>
      <c r="BU1300" s="59"/>
      <c r="BV1300" s="59"/>
      <c r="BW1300" s="59"/>
      <c r="BX1300" s="59"/>
      <c r="BY1300" s="59"/>
      <c r="BZ1300" s="59"/>
      <c r="CA1300" s="59"/>
      <c r="CB1300" s="59"/>
      <c r="CC1300" s="59"/>
      <c r="CD1300" s="59"/>
      <c r="CE1300" s="59"/>
      <c r="CF1300" s="59"/>
      <c r="CG1300" s="59"/>
      <c r="CH1300" s="59"/>
      <c r="CI1300" s="59"/>
      <c r="CJ1300" s="59"/>
      <c r="CK1300" s="59"/>
      <c r="CL1300" s="59"/>
      <c r="CM1300" s="59"/>
      <c r="CN1300" s="59"/>
      <c r="CO1300" s="59"/>
      <c r="CP1300" s="59"/>
      <c r="CQ1300" s="59"/>
      <c r="CR1300" s="59"/>
      <c r="CS1300" s="59"/>
      <c r="CT1300" s="59"/>
      <c r="CU1300" s="59"/>
      <c r="CV1300" s="59"/>
      <c r="CW1300" s="59"/>
      <c r="CX1300" s="59"/>
      <c r="CY1300" s="59"/>
      <c r="CZ1300" s="59"/>
      <c r="DA1300" s="59"/>
      <c r="DB1300" s="59"/>
      <c r="DC1300" s="59"/>
      <c r="DD1300" s="59"/>
      <c r="DE1300" s="59"/>
      <c r="DF1300" s="59"/>
      <c r="DG1300" s="59"/>
      <c r="DH1300" s="59"/>
      <c r="DI1300" s="59"/>
      <c r="DJ1300" s="59"/>
      <c r="DK1300" s="59"/>
      <c r="DL1300" s="59"/>
      <c r="DM1300" s="59"/>
      <c r="DN1300" s="59"/>
      <c r="DO1300" s="59"/>
      <c r="DP1300" s="59"/>
      <c r="DQ1300" s="59"/>
      <c r="DR1300" s="59"/>
      <c r="DS1300" s="59"/>
      <c r="DT1300" s="59"/>
      <c r="DU1300" s="59"/>
      <c r="DV1300" s="59"/>
      <c r="DW1300" s="59"/>
      <c r="DX1300" s="59"/>
      <c r="DY1300" s="59"/>
      <c r="DZ1300" s="59"/>
      <c r="EA1300" s="59"/>
      <c r="EB1300" s="59"/>
      <c r="EC1300" s="59"/>
      <c r="ED1300" s="59"/>
      <c r="EE1300" s="59"/>
      <c r="EF1300" s="59"/>
      <c r="EG1300" s="59"/>
      <c r="EH1300" s="59"/>
      <c r="EI1300" s="59"/>
      <c r="EJ1300" s="59"/>
      <c r="EK1300" s="59"/>
      <c r="EL1300" s="59"/>
      <c r="EM1300" s="59"/>
      <c r="EN1300" s="59"/>
      <c r="EO1300" s="59"/>
      <c r="EP1300" s="59"/>
      <c r="EQ1300" s="59"/>
      <c r="ER1300" s="59"/>
      <c r="ES1300" s="59"/>
      <c r="ET1300" s="59"/>
      <c r="EU1300" s="59"/>
      <c r="EV1300" s="59"/>
      <c r="EW1300" s="59"/>
      <c r="EX1300" s="59"/>
      <c r="EY1300" s="59"/>
      <c r="EZ1300" s="59"/>
      <c r="FA1300" s="59"/>
      <c r="FB1300" s="59"/>
      <c r="FC1300" s="59"/>
      <c r="FD1300" s="59"/>
      <c r="FE1300" s="59"/>
      <c r="FF1300" s="59"/>
      <c r="FG1300" s="59"/>
      <c r="FH1300" s="59"/>
      <c r="FI1300" s="59"/>
      <c r="FJ1300" s="59"/>
      <c r="FK1300" s="59"/>
      <c r="FL1300" s="59"/>
      <c r="FM1300" s="59"/>
      <c r="FN1300" s="59"/>
      <c r="FO1300" s="59"/>
      <c r="FP1300" s="59"/>
      <c r="FQ1300" s="59"/>
      <c r="FR1300" s="59"/>
      <c r="FS1300" s="59"/>
      <c r="FT1300" s="59"/>
      <c r="FU1300" s="59"/>
      <c r="FV1300" s="59"/>
      <c r="FW1300" s="59"/>
      <c r="FX1300" s="59"/>
      <c r="FY1300" s="59"/>
      <c r="FZ1300" s="59"/>
      <c r="GA1300" s="59"/>
      <c r="GB1300" s="59"/>
      <c r="GC1300" s="59"/>
    </row>
    <row r="1301">
      <c r="A1301" s="59"/>
      <c r="B1301" s="59"/>
      <c r="C1301" s="59"/>
      <c r="D1301" s="59"/>
      <c r="E1301" s="59"/>
      <c r="F1301" s="59"/>
      <c r="G1301" s="59"/>
      <c r="H1301" s="59"/>
      <c r="I1301" s="59"/>
      <c r="J1301" s="59"/>
      <c r="K1301" s="59"/>
      <c r="L1301" s="59"/>
      <c r="M1301" s="59"/>
      <c r="N1301" s="59"/>
      <c r="O1301" s="59"/>
      <c r="P1301" s="59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  <c r="AD1301" s="59"/>
      <c r="AE1301" s="59"/>
      <c r="AF1301" s="59"/>
      <c r="AG1301" s="59"/>
      <c r="AH1301" s="59"/>
      <c r="AI1301" s="59"/>
      <c r="AJ1301" s="59"/>
      <c r="AK1301" s="59"/>
      <c r="AL1301" s="59"/>
      <c r="AM1301" s="59"/>
      <c r="AN1301" s="59"/>
      <c r="AO1301" s="59"/>
      <c r="AP1301" s="59"/>
      <c r="AQ1301" s="59"/>
      <c r="AR1301" s="59"/>
      <c r="AS1301" s="59"/>
      <c r="AT1301" s="59"/>
      <c r="AU1301" s="59"/>
      <c r="AV1301" s="59"/>
      <c r="AW1301" s="59"/>
      <c r="AX1301" s="59"/>
      <c r="AY1301" s="59"/>
      <c r="AZ1301" s="59"/>
      <c r="BA1301" s="59"/>
      <c r="BB1301" s="59"/>
      <c r="BC1301" s="59"/>
      <c r="BD1301" s="59"/>
      <c r="BE1301" s="59"/>
      <c r="BF1301" s="59"/>
      <c r="BG1301" s="59"/>
      <c r="BH1301" s="59"/>
      <c r="BI1301" s="59"/>
      <c r="BJ1301" s="59"/>
      <c r="BK1301" s="59"/>
      <c r="BL1301" s="59"/>
      <c r="BM1301" s="59"/>
      <c r="BN1301" s="59"/>
      <c r="BO1301" s="59"/>
      <c r="BP1301" s="59"/>
      <c r="BQ1301" s="59"/>
      <c r="BR1301" s="59"/>
      <c r="BS1301" s="59"/>
      <c r="BT1301" s="59"/>
      <c r="BU1301" s="59"/>
      <c r="BV1301" s="59"/>
      <c r="BW1301" s="59"/>
      <c r="BX1301" s="59"/>
      <c r="BY1301" s="59"/>
      <c r="BZ1301" s="59"/>
      <c r="CA1301" s="59"/>
      <c r="CB1301" s="59"/>
      <c r="CC1301" s="59"/>
      <c r="CD1301" s="59"/>
      <c r="CE1301" s="59"/>
      <c r="CF1301" s="59"/>
      <c r="CG1301" s="59"/>
      <c r="CH1301" s="59"/>
      <c r="CI1301" s="59"/>
      <c r="CJ1301" s="59"/>
      <c r="CK1301" s="59"/>
      <c r="CL1301" s="59"/>
      <c r="CM1301" s="59"/>
      <c r="CN1301" s="59"/>
      <c r="CO1301" s="59"/>
      <c r="CP1301" s="59"/>
      <c r="CQ1301" s="59"/>
      <c r="CR1301" s="59"/>
      <c r="CS1301" s="59"/>
      <c r="CT1301" s="59"/>
      <c r="CU1301" s="59"/>
      <c r="CV1301" s="59"/>
      <c r="CW1301" s="59"/>
      <c r="CX1301" s="59"/>
      <c r="CY1301" s="59"/>
      <c r="CZ1301" s="59"/>
      <c r="DA1301" s="59"/>
      <c r="DB1301" s="59"/>
      <c r="DC1301" s="59"/>
      <c r="DD1301" s="59"/>
      <c r="DE1301" s="59"/>
      <c r="DF1301" s="59"/>
      <c r="DG1301" s="59"/>
      <c r="DH1301" s="59"/>
      <c r="DI1301" s="59"/>
      <c r="DJ1301" s="59"/>
      <c r="DK1301" s="59"/>
      <c r="DL1301" s="59"/>
      <c r="DM1301" s="59"/>
      <c r="DN1301" s="59"/>
      <c r="DO1301" s="59"/>
      <c r="DP1301" s="59"/>
      <c r="DQ1301" s="59"/>
      <c r="DR1301" s="59"/>
      <c r="DS1301" s="59"/>
      <c r="DT1301" s="59"/>
      <c r="DU1301" s="59"/>
      <c r="DV1301" s="59"/>
      <c r="DW1301" s="59"/>
      <c r="DX1301" s="59"/>
      <c r="DY1301" s="59"/>
      <c r="DZ1301" s="59"/>
      <c r="EA1301" s="59"/>
      <c r="EB1301" s="59"/>
      <c r="EC1301" s="59"/>
      <c r="ED1301" s="59"/>
      <c r="EE1301" s="59"/>
      <c r="EF1301" s="59"/>
      <c r="EG1301" s="59"/>
      <c r="EH1301" s="59"/>
      <c r="EI1301" s="59"/>
      <c r="EJ1301" s="59"/>
      <c r="EK1301" s="59"/>
      <c r="EL1301" s="59"/>
      <c r="EM1301" s="59"/>
      <c r="EN1301" s="59"/>
      <c r="EO1301" s="59"/>
      <c r="EP1301" s="59"/>
      <c r="EQ1301" s="59"/>
      <c r="ER1301" s="59"/>
      <c r="ES1301" s="59"/>
      <c r="ET1301" s="59"/>
      <c r="EU1301" s="59"/>
      <c r="EV1301" s="59"/>
      <c r="EW1301" s="59"/>
      <c r="EX1301" s="59"/>
      <c r="EY1301" s="59"/>
      <c r="EZ1301" s="59"/>
      <c r="FA1301" s="59"/>
      <c r="FB1301" s="59"/>
      <c r="FC1301" s="59"/>
      <c r="FD1301" s="59"/>
      <c r="FE1301" s="59"/>
      <c r="FF1301" s="59"/>
      <c r="FG1301" s="59"/>
      <c r="FH1301" s="59"/>
      <c r="FI1301" s="59"/>
      <c r="FJ1301" s="59"/>
      <c r="FK1301" s="59"/>
      <c r="FL1301" s="59"/>
      <c r="FM1301" s="59"/>
      <c r="FN1301" s="59"/>
      <c r="FO1301" s="59"/>
      <c r="FP1301" s="59"/>
      <c r="FQ1301" s="59"/>
      <c r="FR1301" s="59"/>
      <c r="FS1301" s="59"/>
      <c r="FT1301" s="59"/>
      <c r="FU1301" s="59"/>
      <c r="FV1301" s="59"/>
      <c r="FW1301" s="59"/>
      <c r="FX1301" s="59"/>
      <c r="FY1301" s="59"/>
      <c r="FZ1301" s="59"/>
      <c r="GA1301" s="59"/>
      <c r="GB1301" s="59"/>
      <c r="GC1301" s="59"/>
    </row>
    <row r="1302">
      <c r="A1302" s="59"/>
      <c r="B1302" s="59"/>
      <c r="C1302" s="59"/>
      <c r="D1302" s="59"/>
      <c r="E1302" s="59"/>
      <c r="F1302" s="59"/>
      <c r="G1302" s="59"/>
      <c r="H1302" s="59"/>
      <c r="I1302" s="59"/>
      <c r="J1302" s="59"/>
      <c r="K1302" s="59"/>
      <c r="L1302" s="59"/>
      <c r="M1302" s="59"/>
      <c r="N1302" s="59"/>
      <c r="O1302" s="59"/>
      <c r="P1302" s="59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59"/>
      <c r="AU1302" s="59"/>
      <c r="AV1302" s="59"/>
      <c r="AW1302" s="59"/>
      <c r="AX1302" s="59"/>
      <c r="AY1302" s="59"/>
      <c r="AZ1302" s="59"/>
      <c r="BA1302" s="59"/>
      <c r="BB1302" s="59"/>
      <c r="BC1302" s="59"/>
      <c r="BD1302" s="59"/>
      <c r="BE1302" s="59"/>
      <c r="BF1302" s="59"/>
      <c r="BG1302" s="59"/>
      <c r="BH1302" s="59"/>
      <c r="BI1302" s="59"/>
      <c r="BJ1302" s="59"/>
      <c r="BK1302" s="59"/>
      <c r="BL1302" s="59"/>
      <c r="BM1302" s="59"/>
      <c r="BN1302" s="59"/>
      <c r="BO1302" s="59"/>
      <c r="BP1302" s="59"/>
      <c r="BQ1302" s="59"/>
      <c r="BR1302" s="59"/>
      <c r="BS1302" s="59"/>
      <c r="BT1302" s="59"/>
      <c r="BU1302" s="59"/>
      <c r="BV1302" s="59"/>
      <c r="BW1302" s="59"/>
      <c r="BX1302" s="59"/>
      <c r="BY1302" s="59"/>
      <c r="BZ1302" s="59"/>
      <c r="CA1302" s="59"/>
      <c r="CB1302" s="59"/>
      <c r="CC1302" s="59"/>
      <c r="CD1302" s="59"/>
      <c r="CE1302" s="59"/>
      <c r="CF1302" s="59"/>
      <c r="CG1302" s="59"/>
      <c r="CH1302" s="59"/>
      <c r="CI1302" s="59"/>
      <c r="CJ1302" s="59"/>
      <c r="CK1302" s="59"/>
      <c r="CL1302" s="59"/>
      <c r="CM1302" s="59"/>
      <c r="CN1302" s="59"/>
      <c r="CO1302" s="59"/>
      <c r="CP1302" s="59"/>
      <c r="CQ1302" s="59"/>
      <c r="CR1302" s="59"/>
      <c r="CS1302" s="59"/>
      <c r="CT1302" s="59"/>
      <c r="CU1302" s="59"/>
      <c r="CV1302" s="59"/>
      <c r="CW1302" s="59"/>
      <c r="CX1302" s="59"/>
      <c r="CY1302" s="59"/>
      <c r="CZ1302" s="59"/>
      <c r="DA1302" s="59"/>
      <c r="DB1302" s="59"/>
      <c r="DC1302" s="59"/>
      <c r="DD1302" s="59"/>
      <c r="DE1302" s="59"/>
      <c r="DF1302" s="59"/>
      <c r="DG1302" s="59"/>
      <c r="DH1302" s="59"/>
      <c r="DI1302" s="59"/>
      <c r="DJ1302" s="59"/>
      <c r="DK1302" s="59"/>
      <c r="DL1302" s="59"/>
      <c r="DM1302" s="59"/>
      <c r="DN1302" s="59"/>
      <c r="DO1302" s="59"/>
      <c r="DP1302" s="59"/>
      <c r="DQ1302" s="59"/>
      <c r="DR1302" s="59"/>
      <c r="DS1302" s="59"/>
      <c r="DT1302" s="59"/>
      <c r="DU1302" s="59"/>
      <c r="DV1302" s="59"/>
      <c r="DW1302" s="59"/>
      <c r="DX1302" s="59"/>
      <c r="DY1302" s="59"/>
      <c r="DZ1302" s="59"/>
      <c r="EA1302" s="59"/>
      <c r="EB1302" s="59"/>
      <c r="EC1302" s="59"/>
      <c r="ED1302" s="59"/>
      <c r="EE1302" s="59"/>
      <c r="EF1302" s="59"/>
      <c r="EG1302" s="59"/>
      <c r="EH1302" s="59"/>
      <c r="EI1302" s="59"/>
      <c r="EJ1302" s="59"/>
      <c r="EK1302" s="59"/>
      <c r="EL1302" s="59"/>
      <c r="EM1302" s="59"/>
      <c r="EN1302" s="59"/>
      <c r="EO1302" s="59"/>
      <c r="EP1302" s="59"/>
      <c r="EQ1302" s="59"/>
      <c r="ER1302" s="59"/>
      <c r="ES1302" s="59"/>
      <c r="ET1302" s="59"/>
      <c r="EU1302" s="59"/>
      <c r="EV1302" s="59"/>
      <c r="EW1302" s="59"/>
      <c r="EX1302" s="59"/>
      <c r="EY1302" s="59"/>
      <c r="EZ1302" s="59"/>
      <c r="FA1302" s="59"/>
      <c r="FB1302" s="59"/>
      <c r="FC1302" s="59"/>
      <c r="FD1302" s="59"/>
      <c r="FE1302" s="59"/>
      <c r="FF1302" s="59"/>
      <c r="FG1302" s="59"/>
      <c r="FH1302" s="59"/>
      <c r="FI1302" s="59"/>
      <c r="FJ1302" s="59"/>
      <c r="FK1302" s="59"/>
      <c r="FL1302" s="59"/>
      <c r="FM1302" s="59"/>
      <c r="FN1302" s="59"/>
      <c r="FO1302" s="59"/>
      <c r="FP1302" s="59"/>
      <c r="FQ1302" s="59"/>
      <c r="FR1302" s="59"/>
      <c r="FS1302" s="59"/>
      <c r="FT1302" s="59"/>
      <c r="FU1302" s="59"/>
      <c r="FV1302" s="59"/>
      <c r="FW1302" s="59"/>
      <c r="FX1302" s="59"/>
      <c r="FY1302" s="59"/>
      <c r="FZ1302" s="59"/>
      <c r="GA1302" s="59"/>
      <c r="GB1302" s="59"/>
      <c r="GC1302" s="59"/>
    </row>
    <row r="1303">
      <c r="A1303" s="59"/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59"/>
      <c r="N1303" s="59"/>
      <c r="O1303" s="59"/>
      <c r="P1303" s="59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  <c r="AD1303" s="59"/>
      <c r="AE1303" s="59"/>
      <c r="AF1303" s="59"/>
      <c r="AG1303" s="59"/>
      <c r="AH1303" s="59"/>
      <c r="AI1303" s="59"/>
      <c r="AJ1303" s="59"/>
      <c r="AK1303" s="59"/>
      <c r="AL1303" s="59"/>
      <c r="AM1303" s="59"/>
      <c r="AN1303" s="59"/>
      <c r="AO1303" s="59"/>
      <c r="AP1303" s="59"/>
      <c r="AQ1303" s="59"/>
      <c r="AR1303" s="59"/>
      <c r="AS1303" s="59"/>
      <c r="AT1303" s="59"/>
      <c r="AU1303" s="59"/>
      <c r="AV1303" s="59"/>
      <c r="AW1303" s="59"/>
      <c r="AX1303" s="59"/>
      <c r="AY1303" s="59"/>
      <c r="AZ1303" s="59"/>
      <c r="BA1303" s="59"/>
      <c r="BB1303" s="59"/>
      <c r="BC1303" s="59"/>
      <c r="BD1303" s="59"/>
      <c r="BE1303" s="59"/>
      <c r="BF1303" s="59"/>
      <c r="BG1303" s="59"/>
      <c r="BH1303" s="59"/>
      <c r="BI1303" s="59"/>
      <c r="BJ1303" s="59"/>
      <c r="BK1303" s="59"/>
      <c r="BL1303" s="59"/>
      <c r="BM1303" s="59"/>
      <c r="BN1303" s="59"/>
      <c r="BO1303" s="59"/>
      <c r="BP1303" s="59"/>
      <c r="BQ1303" s="59"/>
      <c r="BR1303" s="59"/>
      <c r="BS1303" s="59"/>
      <c r="BT1303" s="59"/>
      <c r="BU1303" s="59"/>
      <c r="BV1303" s="59"/>
      <c r="BW1303" s="59"/>
      <c r="BX1303" s="59"/>
      <c r="BY1303" s="59"/>
      <c r="BZ1303" s="59"/>
      <c r="CA1303" s="59"/>
      <c r="CB1303" s="59"/>
      <c r="CC1303" s="59"/>
      <c r="CD1303" s="59"/>
      <c r="CE1303" s="59"/>
      <c r="CF1303" s="59"/>
      <c r="CG1303" s="59"/>
      <c r="CH1303" s="59"/>
      <c r="CI1303" s="59"/>
      <c r="CJ1303" s="59"/>
      <c r="CK1303" s="59"/>
      <c r="CL1303" s="59"/>
      <c r="CM1303" s="59"/>
      <c r="CN1303" s="59"/>
      <c r="CO1303" s="59"/>
      <c r="CP1303" s="59"/>
      <c r="CQ1303" s="59"/>
      <c r="CR1303" s="59"/>
      <c r="CS1303" s="59"/>
      <c r="CT1303" s="59"/>
      <c r="CU1303" s="59"/>
      <c r="CV1303" s="59"/>
      <c r="CW1303" s="59"/>
      <c r="CX1303" s="59"/>
      <c r="CY1303" s="59"/>
      <c r="CZ1303" s="59"/>
      <c r="DA1303" s="59"/>
      <c r="DB1303" s="59"/>
      <c r="DC1303" s="59"/>
      <c r="DD1303" s="59"/>
      <c r="DE1303" s="59"/>
      <c r="DF1303" s="59"/>
      <c r="DG1303" s="59"/>
      <c r="DH1303" s="59"/>
      <c r="DI1303" s="59"/>
      <c r="DJ1303" s="59"/>
      <c r="DK1303" s="59"/>
      <c r="DL1303" s="59"/>
      <c r="DM1303" s="59"/>
      <c r="DN1303" s="59"/>
      <c r="DO1303" s="59"/>
      <c r="DP1303" s="59"/>
      <c r="DQ1303" s="59"/>
      <c r="DR1303" s="59"/>
      <c r="DS1303" s="59"/>
      <c r="DT1303" s="59"/>
      <c r="DU1303" s="59"/>
      <c r="DV1303" s="59"/>
      <c r="DW1303" s="59"/>
      <c r="DX1303" s="59"/>
      <c r="DY1303" s="59"/>
      <c r="DZ1303" s="59"/>
      <c r="EA1303" s="59"/>
      <c r="EB1303" s="59"/>
      <c r="EC1303" s="59"/>
      <c r="ED1303" s="59"/>
      <c r="EE1303" s="59"/>
      <c r="EF1303" s="59"/>
      <c r="EG1303" s="59"/>
      <c r="EH1303" s="59"/>
      <c r="EI1303" s="59"/>
      <c r="EJ1303" s="59"/>
      <c r="EK1303" s="59"/>
      <c r="EL1303" s="59"/>
      <c r="EM1303" s="59"/>
      <c r="EN1303" s="59"/>
      <c r="EO1303" s="59"/>
      <c r="EP1303" s="59"/>
      <c r="EQ1303" s="59"/>
      <c r="ER1303" s="59"/>
      <c r="ES1303" s="59"/>
      <c r="ET1303" s="59"/>
      <c r="EU1303" s="59"/>
      <c r="EV1303" s="59"/>
      <c r="EW1303" s="59"/>
      <c r="EX1303" s="59"/>
      <c r="EY1303" s="59"/>
      <c r="EZ1303" s="59"/>
      <c r="FA1303" s="59"/>
      <c r="FB1303" s="59"/>
      <c r="FC1303" s="59"/>
      <c r="FD1303" s="59"/>
      <c r="FE1303" s="59"/>
      <c r="FF1303" s="59"/>
      <c r="FG1303" s="59"/>
      <c r="FH1303" s="59"/>
      <c r="FI1303" s="59"/>
      <c r="FJ1303" s="59"/>
      <c r="FK1303" s="59"/>
      <c r="FL1303" s="59"/>
      <c r="FM1303" s="59"/>
      <c r="FN1303" s="59"/>
      <c r="FO1303" s="59"/>
      <c r="FP1303" s="59"/>
      <c r="FQ1303" s="59"/>
      <c r="FR1303" s="59"/>
      <c r="FS1303" s="59"/>
      <c r="FT1303" s="59"/>
      <c r="FU1303" s="59"/>
      <c r="FV1303" s="59"/>
      <c r="FW1303" s="59"/>
      <c r="FX1303" s="59"/>
      <c r="FY1303" s="59"/>
      <c r="FZ1303" s="59"/>
      <c r="GA1303" s="59"/>
      <c r="GB1303" s="59"/>
      <c r="GC1303" s="59"/>
    </row>
    <row r="1304">
      <c r="A1304" s="59"/>
      <c r="B1304" s="59"/>
      <c r="C1304" s="59"/>
      <c r="D1304" s="59"/>
      <c r="E1304" s="59"/>
      <c r="F1304" s="59"/>
      <c r="G1304" s="59"/>
      <c r="H1304" s="59"/>
      <c r="I1304" s="59"/>
      <c r="J1304" s="59"/>
      <c r="K1304" s="59"/>
      <c r="L1304" s="59"/>
      <c r="M1304" s="59"/>
      <c r="N1304" s="59"/>
      <c r="O1304" s="59"/>
      <c r="P1304" s="59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59"/>
      <c r="AU1304" s="59"/>
      <c r="AV1304" s="59"/>
      <c r="AW1304" s="59"/>
      <c r="AX1304" s="59"/>
      <c r="AY1304" s="59"/>
      <c r="AZ1304" s="59"/>
      <c r="BA1304" s="59"/>
      <c r="BB1304" s="59"/>
      <c r="BC1304" s="59"/>
      <c r="BD1304" s="59"/>
      <c r="BE1304" s="59"/>
      <c r="BF1304" s="59"/>
      <c r="BG1304" s="59"/>
      <c r="BH1304" s="59"/>
      <c r="BI1304" s="59"/>
      <c r="BJ1304" s="59"/>
      <c r="BK1304" s="59"/>
      <c r="BL1304" s="59"/>
      <c r="BM1304" s="59"/>
      <c r="BN1304" s="59"/>
      <c r="BO1304" s="59"/>
      <c r="BP1304" s="59"/>
      <c r="BQ1304" s="59"/>
      <c r="BR1304" s="59"/>
      <c r="BS1304" s="59"/>
      <c r="BT1304" s="59"/>
      <c r="BU1304" s="59"/>
      <c r="BV1304" s="59"/>
      <c r="BW1304" s="59"/>
      <c r="BX1304" s="59"/>
      <c r="BY1304" s="59"/>
      <c r="BZ1304" s="59"/>
      <c r="CA1304" s="59"/>
      <c r="CB1304" s="59"/>
      <c r="CC1304" s="59"/>
      <c r="CD1304" s="59"/>
      <c r="CE1304" s="59"/>
      <c r="CF1304" s="59"/>
      <c r="CG1304" s="59"/>
      <c r="CH1304" s="59"/>
      <c r="CI1304" s="59"/>
      <c r="CJ1304" s="59"/>
      <c r="CK1304" s="59"/>
      <c r="CL1304" s="59"/>
      <c r="CM1304" s="59"/>
      <c r="CN1304" s="59"/>
      <c r="CO1304" s="59"/>
      <c r="CP1304" s="59"/>
      <c r="CQ1304" s="59"/>
      <c r="CR1304" s="59"/>
      <c r="CS1304" s="59"/>
      <c r="CT1304" s="59"/>
      <c r="CU1304" s="59"/>
      <c r="CV1304" s="59"/>
      <c r="CW1304" s="59"/>
      <c r="CX1304" s="59"/>
      <c r="CY1304" s="59"/>
      <c r="CZ1304" s="59"/>
      <c r="DA1304" s="59"/>
      <c r="DB1304" s="59"/>
      <c r="DC1304" s="59"/>
      <c r="DD1304" s="59"/>
      <c r="DE1304" s="59"/>
      <c r="DF1304" s="59"/>
      <c r="DG1304" s="59"/>
      <c r="DH1304" s="59"/>
      <c r="DI1304" s="59"/>
      <c r="DJ1304" s="59"/>
      <c r="DK1304" s="59"/>
      <c r="DL1304" s="59"/>
      <c r="DM1304" s="59"/>
      <c r="DN1304" s="59"/>
      <c r="DO1304" s="59"/>
      <c r="DP1304" s="59"/>
      <c r="DQ1304" s="59"/>
      <c r="DR1304" s="59"/>
      <c r="DS1304" s="59"/>
      <c r="DT1304" s="59"/>
      <c r="DU1304" s="59"/>
      <c r="DV1304" s="59"/>
      <c r="DW1304" s="59"/>
      <c r="DX1304" s="59"/>
      <c r="DY1304" s="59"/>
      <c r="DZ1304" s="59"/>
      <c r="EA1304" s="59"/>
      <c r="EB1304" s="59"/>
      <c r="EC1304" s="59"/>
      <c r="ED1304" s="59"/>
      <c r="EE1304" s="59"/>
      <c r="EF1304" s="59"/>
      <c r="EG1304" s="59"/>
      <c r="EH1304" s="59"/>
      <c r="EI1304" s="59"/>
      <c r="EJ1304" s="59"/>
      <c r="EK1304" s="59"/>
      <c r="EL1304" s="59"/>
      <c r="EM1304" s="59"/>
      <c r="EN1304" s="59"/>
      <c r="EO1304" s="59"/>
      <c r="EP1304" s="59"/>
      <c r="EQ1304" s="59"/>
      <c r="ER1304" s="59"/>
      <c r="ES1304" s="59"/>
      <c r="ET1304" s="59"/>
      <c r="EU1304" s="59"/>
      <c r="EV1304" s="59"/>
      <c r="EW1304" s="59"/>
      <c r="EX1304" s="59"/>
      <c r="EY1304" s="59"/>
      <c r="EZ1304" s="59"/>
      <c r="FA1304" s="59"/>
      <c r="FB1304" s="59"/>
      <c r="FC1304" s="59"/>
      <c r="FD1304" s="59"/>
      <c r="FE1304" s="59"/>
      <c r="FF1304" s="59"/>
      <c r="FG1304" s="59"/>
      <c r="FH1304" s="59"/>
      <c r="FI1304" s="59"/>
      <c r="FJ1304" s="59"/>
      <c r="FK1304" s="59"/>
      <c r="FL1304" s="59"/>
      <c r="FM1304" s="59"/>
      <c r="FN1304" s="59"/>
      <c r="FO1304" s="59"/>
      <c r="FP1304" s="59"/>
      <c r="FQ1304" s="59"/>
      <c r="FR1304" s="59"/>
      <c r="FS1304" s="59"/>
      <c r="FT1304" s="59"/>
      <c r="FU1304" s="59"/>
      <c r="FV1304" s="59"/>
      <c r="FW1304" s="59"/>
      <c r="FX1304" s="59"/>
      <c r="FY1304" s="59"/>
      <c r="FZ1304" s="59"/>
      <c r="GA1304" s="59"/>
      <c r="GB1304" s="59"/>
      <c r="GC1304" s="59"/>
    </row>
    <row r="1305">
      <c r="A1305" s="59"/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59"/>
      <c r="N1305" s="59"/>
      <c r="O1305" s="59"/>
      <c r="P1305" s="59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  <c r="AD1305" s="59"/>
      <c r="AE1305" s="59"/>
      <c r="AF1305" s="59"/>
      <c r="AG1305" s="59"/>
      <c r="AH1305" s="59"/>
      <c r="AI1305" s="59"/>
      <c r="AJ1305" s="59"/>
      <c r="AK1305" s="59"/>
      <c r="AL1305" s="59"/>
      <c r="AM1305" s="59"/>
      <c r="AN1305" s="59"/>
      <c r="AO1305" s="59"/>
      <c r="AP1305" s="59"/>
      <c r="AQ1305" s="59"/>
      <c r="AR1305" s="59"/>
      <c r="AS1305" s="59"/>
      <c r="AT1305" s="59"/>
      <c r="AU1305" s="59"/>
      <c r="AV1305" s="59"/>
      <c r="AW1305" s="59"/>
      <c r="AX1305" s="59"/>
      <c r="AY1305" s="59"/>
      <c r="AZ1305" s="59"/>
      <c r="BA1305" s="59"/>
      <c r="BB1305" s="59"/>
      <c r="BC1305" s="59"/>
      <c r="BD1305" s="59"/>
      <c r="BE1305" s="59"/>
      <c r="BF1305" s="59"/>
      <c r="BG1305" s="59"/>
      <c r="BH1305" s="59"/>
      <c r="BI1305" s="59"/>
      <c r="BJ1305" s="59"/>
      <c r="BK1305" s="59"/>
      <c r="BL1305" s="59"/>
      <c r="BM1305" s="59"/>
      <c r="BN1305" s="59"/>
      <c r="BO1305" s="59"/>
      <c r="BP1305" s="59"/>
      <c r="BQ1305" s="59"/>
      <c r="BR1305" s="59"/>
      <c r="BS1305" s="59"/>
      <c r="BT1305" s="59"/>
      <c r="BU1305" s="59"/>
      <c r="BV1305" s="59"/>
      <c r="BW1305" s="59"/>
      <c r="BX1305" s="59"/>
      <c r="BY1305" s="59"/>
      <c r="BZ1305" s="59"/>
      <c r="CA1305" s="59"/>
      <c r="CB1305" s="59"/>
      <c r="CC1305" s="59"/>
      <c r="CD1305" s="59"/>
      <c r="CE1305" s="59"/>
      <c r="CF1305" s="59"/>
      <c r="CG1305" s="59"/>
      <c r="CH1305" s="59"/>
      <c r="CI1305" s="59"/>
      <c r="CJ1305" s="59"/>
      <c r="CK1305" s="59"/>
      <c r="CL1305" s="59"/>
      <c r="CM1305" s="59"/>
      <c r="CN1305" s="59"/>
      <c r="CO1305" s="59"/>
      <c r="CP1305" s="59"/>
      <c r="CQ1305" s="59"/>
      <c r="CR1305" s="59"/>
      <c r="CS1305" s="59"/>
      <c r="CT1305" s="59"/>
      <c r="CU1305" s="59"/>
      <c r="CV1305" s="59"/>
      <c r="CW1305" s="59"/>
      <c r="CX1305" s="59"/>
      <c r="CY1305" s="59"/>
      <c r="CZ1305" s="59"/>
      <c r="DA1305" s="59"/>
      <c r="DB1305" s="59"/>
      <c r="DC1305" s="59"/>
      <c r="DD1305" s="59"/>
      <c r="DE1305" s="59"/>
      <c r="DF1305" s="59"/>
      <c r="DG1305" s="59"/>
      <c r="DH1305" s="59"/>
      <c r="DI1305" s="59"/>
      <c r="DJ1305" s="59"/>
      <c r="DK1305" s="59"/>
      <c r="DL1305" s="59"/>
      <c r="DM1305" s="59"/>
      <c r="DN1305" s="59"/>
      <c r="DO1305" s="59"/>
      <c r="DP1305" s="59"/>
      <c r="DQ1305" s="59"/>
      <c r="DR1305" s="59"/>
      <c r="DS1305" s="59"/>
      <c r="DT1305" s="59"/>
      <c r="DU1305" s="59"/>
      <c r="DV1305" s="59"/>
      <c r="DW1305" s="59"/>
      <c r="DX1305" s="59"/>
      <c r="DY1305" s="59"/>
      <c r="DZ1305" s="59"/>
      <c r="EA1305" s="59"/>
      <c r="EB1305" s="59"/>
      <c r="EC1305" s="59"/>
      <c r="ED1305" s="59"/>
      <c r="EE1305" s="59"/>
      <c r="EF1305" s="59"/>
      <c r="EG1305" s="59"/>
      <c r="EH1305" s="59"/>
      <c r="EI1305" s="59"/>
      <c r="EJ1305" s="59"/>
      <c r="EK1305" s="59"/>
      <c r="EL1305" s="59"/>
      <c r="EM1305" s="59"/>
      <c r="EN1305" s="59"/>
      <c r="EO1305" s="59"/>
      <c r="EP1305" s="59"/>
      <c r="EQ1305" s="59"/>
      <c r="ER1305" s="59"/>
      <c r="ES1305" s="59"/>
      <c r="ET1305" s="59"/>
      <c r="EU1305" s="59"/>
      <c r="EV1305" s="59"/>
      <c r="EW1305" s="59"/>
      <c r="EX1305" s="59"/>
      <c r="EY1305" s="59"/>
      <c r="EZ1305" s="59"/>
      <c r="FA1305" s="59"/>
      <c r="FB1305" s="59"/>
      <c r="FC1305" s="59"/>
      <c r="FD1305" s="59"/>
      <c r="FE1305" s="59"/>
      <c r="FF1305" s="59"/>
      <c r="FG1305" s="59"/>
      <c r="FH1305" s="59"/>
      <c r="FI1305" s="59"/>
      <c r="FJ1305" s="59"/>
      <c r="FK1305" s="59"/>
      <c r="FL1305" s="59"/>
      <c r="FM1305" s="59"/>
      <c r="FN1305" s="59"/>
      <c r="FO1305" s="59"/>
      <c r="FP1305" s="59"/>
      <c r="FQ1305" s="59"/>
      <c r="FR1305" s="59"/>
      <c r="FS1305" s="59"/>
      <c r="FT1305" s="59"/>
      <c r="FU1305" s="59"/>
      <c r="FV1305" s="59"/>
      <c r="FW1305" s="59"/>
      <c r="FX1305" s="59"/>
      <c r="FY1305" s="59"/>
      <c r="FZ1305" s="59"/>
      <c r="GA1305" s="59"/>
      <c r="GB1305" s="59"/>
      <c r="GC1305" s="59"/>
    </row>
    <row r="1306">
      <c r="A1306" s="59"/>
      <c r="B1306" s="59"/>
      <c r="C1306" s="59"/>
      <c r="D1306" s="59"/>
      <c r="E1306" s="59"/>
      <c r="F1306" s="59"/>
      <c r="G1306" s="59"/>
      <c r="H1306" s="59"/>
      <c r="I1306" s="59"/>
      <c r="J1306" s="59"/>
      <c r="K1306" s="59"/>
      <c r="L1306" s="59"/>
      <c r="M1306" s="59"/>
      <c r="N1306" s="59"/>
      <c r="O1306" s="59"/>
      <c r="P1306" s="59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59"/>
      <c r="AU1306" s="59"/>
      <c r="AV1306" s="59"/>
      <c r="AW1306" s="59"/>
      <c r="AX1306" s="59"/>
      <c r="AY1306" s="59"/>
      <c r="AZ1306" s="59"/>
      <c r="BA1306" s="59"/>
      <c r="BB1306" s="59"/>
      <c r="BC1306" s="59"/>
      <c r="BD1306" s="59"/>
      <c r="BE1306" s="59"/>
      <c r="BF1306" s="59"/>
      <c r="BG1306" s="59"/>
      <c r="BH1306" s="59"/>
      <c r="BI1306" s="59"/>
      <c r="BJ1306" s="59"/>
      <c r="BK1306" s="59"/>
      <c r="BL1306" s="59"/>
      <c r="BM1306" s="59"/>
      <c r="BN1306" s="59"/>
      <c r="BO1306" s="59"/>
      <c r="BP1306" s="59"/>
      <c r="BQ1306" s="59"/>
      <c r="BR1306" s="59"/>
      <c r="BS1306" s="59"/>
      <c r="BT1306" s="59"/>
      <c r="BU1306" s="59"/>
      <c r="BV1306" s="59"/>
      <c r="BW1306" s="59"/>
      <c r="BX1306" s="59"/>
      <c r="BY1306" s="59"/>
      <c r="BZ1306" s="59"/>
      <c r="CA1306" s="59"/>
      <c r="CB1306" s="59"/>
      <c r="CC1306" s="59"/>
      <c r="CD1306" s="59"/>
      <c r="CE1306" s="59"/>
      <c r="CF1306" s="59"/>
      <c r="CG1306" s="59"/>
      <c r="CH1306" s="59"/>
      <c r="CI1306" s="59"/>
      <c r="CJ1306" s="59"/>
      <c r="CK1306" s="59"/>
      <c r="CL1306" s="59"/>
      <c r="CM1306" s="59"/>
      <c r="CN1306" s="59"/>
      <c r="CO1306" s="59"/>
      <c r="CP1306" s="59"/>
      <c r="CQ1306" s="59"/>
      <c r="CR1306" s="59"/>
      <c r="CS1306" s="59"/>
      <c r="CT1306" s="59"/>
      <c r="CU1306" s="59"/>
      <c r="CV1306" s="59"/>
      <c r="CW1306" s="59"/>
      <c r="CX1306" s="59"/>
      <c r="CY1306" s="59"/>
      <c r="CZ1306" s="59"/>
      <c r="DA1306" s="59"/>
      <c r="DB1306" s="59"/>
      <c r="DC1306" s="59"/>
      <c r="DD1306" s="59"/>
      <c r="DE1306" s="59"/>
      <c r="DF1306" s="59"/>
      <c r="DG1306" s="59"/>
      <c r="DH1306" s="59"/>
      <c r="DI1306" s="59"/>
      <c r="DJ1306" s="59"/>
      <c r="DK1306" s="59"/>
      <c r="DL1306" s="59"/>
      <c r="DM1306" s="59"/>
      <c r="DN1306" s="59"/>
      <c r="DO1306" s="59"/>
      <c r="DP1306" s="59"/>
      <c r="DQ1306" s="59"/>
      <c r="DR1306" s="59"/>
      <c r="DS1306" s="59"/>
      <c r="DT1306" s="59"/>
      <c r="DU1306" s="59"/>
      <c r="DV1306" s="59"/>
      <c r="DW1306" s="59"/>
      <c r="DX1306" s="59"/>
      <c r="DY1306" s="59"/>
      <c r="DZ1306" s="59"/>
      <c r="EA1306" s="59"/>
      <c r="EB1306" s="59"/>
      <c r="EC1306" s="59"/>
      <c r="ED1306" s="59"/>
      <c r="EE1306" s="59"/>
      <c r="EF1306" s="59"/>
      <c r="EG1306" s="59"/>
      <c r="EH1306" s="59"/>
      <c r="EI1306" s="59"/>
      <c r="EJ1306" s="59"/>
      <c r="EK1306" s="59"/>
      <c r="EL1306" s="59"/>
      <c r="EM1306" s="59"/>
      <c r="EN1306" s="59"/>
      <c r="EO1306" s="59"/>
      <c r="EP1306" s="59"/>
      <c r="EQ1306" s="59"/>
      <c r="ER1306" s="59"/>
      <c r="ES1306" s="59"/>
      <c r="ET1306" s="59"/>
      <c r="EU1306" s="59"/>
      <c r="EV1306" s="59"/>
      <c r="EW1306" s="59"/>
      <c r="EX1306" s="59"/>
      <c r="EY1306" s="59"/>
      <c r="EZ1306" s="59"/>
      <c r="FA1306" s="59"/>
      <c r="FB1306" s="59"/>
      <c r="FC1306" s="59"/>
      <c r="FD1306" s="59"/>
      <c r="FE1306" s="59"/>
      <c r="FF1306" s="59"/>
      <c r="FG1306" s="59"/>
      <c r="FH1306" s="59"/>
      <c r="FI1306" s="59"/>
      <c r="FJ1306" s="59"/>
      <c r="FK1306" s="59"/>
      <c r="FL1306" s="59"/>
      <c r="FM1306" s="59"/>
      <c r="FN1306" s="59"/>
      <c r="FO1306" s="59"/>
      <c r="FP1306" s="59"/>
      <c r="FQ1306" s="59"/>
      <c r="FR1306" s="59"/>
      <c r="FS1306" s="59"/>
      <c r="FT1306" s="59"/>
      <c r="FU1306" s="59"/>
      <c r="FV1306" s="59"/>
      <c r="FW1306" s="59"/>
      <c r="FX1306" s="59"/>
      <c r="FY1306" s="59"/>
      <c r="FZ1306" s="59"/>
      <c r="GA1306" s="59"/>
      <c r="GB1306" s="59"/>
      <c r="GC1306" s="59"/>
    </row>
    <row r="1307">
      <c r="A1307" s="59"/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59"/>
      <c r="P1307" s="59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  <c r="AD1307" s="59"/>
      <c r="AE1307" s="59"/>
      <c r="AF1307" s="59"/>
      <c r="AG1307" s="59"/>
      <c r="AH1307" s="59"/>
      <c r="AI1307" s="59"/>
      <c r="AJ1307" s="59"/>
      <c r="AK1307" s="59"/>
      <c r="AL1307" s="59"/>
      <c r="AM1307" s="59"/>
      <c r="AN1307" s="59"/>
      <c r="AO1307" s="59"/>
      <c r="AP1307" s="59"/>
      <c r="AQ1307" s="59"/>
      <c r="AR1307" s="59"/>
      <c r="AS1307" s="59"/>
      <c r="AT1307" s="59"/>
      <c r="AU1307" s="59"/>
      <c r="AV1307" s="59"/>
      <c r="AW1307" s="59"/>
      <c r="AX1307" s="59"/>
      <c r="AY1307" s="59"/>
      <c r="AZ1307" s="59"/>
      <c r="BA1307" s="59"/>
      <c r="BB1307" s="59"/>
      <c r="BC1307" s="59"/>
      <c r="BD1307" s="59"/>
      <c r="BE1307" s="59"/>
      <c r="BF1307" s="59"/>
      <c r="BG1307" s="59"/>
      <c r="BH1307" s="59"/>
      <c r="BI1307" s="59"/>
      <c r="BJ1307" s="59"/>
      <c r="BK1307" s="59"/>
      <c r="BL1307" s="59"/>
      <c r="BM1307" s="59"/>
      <c r="BN1307" s="59"/>
      <c r="BO1307" s="59"/>
      <c r="BP1307" s="59"/>
      <c r="BQ1307" s="59"/>
      <c r="BR1307" s="59"/>
      <c r="BS1307" s="59"/>
      <c r="BT1307" s="59"/>
      <c r="BU1307" s="59"/>
      <c r="BV1307" s="59"/>
      <c r="BW1307" s="59"/>
      <c r="BX1307" s="59"/>
      <c r="BY1307" s="59"/>
      <c r="BZ1307" s="59"/>
      <c r="CA1307" s="59"/>
      <c r="CB1307" s="59"/>
      <c r="CC1307" s="59"/>
      <c r="CD1307" s="59"/>
      <c r="CE1307" s="59"/>
      <c r="CF1307" s="59"/>
      <c r="CG1307" s="59"/>
      <c r="CH1307" s="59"/>
      <c r="CI1307" s="59"/>
      <c r="CJ1307" s="59"/>
      <c r="CK1307" s="59"/>
      <c r="CL1307" s="59"/>
      <c r="CM1307" s="59"/>
      <c r="CN1307" s="59"/>
      <c r="CO1307" s="59"/>
      <c r="CP1307" s="59"/>
      <c r="CQ1307" s="59"/>
      <c r="CR1307" s="59"/>
      <c r="CS1307" s="59"/>
      <c r="CT1307" s="59"/>
      <c r="CU1307" s="59"/>
      <c r="CV1307" s="59"/>
      <c r="CW1307" s="59"/>
      <c r="CX1307" s="59"/>
      <c r="CY1307" s="59"/>
      <c r="CZ1307" s="59"/>
      <c r="DA1307" s="59"/>
      <c r="DB1307" s="59"/>
      <c r="DC1307" s="59"/>
      <c r="DD1307" s="59"/>
      <c r="DE1307" s="59"/>
      <c r="DF1307" s="59"/>
      <c r="DG1307" s="59"/>
      <c r="DH1307" s="59"/>
      <c r="DI1307" s="59"/>
      <c r="DJ1307" s="59"/>
      <c r="DK1307" s="59"/>
      <c r="DL1307" s="59"/>
      <c r="DM1307" s="59"/>
      <c r="DN1307" s="59"/>
      <c r="DO1307" s="59"/>
      <c r="DP1307" s="59"/>
      <c r="DQ1307" s="59"/>
      <c r="DR1307" s="59"/>
      <c r="DS1307" s="59"/>
      <c r="DT1307" s="59"/>
      <c r="DU1307" s="59"/>
      <c r="DV1307" s="59"/>
      <c r="DW1307" s="59"/>
      <c r="DX1307" s="59"/>
      <c r="DY1307" s="59"/>
      <c r="DZ1307" s="59"/>
      <c r="EA1307" s="59"/>
      <c r="EB1307" s="59"/>
      <c r="EC1307" s="59"/>
      <c r="ED1307" s="59"/>
      <c r="EE1307" s="59"/>
      <c r="EF1307" s="59"/>
      <c r="EG1307" s="59"/>
      <c r="EH1307" s="59"/>
      <c r="EI1307" s="59"/>
      <c r="EJ1307" s="59"/>
      <c r="EK1307" s="59"/>
      <c r="EL1307" s="59"/>
      <c r="EM1307" s="59"/>
      <c r="EN1307" s="59"/>
      <c r="EO1307" s="59"/>
      <c r="EP1307" s="59"/>
      <c r="EQ1307" s="59"/>
      <c r="ER1307" s="59"/>
      <c r="ES1307" s="59"/>
      <c r="ET1307" s="59"/>
      <c r="EU1307" s="59"/>
      <c r="EV1307" s="59"/>
      <c r="EW1307" s="59"/>
      <c r="EX1307" s="59"/>
      <c r="EY1307" s="59"/>
      <c r="EZ1307" s="59"/>
      <c r="FA1307" s="59"/>
      <c r="FB1307" s="59"/>
      <c r="FC1307" s="59"/>
      <c r="FD1307" s="59"/>
      <c r="FE1307" s="59"/>
      <c r="FF1307" s="59"/>
      <c r="FG1307" s="59"/>
      <c r="FH1307" s="59"/>
      <c r="FI1307" s="59"/>
      <c r="FJ1307" s="59"/>
      <c r="FK1307" s="59"/>
      <c r="FL1307" s="59"/>
      <c r="FM1307" s="59"/>
      <c r="FN1307" s="59"/>
      <c r="FO1307" s="59"/>
      <c r="FP1307" s="59"/>
      <c r="FQ1307" s="59"/>
      <c r="FR1307" s="59"/>
      <c r="FS1307" s="59"/>
      <c r="FT1307" s="59"/>
      <c r="FU1307" s="59"/>
      <c r="FV1307" s="59"/>
      <c r="FW1307" s="59"/>
      <c r="FX1307" s="59"/>
      <c r="FY1307" s="59"/>
      <c r="FZ1307" s="59"/>
      <c r="GA1307" s="59"/>
      <c r="GB1307" s="59"/>
      <c r="GC1307" s="59"/>
    </row>
    <row r="1308">
      <c r="A1308" s="59"/>
      <c r="B1308" s="59"/>
      <c r="C1308" s="59"/>
      <c r="D1308" s="59"/>
      <c r="E1308" s="59"/>
      <c r="F1308" s="59"/>
      <c r="G1308" s="59"/>
      <c r="H1308" s="59"/>
      <c r="I1308" s="59"/>
      <c r="J1308" s="59"/>
      <c r="K1308" s="59"/>
      <c r="L1308" s="59"/>
      <c r="M1308" s="59"/>
      <c r="N1308" s="59"/>
      <c r="O1308" s="59"/>
      <c r="P1308" s="59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59"/>
      <c r="AU1308" s="59"/>
      <c r="AV1308" s="59"/>
      <c r="AW1308" s="59"/>
      <c r="AX1308" s="59"/>
      <c r="AY1308" s="59"/>
      <c r="AZ1308" s="59"/>
      <c r="BA1308" s="59"/>
      <c r="BB1308" s="59"/>
      <c r="BC1308" s="59"/>
      <c r="BD1308" s="59"/>
      <c r="BE1308" s="59"/>
      <c r="BF1308" s="59"/>
      <c r="BG1308" s="59"/>
      <c r="BH1308" s="59"/>
      <c r="BI1308" s="59"/>
      <c r="BJ1308" s="59"/>
      <c r="BK1308" s="59"/>
      <c r="BL1308" s="59"/>
      <c r="BM1308" s="59"/>
      <c r="BN1308" s="59"/>
      <c r="BO1308" s="59"/>
      <c r="BP1308" s="59"/>
      <c r="BQ1308" s="59"/>
      <c r="BR1308" s="59"/>
      <c r="BS1308" s="59"/>
      <c r="BT1308" s="59"/>
      <c r="BU1308" s="59"/>
      <c r="BV1308" s="59"/>
      <c r="BW1308" s="59"/>
      <c r="BX1308" s="59"/>
      <c r="BY1308" s="59"/>
      <c r="BZ1308" s="59"/>
      <c r="CA1308" s="59"/>
      <c r="CB1308" s="59"/>
      <c r="CC1308" s="59"/>
      <c r="CD1308" s="59"/>
      <c r="CE1308" s="59"/>
      <c r="CF1308" s="59"/>
      <c r="CG1308" s="59"/>
      <c r="CH1308" s="59"/>
      <c r="CI1308" s="59"/>
      <c r="CJ1308" s="59"/>
      <c r="CK1308" s="59"/>
      <c r="CL1308" s="59"/>
      <c r="CM1308" s="59"/>
      <c r="CN1308" s="59"/>
      <c r="CO1308" s="59"/>
      <c r="CP1308" s="59"/>
      <c r="CQ1308" s="59"/>
      <c r="CR1308" s="59"/>
      <c r="CS1308" s="59"/>
      <c r="CT1308" s="59"/>
      <c r="CU1308" s="59"/>
      <c r="CV1308" s="59"/>
      <c r="CW1308" s="59"/>
      <c r="CX1308" s="59"/>
      <c r="CY1308" s="59"/>
      <c r="CZ1308" s="59"/>
      <c r="DA1308" s="59"/>
      <c r="DB1308" s="59"/>
      <c r="DC1308" s="59"/>
      <c r="DD1308" s="59"/>
      <c r="DE1308" s="59"/>
      <c r="DF1308" s="59"/>
      <c r="DG1308" s="59"/>
      <c r="DH1308" s="59"/>
      <c r="DI1308" s="59"/>
      <c r="DJ1308" s="59"/>
      <c r="DK1308" s="59"/>
      <c r="DL1308" s="59"/>
      <c r="DM1308" s="59"/>
      <c r="DN1308" s="59"/>
      <c r="DO1308" s="59"/>
      <c r="DP1308" s="59"/>
      <c r="DQ1308" s="59"/>
      <c r="DR1308" s="59"/>
      <c r="DS1308" s="59"/>
      <c r="DT1308" s="59"/>
      <c r="DU1308" s="59"/>
      <c r="DV1308" s="59"/>
      <c r="DW1308" s="59"/>
      <c r="DX1308" s="59"/>
      <c r="DY1308" s="59"/>
      <c r="DZ1308" s="59"/>
      <c r="EA1308" s="59"/>
      <c r="EB1308" s="59"/>
      <c r="EC1308" s="59"/>
      <c r="ED1308" s="59"/>
      <c r="EE1308" s="59"/>
      <c r="EF1308" s="59"/>
      <c r="EG1308" s="59"/>
      <c r="EH1308" s="59"/>
      <c r="EI1308" s="59"/>
      <c r="EJ1308" s="59"/>
      <c r="EK1308" s="59"/>
      <c r="EL1308" s="59"/>
      <c r="EM1308" s="59"/>
      <c r="EN1308" s="59"/>
      <c r="EO1308" s="59"/>
      <c r="EP1308" s="59"/>
      <c r="EQ1308" s="59"/>
      <c r="ER1308" s="59"/>
      <c r="ES1308" s="59"/>
      <c r="ET1308" s="59"/>
      <c r="EU1308" s="59"/>
      <c r="EV1308" s="59"/>
      <c r="EW1308" s="59"/>
      <c r="EX1308" s="59"/>
      <c r="EY1308" s="59"/>
      <c r="EZ1308" s="59"/>
      <c r="FA1308" s="59"/>
      <c r="FB1308" s="59"/>
      <c r="FC1308" s="59"/>
      <c r="FD1308" s="59"/>
      <c r="FE1308" s="59"/>
      <c r="FF1308" s="59"/>
      <c r="FG1308" s="59"/>
      <c r="FH1308" s="59"/>
      <c r="FI1308" s="59"/>
      <c r="FJ1308" s="59"/>
      <c r="FK1308" s="59"/>
      <c r="FL1308" s="59"/>
      <c r="FM1308" s="59"/>
      <c r="FN1308" s="59"/>
      <c r="FO1308" s="59"/>
      <c r="FP1308" s="59"/>
      <c r="FQ1308" s="59"/>
      <c r="FR1308" s="59"/>
      <c r="FS1308" s="59"/>
      <c r="FT1308" s="59"/>
      <c r="FU1308" s="59"/>
      <c r="FV1308" s="59"/>
      <c r="FW1308" s="59"/>
      <c r="FX1308" s="59"/>
      <c r="FY1308" s="59"/>
      <c r="FZ1308" s="59"/>
      <c r="GA1308" s="59"/>
      <c r="GB1308" s="59"/>
      <c r="GC1308" s="59"/>
    </row>
    <row r="1309">
      <c r="A1309" s="59"/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  <c r="AR1309" s="59"/>
      <c r="AS1309" s="59"/>
      <c r="AT1309" s="59"/>
      <c r="AU1309" s="59"/>
      <c r="AV1309" s="59"/>
      <c r="AW1309" s="59"/>
      <c r="AX1309" s="59"/>
      <c r="AY1309" s="59"/>
      <c r="AZ1309" s="59"/>
      <c r="BA1309" s="59"/>
      <c r="BB1309" s="59"/>
      <c r="BC1309" s="59"/>
      <c r="BD1309" s="59"/>
      <c r="BE1309" s="59"/>
      <c r="BF1309" s="59"/>
      <c r="BG1309" s="59"/>
      <c r="BH1309" s="59"/>
      <c r="BI1309" s="59"/>
      <c r="BJ1309" s="59"/>
      <c r="BK1309" s="59"/>
      <c r="BL1309" s="59"/>
      <c r="BM1309" s="59"/>
      <c r="BN1309" s="59"/>
      <c r="BO1309" s="59"/>
      <c r="BP1309" s="59"/>
      <c r="BQ1309" s="59"/>
      <c r="BR1309" s="59"/>
      <c r="BS1309" s="59"/>
      <c r="BT1309" s="59"/>
      <c r="BU1309" s="59"/>
      <c r="BV1309" s="59"/>
      <c r="BW1309" s="59"/>
      <c r="BX1309" s="59"/>
      <c r="BY1309" s="59"/>
      <c r="BZ1309" s="59"/>
      <c r="CA1309" s="59"/>
      <c r="CB1309" s="59"/>
      <c r="CC1309" s="59"/>
      <c r="CD1309" s="59"/>
      <c r="CE1309" s="59"/>
      <c r="CF1309" s="59"/>
      <c r="CG1309" s="59"/>
      <c r="CH1309" s="59"/>
      <c r="CI1309" s="59"/>
      <c r="CJ1309" s="59"/>
      <c r="CK1309" s="59"/>
      <c r="CL1309" s="59"/>
      <c r="CM1309" s="59"/>
      <c r="CN1309" s="59"/>
      <c r="CO1309" s="59"/>
      <c r="CP1309" s="59"/>
      <c r="CQ1309" s="59"/>
      <c r="CR1309" s="59"/>
      <c r="CS1309" s="59"/>
      <c r="CT1309" s="59"/>
      <c r="CU1309" s="59"/>
      <c r="CV1309" s="59"/>
      <c r="CW1309" s="59"/>
      <c r="CX1309" s="59"/>
      <c r="CY1309" s="59"/>
      <c r="CZ1309" s="59"/>
      <c r="DA1309" s="59"/>
      <c r="DB1309" s="59"/>
      <c r="DC1309" s="59"/>
      <c r="DD1309" s="59"/>
      <c r="DE1309" s="59"/>
      <c r="DF1309" s="59"/>
      <c r="DG1309" s="59"/>
      <c r="DH1309" s="59"/>
      <c r="DI1309" s="59"/>
      <c r="DJ1309" s="59"/>
      <c r="DK1309" s="59"/>
      <c r="DL1309" s="59"/>
      <c r="DM1309" s="59"/>
      <c r="DN1309" s="59"/>
      <c r="DO1309" s="59"/>
      <c r="DP1309" s="59"/>
      <c r="DQ1309" s="59"/>
      <c r="DR1309" s="59"/>
      <c r="DS1309" s="59"/>
      <c r="DT1309" s="59"/>
      <c r="DU1309" s="59"/>
      <c r="DV1309" s="59"/>
      <c r="DW1309" s="59"/>
      <c r="DX1309" s="59"/>
      <c r="DY1309" s="59"/>
      <c r="DZ1309" s="59"/>
      <c r="EA1309" s="59"/>
      <c r="EB1309" s="59"/>
      <c r="EC1309" s="59"/>
      <c r="ED1309" s="59"/>
      <c r="EE1309" s="59"/>
      <c r="EF1309" s="59"/>
      <c r="EG1309" s="59"/>
      <c r="EH1309" s="59"/>
      <c r="EI1309" s="59"/>
      <c r="EJ1309" s="59"/>
      <c r="EK1309" s="59"/>
      <c r="EL1309" s="59"/>
      <c r="EM1309" s="59"/>
      <c r="EN1309" s="59"/>
      <c r="EO1309" s="59"/>
      <c r="EP1309" s="59"/>
      <c r="EQ1309" s="59"/>
      <c r="ER1309" s="59"/>
      <c r="ES1309" s="59"/>
      <c r="ET1309" s="59"/>
      <c r="EU1309" s="59"/>
      <c r="EV1309" s="59"/>
      <c r="EW1309" s="59"/>
      <c r="EX1309" s="59"/>
      <c r="EY1309" s="59"/>
      <c r="EZ1309" s="59"/>
      <c r="FA1309" s="59"/>
      <c r="FB1309" s="59"/>
      <c r="FC1309" s="59"/>
      <c r="FD1309" s="59"/>
      <c r="FE1309" s="59"/>
      <c r="FF1309" s="59"/>
      <c r="FG1309" s="59"/>
      <c r="FH1309" s="59"/>
      <c r="FI1309" s="59"/>
      <c r="FJ1309" s="59"/>
      <c r="FK1309" s="59"/>
      <c r="FL1309" s="59"/>
      <c r="FM1309" s="59"/>
      <c r="FN1309" s="59"/>
      <c r="FO1309" s="59"/>
      <c r="FP1309" s="59"/>
      <c r="FQ1309" s="59"/>
      <c r="FR1309" s="59"/>
      <c r="FS1309" s="59"/>
      <c r="FT1309" s="59"/>
      <c r="FU1309" s="59"/>
      <c r="FV1309" s="59"/>
      <c r="FW1309" s="59"/>
      <c r="FX1309" s="59"/>
      <c r="FY1309" s="59"/>
      <c r="FZ1309" s="59"/>
      <c r="GA1309" s="59"/>
      <c r="GB1309" s="59"/>
      <c r="GC1309" s="59"/>
    </row>
    <row r="1310">
      <c r="A1310" s="59"/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59"/>
      <c r="N1310" s="59"/>
      <c r="O1310" s="59"/>
      <c r="P1310" s="59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59"/>
      <c r="AU1310" s="59"/>
      <c r="AV1310" s="59"/>
      <c r="AW1310" s="59"/>
      <c r="AX1310" s="59"/>
      <c r="AY1310" s="59"/>
      <c r="AZ1310" s="59"/>
      <c r="BA1310" s="59"/>
      <c r="BB1310" s="59"/>
      <c r="BC1310" s="59"/>
      <c r="BD1310" s="59"/>
      <c r="BE1310" s="59"/>
      <c r="BF1310" s="59"/>
      <c r="BG1310" s="59"/>
      <c r="BH1310" s="59"/>
      <c r="BI1310" s="59"/>
      <c r="BJ1310" s="59"/>
      <c r="BK1310" s="59"/>
      <c r="BL1310" s="59"/>
      <c r="BM1310" s="59"/>
      <c r="BN1310" s="59"/>
      <c r="BO1310" s="59"/>
      <c r="BP1310" s="59"/>
      <c r="BQ1310" s="59"/>
      <c r="BR1310" s="59"/>
      <c r="BS1310" s="59"/>
      <c r="BT1310" s="59"/>
      <c r="BU1310" s="59"/>
      <c r="BV1310" s="59"/>
      <c r="BW1310" s="59"/>
      <c r="BX1310" s="59"/>
      <c r="BY1310" s="59"/>
      <c r="BZ1310" s="59"/>
      <c r="CA1310" s="59"/>
      <c r="CB1310" s="59"/>
      <c r="CC1310" s="59"/>
      <c r="CD1310" s="59"/>
      <c r="CE1310" s="59"/>
      <c r="CF1310" s="59"/>
      <c r="CG1310" s="59"/>
      <c r="CH1310" s="59"/>
      <c r="CI1310" s="59"/>
      <c r="CJ1310" s="59"/>
      <c r="CK1310" s="59"/>
      <c r="CL1310" s="59"/>
      <c r="CM1310" s="59"/>
      <c r="CN1310" s="59"/>
      <c r="CO1310" s="59"/>
      <c r="CP1310" s="59"/>
      <c r="CQ1310" s="59"/>
      <c r="CR1310" s="59"/>
      <c r="CS1310" s="59"/>
      <c r="CT1310" s="59"/>
      <c r="CU1310" s="59"/>
      <c r="CV1310" s="59"/>
      <c r="CW1310" s="59"/>
      <c r="CX1310" s="59"/>
      <c r="CY1310" s="59"/>
      <c r="CZ1310" s="59"/>
      <c r="DA1310" s="59"/>
      <c r="DB1310" s="59"/>
      <c r="DC1310" s="59"/>
      <c r="DD1310" s="59"/>
      <c r="DE1310" s="59"/>
      <c r="DF1310" s="59"/>
      <c r="DG1310" s="59"/>
      <c r="DH1310" s="59"/>
      <c r="DI1310" s="59"/>
      <c r="DJ1310" s="59"/>
      <c r="DK1310" s="59"/>
      <c r="DL1310" s="59"/>
      <c r="DM1310" s="59"/>
      <c r="DN1310" s="59"/>
      <c r="DO1310" s="59"/>
      <c r="DP1310" s="59"/>
      <c r="DQ1310" s="59"/>
      <c r="DR1310" s="59"/>
      <c r="DS1310" s="59"/>
      <c r="DT1310" s="59"/>
      <c r="DU1310" s="59"/>
      <c r="DV1310" s="59"/>
      <c r="DW1310" s="59"/>
      <c r="DX1310" s="59"/>
      <c r="DY1310" s="59"/>
      <c r="DZ1310" s="59"/>
      <c r="EA1310" s="59"/>
      <c r="EB1310" s="59"/>
      <c r="EC1310" s="59"/>
      <c r="ED1310" s="59"/>
      <c r="EE1310" s="59"/>
      <c r="EF1310" s="59"/>
      <c r="EG1310" s="59"/>
      <c r="EH1310" s="59"/>
      <c r="EI1310" s="59"/>
      <c r="EJ1310" s="59"/>
      <c r="EK1310" s="59"/>
      <c r="EL1310" s="59"/>
      <c r="EM1310" s="59"/>
      <c r="EN1310" s="59"/>
      <c r="EO1310" s="59"/>
      <c r="EP1310" s="59"/>
      <c r="EQ1310" s="59"/>
      <c r="ER1310" s="59"/>
      <c r="ES1310" s="59"/>
      <c r="ET1310" s="59"/>
      <c r="EU1310" s="59"/>
      <c r="EV1310" s="59"/>
      <c r="EW1310" s="59"/>
      <c r="EX1310" s="59"/>
      <c r="EY1310" s="59"/>
      <c r="EZ1310" s="59"/>
      <c r="FA1310" s="59"/>
      <c r="FB1310" s="59"/>
      <c r="FC1310" s="59"/>
      <c r="FD1310" s="59"/>
      <c r="FE1310" s="59"/>
      <c r="FF1310" s="59"/>
      <c r="FG1310" s="59"/>
      <c r="FH1310" s="59"/>
      <c r="FI1310" s="59"/>
      <c r="FJ1310" s="59"/>
      <c r="FK1310" s="59"/>
      <c r="FL1310" s="59"/>
      <c r="FM1310" s="59"/>
      <c r="FN1310" s="59"/>
      <c r="FO1310" s="59"/>
      <c r="FP1310" s="59"/>
      <c r="FQ1310" s="59"/>
      <c r="FR1310" s="59"/>
      <c r="FS1310" s="59"/>
      <c r="FT1310" s="59"/>
      <c r="FU1310" s="59"/>
      <c r="FV1310" s="59"/>
      <c r="FW1310" s="59"/>
      <c r="FX1310" s="59"/>
      <c r="FY1310" s="59"/>
      <c r="FZ1310" s="59"/>
      <c r="GA1310" s="59"/>
      <c r="GB1310" s="59"/>
      <c r="GC1310" s="59"/>
    </row>
    <row r="1311">
      <c r="A1311" s="59"/>
      <c r="B1311" s="59"/>
      <c r="C1311" s="59"/>
      <c r="D1311" s="59"/>
      <c r="E1311" s="59"/>
      <c r="F1311" s="59"/>
      <c r="G1311" s="59"/>
      <c r="H1311" s="59"/>
      <c r="I1311" s="59"/>
      <c r="J1311" s="59"/>
      <c r="K1311" s="59"/>
      <c r="L1311" s="59"/>
      <c r="M1311" s="59"/>
      <c r="N1311" s="59"/>
      <c r="O1311" s="59"/>
      <c r="P1311" s="59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59"/>
      <c r="AE1311" s="59"/>
      <c r="AF1311" s="59"/>
      <c r="AG1311" s="59"/>
      <c r="AH1311" s="59"/>
      <c r="AI1311" s="59"/>
      <c r="AJ1311" s="59"/>
      <c r="AK1311" s="59"/>
      <c r="AL1311" s="59"/>
      <c r="AM1311" s="59"/>
      <c r="AN1311" s="59"/>
      <c r="AO1311" s="59"/>
      <c r="AP1311" s="59"/>
      <c r="AQ1311" s="59"/>
      <c r="AR1311" s="59"/>
      <c r="AS1311" s="59"/>
      <c r="AT1311" s="59"/>
      <c r="AU1311" s="59"/>
      <c r="AV1311" s="59"/>
      <c r="AW1311" s="59"/>
      <c r="AX1311" s="59"/>
      <c r="AY1311" s="59"/>
      <c r="AZ1311" s="59"/>
      <c r="BA1311" s="59"/>
      <c r="BB1311" s="59"/>
      <c r="BC1311" s="59"/>
      <c r="BD1311" s="59"/>
      <c r="BE1311" s="59"/>
      <c r="BF1311" s="59"/>
      <c r="BG1311" s="59"/>
      <c r="BH1311" s="59"/>
      <c r="BI1311" s="59"/>
      <c r="BJ1311" s="59"/>
      <c r="BK1311" s="59"/>
      <c r="BL1311" s="59"/>
      <c r="BM1311" s="59"/>
      <c r="BN1311" s="59"/>
      <c r="BO1311" s="59"/>
      <c r="BP1311" s="59"/>
      <c r="BQ1311" s="59"/>
      <c r="BR1311" s="59"/>
      <c r="BS1311" s="59"/>
      <c r="BT1311" s="59"/>
      <c r="BU1311" s="59"/>
      <c r="BV1311" s="59"/>
      <c r="BW1311" s="59"/>
      <c r="BX1311" s="59"/>
      <c r="BY1311" s="59"/>
      <c r="BZ1311" s="59"/>
      <c r="CA1311" s="59"/>
      <c r="CB1311" s="59"/>
      <c r="CC1311" s="59"/>
      <c r="CD1311" s="59"/>
      <c r="CE1311" s="59"/>
      <c r="CF1311" s="59"/>
      <c r="CG1311" s="59"/>
      <c r="CH1311" s="59"/>
      <c r="CI1311" s="59"/>
      <c r="CJ1311" s="59"/>
      <c r="CK1311" s="59"/>
      <c r="CL1311" s="59"/>
      <c r="CM1311" s="59"/>
      <c r="CN1311" s="59"/>
      <c r="CO1311" s="59"/>
      <c r="CP1311" s="59"/>
      <c r="CQ1311" s="59"/>
      <c r="CR1311" s="59"/>
      <c r="CS1311" s="59"/>
      <c r="CT1311" s="59"/>
      <c r="CU1311" s="59"/>
      <c r="CV1311" s="59"/>
      <c r="CW1311" s="59"/>
      <c r="CX1311" s="59"/>
      <c r="CY1311" s="59"/>
      <c r="CZ1311" s="59"/>
      <c r="DA1311" s="59"/>
      <c r="DB1311" s="59"/>
      <c r="DC1311" s="59"/>
      <c r="DD1311" s="59"/>
      <c r="DE1311" s="59"/>
      <c r="DF1311" s="59"/>
      <c r="DG1311" s="59"/>
      <c r="DH1311" s="59"/>
      <c r="DI1311" s="59"/>
      <c r="DJ1311" s="59"/>
      <c r="DK1311" s="59"/>
      <c r="DL1311" s="59"/>
      <c r="DM1311" s="59"/>
      <c r="DN1311" s="59"/>
      <c r="DO1311" s="59"/>
      <c r="DP1311" s="59"/>
      <c r="DQ1311" s="59"/>
      <c r="DR1311" s="59"/>
      <c r="DS1311" s="59"/>
      <c r="DT1311" s="59"/>
      <c r="DU1311" s="59"/>
      <c r="DV1311" s="59"/>
      <c r="DW1311" s="59"/>
      <c r="DX1311" s="59"/>
      <c r="DY1311" s="59"/>
      <c r="DZ1311" s="59"/>
      <c r="EA1311" s="59"/>
      <c r="EB1311" s="59"/>
      <c r="EC1311" s="59"/>
      <c r="ED1311" s="59"/>
      <c r="EE1311" s="59"/>
      <c r="EF1311" s="59"/>
      <c r="EG1311" s="59"/>
      <c r="EH1311" s="59"/>
      <c r="EI1311" s="59"/>
      <c r="EJ1311" s="59"/>
      <c r="EK1311" s="59"/>
      <c r="EL1311" s="59"/>
      <c r="EM1311" s="59"/>
      <c r="EN1311" s="59"/>
      <c r="EO1311" s="59"/>
      <c r="EP1311" s="59"/>
      <c r="EQ1311" s="59"/>
      <c r="ER1311" s="59"/>
      <c r="ES1311" s="59"/>
      <c r="ET1311" s="59"/>
      <c r="EU1311" s="59"/>
      <c r="EV1311" s="59"/>
      <c r="EW1311" s="59"/>
      <c r="EX1311" s="59"/>
      <c r="EY1311" s="59"/>
      <c r="EZ1311" s="59"/>
      <c r="FA1311" s="59"/>
      <c r="FB1311" s="59"/>
      <c r="FC1311" s="59"/>
      <c r="FD1311" s="59"/>
      <c r="FE1311" s="59"/>
      <c r="FF1311" s="59"/>
      <c r="FG1311" s="59"/>
      <c r="FH1311" s="59"/>
      <c r="FI1311" s="59"/>
      <c r="FJ1311" s="59"/>
      <c r="FK1311" s="59"/>
      <c r="FL1311" s="59"/>
      <c r="FM1311" s="59"/>
      <c r="FN1311" s="59"/>
      <c r="FO1311" s="59"/>
      <c r="FP1311" s="59"/>
      <c r="FQ1311" s="59"/>
      <c r="FR1311" s="59"/>
      <c r="FS1311" s="59"/>
      <c r="FT1311" s="59"/>
      <c r="FU1311" s="59"/>
      <c r="FV1311" s="59"/>
      <c r="FW1311" s="59"/>
      <c r="FX1311" s="59"/>
      <c r="FY1311" s="59"/>
      <c r="FZ1311" s="59"/>
      <c r="GA1311" s="59"/>
      <c r="GB1311" s="59"/>
      <c r="GC1311" s="59"/>
    </row>
    <row r="1312">
      <c r="A1312" s="59"/>
      <c r="B1312" s="59"/>
      <c r="C1312" s="59"/>
      <c r="D1312" s="59"/>
      <c r="E1312" s="59"/>
      <c r="F1312" s="59"/>
      <c r="G1312" s="59"/>
      <c r="H1312" s="59"/>
      <c r="I1312" s="59"/>
      <c r="J1312" s="59"/>
      <c r="K1312" s="59"/>
      <c r="L1312" s="59"/>
      <c r="M1312" s="59"/>
      <c r="N1312" s="59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59"/>
      <c r="AU1312" s="59"/>
      <c r="AV1312" s="59"/>
      <c r="AW1312" s="59"/>
      <c r="AX1312" s="59"/>
      <c r="AY1312" s="59"/>
      <c r="AZ1312" s="59"/>
      <c r="BA1312" s="59"/>
      <c r="BB1312" s="59"/>
      <c r="BC1312" s="59"/>
      <c r="BD1312" s="59"/>
      <c r="BE1312" s="59"/>
      <c r="BF1312" s="59"/>
      <c r="BG1312" s="59"/>
      <c r="BH1312" s="59"/>
      <c r="BI1312" s="59"/>
      <c r="BJ1312" s="59"/>
      <c r="BK1312" s="59"/>
      <c r="BL1312" s="59"/>
      <c r="BM1312" s="59"/>
      <c r="BN1312" s="59"/>
      <c r="BO1312" s="59"/>
      <c r="BP1312" s="59"/>
      <c r="BQ1312" s="59"/>
      <c r="BR1312" s="59"/>
      <c r="BS1312" s="59"/>
      <c r="BT1312" s="59"/>
      <c r="BU1312" s="59"/>
      <c r="BV1312" s="59"/>
      <c r="BW1312" s="59"/>
      <c r="BX1312" s="59"/>
      <c r="BY1312" s="59"/>
      <c r="BZ1312" s="59"/>
      <c r="CA1312" s="59"/>
      <c r="CB1312" s="59"/>
      <c r="CC1312" s="59"/>
      <c r="CD1312" s="59"/>
      <c r="CE1312" s="59"/>
      <c r="CF1312" s="59"/>
      <c r="CG1312" s="59"/>
      <c r="CH1312" s="59"/>
      <c r="CI1312" s="59"/>
      <c r="CJ1312" s="59"/>
      <c r="CK1312" s="59"/>
      <c r="CL1312" s="59"/>
      <c r="CM1312" s="59"/>
      <c r="CN1312" s="59"/>
      <c r="CO1312" s="59"/>
      <c r="CP1312" s="59"/>
      <c r="CQ1312" s="59"/>
      <c r="CR1312" s="59"/>
      <c r="CS1312" s="59"/>
      <c r="CT1312" s="59"/>
      <c r="CU1312" s="59"/>
      <c r="CV1312" s="59"/>
      <c r="CW1312" s="59"/>
      <c r="CX1312" s="59"/>
      <c r="CY1312" s="59"/>
      <c r="CZ1312" s="59"/>
      <c r="DA1312" s="59"/>
      <c r="DB1312" s="59"/>
      <c r="DC1312" s="59"/>
      <c r="DD1312" s="59"/>
      <c r="DE1312" s="59"/>
      <c r="DF1312" s="59"/>
      <c r="DG1312" s="59"/>
      <c r="DH1312" s="59"/>
      <c r="DI1312" s="59"/>
      <c r="DJ1312" s="59"/>
      <c r="DK1312" s="59"/>
      <c r="DL1312" s="59"/>
      <c r="DM1312" s="59"/>
      <c r="DN1312" s="59"/>
      <c r="DO1312" s="59"/>
      <c r="DP1312" s="59"/>
      <c r="DQ1312" s="59"/>
      <c r="DR1312" s="59"/>
      <c r="DS1312" s="59"/>
      <c r="DT1312" s="59"/>
      <c r="DU1312" s="59"/>
      <c r="DV1312" s="59"/>
      <c r="DW1312" s="59"/>
      <c r="DX1312" s="59"/>
      <c r="DY1312" s="59"/>
      <c r="DZ1312" s="59"/>
      <c r="EA1312" s="59"/>
      <c r="EB1312" s="59"/>
      <c r="EC1312" s="59"/>
      <c r="ED1312" s="59"/>
      <c r="EE1312" s="59"/>
      <c r="EF1312" s="59"/>
      <c r="EG1312" s="59"/>
      <c r="EH1312" s="59"/>
      <c r="EI1312" s="59"/>
      <c r="EJ1312" s="59"/>
      <c r="EK1312" s="59"/>
      <c r="EL1312" s="59"/>
      <c r="EM1312" s="59"/>
      <c r="EN1312" s="59"/>
      <c r="EO1312" s="59"/>
      <c r="EP1312" s="59"/>
      <c r="EQ1312" s="59"/>
      <c r="ER1312" s="59"/>
      <c r="ES1312" s="59"/>
      <c r="ET1312" s="59"/>
      <c r="EU1312" s="59"/>
      <c r="EV1312" s="59"/>
      <c r="EW1312" s="59"/>
      <c r="EX1312" s="59"/>
      <c r="EY1312" s="59"/>
      <c r="EZ1312" s="59"/>
      <c r="FA1312" s="59"/>
      <c r="FB1312" s="59"/>
      <c r="FC1312" s="59"/>
      <c r="FD1312" s="59"/>
      <c r="FE1312" s="59"/>
      <c r="FF1312" s="59"/>
      <c r="FG1312" s="59"/>
      <c r="FH1312" s="59"/>
      <c r="FI1312" s="59"/>
      <c r="FJ1312" s="59"/>
      <c r="FK1312" s="59"/>
      <c r="FL1312" s="59"/>
      <c r="FM1312" s="59"/>
      <c r="FN1312" s="59"/>
      <c r="FO1312" s="59"/>
      <c r="FP1312" s="59"/>
      <c r="FQ1312" s="59"/>
      <c r="FR1312" s="59"/>
      <c r="FS1312" s="59"/>
      <c r="FT1312" s="59"/>
      <c r="FU1312" s="59"/>
      <c r="FV1312" s="59"/>
      <c r="FW1312" s="59"/>
      <c r="FX1312" s="59"/>
      <c r="FY1312" s="59"/>
      <c r="FZ1312" s="59"/>
      <c r="GA1312" s="59"/>
      <c r="GB1312" s="59"/>
      <c r="GC1312" s="59"/>
    </row>
    <row r="1313">
      <c r="A1313" s="59"/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59"/>
      <c r="AG1313" s="59"/>
      <c r="AH1313" s="59"/>
      <c r="AI1313" s="59"/>
      <c r="AJ1313" s="59"/>
      <c r="AK1313" s="59"/>
      <c r="AL1313" s="59"/>
      <c r="AM1313" s="59"/>
      <c r="AN1313" s="59"/>
      <c r="AO1313" s="59"/>
      <c r="AP1313" s="59"/>
      <c r="AQ1313" s="59"/>
      <c r="AR1313" s="59"/>
      <c r="AS1313" s="59"/>
      <c r="AT1313" s="59"/>
      <c r="AU1313" s="59"/>
      <c r="AV1313" s="59"/>
      <c r="AW1313" s="59"/>
      <c r="AX1313" s="59"/>
      <c r="AY1313" s="59"/>
      <c r="AZ1313" s="59"/>
      <c r="BA1313" s="59"/>
      <c r="BB1313" s="59"/>
      <c r="BC1313" s="59"/>
      <c r="BD1313" s="59"/>
      <c r="BE1313" s="59"/>
      <c r="BF1313" s="59"/>
      <c r="BG1313" s="59"/>
      <c r="BH1313" s="59"/>
      <c r="BI1313" s="59"/>
      <c r="BJ1313" s="59"/>
      <c r="BK1313" s="59"/>
      <c r="BL1313" s="59"/>
      <c r="BM1313" s="59"/>
      <c r="BN1313" s="59"/>
      <c r="BO1313" s="59"/>
      <c r="BP1313" s="59"/>
      <c r="BQ1313" s="59"/>
      <c r="BR1313" s="59"/>
      <c r="BS1313" s="59"/>
      <c r="BT1313" s="59"/>
      <c r="BU1313" s="59"/>
      <c r="BV1313" s="59"/>
      <c r="BW1313" s="59"/>
      <c r="BX1313" s="59"/>
      <c r="BY1313" s="59"/>
      <c r="BZ1313" s="59"/>
      <c r="CA1313" s="59"/>
      <c r="CB1313" s="59"/>
      <c r="CC1313" s="59"/>
      <c r="CD1313" s="59"/>
      <c r="CE1313" s="59"/>
      <c r="CF1313" s="59"/>
      <c r="CG1313" s="59"/>
      <c r="CH1313" s="59"/>
      <c r="CI1313" s="59"/>
      <c r="CJ1313" s="59"/>
      <c r="CK1313" s="59"/>
      <c r="CL1313" s="59"/>
      <c r="CM1313" s="59"/>
      <c r="CN1313" s="59"/>
      <c r="CO1313" s="59"/>
      <c r="CP1313" s="59"/>
      <c r="CQ1313" s="59"/>
      <c r="CR1313" s="59"/>
      <c r="CS1313" s="59"/>
      <c r="CT1313" s="59"/>
      <c r="CU1313" s="59"/>
      <c r="CV1313" s="59"/>
      <c r="CW1313" s="59"/>
      <c r="CX1313" s="59"/>
      <c r="CY1313" s="59"/>
      <c r="CZ1313" s="59"/>
      <c r="DA1313" s="59"/>
      <c r="DB1313" s="59"/>
      <c r="DC1313" s="59"/>
      <c r="DD1313" s="59"/>
      <c r="DE1313" s="59"/>
      <c r="DF1313" s="59"/>
      <c r="DG1313" s="59"/>
      <c r="DH1313" s="59"/>
      <c r="DI1313" s="59"/>
      <c r="DJ1313" s="59"/>
      <c r="DK1313" s="59"/>
      <c r="DL1313" s="59"/>
      <c r="DM1313" s="59"/>
      <c r="DN1313" s="59"/>
      <c r="DO1313" s="59"/>
      <c r="DP1313" s="59"/>
      <c r="DQ1313" s="59"/>
      <c r="DR1313" s="59"/>
      <c r="DS1313" s="59"/>
      <c r="DT1313" s="59"/>
      <c r="DU1313" s="59"/>
      <c r="DV1313" s="59"/>
      <c r="DW1313" s="59"/>
      <c r="DX1313" s="59"/>
      <c r="DY1313" s="59"/>
      <c r="DZ1313" s="59"/>
      <c r="EA1313" s="59"/>
      <c r="EB1313" s="59"/>
      <c r="EC1313" s="59"/>
      <c r="ED1313" s="59"/>
      <c r="EE1313" s="59"/>
      <c r="EF1313" s="59"/>
      <c r="EG1313" s="59"/>
      <c r="EH1313" s="59"/>
      <c r="EI1313" s="59"/>
      <c r="EJ1313" s="59"/>
      <c r="EK1313" s="59"/>
      <c r="EL1313" s="59"/>
      <c r="EM1313" s="59"/>
      <c r="EN1313" s="59"/>
      <c r="EO1313" s="59"/>
      <c r="EP1313" s="59"/>
      <c r="EQ1313" s="59"/>
      <c r="ER1313" s="59"/>
      <c r="ES1313" s="59"/>
      <c r="ET1313" s="59"/>
      <c r="EU1313" s="59"/>
      <c r="EV1313" s="59"/>
      <c r="EW1313" s="59"/>
      <c r="EX1313" s="59"/>
      <c r="EY1313" s="59"/>
      <c r="EZ1313" s="59"/>
      <c r="FA1313" s="59"/>
      <c r="FB1313" s="59"/>
      <c r="FC1313" s="59"/>
      <c r="FD1313" s="59"/>
      <c r="FE1313" s="59"/>
      <c r="FF1313" s="59"/>
      <c r="FG1313" s="59"/>
      <c r="FH1313" s="59"/>
      <c r="FI1313" s="59"/>
      <c r="FJ1313" s="59"/>
      <c r="FK1313" s="59"/>
      <c r="FL1313" s="59"/>
      <c r="FM1313" s="59"/>
      <c r="FN1313" s="59"/>
      <c r="FO1313" s="59"/>
      <c r="FP1313" s="59"/>
      <c r="FQ1313" s="59"/>
      <c r="FR1313" s="59"/>
      <c r="FS1313" s="59"/>
      <c r="FT1313" s="59"/>
      <c r="FU1313" s="59"/>
      <c r="FV1313" s="59"/>
      <c r="FW1313" s="59"/>
      <c r="FX1313" s="59"/>
      <c r="FY1313" s="59"/>
      <c r="FZ1313" s="59"/>
      <c r="GA1313" s="59"/>
      <c r="GB1313" s="59"/>
      <c r="GC1313" s="59"/>
    </row>
    <row r="1314">
      <c r="A1314" s="59"/>
      <c r="B1314" s="59"/>
      <c r="C1314" s="59"/>
      <c r="D1314" s="59"/>
      <c r="E1314" s="59"/>
      <c r="F1314" s="59"/>
      <c r="G1314" s="59"/>
      <c r="H1314" s="59"/>
      <c r="I1314" s="59"/>
      <c r="J1314" s="59"/>
      <c r="K1314" s="59"/>
      <c r="L1314" s="59"/>
      <c r="M1314" s="59"/>
      <c r="N1314" s="59"/>
      <c r="O1314" s="59"/>
      <c r="P1314" s="59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59"/>
      <c r="AU1314" s="59"/>
      <c r="AV1314" s="59"/>
      <c r="AW1314" s="59"/>
      <c r="AX1314" s="59"/>
      <c r="AY1314" s="59"/>
      <c r="AZ1314" s="59"/>
      <c r="BA1314" s="59"/>
      <c r="BB1314" s="59"/>
      <c r="BC1314" s="59"/>
      <c r="BD1314" s="59"/>
      <c r="BE1314" s="59"/>
      <c r="BF1314" s="59"/>
      <c r="BG1314" s="59"/>
      <c r="BH1314" s="59"/>
      <c r="BI1314" s="59"/>
      <c r="BJ1314" s="59"/>
      <c r="BK1314" s="59"/>
      <c r="BL1314" s="59"/>
      <c r="BM1314" s="59"/>
      <c r="BN1314" s="59"/>
      <c r="BO1314" s="59"/>
      <c r="BP1314" s="59"/>
      <c r="BQ1314" s="59"/>
      <c r="BR1314" s="59"/>
      <c r="BS1314" s="59"/>
      <c r="BT1314" s="59"/>
      <c r="BU1314" s="59"/>
      <c r="BV1314" s="59"/>
      <c r="BW1314" s="59"/>
      <c r="BX1314" s="59"/>
      <c r="BY1314" s="59"/>
      <c r="BZ1314" s="59"/>
      <c r="CA1314" s="59"/>
      <c r="CB1314" s="59"/>
      <c r="CC1314" s="59"/>
      <c r="CD1314" s="59"/>
      <c r="CE1314" s="59"/>
      <c r="CF1314" s="59"/>
      <c r="CG1314" s="59"/>
      <c r="CH1314" s="59"/>
      <c r="CI1314" s="59"/>
      <c r="CJ1314" s="59"/>
      <c r="CK1314" s="59"/>
      <c r="CL1314" s="59"/>
      <c r="CM1314" s="59"/>
      <c r="CN1314" s="59"/>
      <c r="CO1314" s="59"/>
      <c r="CP1314" s="59"/>
      <c r="CQ1314" s="59"/>
      <c r="CR1314" s="59"/>
      <c r="CS1314" s="59"/>
      <c r="CT1314" s="59"/>
      <c r="CU1314" s="59"/>
      <c r="CV1314" s="59"/>
      <c r="CW1314" s="59"/>
      <c r="CX1314" s="59"/>
      <c r="CY1314" s="59"/>
      <c r="CZ1314" s="59"/>
      <c r="DA1314" s="59"/>
      <c r="DB1314" s="59"/>
      <c r="DC1314" s="59"/>
      <c r="DD1314" s="59"/>
      <c r="DE1314" s="59"/>
      <c r="DF1314" s="59"/>
      <c r="DG1314" s="59"/>
      <c r="DH1314" s="59"/>
      <c r="DI1314" s="59"/>
      <c r="DJ1314" s="59"/>
      <c r="DK1314" s="59"/>
      <c r="DL1314" s="59"/>
      <c r="DM1314" s="59"/>
      <c r="DN1314" s="59"/>
      <c r="DO1314" s="59"/>
      <c r="DP1314" s="59"/>
      <c r="DQ1314" s="59"/>
      <c r="DR1314" s="59"/>
      <c r="DS1314" s="59"/>
      <c r="DT1314" s="59"/>
      <c r="DU1314" s="59"/>
      <c r="DV1314" s="59"/>
      <c r="DW1314" s="59"/>
      <c r="DX1314" s="59"/>
      <c r="DY1314" s="59"/>
      <c r="DZ1314" s="59"/>
      <c r="EA1314" s="59"/>
      <c r="EB1314" s="59"/>
      <c r="EC1314" s="59"/>
      <c r="ED1314" s="59"/>
      <c r="EE1314" s="59"/>
      <c r="EF1314" s="59"/>
      <c r="EG1314" s="59"/>
      <c r="EH1314" s="59"/>
      <c r="EI1314" s="59"/>
      <c r="EJ1314" s="59"/>
      <c r="EK1314" s="59"/>
      <c r="EL1314" s="59"/>
      <c r="EM1314" s="59"/>
      <c r="EN1314" s="59"/>
      <c r="EO1314" s="59"/>
      <c r="EP1314" s="59"/>
      <c r="EQ1314" s="59"/>
      <c r="ER1314" s="59"/>
      <c r="ES1314" s="59"/>
      <c r="ET1314" s="59"/>
      <c r="EU1314" s="59"/>
      <c r="EV1314" s="59"/>
      <c r="EW1314" s="59"/>
      <c r="EX1314" s="59"/>
      <c r="EY1314" s="59"/>
      <c r="EZ1314" s="59"/>
      <c r="FA1314" s="59"/>
      <c r="FB1314" s="59"/>
      <c r="FC1314" s="59"/>
      <c r="FD1314" s="59"/>
      <c r="FE1314" s="59"/>
      <c r="FF1314" s="59"/>
      <c r="FG1314" s="59"/>
      <c r="FH1314" s="59"/>
      <c r="FI1314" s="59"/>
      <c r="FJ1314" s="59"/>
      <c r="FK1314" s="59"/>
      <c r="FL1314" s="59"/>
      <c r="FM1314" s="59"/>
      <c r="FN1314" s="59"/>
      <c r="FO1314" s="59"/>
      <c r="FP1314" s="59"/>
      <c r="FQ1314" s="59"/>
      <c r="FR1314" s="59"/>
      <c r="FS1314" s="59"/>
      <c r="FT1314" s="59"/>
      <c r="FU1314" s="59"/>
      <c r="FV1314" s="59"/>
      <c r="FW1314" s="59"/>
      <c r="FX1314" s="59"/>
      <c r="FY1314" s="59"/>
      <c r="FZ1314" s="59"/>
      <c r="GA1314" s="59"/>
      <c r="GB1314" s="59"/>
      <c r="GC1314" s="59"/>
    </row>
    <row r="1315">
      <c r="A1315" s="59"/>
      <c r="B1315" s="59"/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  <c r="O1315" s="59"/>
      <c r="P1315" s="59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  <c r="AD1315" s="59"/>
      <c r="AE1315" s="59"/>
      <c r="AF1315" s="59"/>
      <c r="AG1315" s="59"/>
      <c r="AH1315" s="59"/>
      <c r="AI1315" s="59"/>
      <c r="AJ1315" s="59"/>
      <c r="AK1315" s="59"/>
      <c r="AL1315" s="59"/>
      <c r="AM1315" s="59"/>
      <c r="AN1315" s="59"/>
      <c r="AO1315" s="59"/>
      <c r="AP1315" s="59"/>
      <c r="AQ1315" s="59"/>
      <c r="AR1315" s="59"/>
      <c r="AS1315" s="59"/>
      <c r="AT1315" s="59"/>
      <c r="AU1315" s="59"/>
      <c r="AV1315" s="59"/>
      <c r="AW1315" s="59"/>
      <c r="AX1315" s="59"/>
      <c r="AY1315" s="59"/>
      <c r="AZ1315" s="59"/>
      <c r="BA1315" s="59"/>
      <c r="BB1315" s="59"/>
      <c r="BC1315" s="59"/>
      <c r="BD1315" s="59"/>
      <c r="BE1315" s="59"/>
      <c r="BF1315" s="59"/>
      <c r="BG1315" s="59"/>
      <c r="BH1315" s="59"/>
      <c r="BI1315" s="59"/>
      <c r="BJ1315" s="59"/>
      <c r="BK1315" s="59"/>
      <c r="BL1315" s="59"/>
      <c r="BM1315" s="59"/>
      <c r="BN1315" s="59"/>
      <c r="BO1315" s="59"/>
      <c r="BP1315" s="59"/>
      <c r="BQ1315" s="59"/>
      <c r="BR1315" s="59"/>
      <c r="BS1315" s="59"/>
      <c r="BT1315" s="59"/>
      <c r="BU1315" s="59"/>
      <c r="BV1315" s="59"/>
      <c r="BW1315" s="59"/>
      <c r="BX1315" s="59"/>
      <c r="BY1315" s="59"/>
      <c r="BZ1315" s="59"/>
      <c r="CA1315" s="59"/>
      <c r="CB1315" s="59"/>
      <c r="CC1315" s="59"/>
      <c r="CD1315" s="59"/>
      <c r="CE1315" s="59"/>
      <c r="CF1315" s="59"/>
      <c r="CG1315" s="59"/>
      <c r="CH1315" s="59"/>
      <c r="CI1315" s="59"/>
      <c r="CJ1315" s="59"/>
      <c r="CK1315" s="59"/>
      <c r="CL1315" s="59"/>
      <c r="CM1315" s="59"/>
      <c r="CN1315" s="59"/>
      <c r="CO1315" s="59"/>
      <c r="CP1315" s="59"/>
      <c r="CQ1315" s="59"/>
      <c r="CR1315" s="59"/>
      <c r="CS1315" s="59"/>
      <c r="CT1315" s="59"/>
      <c r="CU1315" s="59"/>
      <c r="CV1315" s="59"/>
      <c r="CW1315" s="59"/>
      <c r="CX1315" s="59"/>
      <c r="CY1315" s="59"/>
      <c r="CZ1315" s="59"/>
      <c r="DA1315" s="59"/>
      <c r="DB1315" s="59"/>
      <c r="DC1315" s="59"/>
      <c r="DD1315" s="59"/>
      <c r="DE1315" s="59"/>
      <c r="DF1315" s="59"/>
      <c r="DG1315" s="59"/>
      <c r="DH1315" s="59"/>
      <c r="DI1315" s="59"/>
      <c r="DJ1315" s="59"/>
      <c r="DK1315" s="59"/>
      <c r="DL1315" s="59"/>
      <c r="DM1315" s="59"/>
      <c r="DN1315" s="59"/>
      <c r="DO1315" s="59"/>
      <c r="DP1315" s="59"/>
      <c r="DQ1315" s="59"/>
      <c r="DR1315" s="59"/>
      <c r="DS1315" s="59"/>
      <c r="DT1315" s="59"/>
      <c r="DU1315" s="59"/>
      <c r="DV1315" s="59"/>
      <c r="DW1315" s="59"/>
      <c r="DX1315" s="59"/>
      <c r="DY1315" s="59"/>
      <c r="DZ1315" s="59"/>
      <c r="EA1315" s="59"/>
      <c r="EB1315" s="59"/>
      <c r="EC1315" s="59"/>
      <c r="ED1315" s="59"/>
      <c r="EE1315" s="59"/>
      <c r="EF1315" s="59"/>
      <c r="EG1315" s="59"/>
      <c r="EH1315" s="59"/>
      <c r="EI1315" s="59"/>
      <c r="EJ1315" s="59"/>
      <c r="EK1315" s="59"/>
      <c r="EL1315" s="59"/>
      <c r="EM1315" s="59"/>
      <c r="EN1315" s="59"/>
      <c r="EO1315" s="59"/>
      <c r="EP1315" s="59"/>
      <c r="EQ1315" s="59"/>
      <c r="ER1315" s="59"/>
      <c r="ES1315" s="59"/>
      <c r="ET1315" s="59"/>
      <c r="EU1315" s="59"/>
      <c r="EV1315" s="59"/>
      <c r="EW1315" s="59"/>
      <c r="EX1315" s="59"/>
      <c r="EY1315" s="59"/>
      <c r="EZ1315" s="59"/>
      <c r="FA1315" s="59"/>
      <c r="FB1315" s="59"/>
      <c r="FC1315" s="59"/>
      <c r="FD1315" s="59"/>
      <c r="FE1315" s="59"/>
      <c r="FF1315" s="59"/>
      <c r="FG1315" s="59"/>
      <c r="FH1315" s="59"/>
      <c r="FI1315" s="59"/>
      <c r="FJ1315" s="59"/>
      <c r="FK1315" s="59"/>
      <c r="FL1315" s="59"/>
      <c r="FM1315" s="59"/>
      <c r="FN1315" s="59"/>
      <c r="FO1315" s="59"/>
      <c r="FP1315" s="59"/>
      <c r="FQ1315" s="59"/>
      <c r="FR1315" s="59"/>
      <c r="FS1315" s="59"/>
      <c r="FT1315" s="59"/>
      <c r="FU1315" s="59"/>
      <c r="FV1315" s="59"/>
      <c r="FW1315" s="59"/>
      <c r="FX1315" s="59"/>
      <c r="FY1315" s="59"/>
      <c r="FZ1315" s="59"/>
      <c r="GA1315" s="59"/>
      <c r="GB1315" s="59"/>
      <c r="GC1315" s="59"/>
    </row>
    <row r="1316">
      <c r="A1316" s="59"/>
      <c r="B1316" s="59"/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  <c r="O1316" s="59"/>
      <c r="P1316" s="59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59"/>
      <c r="AU1316" s="59"/>
      <c r="AV1316" s="59"/>
      <c r="AW1316" s="59"/>
      <c r="AX1316" s="59"/>
      <c r="AY1316" s="59"/>
      <c r="AZ1316" s="59"/>
      <c r="BA1316" s="59"/>
      <c r="BB1316" s="59"/>
      <c r="BC1316" s="59"/>
      <c r="BD1316" s="59"/>
      <c r="BE1316" s="59"/>
      <c r="BF1316" s="59"/>
      <c r="BG1316" s="59"/>
      <c r="BH1316" s="59"/>
      <c r="BI1316" s="59"/>
      <c r="BJ1316" s="59"/>
      <c r="BK1316" s="59"/>
      <c r="BL1316" s="59"/>
      <c r="BM1316" s="59"/>
      <c r="BN1316" s="59"/>
      <c r="BO1316" s="59"/>
      <c r="BP1316" s="59"/>
      <c r="BQ1316" s="59"/>
      <c r="BR1316" s="59"/>
      <c r="BS1316" s="59"/>
      <c r="BT1316" s="59"/>
      <c r="BU1316" s="59"/>
      <c r="BV1316" s="59"/>
      <c r="BW1316" s="59"/>
      <c r="BX1316" s="59"/>
      <c r="BY1316" s="59"/>
      <c r="BZ1316" s="59"/>
      <c r="CA1316" s="59"/>
      <c r="CB1316" s="59"/>
      <c r="CC1316" s="59"/>
      <c r="CD1316" s="59"/>
      <c r="CE1316" s="59"/>
      <c r="CF1316" s="59"/>
      <c r="CG1316" s="59"/>
      <c r="CH1316" s="59"/>
      <c r="CI1316" s="59"/>
      <c r="CJ1316" s="59"/>
      <c r="CK1316" s="59"/>
      <c r="CL1316" s="59"/>
      <c r="CM1316" s="59"/>
      <c r="CN1316" s="59"/>
      <c r="CO1316" s="59"/>
      <c r="CP1316" s="59"/>
      <c r="CQ1316" s="59"/>
      <c r="CR1316" s="59"/>
      <c r="CS1316" s="59"/>
      <c r="CT1316" s="59"/>
      <c r="CU1316" s="59"/>
      <c r="CV1316" s="59"/>
      <c r="CW1316" s="59"/>
      <c r="CX1316" s="59"/>
      <c r="CY1316" s="59"/>
      <c r="CZ1316" s="59"/>
      <c r="DA1316" s="59"/>
      <c r="DB1316" s="59"/>
      <c r="DC1316" s="59"/>
      <c r="DD1316" s="59"/>
      <c r="DE1316" s="59"/>
      <c r="DF1316" s="59"/>
      <c r="DG1316" s="59"/>
      <c r="DH1316" s="59"/>
      <c r="DI1316" s="59"/>
      <c r="DJ1316" s="59"/>
      <c r="DK1316" s="59"/>
      <c r="DL1316" s="59"/>
      <c r="DM1316" s="59"/>
      <c r="DN1316" s="59"/>
      <c r="DO1316" s="59"/>
      <c r="DP1316" s="59"/>
      <c r="DQ1316" s="59"/>
      <c r="DR1316" s="59"/>
      <c r="DS1316" s="59"/>
      <c r="DT1316" s="59"/>
      <c r="DU1316" s="59"/>
      <c r="DV1316" s="59"/>
      <c r="DW1316" s="59"/>
      <c r="DX1316" s="59"/>
      <c r="DY1316" s="59"/>
      <c r="DZ1316" s="59"/>
      <c r="EA1316" s="59"/>
      <c r="EB1316" s="59"/>
      <c r="EC1316" s="59"/>
      <c r="ED1316" s="59"/>
      <c r="EE1316" s="59"/>
      <c r="EF1316" s="59"/>
      <c r="EG1316" s="59"/>
      <c r="EH1316" s="59"/>
      <c r="EI1316" s="59"/>
      <c r="EJ1316" s="59"/>
      <c r="EK1316" s="59"/>
      <c r="EL1316" s="59"/>
      <c r="EM1316" s="59"/>
      <c r="EN1316" s="59"/>
      <c r="EO1316" s="59"/>
      <c r="EP1316" s="59"/>
      <c r="EQ1316" s="59"/>
      <c r="ER1316" s="59"/>
      <c r="ES1316" s="59"/>
      <c r="ET1316" s="59"/>
      <c r="EU1316" s="59"/>
      <c r="EV1316" s="59"/>
      <c r="EW1316" s="59"/>
      <c r="EX1316" s="59"/>
      <c r="EY1316" s="59"/>
      <c r="EZ1316" s="59"/>
      <c r="FA1316" s="59"/>
      <c r="FB1316" s="59"/>
      <c r="FC1316" s="59"/>
      <c r="FD1316" s="59"/>
      <c r="FE1316" s="59"/>
      <c r="FF1316" s="59"/>
      <c r="FG1316" s="59"/>
      <c r="FH1316" s="59"/>
      <c r="FI1316" s="59"/>
      <c r="FJ1316" s="59"/>
      <c r="FK1316" s="59"/>
      <c r="FL1316" s="59"/>
      <c r="FM1316" s="59"/>
      <c r="FN1316" s="59"/>
      <c r="FO1316" s="59"/>
      <c r="FP1316" s="59"/>
      <c r="FQ1316" s="59"/>
      <c r="FR1316" s="59"/>
      <c r="FS1316" s="59"/>
      <c r="FT1316" s="59"/>
      <c r="FU1316" s="59"/>
      <c r="FV1316" s="59"/>
      <c r="FW1316" s="59"/>
      <c r="FX1316" s="59"/>
      <c r="FY1316" s="59"/>
      <c r="FZ1316" s="59"/>
      <c r="GA1316" s="59"/>
      <c r="GB1316" s="59"/>
      <c r="GC1316" s="59"/>
    </row>
    <row r="1317">
      <c r="A1317" s="59"/>
      <c r="B1317" s="59"/>
      <c r="C1317" s="59"/>
      <c r="D1317" s="59"/>
      <c r="E1317" s="59"/>
      <c r="F1317" s="59"/>
      <c r="G1317" s="59"/>
      <c r="H1317" s="59"/>
      <c r="I1317" s="59"/>
      <c r="J1317" s="59"/>
      <c r="K1317" s="59"/>
      <c r="L1317" s="59"/>
      <c r="M1317" s="59"/>
      <c r="N1317" s="59"/>
      <c r="O1317" s="59"/>
      <c r="P1317" s="59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  <c r="AD1317" s="59"/>
      <c r="AE1317" s="59"/>
      <c r="AF1317" s="59"/>
      <c r="AG1317" s="59"/>
      <c r="AH1317" s="59"/>
      <c r="AI1317" s="59"/>
      <c r="AJ1317" s="59"/>
      <c r="AK1317" s="59"/>
      <c r="AL1317" s="59"/>
      <c r="AM1317" s="59"/>
      <c r="AN1317" s="59"/>
      <c r="AO1317" s="59"/>
      <c r="AP1317" s="59"/>
      <c r="AQ1317" s="59"/>
      <c r="AR1317" s="59"/>
      <c r="AS1317" s="59"/>
      <c r="AT1317" s="59"/>
      <c r="AU1317" s="59"/>
      <c r="AV1317" s="59"/>
      <c r="AW1317" s="59"/>
      <c r="AX1317" s="59"/>
      <c r="AY1317" s="59"/>
      <c r="AZ1317" s="59"/>
      <c r="BA1317" s="59"/>
      <c r="BB1317" s="59"/>
      <c r="BC1317" s="59"/>
      <c r="BD1317" s="59"/>
      <c r="BE1317" s="59"/>
      <c r="BF1317" s="59"/>
      <c r="BG1317" s="59"/>
      <c r="BH1317" s="59"/>
      <c r="BI1317" s="59"/>
      <c r="BJ1317" s="59"/>
      <c r="BK1317" s="59"/>
      <c r="BL1317" s="59"/>
      <c r="BM1317" s="59"/>
      <c r="BN1317" s="59"/>
      <c r="BO1317" s="59"/>
      <c r="BP1317" s="59"/>
      <c r="BQ1317" s="59"/>
      <c r="BR1317" s="59"/>
      <c r="BS1317" s="59"/>
      <c r="BT1317" s="59"/>
      <c r="BU1317" s="59"/>
      <c r="BV1317" s="59"/>
      <c r="BW1317" s="59"/>
      <c r="BX1317" s="59"/>
      <c r="BY1317" s="59"/>
      <c r="BZ1317" s="59"/>
      <c r="CA1317" s="59"/>
      <c r="CB1317" s="59"/>
      <c r="CC1317" s="59"/>
      <c r="CD1317" s="59"/>
      <c r="CE1317" s="59"/>
      <c r="CF1317" s="59"/>
      <c r="CG1317" s="59"/>
      <c r="CH1317" s="59"/>
      <c r="CI1317" s="59"/>
      <c r="CJ1317" s="59"/>
      <c r="CK1317" s="59"/>
      <c r="CL1317" s="59"/>
      <c r="CM1317" s="59"/>
      <c r="CN1317" s="59"/>
      <c r="CO1317" s="59"/>
      <c r="CP1317" s="59"/>
      <c r="CQ1317" s="59"/>
      <c r="CR1317" s="59"/>
      <c r="CS1317" s="59"/>
      <c r="CT1317" s="59"/>
      <c r="CU1317" s="59"/>
      <c r="CV1317" s="59"/>
      <c r="CW1317" s="59"/>
      <c r="CX1317" s="59"/>
      <c r="CY1317" s="59"/>
      <c r="CZ1317" s="59"/>
      <c r="DA1317" s="59"/>
      <c r="DB1317" s="59"/>
      <c r="DC1317" s="59"/>
      <c r="DD1317" s="59"/>
      <c r="DE1317" s="59"/>
      <c r="DF1317" s="59"/>
      <c r="DG1317" s="59"/>
      <c r="DH1317" s="59"/>
      <c r="DI1317" s="59"/>
      <c r="DJ1317" s="59"/>
      <c r="DK1317" s="59"/>
      <c r="DL1317" s="59"/>
      <c r="DM1317" s="59"/>
      <c r="DN1317" s="59"/>
      <c r="DO1317" s="59"/>
      <c r="DP1317" s="59"/>
      <c r="DQ1317" s="59"/>
      <c r="DR1317" s="59"/>
      <c r="DS1317" s="59"/>
      <c r="DT1317" s="59"/>
      <c r="DU1317" s="59"/>
      <c r="DV1317" s="59"/>
      <c r="DW1317" s="59"/>
      <c r="DX1317" s="59"/>
      <c r="DY1317" s="59"/>
      <c r="DZ1317" s="59"/>
      <c r="EA1317" s="59"/>
      <c r="EB1317" s="59"/>
      <c r="EC1317" s="59"/>
      <c r="ED1317" s="59"/>
      <c r="EE1317" s="59"/>
      <c r="EF1317" s="59"/>
      <c r="EG1317" s="59"/>
      <c r="EH1317" s="59"/>
      <c r="EI1317" s="59"/>
      <c r="EJ1317" s="59"/>
      <c r="EK1317" s="59"/>
      <c r="EL1317" s="59"/>
      <c r="EM1317" s="59"/>
      <c r="EN1317" s="59"/>
      <c r="EO1317" s="59"/>
      <c r="EP1317" s="59"/>
      <c r="EQ1317" s="59"/>
      <c r="ER1317" s="59"/>
      <c r="ES1317" s="59"/>
      <c r="ET1317" s="59"/>
      <c r="EU1317" s="59"/>
      <c r="EV1317" s="59"/>
      <c r="EW1317" s="59"/>
      <c r="EX1317" s="59"/>
      <c r="EY1317" s="59"/>
      <c r="EZ1317" s="59"/>
      <c r="FA1317" s="59"/>
      <c r="FB1317" s="59"/>
      <c r="FC1317" s="59"/>
      <c r="FD1317" s="59"/>
      <c r="FE1317" s="59"/>
      <c r="FF1317" s="59"/>
      <c r="FG1317" s="59"/>
      <c r="FH1317" s="59"/>
      <c r="FI1317" s="59"/>
      <c r="FJ1317" s="59"/>
      <c r="FK1317" s="59"/>
      <c r="FL1317" s="59"/>
      <c r="FM1317" s="59"/>
      <c r="FN1317" s="59"/>
      <c r="FO1317" s="59"/>
      <c r="FP1317" s="59"/>
      <c r="FQ1317" s="59"/>
      <c r="FR1317" s="59"/>
      <c r="FS1317" s="59"/>
      <c r="FT1317" s="59"/>
      <c r="FU1317" s="59"/>
      <c r="FV1317" s="59"/>
      <c r="FW1317" s="59"/>
      <c r="FX1317" s="59"/>
      <c r="FY1317" s="59"/>
      <c r="FZ1317" s="59"/>
      <c r="GA1317" s="59"/>
      <c r="GB1317" s="59"/>
      <c r="GC1317" s="59"/>
    </row>
    <row r="1318">
      <c r="A1318" s="59"/>
      <c r="B1318" s="59"/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  <c r="O1318" s="59"/>
      <c r="P1318" s="59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59"/>
      <c r="AU1318" s="59"/>
      <c r="AV1318" s="59"/>
      <c r="AW1318" s="59"/>
      <c r="AX1318" s="59"/>
      <c r="AY1318" s="59"/>
      <c r="AZ1318" s="59"/>
      <c r="BA1318" s="59"/>
      <c r="BB1318" s="59"/>
      <c r="BC1318" s="59"/>
      <c r="BD1318" s="59"/>
      <c r="BE1318" s="59"/>
      <c r="BF1318" s="59"/>
      <c r="BG1318" s="59"/>
      <c r="BH1318" s="59"/>
      <c r="BI1318" s="59"/>
      <c r="BJ1318" s="59"/>
      <c r="BK1318" s="59"/>
      <c r="BL1318" s="59"/>
      <c r="BM1318" s="59"/>
      <c r="BN1318" s="59"/>
      <c r="BO1318" s="59"/>
      <c r="BP1318" s="59"/>
      <c r="BQ1318" s="59"/>
      <c r="BR1318" s="59"/>
      <c r="BS1318" s="59"/>
      <c r="BT1318" s="59"/>
      <c r="BU1318" s="59"/>
      <c r="BV1318" s="59"/>
      <c r="BW1318" s="59"/>
      <c r="BX1318" s="59"/>
      <c r="BY1318" s="59"/>
      <c r="BZ1318" s="59"/>
      <c r="CA1318" s="59"/>
      <c r="CB1318" s="59"/>
      <c r="CC1318" s="59"/>
      <c r="CD1318" s="59"/>
      <c r="CE1318" s="59"/>
      <c r="CF1318" s="59"/>
      <c r="CG1318" s="59"/>
      <c r="CH1318" s="59"/>
      <c r="CI1318" s="59"/>
      <c r="CJ1318" s="59"/>
      <c r="CK1318" s="59"/>
      <c r="CL1318" s="59"/>
      <c r="CM1318" s="59"/>
      <c r="CN1318" s="59"/>
      <c r="CO1318" s="59"/>
      <c r="CP1318" s="59"/>
      <c r="CQ1318" s="59"/>
      <c r="CR1318" s="59"/>
      <c r="CS1318" s="59"/>
      <c r="CT1318" s="59"/>
      <c r="CU1318" s="59"/>
      <c r="CV1318" s="59"/>
      <c r="CW1318" s="59"/>
      <c r="CX1318" s="59"/>
      <c r="CY1318" s="59"/>
      <c r="CZ1318" s="59"/>
      <c r="DA1318" s="59"/>
      <c r="DB1318" s="59"/>
      <c r="DC1318" s="59"/>
      <c r="DD1318" s="59"/>
      <c r="DE1318" s="59"/>
      <c r="DF1318" s="59"/>
      <c r="DG1318" s="59"/>
      <c r="DH1318" s="59"/>
      <c r="DI1318" s="59"/>
      <c r="DJ1318" s="59"/>
      <c r="DK1318" s="59"/>
      <c r="DL1318" s="59"/>
      <c r="DM1318" s="59"/>
      <c r="DN1318" s="59"/>
      <c r="DO1318" s="59"/>
      <c r="DP1318" s="59"/>
      <c r="DQ1318" s="59"/>
      <c r="DR1318" s="59"/>
      <c r="DS1318" s="59"/>
      <c r="DT1318" s="59"/>
      <c r="DU1318" s="59"/>
      <c r="DV1318" s="59"/>
      <c r="DW1318" s="59"/>
      <c r="DX1318" s="59"/>
      <c r="DY1318" s="59"/>
      <c r="DZ1318" s="59"/>
      <c r="EA1318" s="59"/>
      <c r="EB1318" s="59"/>
      <c r="EC1318" s="59"/>
      <c r="ED1318" s="59"/>
      <c r="EE1318" s="59"/>
      <c r="EF1318" s="59"/>
      <c r="EG1318" s="59"/>
      <c r="EH1318" s="59"/>
      <c r="EI1318" s="59"/>
      <c r="EJ1318" s="59"/>
      <c r="EK1318" s="59"/>
      <c r="EL1318" s="59"/>
      <c r="EM1318" s="59"/>
      <c r="EN1318" s="59"/>
      <c r="EO1318" s="59"/>
      <c r="EP1318" s="59"/>
      <c r="EQ1318" s="59"/>
      <c r="ER1318" s="59"/>
      <c r="ES1318" s="59"/>
      <c r="ET1318" s="59"/>
      <c r="EU1318" s="59"/>
      <c r="EV1318" s="59"/>
      <c r="EW1318" s="59"/>
      <c r="EX1318" s="59"/>
      <c r="EY1318" s="59"/>
      <c r="EZ1318" s="59"/>
      <c r="FA1318" s="59"/>
      <c r="FB1318" s="59"/>
      <c r="FC1318" s="59"/>
      <c r="FD1318" s="59"/>
      <c r="FE1318" s="59"/>
      <c r="FF1318" s="59"/>
      <c r="FG1318" s="59"/>
      <c r="FH1318" s="59"/>
      <c r="FI1318" s="59"/>
      <c r="FJ1318" s="59"/>
      <c r="FK1318" s="59"/>
      <c r="FL1318" s="59"/>
      <c r="FM1318" s="59"/>
      <c r="FN1318" s="59"/>
      <c r="FO1318" s="59"/>
      <c r="FP1318" s="59"/>
      <c r="FQ1318" s="59"/>
      <c r="FR1318" s="59"/>
      <c r="FS1318" s="59"/>
      <c r="FT1318" s="59"/>
      <c r="FU1318" s="59"/>
      <c r="FV1318" s="59"/>
      <c r="FW1318" s="59"/>
      <c r="FX1318" s="59"/>
      <c r="FY1318" s="59"/>
      <c r="FZ1318" s="59"/>
      <c r="GA1318" s="59"/>
      <c r="GB1318" s="59"/>
      <c r="GC1318" s="59"/>
    </row>
    <row r="1319">
      <c r="A1319" s="59"/>
      <c r="B1319" s="59"/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59"/>
      <c r="AG1319" s="59"/>
      <c r="AH1319" s="59"/>
      <c r="AI1319" s="59"/>
      <c r="AJ1319" s="59"/>
      <c r="AK1319" s="59"/>
      <c r="AL1319" s="59"/>
      <c r="AM1319" s="59"/>
      <c r="AN1319" s="59"/>
      <c r="AO1319" s="59"/>
      <c r="AP1319" s="59"/>
      <c r="AQ1319" s="59"/>
      <c r="AR1319" s="59"/>
      <c r="AS1319" s="59"/>
      <c r="AT1319" s="59"/>
      <c r="AU1319" s="59"/>
      <c r="AV1319" s="59"/>
      <c r="AW1319" s="59"/>
      <c r="AX1319" s="59"/>
      <c r="AY1319" s="59"/>
      <c r="AZ1319" s="59"/>
      <c r="BA1319" s="59"/>
      <c r="BB1319" s="59"/>
      <c r="BC1319" s="59"/>
      <c r="BD1319" s="59"/>
      <c r="BE1319" s="59"/>
      <c r="BF1319" s="59"/>
      <c r="BG1319" s="59"/>
      <c r="BH1319" s="59"/>
      <c r="BI1319" s="59"/>
      <c r="BJ1319" s="59"/>
      <c r="BK1319" s="59"/>
      <c r="BL1319" s="59"/>
      <c r="BM1319" s="59"/>
      <c r="BN1319" s="59"/>
      <c r="BO1319" s="59"/>
      <c r="BP1319" s="59"/>
      <c r="BQ1319" s="59"/>
      <c r="BR1319" s="59"/>
      <c r="BS1319" s="59"/>
      <c r="BT1319" s="59"/>
      <c r="BU1319" s="59"/>
      <c r="BV1319" s="59"/>
      <c r="BW1319" s="59"/>
      <c r="BX1319" s="59"/>
      <c r="BY1319" s="59"/>
      <c r="BZ1319" s="59"/>
      <c r="CA1319" s="59"/>
      <c r="CB1319" s="59"/>
      <c r="CC1319" s="59"/>
      <c r="CD1319" s="59"/>
      <c r="CE1319" s="59"/>
      <c r="CF1319" s="59"/>
      <c r="CG1319" s="59"/>
      <c r="CH1319" s="59"/>
      <c r="CI1319" s="59"/>
      <c r="CJ1319" s="59"/>
      <c r="CK1319" s="59"/>
      <c r="CL1319" s="59"/>
      <c r="CM1319" s="59"/>
      <c r="CN1319" s="59"/>
      <c r="CO1319" s="59"/>
      <c r="CP1319" s="59"/>
      <c r="CQ1319" s="59"/>
      <c r="CR1319" s="59"/>
      <c r="CS1319" s="59"/>
      <c r="CT1319" s="59"/>
      <c r="CU1319" s="59"/>
      <c r="CV1319" s="59"/>
      <c r="CW1319" s="59"/>
      <c r="CX1319" s="59"/>
      <c r="CY1319" s="59"/>
      <c r="CZ1319" s="59"/>
      <c r="DA1319" s="59"/>
      <c r="DB1319" s="59"/>
      <c r="DC1319" s="59"/>
      <c r="DD1319" s="59"/>
      <c r="DE1319" s="59"/>
      <c r="DF1319" s="59"/>
      <c r="DG1319" s="59"/>
      <c r="DH1319" s="59"/>
      <c r="DI1319" s="59"/>
      <c r="DJ1319" s="59"/>
      <c r="DK1319" s="59"/>
      <c r="DL1319" s="59"/>
      <c r="DM1319" s="59"/>
      <c r="DN1319" s="59"/>
      <c r="DO1319" s="59"/>
      <c r="DP1319" s="59"/>
      <c r="DQ1319" s="59"/>
      <c r="DR1319" s="59"/>
      <c r="DS1319" s="59"/>
      <c r="DT1319" s="59"/>
      <c r="DU1319" s="59"/>
      <c r="DV1319" s="59"/>
      <c r="DW1319" s="59"/>
      <c r="DX1319" s="59"/>
      <c r="DY1319" s="59"/>
      <c r="DZ1319" s="59"/>
      <c r="EA1319" s="59"/>
      <c r="EB1319" s="59"/>
      <c r="EC1319" s="59"/>
      <c r="ED1319" s="59"/>
      <c r="EE1319" s="59"/>
      <c r="EF1319" s="59"/>
      <c r="EG1319" s="59"/>
      <c r="EH1319" s="59"/>
      <c r="EI1319" s="59"/>
      <c r="EJ1319" s="59"/>
      <c r="EK1319" s="59"/>
      <c r="EL1319" s="59"/>
      <c r="EM1319" s="59"/>
      <c r="EN1319" s="59"/>
      <c r="EO1319" s="59"/>
      <c r="EP1319" s="59"/>
      <c r="EQ1319" s="59"/>
      <c r="ER1319" s="59"/>
      <c r="ES1319" s="59"/>
      <c r="ET1319" s="59"/>
      <c r="EU1319" s="59"/>
      <c r="EV1319" s="59"/>
      <c r="EW1319" s="59"/>
      <c r="EX1319" s="59"/>
      <c r="EY1319" s="59"/>
      <c r="EZ1319" s="59"/>
      <c r="FA1319" s="59"/>
      <c r="FB1319" s="59"/>
      <c r="FC1319" s="59"/>
      <c r="FD1319" s="59"/>
      <c r="FE1319" s="59"/>
      <c r="FF1319" s="59"/>
      <c r="FG1319" s="59"/>
      <c r="FH1319" s="59"/>
      <c r="FI1319" s="59"/>
      <c r="FJ1319" s="59"/>
      <c r="FK1319" s="59"/>
      <c r="FL1319" s="59"/>
      <c r="FM1319" s="59"/>
      <c r="FN1319" s="59"/>
      <c r="FO1319" s="59"/>
      <c r="FP1319" s="59"/>
      <c r="FQ1319" s="59"/>
      <c r="FR1319" s="59"/>
      <c r="FS1319" s="59"/>
      <c r="FT1319" s="59"/>
      <c r="FU1319" s="59"/>
      <c r="FV1319" s="59"/>
      <c r="FW1319" s="59"/>
      <c r="FX1319" s="59"/>
      <c r="FY1319" s="59"/>
      <c r="FZ1319" s="59"/>
      <c r="GA1319" s="59"/>
      <c r="GB1319" s="59"/>
      <c r="GC1319" s="59"/>
    </row>
    <row r="1320">
      <c r="A1320" s="59"/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  <c r="O1320" s="59"/>
      <c r="P1320" s="59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59"/>
      <c r="AU1320" s="59"/>
      <c r="AV1320" s="59"/>
      <c r="AW1320" s="59"/>
      <c r="AX1320" s="59"/>
      <c r="AY1320" s="59"/>
      <c r="AZ1320" s="59"/>
      <c r="BA1320" s="59"/>
      <c r="BB1320" s="59"/>
      <c r="BC1320" s="59"/>
      <c r="BD1320" s="59"/>
      <c r="BE1320" s="59"/>
      <c r="BF1320" s="59"/>
      <c r="BG1320" s="59"/>
      <c r="BH1320" s="59"/>
      <c r="BI1320" s="59"/>
      <c r="BJ1320" s="59"/>
      <c r="BK1320" s="59"/>
      <c r="BL1320" s="59"/>
      <c r="BM1320" s="59"/>
      <c r="BN1320" s="59"/>
      <c r="BO1320" s="59"/>
      <c r="BP1320" s="59"/>
      <c r="BQ1320" s="59"/>
      <c r="BR1320" s="59"/>
      <c r="BS1320" s="59"/>
      <c r="BT1320" s="59"/>
      <c r="BU1320" s="59"/>
      <c r="BV1320" s="59"/>
      <c r="BW1320" s="59"/>
      <c r="BX1320" s="59"/>
      <c r="BY1320" s="59"/>
      <c r="BZ1320" s="59"/>
      <c r="CA1320" s="59"/>
      <c r="CB1320" s="59"/>
      <c r="CC1320" s="59"/>
      <c r="CD1320" s="59"/>
      <c r="CE1320" s="59"/>
      <c r="CF1320" s="59"/>
      <c r="CG1320" s="59"/>
      <c r="CH1320" s="59"/>
      <c r="CI1320" s="59"/>
      <c r="CJ1320" s="59"/>
      <c r="CK1320" s="59"/>
      <c r="CL1320" s="59"/>
      <c r="CM1320" s="59"/>
      <c r="CN1320" s="59"/>
      <c r="CO1320" s="59"/>
      <c r="CP1320" s="59"/>
      <c r="CQ1320" s="59"/>
      <c r="CR1320" s="59"/>
      <c r="CS1320" s="59"/>
      <c r="CT1320" s="59"/>
      <c r="CU1320" s="59"/>
      <c r="CV1320" s="59"/>
      <c r="CW1320" s="59"/>
      <c r="CX1320" s="59"/>
      <c r="CY1320" s="59"/>
      <c r="CZ1320" s="59"/>
      <c r="DA1320" s="59"/>
      <c r="DB1320" s="59"/>
      <c r="DC1320" s="59"/>
      <c r="DD1320" s="59"/>
      <c r="DE1320" s="59"/>
      <c r="DF1320" s="59"/>
      <c r="DG1320" s="59"/>
      <c r="DH1320" s="59"/>
      <c r="DI1320" s="59"/>
      <c r="DJ1320" s="59"/>
      <c r="DK1320" s="59"/>
      <c r="DL1320" s="59"/>
      <c r="DM1320" s="59"/>
      <c r="DN1320" s="59"/>
      <c r="DO1320" s="59"/>
      <c r="DP1320" s="59"/>
      <c r="DQ1320" s="59"/>
      <c r="DR1320" s="59"/>
      <c r="DS1320" s="59"/>
      <c r="DT1320" s="59"/>
      <c r="DU1320" s="59"/>
      <c r="DV1320" s="59"/>
      <c r="DW1320" s="59"/>
      <c r="DX1320" s="59"/>
      <c r="DY1320" s="59"/>
      <c r="DZ1320" s="59"/>
      <c r="EA1320" s="59"/>
      <c r="EB1320" s="59"/>
      <c r="EC1320" s="59"/>
      <c r="ED1320" s="59"/>
      <c r="EE1320" s="59"/>
      <c r="EF1320" s="59"/>
      <c r="EG1320" s="59"/>
      <c r="EH1320" s="59"/>
      <c r="EI1320" s="59"/>
      <c r="EJ1320" s="59"/>
      <c r="EK1320" s="59"/>
      <c r="EL1320" s="59"/>
      <c r="EM1320" s="59"/>
      <c r="EN1320" s="59"/>
      <c r="EO1320" s="59"/>
      <c r="EP1320" s="59"/>
      <c r="EQ1320" s="59"/>
      <c r="ER1320" s="59"/>
      <c r="ES1320" s="59"/>
      <c r="ET1320" s="59"/>
      <c r="EU1320" s="59"/>
      <c r="EV1320" s="59"/>
      <c r="EW1320" s="59"/>
      <c r="EX1320" s="59"/>
      <c r="EY1320" s="59"/>
      <c r="EZ1320" s="59"/>
      <c r="FA1320" s="59"/>
      <c r="FB1320" s="59"/>
      <c r="FC1320" s="59"/>
      <c r="FD1320" s="59"/>
      <c r="FE1320" s="59"/>
      <c r="FF1320" s="59"/>
      <c r="FG1320" s="59"/>
      <c r="FH1320" s="59"/>
      <c r="FI1320" s="59"/>
      <c r="FJ1320" s="59"/>
      <c r="FK1320" s="59"/>
      <c r="FL1320" s="59"/>
      <c r="FM1320" s="59"/>
      <c r="FN1320" s="59"/>
      <c r="FO1320" s="59"/>
      <c r="FP1320" s="59"/>
      <c r="FQ1320" s="59"/>
      <c r="FR1320" s="59"/>
      <c r="FS1320" s="59"/>
      <c r="FT1320" s="59"/>
      <c r="FU1320" s="59"/>
      <c r="FV1320" s="59"/>
      <c r="FW1320" s="59"/>
      <c r="FX1320" s="59"/>
      <c r="FY1320" s="59"/>
      <c r="FZ1320" s="59"/>
      <c r="GA1320" s="59"/>
      <c r="GB1320" s="59"/>
      <c r="GC1320" s="59"/>
    </row>
    <row r="1321">
      <c r="A1321" s="59"/>
      <c r="B1321" s="59"/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  <c r="O1321" s="59"/>
      <c r="P1321" s="59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  <c r="AA1321" s="59"/>
      <c r="AB1321" s="59"/>
      <c r="AC1321" s="59"/>
      <c r="AD1321" s="59"/>
      <c r="AE1321" s="59"/>
      <c r="AF1321" s="59"/>
      <c r="AG1321" s="59"/>
      <c r="AH1321" s="59"/>
      <c r="AI1321" s="59"/>
      <c r="AJ1321" s="59"/>
      <c r="AK1321" s="59"/>
      <c r="AL1321" s="59"/>
      <c r="AM1321" s="59"/>
      <c r="AN1321" s="59"/>
      <c r="AO1321" s="59"/>
      <c r="AP1321" s="59"/>
      <c r="AQ1321" s="59"/>
      <c r="AR1321" s="59"/>
      <c r="AS1321" s="59"/>
      <c r="AT1321" s="59"/>
      <c r="AU1321" s="59"/>
      <c r="AV1321" s="59"/>
      <c r="AW1321" s="59"/>
      <c r="AX1321" s="59"/>
      <c r="AY1321" s="59"/>
      <c r="AZ1321" s="59"/>
      <c r="BA1321" s="59"/>
      <c r="BB1321" s="59"/>
      <c r="BC1321" s="59"/>
      <c r="BD1321" s="59"/>
      <c r="BE1321" s="59"/>
      <c r="BF1321" s="59"/>
      <c r="BG1321" s="59"/>
      <c r="BH1321" s="59"/>
      <c r="BI1321" s="59"/>
      <c r="BJ1321" s="59"/>
      <c r="BK1321" s="59"/>
      <c r="BL1321" s="59"/>
      <c r="BM1321" s="59"/>
      <c r="BN1321" s="59"/>
      <c r="BO1321" s="59"/>
      <c r="BP1321" s="59"/>
      <c r="BQ1321" s="59"/>
      <c r="BR1321" s="59"/>
      <c r="BS1321" s="59"/>
      <c r="BT1321" s="59"/>
      <c r="BU1321" s="59"/>
      <c r="BV1321" s="59"/>
      <c r="BW1321" s="59"/>
      <c r="BX1321" s="59"/>
      <c r="BY1321" s="59"/>
      <c r="BZ1321" s="59"/>
      <c r="CA1321" s="59"/>
      <c r="CB1321" s="59"/>
      <c r="CC1321" s="59"/>
      <c r="CD1321" s="59"/>
      <c r="CE1321" s="59"/>
      <c r="CF1321" s="59"/>
      <c r="CG1321" s="59"/>
      <c r="CH1321" s="59"/>
      <c r="CI1321" s="59"/>
      <c r="CJ1321" s="59"/>
      <c r="CK1321" s="59"/>
      <c r="CL1321" s="59"/>
      <c r="CM1321" s="59"/>
      <c r="CN1321" s="59"/>
      <c r="CO1321" s="59"/>
      <c r="CP1321" s="59"/>
      <c r="CQ1321" s="59"/>
      <c r="CR1321" s="59"/>
      <c r="CS1321" s="59"/>
      <c r="CT1321" s="59"/>
      <c r="CU1321" s="59"/>
      <c r="CV1321" s="59"/>
      <c r="CW1321" s="59"/>
      <c r="CX1321" s="59"/>
      <c r="CY1321" s="59"/>
      <c r="CZ1321" s="59"/>
      <c r="DA1321" s="59"/>
      <c r="DB1321" s="59"/>
      <c r="DC1321" s="59"/>
      <c r="DD1321" s="59"/>
      <c r="DE1321" s="59"/>
      <c r="DF1321" s="59"/>
      <c r="DG1321" s="59"/>
      <c r="DH1321" s="59"/>
      <c r="DI1321" s="59"/>
      <c r="DJ1321" s="59"/>
      <c r="DK1321" s="59"/>
      <c r="DL1321" s="59"/>
      <c r="DM1321" s="59"/>
      <c r="DN1321" s="59"/>
      <c r="DO1321" s="59"/>
      <c r="DP1321" s="59"/>
      <c r="DQ1321" s="59"/>
      <c r="DR1321" s="59"/>
      <c r="DS1321" s="59"/>
      <c r="DT1321" s="59"/>
      <c r="DU1321" s="59"/>
      <c r="DV1321" s="59"/>
      <c r="DW1321" s="59"/>
      <c r="DX1321" s="59"/>
      <c r="DY1321" s="59"/>
      <c r="DZ1321" s="59"/>
      <c r="EA1321" s="59"/>
      <c r="EB1321" s="59"/>
      <c r="EC1321" s="59"/>
      <c r="ED1321" s="59"/>
      <c r="EE1321" s="59"/>
      <c r="EF1321" s="59"/>
      <c r="EG1321" s="59"/>
      <c r="EH1321" s="59"/>
      <c r="EI1321" s="59"/>
      <c r="EJ1321" s="59"/>
      <c r="EK1321" s="59"/>
      <c r="EL1321" s="59"/>
      <c r="EM1321" s="59"/>
      <c r="EN1321" s="59"/>
      <c r="EO1321" s="59"/>
      <c r="EP1321" s="59"/>
      <c r="EQ1321" s="59"/>
      <c r="ER1321" s="59"/>
      <c r="ES1321" s="59"/>
      <c r="ET1321" s="59"/>
      <c r="EU1321" s="59"/>
      <c r="EV1321" s="59"/>
      <c r="EW1321" s="59"/>
      <c r="EX1321" s="59"/>
      <c r="EY1321" s="59"/>
      <c r="EZ1321" s="59"/>
      <c r="FA1321" s="59"/>
      <c r="FB1321" s="59"/>
      <c r="FC1321" s="59"/>
      <c r="FD1321" s="59"/>
      <c r="FE1321" s="59"/>
      <c r="FF1321" s="59"/>
      <c r="FG1321" s="59"/>
      <c r="FH1321" s="59"/>
      <c r="FI1321" s="59"/>
      <c r="FJ1321" s="59"/>
      <c r="FK1321" s="59"/>
      <c r="FL1321" s="59"/>
      <c r="FM1321" s="59"/>
      <c r="FN1321" s="59"/>
      <c r="FO1321" s="59"/>
      <c r="FP1321" s="59"/>
      <c r="FQ1321" s="59"/>
      <c r="FR1321" s="59"/>
      <c r="FS1321" s="59"/>
      <c r="FT1321" s="59"/>
      <c r="FU1321" s="59"/>
      <c r="FV1321" s="59"/>
      <c r="FW1321" s="59"/>
      <c r="FX1321" s="59"/>
      <c r="FY1321" s="59"/>
      <c r="FZ1321" s="59"/>
      <c r="GA1321" s="59"/>
      <c r="GB1321" s="59"/>
      <c r="GC1321" s="59"/>
    </row>
    <row r="1322">
      <c r="A1322" s="59"/>
      <c r="B1322" s="59"/>
      <c r="C1322" s="59"/>
      <c r="D1322" s="59"/>
      <c r="E1322" s="59"/>
      <c r="F1322" s="59"/>
      <c r="G1322" s="59"/>
      <c r="H1322" s="59"/>
      <c r="I1322" s="59"/>
      <c r="J1322" s="59"/>
      <c r="K1322" s="59"/>
      <c r="L1322" s="59"/>
      <c r="M1322" s="59"/>
      <c r="N1322" s="59"/>
      <c r="O1322" s="59"/>
      <c r="P1322" s="59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59"/>
      <c r="AU1322" s="59"/>
      <c r="AV1322" s="59"/>
      <c r="AW1322" s="59"/>
      <c r="AX1322" s="59"/>
      <c r="AY1322" s="59"/>
      <c r="AZ1322" s="59"/>
      <c r="BA1322" s="59"/>
      <c r="BB1322" s="59"/>
      <c r="BC1322" s="59"/>
      <c r="BD1322" s="59"/>
      <c r="BE1322" s="59"/>
      <c r="BF1322" s="59"/>
      <c r="BG1322" s="59"/>
      <c r="BH1322" s="59"/>
      <c r="BI1322" s="59"/>
      <c r="BJ1322" s="59"/>
      <c r="BK1322" s="59"/>
      <c r="BL1322" s="59"/>
      <c r="BM1322" s="59"/>
      <c r="BN1322" s="59"/>
      <c r="BO1322" s="59"/>
      <c r="BP1322" s="59"/>
      <c r="BQ1322" s="59"/>
      <c r="BR1322" s="59"/>
      <c r="BS1322" s="59"/>
      <c r="BT1322" s="59"/>
      <c r="BU1322" s="59"/>
      <c r="BV1322" s="59"/>
      <c r="BW1322" s="59"/>
      <c r="BX1322" s="59"/>
      <c r="BY1322" s="59"/>
      <c r="BZ1322" s="59"/>
      <c r="CA1322" s="59"/>
      <c r="CB1322" s="59"/>
      <c r="CC1322" s="59"/>
      <c r="CD1322" s="59"/>
      <c r="CE1322" s="59"/>
      <c r="CF1322" s="59"/>
      <c r="CG1322" s="59"/>
      <c r="CH1322" s="59"/>
      <c r="CI1322" s="59"/>
      <c r="CJ1322" s="59"/>
      <c r="CK1322" s="59"/>
      <c r="CL1322" s="59"/>
      <c r="CM1322" s="59"/>
      <c r="CN1322" s="59"/>
      <c r="CO1322" s="59"/>
      <c r="CP1322" s="59"/>
      <c r="CQ1322" s="59"/>
      <c r="CR1322" s="59"/>
      <c r="CS1322" s="59"/>
      <c r="CT1322" s="59"/>
      <c r="CU1322" s="59"/>
      <c r="CV1322" s="59"/>
      <c r="CW1322" s="59"/>
      <c r="CX1322" s="59"/>
      <c r="CY1322" s="59"/>
      <c r="CZ1322" s="59"/>
      <c r="DA1322" s="59"/>
      <c r="DB1322" s="59"/>
      <c r="DC1322" s="59"/>
      <c r="DD1322" s="59"/>
      <c r="DE1322" s="59"/>
      <c r="DF1322" s="59"/>
      <c r="DG1322" s="59"/>
      <c r="DH1322" s="59"/>
      <c r="DI1322" s="59"/>
      <c r="DJ1322" s="59"/>
      <c r="DK1322" s="59"/>
      <c r="DL1322" s="59"/>
      <c r="DM1322" s="59"/>
      <c r="DN1322" s="59"/>
      <c r="DO1322" s="59"/>
      <c r="DP1322" s="59"/>
      <c r="DQ1322" s="59"/>
      <c r="DR1322" s="59"/>
      <c r="DS1322" s="59"/>
      <c r="DT1322" s="59"/>
      <c r="DU1322" s="59"/>
      <c r="DV1322" s="59"/>
      <c r="DW1322" s="59"/>
      <c r="DX1322" s="59"/>
      <c r="DY1322" s="59"/>
      <c r="DZ1322" s="59"/>
      <c r="EA1322" s="59"/>
      <c r="EB1322" s="59"/>
      <c r="EC1322" s="59"/>
      <c r="ED1322" s="59"/>
      <c r="EE1322" s="59"/>
      <c r="EF1322" s="59"/>
      <c r="EG1322" s="59"/>
      <c r="EH1322" s="59"/>
      <c r="EI1322" s="59"/>
      <c r="EJ1322" s="59"/>
      <c r="EK1322" s="59"/>
      <c r="EL1322" s="59"/>
      <c r="EM1322" s="59"/>
      <c r="EN1322" s="59"/>
      <c r="EO1322" s="59"/>
      <c r="EP1322" s="59"/>
      <c r="EQ1322" s="59"/>
      <c r="ER1322" s="59"/>
      <c r="ES1322" s="59"/>
      <c r="ET1322" s="59"/>
      <c r="EU1322" s="59"/>
      <c r="EV1322" s="59"/>
      <c r="EW1322" s="59"/>
      <c r="EX1322" s="59"/>
      <c r="EY1322" s="59"/>
      <c r="EZ1322" s="59"/>
      <c r="FA1322" s="59"/>
      <c r="FB1322" s="59"/>
      <c r="FC1322" s="59"/>
      <c r="FD1322" s="59"/>
      <c r="FE1322" s="59"/>
      <c r="FF1322" s="59"/>
      <c r="FG1322" s="59"/>
      <c r="FH1322" s="59"/>
      <c r="FI1322" s="59"/>
      <c r="FJ1322" s="59"/>
      <c r="FK1322" s="59"/>
      <c r="FL1322" s="59"/>
      <c r="FM1322" s="59"/>
      <c r="FN1322" s="59"/>
      <c r="FO1322" s="59"/>
      <c r="FP1322" s="59"/>
      <c r="FQ1322" s="59"/>
      <c r="FR1322" s="59"/>
      <c r="FS1322" s="59"/>
      <c r="FT1322" s="59"/>
      <c r="FU1322" s="59"/>
      <c r="FV1322" s="59"/>
      <c r="FW1322" s="59"/>
      <c r="FX1322" s="59"/>
      <c r="FY1322" s="59"/>
      <c r="FZ1322" s="59"/>
      <c r="GA1322" s="59"/>
      <c r="GB1322" s="59"/>
      <c r="GC1322" s="59"/>
    </row>
    <row r="1323">
      <c r="A1323" s="59"/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59"/>
      <c r="P1323" s="59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  <c r="AD1323" s="59"/>
      <c r="AE1323" s="59"/>
      <c r="AF1323" s="59"/>
      <c r="AG1323" s="59"/>
      <c r="AH1323" s="59"/>
      <c r="AI1323" s="59"/>
      <c r="AJ1323" s="59"/>
      <c r="AK1323" s="59"/>
      <c r="AL1323" s="59"/>
      <c r="AM1323" s="59"/>
      <c r="AN1323" s="59"/>
      <c r="AO1323" s="59"/>
      <c r="AP1323" s="59"/>
      <c r="AQ1323" s="59"/>
      <c r="AR1323" s="59"/>
      <c r="AS1323" s="59"/>
      <c r="AT1323" s="59"/>
      <c r="AU1323" s="59"/>
      <c r="AV1323" s="59"/>
      <c r="AW1323" s="59"/>
      <c r="AX1323" s="59"/>
      <c r="AY1323" s="59"/>
      <c r="AZ1323" s="59"/>
      <c r="BA1323" s="59"/>
      <c r="BB1323" s="59"/>
      <c r="BC1323" s="59"/>
      <c r="BD1323" s="59"/>
      <c r="BE1323" s="59"/>
      <c r="BF1323" s="59"/>
      <c r="BG1323" s="59"/>
      <c r="BH1323" s="59"/>
      <c r="BI1323" s="59"/>
      <c r="BJ1323" s="59"/>
      <c r="BK1323" s="59"/>
      <c r="BL1323" s="59"/>
      <c r="BM1323" s="59"/>
      <c r="BN1323" s="59"/>
      <c r="BO1323" s="59"/>
      <c r="BP1323" s="59"/>
      <c r="BQ1323" s="59"/>
      <c r="BR1323" s="59"/>
      <c r="BS1323" s="59"/>
      <c r="BT1323" s="59"/>
      <c r="BU1323" s="59"/>
      <c r="BV1323" s="59"/>
      <c r="BW1323" s="59"/>
      <c r="BX1323" s="59"/>
      <c r="BY1323" s="59"/>
      <c r="BZ1323" s="59"/>
      <c r="CA1323" s="59"/>
      <c r="CB1323" s="59"/>
      <c r="CC1323" s="59"/>
      <c r="CD1323" s="59"/>
      <c r="CE1323" s="59"/>
      <c r="CF1323" s="59"/>
      <c r="CG1323" s="59"/>
      <c r="CH1323" s="59"/>
      <c r="CI1323" s="59"/>
      <c r="CJ1323" s="59"/>
      <c r="CK1323" s="59"/>
      <c r="CL1323" s="59"/>
      <c r="CM1323" s="59"/>
      <c r="CN1323" s="59"/>
      <c r="CO1323" s="59"/>
      <c r="CP1323" s="59"/>
      <c r="CQ1323" s="59"/>
      <c r="CR1323" s="59"/>
      <c r="CS1323" s="59"/>
      <c r="CT1323" s="59"/>
      <c r="CU1323" s="59"/>
      <c r="CV1323" s="59"/>
      <c r="CW1323" s="59"/>
      <c r="CX1323" s="59"/>
      <c r="CY1323" s="59"/>
      <c r="CZ1323" s="59"/>
      <c r="DA1323" s="59"/>
      <c r="DB1323" s="59"/>
      <c r="DC1323" s="59"/>
      <c r="DD1323" s="59"/>
      <c r="DE1323" s="59"/>
      <c r="DF1323" s="59"/>
      <c r="DG1323" s="59"/>
      <c r="DH1323" s="59"/>
      <c r="DI1323" s="59"/>
      <c r="DJ1323" s="59"/>
      <c r="DK1323" s="59"/>
      <c r="DL1323" s="59"/>
      <c r="DM1323" s="59"/>
      <c r="DN1323" s="59"/>
      <c r="DO1323" s="59"/>
      <c r="DP1323" s="59"/>
      <c r="DQ1323" s="59"/>
      <c r="DR1323" s="59"/>
      <c r="DS1323" s="59"/>
      <c r="DT1323" s="59"/>
      <c r="DU1323" s="59"/>
      <c r="DV1323" s="59"/>
      <c r="DW1323" s="59"/>
      <c r="DX1323" s="59"/>
      <c r="DY1323" s="59"/>
      <c r="DZ1323" s="59"/>
      <c r="EA1323" s="59"/>
      <c r="EB1323" s="59"/>
      <c r="EC1323" s="59"/>
      <c r="ED1323" s="59"/>
      <c r="EE1323" s="59"/>
      <c r="EF1323" s="59"/>
      <c r="EG1323" s="59"/>
      <c r="EH1323" s="59"/>
      <c r="EI1323" s="59"/>
      <c r="EJ1323" s="59"/>
      <c r="EK1323" s="59"/>
      <c r="EL1323" s="59"/>
      <c r="EM1323" s="59"/>
      <c r="EN1323" s="59"/>
      <c r="EO1323" s="59"/>
      <c r="EP1323" s="59"/>
      <c r="EQ1323" s="59"/>
      <c r="ER1323" s="59"/>
      <c r="ES1323" s="59"/>
      <c r="ET1323" s="59"/>
      <c r="EU1323" s="59"/>
      <c r="EV1323" s="59"/>
      <c r="EW1323" s="59"/>
      <c r="EX1323" s="59"/>
      <c r="EY1323" s="59"/>
      <c r="EZ1323" s="59"/>
      <c r="FA1323" s="59"/>
      <c r="FB1323" s="59"/>
      <c r="FC1323" s="59"/>
      <c r="FD1323" s="59"/>
      <c r="FE1323" s="59"/>
      <c r="FF1323" s="59"/>
      <c r="FG1323" s="59"/>
      <c r="FH1323" s="59"/>
      <c r="FI1323" s="59"/>
      <c r="FJ1323" s="59"/>
      <c r="FK1323" s="59"/>
      <c r="FL1323" s="59"/>
      <c r="FM1323" s="59"/>
      <c r="FN1323" s="59"/>
      <c r="FO1323" s="59"/>
      <c r="FP1323" s="59"/>
      <c r="FQ1323" s="59"/>
      <c r="FR1323" s="59"/>
      <c r="FS1323" s="59"/>
      <c r="FT1323" s="59"/>
      <c r="FU1323" s="59"/>
      <c r="FV1323" s="59"/>
      <c r="FW1323" s="59"/>
      <c r="FX1323" s="59"/>
      <c r="FY1323" s="59"/>
      <c r="FZ1323" s="59"/>
      <c r="GA1323" s="59"/>
      <c r="GB1323" s="59"/>
      <c r="GC1323" s="59"/>
    </row>
    <row r="1324">
      <c r="A1324" s="59"/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59"/>
      <c r="P1324" s="59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59"/>
      <c r="AU1324" s="59"/>
      <c r="AV1324" s="59"/>
      <c r="AW1324" s="59"/>
      <c r="AX1324" s="59"/>
      <c r="AY1324" s="59"/>
      <c r="AZ1324" s="59"/>
      <c r="BA1324" s="59"/>
      <c r="BB1324" s="59"/>
      <c r="BC1324" s="59"/>
      <c r="BD1324" s="59"/>
      <c r="BE1324" s="59"/>
      <c r="BF1324" s="59"/>
      <c r="BG1324" s="59"/>
      <c r="BH1324" s="59"/>
      <c r="BI1324" s="59"/>
      <c r="BJ1324" s="59"/>
      <c r="BK1324" s="59"/>
      <c r="BL1324" s="59"/>
      <c r="BM1324" s="59"/>
      <c r="BN1324" s="59"/>
      <c r="BO1324" s="59"/>
      <c r="BP1324" s="59"/>
      <c r="BQ1324" s="59"/>
      <c r="BR1324" s="59"/>
      <c r="BS1324" s="59"/>
      <c r="BT1324" s="59"/>
      <c r="BU1324" s="59"/>
      <c r="BV1324" s="59"/>
      <c r="BW1324" s="59"/>
      <c r="BX1324" s="59"/>
      <c r="BY1324" s="59"/>
      <c r="BZ1324" s="59"/>
      <c r="CA1324" s="59"/>
      <c r="CB1324" s="59"/>
      <c r="CC1324" s="59"/>
      <c r="CD1324" s="59"/>
      <c r="CE1324" s="59"/>
      <c r="CF1324" s="59"/>
      <c r="CG1324" s="59"/>
      <c r="CH1324" s="59"/>
      <c r="CI1324" s="59"/>
      <c r="CJ1324" s="59"/>
      <c r="CK1324" s="59"/>
      <c r="CL1324" s="59"/>
      <c r="CM1324" s="59"/>
      <c r="CN1324" s="59"/>
      <c r="CO1324" s="59"/>
      <c r="CP1324" s="59"/>
      <c r="CQ1324" s="59"/>
      <c r="CR1324" s="59"/>
      <c r="CS1324" s="59"/>
      <c r="CT1324" s="59"/>
      <c r="CU1324" s="59"/>
      <c r="CV1324" s="59"/>
      <c r="CW1324" s="59"/>
      <c r="CX1324" s="59"/>
      <c r="CY1324" s="59"/>
      <c r="CZ1324" s="59"/>
      <c r="DA1324" s="59"/>
      <c r="DB1324" s="59"/>
      <c r="DC1324" s="59"/>
      <c r="DD1324" s="59"/>
      <c r="DE1324" s="59"/>
      <c r="DF1324" s="59"/>
      <c r="DG1324" s="59"/>
      <c r="DH1324" s="59"/>
      <c r="DI1324" s="59"/>
      <c r="DJ1324" s="59"/>
      <c r="DK1324" s="59"/>
      <c r="DL1324" s="59"/>
      <c r="DM1324" s="59"/>
      <c r="DN1324" s="59"/>
      <c r="DO1324" s="59"/>
      <c r="DP1324" s="59"/>
      <c r="DQ1324" s="59"/>
      <c r="DR1324" s="59"/>
      <c r="DS1324" s="59"/>
      <c r="DT1324" s="59"/>
      <c r="DU1324" s="59"/>
      <c r="DV1324" s="59"/>
      <c r="DW1324" s="59"/>
      <c r="DX1324" s="59"/>
      <c r="DY1324" s="59"/>
      <c r="DZ1324" s="59"/>
      <c r="EA1324" s="59"/>
      <c r="EB1324" s="59"/>
      <c r="EC1324" s="59"/>
      <c r="ED1324" s="59"/>
      <c r="EE1324" s="59"/>
      <c r="EF1324" s="59"/>
      <c r="EG1324" s="59"/>
      <c r="EH1324" s="59"/>
      <c r="EI1324" s="59"/>
      <c r="EJ1324" s="59"/>
      <c r="EK1324" s="59"/>
      <c r="EL1324" s="59"/>
      <c r="EM1324" s="59"/>
      <c r="EN1324" s="59"/>
      <c r="EO1324" s="59"/>
      <c r="EP1324" s="59"/>
      <c r="EQ1324" s="59"/>
      <c r="ER1324" s="59"/>
      <c r="ES1324" s="59"/>
      <c r="ET1324" s="59"/>
      <c r="EU1324" s="59"/>
      <c r="EV1324" s="59"/>
      <c r="EW1324" s="59"/>
      <c r="EX1324" s="59"/>
      <c r="EY1324" s="59"/>
      <c r="EZ1324" s="59"/>
      <c r="FA1324" s="59"/>
      <c r="FB1324" s="59"/>
      <c r="FC1324" s="59"/>
      <c r="FD1324" s="59"/>
      <c r="FE1324" s="59"/>
      <c r="FF1324" s="59"/>
      <c r="FG1324" s="59"/>
      <c r="FH1324" s="59"/>
      <c r="FI1324" s="59"/>
      <c r="FJ1324" s="59"/>
      <c r="FK1324" s="59"/>
      <c r="FL1324" s="59"/>
      <c r="FM1324" s="59"/>
      <c r="FN1324" s="59"/>
      <c r="FO1324" s="59"/>
      <c r="FP1324" s="59"/>
      <c r="FQ1324" s="59"/>
      <c r="FR1324" s="59"/>
      <c r="FS1324" s="59"/>
      <c r="FT1324" s="59"/>
      <c r="FU1324" s="59"/>
      <c r="FV1324" s="59"/>
      <c r="FW1324" s="59"/>
      <c r="FX1324" s="59"/>
      <c r="FY1324" s="59"/>
      <c r="FZ1324" s="59"/>
      <c r="GA1324" s="59"/>
      <c r="GB1324" s="59"/>
      <c r="GC1324" s="59"/>
    </row>
    <row r="1325">
      <c r="A1325" s="59"/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  <c r="AR1325" s="59"/>
      <c r="AS1325" s="59"/>
      <c r="AT1325" s="59"/>
      <c r="AU1325" s="59"/>
      <c r="AV1325" s="59"/>
      <c r="AW1325" s="59"/>
      <c r="AX1325" s="59"/>
      <c r="AY1325" s="59"/>
      <c r="AZ1325" s="59"/>
      <c r="BA1325" s="59"/>
      <c r="BB1325" s="59"/>
      <c r="BC1325" s="59"/>
      <c r="BD1325" s="59"/>
      <c r="BE1325" s="59"/>
      <c r="BF1325" s="59"/>
      <c r="BG1325" s="59"/>
      <c r="BH1325" s="59"/>
      <c r="BI1325" s="59"/>
      <c r="BJ1325" s="59"/>
      <c r="BK1325" s="59"/>
      <c r="BL1325" s="59"/>
      <c r="BM1325" s="59"/>
      <c r="BN1325" s="59"/>
      <c r="BO1325" s="59"/>
      <c r="BP1325" s="59"/>
      <c r="BQ1325" s="59"/>
      <c r="BR1325" s="59"/>
      <c r="BS1325" s="59"/>
      <c r="BT1325" s="59"/>
      <c r="BU1325" s="59"/>
      <c r="BV1325" s="59"/>
      <c r="BW1325" s="59"/>
      <c r="BX1325" s="59"/>
      <c r="BY1325" s="59"/>
      <c r="BZ1325" s="59"/>
      <c r="CA1325" s="59"/>
      <c r="CB1325" s="59"/>
      <c r="CC1325" s="59"/>
      <c r="CD1325" s="59"/>
      <c r="CE1325" s="59"/>
      <c r="CF1325" s="59"/>
      <c r="CG1325" s="59"/>
      <c r="CH1325" s="59"/>
      <c r="CI1325" s="59"/>
      <c r="CJ1325" s="59"/>
      <c r="CK1325" s="59"/>
      <c r="CL1325" s="59"/>
      <c r="CM1325" s="59"/>
      <c r="CN1325" s="59"/>
      <c r="CO1325" s="59"/>
      <c r="CP1325" s="59"/>
      <c r="CQ1325" s="59"/>
      <c r="CR1325" s="59"/>
      <c r="CS1325" s="59"/>
      <c r="CT1325" s="59"/>
      <c r="CU1325" s="59"/>
      <c r="CV1325" s="59"/>
      <c r="CW1325" s="59"/>
      <c r="CX1325" s="59"/>
      <c r="CY1325" s="59"/>
      <c r="CZ1325" s="59"/>
      <c r="DA1325" s="59"/>
      <c r="DB1325" s="59"/>
      <c r="DC1325" s="59"/>
      <c r="DD1325" s="59"/>
      <c r="DE1325" s="59"/>
      <c r="DF1325" s="59"/>
      <c r="DG1325" s="59"/>
      <c r="DH1325" s="59"/>
      <c r="DI1325" s="59"/>
      <c r="DJ1325" s="59"/>
      <c r="DK1325" s="59"/>
      <c r="DL1325" s="59"/>
      <c r="DM1325" s="59"/>
      <c r="DN1325" s="59"/>
      <c r="DO1325" s="59"/>
      <c r="DP1325" s="59"/>
      <c r="DQ1325" s="59"/>
      <c r="DR1325" s="59"/>
      <c r="DS1325" s="59"/>
      <c r="DT1325" s="59"/>
      <c r="DU1325" s="59"/>
      <c r="DV1325" s="59"/>
      <c r="DW1325" s="59"/>
      <c r="DX1325" s="59"/>
      <c r="DY1325" s="59"/>
      <c r="DZ1325" s="59"/>
      <c r="EA1325" s="59"/>
      <c r="EB1325" s="59"/>
      <c r="EC1325" s="59"/>
      <c r="ED1325" s="59"/>
      <c r="EE1325" s="59"/>
      <c r="EF1325" s="59"/>
      <c r="EG1325" s="59"/>
      <c r="EH1325" s="59"/>
      <c r="EI1325" s="59"/>
      <c r="EJ1325" s="59"/>
      <c r="EK1325" s="59"/>
      <c r="EL1325" s="59"/>
      <c r="EM1325" s="59"/>
      <c r="EN1325" s="59"/>
      <c r="EO1325" s="59"/>
      <c r="EP1325" s="59"/>
      <c r="EQ1325" s="59"/>
      <c r="ER1325" s="59"/>
      <c r="ES1325" s="59"/>
      <c r="ET1325" s="59"/>
      <c r="EU1325" s="59"/>
      <c r="EV1325" s="59"/>
      <c r="EW1325" s="59"/>
      <c r="EX1325" s="59"/>
      <c r="EY1325" s="59"/>
      <c r="EZ1325" s="59"/>
      <c r="FA1325" s="59"/>
      <c r="FB1325" s="59"/>
      <c r="FC1325" s="59"/>
      <c r="FD1325" s="59"/>
      <c r="FE1325" s="59"/>
      <c r="FF1325" s="59"/>
      <c r="FG1325" s="59"/>
      <c r="FH1325" s="59"/>
      <c r="FI1325" s="59"/>
      <c r="FJ1325" s="59"/>
      <c r="FK1325" s="59"/>
      <c r="FL1325" s="59"/>
      <c r="FM1325" s="59"/>
      <c r="FN1325" s="59"/>
      <c r="FO1325" s="59"/>
      <c r="FP1325" s="59"/>
      <c r="FQ1325" s="59"/>
      <c r="FR1325" s="59"/>
      <c r="FS1325" s="59"/>
      <c r="FT1325" s="59"/>
      <c r="FU1325" s="59"/>
      <c r="FV1325" s="59"/>
      <c r="FW1325" s="59"/>
      <c r="FX1325" s="59"/>
      <c r="FY1325" s="59"/>
      <c r="FZ1325" s="59"/>
      <c r="GA1325" s="59"/>
      <c r="GB1325" s="59"/>
      <c r="GC1325" s="59"/>
    </row>
    <row r="1326">
      <c r="A1326" s="59"/>
      <c r="B1326" s="59"/>
      <c r="C1326" s="59"/>
      <c r="D1326" s="59"/>
      <c r="E1326" s="59"/>
      <c r="F1326" s="59"/>
      <c r="G1326" s="59"/>
      <c r="H1326" s="59"/>
      <c r="I1326" s="59"/>
      <c r="J1326" s="59"/>
      <c r="K1326" s="59"/>
      <c r="L1326" s="59"/>
      <c r="M1326" s="59"/>
      <c r="N1326" s="59"/>
      <c r="O1326" s="59"/>
      <c r="P1326" s="59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59"/>
      <c r="AU1326" s="59"/>
      <c r="AV1326" s="59"/>
      <c r="AW1326" s="59"/>
      <c r="AX1326" s="59"/>
      <c r="AY1326" s="59"/>
      <c r="AZ1326" s="59"/>
      <c r="BA1326" s="59"/>
      <c r="BB1326" s="59"/>
      <c r="BC1326" s="59"/>
      <c r="BD1326" s="59"/>
      <c r="BE1326" s="59"/>
      <c r="BF1326" s="59"/>
      <c r="BG1326" s="59"/>
      <c r="BH1326" s="59"/>
      <c r="BI1326" s="59"/>
      <c r="BJ1326" s="59"/>
      <c r="BK1326" s="59"/>
      <c r="BL1326" s="59"/>
      <c r="BM1326" s="59"/>
      <c r="BN1326" s="59"/>
      <c r="BO1326" s="59"/>
      <c r="BP1326" s="59"/>
      <c r="BQ1326" s="59"/>
      <c r="BR1326" s="59"/>
      <c r="BS1326" s="59"/>
      <c r="BT1326" s="59"/>
      <c r="BU1326" s="59"/>
      <c r="BV1326" s="59"/>
      <c r="BW1326" s="59"/>
      <c r="BX1326" s="59"/>
      <c r="BY1326" s="59"/>
      <c r="BZ1326" s="59"/>
      <c r="CA1326" s="59"/>
      <c r="CB1326" s="59"/>
      <c r="CC1326" s="59"/>
      <c r="CD1326" s="59"/>
      <c r="CE1326" s="59"/>
      <c r="CF1326" s="59"/>
      <c r="CG1326" s="59"/>
      <c r="CH1326" s="59"/>
      <c r="CI1326" s="59"/>
      <c r="CJ1326" s="59"/>
      <c r="CK1326" s="59"/>
      <c r="CL1326" s="59"/>
      <c r="CM1326" s="59"/>
      <c r="CN1326" s="59"/>
      <c r="CO1326" s="59"/>
      <c r="CP1326" s="59"/>
      <c r="CQ1326" s="59"/>
      <c r="CR1326" s="59"/>
      <c r="CS1326" s="59"/>
      <c r="CT1326" s="59"/>
      <c r="CU1326" s="59"/>
      <c r="CV1326" s="59"/>
      <c r="CW1326" s="59"/>
      <c r="CX1326" s="59"/>
      <c r="CY1326" s="59"/>
      <c r="CZ1326" s="59"/>
      <c r="DA1326" s="59"/>
      <c r="DB1326" s="59"/>
      <c r="DC1326" s="59"/>
      <c r="DD1326" s="59"/>
      <c r="DE1326" s="59"/>
      <c r="DF1326" s="59"/>
      <c r="DG1326" s="59"/>
      <c r="DH1326" s="59"/>
      <c r="DI1326" s="59"/>
      <c r="DJ1326" s="59"/>
      <c r="DK1326" s="59"/>
      <c r="DL1326" s="59"/>
      <c r="DM1326" s="59"/>
      <c r="DN1326" s="59"/>
      <c r="DO1326" s="59"/>
      <c r="DP1326" s="59"/>
      <c r="DQ1326" s="59"/>
      <c r="DR1326" s="59"/>
      <c r="DS1326" s="59"/>
      <c r="DT1326" s="59"/>
      <c r="DU1326" s="59"/>
      <c r="DV1326" s="59"/>
      <c r="DW1326" s="59"/>
      <c r="DX1326" s="59"/>
      <c r="DY1326" s="59"/>
      <c r="DZ1326" s="59"/>
      <c r="EA1326" s="59"/>
      <c r="EB1326" s="59"/>
      <c r="EC1326" s="59"/>
      <c r="ED1326" s="59"/>
      <c r="EE1326" s="59"/>
      <c r="EF1326" s="59"/>
      <c r="EG1326" s="59"/>
      <c r="EH1326" s="59"/>
      <c r="EI1326" s="59"/>
      <c r="EJ1326" s="59"/>
      <c r="EK1326" s="59"/>
      <c r="EL1326" s="59"/>
      <c r="EM1326" s="59"/>
      <c r="EN1326" s="59"/>
      <c r="EO1326" s="59"/>
      <c r="EP1326" s="59"/>
      <c r="EQ1326" s="59"/>
      <c r="ER1326" s="59"/>
      <c r="ES1326" s="59"/>
      <c r="ET1326" s="59"/>
      <c r="EU1326" s="59"/>
      <c r="EV1326" s="59"/>
      <c r="EW1326" s="59"/>
      <c r="EX1326" s="59"/>
      <c r="EY1326" s="59"/>
      <c r="EZ1326" s="59"/>
      <c r="FA1326" s="59"/>
      <c r="FB1326" s="59"/>
      <c r="FC1326" s="59"/>
      <c r="FD1326" s="59"/>
      <c r="FE1326" s="59"/>
      <c r="FF1326" s="59"/>
      <c r="FG1326" s="59"/>
      <c r="FH1326" s="59"/>
      <c r="FI1326" s="59"/>
      <c r="FJ1326" s="59"/>
      <c r="FK1326" s="59"/>
      <c r="FL1326" s="59"/>
      <c r="FM1326" s="59"/>
      <c r="FN1326" s="59"/>
      <c r="FO1326" s="59"/>
      <c r="FP1326" s="59"/>
      <c r="FQ1326" s="59"/>
      <c r="FR1326" s="59"/>
      <c r="FS1326" s="59"/>
      <c r="FT1326" s="59"/>
      <c r="FU1326" s="59"/>
      <c r="FV1326" s="59"/>
      <c r="FW1326" s="59"/>
      <c r="FX1326" s="59"/>
      <c r="FY1326" s="59"/>
      <c r="FZ1326" s="59"/>
      <c r="GA1326" s="59"/>
      <c r="GB1326" s="59"/>
      <c r="GC1326" s="59"/>
    </row>
    <row r="1327">
      <c r="A1327" s="59"/>
      <c r="B1327" s="59"/>
      <c r="C1327" s="59"/>
      <c r="D1327" s="59"/>
      <c r="E1327" s="59"/>
      <c r="F1327" s="59"/>
      <c r="G1327" s="59"/>
      <c r="H1327" s="59"/>
      <c r="I1327" s="59"/>
      <c r="J1327" s="59"/>
      <c r="K1327" s="59"/>
      <c r="L1327" s="59"/>
      <c r="M1327" s="59"/>
      <c r="N1327" s="59"/>
      <c r="O1327" s="59"/>
      <c r="P1327" s="59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  <c r="AA1327" s="59"/>
      <c r="AB1327" s="59"/>
      <c r="AC1327" s="59"/>
      <c r="AD1327" s="59"/>
      <c r="AE1327" s="59"/>
      <c r="AF1327" s="59"/>
      <c r="AG1327" s="59"/>
      <c r="AH1327" s="59"/>
      <c r="AI1327" s="59"/>
      <c r="AJ1327" s="59"/>
      <c r="AK1327" s="59"/>
      <c r="AL1327" s="59"/>
      <c r="AM1327" s="59"/>
      <c r="AN1327" s="59"/>
      <c r="AO1327" s="59"/>
      <c r="AP1327" s="59"/>
      <c r="AQ1327" s="59"/>
      <c r="AR1327" s="59"/>
      <c r="AS1327" s="59"/>
      <c r="AT1327" s="59"/>
      <c r="AU1327" s="59"/>
      <c r="AV1327" s="59"/>
      <c r="AW1327" s="59"/>
      <c r="AX1327" s="59"/>
      <c r="AY1327" s="59"/>
      <c r="AZ1327" s="59"/>
      <c r="BA1327" s="59"/>
      <c r="BB1327" s="59"/>
      <c r="BC1327" s="59"/>
      <c r="BD1327" s="59"/>
      <c r="BE1327" s="59"/>
      <c r="BF1327" s="59"/>
      <c r="BG1327" s="59"/>
      <c r="BH1327" s="59"/>
      <c r="BI1327" s="59"/>
      <c r="BJ1327" s="59"/>
      <c r="BK1327" s="59"/>
      <c r="BL1327" s="59"/>
      <c r="BM1327" s="59"/>
      <c r="BN1327" s="59"/>
      <c r="BO1327" s="59"/>
      <c r="BP1327" s="59"/>
      <c r="BQ1327" s="59"/>
      <c r="BR1327" s="59"/>
      <c r="BS1327" s="59"/>
      <c r="BT1327" s="59"/>
      <c r="BU1327" s="59"/>
      <c r="BV1327" s="59"/>
      <c r="BW1327" s="59"/>
      <c r="BX1327" s="59"/>
      <c r="BY1327" s="59"/>
      <c r="BZ1327" s="59"/>
      <c r="CA1327" s="59"/>
      <c r="CB1327" s="59"/>
      <c r="CC1327" s="59"/>
      <c r="CD1327" s="59"/>
      <c r="CE1327" s="59"/>
      <c r="CF1327" s="59"/>
      <c r="CG1327" s="59"/>
      <c r="CH1327" s="59"/>
      <c r="CI1327" s="59"/>
      <c r="CJ1327" s="59"/>
      <c r="CK1327" s="59"/>
      <c r="CL1327" s="59"/>
      <c r="CM1327" s="59"/>
      <c r="CN1327" s="59"/>
      <c r="CO1327" s="59"/>
      <c r="CP1327" s="59"/>
      <c r="CQ1327" s="59"/>
      <c r="CR1327" s="59"/>
      <c r="CS1327" s="59"/>
      <c r="CT1327" s="59"/>
      <c r="CU1327" s="59"/>
      <c r="CV1327" s="59"/>
      <c r="CW1327" s="59"/>
      <c r="CX1327" s="59"/>
      <c r="CY1327" s="59"/>
      <c r="CZ1327" s="59"/>
      <c r="DA1327" s="59"/>
      <c r="DB1327" s="59"/>
      <c r="DC1327" s="59"/>
      <c r="DD1327" s="59"/>
      <c r="DE1327" s="59"/>
      <c r="DF1327" s="59"/>
      <c r="DG1327" s="59"/>
      <c r="DH1327" s="59"/>
      <c r="DI1327" s="59"/>
      <c r="DJ1327" s="59"/>
      <c r="DK1327" s="59"/>
      <c r="DL1327" s="59"/>
      <c r="DM1327" s="59"/>
      <c r="DN1327" s="59"/>
      <c r="DO1327" s="59"/>
      <c r="DP1327" s="59"/>
      <c r="DQ1327" s="59"/>
      <c r="DR1327" s="59"/>
      <c r="DS1327" s="59"/>
      <c r="DT1327" s="59"/>
      <c r="DU1327" s="59"/>
      <c r="DV1327" s="59"/>
      <c r="DW1327" s="59"/>
      <c r="DX1327" s="59"/>
      <c r="DY1327" s="59"/>
      <c r="DZ1327" s="59"/>
      <c r="EA1327" s="59"/>
      <c r="EB1327" s="59"/>
      <c r="EC1327" s="59"/>
      <c r="ED1327" s="59"/>
      <c r="EE1327" s="59"/>
      <c r="EF1327" s="59"/>
      <c r="EG1327" s="59"/>
      <c r="EH1327" s="59"/>
      <c r="EI1327" s="59"/>
      <c r="EJ1327" s="59"/>
      <c r="EK1327" s="59"/>
      <c r="EL1327" s="59"/>
      <c r="EM1327" s="59"/>
      <c r="EN1327" s="59"/>
      <c r="EO1327" s="59"/>
      <c r="EP1327" s="59"/>
      <c r="EQ1327" s="59"/>
      <c r="ER1327" s="59"/>
      <c r="ES1327" s="59"/>
      <c r="ET1327" s="59"/>
      <c r="EU1327" s="59"/>
      <c r="EV1327" s="59"/>
      <c r="EW1327" s="59"/>
      <c r="EX1327" s="59"/>
      <c r="EY1327" s="59"/>
      <c r="EZ1327" s="59"/>
      <c r="FA1327" s="59"/>
      <c r="FB1327" s="59"/>
      <c r="FC1327" s="59"/>
      <c r="FD1327" s="59"/>
      <c r="FE1327" s="59"/>
      <c r="FF1327" s="59"/>
      <c r="FG1327" s="59"/>
      <c r="FH1327" s="59"/>
      <c r="FI1327" s="59"/>
      <c r="FJ1327" s="59"/>
      <c r="FK1327" s="59"/>
      <c r="FL1327" s="59"/>
      <c r="FM1327" s="59"/>
      <c r="FN1327" s="59"/>
      <c r="FO1327" s="59"/>
      <c r="FP1327" s="59"/>
      <c r="FQ1327" s="59"/>
      <c r="FR1327" s="59"/>
      <c r="FS1327" s="59"/>
      <c r="FT1327" s="59"/>
      <c r="FU1327" s="59"/>
      <c r="FV1327" s="59"/>
      <c r="FW1327" s="59"/>
      <c r="FX1327" s="59"/>
      <c r="FY1327" s="59"/>
      <c r="FZ1327" s="59"/>
      <c r="GA1327" s="59"/>
      <c r="GB1327" s="59"/>
      <c r="GC1327" s="59"/>
    </row>
    <row r="1328">
      <c r="A1328" s="59"/>
      <c r="B1328" s="59"/>
      <c r="C1328" s="59"/>
      <c r="D1328" s="59"/>
      <c r="E1328" s="59"/>
      <c r="F1328" s="59"/>
      <c r="G1328" s="59"/>
      <c r="H1328" s="59"/>
      <c r="I1328" s="59"/>
      <c r="J1328" s="59"/>
      <c r="K1328" s="59"/>
      <c r="L1328" s="59"/>
      <c r="M1328" s="59"/>
      <c r="N1328" s="59"/>
      <c r="O1328" s="59"/>
      <c r="P1328" s="59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59"/>
      <c r="AU1328" s="59"/>
      <c r="AV1328" s="59"/>
      <c r="AW1328" s="59"/>
      <c r="AX1328" s="59"/>
      <c r="AY1328" s="59"/>
      <c r="AZ1328" s="59"/>
      <c r="BA1328" s="59"/>
      <c r="BB1328" s="59"/>
      <c r="BC1328" s="59"/>
      <c r="BD1328" s="59"/>
      <c r="BE1328" s="59"/>
      <c r="BF1328" s="59"/>
      <c r="BG1328" s="59"/>
      <c r="BH1328" s="59"/>
      <c r="BI1328" s="59"/>
      <c r="BJ1328" s="59"/>
      <c r="BK1328" s="59"/>
      <c r="BL1328" s="59"/>
      <c r="BM1328" s="59"/>
      <c r="BN1328" s="59"/>
      <c r="BO1328" s="59"/>
      <c r="BP1328" s="59"/>
      <c r="BQ1328" s="59"/>
      <c r="BR1328" s="59"/>
      <c r="BS1328" s="59"/>
      <c r="BT1328" s="59"/>
      <c r="BU1328" s="59"/>
      <c r="BV1328" s="59"/>
      <c r="BW1328" s="59"/>
      <c r="BX1328" s="59"/>
      <c r="BY1328" s="59"/>
      <c r="BZ1328" s="59"/>
      <c r="CA1328" s="59"/>
      <c r="CB1328" s="59"/>
      <c r="CC1328" s="59"/>
      <c r="CD1328" s="59"/>
      <c r="CE1328" s="59"/>
      <c r="CF1328" s="59"/>
      <c r="CG1328" s="59"/>
      <c r="CH1328" s="59"/>
      <c r="CI1328" s="59"/>
      <c r="CJ1328" s="59"/>
      <c r="CK1328" s="59"/>
      <c r="CL1328" s="59"/>
      <c r="CM1328" s="59"/>
      <c r="CN1328" s="59"/>
      <c r="CO1328" s="59"/>
      <c r="CP1328" s="59"/>
      <c r="CQ1328" s="59"/>
      <c r="CR1328" s="59"/>
      <c r="CS1328" s="59"/>
      <c r="CT1328" s="59"/>
      <c r="CU1328" s="59"/>
      <c r="CV1328" s="59"/>
      <c r="CW1328" s="59"/>
      <c r="CX1328" s="59"/>
      <c r="CY1328" s="59"/>
      <c r="CZ1328" s="59"/>
      <c r="DA1328" s="59"/>
      <c r="DB1328" s="59"/>
      <c r="DC1328" s="59"/>
      <c r="DD1328" s="59"/>
      <c r="DE1328" s="59"/>
      <c r="DF1328" s="59"/>
      <c r="DG1328" s="59"/>
      <c r="DH1328" s="59"/>
      <c r="DI1328" s="59"/>
      <c r="DJ1328" s="59"/>
      <c r="DK1328" s="59"/>
      <c r="DL1328" s="59"/>
      <c r="DM1328" s="59"/>
      <c r="DN1328" s="59"/>
      <c r="DO1328" s="59"/>
      <c r="DP1328" s="59"/>
      <c r="DQ1328" s="59"/>
      <c r="DR1328" s="59"/>
      <c r="DS1328" s="59"/>
      <c r="DT1328" s="59"/>
      <c r="DU1328" s="59"/>
      <c r="DV1328" s="59"/>
      <c r="DW1328" s="59"/>
      <c r="DX1328" s="59"/>
      <c r="DY1328" s="59"/>
      <c r="DZ1328" s="59"/>
      <c r="EA1328" s="59"/>
      <c r="EB1328" s="59"/>
      <c r="EC1328" s="59"/>
      <c r="ED1328" s="59"/>
      <c r="EE1328" s="59"/>
      <c r="EF1328" s="59"/>
      <c r="EG1328" s="59"/>
      <c r="EH1328" s="59"/>
      <c r="EI1328" s="59"/>
      <c r="EJ1328" s="59"/>
      <c r="EK1328" s="59"/>
      <c r="EL1328" s="59"/>
      <c r="EM1328" s="59"/>
      <c r="EN1328" s="59"/>
      <c r="EO1328" s="59"/>
      <c r="EP1328" s="59"/>
      <c r="EQ1328" s="59"/>
      <c r="ER1328" s="59"/>
      <c r="ES1328" s="59"/>
      <c r="ET1328" s="59"/>
      <c r="EU1328" s="59"/>
      <c r="EV1328" s="59"/>
      <c r="EW1328" s="59"/>
      <c r="EX1328" s="59"/>
      <c r="EY1328" s="59"/>
      <c r="EZ1328" s="59"/>
      <c r="FA1328" s="59"/>
      <c r="FB1328" s="59"/>
      <c r="FC1328" s="59"/>
      <c r="FD1328" s="59"/>
      <c r="FE1328" s="59"/>
      <c r="FF1328" s="59"/>
      <c r="FG1328" s="59"/>
      <c r="FH1328" s="59"/>
      <c r="FI1328" s="59"/>
      <c r="FJ1328" s="59"/>
      <c r="FK1328" s="59"/>
      <c r="FL1328" s="59"/>
      <c r="FM1328" s="59"/>
      <c r="FN1328" s="59"/>
      <c r="FO1328" s="59"/>
      <c r="FP1328" s="59"/>
      <c r="FQ1328" s="59"/>
      <c r="FR1328" s="59"/>
      <c r="FS1328" s="59"/>
      <c r="FT1328" s="59"/>
      <c r="FU1328" s="59"/>
      <c r="FV1328" s="59"/>
      <c r="FW1328" s="59"/>
      <c r="FX1328" s="59"/>
      <c r="FY1328" s="59"/>
      <c r="FZ1328" s="59"/>
      <c r="GA1328" s="59"/>
      <c r="GB1328" s="59"/>
      <c r="GC1328" s="59"/>
    </row>
    <row r="1329">
      <c r="A1329" s="59"/>
      <c r="B1329" s="59"/>
      <c r="C1329" s="59"/>
      <c r="D1329" s="59"/>
      <c r="E1329" s="59"/>
      <c r="F1329" s="59"/>
      <c r="G1329" s="59"/>
      <c r="H1329" s="59"/>
      <c r="I1329" s="59"/>
      <c r="J1329" s="59"/>
      <c r="K1329" s="59"/>
      <c r="L1329" s="59"/>
      <c r="M1329" s="59"/>
      <c r="N1329" s="59"/>
      <c r="O1329" s="59"/>
      <c r="P1329" s="59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  <c r="AA1329" s="59"/>
      <c r="AB1329" s="59"/>
      <c r="AC1329" s="59"/>
      <c r="AD1329" s="59"/>
      <c r="AE1329" s="59"/>
      <c r="AF1329" s="59"/>
      <c r="AG1329" s="59"/>
      <c r="AH1329" s="59"/>
      <c r="AI1329" s="59"/>
      <c r="AJ1329" s="59"/>
      <c r="AK1329" s="59"/>
      <c r="AL1329" s="59"/>
      <c r="AM1329" s="59"/>
      <c r="AN1329" s="59"/>
      <c r="AO1329" s="59"/>
      <c r="AP1329" s="59"/>
      <c r="AQ1329" s="59"/>
      <c r="AR1329" s="59"/>
      <c r="AS1329" s="59"/>
      <c r="AT1329" s="59"/>
      <c r="AU1329" s="59"/>
      <c r="AV1329" s="59"/>
      <c r="AW1329" s="59"/>
      <c r="AX1329" s="59"/>
      <c r="AY1329" s="59"/>
      <c r="AZ1329" s="59"/>
      <c r="BA1329" s="59"/>
      <c r="BB1329" s="59"/>
      <c r="BC1329" s="59"/>
      <c r="BD1329" s="59"/>
      <c r="BE1329" s="59"/>
      <c r="BF1329" s="59"/>
      <c r="BG1329" s="59"/>
      <c r="BH1329" s="59"/>
      <c r="BI1329" s="59"/>
      <c r="BJ1329" s="59"/>
      <c r="BK1329" s="59"/>
      <c r="BL1329" s="59"/>
      <c r="BM1329" s="59"/>
      <c r="BN1329" s="59"/>
      <c r="BO1329" s="59"/>
      <c r="BP1329" s="59"/>
      <c r="BQ1329" s="59"/>
      <c r="BR1329" s="59"/>
      <c r="BS1329" s="59"/>
      <c r="BT1329" s="59"/>
      <c r="BU1329" s="59"/>
      <c r="BV1329" s="59"/>
      <c r="BW1329" s="59"/>
      <c r="BX1329" s="59"/>
      <c r="BY1329" s="59"/>
      <c r="BZ1329" s="59"/>
      <c r="CA1329" s="59"/>
      <c r="CB1329" s="59"/>
      <c r="CC1329" s="59"/>
      <c r="CD1329" s="59"/>
      <c r="CE1329" s="59"/>
      <c r="CF1329" s="59"/>
      <c r="CG1329" s="59"/>
      <c r="CH1329" s="59"/>
      <c r="CI1329" s="59"/>
      <c r="CJ1329" s="59"/>
      <c r="CK1329" s="59"/>
      <c r="CL1329" s="59"/>
      <c r="CM1329" s="59"/>
      <c r="CN1329" s="59"/>
      <c r="CO1329" s="59"/>
      <c r="CP1329" s="59"/>
      <c r="CQ1329" s="59"/>
      <c r="CR1329" s="59"/>
      <c r="CS1329" s="59"/>
      <c r="CT1329" s="59"/>
      <c r="CU1329" s="59"/>
      <c r="CV1329" s="59"/>
      <c r="CW1329" s="59"/>
      <c r="CX1329" s="59"/>
      <c r="CY1329" s="59"/>
      <c r="CZ1329" s="59"/>
      <c r="DA1329" s="59"/>
      <c r="DB1329" s="59"/>
      <c r="DC1329" s="59"/>
      <c r="DD1329" s="59"/>
      <c r="DE1329" s="59"/>
      <c r="DF1329" s="59"/>
      <c r="DG1329" s="59"/>
      <c r="DH1329" s="59"/>
      <c r="DI1329" s="59"/>
      <c r="DJ1329" s="59"/>
      <c r="DK1329" s="59"/>
      <c r="DL1329" s="59"/>
      <c r="DM1329" s="59"/>
      <c r="DN1329" s="59"/>
      <c r="DO1329" s="59"/>
      <c r="DP1329" s="59"/>
      <c r="DQ1329" s="59"/>
      <c r="DR1329" s="59"/>
      <c r="DS1329" s="59"/>
      <c r="DT1329" s="59"/>
      <c r="DU1329" s="59"/>
      <c r="DV1329" s="59"/>
      <c r="DW1329" s="59"/>
      <c r="DX1329" s="59"/>
      <c r="DY1329" s="59"/>
      <c r="DZ1329" s="59"/>
      <c r="EA1329" s="59"/>
      <c r="EB1329" s="59"/>
      <c r="EC1329" s="59"/>
      <c r="ED1329" s="59"/>
      <c r="EE1329" s="59"/>
      <c r="EF1329" s="59"/>
      <c r="EG1329" s="59"/>
      <c r="EH1329" s="59"/>
      <c r="EI1329" s="59"/>
      <c r="EJ1329" s="59"/>
      <c r="EK1329" s="59"/>
      <c r="EL1329" s="59"/>
      <c r="EM1329" s="59"/>
      <c r="EN1329" s="59"/>
      <c r="EO1329" s="59"/>
      <c r="EP1329" s="59"/>
      <c r="EQ1329" s="59"/>
      <c r="ER1329" s="59"/>
      <c r="ES1329" s="59"/>
      <c r="ET1329" s="59"/>
      <c r="EU1329" s="59"/>
      <c r="EV1329" s="59"/>
      <c r="EW1329" s="59"/>
      <c r="EX1329" s="59"/>
      <c r="EY1329" s="59"/>
      <c r="EZ1329" s="59"/>
      <c r="FA1329" s="59"/>
      <c r="FB1329" s="59"/>
      <c r="FC1329" s="59"/>
      <c r="FD1329" s="59"/>
      <c r="FE1329" s="59"/>
      <c r="FF1329" s="59"/>
      <c r="FG1329" s="59"/>
      <c r="FH1329" s="59"/>
      <c r="FI1329" s="59"/>
      <c r="FJ1329" s="59"/>
      <c r="FK1329" s="59"/>
      <c r="FL1329" s="59"/>
      <c r="FM1329" s="59"/>
      <c r="FN1329" s="59"/>
      <c r="FO1329" s="59"/>
      <c r="FP1329" s="59"/>
      <c r="FQ1329" s="59"/>
      <c r="FR1329" s="59"/>
      <c r="FS1329" s="59"/>
      <c r="FT1329" s="59"/>
      <c r="FU1329" s="59"/>
      <c r="FV1329" s="59"/>
      <c r="FW1329" s="59"/>
      <c r="FX1329" s="59"/>
      <c r="FY1329" s="59"/>
      <c r="FZ1329" s="59"/>
      <c r="GA1329" s="59"/>
      <c r="GB1329" s="59"/>
      <c r="GC1329" s="59"/>
    </row>
    <row r="1330">
      <c r="A1330" s="59"/>
      <c r="B1330" s="59"/>
      <c r="C1330" s="59"/>
      <c r="D1330" s="59"/>
      <c r="E1330" s="59"/>
      <c r="F1330" s="59"/>
      <c r="G1330" s="59"/>
      <c r="H1330" s="59"/>
      <c r="I1330" s="59"/>
      <c r="J1330" s="59"/>
      <c r="K1330" s="59"/>
      <c r="L1330" s="59"/>
      <c r="M1330" s="59"/>
      <c r="N1330" s="59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59"/>
      <c r="AU1330" s="59"/>
      <c r="AV1330" s="59"/>
      <c r="AW1330" s="59"/>
      <c r="AX1330" s="59"/>
      <c r="AY1330" s="59"/>
      <c r="AZ1330" s="59"/>
      <c r="BA1330" s="59"/>
      <c r="BB1330" s="59"/>
      <c r="BC1330" s="59"/>
      <c r="BD1330" s="59"/>
      <c r="BE1330" s="59"/>
      <c r="BF1330" s="59"/>
      <c r="BG1330" s="59"/>
      <c r="BH1330" s="59"/>
      <c r="BI1330" s="59"/>
      <c r="BJ1330" s="59"/>
      <c r="BK1330" s="59"/>
      <c r="BL1330" s="59"/>
      <c r="BM1330" s="59"/>
      <c r="BN1330" s="59"/>
      <c r="BO1330" s="59"/>
      <c r="BP1330" s="59"/>
      <c r="BQ1330" s="59"/>
      <c r="BR1330" s="59"/>
      <c r="BS1330" s="59"/>
      <c r="BT1330" s="59"/>
      <c r="BU1330" s="59"/>
      <c r="BV1330" s="59"/>
      <c r="BW1330" s="59"/>
      <c r="BX1330" s="59"/>
      <c r="BY1330" s="59"/>
      <c r="BZ1330" s="59"/>
      <c r="CA1330" s="59"/>
      <c r="CB1330" s="59"/>
      <c r="CC1330" s="59"/>
      <c r="CD1330" s="59"/>
      <c r="CE1330" s="59"/>
      <c r="CF1330" s="59"/>
      <c r="CG1330" s="59"/>
      <c r="CH1330" s="59"/>
      <c r="CI1330" s="59"/>
      <c r="CJ1330" s="59"/>
      <c r="CK1330" s="59"/>
      <c r="CL1330" s="59"/>
      <c r="CM1330" s="59"/>
      <c r="CN1330" s="59"/>
      <c r="CO1330" s="59"/>
      <c r="CP1330" s="59"/>
      <c r="CQ1330" s="59"/>
      <c r="CR1330" s="59"/>
      <c r="CS1330" s="59"/>
      <c r="CT1330" s="59"/>
      <c r="CU1330" s="59"/>
      <c r="CV1330" s="59"/>
      <c r="CW1330" s="59"/>
      <c r="CX1330" s="59"/>
      <c r="CY1330" s="59"/>
      <c r="CZ1330" s="59"/>
      <c r="DA1330" s="59"/>
      <c r="DB1330" s="59"/>
      <c r="DC1330" s="59"/>
      <c r="DD1330" s="59"/>
      <c r="DE1330" s="59"/>
      <c r="DF1330" s="59"/>
      <c r="DG1330" s="59"/>
      <c r="DH1330" s="59"/>
      <c r="DI1330" s="59"/>
      <c r="DJ1330" s="59"/>
      <c r="DK1330" s="59"/>
      <c r="DL1330" s="59"/>
      <c r="DM1330" s="59"/>
      <c r="DN1330" s="59"/>
      <c r="DO1330" s="59"/>
      <c r="DP1330" s="59"/>
      <c r="DQ1330" s="59"/>
      <c r="DR1330" s="59"/>
      <c r="DS1330" s="59"/>
      <c r="DT1330" s="59"/>
      <c r="DU1330" s="59"/>
      <c r="DV1330" s="59"/>
      <c r="DW1330" s="59"/>
      <c r="DX1330" s="59"/>
      <c r="DY1330" s="59"/>
      <c r="DZ1330" s="59"/>
      <c r="EA1330" s="59"/>
      <c r="EB1330" s="59"/>
      <c r="EC1330" s="59"/>
      <c r="ED1330" s="59"/>
      <c r="EE1330" s="59"/>
      <c r="EF1330" s="59"/>
      <c r="EG1330" s="59"/>
      <c r="EH1330" s="59"/>
      <c r="EI1330" s="59"/>
      <c r="EJ1330" s="59"/>
      <c r="EK1330" s="59"/>
      <c r="EL1330" s="59"/>
      <c r="EM1330" s="59"/>
      <c r="EN1330" s="59"/>
      <c r="EO1330" s="59"/>
      <c r="EP1330" s="59"/>
      <c r="EQ1330" s="59"/>
      <c r="ER1330" s="59"/>
      <c r="ES1330" s="59"/>
      <c r="ET1330" s="59"/>
      <c r="EU1330" s="59"/>
      <c r="EV1330" s="59"/>
      <c r="EW1330" s="59"/>
      <c r="EX1330" s="59"/>
      <c r="EY1330" s="59"/>
      <c r="EZ1330" s="59"/>
      <c r="FA1330" s="59"/>
      <c r="FB1330" s="59"/>
      <c r="FC1330" s="59"/>
      <c r="FD1330" s="59"/>
      <c r="FE1330" s="59"/>
      <c r="FF1330" s="59"/>
      <c r="FG1330" s="59"/>
      <c r="FH1330" s="59"/>
      <c r="FI1330" s="59"/>
      <c r="FJ1330" s="59"/>
      <c r="FK1330" s="59"/>
      <c r="FL1330" s="59"/>
      <c r="FM1330" s="59"/>
      <c r="FN1330" s="59"/>
      <c r="FO1330" s="59"/>
      <c r="FP1330" s="59"/>
      <c r="FQ1330" s="59"/>
      <c r="FR1330" s="59"/>
      <c r="FS1330" s="59"/>
      <c r="FT1330" s="59"/>
      <c r="FU1330" s="59"/>
      <c r="FV1330" s="59"/>
      <c r="FW1330" s="59"/>
      <c r="FX1330" s="59"/>
      <c r="FY1330" s="59"/>
      <c r="FZ1330" s="59"/>
      <c r="GA1330" s="59"/>
      <c r="GB1330" s="59"/>
      <c r="GC1330" s="59"/>
    </row>
    <row r="1331">
      <c r="A1331" s="59"/>
      <c r="B1331" s="59"/>
      <c r="C1331" s="59"/>
      <c r="D1331" s="59"/>
      <c r="E1331" s="59"/>
      <c r="F1331" s="59"/>
      <c r="G1331" s="59"/>
      <c r="H1331" s="59"/>
      <c r="I1331" s="59"/>
      <c r="J1331" s="59"/>
      <c r="K1331" s="59"/>
      <c r="L1331" s="59"/>
      <c r="M1331" s="59"/>
      <c r="N1331" s="59"/>
      <c r="O1331" s="59"/>
      <c r="P1331" s="59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  <c r="AA1331" s="59"/>
      <c r="AB1331" s="59"/>
      <c r="AC1331" s="59"/>
      <c r="AD1331" s="59"/>
      <c r="AE1331" s="59"/>
      <c r="AF1331" s="59"/>
      <c r="AG1331" s="59"/>
      <c r="AH1331" s="59"/>
      <c r="AI1331" s="59"/>
      <c r="AJ1331" s="59"/>
      <c r="AK1331" s="59"/>
      <c r="AL1331" s="59"/>
      <c r="AM1331" s="59"/>
      <c r="AN1331" s="59"/>
      <c r="AO1331" s="59"/>
      <c r="AP1331" s="59"/>
      <c r="AQ1331" s="59"/>
      <c r="AR1331" s="59"/>
      <c r="AS1331" s="59"/>
      <c r="AT1331" s="59"/>
      <c r="AU1331" s="59"/>
      <c r="AV1331" s="59"/>
      <c r="AW1331" s="59"/>
      <c r="AX1331" s="59"/>
      <c r="AY1331" s="59"/>
      <c r="AZ1331" s="59"/>
      <c r="BA1331" s="59"/>
      <c r="BB1331" s="59"/>
      <c r="BC1331" s="59"/>
      <c r="BD1331" s="59"/>
      <c r="BE1331" s="59"/>
      <c r="BF1331" s="59"/>
      <c r="BG1331" s="59"/>
      <c r="BH1331" s="59"/>
      <c r="BI1331" s="59"/>
      <c r="BJ1331" s="59"/>
      <c r="BK1331" s="59"/>
      <c r="BL1331" s="59"/>
      <c r="BM1331" s="59"/>
      <c r="BN1331" s="59"/>
      <c r="BO1331" s="59"/>
      <c r="BP1331" s="59"/>
      <c r="BQ1331" s="59"/>
      <c r="BR1331" s="59"/>
      <c r="BS1331" s="59"/>
      <c r="BT1331" s="59"/>
      <c r="BU1331" s="59"/>
      <c r="BV1331" s="59"/>
      <c r="BW1331" s="59"/>
      <c r="BX1331" s="59"/>
      <c r="BY1331" s="59"/>
      <c r="BZ1331" s="59"/>
      <c r="CA1331" s="59"/>
      <c r="CB1331" s="59"/>
      <c r="CC1331" s="59"/>
      <c r="CD1331" s="59"/>
      <c r="CE1331" s="59"/>
      <c r="CF1331" s="59"/>
      <c r="CG1331" s="59"/>
      <c r="CH1331" s="59"/>
      <c r="CI1331" s="59"/>
      <c r="CJ1331" s="59"/>
      <c r="CK1331" s="59"/>
      <c r="CL1331" s="59"/>
      <c r="CM1331" s="59"/>
      <c r="CN1331" s="59"/>
      <c r="CO1331" s="59"/>
      <c r="CP1331" s="59"/>
      <c r="CQ1331" s="59"/>
      <c r="CR1331" s="59"/>
      <c r="CS1331" s="59"/>
      <c r="CT1331" s="59"/>
      <c r="CU1331" s="59"/>
      <c r="CV1331" s="59"/>
      <c r="CW1331" s="59"/>
      <c r="CX1331" s="59"/>
      <c r="CY1331" s="59"/>
      <c r="CZ1331" s="59"/>
      <c r="DA1331" s="59"/>
      <c r="DB1331" s="59"/>
      <c r="DC1331" s="59"/>
      <c r="DD1331" s="59"/>
      <c r="DE1331" s="59"/>
      <c r="DF1331" s="59"/>
      <c r="DG1331" s="59"/>
      <c r="DH1331" s="59"/>
      <c r="DI1331" s="59"/>
      <c r="DJ1331" s="59"/>
      <c r="DK1331" s="59"/>
      <c r="DL1331" s="59"/>
      <c r="DM1331" s="59"/>
      <c r="DN1331" s="59"/>
      <c r="DO1331" s="59"/>
      <c r="DP1331" s="59"/>
      <c r="DQ1331" s="59"/>
      <c r="DR1331" s="59"/>
      <c r="DS1331" s="59"/>
      <c r="DT1331" s="59"/>
      <c r="DU1331" s="59"/>
      <c r="DV1331" s="59"/>
      <c r="DW1331" s="59"/>
      <c r="DX1331" s="59"/>
      <c r="DY1331" s="59"/>
      <c r="DZ1331" s="59"/>
      <c r="EA1331" s="59"/>
      <c r="EB1331" s="59"/>
      <c r="EC1331" s="59"/>
      <c r="ED1331" s="59"/>
      <c r="EE1331" s="59"/>
      <c r="EF1331" s="59"/>
      <c r="EG1331" s="59"/>
      <c r="EH1331" s="59"/>
      <c r="EI1331" s="59"/>
      <c r="EJ1331" s="59"/>
      <c r="EK1331" s="59"/>
      <c r="EL1331" s="59"/>
      <c r="EM1331" s="59"/>
      <c r="EN1331" s="59"/>
      <c r="EO1331" s="59"/>
      <c r="EP1331" s="59"/>
      <c r="EQ1331" s="59"/>
      <c r="ER1331" s="59"/>
      <c r="ES1331" s="59"/>
      <c r="ET1331" s="59"/>
      <c r="EU1331" s="59"/>
      <c r="EV1331" s="59"/>
      <c r="EW1331" s="59"/>
      <c r="EX1331" s="59"/>
      <c r="EY1331" s="59"/>
      <c r="EZ1331" s="59"/>
      <c r="FA1331" s="59"/>
      <c r="FB1331" s="59"/>
      <c r="FC1331" s="59"/>
      <c r="FD1331" s="59"/>
      <c r="FE1331" s="59"/>
      <c r="FF1331" s="59"/>
      <c r="FG1331" s="59"/>
      <c r="FH1331" s="59"/>
      <c r="FI1331" s="59"/>
      <c r="FJ1331" s="59"/>
      <c r="FK1331" s="59"/>
      <c r="FL1331" s="59"/>
      <c r="FM1331" s="59"/>
      <c r="FN1331" s="59"/>
      <c r="FO1331" s="59"/>
      <c r="FP1331" s="59"/>
      <c r="FQ1331" s="59"/>
      <c r="FR1331" s="59"/>
      <c r="FS1331" s="59"/>
      <c r="FT1331" s="59"/>
      <c r="FU1331" s="59"/>
      <c r="FV1331" s="59"/>
      <c r="FW1331" s="59"/>
      <c r="FX1331" s="59"/>
      <c r="FY1331" s="59"/>
      <c r="FZ1331" s="59"/>
      <c r="GA1331" s="59"/>
      <c r="GB1331" s="59"/>
      <c r="GC1331" s="59"/>
    </row>
    <row r="1332">
      <c r="A1332" s="59"/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59"/>
      <c r="N1332" s="59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59"/>
      <c r="AU1332" s="59"/>
      <c r="AV1332" s="59"/>
      <c r="AW1332" s="59"/>
      <c r="AX1332" s="59"/>
      <c r="AY1332" s="59"/>
      <c r="AZ1332" s="59"/>
      <c r="BA1332" s="59"/>
      <c r="BB1332" s="59"/>
      <c r="BC1332" s="59"/>
      <c r="BD1332" s="59"/>
      <c r="BE1332" s="59"/>
      <c r="BF1332" s="59"/>
      <c r="BG1332" s="59"/>
      <c r="BH1332" s="59"/>
      <c r="BI1332" s="59"/>
      <c r="BJ1332" s="59"/>
      <c r="BK1332" s="59"/>
      <c r="BL1332" s="59"/>
      <c r="BM1332" s="59"/>
      <c r="BN1332" s="59"/>
      <c r="BO1332" s="59"/>
      <c r="BP1332" s="59"/>
      <c r="BQ1332" s="59"/>
      <c r="BR1332" s="59"/>
      <c r="BS1332" s="59"/>
      <c r="BT1332" s="59"/>
      <c r="BU1332" s="59"/>
      <c r="BV1332" s="59"/>
      <c r="BW1332" s="59"/>
      <c r="BX1332" s="59"/>
      <c r="BY1332" s="59"/>
      <c r="BZ1332" s="59"/>
      <c r="CA1332" s="59"/>
      <c r="CB1332" s="59"/>
      <c r="CC1332" s="59"/>
      <c r="CD1332" s="59"/>
      <c r="CE1332" s="59"/>
      <c r="CF1332" s="59"/>
      <c r="CG1332" s="59"/>
      <c r="CH1332" s="59"/>
      <c r="CI1332" s="59"/>
      <c r="CJ1332" s="59"/>
      <c r="CK1332" s="59"/>
      <c r="CL1332" s="59"/>
      <c r="CM1332" s="59"/>
      <c r="CN1332" s="59"/>
      <c r="CO1332" s="59"/>
      <c r="CP1332" s="59"/>
      <c r="CQ1332" s="59"/>
      <c r="CR1332" s="59"/>
      <c r="CS1332" s="59"/>
      <c r="CT1332" s="59"/>
      <c r="CU1332" s="59"/>
      <c r="CV1332" s="59"/>
      <c r="CW1332" s="59"/>
      <c r="CX1332" s="59"/>
      <c r="CY1332" s="59"/>
      <c r="CZ1332" s="59"/>
      <c r="DA1332" s="59"/>
      <c r="DB1332" s="59"/>
      <c r="DC1332" s="59"/>
      <c r="DD1332" s="59"/>
      <c r="DE1332" s="59"/>
      <c r="DF1332" s="59"/>
      <c r="DG1332" s="59"/>
      <c r="DH1332" s="59"/>
      <c r="DI1332" s="59"/>
      <c r="DJ1332" s="59"/>
      <c r="DK1332" s="59"/>
      <c r="DL1332" s="59"/>
      <c r="DM1332" s="59"/>
      <c r="DN1332" s="59"/>
      <c r="DO1332" s="59"/>
      <c r="DP1332" s="59"/>
      <c r="DQ1332" s="59"/>
      <c r="DR1332" s="59"/>
      <c r="DS1332" s="59"/>
      <c r="DT1332" s="59"/>
      <c r="DU1332" s="59"/>
      <c r="DV1332" s="59"/>
      <c r="DW1332" s="59"/>
      <c r="DX1332" s="59"/>
      <c r="DY1332" s="59"/>
      <c r="DZ1332" s="59"/>
      <c r="EA1332" s="59"/>
      <c r="EB1332" s="59"/>
      <c r="EC1332" s="59"/>
      <c r="ED1332" s="59"/>
      <c r="EE1332" s="59"/>
      <c r="EF1332" s="59"/>
      <c r="EG1332" s="59"/>
      <c r="EH1332" s="59"/>
      <c r="EI1332" s="59"/>
      <c r="EJ1332" s="59"/>
      <c r="EK1332" s="59"/>
      <c r="EL1332" s="59"/>
      <c r="EM1332" s="59"/>
      <c r="EN1332" s="59"/>
      <c r="EO1332" s="59"/>
      <c r="EP1332" s="59"/>
      <c r="EQ1332" s="59"/>
      <c r="ER1332" s="59"/>
      <c r="ES1332" s="59"/>
      <c r="ET1332" s="59"/>
      <c r="EU1332" s="59"/>
      <c r="EV1332" s="59"/>
      <c r="EW1332" s="59"/>
      <c r="EX1332" s="59"/>
      <c r="EY1332" s="59"/>
      <c r="EZ1332" s="59"/>
      <c r="FA1332" s="59"/>
      <c r="FB1332" s="59"/>
      <c r="FC1332" s="59"/>
      <c r="FD1332" s="59"/>
      <c r="FE1332" s="59"/>
      <c r="FF1332" s="59"/>
      <c r="FG1332" s="59"/>
      <c r="FH1332" s="59"/>
      <c r="FI1332" s="59"/>
      <c r="FJ1332" s="59"/>
      <c r="FK1332" s="59"/>
      <c r="FL1332" s="59"/>
      <c r="FM1332" s="59"/>
      <c r="FN1332" s="59"/>
      <c r="FO1332" s="59"/>
      <c r="FP1332" s="59"/>
      <c r="FQ1332" s="59"/>
      <c r="FR1332" s="59"/>
      <c r="FS1332" s="59"/>
      <c r="FT1332" s="59"/>
      <c r="FU1332" s="59"/>
      <c r="FV1332" s="59"/>
      <c r="FW1332" s="59"/>
      <c r="FX1332" s="59"/>
      <c r="FY1332" s="59"/>
      <c r="FZ1332" s="59"/>
      <c r="GA1332" s="59"/>
      <c r="GB1332" s="59"/>
      <c r="GC1332" s="59"/>
    </row>
    <row r="1333">
      <c r="A1333" s="59"/>
      <c r="B1333" s="59"/>
      <c r="C1333" s="59"/>
      <c r="D1333" s="59"/>
      <c r="E1333" s="59"/>
      <c r="F1333" s="59"/>
      <c r="G1333" s="59"/>
      <c r="H1333" s="59"/>
      <c r="I1333" s="59"/>
      <c r="J1333" s="59"/>
      <c r="K1333" s="59"/>
      <c r="L1333" s="59"/>
      <c r="M1333" s="59"/>
      <c r="N1333" s="59"/>
      <c r="O1333" s="59"/>
      <c r="P1333" s="59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  <c r="AD1333" s="59"/>
      <c r="AE1333" s="59"/>
      <c r="AF1333" s="59"/>
      <c r="AG1333" s="59"/>
      <c r="AH1333" s="59"/>
      <c r="AI1333" s="59"/>
      <c r="AJ1333" s="59"/>
      <c r="AK1333" s="59"/>
      <c r="AL1333" s="59"/>
      <c r="AM1333" s="59"/>
      <c r="AN1333" s="59"/>
      <c r="AO1333" s="59"/>
      <c r="AP1333" s="59"/>
      <c r="AQ1333" s="59"/>
      <c r="AR1333" s="59"/>
      <c r="AS1333" s="59"/>
      <c r="AT1333" s="59"/>
      <c r="AU1333" s="59"/>
      <c r="AV1333" s="59"/>
      <c r="AW1333" s="59"/>
      <c r="AX1333" s="59"/>
      <c r="AY1333" s="59"/>
      <c r="AZ1333" s="59"/>
      <c r="BA1333" s="59"/>
      <c r="BB1333" s="59"/>
      <c r="BC1333" s="59"/>
      <c r="BD1333" s="59"/>
      <c r="BE1333" s="59"/>
      <c r="BF1333" s="59"/>
      <c r="BG1333" s="59"/>
      <c r="BH1333" s="59"/>
      <c r="BI1333" s="59"/>
      <c r="BJ1333" s="59"/>
      <c r="BK1333" s="59"/>
      <c r="BL1333" s="59"/>
      <c r="BM1333" s="59"/>
      <c r="BN1333" s="59"/>
      <c r="BO1333" s="59"/>
      <c r="BP1333" s="59"/>
      <c r="BQ1333" s="59"/>
      <c r="BR1333" s="59"/>
      <c r="BS1333" s="59"/>
      <c r="BT1333" s="59"/>
      <c r="BU1333" s="59"/>
      <c r="BV1333" s="59"/>
      <c r="BW1333" s="59"/>
      <c r="BX1333" s="59"/>
      <c r="BY1333" s="59"/>
      <c r="BZ1333" s="59"/>
      <c r="CA1333" s="59"/>
      <c r="CB1333" s="59"/>
      <c r="CC1333" s="59"/>
      <c r="CD1333" s="59"/>
      <c r="CE1333" s="59"/>
      <c r="CF1333" s="59"/>
      <c r="CG1333" s="59"/>
      <c r="CH1333" s="59"/>
      <c r="CI1333" s="59"/>
      <c r="CJ1333" s="59"/>
      <c r="CK1333" s="59"/>
      <c r="CL1333" s="59"/>
      <c r="CM1333" s="59"/>
      <c r="CN1333" s="59"/>
      <c r="CO1333" s="59"/>
      <c r="CP1333" s="59"/>
      <c r="CQ1333" s="59"/>
      <c r="CR1333" s="59"/>
      <c r="CS1333" s="59"/>
      <c r="CT1333" s="59"/>
      <c r="CU1333" s="59"/>
      <c r="CV1333" s="59"/>
      <c r="CW1333" s="59"/>
      <c r="CX1333" s="59"/>
      <c r="CY1333" s="59"/>
      <c r="CZ1333" s="59"/>
      <c r="DA1333" s="59"/>
      <c r="DB1333" s="59"/>
      <c r="DC1333" s="59"/>
      <c r="DD1333" s="59"/>
      <c r="DE1333" s="59"/>
      <c r="DF1333" s="59"/>
      <c r="DG1333" s="59"/>
      <c r="DH1333" s="59"/>
      <c r="DI1333" s="59"/>
      <c r="DJ1333" s="59"/>
      <c r="DK1333" s="59"/>
      <c r="DL1333" s="59"/>
      <c r="DM1333" s="59"/>
      <c r="DN1333" s="59"/>
      <c r="DO1333" s="59"/>
      <c r="DP1333" s="59"/>
      <c r="DQ1333" s="59"/>
      <c r="DR1333" s="59"/>
      <c r="DS1333" s="59"/>
      <c r="DT1333" s="59"/>
      <c r="DU1333" s="59"/>
      <c r="DV1333" s="59"/>
      <c r="DW1333" s="59"/>
      <c r="DX1333" s="59"/>
      <c r="DY1333" s="59"/>
      <c r="DZ1333" s="59"/>
      <c r="EA1333" s="59"/>
      <c r="EB1333" s="59"/>
      <c r="EC1333" s="59"/>
      <c r="ED1333" s="59"/>
      <c r="EE1333" s="59"/>
      <c r="EF1333" s="59"/>
      <c r="EG1333" s="59"/>
      <c r="EH1333" s="59"/>
      <c r="EI1333" s="59"/>
      <c r="EJ1333" s="59"/>
      <c r="EK1333" s="59"/>
      <c r="EL1333" s="59"/>
      <c r="EM1333" s="59"/>
      <c r="EN1333" s="59"/>
      <c r="EO1333" s="59"/>
      <c r="EP1333" s="59"/>
      <c r="EQ1333" s="59"/>
      <c r="ER1333" s="59"/>
      <c r="ES1333" s="59"/>
      <c r="ET1333" s="59"/>
      <c r="EU1333" s="59"/>
      <c r="EV1333" s="59"/>
      <c r="EW1333" s="59"/>
      <c r="EX1333" s="59"/>
      <c r="EY1333" s="59"/>
      <c r="EZ1333" s="59"/>
      <c r="FA1333" s="59"/>
      <c r="FB1333" s="59"/>
      <c r="FC1333" s="59"/>
      <c r="FD1333" s="59"/>
      <c r="FE1333" s="59"/>
      <c r="FF1333" s="59"/>
      <c r="FG1333" s="59"/>
      <c r="FH1333" s="59"/>
      <c r="FI1333" s="59"/>
      <c r="FJ1333" s="59"/>
      <c r="FK1333" s="59"/>
      <c r="FL1333" s="59"/>
      <c r="FM1333" s="59"/>
      <c r="FN1333" s="59"/>
      <c r="FO1333" s="59"/>
      <c r="FP1333" s="59"/>
      <c r="FQ1333" s="59"/>
      <c r="FR1333" s="59"/>
      <c r="FS1333" s="59"/>
      <c r="FT1333" s="59"/>
      <c r="FU1333" s="59"/>
      <c r="FV1333" s="59"/>
      <c r="FW1333" s="59"/>
      <c r="FX1333" s="59"/>
      <c r="FY1333" s="59"/>
      <c r="FZ1333" s="59"/>
      <c r="GA1333" s="59"/>
      <c r="GB1333" s="59"/>
      <c r="GC1333" s="59"/>
    </row>
    <row r="1334">
      <c r="A1334" s="59"/>
      <c r="B1334" s="59"/>
      <c r="C1334" s="59"/>
      <c r="D1334" s="59"/>
      <c r="E1334" s="59"/>
      <c r="F1334" s="59"/>
      <c r="G1334" s="59"/>
      <c r="H1334" s="59"/>
      <c r="I1334" s="59"/>
      <c r="J1334" s="59"/>
      <c r="K1334" s="59"/>
      <c r="L1334" s="59"/>
      <c r="M1334" s="59"/>
      <c r="N1334" s="59"/>
      <c r="O1334" s="59"/>
      <c r="P1334" s="59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59"/>
      <c r="AU1334" s="59"/>
      <c r="AV1334" s="59"/>
      <c r="AW1334" s="59"/>
      <c r="AX1334" s="59"/>
      <c r="AY1334" s="59"/>
      <c r="AZ1334" s="59"/>
      <c r="BA1334" s="59"/>
      <c r="BB1334" s="59"/>
      <c r="BC1334" s="59"/>
      <c r="BD1334" s="59"/>
      <c r="BE1334" s="59"/>
      <c r="BF1334" s="59"/>
      <c r="BG1334" s="59"/>
      <c r="BH1334" s="59"/>
      <c r="BI1334" s="59"/>
      <c r="BJ1334" s="59"/>
      <c r="BK1334" s="59"/>
      <c r="BL1334" s="59"/>
      <c r="BM1334" s="59"/>
      <c r="BN1334" s="59"/>
      <c r="BO1334" s="59"/>
      <c r="BP1334" s="59"/>
      <c r="BQ1334" s="59"/>
      <c r="BR1334" s="59"/>
      <c r="BS1334" s="59"/>
      <c r="BT1334" s="59"/>
      <c r="BU1334" s="59"/>
      <c r="BV1334" s="59"/>
      <c r="BW1334" s="59"/>
      <c r="BX1334" s="59"/>
      <c r="BY1334" s="59"/>
      <c r="BZ1334" s="59"/>
      <c r="CA1334" s="59"/>
      <c r="CB1334" s="59"/>
      <c r="CC1334" s="59"/>
      <c r="CD1334" s="59"/>
      <c r="CE1334" s="59"/>
      <c r="CF1334" s="59"/>
      <c r="CG1334" s="59"/>
      <c r="CH1334" s="59"/>
      <c r="CI1334" s="59"/>
      <c r="CJ1334" s="59"/>
      <c r="CK1334" s="59"/>
      <c r="CL1334" s="59"/>
      <c r="CM1334" s="59"/>
      <c r="CN1334" s="59"/>
      <c r="CO1334" s="59"/>
      <c r="CP1334" s="59"/>
      <c r="CQ1334" s="59"/>
      <c r="CR1334" s="59"/>
      <c r="CS1334" s="59"/>
      <c r="CT1334" s="59"/>
      <c r="CU1334" s="59"/>
      <c r="CV1334" s="59"/>
      <c r="CW1334" s="59"/>
      <c r="CX1334" s="59"/>
      <c r="CY1334" s="59"/>
      <c r="CZ1334" s="59"/>
      <c r="DA1334" s="59"/>
      <c r="DB1334" s="59"/>
      <c r="DC1334" s="59"/>
      <c r="DD1334" s="59"/>
      <c r="DE1334" s="59"/>
      <c r="DF1334" s="59"/>
      <c r="DG1334" s="59"/>
      <c r="DH1334" s="59"/>
      <c r="DI1334" s="59"/>
      <c r="DJ1334" s="59"/>
      <c r="DK1334" s="59"/>
      <c r="DL1334" s="59"/>
      <c r="DM1334" s="59"/>
      <c r="DN1334" s="59"/>
      <c r="DO1334" s="59"/>
      <c r="DP1334" s="59"/>
      <c r="DQ1334" s="59"/>
      <c r="DR1334" s="59"/>
      <c r="DS1334" s="59"/>
      <c r="DT1334" s="59"/>
      <c r="DU1334" s="59"/>
      <c r="DV1334" s="59"/>
      <c r="DW1334" s="59"/>
      <c r="DX1334" s="59"/>
      <c r="DY1334" s="59"/>
      <c r="DZ1334" s="59"/>
      <c r="EA1334" s="59"/>
      <c r="EB1334" s="59"/>
      <c r="EC1334" s="59"/>
      <c r="ED1334" s="59"/>
      <c r="EE1334" s="59"/>
      <c r="EF1334" s="59"/>
      <c r="EG1334" s="59"/>
      <c r="EH1334" s="59"/>
      <c r="EI1334" s="59"/>
      <c r="EJ1334" s="59"/>
      <c r="EK1334" s="59"/>
      <c r="EL1334" s="59"/>
      <c r="EM1334" s="59"/>
      <c r="EN1334" s="59"/>
      <c r="EO1334" s="59"/>
      <c r="EP1334" s="59"/>
      <c r="EQ1334" s="59"/>
      <c r="ER1334" s="59"/>
      <c r="ES1334" s="59"/>
      <c r="ET1334" s="59"/>
      <c r="EU1334" s="59"/>
      <c r="EV1334" s="59"/>
      <c r="EW1334" s="59"/>
      <c r="EX1334" s="59"/>
      <c r="EY1334" s="59"/>
      <c r="EZ1334" s="59"/>
      <c r="FA1334" s="59"/>
      <c r="FB1334" s="59"/>
      <c r="FC1334" s="59"/>
      <c r="FD1334" s="59"/>
      <c r="FE1334" s="59"/>
      <c r="FF1334" s="59"/>
      <c r="FG1334" s="59"/>
      <c r="FH1334" s="59"/>
      <c r="FI1334" s="59"/>
      <c r="FJ1334" s="59"/>
      <c r="FK1334" s="59"/>
      <c r="FL1334" s="59"/>
      <c r="FM1334" s="59"/>
      <c r="FN1334" s="59"/>
      <c r="FO1334" s="59"/>
      <c r="FP1334" s="59"/>
      <c r="FQ1334" s="59"/>
      <c r="FR1334" s="59"/>
      <c r="FS1334" s="59"/>
      <c r="FT1334" s="59"/>
      <c r="FU1334" s="59"/>
      <c r="FV1334" s="59"/>
      <c r="FW1334" s="59"/>
      <c r="FX1334" s="59"/>
      <c r="FY1334" s="59"/>
      <c r="FZ1334" s="59"/>
      <c r="GA1334" s="59"/>
      <c r="GB1334" s="59"/>
      <c r="GC1334" s="59"/>
    </row>
    <row r="1335">
      <c r="A1335" s="59"/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59"/>
      <c r="N1335" s="59"/>
      <c r="O1335" s="59"/>
      <c r="P1335" s="59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59"/>
      <c r="AG1335" s="59"/>
      <c r="AH1335" s="59"/>
      <c r="AI1335" s="59"/>
      <c r="AJ1335" s="59"/>
      <c r="AK1335" s="59"/>
      <c r="AL1335" s="59"/>
      <c r="AM1335" s="59"/>
      <c r="AN1335" s="59"/>
      <c r="AO1335" s="59"/>
      <c r="AP1335" s="59"/>
      <c r="AQ1335" s="59"/>
      <c r="AR1335" s="59"/>
      <c r="AS1335" s="59"/>
      <c r="AT1335" s="59"/>
      <c r="AU1335" s="59"/>
      <c r="AV1335" s="59"/>
      <c r="AW1335" s="59"/>
      <c r="AX1335" s="59"/>
      <c r="AY1335" s="59"/>
      <c r="AZ1335" s="59"/>
      <c r="BA1335" s="59"/>
      <c r="BB1335" s="59"/>
      <c r="BC1335" s="59"/>
      <c r="BD1335" s="59"/>
      <c r="BE1335" s="59"/>
      <c r="BF1335" s="59"/>
      <c r="BG1335" s="59"/>
      <c r="BH1335" s="59"/>
      <c r="BI1335" s="59"/>
      <c r="BJ1335" s="59"/>
      <c r="BK1335" s="59"/>
      <c r="BL1335" s="59"/>
      <c r="BM1335" s="59"/>
      <c r="BN1335" s="59"/>
      <c r="BO1335" s="59"/>
      <c r="BP1335" s="59"/>
      <c r="BQ1335" s="59"/>
      <c r="BR1335" s="59"/>
      <c r="BS1335" s="59"/>
      <c r="BT1335" s="59"/>
      <c r="BU1335" s="59"/>
      <c r="BV1335" s="59"/>
      <c r="BW1335" s="59"/>
      <c r="BX1335" s="59"/>
      <c r="BY1335" s="59"/>
      <c r="BZ1335" s="59"/>
      <c r="CA1335" s="59"/>
      <c r="CB1335" s="59"/>
      <c r="CC1335" s="59"/>
      <c r="CD1335" s="59"/>
      <c r="CE1335" s="59"/>
      <c r="CF1335" s="59"/>
      <c r="CG1335" s="59"/>
      <c r="CH1335" s="59"/>
      <c r="CI1335" s="59"/>
      <c r="CJ1335" s="59"/>
      <c r="CK1335" s="59"/>
      <c r="CL1335" s="59"/>
      <c r="CM1335" s="59"/>
      <c r="CN1335" s="59"/>
      <c r="CO1335" s="59"/>
      <c r="CP1335" s="59"/>
      <c r="CQ1335" s="59"/>
      <c r="CR1335" s="59"/>
      <c r="CS1335" s="59"/>
      <c r="CT1335" s="59"/>
      <c r="CU1335" s="59"/>
      <c r="CV1335" s="59"/>
      <c r="CW1335" s="59"/>
      <c r="CX1335" s="59"/>
      <c r="CY1335" s="59"/>
      <c r="CZ1335" s="59"/>
      <c r="DA1335" s="59"/>
      <c r="DB1335" s="59"/>
      <c r="DC1335" s="59"/>
      <c r="DD1335" s="59"/>
      <c r="DE1335" s="59"/>
      <c r="DF1335" s="59"/>
      <c r="DG1335" s="59"/>
      <c r="DH1335" s="59"/>
      <c r="DI1335" s="59"/>
      <c r="DJ1335" s="59"/>
      <c r="DK1335" s="59"/>
      <c r="DL1335" s="59"/>
      <c r="DM1335" s="59"/>
      <c r="DN1335" s="59"/>
      <c r="DO1335" s="59"/>
      <c r="DP1335" s="59"/>
      <c r="DQ1335" s="59"/>
      <c r="DR1335" s="59"/>
      <c r="DS1335" s="59"/>
      <c r="DT1335" s="59"/>
      <c r="DU1335" s="59"/>
      <c r="DV1335" s="59"/>
      <c r="DW1335" s="59"/>
      <c r="DX1335" s="59"/>
      <c r="DY1335" s="59"/>
      <c r="DZ1335" s="59"/>
      <c r="EA1335" s="59"/>
      <c r="EB1335" s="59"/>
      <c r="EC1335" s="59"/>
      <c r="ED1335" s="59"/>
      <c r="EE1335" s="59"/>
      <c r="EF1335" s="59"/>
      <c r="EG1335" s="59"/>
      <c r="EH1335" s="59"/>
      <c r="EI1335" s="59"/>
      <c r="EJ1335" s="59"/>
      <c r="EK1335" s="59"/>
      <c r="EL1335" s="59"/>
      <c r="EM1335" s="59"/>
      <c r="EN1335" s="59"/>
      <c r="EO1335" s="59"/>
      <c r="EP1335" s="59"/>
      <c r="EQ1335" s="59"/>
      <c r="ER1335" s="59"/>
      <c r="ES1335" s="59"/>
      <c r="ET1335" s="59"/>
      <c r="EU1335" s="59"/>
      <c r="EV1335" s="59"/>
      <c r="EW1335" s="59"/>
      <c r="EX1335" s="59"/>
      <c r="EY1335" s="59"/>
      <c r="EZ1335" s="59"/>
      <c r="FA1335" s="59"/>
      <c r="FB1335" s="59"/>
      <c r="FC1335" s="59"/>
      <c r="FD1335" s="59"/>
      <c r="FE1335" s="59"/>
      <c r="FF1335" s="59"/>
      <c r="FG1335" s="59"/>
      <c r="FH1335" s="59"/>
      <c r="FI1335" s="59"/>
      <c r="FJ1335" s="59"/>
      <c r="FK1335" s="59"/>
      <c r="FL1335" s="59"/>
      <c r="FM1335" s="59"/>
      <c r="FN1335" s="59"/>
      <c r="FO1335" s="59"/>
      <c r="FP1335" s="59"/>
      <c r="FQ1335" s="59"/>
      <c r="FR1335" s="59"/>
      <c r="FS1335" s="59"/>
      <c r="FT1335" s="59"/>
      <c r="FU1335" s="59"/>
      <c r="FV1335" s="59"/>
      <c r="FW1335" s="59"/>
      <c r="FX1335" s="59"/>
      <c r="FY1335" s="59"/>
      <c r="FZ1335" s="59"/>
      <c r="GA1335" s="59"/>
      <c r="GB1335" s="59"/>
      <c r="GC1335" s="59"/>
    </row>
    <row r="1336">
      <c r="A1336" s="59"/>
      <c r="B1336" s="59"/>
      <c r="C1336" s="59"/>
      <c r="D1336" s="59"/>
      <c r="E1336" s="59"/>
      <c r="F1336" s="59"/>
      <c r="G1336" s="59"/>
      <c r="H1336" s="59"/>
      <c r="I1336" s="59"/>
      <c r="J1336" s="59"/>
      <c r="K1336" s="59"/>
      <c r="L1336" s="59"/>
      <c r="M1336" s="59"/>
      <c r="N1336" s="59"/>
      <c r="O1336" s="59"/>
      <c r="P1336" s="59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59"/>
      <c r="AU1336" s="59"/>
      <c r="AV1336" s="59"/>
      <c r="AW1336" s="59"/>
      <c r="AX1336" s="59"/>
      <c r="AY1336" s="59"/>
      <c r="AZ1336" s="59"/>
      <c r="BA1336" s="59"/>
      <c r="BB1336" s="59"/>
      <c r="BC1336" s="59"/>
      <c r="BD1336" s="59"/>
      <c r="BE1336" s="59"/>
      <c r="BF1336" s="59"/>
      <c r="BG1336" s="59"/>
      <c r="BH1336" s="59"/>
      <c r="BI1336" s="59"/>
      <c r="BJ1336" s="59"/>
      <c r="BK1336" s="59"/>
      <c r="BL1336" s="59"/>
      <c r="BM1336" s="59"/>
      <c r="BN1336" s="59"/>
      <c r="BO1336" s="59"/>
      <c r="BP1336" s="59"/>
      <c r="BQ1336" s="59"/>
      <c r="BR1336" s="59"/>
      <c r="BS1336" s="59"/>
      <c r="BT1336" s="59"/>
      <c r="BU1336" s="59"/>
      <c r="BV1336" s="59"/>
      <c r="BW1336" s="59"/>
      <c r="BX1336" s="59"/>
      <c r="BY1336" s="59"/>
      <c r="BZ1336" s="59"/>
      <c r="CA1336" s="59"/>
      <c r="CB1336" s="59"/>
      <c r="CC1336" s="59"/>
      <c r="CD1336" s="59"/>
      <c r="CE1336" s="59"/>
      <c r="CF1336" s="59"/>
      <c r="CG1336" s="59"/>
      <c r="CH1336" s="59"/>
      <c r="CI1336" s="59"/>
      <c r="CJ1336" s="59"/>
      <c r="CK1336" s="59"/>
      <c r="CL1336" s="59"/>
      <c r="CM1336" s="59"/>
      <c r="CN1336" s="59"/>
      <c r="CO1336" s="59"/>
      <c r="CP1336" s="59"/>
      <c r="CQ1336" s="59"/>
      <c r="CR1336" s="59"/>
      <c r="CS1336" s="59"/>
      <c r="CT1336" s="59"/>
      <c r="CU1336" s="59"/>
      <c r="CV1336" s="59"/>
      <c r="CW1336" s="59"/>
      <c r="CX1336" s="59"/>
      <c r="CY1336" s="59"/>
      <c r="CZ1336" s="59"/>
      <c r="DA1336" s="59"/>
      <c r="DB1336" s="59"/>
      <c r="DC1336" s="59"/>
      <c r="DD1336" s="59"/>
      <c r="DE1336" s="59"/>
      <c r="DF1336" s="59"/>
      <c r="DG1336" s="59"/>
      <c r="DH1336" s="59"/>
      <c r="DI1336" s="59"/>
      <c r="DJ1336" s="59"/>
      <c r="DK1336" s="59"/>
      <c r="DL1336" s="59"/>
      <c r="DM1336" s="59"/>
      <c r="DN1336" s="59"/>
      <c r="DO1336" s="59"/>
      <c r="DP1336" s="59"/>
      <c r="DQ1336" s="59"/>
      <c r="DR1336" s="59"/>
      <c r="DS1336" s="59"/>
      <c r="DT1336" s="59"/>
      <c r="DU1336" s="59"/>
      <c r="DV1336" s="59"/>
      <c r="DW1336" s="59"/>
      <c r="DX1336" s="59"/>
      <c r="DY1336" s="59"/>
      <c r="DZ1336" s="59"/>
      <c r="EA1336" s="59"/>
      <c r="EB1336" s="59"/>
      <c r="EC1336" s="59"/>
      <c r="ED1336" s="59"/>
      <c r="EE1336" s="59"/>
      <c r="EF1336" s="59"/>
      <c r="EG1336" s="59"/>
      <c r="EH1336" s="59"/>
      <c r="EI1336" s="59"/>
      <c r="EJ1336" s="59"/>
      <c r="EK1336" s="59"/>
      <c r="EL1336" s="59"/>
      <c r="EM1336" s="59"/>
      <c r="EN1336" s="59"/>
      <c r="EO1336" s="59"/>
      <c r="EP1336" s="59"/>
      <c r="EQ1336" s="59"/>
      <c r="ER1336" s="59"/>
      <c r="ES1336" s="59"/>
      <c r="ET1336" s="59"/>
      <c r="EU1336" s="59"/>
      <c r="EV1336" s="59"/>
      <c r="EW1336" s="59"/>
      <c r="EX1336" s="59"/>
      <c r="EY1336" s="59"/>
      <c r="EZ1336" s="59"/>
      <c r="FA1336" s="59"/>
      <c r="FB1336" s="59"/>
      <c r="FC1336" s="59"/>
      <c r="FD1336" s="59"/>
      <c r="FE1336" s="59"/>
      <c r="FF1336" s="59"/>
      <c r="FG1336" s="59"/>
      <c r="FH1336" s="59"/>
      <c r="FI1336" s="59"/>
      <c r="FJ1336" s="59"/>
      <c r="FK1336" s="59"/>
      <c r="FL1336" s="59"/>
      <c r="FM1336" s="59"/>
      <c r="FN1336" s="59"/>
      <c r="FO1336" s="59"/>
      <c r="FP1336" s="59"/>
      <c r="FQ1336" s="59"/>
      <c r="FR1336" s="59"/>
      <c r="FS1336" s="59"/>
      <c r="FT1336" s="59"/>
      <c r="FU1336" s="59"/>
      <c r="FV1336" s="59"/>
      <c r="FW1336" s="59"/>
      <c r="FX1336" s="59"/>
      <c r="FY1336" s="59"/>
      <c r="FZ1336" s="59"/>
      <c r="GA1336" s="59"/>
      <c r="GB1336" s="59"/>
      <c r="GC1336" s="59"/>
    </row>
    <row r="1337">
      <c r="A1337" s="59"/>
      <c r="B1337" s="59"/>
      <c r="C1337" s="59"/>
      <c r="D1337" s="59"/>
      <c r="E1337" s="59"/>
      <c r="F1337" s="59"/>
      <c r="G1337" s="59"/>
      <c r="H1337" s="59"/>
      <c r="I1337" s="59"/>
      <c r="J1337" s="59"/>
      <c r="K1337" s="59"/>
      <c r="L1337" s="59"/>
      <c r="M1337" s="59"/>
      <c r="N1337" s="59"/>
      <c r="O1337" s="59"/>
      <c r="P1337" s="59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  <c r="AA1337" s="59"/>
      <c r="AB1337" s="59"/>
      <c r="AC1337" s="59"/>
      <c r="AD1337" s="59"/>
      <c r="AE1337" s="59"/>
      <c r="AF1337" s="59"/>
      <c r="AG1337" s="59"/>
      <c r="AH1337" s="59"/>
      <c r="AI1337" s="59"/>
      <c r="AJ1337" s="59"/>
      <c r="AK1337" s="59"/>
      <c r="AL1337" s="59"/>
      <c r="AM1337" s="59"/>
      <c r="AN1337" s="59"/>
      <c r="AO1337" s="59"/>
      <c r="AP1337" s="59"/>
      <c r="AQ1337" s="59"/>
      <c r="AR1337" s="59"/>
      <c r="AS1337" s="59"/>
      <c r="AT1337" s="59"/>
      <c r="AU1337" s="59"/>
      <c r="AV1337" s="59"/>
      <c r="AW1337" s="59"/>
      <c r="AX1337" s="59"/>
      <c r="AY1337" s="59"/>
      <c r="AZ1337" s="59"/>
      <c r="BA1337" s="59"/>
      <c r="BB1337" s="59"/>
      <c r="BC1337" s="59"/>
      <c r="BD1337" s="59"/>
      <c r="BE1337" s="59"/>
      <c r="BF1337" s="59"/>
      <c r="BG1337" s="59"/>
      <c r="BH1337" s="59"/>
      <c r="BI1337" s="59"/>
      <c r="BJ1337" s="59"/>
      <c r="BK1337" s="59"/>
      <c r="BL1337" s="59"/>
      <c r="BM1337" s="59"/>
      <c r="BN1337" s="59"/>
      <c r="BO1337" s="59"/>
      <c r="BP1337" s="59"/>
      <c r="BQ1337" s="59"/>
      <c r="BR1337" s="59"/>
      <c r="BS1337" s="59"/>
      <c r="BT1337" s="59"/>
      <c r="BU1337" s="59"/>
      <c r="BV1337" s="59"/>
      <c r="BW1337" s="59"/>
      <c r="BX1337" s="59"/>
      <c r="BY1337" s="59"/>
      <c r="BZ1337" s="59"/>
      <c r="CA1337" s="59"/>
      <c r="CB1337" s="59"/>
      <c r="CC1337" s="59"/>
      <c r="CD1337" s="59"/>
      <c r="CE1337" s="59"/>
      <c r="CF1337" s="59"/>
      <c r="CG1337" s="59"/>
      <c r="CH1337" s="59"/>
      <c r="CI1337" s="59"/>
      <c r="CJ1337" s="59"/>
      <c r="CK1337" s="59"/>
      <c r="CL1337" s="59"/>
      <c r="CM1337" s="59"/>
      <c r="CN1337" s="59"/>
      <c r="CO1337" s="59"/>
      <c r="CP1337" s="59"/>
      <c r="CQ1337" s="59"/>
      <c r="CR1337" s="59"/>
      <c r="CS1337" s="59"/>
      <c r="CT1337" s="59"/>
      <c r="CU1337" s="59"/>
      <c r="CV1337" s="59"/>
      <c r="CW1337" s="59"/>
      <c r="CX1337" s="59"/>
      <c r="CY1337" s="59"/>
      <c r="CZ1337" s="59"/>
      <c r="DA1337" s="59"/>
      <c r="DB1337" s="59"/>
      <c r="DC1337" s="59"/>
      <c r="DD1337" s="59"/>
      <c r="DE1337" s="59"/>
      <c r="DF1337" s="59"/>
      <c r="DG1337" s="59"/>
      <c r="DH1337" s="59"/>
      <c r="DI1337" s="59"/>
      <c r="DJ1337" s="59"/>
      <c r="DK1337" s="59"/>
      <c r="DL1337" s="59"/>
      <c r="DM1337" s="59"/>
      <c r="DN1337" s="59"/>
      <c r="DO1337" s="59"/>
      <c r="DP1337" s="59"/>
      <c r="DQ1337" s="59"/>
      <c r="DR1337" s="59"/>
      <c r="DS1337" s="59"/>
      <c r="DT1337" s="59"/>
      <c r="DU1337" s="59"/>
      <c r="DV1337" s="59"/>
      <c r="DW1337" s="59"/>
      <c r="DX1337" s="59"/>
      <c r="DY1337" s="59"/>
      <c r="DZ1337" s="59"/>
      <c r="EA1337" s="59"/>
      <c r="EB1337" s="59"/>
      <c r="EC1337" s="59"/>
      <c r="ED1337" s="59"/>
      <c r="EE1337" s="59"/>
      <c r="EF1337" s="59"/>
      <c r="EG1337" s="59"/>
      <c r="EH1337" s="59"/>
      <c r="EI1337" s="59"/>
      <c r="EJ1337" s="59"/>
      <c r="EK1337" s="59"/>
      <c r="EL1337" s="59"/>
      <c r="EM1337" s="59"/>
      <c r="EN1337" s="59"/>
      <c r="EO1337" s="59"/>
      <c r="EP1337" s="59"/>
      <c r="EQ1337" s="59"/>
      <c r="ER1337" s="59"/>
      <c r="ES1337" s="59"/>
      <c r="ET1337" s="59"/>
      <c r="EU1337" s="59"/>
      <c r="EV1337" s="59"/>
      <c r="EW1337" s="59"/>
      <c r="EX1337" s="59"/>
      <c r="EY1337" s="59"/>
      <c r="EZ1337" s="59"/>
      <c r="FA1337" s="59"/>
      <c r="FB1337" s="59"/>
      <c r="FC1337" s="59"/>
      <c r="FD1337" s="59"/>
      <c r="FE1337" s="59"/>
      <c r="FF1337" s="59"/>
      <c r="FG1337" s="59"/>
      <c r="FH1337" s="59"/>
      <c r="FI1337" s="59"/>
      <c r="FJ1337" s="59"/>
      <c r="FK1337" s="59"/>
      <c r="FL1337" s="59"/>
      <c r="FM1337" s="59"/>
      <c r="FN1337" s="59"/>
      <c r="FO1337" s="59"/>
      <c r="FP1337" s="59"/>
      <c r="FQ1337" s="59"/>
      <c r="FR1337" s="59"/>
      <c r="FS1337" s="59"/>
      <c r="FT1337" s="59"/>
      <c r="FU1337" s="59"/>
      <c r="FV1337" s="59"/>
      <c r="FW1337" s="59"/>
      <c r="FX1337" s="59"/>
      <c r="FY1337" s="59"/>
      <c r="FZ1337" s="59"/>
      <c r="GA1337" s="59"/>
      <c r="GB1337" s="59"/>
      <c r="GC1337" s="59"/>
    </row>
    <row r="1338">
      <c r="A1338" s="59"/>
      <c r="B1338" s="59"/>
      <c r="C1338" s="59"/>
      <c r="D1338" s="59"/>
      <c r="E1338" s="59"/>
      <c r="F1338" s="59"/>
      <c r="G1338" s="59"/>
      <c r="H1338" s="59"/>
      <c r="I1338" s="59"/>
      <c r="J1338" s="59"/>
      <c r="K1338" s="59"/>
      <c r="L1338" s="59"/>
      <c r="M1338" s="59"/>
      <c r="N1338" s="59"/>
      <c r="O1338" s="59"/>
      <c r="P1338" s="59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59"/>
      <c r="AU1338" s="59"/>
      <c r="AV1338" s="59"/>
      <c r="AW1338" s="59"/>
      <c r="AX1338" s="59"/>
      <c r="AY1338" s="59"/>
      <c r="AZ1338" s="59"/>
      <c r="BA1338" s="59"/>
      <c r="BB1338" s="59"/>
      <c r="BC1338" s="59"/>
      <c r="BD1338" s="59"/>
      <c r="BE1338" s="59"/>
      <c r="BF1338" s="59"/>
      <c r="BG1338" s="59"/>
      <c r="BH1338" s="59"/>
      <c r="BI1338" s="59"/>
      <c r="BJ1338" s="59"/>
      <c r="BK1338" s="59"/>
      <c r="BL1338" s="59"/>
      <c r="BM1338" s="59"/>
      <c r="BN1338" s="59"/>
      <c r="BO1338" s="59"/>
      <c r="BP1338" s="59"/>
      <c r="BQ1338" s="59"/>
      <c r="BR1338" s="59"/>
      <c r="BS1338" s="59"/>
      <c r="BT1338" s="59"/>
      <c r="BU1338" s="59"/>
      <c r="BV1338" s="59"/>
      <c r="BW1338" s="59"/>
      <c r="BX1338" s="59"/>
      <c r="BY1338" s="59"/>
      <c r="BZ1338" s="59"/>
      <c r="CA1338" s="59"/>
      <c r="CB1338" s="59"/>
      <c r="CC1338" s="59"/>
      <c r="CD1338" s="59"/>
      <c r="CE1338" s="59"/>
      <c r="CF1338" s="59"/>
      <c r="CG1338" s="59"/>
      <c r="CH1338" s="59"/>
      <c r="CI1338" s="59"/>
      <c r="CJ1338" s="59"/>
      <c r="CK1338" s="59"/>
      <c r="CL1338" s="59"/>
      <c r="CM1338" s="59"/>
      <c r="CN1338" s="59"/>
      <c r="CO1338" s="59"/>
      <c r="CP1338" s="59"/>
      <c r="CQ1338" s="59"/>
      <c r="CR1338" s="59"/>
      <c r="CS1338" s="59"/>
      <c r="CT1338" s="59"/>
      <c r="CU1338" s="59"/>
      <c r="CV1338" s="59"/>
      <c r="CW1338" s="59"/>
      <c r="CX1338" s="59"/>
      <c r="CY1338" s="59"/>
      <c r="CZ1338" s="59"/>
      <c r="DA1338" s="59"/>
      <c r="DB1338" s="59"/>
      <c r="DC1338" s="59"/>
      <c r="DD1338" s="59"/>
      <c r="DE1338" s="59"/>
      <c r="DF1338" s="59"/>
      <c r="DG1338" s="59"/>
      <c r="DH1338" s="59"/>
      <c r="DI1338" s="59"/>
      <c r="DJ1338" s="59"/>
      <c r="DK1338" s="59"/>
      <c r="DL1338" s="59"/>
      <c r="DM1338" s="59"/>
      <c r="DN1338" s="59"/>
      <c r="DO1338" s="59"/>
      <c r="DP1338" s="59"/>
      <c r="DQ1338" s="59"/>
      <c r="DR1338" s="59"/>
      <c r="DS1338" s="59"/>
      <c r="DT1338" s="59"/>
      <c r="DU1338" s="59"/>
      <c r="DV1338" s="59"/>
      <c r="DW1338" s="59"/>
      <c r="DX1338" s="59"/>
      <c r="DY1338" s="59"/>
      <c r="DZ1338" s="59"/>
      <c r="EA1338" s="59"/>
      <c r="EB1338" s="59"/>
      <c r="EC1338" s="59"/>
      <c r="ED1338" s="59"/>
      <c r="EE1338" s="59"/>
      <c r="EF1338" s="59"/>
      <c r="EG1338" s="59"/>
      <c r="EH1338" s="59"/>
      <c r="EI1338" s="59"/>
      <c r="EJ1338" s="59"/>
      <c r="EK1338" s="59"/>
      <c r="EL1338" s="59"/>
      <c r="EM1338" s="59"/>
      <c r="EN1338" s="59"/>
      <c r="EO1338" s="59"/>
      <c r="EP1338" s="59"/>
      <c r="EQ1338" s="59"/>
      <c r="ER1338" s="59"/>
      <c r="ES1338" s="59"/>
      <c r="ET1338" s="59"/>
      <c r="EU1338" s="59"/>
      <c r="EV1338" s="59"/>
      <c r="EW1338" s="59"/>
      <c r="EX1338" s="59"/>
      <c r="EY1338" s="59"/>
      <c r="EZ1338" s="59"/>
      <c r="FA1338" s="59"/>
      <c r="FB1338" s="59"/>
      <c r="FC1338" s="59"/>
      <c r="FD1338" s="59"/>
      <c r="FE1338" s="59"/>
      <c r="FF1338" s="59"/>
      <c r="FG1338" s="59"/>
      <c r="FH1338" s="59"/>
      <c r="FI1338" s="59"/>
      <c r="FJ1338" s="59"/>
      <c r="FK1338" s="59"/>
      <c r="FL1338" s="59"/>
      <c r="FM1338" s="59"/>
      <c r="FN1338" s="59"/>
      <c r="FO1338" s="59"/>
      <c r="FP1338" s="59"/>
      <c r="FQ1338" s="59"/>
      <c r="FR1338" s="59"/>
      <c r="FS1338" s="59"/>
      <c r="FT1338" s="59"/>
      <c r="FU1338" s="59"/>
      <c r="FV1338" s="59"/>
      <c r="FW1338" s="59"/>
      <c r="FX1338" s="59"/>
      <c r="FY1338" s="59"/>
      <c r="FZ1338" s="59"/>
      <c r="GA1338" s="59"/>
      <c r="GB1338" s="59"/>
      <c r="GC1338" s="59"/>
    </row>
    <row r="1339">
      <c r="A1339" s="59"/>
      <c r="B1339" s="59"/>
      <c r="C1339" s="59"/>
      <c r="D1339" s="59"/>
      <c r="E1339" s="59"/>
      <c r="F1339" s="59"/>
      <c r="G1339" s="59"/>
      <c r="H1339" s="59"/>
      <c r="I1339" s="59"/>
      <c r="J1339" s="59"/>
      <c r="K1339" s="59"/>
      <c r="L1339" s="59"/>
      <c r="M1339" s="59"/>
      <c r="N1339" s="59"/>
      <c r="O1339" s="59"/>
      <c r="P1339" s="59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  <c r="AD1339" s="59"/>
      <c r="AE1339" s="59"/>
      <c r="AF1339" s="59"/>
      <c r="AG1339" s="59"/>
      <c r="AH1339" s="59"/>
      <c r="AI1339" s="59"/>
      <c r="AJ1339" s="59"/>
      <c r="AK1339" s="59"/>
      <c r="AL1339" s="59"/>
      <c r="AM1339" s="59"/>
      <c r="AN1339" s="59"/>
      <c r="AO1339" s="59"/>
      <c r="AP1339" s="59"/>
      <c r="AQ1339" s="59"/>
      <c r="AR1339" s="59"/>
      <c r="AS1339" s="59"/>
      <c r="AT1339" s="59"/>
      <c r="AU1339" s="59"/>
      <c r="AV1339" s="59"/>
      <c r="AW1339" s="59"/>
      <c r="AX1339" s="59"/>
      <c r="AY1339" s="59"/>
      <c r="AZ1339" s="59"/>
      <c r="BA1339" s="59"/>
      <c r="BB1339" s="59"/>
      <c r="BC1339" s="59"/>
      <c r="BD1339" s="59"/>
      <c r="BE1339" s="59"/>
      <c r="BF1339" s="59"/>
      <c r="BG1339" s="59"/>
      <c r="BH1339" s="59"/>
      <c r="BI1339" s="59"/>
      <c r="BJ1339" s="59"/>
      <c r="BK1339" s="59"/>
      <c r="BL1339" s="59"/>
      <c r="BM1339" s="59"/>
      <c r="BN1339" s="59"/>
      <c r="BO1339" s="59"/>
      <c r="BP1339" s="59"/>
      <c r="BQ1339" s="59"/>
      <c r="BR1339" s="59"/>
      <c r="BS1339" s="59"/>
      <c r="BT1339" s="59"/>
      <c r="BU1339" s="59"/>
      <c r="BV1339" s="59"/>
      <c r="BW1339" s="59"/>
      <c r="BX1339" s="59"/>
      <c r="BY1339" s="59"/>
      <c r="BZ1339" s="59"/>
      <c r="CA1339" s="59"/>
      <c r="CB1339" s="59"/>
      <c r="CC1339" s="59"/>
      <c r="CD1339" s="59"/>
      <c r="CE1339" s="59"/>
      <c r="CF1339" s="59"/>
      <c r="CG1339" s="59"/>
      <c r="CH1339" s="59"/>
      <c r="CI1339" s="59"/>
      <c r="CJ1339" s="59"/>
      <c r="CK1339" s="59"/>
      <c r="CL1339" s="59"/>
      <c r="CM1339" s="59"/>
      <c r="CN1339" s="59"/>
      <c r="CO1339" s="59"/>
      <c r="CP1339" s="59"/>
      <c r="CQ1339" s="59"/>
      <c r="CR1339" s="59"/>
      <c r="CS1339" s="59"/>
      <c r="CT1339" s="59"/>
      <c r="CU1339" s="59"/>
      <c r="CV1339" s="59"/>
      <c r="CW1339" s="59"/>
      <c r="CX1339" s="59"/>
      <c r="CY1339" s="59"/>
      <c r="CZ1339" s="59"/>
      <c r="DA1339" s="59"/>
      <c r="DB1339" s="59"/>
      <c r="DC1339" s="59"/>
      <c r="DD1339" s="59"/>
      <c r="DE1339" s="59"/>
      <c r="DF1339" s="59"/>
      <c r="DG1339" s="59"/>
      <c r="DH1339" s="59"/>
      <c r="DI1339" s="59"/>
      <c r="DJ1339" s="59"/>
      <c r="DK1339" s="59"/>
      <c r="DL1339" s="59"/>
      <c r="DM1339" s="59"/>
      <c r="DN1339" s="59"/>
      <c r="DO1339" s="59"/>
      <c r="DP1339" s="59"/>
      <c r="DQ1339" s="59"/>
      <c r="DR1339" s="59"/>
      <c r="DS1339" s="59"/>
      <c r="DT1339" s="59"/>
      <c r="DU1339" s="59"/>
      <c r="DV1339" s="59"/>
      <c r="DW1339" s="59"/>
      <c r="DX1339" s="59"/>
      <c r="DY1339" s="59"/>
      <c r="DZ1339" s="59"/>
      <c r="EA1339" s="59"/>
      <c r="EB1339" s="59"/>
      <c r="EC1339" s="59"/>
      <c r="ED1339" s="59"/>
      <c r="EE1339" s="59"/>
      <c r="EF1339" s="59"/>
      <c r="EG1339" s="59"/>
      <c r="EH1339" s="59"/>
      <c r="EI1339" s="59"/>
      <c r="EJ1339" s="59"/>
      <c r="EK1339" s="59"/>
      <c r="EL1339" s="59"/>
      <c r="EM1339" s="59"/>
      <c r="EN1339" s="59"/>
      <c r="EO1339" s="59"/>
      <c r="EP1339" s="59"/>
      <c r="EQ1339" s="59"/>
      <c r="ER1339" s="59"/>
      <c r="ES1339" s="59"/>
      <c r="ET1339" s="59"/>
      <c r="EU1339" s="59"/>
      <c r="EV1339" s="59"/>
      <c r="EW1339" s="59"/>
      <c r="EX1339" s="59"/>
      <c r="EY1339" s="59"/>
      <c r="EZ1339" s="59"/>
      <c r="FA1339" s="59"/>
      <c r="FB1339" s="59"/>
      <c r="FC1339" s="59"/>
      <c r="FD1339" s="59"/>
      <c r="FE1339" s="59"/>
      <c r="FF1339" s="59"/>
      <c r="FG1339" s="59"/>
      <c r="FH1339" s="59"/>
      <c r="FI1339" s="59"/>
      <c r="FJ1339" s="59"/>
      <c r="FK1339" s="59"/>
      <c r="FL1339" s="59"/>
      <c r="FM1339" s="59"/>
      <c r="FN1339" s="59"/>
      <c r="FO1339" s="59"/>
      <c r="FP1339" s="59"/>
      <c r="FQ1339" s="59"/>
      <c r="FR1339" s="59"/>
      <c r="FS1339" s="59"/>
      <c r="FT1339" s="59"/>
      <c r="FU1339" s="59"/>
      <c r="FV1339" s="59"/>
      <c r="FW1339" s="59"/>
      <c r="FX1339" s="59"/>
      <c r="FY1339" s="59"/>
      <c r="FZ1339" s="59"/>
      <c r="GA1339" s="59"/>
      <c r="GB1339" s="59"/>
      <c r="GC1339" s="59"/>
    </row>
    <row r="1340">
      <c r="A1340" s="59"/>
      <c r="B1340" s="59"/>
      <c r="C1340" s="59"/>
      <c r="D1340" s="59"/>
      <c r="E1340" s="59"/>
      <c r="F1340" s="59"/>
      <c r="G1340" s="59"/>
      <c r="H1340" s="59"/>
      <c r="I1340" s="59"/>
      <c r="J1340" s="59"/>
      <c r="K1340" s="59"/>
      <c r="L1340" s="59"/>
      <c r="M1340" s="59"/>
      <c r="N1340" s="59"/>
      <c r="O1340" s="59"/>
      <c r="P1340" s="59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59"/>
      <c r="AU1340" s="59"/>
      <c r="AV1340" s="59"/>
      <c r="AW1340" s="59"/>
      <c r="AX1340" s="59"/>
      <c r="AY1340" s="59"/>
      <c r="AZ1340" s="59"/>
      <c r="BA1340" s="59"/>
      <c r="BB1340" s="59"/>
      <c r="BC1340" s="59"/>
      <c r="BD1340" s="59"/>
      <c r="BE1340" s="59"/>
      <c r="BF1340" s="59"/>
      <c r="BG1340" s="59"/>
      <c r="BH1340" s="59"/>
      <c r="BI1340" s="59"/>
      <c r="BJ1340" s="59"/>
      <c r="BK1340" s="59"/>
      <c r="BL1340" s="59"/>
      <c r="BM1340" s="59"/>
      <c r="BN1340" s="59"/>
      <c r="BO1340" s="59"/>
      <c r="BP1340" s="59"/>
      <c r="BQ1340" s="59"/>
      <c r="BR1340" s="59"/>
      <c r="BS1340" s="59"/>
      <c r="BT1340" s="59"/>
      <c r="BU1340" s="59"/>
      <c r="BV1340" s="59"/>
      <c r="BW1340" s="59"/>
      <c r="BX1340" s="59"/>
      <c r="BY1340" s="59"/>
      <c r="BZ1340" s="59"/>
      <c r="CA1340" s="59"/>
      <c r="CB1340" s="59"/>
      <c r="CC1340" s="59"/>
      <c r="CD1340" s="59"/>
      <c r="CE1340" s="59"/>
      <c r="CF1340" s="59"/>
      <c r="CG1340" s="59"/>
      <c r="CH1340" s="59"/>
      <c r="CI1340" s="59"/>
      <c r="CJ1340" s="59"/>
      <c r="CK1340" s="59"/>
      <c r="CL1340" s="59"/>
      <c r="CM1340" s="59"/>
      <c r="CN1340" s="59"/>
      <c r="CO1340" s="59"/>
      <c r="CP1340" s="59"/>
      <c r="CQ1340" s="59"/>
      <c r="CR1340" s="59"/>
      <c r="CS1340" s="59"/>
      <c r="CT1340" s="59"/>
      <c r="CU1340" s="59"/>
      <c r="CV1340" s="59"/>
      <c r="CW1340" s="59"/>
      <c r="CX1340" s="59"/>
      <c r="CY1340" s="59"/>
      <c r="CZ1340" s="59"/>
      <c r="DA1340" s="59"/>
      <c r="DB1340" s="59"/>
      <c r="DC1340" s="59"/>
      <c r="DD1340" s="59"/>
      <c r="DE1340" s="59"/>
      <c r="DF1340" s="59"/>
      <c r="DG1340" s="59"/>
      <c r="DH1340" s="59"/>
      <c r="DI1340" s="59"/>
      <c r="DJ1340" s="59"/>
      <c r="DK1340" s="59"/>
      <c r="DL1340" s="59"/>
      <c r="DM1340" s="59"/>
      <c r="DN1340" s="59"/>
      <c r="DO1340" s="59"/>
      <c r="DP1340" s="59"/>
      <c r="DQ1340" s="59"/>
      <c r="DR1340" s="59"/>
      <c r="DS1340" s="59"/>
      <c r="DT1340" s="59"/>
      <c r="DU1340" s="59"/>
      <c r="DV1340" s="59"/>
      <c r="DW1340" s="59"/>
      <c r="DX1340" s="59"/>
      <c r="DY1340" s="59"/>
      <c r="DZ1340" s="59"/>
      <c r="EA1340" s="59"/>
      <c r="EB1340" s="59"/>
      <c r="EC1340" s="59"/>
      <c r="ED1340" s="59"/>
      <c r="EE1340" s="59"/>
      <c r="EF1340" s="59"/>
      <c r="EG1340" s="59"/>
      <c r="EH1340" s="59"/>
      <c r="EI1340" s="59"/>
      <c r="EJ1340" s="59"/>
      <c r="EK1340" s="59"/>
      <c r="EL1340" s="59"/>
      <c r="EM1340" s="59"/>
      <c r="EN1340" s="59"/>
      <c r="EO1340" s="59"/>
      <c r="EP1340" s="59"/>
      <c r="EQ1340" s="59"/>
      <c r="ER1340" s="59"/>
      <c r="ES1340" s="59"/>
      <c r="ET1340" s="59"/>
      <c r="EU1340" s="59"/>
      <c r="EV1340" s="59"/>
      <c r="EW1340" s="59"/>
      <c r="EX1340" s="59"/>
      <c r="EY1340" s="59"/>
      <c r="EZ1340" s="59"/>
      <c r="FA1340" s="59"/>
      <c r="FB1340" s="59"/>
      <c r="FC1340" s="59"/>
      <c r="FD1340" s="59"/>
      <c r="FE1340" s="59"/>
      <c r="FF1340" s="59"/>
      <c r="FG1340" s="59"/>
      <c r="FH1340" s="59"/>
      <c r="FI1340" s="59"/>
      <c r="FJ1340" s="59"/>
      <c r="FK1340" s="59"/>
      <c r="FL1340" s="59"/>
      <c r="FM1340" s="59"/>
      <c r="FN1340" s="59"/>
      <c r="FO1340" s="59"/>
      <c r="FP1340" s="59"/>
      <c r="FQ1340" s="59"/>
      <c r="FR1340" s="59"/>
      <c r="FS1340" s="59"/>
      <c r="FT1340" s="59"/>
      <c r="FU1340" s="59"/>
      <c r="FV1340" s="59"/>
      <c r="FW1340" s="59"/>
      <c r="FX1340" s="59"/>
      <c r="FY1340" s="59"/>
      <c r="FZ1340" s="59"/>
      <c r="GA1340" s="59"/>
      <c r="GB1340" s="59"/>
      <c r="GC1340" s="59"/>
    </row>
    <row r="1341">
      <c r="A1341" s="59"/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59"/>
      <c r="N1341" s="59"/>
      <c r="O1341" s="59"/>
      <c r="P1341" s="59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  <c r="AL1341" s="59"/>
      <c r="AM1341" s="59"/>
      <c r="AN1341" s="59"/>
      <c r="AO1341" s="59"/>
      <c r="AP1341" s="59"/>
      <c r="AQ1341" s="59"/>
      <c r="AR1341" s="59"/>
      <c r="AS1341" s="59"/>
      <c r="AT1341" s="59"/>
      <c r="AU1341" s="59"/>
      <c r="AV1341" s="59"/>
      <c r="AW1341" s="59"/>
      <c r="AX1341" s="59"/>
      <c r="AY1341" s="59"/>
      <c r="AZ1341" s="59"/>
      <c r="BA1341" s="59"/>
      <c r="BB1341" s="59"/>
      <c r="BC1341" s="59"/>
      <c r="BD1341" s="59"/>
      <c r="BE1341" s="59"/>
      <c r="BF1341" s="59"/>
      <c r="BG1341" s="59"/>
      <c r="BH1341" s="59"/>
      <c r="BI1341" s="59"/>
      <c r="BJ1341" s="59"/>
      <c r="BK1341" s="59"/>
      <c r="BL1341" s="59"/>
      <c r="BM1341" s="59"/>
      <c r="BN1341" s="59"/>
      <c r="BO1341" s="59"/>
      <c r="BP1341" s="59"/>
      <c r="BQ1341" s="59"/>
      <c r="BR1341" s="59"/>
      <c r="BS1341" s="59"/>
      <c r="BT1341" s="59"/>
      <c r="BU1341" s="59"/>
      <c r="BV1341" s="59"/>
      <c r="BW1341" s="59"/>
      <c r="BX1341" s="59"/>
      <c r="BY1341" s="59"/>
      <c r="BZ1341" s="59"/>
      <c r="CA1341" s="59"/>
      <c r="CB1341" s="59"/>
      <c r="CC1341" s="59"/>
      <c r="CD1341" s="59"/>
      <c r="CE1341" s="59"/>
      <c r="CF1341" s="59"/>
      <c r="CG1341" s="59"/>
      <c r="CH1341" s="59"/>
      <c r="CI1341" s="59"/>
      <c r="CJ1341" s="59"/>
      <c r="CK1341" s="59"/>
      <c r="CL1341" s="59"/>
      <c r="CM1341" s="59"/>
      <c r="CN1341" s="59"/>
      <c r="CO1341" s="59"/>
      <c r="CP1341" s="59"/>
      <c r="CQ1341" s="59"/>
      <c r="CR1341" s="59"/>
      <c r="CS1341" s="59"/>
      <c r="CT1341" s="59"/>
      <c r="CU1341" s="59"/>
      <c r="CV1341" s="59"/>
      <c r="CW1341" s="59"/>
      <c r="CX1341" s="59"/>
      <c r="CY1341" s="59"/>
      <c r="CZ1341" s="59"/>
      <c r="DA1341" s="59"/>
      <c r="DB1341" s="59"/>
      <c r="DC1341" s="59"/>
      <c r="DD1341" s="59"/>
      <c r="DE1341" s="59"/>
      <c r="DF1341" s="59"/>
      <c r="DG1341" s="59"/>
      <c r="DH1341" s="59"/>
      <c r="DI1341" s="59"/>
      <c r="DJ1341" s="59"/>
      <c r="DK1341" s="59"/>
      <c r="DL1341" s="59"/>
      <c r="DM1341" s="59"/>
      <c r="DN1341" s="59"/>
      <c r="DO1341" s="59"/>
      <c r="DP1341" s="59"/>
      <c r="DQ1341" s="59"/>
      <c r="DR1341" s="59"/>
      <c r="DS1341" s="59"/>
      <c r="DT1341" s="59"/>
      <c r="DU1341" s="59"/>
      <c r="DV1341" s="59"/>
      <c r="DW1341" s="59"/>
      <c r="DX1341" s="59"/>
      <c r="DY1341" s="59"/>
      <c r="DZ1341" s="59"/>
      <c r="EA1341" s="59"/>
      <c r="EB1341" s="59"/>
      <c r="EC1341" s="59"/>
      <c r="ED1341" s="59"/>
      <c r="EE1341" s="59"/>
      <c r="EF1341" s="59"/>
      <c r="EG1341" s="59"/>
      <c r="EH1341" s="59"/>
      <c r="EI1341" s="59"/>
      <c r="EJ1341" s="59"/>
      <c r="EK1341" s="59"/>
      <c r="EL1341" s="59"/>
      <c r="EM1341" s="59"/>
      <c r="EN1341" s="59"/>
      <c r="EO1341" s="59"/>
      <c r="EP1341" s="59"/>
      <c r="EQ1341" s="59"/>
      <c r="ER1341" s="59"/>
      <c r="ES1341" s="59"/>
      <c r="ET1341" s="59"/>
      <c r="EU1341" s="59"/>
      <c r="EV1341" s="59"/>
      <c r="EW1341" s="59"/>
      <c r="EX1341" s="59"/>
      <c r="EY1341" s="59"/>
      <c r="EZ1341" s="59"/>
      <c r="FA1341" s="59"/>
      <c r="FB1341" s="59"/>
      <c r="FC1341" s="59"/>
      <c r="FD1341" s="59"/>
      <c r="FE1341" s="59"/>
      <c r="FF1341" s="59"/>
      <c r="FG1341" s="59"/>
      <c r="FH1341" s="59"/>
      <c r="FI1341" s="59"/>
      <c r="FJ1341" s="59"/>
      <c r="FK1341" s="59"/>
      <c r="FL1341" s="59"/>
      <c r="FM1341" s="59"/>
      <c r="FN1341" s="59"/>
      <c r="FO1341" s="59"/>
      <c r="FP1341" s="59"/>
      <c r="FQ1341" s="59"/>
      <c r="FR1341" s="59"/>
      <c r="FS1341" s="59"/>
      <c r="FT1341" s="59"/>
      <c r="FU1341" s="59"/>
      <c r="FV1341" s="59"/>
      <c r="FW1341" s="59"/>
      <c r="FX1341" s="59"/>
      <c r="FY1341" s="59"/>
      <c r="FZ1341" s="59"/>
      <c r="GA1341" s="59"/>
      <c r="GB1341" s="59"/>
      <c r="GC1341" s="59"/>
    </row>
    <row r="1342">
      <c r="A1342" s="59"/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59"/>
      <c r="M1342" s="59"/>
      <c r="N1342" s="59"/>
      <c r="O1342" s="59"/>
      <c r="P1342" s="59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59"/>
      <c r="AU1342" s="59"/>
      <c r="AV1342" s="59"/>
      <c r="AW1342" s="59"/>
      <c r="AX1342" s="59"/>
      <c r="AY1342" s="59"/>
      <c r="AZ1342" s="59"/>
      <c r="BA1342" s="59"/>
      <c r="BB1342" s="59"/>
      <c r="BC1342" s="59"/>
      <c r="BD1342" s="59"/>
      <c r="BE1342" s="59"/>
      <c r="BF1342" s="59"/>
      <c r="BG1342" s="59"/>
      <c r="BH1342" s="59"/>
      <c r="BI1342" s="59"/>
      <c r="BJ1342" s="59"/>
      <c r="BK1342" s="59"/>
      <c r="BL1342" s="59"/>
      <c r="BM1342" s="59"/>
      <c r="BN1342" s="59"/>
      <c r="BO1342" s="59"/>
      <c r="BP1342" s="59"/>
      <c r="BQ1342" s="59"/>
      <c r="BR1342" s="59"/>
      <c r="BS1342" s="59"/>
      <c r="BT1342" s="59"/>
      <c r="BU1342" s="59"/>
      <c r="BV1342" s="59"/>
      <c r="BW1342" s="59"/>
      <c r="BX1342" s="59"/>
      <c r="BY1342" s="59"/>
      <c r="BZ1342" s="59"/>
      <c r="CA1342" s="59"/>
      <c r="CB1342" s="59"/>
      <c r="CC1342" s="59"/>
      <c r="CD1342" s="59"/>
      <c r="CE1342" s="59"/>
      <c r="CF1342" s="59"/>
      <c r="CG1342" s="59"/>
      <c r="CH1342" s="59"/>
      <c r="CI1342" s="59"/>
      <c r="CJ1342" s="59"/>
      <c r="CK1342" s="59"/>
      <c r="CL1342" s="59"/>
      <c r="CM1342" s="59"/>
      <c r="CN1342" s="59"/>
      <c r="CO1342" s="59"/>
      <c r="CP1342" s="59"/>
      <c r="CQ1342" s="59"/>
      <c r="CR1342" s="59"/>
      <c r="CS1342" s="59"/>
      <c r="CT1342" s="59"/>
      <c r="CU1342" s="59"/>
      <c r="CV1342" s="59"/>
      <c r="CW1342" s="59"/>
      <c r="CX1342" s="59"/>
      <c r="CY1342" s="59"/>
      <c r="CZ1342" s="59"/>
      <c r="DA1342" s="59"/>
      <c r="DB1342" s="59"/>
      <c r="DC1342" s="59"/>
      <c r="DD1342" s="59"/>
      <c r="DE1342" s="59"/>
      <c r="DF1342" s="59"/>
      <c r="DG1342" s="59"/>
      <c r="DH1342" s="59"/>
      <c r="DI1342" s="59"/>
      <c r="DJ1342" s="59"/>
      <c r="DK1342" s="59"/>
      <c r="DL1342" s="59"/>
      <c r="DM1342" s="59"/>
      <c r="DN1342" s="59"/>
      <c r="DO1342" s="59"/>
      <c r="DP1342" s="59"/>
      <c r="DQ1342" s="59"/>
      <c r="DR1342" s="59"/>
      <c r="DS1342" s="59"/>
      <c r="DT1342" s="59"/>
      <c r="DU1342" s="59"/>
      <c r="DV1342" s="59"/>
      <c r="DW1342" s="59"/>
      <c r="DX1342" s="59"/>
      <c r="DY1342" s="59"/>
      <c r="DZ1342" s="59"/>
      <c r="EA1342" s="59"/>
      <c r="EB1342" s="59"/>
      <c r="EC1342" s="59"/>
      <c r="ED1342" s="59"/>
      <c r="EE1342" s="59"/>
      <c r="EF1342" s="59"/>
      <c r="EG1342" s="59"/>
      <c r="EH1342" s="59"/>
      <c r="EI1342" s="59"/>
      <c r="EJ1342" s="59"/>
      <c r="EK1342" s="59"/>
      <c r="EL1342" s="59"/>
      <c r="EM1342" s="59"/>
      <c r="EN1342" s="59"/>
      <c r="EO1342" s="59"/>
      <c r="EP1342" s="59"/>
      <c r="EQ1342" s="59"/>
      <c r="ER1342" s="59"/>
      <c r="ES1342" s="59"/>
      <c r="ET1342" s="59"/>
      <c r="EU1342" s="59"/>
      <c r="EV1342" s="59"/>
      <c r="EW1342" s="59"/>
      <c r="EX1342" s="59"/>
      <c r="EY1342" s="59"/>
      <c r="EZ1342" s="59"/>
      <c r="FA1342" s="59"/>
      <c r="FB1342" s="59"/>
      <c r="FC1342" s="59"/>
      <c r="FD1342" s="59"/>
      <c r="FE1342" s="59"/>
      <c r="FF1342" s="59"/>
      <c r="FG1342" s="59"/>
      <c r="FH1342" s="59"/>
      <c r="FI1342" s="59"/>
      <c r="FJ1342" s="59"/>
      <c r="FK1342" s="59"/>
      <c r="FL1342" s="59"/>
      <c r="FM1342" s="59"/>
      <c r="FN1342" s="59"/>
      <c r="FO1342" s="59"/>
      <c r="FP1342" s="59"/>
      <c r="FQ1342" s="59"/>
      <c r="FR1342" s="59"/>
      <c r="FS1342" s="59"/>
      <c r="FT1342" s="59"/>
      <c r="FU1342" s="59"/>
      <c r="FV1342" s="59"/>
      <c r="FW1342" s="59"/>
      <c r="FX1342" s="59"/>
      <c r="FY1342" s="59"/>
      <c r="FZ1342" s="59"/>
      <c r="GA1342" s="59"/>
      <c r="GB1342" s="59"/>
      <c r="GC1342" s="59"/>
    </row>
    <row r="1343">
      <c r="A1343" s="59"/>
      <c r="B1343" s="59"/>
      <c r="C1343" s="59"/>
      <c r="D1343" s="59"/>
      <c r="E1343" s="59"/>
      <c r="F1343" s="59"/>
      <c r="G1343" s="59"/>
      <c r="H1343" s="59"/>
      <c r="I1343" s="59"/>
      <c r="J1343" s="59"/>
      <c r="K1343" s="59"/>
      <c r="L1343" s="59"/>
      <c r="M1343" s="59"/>
      <c r="N1343" s="59"/>
      <c r="O1343" s="59"/>
      <c r="P1343" s="59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  <c r="AL1343" s="59"/>
      <c r="AM1343" s="59"/>
      <c r="AN1343" s="59"/>
      <c r="AO1343" s="59"/>
      <c r="AP1343" s="59"/>
      <c r="AQ1343" s="59"/>
      <c r="AR1343" s="59"/>
      <c r="AS1343" s="59"/>
      <c r="AT1343" s="59"/>
      <c r="AU1343" s="59"/>
      <c r="AV1343" s="59"/>
      <c r="AW1343" s="59"/>
      <c r="AX1343" s="59"/>
      <c r="AY1343" s="59"/>
      <c r="AZ1343" s="59"/>
      <c r="BA1343" s="59"/>
      <c r="BB1343" s="59"/>
      <c r="BC1343" s="59"/>
      <c r="BD1343" s="59"/>
      <c r="BE1343" s="59"/>
      <c r="BF1343" s="59"/>
      <c r="BG1343" s="59"/>
      <c r="BH1343" s="59"/>
      <c r="BI1343" s="59"/>
      <c r="BJ1343" s="59"/>
      <c r="BK1343" s="59"/>
      <c r="BL1343" s="59"/>
      <c r="BM1343" s="59"/>
      <c r="BN1343" s="59"/>
      <c r="BO1343" s="59"/>
      <c r="BP1343" s="59"/>
      <c r="BQ1343" s="59"/>
      <c r="BR1343" s="59"/>
      <c r="BS1343" s="59"/>
      <c r="BT1343" s="59"/>
      <c r="BU1343" s="59"/>
      <c r="BV1343" s="59"/>
      <c r="BW1343" s="59"/>
      <c r="BX1343" s="59"/>
      <c r="BY1343" s="59"/>
      <c r="BZ1343" s="59"/>
      <c r="CA1343" s="59"/>
      <c r="CB1343" s="59"/>
      <c r="CC1343" s="59"/>
      <c r="CD1343" s="59"/>
      <c r="CE1343" s="59"/>
      <c r="CF1343" s="59"/>
      <c r="CG1343" s="59"/>
      <c r="CH1343" s="59"/>
      <c r="CI1343" s="59"/>
      <c r="CJ1343" s="59"/>
      <c r="CK1343" s="59"/>
      <c r="CL1343" s="59"/>
      <c r="CM1343" s="59"/>
      <c r="CN1343" s="59"/>
      <c r="CO1343" s="59"/>
      <c r="CP1343" s="59"/>
      <c r="CQ1343" s="59"/>
      <c r="CR1343" s="59"/>
      <c r="CS1343" s="59"/>
      <c r="CT1343" s="59"/>
      <c r="CU1343" s="59"/>
      <c r="CV1343" s="59"/>
      <c r="CW1343" s="59"/>
      <c r="CX1343" s="59"/>
      <c r="CY1343" s="59"/>
      <c r="CZ1343" s="59"/>
      <c r="DA1343" s="59"/>
      <c r="DB1343" s="59"/>
      <c r="DC1343" s="59"/>
      <c r="DD1343" s="59"/>
      <c r="DE1343" s="59"/>
      <c r="DF1343" s="59"/>
      <c r="DG1343" s="59"/>
      <c r="DH1343" s="59"/>
      <c r="DI1343" s="59"/>
      <c r="DJ1343" s="59"/>
      <c r="DK1343" s="59"/>
      <c r="DL1343" s="59"/>
      <c r="DM1343" s="59"/>
      <c r="DN1343" s="59"/>
      <c r="DO1343" s="59"/>
      <c r="DP1343" s="59"/>
      <c r="DQ1343" s="59"/>
      <c r="DR1343" s="59"/>
      <c r="DS1343" s="59"/>
      <c r="DT1343" s="59"/>
      <c r="DU1343" s="59"/>
      <c r="DV1343" s="59"/>
      <c r="DW1343" s="59"/>
      <c r="DX1343" s="59"/>
      <c r="DY1343" s="59"/>
      <c r="DZ1343" s="59"/>
      <c r="EA1343" s="59"/>
      <c r="EB1343" s="59"/>
      <c r="EC1343" s="59"/>
      <c r="ED1343" s="59"/>
      <c r="EE1343" s="59"/>
      <c r="EF1343" s="59"/>
      <c r="EG1343" s="59"/>
      <c r="EH1343" s="59"/>
      <c r="EI1343" s="59"/>
      <c r="EJ1343" s="59"/>
      <c r="EK1343" s="59"/>
      <c r="EL1343" s="59"/>
      <c r="EM1343" s="59"/>
      <c r="EN1343" s="59"/>
      <c r="EO1343" s="59"/>
      <c r="EP1343" s="59"/>
      <c r="EQ1343" s="59"/>
      <c r="ER1343" s="59"/>
      <c r="ES1343" s="59"/>
      <c r="ET1343" s="59"/>
      <c r="EU1343" s="59"/>
      <c r="EV1343" s="59"/>
      <c r="EW1343" s="59"/>
      <c r="EX1343" s="59"/>
      <c r="EY1343" s="59"/>
      <c r="EZ1343" s="59"/>
      <c r="FA1343" s="59"/>
      <c r="FB1343" s="59"/>
      <c r="FC1343" s="59"/>
      <c r="FD1343" s="59"/>
      <c r="FE1343" s="59"/>
      <c r="FF1343" s="59"/>
      <c r="FG1343" s="59"/>
      <c r="FH1343" s="59"/>
      <c r="FI1343" s="59"/>
      <c r="FJ1343" s="59"/>
      <c r="FK1343" s="59"/>
      <c r="FL1343" s="59"/>
      <c r="FM1343" s="59"/>
      <c r="FN1343" s="59"/>
      <c r="FO1343" s="59"/>
      <c r="FP1343" s="59"/>
      <c r="FQ1343" s="59"/>
      <c r="FR1343" s="59"/>
      <c r="FS1343" s="59"/>
      <c r="FT1343" s="59"/>
      <c r="FU1343" s="59"/>
      <c r="FV1343" s="59"/>
      <c r="FW1343" s="59"/>
      <c r="FX1343" s="59"/>
      <c r="FY1343" s="59"/>
      <c r="FZ1343" s="59"/>
      <c r="GA1343" s="59"/>
      <c r="GB1343" s="59"/>
      <c r="GC1343" s="59"/>
    </row>
    <row r="1344">
      <c r="A1344" s="59"/>
      <c r="B1344" s="59"/>
      <c r="C1344" s="59"/>
      <c r="D1344" s="59"/>
      <c r="E1344" s="59"/>
      <c r="F1344" s="59"/>
      <c r="G1344" s="59"/>
      <c r="H1344" s="59"/>
      <c r="I1344" s="59"/>
      <c r="J1344" s="59"/>
      <c r="K1344" s="59"/>
      <c r="L1344" s="59"/>
      <c r="M1344" s="59"/>
      <c r="N1344" s="59"/>
      <c r="O1344" s="59"/>
      <c r="P1344" s="59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59"/>
      <c r="AU1344" s="59"/>
      <c r="AV1344" s="59"/>
      <c r="AW1344" s="59"/>
      <c r="AX1344" s="59"/>
      <c r="AY1344" s="59"/>
      <c r="AZ1344" s="59"/>
      <c r="BA1344" s="59"/>
      <c r="BB1344" s="59"/>
      <c r="BC1344" s="59"/>
      <c r="BD1344" s="59"/>
      <c r="BE1344" s="59"/>
      <c r="BF1344" s="59"/>
      <c r="BG1344" s="59"/>
      <c r="BH1344" s="59"/>
      <c r="BI1344" s="59"/>
      <c r="BJ1344" s="59"/>
      <c r="BK1344" s="59"/>
      <c r="BL1344" s="59"/>
      <c r="BM1344" s="59"/>
      <c r="BN1344" s="59"/>
      <c r="BO1344" s="59"/>
      <c r="BP1344" s="59"/>
      <c r="BQ1344" s="59"/>
      <c r="BR1344" s="59"/>
      <c r="BS1344" s="59"/>
      <c r="BT1344" s="59"/>
      <c r="BU1344" s="59"/>
      <c r="BV1344" s="59"/>
      <c r="BW1344" s="59"/>
      <c r="BX1344" s="59"/>
      <c r="BY1344" s="59"/>
      <c r="BZ1344" s="59"/>
      <c r="CA1344" s="59"/>
      <c r="CB1344" s="59"/>
      <c r="CC1344" s="59"/>
      <c r="CD1344" s="59"/>
      <c r="CE1344" s="59"/>
      <c r="CF1344" s="59"/>
      <c r="CG1344" s="59"/>
      <c r="CH1344" s="59"/>
      <c r="CI1344" s="59"/>
      <c r="CJ1344" s="59"/>
      <c r="CK1344" s="59"/>
      <c r="CL1344" s="59"/>
      <c r="CM1344" s="59"/>
      <c r="CN1344" s="59"/>
      <c r="CO1344" s="59"/>
      <c r="CP1344" s="59"/>
      <c r="CQ1344" s="59"/>
      <c r="CR1344" s="59"/>
      <c r="CS1344" s="59"/>
      <c r="CT1344" s="59"/>
      <c r="CU1344" s="59"/>
      <c r="CV1344" s="59"/>
      <c r="CW1344" s="59"/>
      <c r="CX1344" s="59"/>
      <c r="CY1344" s="59"/>
      <c r="CZ1344" s="59"/>
      <c r="DA1344" s="59"/>
      <c r="DB1344" s="59"/>
      <c r="DC1344" s="59"/>
      <c r="DD1344" s="59"/>
      <c r="DE1344" s="59"/>
      <c r="DF1344" s="59"/>
      <c r="DG1344" s="59"/>
      <c r="DH1344" s="59"/>
      <c r="DI1344" s="59"/>
      <c r="DJ1344" s="59"/>
      <c r="DK1344" s="59"/>
      <c r="DL1344" s="59"/>
      <c r="DM1344" s="59"/>
      <c r="DN1344" s="59"/>
      <c r="DO1344" s="59"/>
      <c r="DP1344" s="59"/>
      <c r="DQ1344" s="59"/>
      <c r="DR1344" s="59"/>
      <c r="DS1344" s="59"/>
      <c r="DT1344" s="59"/>
      <c r="DU1344" s="59"/>
      <c r="DV1344" s="59"/>
      <c r="DW1344" s="59"/>
      <c r="DX1344" s="59"/>
      <c r="DY1344" s="59"/>
      <c r="DZ1344" s="59"/>
      <c r="EA1344" s="59"/>
      <c r="EB1344" s="59"/>
      <c r="EC1344" s="59"/>
      <c r="ED1344" s="59"/>
      <c r="EE1344" s="59"/>
      <c r="EF1344" s="59"/>
      <c r="EG1344" s="59"/>
      <c r="EH1344" s="59"/>
      <c r="EI1344" s="59"/>
      <c r="EJ1344" s="59"/>
      <c r="EK1344" s="59"/>
      <c r="EL1344" s="59"/>
      <c r="EM1344" s="59"/>
      <c r="EN1344" s="59"/>
      <c r="EO1344" s="59"/>
      <c r="EP1344" s="59"/>
      <c r="EQ1344" s="59"/>
      <c r="ER1344" s="59"/>
      <c r="ES1344" s="59"/>
      <c r="ET1344" s="59"/>
      <c r="EU1344" s="59"/>
      <c r="EV1344" s="59"/>
      <c r="EW1344" s="59"/>
      <c r="EX1344" s="59"/>
      <c r="EY1344" s="59"/>
      <c r="EZ1344" s="59"/>
      <c r="FA1344" s="59"/>
      <c r="FB1344" s="59"/>
      <c r="FC1344" s="59"/>
      <c r="FD1344" s="59"/>
      <c r="FE1344" s="59"/>
      <c r="FF1344" s="59"/>
      <c r="FG1344" s="59"/>
      <c r="FH1344" s="59"/>
      <c r="FI1344" s="59"/>
      <c r="FJ1344" s="59"/>
      <c r="FK1344" s="59"/>
      <c r="FL1344" s="59"/>
      <c r="FM1344" s="59"/>
      <c r="FN1344" s="59"/>
      <c r="FO1344" s="59"/>
      <c r="FP1344" s="59"/>
      <c r="FQ1344" s="59"/>
      <c r="FR1344" s="59"/>
      <c r="FS1344" s="59"/>
      <c r="FT1344" s="59"/>
      <c r="FU1344" s="59"/>
      <c r="FV1344" s="59"/>
      <c r="FW1344" s="59"/>
      <c r="FX1344" s="59"/>
      <c r="FY1344" s="59"/>
      <c r="FZ1344" s="59"/>
      <c r="GA1344" s="59"/>
      <c r="GB1344" s="59"/>
      <c r="GC1344" s="59"/>
    </row>
    <row r="1345">
      <c r="A1345" s="59"/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59"/>
      <c r="P1345" s="59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  <c r="AL1345" s="59"/>
      <c r="AM1345" s="59"/>
      <c r="AN1345" s="59"/>
      <c r="AO1345" s="59"/>
      <c r="AP1345" s="59"/>
      <c r="AQ1345" s="59"/>
      <c r="AR1345" s="59"/>
      <c r="AS1345" s="59"/>
      <c r="AT1345" s="59"/>
      <c r="AU1345" s="59"/>
      <c r="AV1345" s="59"/>
      <c r="AW1345" s="59"/>
      <c r="AX1345" s="59"/>
      <c r="AY1345" s="59"/>
      <c r="AZ1345" s="59"/>
      <c r="BA1345" s="59"/>
      <c r="BB1345" s="59"/>
      <c r="BC1345" s="59"/>
      <c r="BD1345" s="59"/>
      <c r="BE1345" s="59"/>
      <c r="BF1345" s="59"/>
      <c r="BG1345" s="59"/>
      <c r="BH1345" s="59"/>
      <c r="BI1345" s="59"/>
      <c r="BJ1345" s="59"/>
      <c r="BK1345" s="59"/>
      <c r="BL1345" s="59"/>
      <c r="BM1345" s="59"/>
      <c r="BN1345" s="59"/>
      <c r="BO1345" s="59"/>
      <c r="BP1345" s="59"/>
      <c r="BQ1345" s="59"/>
      <c r="BR1345" s="59"/>
      <c r="BS1345" s="59"/>
      <c r="BT1345" s="59"/>
      <c r="BU1345" s="59"/>
      <c r="BV1345" s="59"/>
      <c r="BW1345" s="59"/>
      <c r="BX1345" s="59"/>
      <c r="BY1345" s="59"/>
      <c r="BZ1345" s="59"/>
      <c r="CA1345" s="59"/>
      <c r="CB1345" s="59"/>
      <c r="CC1345" s="59"/>
      <c r="CD1345" s="59"/>
      <c r="CE1345" s="59"/>
      <c r="CF1345" s="59"/>
      <c r="CG1345" s="59"/>
      <c r="CH1345" s="59"/>
      <c r="CI1345" s="59"/>
      <c r="CJ1345" s="59"/>
      <c r="CK1345" s="59"/>
      <c r="CL1345" s="59"/>
      <c r="CM1345" s="59"/>
      <c r="CN1345" s="59"/>
      <c r="CO1345" s="59"/>
      <c r="CP1345" s="59"/>
      <c r="CQ1345" s="59"/>
      <c r="CR1345" s="59"/>
      <c r="CS1345" s="59"/>
      <c r="CT1345" s="59"/>
      <c r="CU1345" s="59"/>
      <c r="CV1345" s="59"/>
      <c r="CW1345" s="59"/>
      <c r="CX1345" s="59"/>
      <c r="CY1345" s="59"/>
      <c r="CZ1345" s="59"/>
      <c r="DA1345" s="59"/>
      <c r="DB1345" s="59"/>
      <c r="DC1345" s="59"/>
      <c r="DD1345" s="59"/>
      <c r="DE1345" s="59"/>
      <c r="DF1345" s="59"/>
      <c r="DG1345" s="59"/>
      <c r="DH1345" s="59"/>
      <c r="DI1345" s="59"/>
      <c r="DJ1345" s="59"/>
      <c r="DK1345" s="59"/>
      <c r="DL1345" s="59"/>
      <c r="DM1345" s="59"/>
      <c r="DN1345" s="59"/>
      <c r="DO1345" s="59"/>
      <c r="DP1345" s="59"/>
      <c r="DQ1345" s="59"/>
      <c r="DR1345" s="59"/>
      <c r="DS1345" s="59"/>
      <c r="DT1345" s="59"/>
      <c r="DU1345" s="59"/>
      <c r="DV1345" s="59"/>
      <c r="DW1345" s="59"/>
      <c r="DX1345" s="59"/>
      <c r="DY1345" s="59"/>
      <c r="DZ1345" s="59"/>
      <c r="EA1345" s="59"/>
      <c r="EB1345" s="59"/>
      <c r="EC1345" s="59"/>
      <c r="ED1345" s="59"/>
      <c r="EE1345" s="59"/>
      <c r="EF1345" s="59"/>
      <c r="EG1345" s="59"/>
      <c r="EH1345" s="59"/>
      <c r="EI1345" s="59"/>
      <c r="EJ1345" s="59"/>
      <c r="EK1345" s="59"/>
      <c r="EL1345" s="59"/>
      <c r="EM1345" s="59"/>
      <c r="EN1345" s="59"/>
      <c r="EO1345" s="59"/>
      <c r="EP1345" s="59"/>
      <c r="EQ1345" s="59"/>
      <c r="ER1345" s="59"/>
      <c r="ES1345" s="59"/>
      <c r="ET1345" s="59"/>
      <c r="EU1345" s="59"/>
      <c r="EV1345" s="59"/>
      <c r="EW1345" s="59"/>
      <c r="EX1345" s="59"/>
      <c r="EY1345" s="59"/>
      <c r="EZ1345" s="59"/>
      <c r="FA1345" s="59"/>
      <c r="FB1345" s="59"/>
      <c r="FC1345" s="59"/>
      <c r="FD1345" s="59"/>
      <c r="FE1345" s="59"/>
      <c r="FF1345" s="59"/>
      <c r="FG1345" s="59"/>
      <c r="FH1345" s="59"/>
      <c r="FI1345" s="59"/>
      <c r="FJ1345" s="59"/>
      <c r="FK1345" s="59"/>
      <c r="FL1345" s="59"/>
      <c r="FM1345" s="59"/>
      <c r="FN1345" s="59"/>
      <c r="FO1345" s="59"/>
      <c r="FP1345" s="59"/>
      <c r="FQ1345" s="59"/>
      <c r="FR1345" s="59"/>
      <c r="FS1345" s="59"/>
      <c r="FT1345" s="59"/>
      <c r="FU1345" s="59"/>
      <c r="FV1345" s="59"/>
      <c r="FW1345" s="59"/>
      <c r="FX1345" s="59"/>
      <c r="FY1345" s="59"/>
      <c r="FZ1345" s="59"/>
      <c r="GA1345" s="59"/>
      <c r="GB1345" s="59"/>
      <c r="GC1345" s="59"/>
    </row>
    <row r="1346">
      <c r="A1346" s="59"/>
      <c r="B1346" s="59"/>
      <c r="C1346" s="59"/>
      <c r="D1346" s="59"/>
      <c r="E1346" s="59"/>
      <c r="F1346" s="59"/>
      <c r="G1346" s="59"/>
      <c r="H1346" s="59"/>
      <c r="I1346" s="59"/>
      <c r="J1346" s="59"/>
      <c r="K1346" s="59"/>
      <c r="L1346" s="59"/>
      <c r="M1346" s="59"/>
      <c r="N1346" s="59"/>
      <c r="O1346" s="59"/>
      <c r="P1346" s="59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59"/>
      <c r="AU1346" s="59"/>
      <c r="AV1346" s="59"/>
      <c r="AW1346" s="59"/>
      <c r="AX1346" s="59"/>
      <c r="AY1346" s="59"/>
      <c r="AZ1346" s="59"/>
      <c r="BA1346" s="59"/>
      <c r="BB1346" s="59"/>
      <c r="BC1346" s="59"/>
      <c r="BD1346" s="59"/>
      <c r="BE1346" s="59"/>
      <c r="BF1346" s="59"/>
      <c r="BG1346" s="59"/>
      <c r="BH1346" s="59"/>
      <c r="BI1346" s="59"/>
      <c r="BJ1346" s="59"/>
      <c r="BK1346" s="59"/>
      <c r="BL1346" s="59"/>
      <c r="BM1346" s="59"/>
      <c r="BN1346" s="59"/>
      <c r="BO1346" s="59"/>
      <c r="BP1346" s="59"/>
      <c r="BQ1346" s="59"/>
      <c r="BR1346" s="59"/>
      <c r="BS1346" s="59"/>
      <c r="BT1346" s="59"/>
      <c r="BU1346" s="59"/>
      <c r="BV1346" s="59"/>
      <c r="BW1346" s="59"/>
      <c r="BX1346" s="59"/>
      <c r="BY1346" s="59"/>
      <c r="BZ1346" s="59"/>
      <c r="CA1346" s="59"/>
      <c r="CB1346" s="59"/>
      <c r="CC1346" s="59"/>
      <c r="CD1346" s="59"/>
      <c r="CE1346" s="59"/>
      <c r="CF1346" s="59"/>
      <c r="CG1346" s="59"/>
      <c r="CH1346" s="59"/>
      <c r="CI1346" s="59"/>
      <c r="CJ1346" s="59"/>
      <c r="CK1346" s="59"/>
      <c r="CL1346" s="59"/>
      <c r="CM1346" s="59"/>
      <c r="CN1346" s="59"/>
      <c r="CO1346" s="59"/>
      <c r="CP1346" s="59"/>
      <c r="CQ1346" s="59"/>
      <c r="CR1346" s="59"/>
      <c r="CS1346" s="59"/>
      <c r="CT1346" s="59"/>
      <c r="CU1346" s="59"/>
      <c r="CV1346" s="59"/>
      <c r="CW1346" s="59"/>
      <c r="CX1346" s="59"/>
      <c r="CY1346" s="59"/>
      <c r="CZ1346" s="59"/>
      <c r="DA1346" s="59"/>
      <c r="DB1346" s="59"/>
      <c r="DC1346" s="59"/>
      <c r="DD1346" s="59"/>
      <c r="DE1346" s="59"/>
      <c r="DF1346" s="59"/>
      <c r="DG1346" s="59"/>
      <c r="DH1346" s="59"/>
      <c r="DI1346" s="59"/>
      <c r="DJ1346" s="59"/>
      <c r="DK1346" s="59"/>
      <c r="DL1346" s="59"/>
      <c r="DM1346" s="59"/>
      <c r="DN1346" s="59"/>
      <c r="DO1346" s="59"/>
      <c r="DP1346" s="59"/>
      <c r="DQ1346" s="59"/>
      <c r="DR1346" s="59"/>
      <c r="DS1346" s="59"/>
      <c r="DT1346" s="59"/>
      <c r="DU1346" s="59"/>
      <c r="DV1346" s="59"/>
      <c r="DW1346" s="59"/>
      <c r="DX1346" s="59"/>
      <c r="DY1346" s="59"/>
      <c r="DZ1346" s="59"/>
      <c r="EA1346" s="59"/>
      <c r="EB1346" s="59"/>
      <c r="EC1346" s="59"/>
      <c r="ED1346" s="59"/>
      <c r="EE1346" s="59"/>
      <c r="EF1346" s="59"/>
      <c r="EG1346" s="59"/>
      <c r="EH1346" s="59"/>
      <c r="EI1346" s="59"/>
      <c r="EJ1346" s="59"/>
      <c r="EK1346" s="59"/>
      <c r="EL1346" s="59"/>
      <c r="EM1346" s="59"/>
      <c r="EN1346" s="59"/>
      <c r="EO1346" s="59"/>
      <c r="EP1346" s="59"/>
      <c r="EQ1346" s="59"/>
      <c r="ER1346" s="59"/>
      <c r="ES1346" s="59"/>
      <c r="ET1346" s="59"/>
      <c r="EU1346" s="59"/>
      <c r="EV1346" s="59"/>
      <c r="EW1346" s="59"/>
      <c r="EX1346" s="59"/>
      <c r="EY1346" s="59"/>
      <c r="EZ1346" s="59"/>
      <c r="FA1346" s="59"/>
      <c r="FB1346" s="59"/>
      <c r="FC1346" s="59"/>
      <c r="FD1346" s="59"/>
      <c r="FE1346" s="59"/>
      <c r="FF1346" s="59"/>
      <c r="FG1346" s="59"/>
      <c r="FH1346" s="59"/>
      <c r="FI1346" s="59"/>
      <c r="FJ1346" s="59"/>
      <c r="FK1346" s="59"/>
      <c r="FL1346" s="59"/>
      <c r="FM1346" s="59"/>
      <c r="FN1346" s="59"/>
      <c r="FO1346" s="59"/>
      <c r="FP1346" s="59"/>
      <c r="FQ1346" s="59"/>
      <c r="FR1346" s="59"/>
      <c r="FS1346" s="59"/>
      <c r="FT1346" s="59"/>
      <c r="FU1346" s="59"/>
      <c r="FV1346" s="59"/>
      <c r="FW1346" s="59"/>
      <c r="FX1346" s="59"/>
      <c r="FY1346" s="59"/>
      <c r="FZ1346" s="59"/>
      <c r="GA1346" s="59"/>
      <c r="GB1346" s="59"/>
      <c r="GC1346" s="59"/>
    </row>
    <row r="1347">
      <c r="A1347" s="59"/>
      <c r="B1347" s="59"/>
      <c r="C1347" s="59"/>
      <c r="D1347" s="59"/>
      <c r="E1347" s="59"/>
      <c r="F1347" s="59"/>
      <c r="G1347" s="59"/>
      <c r="H1347" s="59"/>
      <c r="I1347" s="59"/>
      <c r="J1347" s="59"/>
      <c r="K1347" s="59"/>
      <c r="L1347" s="59"/>
      <c r="M1347" s="59"/>
      <c r="N1347" s="59"/>
      <c r="O1347" s="59"/>
      <c r="P1347" s="59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  <c r="AD1347" s="59"/>
      <c r="AE1347" s="59"/>
      <c r="AF1347" s="59"/>
      <c r="AG1347" s="59"/>
      <c r="AH1347" s="59"/>
      <c r="AI1347" s="59"/>
      <c r="AJ1347" s="59"/>
      <c r="AK1347" s="59"/>
      <c r="AL1347" s="59"/>
      <c r="AM1347" s="59"/>
      <c r="AN1347" s="59"/>
      <c r="AO1347" s="59"/>
      <c r="AP1347" s="59"/>
      <c r="AQ1347" s="59"/>
      <c r="AR1347" s="59"/>
      <c r="AS1347" s="59"/>
      <c r="AT1347" s="59"/>
      <c r="AU1347" s="59"/>
      <c r="AV1347" s="59"/>
      <c r="AW1347" s="59"/>
      <c r="AX1347" s="59"/>
      <c r="AY1347" s="59"/>
      <c r="AZ1347" s="59"/>
      <c r="BA1347" s="59"/>
      <c r="BB1347" s="59"/>
      <c r="BC1347" s="59"/>
      <c r="BD1347" s="59"/>
      <c r="BE1347" s="59"/>
      <c r="BF1347" s="59"/>
      <c r="BG1347" s="59"/>
      <c r="BH1347" s="59"/>
      <c r="BI1347" s="59"/>
      <c r="BJ1347" s="59"/>
      <c r="BK1347" s="59"/>
      <c r="BL1347" s="59"/>
      <c r="BM1347" s="59"/>
      <c r="BN1347" s="59"/>
      <c r="BO1347" s="59"/>
      <c r="BP1347" s="59"/>
      <c r="BQ1347" s="59"/>
      <c r="BR1347" s="59"/>
      <c r="BS1347" s="59"/>
      <c r="BT1347" s="59"/>
      <c r="BU1347" s="59"/>
      <c r="BV1347" s="59"/>
      <c r="BW1347" s="59"/>
      <c r="BX1347" s="59"/>
      <c r="BY1347" s="59"/>
      <c r="BZ1347" s="59"/>
      <c r="CA1347" s="59"/>
      <c r="CB1347" s="59"/>
      <c r="CC1347" s="59"/>
      <c r="CD1347" s="59"/>
      <c r="CE1347" s="59"/>
      <c r="CF1347" s="59"/>
      <c r="CG1347" s="59"/>
      <c r="CH1347" s="59"/>
      <c r="CI1347" s="59"/>
      <c r="CJ1347" s="59"/>
      <c r="CK1347" s="59"/>
      <c r="CL1347" s="59"/>
      <c r="CM1347" s="59"/>
      <c r="CN1347" s="59"/>
      <c r="CO1347" s="59"/>
      <c r="CP1347" s="59"/>
      <c r="CQ1347" s="59"/>
      <c r="CR1347" s="59"/>
      <c r="CS1347" s="59"/>
      <c r="CT1347" s="59"/>
      <c r="CU1347" s="59"/>
      <c r="CV1347" s="59"/>
      <c r="CW1347" s="59"/>
      <c r="CX1347" s="59"/>
      <c r="CY1347" s="59"/>
      <c r="CZ1347" s="59"/>
      <c r="DA1347" s="59"/>
      <c r="DB1347" s="59"/>
      <c r="DC1347" s="59"/>
      <c r="DD1347" s="59"/>
      <c r="DE1347" s="59"/>
      <c r="DF1347" s="59"/>
      <c r="DG1347" s="59"/>
      <c r="DH1347" s="59"/>
      <c r="DI1347" s="59"/>
      <c r="DJ1347" s="59"/>
      <c r="DK1347" s="59"/>
      <c r="DL1347" s="59"/>
      <c r="DM1347" s="59"/>
      <c r="DN1347" s="59"/>
      <c r="DO1347" s="59"/>
      <c r="DP1347" s="59"/>
      <c r="DQ1347" s="59"/>
      <c r="DR1347" s="59"/>
      <c r="DS1347" s="59"/>
      <c r="DT1347" s="59"/>
      <c r="DU1347" s="59"/>
      <c r="DV1347" s="59"/>
      <c r="DW1347" s="59"/>
      <c r="DX1347" s="59"/>
      <c r="DY1347" s="59"/>
      <c r="DZ1347" s="59"/>
      <c r="EA1347" s="59"/>
      <c r="EB1347" s="59"/>
      <c r="EC1347" s="59"/>
      <c r="ED1347" s="59"/>
      <c r="EE1347" s="59"/>
      <c r="EF1347" s="59"/>
      <c r="EG1347" s="59"/>
      <c r="EH1347" s="59"/>
      <c r="EI1347" s="59"/>
      <c r="EJ1347" s="59"/>
      <c r="EK1347" s="59"/>
      <c r="EL1347" s="59"/>
      <c r="EM1347" s="59"/>
      <c r="EN1347" s="59"/>
      <c r="EO1347" s="59"/>
      <c r="EP1347" s="59"/>
      <c r="EQ1347" s="59"/>
      <c r="ER1347" s="59"/>
      <c r="ES1347" s="59"/>
      <c r="ET1347" s="59"/>
      <c r="EU1347" s="59"/>
      <c r="EV1347" s="59"/>
      <c r="EW1347" s="59"/>
      <c r="EX1347" s="59"/>
      <c r="EY1347" s="59"/>
      <c r="EZ1347" s="59"/>
      <c r="FA1347" s="59"/>
      <c r="FB1347" s="59"/>
      <c r="FC1347" s="59"/>
      <c r="FD1347" s="59"/>
      <c r="FE1347" s="59"/>
      <c r="FF1347" s="59"/>
      <c r="FG1347" s="59"/>
      <c r="FH1347" s="59"/>
      <c r="FI1347" s="59"/>
      <c r="FJ1347" s="59"/>
      <c r="FK1347" s="59"/>
      <c r="FL1347" s="59"/>
      <c r="FM1347" s="59"/>
      <c r="FN1347" s="59"/>
      <c r="FO1347" s="59"/>
      <c r="FP1347" s="59"/>
      <c r="FQ1347" s="59"/>
      <c r="FR1347" s="59"/>
      <c r="FS1347" s="59"/>
      <c r="FT1347" s="59"/>
      <c r="FU1347" s="59"/>
      <c r="FV1347" s="59"/>
      <c r="FW1347" s="59"/>
      <c r="FX1347" s="59"/>
      <c r="FY1347" s="59"/>
      <c r="FZ1347" s="59"/>
      <c r="GA1347" s="59"/>
      <c r="GB1347" s="59"/>
      <c r="GC1347" s="59"/>
    </row>
    <row r="1348">
      <c r="A1348" s="59"/>
      <c r="B1348" s="59"/>
      <c r="C1348" s="59"/>
      <c r="D1348" s="59"/>
      <c r="E1348" s="59"/>
      <c r="F1348" s="59"/>
      <c r="G1348" s="59"/>
      <c r="H1348" s="59"/>
      <c r="I1348" s="59"/>
      <c r="J1348" s="59"/>
      <c r="K1348" s="59"/>
      <c r="L1348" s="59"/>
      <c r="M1348" s="59"/>
      <c r="N1348" s="59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59"/>
      <c r="AU1348" s="59"/>
      <c r="AV1348" s="59"/>
      <c r="AW1348" s="59"/>
      <c r="AX1348" s="59"/>
      <c r="AY1348" s="59"/>
      <c r="AZ1348" s="59"/>
      <c r="BA1348" s="59"/>
      <c r="BB1348" s="59"/>
      <c r="BC1348" s="59"/>
      <c r="BD1348" s="59"/>
      <c r="BE1348" s="59"/>
      <c r="BF1348" s="59"/>
      <c r="BG1348" s="59"/>
      <c r="BH1348" s="59"/>
      <c r="BI1348" s="59"/>
      <c r="BJ1348" s="59"/>
      <c r="BK1348" s="59"/>
      <c r="BL1348" s="59"/>
      <c r="BM1348" s="59"/>
      <c r="BN1348" s="59"/>
      <c r="BO1348" s="59"/>
      <c r="BP1348" s="59"/>
      <c r="BQ1348" s="59"/>
      <c r="BR1348" s="59"/>
      <c r="BS1348" s="59"/>
      <c r="BT1348" s="59"/>
      <c r="BU1348" s="59"/>
      <c r="BV1348" s="59"/>
      <c r="BW1348" s="59"/>
      <c r="BX1348" s="59"/>
      <c r="BY1348" s="59"/>
      <c r="BZ1348" s="59"/>
      <c r="CA1348" s="59"/>
      <c r="CB1348" s="59"/>
      <c r="CC1348" s="59"/>
      <c r="CD1348" s="59"/>
      <c r="CE1348" s="59"/>
      <c r="CF1348" s="59"/>
      <c r="CG1348" s="59"/>
      <c r="CH1348" s="59"/>
      <c r="CI1348" s="59"/>
      <c r="CJ1348" s="59"/>
      <c r="CK1348" s="59"/>
      <c r="CL1348" s="59"/>
      <c r="CM1348" s="59"/>
      <c r="CN1348" s="59"/>
      <c r="CO1348" s="59"/>
      <c r="CP1348" s="59"/>
      <c r="CQ1348" s="59"/>
      <c r="CR1348" s="59"/>
      <c r="CS1348" s="59"/>
      <c r="CT1348" s="59"/>
      <c r="CU1348" s="59"/>
      <c r="CV1348" s="59"/>
      <c r="CW1348" s="59"/>
      <c r="CX1348" s="59"/>
      <c r="CY1348" s="59"/>
      <c r="CZ1348" s="59"/>
      <c r="DA1348" s="59"/>
      <c r="DB1348" s="59"/>
      <c r="DC1348" s="59"/>
      <c r="DD1348" s="59"/>
      <c r="DE1348" s="59"/>
      <c r="DF1348" s="59"/>
      <c r="DG1348" s="59"/>
      <c r="DH1348" s="59"/>
      <c r="DI1348" s="59"/>
      <c r="DJ1348" s="59"/>
      <c r="DK1348" s="59"/>
      <c r="DL1348" s="59"/>
      <c r="DM1348" s="59"/>
      <c r="DN1348" s="59"/>
      <c r="DO1348" s="59"/>
      <c r="DP1348" s="59"/>
      <c r="DQ1348" s="59"/>
      <c r="DR1348" s="59"/>
      <c r="DS1348" s="59"/>
      <c r="DT1348" s="59"/>
      <c r="DU1348" s="59"/>
      <c r="DV1348" s="59"/>
      <c r="DW1348" s="59"/>
      <c r="DX1348" s="59"/>
      <c r="DY1348" s="59"/>
      <c r="DZ1348" s="59"/>
      <c r="EA1348" s="59"/>
      <c r="EB1348" s="59"/>
      <c r="EC1348" s="59"/>
      <c r="ED1348" s="59"/>
      <c r="EE1348" s="59"/>
      <c r="EF1348" s="59"/>
      <c r="EG1348" s="59"/>
      <c r="EH1348" s="59"/>
      <c r="EI1348" s="59"/>
      <c r="EJ1348" s="59"/>
      <c r="EK1348" s="59"/>
      <c r="EL1348" s="59"/>
      <c r="EM1348" s="59"/>
      <c r="EN1348" s="59"/>
      <c r="EO1348" s="59"/>
      <c r="EP1348" s="59"/>
      <c r="EQ1348" s="59"/>
      <c r="ER1348" s="59"/>
      <c r="ES1348" s="59"/>
      <c r="ET1348" s="59"/>
      <c r="EU1348" s="59"/>
      <c r="EV1348" s="59"/>
      <c r="EW1348" s="59"/>
      <c r="EX1348" s="59"/>
      <c r="EY1348" s="59"/>
      <c r="EZ1348" s="59"/>
      <c r="FA1348" s="59"/>
      <c r="FB1348" s="59"/>
      <c r="FC1348" s="59"/>
      <c r="FD1348" s="59"/>
      <c r="FE1348" s="59"/>
      <c r="FF1348" s="59"/>
      <c r="FG1348" s="59"/>
      <c r="FH1348" s="59"/>
      <c r="FI1348" s="59"/>
      <c r="FJ1348" s="59"/>
      <c r="FK1348" s="59"/>
      <c r="FL1348" s="59"/>
      <c r="FM1348" s="59"/>
      <c r="FN1348" s="59"/>
      <c r="FO1348" s="59"/>
      <c r="FP1348" s="59"/>
      <c r="FQ1348" s="59"/>
      <c r="FR1348" s="59"/>
      <c r="FS1348" s="59"/>
      <c r="FT1348" s="59"/>
      <c r="FU1348" s="59"/>
      <c r="FV1348" s="59"/>
      <c r="FW1348" s="59"/>
      <c r="FX1348" s="59"/>
      <c r="FY1348" s="59"/>
      <c r="FZ1348" s="59"/>
      <c r="GA1348" s="59"/>
      <c r="GB1348" s="59"/>
      <c r="GC1348" s="59"/>
    </row>
    <row r="1349">
      <c r="A1349" s="59"/>
      <c r="B1349" s="59"/>
      <c r="C1349" s="59"/>
      <c r="D1349" s="59"/>
      <c r="E1349" s="59"/>
      <c r="F1349" s="59"/>
      <c r="G1349" s="59"/>
      <c r="H1349" s="59"/>
      <c r="I1349" s="59"/>
      <c r="J1349" s="59"/>
      <c r="K1349" s="59"/>
      <c r="L1349" s="59"/>
      <c r="M1349" s="59"/>
      <c r="N1349" s="59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  <c r="AD1349" s="59"/>
      <c r="AE1349" s="59"/>
      <c r="AF1349" s="59"/>
      <c r="AG1349" s="59"/>
      <c r="AH1349" s="59"/>
      <c r="AI1349" s="59"/>
      <c r="AJ1349" s="59"/>
      <c r="AK1349" s="59"/>
      <c r="AL1349" s="59"/>
      <c r="AM1349" s="59"/>
      <c r="AN1349" s="59"/>
      <c r="AO1349" s="59"/>
      <c r="AP1349" s="59"/>
      <c r="AQ1349" s="59"/>
      <c r="AR1349" s="59"/>
      <c r="AS1349" s="59"/>
      <c r="AT1349" s="59"/>
      <c r="AU1349" s="59"/>
      <c r="AV1349" s="59"/>
      <c r="AW1349" s="59"/>
      <c r="AX1349" s="59"/>
      <c r="AY1349" s="59"/>
      <c r="AZ1349" s="59"/>
      <c r="BA1349" s="59"/>
      <c r="BB1349" s="59"/>
      <c r="BC1349" s="59"/>
      <c r="BD1349" s="59"/>
      <c r="BE1349" s="59"/>
      <c r="BF1349" s="59"/>
      <c r="BG1349" s="59"/>
      <c r="BH1349" s="59"/>
      <c r="BI1349" s="59"/>
      <c r="BJ1349" s="59"/>
      <c r="BK1349" s="59"/>
      <c r="BL1349" s="59"/>
      <c r="BM1349" s="59"/>
      <c r="BN1349" s="59"/>
      <c r="BO1349" s="59"/>
      <c r="BP1349" s="59"/>
      <c r="BQ1349" s="59"/>
      <c r="BR1349" s="59"/>
      <c r="BS1349" s="59"/>
      <c r="BT1349" s="59"/>
      <c r="BU1349" s="59"/>
      <c r="BV1349" s="59"/>
      <c r="BW1349" s="59"/>
      <c r="BX1349" s="59"/>
      <c r="BY1349" s="59"/>
      <c r="BZ1349" s="59"/>
      <c r="CA1349" s="59"/>
      <c r="CB1349" s="59"/>
      <c r="CC1349" s="59"/>
      <c r="CD1349" s="59"/>
      <c r="CE1349" s="59"/>
      <c r="CF1349" s="59"/>
      <c r="CG1349" s="59"/>
      <c r="CH1349" s="59"/>
      <c r="CI1349" s="59"/>
      <c r="CJ1349" s="59"/>
      <c r="CK1349" s="59"/>
      <c r="CL1349" s="59"/>
      <c r="CM1349" s="59"/>
      <c r="CN1349" s="59"/>
      <c r="CO1349" s="59"/>
      <c r="CP1349" s="59"/>
      <c r="CQ1349" s="59"/>
      <c r="CR1349" s="59"/>
      <c r="CS1349" s="59"/>
      <c r="CT1349" s="59"/>
      <c r="CU1349" s="59"/>
      <c r="CV1349" s="59"/>
      <c r="CW1349" s="59"/>
      <c r="CX1349" s="59"/>
      <c r="CY1349" s="59"/>
      <c r="CZ1349" s="59"/>
      <c r="DA1349" s="59"/>
      <c r="DB1349" s="59"/>
      <c r="DC1349" s="59"/>
      <c r="DD1349" s="59"/>
      <c r="DE1349" s="59"/>
      <c r="DF1349" s="59"/>
      <c r="DG1349" s="59"/>
      <c r="DH1349" s="59"/>
      <c r="DI1349" s="59"/>
      <c r="DJ1349" s="59"/>
      <c r="DK1349" s="59"/>
      <c r="DL1349" s="59"/>
      <c r="DM1349" s="59"/>
      <c r="DN1349" s="59"/>
      <c r="DO1349" s="59"/>
      <c r="DP1349" s="59"/>
      <c r="DQ1349" s="59"/>
      <c r="DR1349" s="59"/>
      <c r="DS1349" s="59"/>
      <c r="DT1349" s="59"/>
      <c r="DU1349" s="59"/>
      <c r="DV1349" s="59"/>
      <c r="DW1349" s="59"/>
      <c r="DX1349" s="59"/>
      <c r="DY1349" s="59"/>
      <c r="DZ1349" s="59"/>
      <c r="EA1349" s="59"/>
      <c r="EB1349" s="59"/>
      <c r="EC1349" s="59"/>
      <c r="ED1349" s="59"/>
      <c r="EE1349" s="59"/>
      <c r="EF1349" s="59"/>
      <c r="EG1349" s="59"/>
      <c r="EH1349" s="59"/>
      <c r="EI1349" s="59"/>
      <c r="EJ1349" s="59"/>
      <c r="EK1349" s="59"/>
      <c r="EL1349" s="59"/>
      <c r="EM1349" s="59"/>
      <c r="EN1349" s="59"/>
      <c r="EO1349" s="59"/>
      <c r="EP1349" s="59"/>
      <c r="EQ1349" s="59"/>
      <c r="ER1349" s="59"/>
      <c r="ES1349" s="59"/>
      <c r="ET1349" s="59"/>
      <c r="EU1349" s="59"/>
      <c r="EV1349" s="59"/>
      <c r="EW1349" s="59"/>
      <c r="EX1349" s="59"/>
      <c r="EY1349" s="59"/>
      <c r="EZ1349" s="59"/>
      <c r="FA1349" s="59"/>
      <c r="FB1349" s="59"/>
      <c r="FC1349" s="59"/>
      <c r="FD1349" s="59"/>
      <c r="FE1349" s="59"/>
      <c r="FF1349" s="59"/>
      <c r="FG1349" s="59"/>
      <c r="FH1349" s="59"/>
      <c r="FI1349" s="59"/>
      <c r="FJ1349" s="59"/>
      <c r="FK1349" s="59"/>
      <c r="FL1349" s="59"/>
      <c r="FM1349" s="59"/>
      <c r="FN1349" s="59"/>
      <c r="FO1349" s="59"/>
      <c r="FP1349" s="59"/>
      <c r="FQ1349" s="59"/>
      <c r="FR1349" s="59"/>
      <c r="FS1349" s="59"/>
      <c r="FT1349" s="59"/>
      <c r="FU1349" s="59"/>
      <c r="FV1349" s="59"/>
      <c r="FW1349" s="59"/>
      <c r="FX1349" s="59"/>
      <c r="FY1349" s="59"/>
      <c r="FZ1349" s="59"/>
      <c r="GA1349" s="59"/>
      <c r="GB1349" s="59"/>
      <c r="GC1349" s="59"/>
    </row>
    <row r="1350">
      <c r="A1350" s="59"/>
      <c r="B1350" s="59"/>
      <c r="C1350" s="59"/>
      <c r="D1350" s="59"/>
      <c r="E1350" s="59"/>
      <c r="F1350" s="59"/>
      <c r="G1350" s="59"/>
      <c r="H1350" s="59"/>
      <c r="I1350" s="59"/>
      <c r="J1350" s="59"/>
      <c r="K1350" s="59"/>
      <c r="L1350" s="59"/>
      <c r="M1350" s="59"/>
      <c r="N1350" s="59"/>
      <c r="O1350" s="59"/>
      <c r="P1350" s="59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59"/>
      <c r="AU1350" s="59"/>
      <c r="AV1350" s="59"/>
      <c r="AW1350" s="59"/>
      <c r="AX1350" s="59"/>
      <c r="AY1350" s="59"/>
      <c r="AZ1350" s="59"/>
      <c r="BA1350" s="59"/>
      <c r="BB1350" s="59"/>
      <c r="BC1350" s="59"/>
      <c r="BD1350" s="59"/>
      <c r="BE1350" s="59"/>
      <c r="BF1350" s="59"/>
      <c r="BG1350" s="59"/>
      <c r="BH1350" s="59"/>
      <c r="BI1350" s="59"/>
      <c r="BJ1350" s="59"/>
      <c r="BK1350" s="59"/>
      <c r="BL1350" s="59"/>
      <c r="BM1350" s="59"/>
      <c r="BN1350" s="59"/>
      <c r="BO1350" s="59"/>
      <c r="BP1350" s="59"/>
      <c r="BQ1350" s="59"/>
      <c r="BR1350" s="59"/>
      <c r="BS1350" s="59"/>
      <c r="BT1350" s="59"/>
      <c r="BU1350" s="59"/>
      <c r="BV1350" s="59"/>
      <c r="BW1350" s="59"/>
      <c r="BX1350" s="59"/>
      <c r="BY1350" s="59"/>
      <c r="BZ1350" s="59"/>
      <c r="CA1350" s="59"/>
      <c r="CB1350" s="59"/>
      <c r="CC1350" s="59"/>
      <c r="CD1350" s="59"/>
      <c r="CE1350" s="59"/>
      <c r="CF1350" s="59"/>
      <c r="CG1350" s="59"/>
      <c r="CH1350" s="59"/>
      <c r="CI1350" s="59"/>
      <c r="CJ1350" s="59"/>
      <c r="CK1350" s="59"/>
      <c r="CL1350" s="59"/>
      <c r="CM1350" s="59"/>
      <c r="CN1350" s="59"/>
      <c r="CO1350" s="59"/>
      <c r="CP1350" s="59"/>
      <c r="CQ1350" s="59"/>
      <c r="CR1350" s="59"/>
      <c r="CS1350" s="59"/>
      <c r="CT1350" s="59"/>
      <c r="CU1350" s="59"/>
      <c r="CV1350" s="59"/>
      <c r="CW1350" s="59"/>
      <c r="CX1350" s="59"/>
      <c r="CY1350" s="59"/>
      <c r="CZ1350" s="59"/>
      <c r="DA1350" s="59"/>
      <c r="DB1350" s="59"/>
      <c r="DC1350" s="59"/>
      <c r="DD1350" s="59"/>
      <c r="DE1350" s="59"/>
      <c r="DF1350" s="59"/>
      <c r="DG1350" s="59"/>
      <c r="DH1350" s="59"/>
      <c r="DI1350" s="59"/>
      <c r="DJ1350" s="59"/>
      <c r="DK1350" s="59"/>
      <c r="DL1350" s="59"/>
      <c r="DM1350" s="59"/>
      <c r="DN1350" s="59"/>
      <c r="DO1350" s="59"/>
      <c r="DP1350" s="59"/>
      <c r="DQ1350" s="59"/>
      <c r="DR1350" s="59"/>
      <c r="DS1350" s="59"/>
      <c r="DT1350" s="59"/>
      <c r="DU1350" s="59"/>
      <c r="DV1350" s="59"/>
      <c r="DW1350" s="59"/>
      <c r="DX1350" s="59"/>
      <c r="DY1350" s="59"/>
      <c r="DZ1350" s="59"/>
      <c r="EA1350" s="59"/>
      <c r="EB1350" s="59"/>
      <c r="EC1350" s="59"/>
      <c r="ED1350" s="59"/>
      <c r="EE1350" s="59"/>
      <c r="EF1350" s="59"/>
      <c r="EG1350" s="59"/>
      <c r="EH1350" s="59"/>
      <c r="EI1350" s="59"/>
      <c r="EJ1350" s="59"/>
      <c r="EK1350" s="59"/>
      <c r="EL1350" s="59"/>
      <c r="EM1350" s="59"/>
      <c r="EN1350" s="59"/>
      <c r="EO1350" s="59"/>
      <c r="EP1350" s="59"/>
      <c r="EQ1350" s="59"/>
      <c r="ER1350" s="59"/>
      <c r="ES1350" s="59"/>
      <c r="ET1350" s="59"/>
      <c r="EU1350" s="59"/>
      <c r="EV1350" s="59"/>
      <c r="EW1350" s="59"/>
      <c r="EX1350" s="59"/>
      <c r="EY1350" s="59"/>
      <c r="EZ1350" s="59"/>
      <c r="FA1350" s="59"/>
      <c r="FB1350" s="59"/>
      <c r="FC1350" s="59"/>
      <c r="FD1350" s="59"/>
      <c r="FE1350" s="59"/>
      <c r="FF1350" s="59"/>
      <c r="FG1350" s="59"/>
      <c r="FH1350" s="59"/>
      <c r="FI1350" s="59"/>
      <c r="FJ1350" s="59"/>
      <c r="FK1350" s="59"/>
      <c r="FL1350" s="59"/>
      <c r="FM1350" s="59"/>
      <c r="FN1350" s="59"/>
      <c r="FO1350" s="59"/>
      <c r="FP1350" s="59"/>
      <c r="FQ1350" s="59"/>
      <c r="FR1350" s="59"/>
      <c r="FS1350" s="59"/>
      <c r="FT1350" s="59"/>
      <c r="FU1350" s="59"/>
      <c r="FV1350" s="59"/>
      <c r="FW1350" s="59"/>
      <c r="FX1350" s="59"/>
      <c r="FY1350" s="59"/>
      <c r="FZ1350" s="59"/>
      <c r="GA1350" s="59"/>
      <c r="GB1350" s="59"/>
      <c r="GC1350" s="59"/>
    </row>
    <row r="1351">
      <c r="A1351" s="59"/>
      <c r="B1351" s="59"/>
      <c r="C1351" s="59"/>
      <c r="D1351" s="59"/>
      <c r="E1351" s="59"/>
      <c r="F1351" s="59"/>
      <c r="G1351" s="59"/>
      <c r="H1351" s="59"/>
      <c r="I1351" s="59"/>
      <c r="J1351" s="59"/>
      <c r="K1351" s="59"/>
      <c r="L1351" s="59"/>
      <c r="M1351" s="59"/>
      <c r="N1351" s="59"/>
      <c r="O1351" s="59"/>
      <c r="P1351" s="59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  <c r="AD1351" s="59"/>
      <c r="AE1351" s="59"/>
      <c r="AF1351" s="59"/>
      <c r="AG1351" s="59"/>
      <c r="AH1351" s="59"/>
      <c r="AI1351" s="59"/>
      <c r="AJ1351" s="59"/>
      <c r="AK1351" s="59"/>
      <c r="AL1351" s="59"/>
      <c r="AM1351" s="59"/>
      <c r="AN1351" s="59"/>
      <c r="AO1351" s="59"/>
      <c r="AP1351" s="59"/>
      <c r="AQ1351" s="59"/>
      <c r="AR1351" s="59"/>
      <c r="AS1351" s="59"/>
      <c r="AT1351" s="59"/>
      <c r="AU1351" s="59"/>
      <c r="AV1351" s="59"/>
      <c r="AW1351" s="59"/>
      <c r="AX1351" s="59"/>
      <c r="AY1351" s="59"/>
      <c r="AZ1351" s="59"/>
      <c r="BA1351" s="59"/>
      <c r="BB1351" s="59"/>
      <c r="BC1351" s="59"/>
      <c r="BD1351" s="59"/>
      <c r="BE1351" s="59"/>
      <c r="BF1351" s="59"/>
      <c r="BG1351" s="59"/>
      <c r="BH1351" s="59"/>
      <c r="BI1351" s="59"/>
      <c r="BJ1351" s="59"/>
      <c r="BK1351" s="59"/>
      <c r="BL1351" s="59"/>
      <c r="BM1351" s="59"/>
      <c r="BN1351" s="59"/>
      <c r="BO1351" s="59"/>
      <c r="BP1351" s="59"/>
      <c r="BQ1351" s="59"/>
      <c r="BR1351" s="59"/>
      <c r="BS1351" s="59"/>
      <c r="BT1351" s="59"/>
      <c r="BU1351" s="59"/>
      <c r="BV1351" s="59"/>
      <c r="BW1351" s="59"/>
      <c r="BX1351" s="59"/>
      <c r="BY1351" s="59"/>
      <c r="BZ1351" s="59"/>
      <c r="CA1351" s="59"/>
      <c r="CB1351" s="59"/>
      <c r="CC1351" s="59"/>
      <c r="CD1351" s="59"/>
      <c r="CE1351" s="59"/>
      <c r="CF1351" s="59"/>
      <c r="CG1351" s="59"/>
      <c r="CH1351" s="59"/>
      <c r="CI1351" s="59"/>
      <c r="CJ1351" s="59"/>
      <c r="CK1351" s="59"/>
      <c r="CL1351" s="59"/>
      <c r="CM1351" s="59"/>
      <c r="CN1351" s="59"/>
      <c r="CO1351" s="59"/>
      <c r="CP1351" s="59"/>
      <c r="CQ1351" s="59"/>
      <c r="CR1351" s="59"/>
      <c r="CS1351" s="59"/>
      <c r="CT1351" s="59"/>
      <c r="CU1351" s="59"/>
      <c r="CV1351" s="59"/>
      <c r="CW1351" s="59"/>
      <c r="CX1351" s="59"/>
      <c r="CY1351" s="59"/>
      <c r="CZ1351" s="59"/>
      <c r="DA1351" s="59"/>
      <c r="DB1351" s="59"/>
      <c r="DC1351" s="59"/>
      <c r="DD1351" s="59"/>
      <c r="DE1351" s="59"/>
      <c r="DF1351" s="59"/>
      <c r="DG1351" s="59"/>
      <c r="DH1351" s="59"/>
      <c r="DI1351" s="59"/>
      <c r="DJ1351" s="59"/>
      <c r="DK1351" s="59"/>
      <c r="DL1351" s="59"/>
      <c r="DM1351" s="59"/>
      <c r="DN1351" s="59"/>
      <c r="DO1351" s="59"/>
      <c r="DP1351" s="59"/>
      <c r="DQ1351" s="59"/>
      <c r="DR1351" s="59"/>
      <c r="DS1351" s="59"/>
      <c r="DT1351" s="59"/>
      <c r="DU1351" s="59"/>
      <c r="DV1351" s="59"/>
      <c r="DW1351" s="59"/>
      <c r="DX1351" s="59"/>
      <c r="DY1351" s="59"/>
      <c r="DZ1351" s="59"/>
      <c r="EA1351" s="59"/>
      <c r="EB1351" s="59"/>
      <c r="EC1351" s="59"/>
      <c r="ED1351" s="59"/>
      <c r="EE1351" s="59"/>
      <c r="EF1351" s="59"/>
      <c r="EG1351" s="59"/>
      <c r="EH1351" s="59"/>
      <c r="EI1351" s="59"/>
      <c r="EJ1351" s="59"/>
      <c r="EK1351" s="59"/>
      <c r="EL1351" s="59"/>
      <c r="EM1351" s="59"/>
      <c r="EN1351" s="59"/>
      <c r="EO1351" s="59"/>
      <c r="EP1351" s="59"/>
      <c r="EQ1351" s="59"/>
      <c r="ER1351" s="59"/>
      <c r="ES1351" s="59"/>
      <c r="ET1351" s="59"/>
      <c r="EU1351" s="59"/>
      <c r="EV1351" s="59"/>
      <c r="EW1351" s="59"/>
      <c r="EX1351" s="59"/>
      <c r="EY1351" s="59"/>
      <c r="EZ1351" s="59"/>
      <c r="FA1351" s="59"/>
      <c r="FB1351" s="59"/>
      <c r="FC1351" s="59"/>
      <c r="FD1351" s="59"/>
      <c r="FE1351" s="59"/>
      <c r="FF1351" s="59"/>
      <c r="FG1351" s="59"/>
      <c r="FH1351" s="59"/>
      <c r="FI1351" s="59"/>
      <c r="FJ1351" s="59"/>
      <c r="FK1351" s="59"/>
      <c r="FL1351" s="59"/>
      <c r="FM1351" s="59"/>
      <c r="FN1351" s="59"/>
      <c r="FO1351" s="59"/>
      <c r="FP1351" s="59"/>
      <c r="FQ1351" s="59"/>
      <c r="FR1351" s="59"/>
      <c r="FS1351" s="59"/>
      <c r="FT1351" s="59"/>
      <c r="FU1351" s="59"/>
      <c r="FV1351" s="59"/>
      <c r="FW1351" s="59"/>
      <c r="FX1351" s="59"/>
      <c r="FY1351" s="59"/>
      <c r="FZ1351" s="59"/>
      <c r="GA1351" s="59"/>
      <c r="GB1351" s="59"/>
      <c r="GC1351" s="59"/>
    </row>
    <row r="1352">
      <c r="A1352" s="59"/>
      <c r="B1352" s="59"/>
      <c r="C1352" s="59"/>
      <c r="D1352" s="59"/>
      <c r="E1352" s="59"/>
      <c r="F1352" s="59"/>
      <c r="G1352" s="59"/>
      <c r="H1352" s="59"/>
      <c r="I1352" s="59"/>
      <c r="J1352" s="59"/>
      <c r="K1352" s="59"/>
      <c r="L1352" s="59"/>
      <c r="M1352" s="59"/>
      <c r="N1352" s="59"/>
      <c r="O1352" s="59"/>
      <c r="P1352" s="59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59"/>
      <c r="AU1352" s="59"/>
      <c r="AV1352" s="59"/>
      <c r="AW1352" s="59"/>
      <c r="AX1352" s="59"/>
      <c r="AY1352" s="59"/>
      <c r="AZ1352" s="59"/>
      <c r="BA1352" s="59"/>
      <c r="BB1352" s="59"/>
      <c r="BC1352" s="59"/>
      <c r="BD1352" s="59"/>
      <c r="BE1352" s="59"/>
      <c r="BF1352" s="59"/>
      <c r="BG1352" s="59"/>
      <c r="BH1352" s="59"/>
      <c r="BI1352" s="59"/>
      <c r="BJ1352" s="59"/>
      <c r="BK1352" s="59"/>
      <c r="BL1352" s="59"/>
      <c r="BM1352" s="59"/>
      <c r="BN1352" s="59"/>
      <c r="BO1352" s="59"/>
      <c r="BP1352" s="59"/>
      <c r="BQ1352" s="59"/>
      <c r="BR1352" s="59"/>
      <c r="BS1352" s="59"/>
      <c r="BT1352" s="59"/>
      <c r="BU1352" s="59"/>
      <c r="BV1352" s="59"/>
      <c r="BW1352" s="59"/>
      <c r="BX1352" s="59"/>
      <c r="BY1352" s="59"/>
      <c r="BZ1352" s="59"/>
      <c r="CA1352" s="59"/>
      <c r="CB1352" s="59"/>
      <c r="CC1352" s="59"/>
      <c r="CD1352" s="59"/>
      <c r="CE1352" s="59"/>
      <c r="CF1352" s="59"/>
      <c r="CG1352" s="59"/>
      <c r="CH1352" s="59"/>
      <c r="CI1352" s="59"/>
      <c r="CJ1352" s="59"/>
      <c r="CK1352" s="59"/>
      <c r="CL1352" s="59"/>
      <c r="CM1352" s="59"/>
      <c r="CN1352" s="59"/>
      <c r="CO1352" s="59"/>
      <c r="CP1352" s="59"/>
      <c r="CQ1352" s="59"/>
      <c r="CR1352" s="59"/>
      <c r="CS1352" s="59"/>
      <c r="CT1352" s="59"/>
      <c r="CU1352" s="59"/>
      <c r="CV1352" s="59"/>
      <c r="CW1352" s="59"/>
      <c r="CX1352" s="59"/>
      <c r="CY1352" s="59"/>
      <c r="CZ1352" s="59"/>
      <c r="DA1352" s="59"/>
      <c r="DB1352" s="59"/>
      <c r="DC1352" s="59"/>
      <c r="DD1352" s="59"/>
      <c r="DE1352" s="59"/>
      <c r="DF1352" s="59"/>
      <c r="DG1352" s="59"/>
      <c r="DH1352" s="59"/>
      <c r="DI1352" s="59"/>
      <c r="DJ1352" s="59"/>
      <c r="DK1352" s="59"/>
      <c r="DL1352" s="59"/>
      <c r="DM1352" s="59"/>
      <c r="DN1352" s="59"/>
      <c r="DO1352" s="59"/>
      <c r="DP1352" s="59"/>
      <c r="DQ1352" s="59"/>
      <c r="DR1352" s="59"/>
      <c r="DS1352" s="59"/>
      <c r="DT1352" s="59"/>
      <c r="DU1352" s="59"/>
      <c r="DV1352" s="59"/>
      <c r="DW1352" s="59"/>
      <c r="DX1352" s="59"/>
      <c r="DY1352" s="59"/>
      <c r="DZ1352" s="59"/>
      <c r="EA1352" s="59"/>
      <c r="EB1352" s="59"/>
      <c r="EC1352" s="59"/>
      <c r="ED1352" s="59"/>
      <c r="EE1352" s="59"/>
      <c r="EF1352" s="59"/>
      <c r="EG1352" s="59"/>
      <c r="EH1352" s="59"/>
      <c r="EI1352" s="59"/>
      <c r="EJ1352" s="59"/>
      <c r="EK1352" s="59"/>
      <c r="EL1352" s="59"/>
      <c r="EM1352" s="59"/>
      <c r="EN1352" s="59"/>
      <c r="EO1352" s="59"/>
      <c r="EP1352" s="59"/>
      <c r="EQ1352" s="59"/>
      <c r="ER1352" s="59"/>
      <c r="ES1352" s="59"/>
      <c r="ET1352" s="59"/>
      <c r="EU1352" s="59"/>
      <c r="EV1352" s="59"/>
      <c r="EW1352" s="59"/>
      <c r="EX1352" s="59"/>
      <c r="EY1352" s="59"/>
      <c r="EZ1352" s="59"/>
      <c r="FA1352" s="59"/>
      <c r="FB1352" s="59"/>
      <c r="FC1352" s="59"/>
      <c r="FD1352" s="59"/>
      <c r="FE1352" s="59"/>
      <c r="FF1352" s="59"/>
      <c r="FG1352" s="59"/>
      <c r="FH1352" s="59"/>
      <c r="FI1352" s="59"/>
      <c r="FJ1352" s="59"/>
      <c r="FK1352" s="59"/>
      <c r="FL1352" s="59"/>
      <c r="FM1352" s="59"/>
      <c r="FN1352" s="59"/>
      <c r="FO1352" s="59"/>
      <c r="FP1352" s="59"/>
      <c r="FQ1352" s="59"/>
      <c r="FR1352" s="59"/>
      <c r="FS1352" s="59"/>
      <c r="FT1352" s="59"/>
      <c r="FU1352" s="59"/>
      <c r="FV1352" s="59"/>
      <c r="FW1352" s="59"/>
      <c r="FX1352" s="59"/>
      <c r="FY1352" s="59"/>
      <c r="FZ1352" s="59"/>
      <c r="GA1352" s="59"/>
      <c r="GB1352" s="59"/>
      <c r="GC1352" s="59"/>
    </row>
    <row r="1353">
      <c r="A1353" s="59"/>
      <c r="B1353" s="59"/>
      <c r="C1353" s="59"/>
      <c r="D1353" s="59"/>
      <c r="E1353" s="59"/>
      <c r="F1353" s="59"/>
      <c r="G1353" s="59"/>
      <c r="H1353" s="59"/>
      <c r="I1353" s="59"/>
      <c r="J1353" s="59"/>
      <c r="K1353" s="59"/>
      <c r="L1353" s="59"/>
      <c r="M1353" s="59"/>
      <c r="N1353" s="59"/>
      <c r="O1353" s="59"/>
      <c r="P1353" s="59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  <c r="AD1353" s="59"/>
      <c r="AE1353" s="59"/>
      <c r="AF1353" s="59"/>
      <c r="AG1353" s="59"/>
      <c r="AH1353" s="59"/>
      <c r="AI1353" s="59"/>
      <c r="AJ1353" s="59"/>
      <c r="AK1353" s="59"/>
      <c r="AL1353" s="59"/>
      <c r="AM1353" s="59"/>
      <c r="AN1353" s="59"/>
      <c r="AO1353" s="59"/>
      <c r="AP1353" s="59"/>
      <c r="AQ1353" s="59"/>
      <c r="AR1353" s="59"/>
      <c r="AS1353" s="59"/>
      <c r="AT1353" s="59"/>
      <c r="AU1353" s="59"/>
      <c r="AV1353" s="59"/>
      <c r="AW1353" s="59"/>
      <c r="AX1353" s="59"/>
      <c r="AY1353" s="59"/>
      <c r="AZ1353" s="59"/>
      <c r="BA1353" s="59"/>
      <c r="BB1353" s="59"/>
      <c r="BC1353" s="59"/>
      <c r="BD1353" s="59"/>
      <c r="BE1353" s="59"/>
      <c r="BF1353" s="59"/>
      <c r="BG1353" s="59"/>
      <c r="BH1353" s="59"/>
      <c r="BI1353" s="59"/>
      <c r="BJ1353" s="59"/>
      <c r="BK1353" s="59"/>
      <c r="BL1353" s="59"/>
      <c r="BM1353" s="59"/>
      <c r="BN1353" s="59"/>
      <c r="BO1353" s="59"/>
      <c r="BP1353" s="59"/>
      <c r="BQ1353" s="59"/>
      <c r="BR1353" s="59"/>
      <c r="BS1353" s="59"/>
      <c r="BT1353" s="59"/>
      <c r="BU1353" s="59"/>
      <c r="BV1353" s="59"/>
      <c r="BW1353" s="59"/>
      <c r="BX1353" s="59"/>
      <c r="BY1353" s="59"/>
      <c r="BZ1353" s="59"/>
      <c r="CA1353" s="59"/>
      <c r="CB1353" s="59"/>
      <c r="CC1353" s="59"/>
      <c r="CD1353" s="59"/>
      <c r="CE1353" s="59"/>
      <c r="CF1353" s="59"/>
      <c r="CG1353" s="59"/>
      <c r="CH1353" s="59"/>
      <c r="CI1353" s="59"/>
      <c r="CJ1353" s="59"/>
      <c r="CK1353" s="59"/>
      <c r="CL1353" s="59"/>
      <c r="CM1353" s="59"/>
      <c r="CN1353" s="59"/>
      <c r="CO1353" s="59"/>
      <c r="CP1353" s="59"/>
      <c r="CQ1353" s="59"/>
      <c r="CR1353" s="59"/>
      <c r="CS1353" s="59"/>
      <c r="CT1353" s="59"/>
      <c r="CU1353" s="59"/>
      <c r="CV1353" s="59"/>
      <c r="CW1353" s="59"/>
      <c r="CX1353" s="59"/>
      <c r="CY1353" s="59"/>
      <c r="CZ1353" s="59"/>
      <c r="DA1353" s="59"/>
      <c r="DB1353" s="59"/>
      <c r="DC1353" s="59"/>
      <c r="DD1353" s="59"/>
      <c r="DE1353" s="59"/>
      <c r="DF1353" s="59"/>
      <c r="DG1353" s="59"/>
      <c r="DH1353" s="59"/>
      <c r="DI1353" s="59"/>
      <c r="DJ1353" s="59"/>
      <c r="DK1353" s="59"/>
      <c r="DL1353" s="59"/>
      <c r="DM1353" s="59"/>
      <c r="DN1353" s="59"/>
      <c r="DO1353" s="59"/>
      <c r="DP1353" s="59"/>
      <c r="DQ1353" s="59"/>
      <c r="DR1353" s="59"/>
      <c r="DS1353" s="59"/>
      <c r="DT1353" s="59"/>
      <c r="DU1353" s="59"/>
      <c r="DV1353" s="59"/>
      <c r="DW1353" s="59"/>
      <c r="DX1353" s="59"/>
      <c r="DY1353" s="59"/>
      <c r="DZ1353" s="59"/>
      <c r="EA1353" s="59"/>
      <c r="EB1353" s="59"/>
      <c r="EC1353" s="59"/>
      <c r="ED1353" s="59"/>
      <c r="EE1353" s="59"/>
      <c r="EF1353" s="59"/>
      <c r="EG1353" s="59"/>
      <c r="EH1353" s="59"/>
      <c r="EI1353" s="59"/>
      <c r="EJ1353" s="59"/>
      <c r="EK1353" s="59"/>
      <c r="EL1353" s="59"/>
      <c r="EM1353" s="59"/>
      <c r="EN1353" s="59"/>
      <c r="EO1353" s="59"/>
      <c r="EP1353" s="59"/>
      <c r="EQ1353" s="59"/>
      <c r="ER1353" s="59"/>
      <c r="ES1353" s="59"/>
      <c r="ET1353" s="59"/>
      <c r="EU1353" s="59"/>
      <c r="EV1353" s="59"/>
      <c r="EW1353" s="59"/>
      <c r="EX1353" s="59"/>
      <c r="EY1353" s="59"/>
      <c r="EZ1353" s="59"/>
      <c r="FA1353" s="59"/>
      <c r="FB1353" s="59"/>
      <c r="FC1353" s="59"/>
      <c r="FD1353" s="59"/>
      <c r="FE1353" s="59"/>
      <c r="FF1353" s="59"/>
      <c r="FG1353" s="59"/>
      <c r="FH1353" s="59"/>
      <c r="FI1353" s="59"/>
      <c r="FJ1353" s="59"/>
      <c r="FK1353" s="59"/>
      <c r="FL1353" s="59"/>
      <c r="FM1353" s="59"/>
      <c r="FN1353" s="59"/>
      <c r="FO1353" s="59"/>
      <c r="FP1353" s="59"/>
      <c r="FQ1353" s="59"/>
      <c r="FR1353" s="59"/>
      <c r="FS1353" s="59"/>
      <c r="FT1353" s="59"/>
      <c r="FU1353" s="59"/>
      <c r="FV1353" s="59"/>
      <c r="FW1353" s="59"/>
      <c r="FX1353" s="59"/>
      <c r="FY1353" s="59"/>
      <c r="FZ1353" s="59"/>
      <c r="GA1353" s="59"/>
      <c r="GB1353" s="59"/>
      <c r="GC1353" s="59"/>
    </row>
    <row r="1354">
      <c r="A1354" s="59"/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59"/>
      <c r="N1354" s="59"/>
      <c r="O1354" s="59"/>
      <c r="P1354" s="59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59"/>
      <c r="AU1354" s="59"/>
      <c r="AV1354" s="59"/>
      <c r="AW1354" s="59"/>
      <c r="AX1354" s="59"/>
      <c r="AY1354" s="59"/>
      <c r="AZ1354" s="59"/>
      <c r="BA1354" s="59"/>
      <c r="BB1354" s="59"/>
      <c r="BC1354" s="59"/>
      <c r="BD1354" s="59"/>
      <c r="BE1354" s="59"/>
      <c r="BF1354" s="59"/>
      <c r="BG1354" s="59"/>
      <c r="BH1354" s="59"/>
      <c r="BI1354" s="59"/>
      <c r="BJ1354" s="59"/>
      <c r="BK1354" s="59"/>
      <c r="BL1354" s="59"/>
      <c r="BM1354" s="59"/>
      <c r="BN1354" s="59"/>
      <c r="BO1354" s="59"/>
      <c r="BP1354" s="59"/>
      <c r="BQ1354" s="59"/>
      <c r="BR1354" s="59"/>
      <c r="BS1354" s="59"/>
      <c r="BT1354" s="59"/>
      <c r="BU1354" s="59"/>
      <c r="BV1354" s="59"/>
      <c r="BW1354" s="59"/>
      <c r="BX1354" s="59"/>
      <c r="BY1354" s="59"/>
      <c r="BZ1354" s="59"/>
      <c r="CA1354" s="59"/>
      <c r="CB1354" s="59"/>
      <c r="CC1354" s="59"/>
      <c r="CD1354" s="59"/>
      <c r="CE1354" s="59"/>
      <c r="CF1354" s="59"/>
      <c r="CG1354" s="59"/>
      <c r="CH1354" s="59"/>
      <c r="CI1354" s="59"/>
      <c r="CJ1354" s="59"/>
      <c r="CK1354" s="59"/>
      <c r="CL1354" s="59"/>
      <c r="CM1354" s="59"/>
      <c r="CN1354" s="59"/>
      <c r="CO1354" s="59"/>
      <c r="CP1354" s="59"/>
      <c r="CQ1354" s="59"/>
      <c r="CR1354" s="59"/>
      <c r="CS1354" s="59"/>
      <c r="CT1354" s="59"/>
      <c r="CU1354" s="59"/>
      <c r="CV1354" s="59"/>
      <c r="CW1354" s="59"/>
      <c r="CX1354" s="59"/>
      <c r="CY1354" s="59"/>
      <c r="CZ1354" s="59"/>
      <c r="DA1354" s="59"/>
      <c r="DB1354" s="59"/>
      <c r="DC1354" s="59"/>
      <c r="DD1354" s="59"/>
      <c r="DE1354" s="59"/>
      <c r="DF1354" s="59"/>
      <c r="DG1354" s="59"/>
      <c r="DH1354" s="59"/>
      <c r="DI1354" s="59"/>
      <c r="DJ1354" s="59"/>
      <c r="DK1354" s="59"/>
      <c r="DL1354" s="59"/>
      <c r="DM1354" s="59"/>
      <c r="DN1354" s="59"/>
      <c r="DO1354" s="59"/>
      <c r="DP1354" s="59"/>
      <c r="DQ1354" s="59"/>
      <c r="DR1354" s="59"/>
      <c r="DS1354" s="59"/>
      <c r="DT1354" s="59"/>
      <c r="DU1354" s="59"/>
      <c r="DV1354" s="59"/>
      <c r="DW1354" s="59"/>
      <c r="DX1354" s="59"/>
      <c r="DY1354" s="59"/>
      <c r="DZ1354" s="59"/>
      <c r="EA1354" s="59"/>
      <c r="EB1354" s="59"/>
      <c r="EC1354" s="59"/>
      <c r="ED1354" s="59"/>
      <c r="EE1354" s="59"/>
      <c r="EF1354" s="59"/>
      <c r="EG1354" s="59"/>
      <c r="EH1354" s="59"/>
      <c r="EI1354" s="59"/>
      <c r="EJ1354" s="59"/>
      <c r="EK1354" s="59"/>
      <c r="EL1354" s="59"/>
      <c r="EM1354" s="59"/>
      <c r="EN1354" s="59"/>
      <c r="EO1354" s="59"/>
      <c r="EP1354" s="59"/>
      <c r="EQ1354" s="59"/>
      <c r="ER1354" s="59"/>
      <c r="ES1354" s="59"/>
      <c r="ET1354" s="59"/>
      <c r="EU1354" s="59"/>
      <c r="EV1354" s="59"/>
      <c r="EW1354" s="59"/>
      <c r="EX1354" s="59"/>
      <c r="EY1354" s="59"/>
      <c r="EZ1354" s="59"/>
      <c r="FA1354" s="59"/>
      <c r="FB1354" s="59"/>
      <c r="FC1354" s="59"/>
      <c r="FD1354" s="59"/>
      <c r="FE1354" s="59"/>
      <c r="FF1354" s="59"/>
      <c r="FG1354" s="59"/>
      <c r="FH1354" s="59"/>
      <c r="FI1354" s="59"/>
      <c r="FJ1354" s="59"/>
      <c r="FK1354" s="59"/>
      <c r="FL1354" s="59"/>
      <c r="FM1354" s="59"/>
      <c r="FN1354" s="59"/>
      <c r="FO1354" s="59"/>
      <c r="FP1354" s="59"/>
      <c r="FQ1354" s="59"/>
      <c r="FR1354" s="59"/>
      <c r="FS1354" s="59"/>
      <c r="FT1354" s="59"/>
      <c r="FU1354" s="59"/>
      <c r="FV1354" s="59"/>
      <c r="FW1354" s="59"/>
      <c r="FX1354" s="59"/>
      <c r="FY1354" s="59"/>
      <c r="FZ1354" s="59"/>
      <c r="GA1354" s="59"/>
      <c r="GB1354" s="59"/>
      <c r="GC1354" s="59"/>
    </row>
    <row r="1355">
      <c r="A1355" s="59"/>
      <c r="B1355" s="59"/>
      <c r="C1355" s="59"/>
      <c r="D1355" s="59"/>
      <c r="E1355" s="59"/>
      <c r="F1355" s="59"/>
      <c r="G1355" s="59"/>
      <c r="H1355" s="59"/>
      <c r="I1355" s="59"/>
      <c r="J1355" s="59"/>
      <c r="K1355" s="59"/>
      <c r="L1355" s="59"/>
      <c r="M1355" s="59"/>
      <c r="N1355" s="59"/>
      <c r="O1355" s="59"/>
      <c r="P1355" s="59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  <c r="AD1355" s="59"/>
      <c r="AE1355" s="59"/>
      <c r="AF1355" s="59"/>
      <c r="AG1355" s="59"/>
      <c r="AH1355" s="59"/>
      <c r="AI1355" s="59"/>
      <c r="AJ1355" s="59"/>
      <c r="AK1355" s="59"/>
      <c r="AL1355" s="59"/>
      <c r="AM1355" s="59"/>
      <c r="AN1355" s="59"/>
      <c r="AO1355" s="59"/>
      <c r="AP1355" s="59"/>
      <c r="AQ1355" s="59"/>
      <c r="AR1355" s="59"/>
      <c r="AS1355" s="59"/>
      <c r="AT1355" s="59"/>
      <c r="AU1355" s="59"/>
      <c r="AV1355" s="59"/>
      <c r="AW1355" s="59"/>
      <c r="AX1355" s="59"/>
      <c r="AY1355" s="59"/>
      <c r="AZ1355" s="59"/>
      <c r="BA1355" s="59"/>
      <c r="BB1355" s="59"/>
      <c r="BC1355" s="59"/>
      <c r="BD1355" s="59"/>
      <c r="BE1355" s="59"/>
      <c r="BF1355" s="59"/>
      <c r="BG1355" s="59"/>
      <c r="BH1355" s="59"/>
      <c r="BI1355" s="59"/>
      <c r="BJ1355" s="59"/>
      <c r="BK1355" s="59"/>
      <c r="BL1355" s="59"/>
      <c r="BM1355" s="59"/>
      <c r="BN1355" s="59"/>
      <c r="BO1355" s="59"/>
      <c r="BP1355" s="59"/>
      <c r="BQ1355" s="59"/>
      <c r="BR1355" s="59"/>
      <c r="BS1355" s="59"/>
      <c r="BT1355" s="59"/>
      <c r="BU1355" s="59"/>
      <c r="BV1355" s="59"/>
      <c r="BW1355" s="59"/>
      <c r="BX1355" s="59"/>
      <c r="BY1355" s="59"/>
      <c r="BZ1355" s="59"/>
      <c r="CA1355" s="59"/>
      <c r="CB1355" s="59"/>
      <c r="CC1355" s="59"/>
      <c r="CD1355" s="59"/>
      <c r="CE1355" s="59"/>
      <c r="CF1355" s="59"/>
      <c r="CG1355" s="59"/>
      <c r="CH1355" s="59"/>
      <c r="CI1355" s="59"/>
      <c r="CJ1355" s="59"/>
      <c r="CK1355" s="59"/>
      <c r="CL1355" s="59"/>
      <c r="CM1355" s="59"/>
      <c r="CN1355" s="59"/>
      <c r="CO1355" s="59"/>
      <c r="CP1355" s="59"/>
      <c r="CQ1355" s="59"/>
      <c r="CR1355" s="59"/>
      <c r="CS1355" s="59"/>
      <c r="CT1355" s="59"/>
      <c r="CU1355" s="59"/>
      <c r="CV1355" s="59"/>
      <c r="CW1355" s="59"/>
      <c r="CX1355" s="59"/>
      <c r="CY1355" s="59"/>
      <c r="CZ1355" s="59"/>
      <c r="DA1355" s="59"/>
      <c r="DB1355" s="59"/>
      <c r="DC1355" s="59"/>
      <c r="DD1355" s="59"/>
      <c r="DE1355" s="59"/>
      <c r="DF1355" s="59"/>
      <c r="DG1355" s="59"/>
      <c r="DH1355" s="59"/>
      <c r="DI1355" s="59"/>
      <c r="DJ1355" s="59"/>
      <c r="DK1355" s="59"/>
      <c r="DL1355" s="59"/>
      <c r="DM1355" s="59"/>
      <c r="DN1355" s="59"/>
      <c r="DO1355" s="59"/>
      <c r="DP1355" s="59"/>
      <c r="DQ1355" s="59"/>
      <c r="DR1355" s="59"/>
      <c r="DS1355" s="59"/>
      <c r="DT1355" s="59"/>
      <c r="DU1355" s="59"/>
      <c r="DV1355" s="59"/>
      <c r="DW1355" s="59"/>
      <c r="DX1355" s="59"/>
      <c r="DY1355" s="59"/>
      <c r="DZ1355" s="59"/>
      <c r="EA1355" s="59"/>
      <c r="EB1355" s="59"/>
      <c r="EC1355" s="59"/>
      <c r="ED1355" s="59"/>
      <c r="EE1355" s="59"/>
      <c r="EF1355" s="59"/>
      <c r="EG1355" s="59"/>
      <c r="EH1355" s="59"/>
      <c r="EI1355" s="59"/>
      <c r="EJ1355" s="59"/>
      <c r="EK1355" s="59"/>
      <c r="EL1355" s="59"/>
      <c r="EM1355" s="59"/>
      <c r="EN1355" s="59"/>
      <c r="EO1355" s="59"/>
      <c r="EP1355" s="59"/>
      <c r="EQ1355" s="59"/>
      <c r="ER1355" s="59"/>
      <c r="ES1355" s="59"/>
      <c r="ET1355" s="59"/>
      <c r="EU1355" s="59"/>
      <c r="EV1355" s="59"/>
      <c r="EW1355" s="59"/>
      <c r="EX1355" s="59"/>
      <c r="EY1355" s="59"/>
      <c r="EZ1355" s="59"/>
      <c r="FA1355" s="59"/>
      <c r="FB1355" s="59"/>
      <c r="FC1355" s="59"/>
      <c r="FD1355" s="59"/>
      <c r="FE1355" s="59"/>
      <c r="FF1355" s="59"/>
      <c r="FG1355" s="59"/>
      <c r="FH1355" s="59"/>
      <c r="FI1355" s="59"/>
      <c r="FJ1355" s="59"/>
      <c r="FK1355" s="59"/>
      <c r="FL1355" s="59"/>
      <c r="FM1355" s="59"/>
      <c r="FN1355" s="59"/>
      <c r="FO1355" s="59"/>
      <c r="FP1355" s="59"/>
      <c r="FQ1355" s="59"/>
      <c r="FR1355" s="59"/>
      <c r="FS1355" s="59"/>
      <c r="FT1355" s="59"/>
      <c r="FU1355" s="59"/>
      <c r="FV1355" s="59"/>
      <c r="FW1355" s="59"/>
      <c r="FX1355" s="59"/>
      <c r="FY1355" s="59"/>
      <c r="FZ1355" s="59"/>
      <c r="GA1355" s="59"/>
      <c r="GB1355" s="59"/>
      <c r="GC1355" s="59"/>
    </row>
    <row r="1356">
      <c r="A1356" s="59"/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59"/>
      <c r="P1356" s="59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59"/>
      <c r="AU1356" s="59"/>
      <c r="AV1356" s="59"/>
      <c r="AW1356" s="59"/>
      <c r="AX1356" s="59"/>
      <c r="AY1356" s="59"/>
      <c r="AZ1356" s="59"/>
      <c r="BA1356" s="59"/>
      <c r="BB1356" s="59"/>
      <c r="BC1356" s="59"/>
      <c r="BD1356" s="59"/>
      <c r="BE1356" s="59"/>
      <c r="BF1356" s="59"/>
      <c r="BG1356" s="59"/>
      <c r="BH1356" s="59"/>
      <c r="BI1356" s="59"/>
      <c r="BJ1356" s="59"/>
      <c r="BK1356" s="59"/>
      <c r="BL1356" s="59"/>
      <c r="BM1356" s="59"/>
      <c r="BN1356" s="59"/>
      <c r="BO1356" s="59"/>
      <c r="BP1356" s="59"/>
      <c r="BQ1356" s="59"/>
      <c r="BR1356" s="59"/>
      <c r="BS1356" s="59"/>
      <c r="BT1356" s="59"/>
      <c r="BU1356" s="59"/>
      <c r="BV1356" s="59"/>
      <c r="BW1356" s="59"/>
      <c r="BX1356" s="59"/>
      <c r="BY1356" s="59"/>
      <c r="BZ1356" s="59"/>
      <c r="CA1356" s="59"/>
      <c r="CB1356" s="59"/>
      <c r="CC1356" s="59"/>
      <c r="CD1356" s="59"/>
      <c r="CE1356" s="59"/>
      <c r="CF1356" s="59"/>
      <c r="CG1356" s="59"/>
      <c r="CH1356" s="59"/>
      <c r="CI1356" s="59"/>
      <c r="CJ1356" s="59"/>
      <c r="CK1356" s="59"/>
      <c r="CL1356" s="59"/>
      <c r="CM1356" s="59"/>
      <c r="CN1356" s="59"/>
      <c r="CO1356" s="59"/>
      <c r="CP1356" s="59"/>
      <c r="CQ1356" s="59"/>
      <c r="CR1356" s="59"/>
      <c r="CS1356" s="59"/>
      <c r="CT1356" s="59"/>
      <c r="CU1356" s="59"/>
      <c r="CV1356" s="59"/>
      <c r="CW1356" s="59"/>
      <c r="CX1356" s="59"/>
      <c r="CY1356" s="59"/>
      <c r="CZ1356" s="59"/>
      <c r="DA1356" s="59"/>
      <c r="DB1356" s="59"/>
      <c r="DC1356" s="59"/>
      <c r="DD1356" s="59"/>
      <c r="DE1356" s="59"/>
      <c r="DF1356" s="59"/>
      <c r="DG1356" s="59"/>
      <c r="DH1356" s="59"/>
      <c r="DI1356" s="59"/>
      <c r="DJ1356" s="59"/>
      <c r="DK1356" s="59"/>
      <c r="DL1356" s="59"/>
      <c r="DM1356" s="59"/>
      <c r="DN1356" s="59"/>
      <c r="DO1356" s="59"/>
      <c r="DP1356" s="59"/>
      <c r="DQ1356" s="59"/>
      <c r="DR1356" s="59"/>
      <c r="DS1356" s="59"/>
      <c r="DT1356" s="59"/>
      <c r="DU1356" s="59"/>
      <c r="DV1356" s="59"/>
      <c r="DW1356" s="59"/>
      <c r="DX1356" s="59"/>
      <c r="DY1356" s="59"/>
      <c r="DZ1356" s="59"/>
      <c r="EA1356" s="59"/>
      <c r="EB1356" s="59"/>
      <c r="EC1356" s="59"/>
      <c r="ED1356" s="59"/>
      <c r="EE1356" s="59"/>
      <c r="EF1356" s="59"/>
      <c r="EG1356" s="59"/>
      <c r="EH1356" s="59"/>
      <c r="EI1356" s="59"/>
      <c r="EJ1356" s="59"/>
      <c r="EK1356" s="59"/>
      <c r="EL1356" s="59"/>
      <c r="EM1356" s="59"/>
      <c r="EN1356" s="59"/>
      <c r="EO1356" s="59"/>
      <c r="EP1356" s="59"/>
      <c r="EQ1356" s="59"/>
      <c r="ER1356" s="59"/>
      <c r="ES1356" s="59"/>
      <c r="ET1356" s="59"/>
      <c r="EU1356" s="59"/>
      <c r="EV1356" s="59"/>
      <c r="EW1356" s="59"/>
      <c r="EX1356" s="59"/>
      <c r="EY1356" s="59"/>
      <c r="EZ1356" s="59"/>
      <c r="FA1356" s="59"/>
      <c r="FB1356" s="59"/>
      <c r="FC1356" s="59"/>
      <c r="FD1356" s="59"/>
      <c r="FE1356" s="59"/>
      <c r="FF1356" s="59"/>
      <c r="FG1356" s="59"/>
      <c r="FH1356" s="59"/>
      <c r="FI1356" s="59"/>
      <c r="FJ1356" s="59"/>
      <c r="FK1356" s="59"/>
      <c r="FL1356" s="59"/>
      <c r="FM1356" s="59"/>
      <c r="FN1356" s="59"/>
      <c r="FO1356" s="59"/>
      <c r="FP1356" s="59"/>
      <c r="FQ1356" s="59"/>
      <c r="FR1356" s="59"/>
      <c r="FS1356" s="59"/>
      <c r="FT1356" s="59"/>
      <c r="FU1356" s="59"/>
      <c r="FV1356" s="59"/>
      <c r="FW1356" s="59"/>
      <c r="FX1356" s="59"/>
      <c r="FY1356" s="59"/>
      <c r="FZ1356" s="59"/>
      <c r="GA1356" s="59"/>
      <c r="GB1356" s="59"/>
      <c r="GC1356" s="59"/>
    </row>
    <row r="1357">
      <c r="A1357" s="59"/>
      <c r="B1357" s="59"/>
      <c r="C1357" s="59"/>
      <c r="D1357" s="59"/>
      <c r="E1357" s="59"/>
      <c r="F1357" s="59"/>
      <c r="G1357" s="59"/>
      <c r="H1357" s="59"/>
      <c r="I1357" s="59"/>
      <c r="J1357" s="59"/>
      <c r="K1357" s="59"/>
      <c r="L1357" s="59"/>
      <c r="M1357" s="59"/>
      <c r="N1357" s="59"/>
      <c r="O1357" s="59"/>
      <c r="P1357" s="59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  <c r="AD1357" s="59"/>
      <c r="AE1357" s="59"/>
      <c r="AF1357" s="59"/>
      <c r="AG1357" s="59"/>
      <c r="AH1357" s="59"/>
      <c r="AI1357" s="59"/>
      <c r="AJ1357" s="59"/>
      <c r="AK1357" s="59"/>
      <c r="AL1357" s="59"/>
      <c r="AM1357" s="59"/>
      <c r="AN1357" s="59"/>
      <c r="AO1357" s="59"/>
      <c r="AP1357" s="59"/>
      <c r="AQ1357" s="59"/>
      <c r="AR1357" s="59"/>
      <c r="AS1357" s="59"/>
      <c r="AT1357" s="59"/>
      <c r="AU1357" s="59"/>
      <c r="AV1357" s="59"/>
      <c r="AW1357" s="59"/>
      <c r="AX1357" s="59"/>
      <c r="AY1357" s="59"/>
      <c r="AZ1357" s="59"/>
      <c r="BA1357" s="59"/>
      <c r="BB1357" s="59"/>
      <c r="BC1357" s="59"/>
      <c r="BD1357" s="59"/>
      <c r="BE1357" s="59"/>
      <c r="BF1357" s="59"/>
      <c r="BG1357" s="59"/>
      <c r="BH1357" s="59"/>
      <c r="BI1357" s="59"/>
      <c r="BJ1357" s="59"/>
      <c r="BK1357" s="59"/>
      <c r="BL1357" s="59"/>
      <c r="BM1357" s="59"/>
      <c r="BN1357" s="59"/>
      <c r="BO1357" s="59"/>
      <c r="BP1357" s="59"/>
      <c r="BQ1357" s="59"/>
      <c r="BR1357" s="59"/>
      <c r="BS1357" s="59"/>
      <c r="BT1357" s="59"/>
      <c r="BU1357" s="59"/>
      <c r="BV1357" s="59"/>
      <c r="BW1357" s="59"/>
      <c r="BX1357" s="59"/>
      <c r="BY1357" s="59"/>
      <c r="BZ1357" s="59"/>
      <c r="CA1357" s="59"/>
      <c r="CB1357" s="59"/>
      <c r="CC1357" s="59"/>
      <c r="CD1357" s="59"/>
      <c r="CE1357" s="59"/>
      <c r="CF1357" s="59"/>
      <c r="CG1357" s="59"/>
      <c r="CH1357" s="59"/>
      <c r="CI1357" s="59"/>
      <c r="CJ1357" s="59"/>
      <c r="CK1357" s="59"/>
      <c r="CL1357" s="59"/>
      <c r="CM1357" s="59"/>
      <c r="CN1357" s="59"/>
      <c r="CO1357" s="59"/>
      <c r="CP1357" s="59"/>
      <c r="CQ1357" s="59"/>
      <c r="CR1357" s="59"/>
      <c r="CS1357" s="59"/>
      <c r="CT1357" s="59"/>
      <c r="CU1357" s="59"/>
      <c r="CV1357" s="59"/>
      <c r="CW1357" s="59"/>
      <c r="CX1357" s="59"/>
      <c r="CY1357" s="59"/>
      <c r="CZ1357" s="59"/>
      <c r="DA1357" s="59"/>
      <c r="DB1357" s="59"/>
      <c r="DC1357" s="59"/>
      <c r="DD1357" s="59"/>
      <c r="DE1357" s="59"/>
      <c r="DF1357" s="59"/>
      <c r="DG1357" s="59"/>
      <c r="DH1357" s="59"/>
      <c r="DI1357" s="59"/>
      <c r="DJ1357" s="59"/>
      <c r="DK1357" s="59"/>
      <c r="DL1357" s="59"/>
      <c r="DM1357" s="59"/>
      <c r="DN1357" s="59"/>
      <c r="DO1357" s="59"/>
      <c r="DP1357" s="59"/>
      <c r="DQ1357" s="59"/>
      <c r="DR1357" s="59"/>
      <c r="DS1357" s="59"/>
      <c r="DT1357" s="59"/>
      <c r="DU1357" s="59"/>
      <c r="DV1357" s="59"/>
      <c r="DW1357" s="59"/>
      <c r="DX1357" s="59"/>
      <c r="DY1357" s="59"/>
      <c r="DZ1357" s="59"/>
      <c r="EA1357" s="59"/>
      <c r="EB1357" s="59"/>
      <c r="EC1357" s="59"/>
      <c r="ED1357" s="59"/>
      <c r="EE1357" s="59"/>
      <c r="EF1357" s="59"/>
      <c r="EG1357" s="59"/>
      <c r="EH1357" s="59"/>
      <c r="EI1357" s="59"/>
      <c r="EJ1357" s="59"/>
      <c r="EK1357" s="59"/>
      <c r="EL1357" s="59"/>
      <c r="EM1357" s="59"/>
      <c r="EN1357" s="59"/>
      <c r="EO1357" s="59"/>
      <c r="EP1357" s="59"/>
      <c r="EQ1357" s="59"/>
      <c r="ER1357" s="59"/>
      <c r="ES1357" s="59"/>
      <c r="ET1357" s="59"/>
      <c r="EU1357" s="59"/>
      <c r="EV1357" s="59"/>
      <c r="EW1357" s="59"/>
      <c r="EX1357" s="59"/>
      <c r="EY1357" s="59"/>
      <c r="EZ1357" s="59"/>
      <c r="FA1357" s="59"/>
      <c r="FB1357" s="59"/>
      <c r="FC1357" s="59"/>
      <c r="FD1357" s="59"/>
      <c r="FE1357" s="59"/>
      <c r="FF1357" s="59"/>
      <c r="FG1357" s="59"/>
      <c r="FH1357" s="59"/>
      <c r="FI1357" s="59"/>
      <c r="FJ1357" s="59"/>
      <c r="FK1357" s="59"/>
      <c r="FL1357" s="59"/>
      <c r="FM1357" s="59"/>
      <c r="FN1357" s="59"/>
      <c r="FO1357" s="59"/>
      <c r="FP1357" s="59"/>
      <c r="FQ1357" s="59"/>
      <c r="FR1357" s="59"/>
      <c r="FS1357" s="59"/>
      <c r="FT1357" s="59"/>
      <c r="FU1357" s="59"/>
      <c r="FV1357" s="59"/>
      <c r="FW1357" s="59"/>
      <c r="FX1357" s="59"/>
      <c r="FY1357" s="59"/>
      <c r="FZ1357" s="59"/>
      <c r="GA1357" s="59"/>
      <c r="GB1357" s="59"/>
      <c r="GC1357" s="59"/>
    </row>
    <row r="1358">
      <c r="A1358" s="59"/>
      <c r="B1358" s="59"/>
      <c r="C1358" s="59"/>
      <c r="D1358" s="59"/>
      <c r="E1358" s="59"/>
      <c r="F1358" s="59"/>
      <c r="G1358" s="59"/>
      <c r="H1358" s="59"/>
      <c r="I1358" s="59"/>
      <c r="J1358" s="59"/>
      <c r="K1358" s="59"/>
      <c r="L1358" s="59"/>
      <c r="M1358" s="59"/>
      <c r="N1358" s="59"/>
      <c r="O1358" s="59"/>
      <c r="P1358" s="59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59"/>
      <c r="AU1358" s="59"/>
      <c r="AV1358" s="59"/>
      <c r="AW1358" s="59"/>
      <c r="AX1358" s="59"/>
      <c r="AY1358" s="59"/>
      <c r="AZ1358" s="59"/>
      <c r="BA1358" s="59"/>
      <c r="BB1358" s="59"/>
      <c r="BC1358" s="59"/>
      <c r="BD1358" s="59"/>
      <c r="BE1358" s="59"/>
      <c r="BF1358" s="59"/>
      <c r="BG1358" s="59"/>
      <c r="BH1358" s="59"/>
      <c r="BI1358" s="59"/>
      <c r="BJ1358" s="59"/>
      <c r="BK1358" s="59"/>
      <c r="BL1358" s="59"/>
      <c r="BM1358" s="59"/>
      <c r="BN1358" s="59"/>
      <c r="BO1358" s="59"/>
      <c r="BP1358" s="59"/>
      <c r="BQ1358" s="59"/>
      <c r="BR1358" s="59"/>
      <c r="BS1358" s="59"/>
      <c r="BT1358" s="59"/>
      <c r="BU1358" s="59"/>
      <c r="BV1358" s="59"/>
      <c r="BW1358" s="59"/>
      <c r="BX1358" s="59"/>
      <c r="BY1358" s="59"/>
      <c r="BZ1358" s="59"/>
      <c r="CA1358" s="59"/>
      <c r="CB1358" s="59"/>
      <c r="CC1358" s="59"/>
      <c r="CD1358" s="59"/>
      <c r="CE1358" s="59"/>
      <c r="CF1358" s="59"/>
      <c r="CG1358" s="59"/>
      <c r="CH1358" s="59"/>
      <c r="CI1358" s="59"/>
      <c r="CJ1358" s="59"/>
      <c r="CK1358" s="59"/>
      <c r="CL1358" s="59"/>
      <c r="CM1358" s="59"/>
      <c r="CN1358" s="59"/>
      <c r="CO1358" s="59"/>
      <c r="CP1358" s="59"/>
      <c r="CQ1358" s="59"/>
      <c r="CR1358" s="59"/>
      <c r="CS1358" s="59"/>
      <c r="CT1358" s="59"/>
      <c r="CU1358" s="59"/>
      <c r="CV1358" s="59"/>
      <c r="CW1358" s="59"/>
      <c r="CX1358" s="59"/>
      <c r="CY1358" s="59"/>
      <c r="CZ1358" s="59"/>
      <c r="DA1358" s="59"/>
      <c r="DB1358" s="59"/>
      <c r="DC1358" s="59"/>
      <c r="DD1358" s="59"/>
      <c r="DE1358" s="59"/>
      <c r="DF1358" s="59"/>
      <c r="DG1358" s="59"/>
      <c r="DH1358" s="59"/>
      <c r="DI1358" s="59"/>
      <c r="DJ1358" s="59"/>
      <c r="DK1358" s="59"/>
      <c r="DL1358" s="59"/>
      <c r="DM1358" s="59"/>
      <c r="DN1358" s="59"/>
      <c r="DO1358" s="59"/>
      <c r="DP1358" s="59"/>
      <c r="DQ1358" s="59"/>
      <c r="DR1358" s="59"/>
      <c r="DS1358" s="59"/>
      <c r="DT1358" s="59"/>
      <c r="DU1358" s="59"/>
      <c r="DV1358" s="59"/>
      <c r="DW1358" s="59"/>
      <c r="DX1358" s="59"/>
      <c r="DY1358" s="59"/>
      <c r="DZ1358" s="59"/>
      <c r="EA1358" s="59"/>
      <c r="EB1358" s="59"/>
      <c r="EC1358" s="59"/>
      <c r="ED1358" s="59"/>
      <c r="EE1358" s="59"/>
      <c r="EF1358" s="59"/>
      <c r="EG1358" s="59"/>
      <c r="EH1358" s="59"/>
      <c r="EI1358" s="59"/>
      <c r="EJ1358" s="59"/>
      <c r="EK1358" s="59"/>
      <c r="EL1358" s="59"/>
      <c r="EM1358" s="59"/>
      <c r="EN1358" s="59"/>
      <c r="EO1358" s="59"/>
      <c r="EP1358" s="59"/>
      <c r="EQ1358" s="59"/>
      <c r="ER1358" s="59"/>
      <c r="ES1358" s="59"/>
      <c r="ET1358" s="59"/>
      <c r="EU1358" s="59"/>
      <c r="EV1358" s="59"/>
      <c r="EW1358" s="59"/>
      <c r="EX1358" s="59"/>
      <c r="EY1358" s="59"/>
      <c r="EZ1358" s="59"/>
      <c r="FA1358" s="59"/>
      <c r="FB1358" s="59"/>
      <c r="FC1358" s="59"/>
      <c r="FD1358" s="59"/>
      <c r="FE1358" s="59"/>
      <c r="FF1358" s="59"/>
      <c r="FG1358" s="59"/>
      <c r="FH1358" s="59"/>
      <c r="FI1358" s="59"/>
      <c r="FJ1358" s="59"/>
      <c r="FK1358" s="59"/>
      <c r="FL1358" s="59"/>
      <c r="FM1358" s="59"/>
      <c r="FN1358" s="59"/>
      <c r="FO1358" s="59"/>
      <c r="FP1358" s="59"/>
      <c r="FQ1358" s="59"/>
      <c r="FR1358" s="59"/>
      <c r="FS1358" s="59"/>
      <c r="FT1358" s="59"/>
      <c r="FU1358" s="59"/>
      <c r="FV1358" s="59"/>
      <c r="FW1358" s="59"/>
      <c r="FX1358" s="59"/>
      <c r="FY1358" s="59"/>
      <c r="FZ1358" s="59"/>
      <c r="GA1358" s="59"/>
      <c r="GB1358" s="59"/>
      <c r="GC1358" s="59"/>
    </row>
    <row r="1359">
      <c r="A1359" s="59"/>
      <c r="B1359" s="59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59"/>
      <c r="O1359" s="59"/>
      <c r="P1359" s="59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  <c r="AD1359" s="59"/>
      <c r="AE1359" s="59"/>
      <c r="AF1359" s="59"/>
      <c r="AG1359" s="59"/>
      <c r="AH1359" s="59"/>
      <c r="AI1359" s="59"/>
      <c r="AJ1359" s="59"/>
      <c r="AK1359" s="59"/>
      <c r="AL1359" s="59"/>
      <c r="AM1359" s="59"/>
      <c r="AN1359" s="59"/>
      <c r="AO1359" s="59"/>
      <c r="AP1359" s="59"/>
      <c r="AQ1359" s="59"/>
      <c r="AR1359" s="59"/>
      <c r="AS1359" s="59"/>
      <c r="AT1359" s="59"/>
      <c r="AU1359" s="59"/>
      <c r="AV1359" s="59"/>
      <c r="AW1359" s="59"/>
      <c r="AX1359" s="59"/>
      <c r="AY1359" s="59"/>
      <c r="AZ1359" s="59"/>
      <c r="BA1359" s="59"/>
      <c r="BB1359" s="59"/>
      <c r="BC1359" s="59"/>
      <c r="BD1359" s="59"/>
      <c r="BE1359" s="59"/>
      <c r="BF1359" s="59"/>
      <c r="BG1359" s="59"/>
      <c r="BH1359" s="59"/>
      <c r="BI1359" s="59"/>
      <c r="BJ1359" s="59"/>
      <c r="BK1359" s="59"/>
      <c r="BL1359" s="59"/>
      <c r="BM1359" s="59"/>
      <c r="BN1359" s="59"/>
      <c r="BO1359" s="59"/>
      <c r="BP1359" s="59"/>
      <c r="BQ1359" s="59"/>
      <c r="BR1359" s="59"/>
      <c r="BS1359" s="59"/>
      <c r="BT1359" s="59"/>
      <c r="BU1359" s="59"/>
      <c r="BV1359" s="59"/>
      <c r="BW1359" s="59"/>
      <c r="BX1359" s="59"/>
      <c r="BY1359" s="59"/>
      <c r="BZ1359" s="59"/>
      <c r="CA1359" s="59"/>
      <c r="CB1359" s="59"/>
      <c r="CC1359" s="59"/>
      <c r="CD1359" s="59"/>
      <c r="CE1359" s="59"/>
      <c r="CF1359" s="59"/>
      <c r="CG1359" s="59"/>
      <c r="CH1359" s="59"/>
      <c r="CI1359" s="59"/>
      <c r="CJ1359" s="59"/>
      <c r="CK1359" s="59"/>
      <c r="CL1359" s="59"/>
      <c r="CM1359" s="59"/>
      <c r="CN1359" s="59"/>
      <c r="CO1359" s="59"/>
      <c r="CP1359" s="59"/>
      <c r="CQ1359" s="59"/>
      <c r="CR1359" s="59"/>
      <c r="CS1359" s="59"/>
      <c r="CT1359" s="59"/>
      <c r="CU1359" s="59"/>
      <c r="CV1359" s="59"/>
      <c r="CW1359" s="59"/>
      <c r="CX1359" s="59"/>
      <c r="CY1359" s="59"/>
      <c r="CZ1359" s="59"/>
      <c r="DA1359" s="59"/>
      <c r="DB1359" s="59"/>
      <c r="DC1359" s="59"/>
      <c r="DD1359" s="59"/>
      <c r="DE1359" s="59"/>
      <c r="DF1359" s="59"/>
      <c r="DG1359" s="59"/>
      <c r="DH1359" s="59"/>
      <c r="DI1359" s="59"/>
      <c r="DJ1359" s="59"/>
      <c r="DK1359" s="59"/>
      <c r="DL1359" s="59"/>
      <c r="DM1359" s="59"/>
      <c r="DN1359" s="59"/>
      <c r="DO1359" s="59"/>
      <c r="DP1359" s="59"/>
      <c r="DQ1359" s="59"/>
      <c r="DR1359" s="59"/>
      <c r="DS1359" s="59"/>
      <c r="DT1359" s="59"/>
      <c r="DU1359" s="59"/>
      <c r="DV1359" s="59"/>
      <c r="DW1359" s="59"/>
      <c r="DX1359" s="59"/>
      <c r="DY1359" s="59"/>
      <c r="DZ1359" s="59"/>
      <c r="EA1359" s="59"/>
      <c r="EB1359" s="59"/>
      <c r="EC1359" s="59"/>
      <c r="ED1359" s="59"/>
      <c r="EE1359" s="59"/>
      <c r="EF1359" s="59"/>
      <c r="EG1359" s="59"/>
      <c r="EH1359" s="59"/>
      <c r="EI1359" s="59"/>
      <c r="EJ1359" s="59"/>
      <c r="EK1359" s="59"/>
      <c r="EL1359" s="59"/>
      <c r="EM1359" s="59"/>
      <c r="EN1359" s="59"/>
      <c r="EO1359" s="59"/>
      <c r="EP1359" s="59"/>
      <c r="EQ1359" s="59"/>
      <c r="ER1359" s="59"/>
      <c r="ES1359" s="59"/>
      <c r="ET1359" s="59"/>
      <c r="EU1359" s="59"/>
      <c r="EV1359" s="59"/>
      <c r="EW1359" s="59"/>
      <c r="EX1359" s="59"/>
      <c r="EY1359" s="59"/>
      <c r="EZ1359" s="59"/>
      <c r="FA1359" s="59"/>
      <c r="FB1359" s="59"/>
      <c r="FC1359" s="59"/>
      <c r="FD1359" s="59"/>
      <c r="FE1359" s="59"/>
      <c r="FF1359" s="59"/>
      <c r="FG1359" s="59"/>
      <c r="FH1359" s="59"/>
      <c r="FI1359" s="59"/>
      <c r="FJ1359" s="59"/>
      <c r="FK1359" s="59"/>
      <c r="FL1359" s="59"/>
      <c r="FM1359" s="59"/>
      <c r="FN1359" s="59"/>
      <c r="FO1359" s="59"/>
      <c r="FP1359" s="59"/>
      <c r="FQ1359" s="59"/>
      <c r="FR1359" s="59"/>
      <c r="FS1359" s="59"/>
      <c r="FT1359" s="59"/>
      <c r="FU1359" s="59"/>
      <c r="FV1359" s="59"/>
      <c r="FW1359" s="59"/>
      <c r="FX1359" s="59"/>
      <c r="FY1359" s="59"/>
      <c r="FZ1359" s="59"/>
      <c r="GA1359" s="59"/>
      <c r="GB1359" s="59"/>
      <c r="GC1359" s="59"/>
    </row>
    <row r="1360">
      <c r="A1360" s="59"/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59"/>
      <c r="N1360" s="59"/>
      <c r="O1360" s="59"/>
      <c r="P1360" s="59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59"/>
      <c r="AU1360" s="59"/>
      <c r="AV1360" s="59"/>
      <c r="AW1360" s="59"/>
      <c r="AX1360" s="59"/>
      <c r="AY1360" s="59"/>
      <c r="AZ1360" s="59"/>
      <c r="BA1360" s="59"/>
      <c r="BB1360" s="59"/>
      <c r="BC1360" s="59"/>
      <c r="BD1360" s="59"/>
      <c r="BE1360" s="59"/>
      <c r="BF1360" s="59"/>
      <c r="BG1360" s="59"/>
      <c r="BH1360" s="59"/>
      <c r="BI1360" s="59"/>
      <c r="BJ1360" s="59"/>
      <c r="BK1360" s="59"/>
      <c r="BL1360" s="59"/>
      <c r="BM1360" s="59"/>
      <c r="BN1360" s="59"/>
      <c r="BO1360" s="59"/>
      <c r="BP1360" s="59"/>
      <c r="BQ1360" s="59"/>
      <c r="BR1360" s="59"/>
      <c r="BS1360" s="59"/>
      <c r="BT1360" s="59"/>
      <c r="BU1360" s="59"/>
      <c r="BV1360" s="59"/>
      <c r="BW1360" s="59"/>
      <c r="BX1360" s="59"/>
      <c r="BY1360" s="59"/>
      <c r="BZ1360" s="59"/>
      <c r="CA1360" s="59"/>
      <c r="CB1360" s="59"/>
      <c r="CC1360" s="59"/>
      <c r="CD1360" s="59"/>
      <c r="CE1360" s="59"/>
      <c r="CF1360" s="59"/>
      <c r="CG1360" s="59"/>
      <c r="CH1360" s="59"/>
      <c r="CI1360" s="59"/>
      <c r="CJ1360" s="59"/>
      <c r="CK1360" s="59"/>
      <c r="CL1360" s="59"/>
      <c r="CM1360" s="59"/>
      <c r="CN1360" s="59"/>
      <c r="CO1360" s="59"/>
      <c r="CP1360" s="59"/>
      <c r="CQ1360" s="59"/>
      <c r="CR1360" s="59"/>
      <c r="CS1360" s="59"/>
      <c r="CT1360" s="59"/>
      <c r="CU1360" s="59"/>
      <c r="CV1360" s="59"/>
      <c r="CW1360" s="59"/>
      <c r="CX1360" s="59"/>
      <c r="CY1360" s="59"/>
      <c r="CZ1360" s="59"/>
      <c r="DA1360" s="59"/>
      <c r="DB1360" s="59"/>
      <c r="DC1360" s="59"/>
      <c r="DD1360" s="59"/>
      <c r="DE1360" s="59"/>
      <c r="DF1360" s="59"/>
      <c r="DG1360" s="59"/>
      <c r="DH1360" s="59"/>
      <c r="DI1360" s="59"/>
      <c r="DJ1360" s="59"/>
      <c r="DK1360" s="59"/>
      <c r="DL1360" s="59"/>
      <c r="DM1360" s="59"/>
      <c r="DN1360" s="59"/>
      <c r="DO1360" s="59"/>
      <c r="DP1360" s="59"/>
      <c r="DQ1360" s="59"/>
      <c r="DR1360" s="59"/>
      <c r="DS1360" s="59"/>
      <c r="DT1360" s="59"/>
      <c r="DU1360" s="59"/>
      <c r="DV1360" s="59"/>
      <c r="DW1360" s="59"/>
      <c r="DX1360" s="59"/>
      <c r="DY1360" s="59"/>
      <c r="DZ1360" s="59"/>
      <c r="EA1360" s="59"/>
      <c r="EB1360" s="59"/>
      <c r="EC1360" s="59"/>
      <c r="ED1360" s="59"/>
      <c r="EE1360" s="59"/>
      <c r="EF1360" s="59"/>
      <c r="EG1360" s="59"/>
      <c r="EH1360" s="59"/>
      <c r="EI1360" s="59"/>
      <c r="EJ1360" s="59"/>
      <c r="EK1360" s="59"/>
      <c r="EL1360" s="59"/>
      <c r="EM1360" s="59"/>
      <c r="EN1360" s="59"/>
      <c r="EO1360" s="59"/>
      <c r="EP1360" s="59"/>
      <c r="EQ1360" s="59"/>
      <c r="ER1360" s="59"/>
      <c r="ES1360" s="59"/>
      <c r="ET1360" s="59"/>
      <c r="EU1360" s="59"/>
      <c r="EV1360" s="59"/>
      <c r="EW1360" s="59"/>
      <c r="EX1360" s="59"/>
      <c r="EY1360" s="59"/>
      <c r="EZ1360" s="59"/>
      <c r="FA1360" s="59"/>
      <c r="FB1360" s="59"/>
      <c r="FC1360" s="59"/>
      <c r="FD1360" s="59"/>
      <c r="FE1360" s="59"/>
      <c r="FF1360" s="59"/>
      <c r="FG1360" s="59"/>
      <c r="FH1360" s="59"/>
      <c r="FI1360" s="59"/>
      <c r="FJ1360" s="59"/>
      <c r="FK1360" s="59"/>
      <c r="FL1360" s="59"/>
      <c r="FM1360" s="59"/>
      <c r="FN1360" s="59"/>
      <c r="FO1360" s="59"/>
      <c r="FP1360" s="59"/>
      <c r="FQ1360" s="59"/>
      <c r="FR1360" s="59"/>
      <c r="FS1360" s="59"/>
      <c r="FT1360" s="59"/>
      <c r="FU1360" s="59"/>
      <c r="FV1360" s="59"/>
      <c r="FW1360" s="59"/>
      <c r="FX1360" s="59"/>
      <c r="FY1360" s="59"/>
      <c r="FZ1360" s="59"/>
      <c r="GA1360" s="59"/>
      <c r="GB1360" s="59"/>
      <c r="GC1360" s="59"/>
    </row>
    <row r="1361">
      <c r="A1361" s="59"/>
      <c r="B1361" s="59"/>
      <c r="C1361" s="59"/>
      <c r="D1361" s="59"/>
      <c r="E1361" s="59"/>
      <c r="F1361" s="59"/>
      <c r="G1361" s="59"/>
      <c r="H1361" s="59"/>
      <c r="I1361" s="59"/>
      <c r="J1361" s="59"/>
      <c r="K1361" s="59"/>
      <c r="L1361" s="59"/>
      <c r="M1361" s="59"/>
      <c r="N1361" s="59"/>
      <c r="O1361" s="59"/>
      <c r="P1361" s="59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  <c r="AD1361" s="59"/>
      <c r="AE1361" s="59"/>
      <c r="AF1361" s="59"/>
      <c r="AG1361" s="59"/>
      <c r="AH1361" s="59"/>
      <c r="AI1361" s="59"/>
      <c r="AJ1361" s="59"/>
      <c r="AK1361" s="59"/>
      <c r="AL1361" s="59"/>
      <c r="AM1361" s="59"/>
      <c r="AN1361" s="59"/>
      <c r="AO1361" s="59"/>
      <c r="AP1361" s="59"/>
      <c r="AQ1361" s="59"/>
      <c r="AR1361" s="59"/>
      <c r="AS1361" s="59"/>
      <c r="AT1361" s="59"/>
      <c r="AU1361" s="59"/>
      <c r="AV1361" s="59"/>
      <c r="AW1361" s="59"/>
      <c r="AX1361" s="59"/>
      <c r="AY1361" s="59"/>
      <c r="AZ1361" s="59"/>
      <c r="BA1361" s="59"/>
      <c r="BB1361" s="59"/>
      <c r="BC1361" s="59"/>
      <c r="BD1361" s="59"/>
      <c r="BE1361" s="59"/>
      <c r="BF1361" s="59"/>
      <c r="BG1361" s="59"/>
      <c r="BH1361" s="59"/>
      <c r="BI1361" s="59"/>
      <c r="BJ1361" s="59"/>
      <c r="BK1361" s="59"/>
      <c r="BL1361" s="59"/>
      <c r="BM1361" s="59"/>
      <c r="BN1361" s="59"/>
      <c r="BO1361" s="59"/>
      <c r="BP1361" s="59"/>
      <c r="BQ1361" s="59"/>
      <c r="BR1361" s="59"/>
      <c r="BS1361" s="59"/>
      <c r="BT1361" s="59"/>
      <c r="BU1361" s="59"/>
      <c r="BV1361" s="59"/>
      <c r="BW1361" s="59"/>
      <c r="BX1361" s="59"/>
      <c r="BY1361" s="59"/>
      <c r="BZ1361" s="59"/>
      <c r="CA1361" s="59"/>
      <c r="CB1361" s="59"/>
      <c r="CC1361" s="59"/>
      <c r="CD1361" s="59"/>
      <c r="CE1361" s="59"/>
      <c r="CF1361" s="59"/>
      <c r="CG1361" s="59"/>
      <c r="CH1361" s="59"/>
      <c r="CI1361" s="59"/>
      <c r="CJ1361" s="59"/>
      <c r="CK1361" s="59"/>
      <c r="CL1361" s="59"/>
      <c r="CM1361" s="59"/>
      <c r="CN1361" s="59"/>
      <c r="CO1361" s="59"/>
      <c r="CP1361" s="59"/>
      <c r="CQ1361" s="59"/>
      <c r="CR1361" s="59"/>
      <c r="CS1361" s="59"/>
      <c r="CT1361" s="59"/>
      <c r="CU1361" s="59"/>
      <c r="CV1361" s="59"/>
      <c r="CW1361" s="59"/>
      <c r="CX1361" s="59"/>
      <c r="CY1361" s="59"/>
      <c r="CZ1361" s="59"/>
      <c r="DA1361" s="59"/>
      <c r="DB1361" s="59"/>
      <c r="DC1361" s="59"/>
      <c r="DD1361" s="59"/>
      <c r="DE1361" s="59"/>
      <c r="DF1361" s="59"/>
      <c r="DG1361" s="59"/>
      <c r="DH1361" s="59"/>
      <c r="DI1361" s="59"/>
      <c r="DJ1361" s="59"/>
      <c r="DK1361" s="59"/>
      <c r="DL1361" s="59"/>
      <c r="DM1361" s="59"/>
      <c r="DN1361" s="59"/>
      <c r="DO1361" s="59"/>
      <c r="DP1361" s="59"/>
      <c r="DQ1361" s="59"/>
      <c r="DR1361" s="59"/>
      <c r="DS1361" s="59"/>
      <c r="DT1361" s="59"/>
      <c r="DU1361" s="59"/>
      <c r="DV1361" s="59"/>
      <c r="DW1361" s="59"/>
      <c r="DX1361" s="59"/>
      <c r="DY1361" s="59"/>
      <c r="DZ1361" s="59"/>
      <c r="EA1361" s="59"/>
      <c r="EB1361" s="59"/>
      <c r="EC1361" s="59"/>
      <c r="ED1361" s="59"/>
      <c r="EE1361" s="59"/>
      <c r="EF1361" s="59"/>
      <c r="EG1361" s="59"/>
      <c r="EH1361" s="59"/>
      <c r="EI1361" s="59"/>
      <c r="EJ1361" s="59"/>
      <c r="EK1361" s="59"/>
      <c r="EL1361" s="59"/>
      <c r="EM1361" s="59"/>
      <c r="EN1361" s="59"/>
      <c r="EO1361" s="59"/>
      <c r="EP1361" s="59"/>
      <c r="EQ1361" s="59"/>
      <c r="ER1361" s="59"/>
      <c r="ES1361" s="59"/>
      <c r="ET1361" s="59"/>
      <c r="EU1361" s="59"/>
      <c r="EV1361" s="59"/>
      <c r="EW1361" s="59"/>
      <c r="EX1361" s="59"/>
      <c r="EY1361" s="59"/>
      <c r="EZ1361" s="59"/>
      <c r="FA1361" s="59"/>
      <c r="FB1361" s="59"/>
      <c r="FC1361" s="59"/>
      <c r="FD1361" s="59"/>
      <c r="FE1361" s="59"/>
      <c r="FF1361" s="59"/>
      <c r="FG1361" s="59"/>
      <c r="FH1361" s="59"/>
      <c r="FI1361" s="59"/>
      <c r="FJ1361" s="59"/>
      <c r="FK1361" s="59"/>
      <c r="FL1361" s="59"/>
      <c r="FM1361" s="59"/>
      <c r="FN1361" s="59"/>
      <c r="FO1361" s="59"/>
      <c r="FP1361" s="59"/>
      <c r="FQ1361" s="59"/>
      <c r="FR1361" s="59"/>
      <c r="FS1361" s="59"/>
      <c r="FT1361" s="59"/>
      <c r="FU1361" s="59"/>
      <c r="FV1361" s="59"/>
      <c r="FW1361" s="59"/>
      <c r="FX1361" s="59"/>
      <c r="FY1361" s="59"/>
      <c r="FZ1361" s="59"/>
      <c r="GA1361" s="59"/>
      <c r="GB1361" s="59"/>
      <c r="GC1361" s="59"/>
    </row>
    <row r="1362">
      <c r="A1362" s="59"/>
      <c r="B1362" s="59"/>
      <c r="C1362" s="59"/>
      <c r="D1362" s="59"/>
      <c r="E1362" s="59"/>
      <c r="F1362" s="59"/>
      <c r="G1362" s="59"/>
      <c r="H1362" s="59"/>
      <c r="I1362" s="59"/>
      <c r="J1362" s="59"/>
      <c r="K1362" s="59"/>
      <c r="L1362" s="59"/>
      <c r="M1362" s="59"/>
      <c r="N1362" s="59"/>
      <c r="O1362" s="59"/>
      <c r="P1362" s="59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59"/>
      <c r="AU1362" s="59"/>
      <c r="AV1362" s="59"/>
      <c r="AW1362" s="59"/>
      <c r="AX1362" s="59"/>
      <c r="AY1362" s="59"/>
      <c r="AZ1362" s="59"/>
      <c r="BA1362" s="59"/>
      <c r="BB1362" s="59"/>
      <c r="BC1362" s="59"/>
      <c r="BD1362" s="59"/>
      <c r="BE1362" s="59"/>
      <c r="BF1362" s="59"/>
      <c r="BG1362" s="59"/>
      <c r="BH1362" s="59"/>
      <c r="BI1362" s="59"/>
      <c r="BJ1362" s="59"/>
      <c r="BK1362" s="59"/>
      <c r="BL1362" s="59"/>
      <c r="BM1362" s="59"/>
      <c r="BN1362" s="59"/>
      <c r="BO1362" s="59"/>
      <c r="BP1362" s="59"/>
      <c r="BQ1362" s="59"/>
      <c r="BR1362" s="59"/>
      <c r="BS1362" s="59"/>
      <c r="BT1362" s="59"/>
      <c r="BU1362" s="59"/>
      <c r="BV1362" s="59"/>
      <c r="BW1362" s="59"/>
      <c r="BX1362" s="59"/>
      <c r="BY1362" s="59"/>
      <c r="BZ1362" s="59"/>
      <c r="CA1362" s="59"/>
      <c r="CB1362" s="59"/>
      <c r="CC1362" s="59"/>
      <c r="CD1362" s="59"/>
      <c r="CE1362" s="59"/>
      <c r="CF1362" s="59"/>
      <c r="CG1362" s="59"/>
      <c r="CH1362" s="59"/>
      <c r="CI1362" s="59"/>
      <c r="CJ1362" s="59"/>
      <c r="CK1362" s="59"/>
      <c r="CL1362" s="59"/>
      <c r="CM1362" s="59"/>
      <c r="CN1362" s="59"/>
      <c r="CO1362" s="59"/>
      <c r="CP1362" s="59"/>
      <c r="CQ1362" s="59"/>
      <c r="CR1362" s="59"/>
      <c r="CS1362" s="59"/>
      <c r="CT1362" s="59"/>
      <c r="CU1362" s="59"/>
      <c r="CV1362" s="59"/>
      <c r="CW1362" s="59"/>
      <c r="CX1362" s="59"/>
      <c r="CY1362" s="59"/>
      <c r="CZ1362" s="59"/>
      <c r="DA1362" s="59"/>
      <c r="DB1362" s="59"/>
      <c r="DC1362" s="59"/>
      <c r="DD1362" s="59"/>
      <c r="DE1362" s="59"/>
      <c r="DF1362" s="59"/>
      <c r="DG1362" s="59"/>
      <c r="DH1362" s="59"/>
      <c r="DI1362" s="59"/>
      <c r="DJ1362" s="59"/>
      <c r="DK1362" s="59"/>
      <c r="DL1362" s="59"/>
      <c r="DM1362" s="59"/>
      <c r="DN1362" s="59"/>
      <c r="DO1362" s="59"/>
      <c r="DP1362" s="59"/>
      <c r="DQ1362" s="59"/>
      <c r="DR1362" s="59"/>
      <c r="DS1362" s="59"/>
      <c r="DT1362" s="59"/>
      <c r="DU1362" s="59"/>
      <c r="DV1362" s="59"/>
      <c r="DW1362" s="59"/>
      <c r="DX1362" s="59"/>
      <c r="DY1362" s="59"/>
      <c r="DZ1362" s="59"/>
      <c r="EA1362" s="59"/>
      <c r="EB1362" s="59"/>
      <c r="EC1362" s="59"/>
      <c r="ED1362" s="59"/>
      <c r="EE1362" s="59"/>
      <c r="EF1362" s="59"/>
      <c r="EG1362" s="59"/>
      <c r="EH1362" s="59"/>
      <c r="EI1362" s="59"/>
      <c r="EJ1362" s="59"/>
      <c r="EK1362" s="59"/>
      <c r="EL1362" s="59"/>
      <c r="EM1362" s="59"/>
      <c r="EN1362" s="59"/>
      <c r="EO1362" s="59"/>
      <c r="EP1362" s="59"/>
      <c r="EQ1362" s="59"/>
      <c r="ER1362" s="59"/>
      <c r="ES1362" s="59"/>
      <c r="ET1362" s="59"/>
      <c r="EU1362" s="59"/>
      <c r="EV1362" s="59"/>
      <c r="EW1362" s="59"/>
      <c r="EX1362" s="59"/>
      <c r="EY1362" s="59"/>
      <c r="EZ1362" s="59"/>
      <c r="FA1362" s="59"/>
      <c r="FB1362" s="59"/>
      <c r="FC1362" s="59"/>
      <c r="FD1362" s="59"/>
      <c r="FE1362" s="59"/>
      <c r="FF1362" s="59"/>
      <c r="FG1362" s="59"/>
      <c r="FH1362" s="59"/>
      <c r="FI1362" s="59"/>
      <c r="FJ1362" s="59"/>
      <c r="FK1362" s="59"/>
      <c r="FL1362" s="59"/>
      <c r="FM1362" s="59"/>
      <c r="FN1362" s="59"/>
      <c r="FO1362" s="59"/>
      <c r="FP1362" s="59"/>
      <c r="FQ1362" s="59"/>
      <c r="FR1362" s="59"/>
      <c r="FS1362" s="59"/>
      <c r="FT1362" s="59"/>
      <c r="FU1362" s="59"/>
      <c r="FV1362" s="59"/>
      <c r="FW1362" s="59"/>
      <c r="FX1362" s="59"/>
      <c r="FY1362" s="59"/>
      <c r="FZ1362" s="59"/>
      <c r="GA1362" s="59"/>
      <c r="GB1362" s="59"/>
      <c r="GC1362" s="59"/>
    </row>
    <row r="1363">
      <c r="A1363" s="59"/>
      <c r="B1363" s="59"/>
      <c r="C1363" s="59"/>
      <c r="D1363" s="59"/>
      <c r="E1363" s="59"/>
      <c r="F1363" s="59"/>
      <c r="G1363" s="59"/>
      <c r="H1363" s="59"/>
      <c r="I1363" s="59"/>
      <c r="J1363" s="59"/>
      <c r="K1363" s="59"/>
      <c r="L1363" s="59"/>
      <c r="M1363" s="59"/>
      <c r="N1363" s="59"/>
      <c r="O1363" s="59"/>
      <c r="P1363" s="59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  <c r="AD1363" s="59"/>
      <c r="AE1363" s="59"/>
      <c r="AF1363" s="59"/>
      <c r="AG1363" s="59"/>
      <c r="AH1363" s="59"/>
      <c r="AI1363" s="59"/>
      <c r="AJ1363" s="59"/>
      <c r="AK1363" s="59"/>
      <c r="AL1363" s="59"/>
      <c r="AM1363" s="59"/>
      <c r="AN1363" s="59"/>
      <c r="AO1363" s="59"/>
      <c r="AP1363" s="59"/>
      <c r="AQ1363" s="59"/>
      <c r="AR1363" s="59"/>
      <c r="AS1363" s="59"/>
      <c r="AT1363" s="59"/>
      <c r="AU1363" s="59"/>
      <c r="AV1363" s="59"/>
      <c r="AW1363" s="59"/>
      <c r="AX1363" s="59"/>
      <c r="AY1363" s="59"/>
      <c r="AZ1363" s="59"/>
      <c r="BA1363" s="59"/>
      <c r="BB1363" s="59"/>
      <c r="BC1363" s="59"/>
      <c r="BD1363" s="59"/>
      <c r="BE1363" s="59"/>
      <c r="BF1363" s="59"/>
      <c r="BG1363" s="59"/>
      <c r="BH1363" s="59"/>
      <c r="BI1363" s="59"/>
      <c r="BJ1363" s="59"/>
      <c r="BK1363" s="59"/>
      <c r="BL1363" s="59"/>
      <c r="BM1363" s="59"/>
      <c r="BN1363" s="59"/>
      <c r="BO1363" s="59"/>
      <c r="BP1363" s="59"/>
      <c r="BQ1363" s="59"/>
      <c r="BR1363" s="59"/>
      <c r="BS1363" s="59"/>
      <c r="BT1363" s="59"/>
      <c r="BU1363" s="59"/>
      <c r="BV1363" s="59"/>
      <c r="BW1363" s="59"/>
      <c r="BX1363" s="59"/>
      <c r="BY1363" s="59"/>
      <c r="BZ1363" s="59"/>
      <c r="CA1363" s="59"/>
      <c r="CB1363" s="59"/>
      <c r="CC1363" s="59"/>
      <c r="CD1363" s="59"/>
      <c r="CE1363" s="59"/>
      <c r="CF1363" s="59"/>
      <c r="CG1363" s="59"/>
      <c r="CH1363" s="59"/>
      <c r="CI1363" s="59"/>
      <c r="CJ1363" s="59"/>
      <c r="CK1363" s="59"/>
      <c r="CL1363" s="59"/>
      <c r="CM1363" s="59"/>
      <c r="CN1363" s="59"/>
      <c r="CO1363" s="59"/>
      <c r="CP1363" s="59"/>
      <c r="CQ1363" s="59"/>
      <c r="CR1363" s="59"/>
      <c r="CS1363" s="59"/>
      <c r="CT1363" s="59"/>
      <c r="CU1363" s="59"/>
      <c r="CV1363" s="59"/>
      <c r="CW1363" s="59"/>
      <c r="CX1363" s="59"/>
      <c r="CY1363" s="59"/>
      <c r="CZ1363" s="59"/>
      <c r="DA1363" s="59"/>
      <c r="DB1363" s="59"/>
      <c r="DC1363" s="59"/>
      <c r="DD1363" s="59"/>
      <c r="DE1363" s="59"/>
      <c r="DF1363" s="59"/>
      <c r="DG1363" s="59"/>
      <c r="DH1363" s="59"/>
      <c r="DI1363" s="59"/>
      <c r="DJ1363" s="59"/>
      <c r="DK1363" s="59"/>
      <c r="DL1363" s="59"/>
      <c r="DM1363" s="59"/>
      <c r="DN1363" s="59"/>
      <c r="DO1363" s="59"/>
      <c r="DP1363" s="59"/>
      <c r="DQ1363" s="59"/>
      <c r="DR1363" s="59"/>
      <c r="DS1363" s="59"/>
      <c r="DT1363" s="59"/>
      <c r="DU1363" s="59"/>
      <c r="DV1363" s="59"/>
      <c r="DW1363" s="59"/>
      <c r="DX1363" s="59"/>
      <c r="DY1363" s="59"/>
      <c r="DZ1363" s="59"/>
      <c r="EA1363" s="59"/>
      <c r="EB1363" s="59"/>
      <c r="EC1363" s="59"/>
      <c r="ED1363" s="59"/>
      <c r="EE1363" s="59"/>
      <c r="EF1363" s="59"/>
      <c r="EG1363" s="59"/>
      <c r="EH1363" s="59"/>
      <c r="EI1363" s="59"/>
      <c r="EJ1363" s="59"/>
      <c r="EK1363" s="59"/>
      <c r="EL1363" s="59"/>
      <c r="EM1363" s="59"/>
      <c r="EN1363" s="59"/>
      <c r="EO1363" s="59"/>
      <c r="EP1363" s="59"/>
      <c r="EQ1363" s="59"/>
      <c r="ER1363" s="59"/>
      <c r="ES1363" s="59"/>
      <c r="ET1363" s="59"/>
      <c r="EU1363" s="59"/>
      <c r="EV1363" s="59"/>
      <c r="EW1363" s="59"/>
      <c r="EX1363" s="59"/>
      <c r="EY1363" s="59"/>
      <c r="EZ1363" s="59"/>
      <c r="FA1363" s="59"/>
      <c r="FB1363" s="59"/>
      <c r="FC1363" s="59"/>
      <c r="FD1363" s="59"/>
      <c r="FE1363" s="59"/>
      <c r="FF1363" s="59"/>
      <c r="FG1363" s="59"/>
      <c r="FH1363" s="59"/>
      <c r="FI1363" s="59"/>
      <c r="FJ1363" s="59"/>
      <c r="FK1363" s="59"/>
      <c r="FL1363" s="59"/>
      <c r="FM1363" s="59"/>
      <c r="FN1363" s="59"/>
      <c r="FO1363" s="59"/>
      <c r="FP1363" s="59"/>
      <c r="FQ1363" s="59"/>
      <c r="FR1363" s="59"/>
      <c r="FS1363" s="59"/>
      <c r="FT1363" s="59"/>
      <c r="FU1363" s="59"/>
      <c r="FV1363" s="59"/>
      <c r="FW1363" s="59"/>
      <c r="FX1363" s="59"/>
      <c r="FY1363" s="59"/>
      <c r="FZ1363" s="59"/>
      <c r="GA1363" s="59"/>
      <c r="GB1363" s="59"/>
      <c r="GC1363" s="59"/>
    </row>
    <row r="1364">
      <c r="A1364" s="59"/>
      <c r="B1364" s="59"/>
      <c r="C1364" s="59"/>
      <c r="D1364" s="59"/>
      <c r="E1364" s="59"/>
      <c r="F1364" s="59"/>
      <c r="G1364" s="59"/>
      <c r="H1364" s="59"/>
      <c r="I1364" s="59"/>
      <c r="J1364" s="59"/>
      <c r="K1364" s="59"/>
      <c r="L1364" s="59"/>
      <c r="M1364" s="59"/>
      <c r="N1364" s="59"/>
      <c r="O1364" s="59"/>
      <c r="P1364" s="59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59"/>
      <c r="AU1364" s="59"/>
      <c r="AV1364" s="59"/>
      <c r="AW1364" s="59"/>
      <c r="AX1364" s="59"/>
      <c r="AY1364" s="59"/>
      <c r="AZ1364" s="59"/>
      <c r="BA1364" s="59"/>
      <c r="BB1364" s="59"/>
      <c r="BC1364" s="59"/>
      <c r="BD1364" s="59"/>
      <c r="BE1364" s="59"/>
      <c r="BF1364" s="59"/>
      <c r="BG1364" s="59"/>
      <c r="BH1364" s="59"/>
      <c r="BI1364" s="59"/>
      <c r="BJ1364" s="59"/>
      <c r="BK1364" s="59"/>
      <c r="BL1364" s="59"/>
      <c r="BM1364" s="59"/>
      <c r="BN1364" s="59"/>
      <c r="BO1364" s="59"/>
      <c r="BP1364" s="59"/>
      <c r="BQ1364" s="59"/>
      <c r="BR1364" s="59"/>
      <c r="BS1364" s="59"/>
      <c r="BT1364" s="59"/>
      <c r="BU1364" s="59"/>
      <c r="BV1364" s="59"/>
      <c r="BW1364" s="59"/>
      <c r="BX1364" s="59"/>
      <c r="BY1364" s="59"/>
      <c r="BZ1364" s="59"/>
      <c r="CA1364" s="59"/>
      <c r="CB1364" s="59"/>
      <c r="CC1364" s="59"/>
      <c r="CD1364" s="59"/>
      <c r="CE1364" s="59"/>
      <c r="CF1364" s="59"/>
      <c r="CG1364" s="59"/>
      <c r="CH1364" s="59"/>
      <c r="CI1364" s="59"/>
      <c r="CJ1364" s="59"/>
      <c r="CK1364" s="59"/>
      <c r="CL1364" s="59"/>
      <c r="CM1364" s="59"/>
      <c r="CN1364" s="59"/>
      <c r="CO1364" s="59"/>
      <c r="CP1364" s="59"/>
      <c r="CQ1364" s="59"/>
      <c r="CR1364" s="59"/>
      <c r="CS1364" s="59"/>
      <c r="CT1364" s="59"/>
      <c r="CU1364" s="59"/>
      <c r="CV1364" s="59"/>
      <c r="CW1364" s="59"/>
      <c r="CX1364" s="59"/>
      <c r="CY1364" s="59"/>
      <c r="CZ1364" s="59"/>
      <c r="DA1364" s="59"/>
      <c r="DB1364" s="59"/>
      <c r="DC1364" s="59"/>
      <c r="DD1364" s="59"/>
      <c r="DE1364" s="59"/>
      <c r="DF1364" s="59"/>
      <c r="DG1364" s="59"/>
      <c r="DH1364" s="59"/>
      <c r="DI1364" s="59"/>
      <c r="DJ1364" s="59"/>
      <c r="DK1364" s="59"/>
      <c r="DL1364" s="59"/>
      <c r="DM1364" s="59"/>
      <c r="DN1364" s="59"/>
      <c r="DO1364" s="59"/>
      <c r="DP1364" s="59"/>
      <c r="DQ1364" s="59"/>
      <c r="DR1364" s="59"/>
      <c r="DS1364" s="59"/>
      <c r="DT1364" s="59"/>
      <c r="DU1364" s="59"/>
      <c r="DV1364" s="59"/>
      <c r="DW1364" s="59"/>
      <c r="DX1364" s="59"/>
      <c r="DY1364" s="59"/>
      <c r="DZ1364" s="59"/>
      <c r="EA1364" s="59"/>
      <c r="EB1364" s="59"/>
      <c r="EC1364" s="59"/>
      <c r="ED1364" s="59"/>
      <c r="EE1364" s="59"/>
      <c r="EF1364" s="59"/>
      <c r="EG1364" s="59"/>
      <c r="EH1364" s="59"/>
      <c r="EI1364" s="59"/>
      <c r="EJ1364" s="59"/>
      <c r="EK1364" s="59"/>
      <c r="EL1364" s="59"/>
      <c r="EM1364" s="59"/>
      <c r="EN1364" s="59"/>
      <c r="EO1364" s="59"/>
      <c r="EP1364" s="59"/>
      <c r="EQ1364" s="59"/>
      <c r="ER1364" s="59"/>
      <c r="ES1364" s="59"/>
      <c r="ET1364" s="59"/>
      <c r="EU1364" s="59"/>
      <c r="EV1364" s="59"/>
      <c r="EW1364" s="59"/>
      <c r="EX1364" s="59"/>
      <c r="EY1364" s="59"/>
      <c r="EZ1364" s="59"/>
      <c r="FA1364" s="59"/>
      <c r="FB1364" s="59"/>
      <c r="FC1364" s="59"/>
      <c r="FD1364" s="59"/>
      <c r="FE1364" s="59"/>
      <c r="FF1364" s="59"/>
      <c r="FG1364" s="59"/>
      <c r="FH1364" s="59"/>
      <c r="FI1364" s="59"/>
      <c r="FJ1364" s="59"/>
      <c r="FK1364" s="59"/>
      <c r="FL1364" s="59"/>
      <c r="FM1364" s="59"/>
      <c r="FN1364" s="59"/>
      <c r="FO1364" s="59"/>
      <c r="FP1364" s="59"/>
      <c r="FQ1364" s="59"/>
      <c r="FR1364" s="59"/>
      <c r="FS1364" s="59"/>
      <c r="FT1364" s="59"/>
      <c r="FU1364" s="59"/>
      <c r="FV1364" s="59"/>
      <c r="FW1364" s="59"/>
      <c r="FX1364" s="59"/>
      <c r="FY1364" s="59"/>
      <c r="FZ1364" s="59"/>
      <c r="GA1364" s="59"/>
      <c r="GB1364" s="59"/>
      <c r="GC1364" s="59"/>
    </row>
    <row r="1365">
      <c r="A1365" s="59"/>
      <c r="B1365" s="59"/>
      <c r="C1365" s="59"/>
      <c r="D1365" s="59"/>
      <c r="E1365" s="59"/>
      <c r="F1365" s="59"/>
      <c r="G1365" s="59"/>
      <c r="H1365" s="59"/>
      <c r="I1365" s="59"/>
      <c r="J1365" s="59"/>
      <c r="K1365" s="59"/>
      <c r="L1365" s="59"/>
      <c r="M1365" s="59"/>
      <c r="N1365" s="59"/>
      <c r="O1365" s="59"/>
      <c r="P1365" s="59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  <c r="AD1365" s="59"/>
      <c r="AE1365" s="59"/>
      <c r="AF1365" s="59"/>
      <c r="AG1365" s="59"/>
      <c r="AH1365" s="59"/>
      <c r="AI1365" s="59"/>
      <c r="AJ1365" s="59"/>
      <c r="AK1365" s="59"/>
      <c r="AL1365" s="59"/>
      <c r="AM1365" s="59"/>
      <c r="AN1365" s="59"/>
      <c r="AO1365" s="59"/>
      <c r="AP1365" s="59"/>
      <c r="AQ1365" s="59"/>
      <c r="AR1365" s="59"/>
      <c r="AS1365" s="59"/>
      <c r="AT1365" s="59"/>
      <c r="AU1365" s="59"/>
      <c r="AV1365" s="59"/>
      <c r="AW1365" s="59"/>
      <c r="AX1365" s="59"/>
      <c r="AY1365" s="59"/>
      <c r="AZ1365" s="59"/>
      <c r="BA1365" s="59"/>
      <c r="BB1365" s="59"/>
      <c r="BC1365" s="59"/>
      <c r="BD1365" s="59"/>
      <c r="BE1365" s="59"/>
      <c r="BF1365" s="59"/>
      <c r="BG1365" s="59"/>
      <c r="BH1365" s="59"/>
      <c r="BI1365" s="59"/>
      <c r="BJ1365" s="59"/>
      <c r="BK1365" s="59"/>
      <c r="BL1365" s="59"/>
      <c r="BM1365" s="59"/>
      <c r="BN1365" s="59"/>
      <c r="BO1365" s="59"/>
      <c r="BP1365" s="59"/>
      <c r="BQ1365" s="59"/>
      <c r="BR1365" s="59"/>
      <c r="BS1365" s="59"/>
      <c r="BT1365" s="59"/>
      <c r="BU1365" s="59"/>
      <c r="BV1365" s="59"/>
      <c r="BW1365" s="59"/>
      <c r="BX1365" s="59"/>
      <c r="BY1365" s="59"/>
      <c r="BZ1365" s="59"/>
      <c r="CA1365" s="59"/>
      <c r="CB1365" s="59"/>
      <c r="CC1365" s="59"/>
      <c r="CD1365" s="59"/>
      <c r="CE1365" s="59"/>
      <c r="CF1365" s="59"/>
      <c r="CG1365" s="59"/>
      <c r="CH1365" s="59"/>
      <c r="CI1365" s="59"/>
      <c r="CJ1365" s="59"/>
      <c r="CK1365" s="59"/>
      <c r="CL1365" s="59"/>
      <c r="CM1365" s="59"/>
      <c r="CN1365" s="59"/>
      <c r="CO1365" s="59"/>
      <c r="CP1365" s="59"/>
      <c r="CQ1365" s="59"/>
      <c r="CR1365" s="59"/>
      <c r="CS1365" s="59"/>
      <c r="CT1365" s="59"/>
      <c r="CU1365" s="59"/>
      <c r="CV1365" s="59"/>
      <c r="CW1365" s="59"/>
      <c r="CX1365" s="59"/>
      <c r="CY1365" s="59"/>
      <c r="CZ1365" s="59"/>
      <c r="DA1365" s="59"/>
      <c r="DB1365" s="59"/>
      <c r="DC1365" s="59"/>
      <c r="DD1365" s="59"/>
      <c r="DE1365" s="59"/>
      <c r="DF1365" s="59"/>
      <c r="DG1365" s="59"/>
      <c r="DH1365" s="59"/>
      <c r="DI1365" s="59"/>
      <c r="DJ1365" s="59"/>
      <c r="DK1365" s="59"/>
      <c r="DL1365" s="59"/>
      <c r="DM1365" s="59"/>
      <c r="DN1365" s="59"/>
      <c r="DO1365" s="59"/>
      <c r="DP1365" s="59"/>
      <c r="DQ1365" s="59"/>
      <c r="DR1365" s="59"/>
      <c r="DS1365" s="59"/>
      <c r="DT1365" s="59"/>
      <c r="DU1365" s="59"/>
      <c r="DV1365" s="59"/>
      <c r="DW1365" s="59"/>
      <c r="DX1365" s="59"/>
      <c r="DY1365" s="59"/>
      <c r="DZ1365" s="59"/>
      <c r="EA1365" s="59"/>
      <c r="EB1365" s="59"/>
      <c r="EC1365" s="59"/>
      <c r="ED1365" s="59"/>
      <c r="EE1365" s="59"/>
      <c r="EF1365" s="59"/>
      <c r="EG1365" s="59"/>
      <c r="EH1365" s="59"/>
      <c r="EI1365" s="59"/>
      <c r="EJ1365" s="59"/>
      <c r="EK1365" s="59"/>
      <c r="EL1365" s="59"/>
      <c r="EM1365" s="59"/>
      <c r="EN1365" s="59"/>
      <c r="EO1365" s="59"/>
      <c r="EP1365" s="59"/>
      <c r="EQ1365" s="59"/>
      <c r="ER1365" s="59"/>
      <c r="ES1365" s="59"/>
      <c r="ET1365" s="59"/>
      <c r="EU1365" s="59"/>
      <c r="EV1365" s="59"/>
      <c r="EW1365" s="59"/>
      <c r="EX1365" s="59"/>
      <c r="EY1365" s="59"/>
      <c r="EZ1365" s="59"/>
      <c r="FA1365" s="59"/>
      <c r="FB1365" s="59"/>
      <c r="FC1365" s="59"/>
      <c r="FD1365" s="59"/>
      <c r="FE1365" s="59"/>
      <c r="FF1365" s="59"/>
      <c r="FG1365" s="59"/>
      <c r="FH1365" s="59"/>
      <c r="FI1365" s="59"/>
      <c r="FJ1365" s="59"/>
      <c r="FK1365" s="59"/>
      <c r="FL1365" s="59"/>
      <c r="FM1365" s="59"/>
      <c r="FN1365" s="59"/>
      <c r="FO1365" s="59"/>
      <c r="FP1365" s="59"/>
      <c r="FQ1365" s="59"/>
      <c r="FR1365" s="59"/>
      <c r="FS1365" s="59"/>
      <c r="FT1365" s="59"/>
      <c r="FU1365" s="59"/>
      <c r="FV1365" s="59"/>
      <c r="FW1365" s="59"/>
      <c r="FX1365" s="59"/>
      <c r="FY1365" s="59"/>
      <c r="FZ1365" s="59"/>
      <c r="GA1365" s="59"/>
      <c r="GB1365" s="59"/>
      <c r="GC1365" s="59"/>
    </row>
    <row r="1366">
      <c r="A1366" s="59"/>
      <c r="B1366" s="59"/>
      <c r="C1366" s="59"/>
      <c r="D1366" s="59"/>
      <c r="E1366" s="59"/>
      <c r="F1366" s="59"/>
      <c r="G1366" s="59"/>
      <c r="H1366" s="59"/>
      <c r="I1366" s="59"/>
      <c r="J1366" s="59"/>
      <c r="K1366" s="59"/>
      <c r="L1366" s="59"/>
      <c r="M1366" s="59"/>
      <c r="N1366" s="59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59"/>
      <c r="AU1366" s="59"/>
      <c r="AV1366" s="59"/>
      <c r="AW1366" s="59"/>
      <c r="AX1366" s="59"/>
      <c r="AY1366" s="59"/>
      <c r="AZ1366" s="59"/>
      <c r="BA1366" s="59"/>
      <c r="BB1366" s="59"/>
      <c r="BC1366" s="59"/>
      <c r="BD1366" s="59"/>
      <c r="BE1366" s="59"/>
      <c r="BF1366" s="59"/>
      <c r="BG1366" s="59"/>
      <c r="BH1366" s="59"/>
      <c r="BI1366" s="59"/>
      <c r="BJ1366" s="59"/>
      <c r="BK1366" s="59"/>
      <c r="BL1366" s="59"/>
      <c r="BM1366" s="59"/>
      <c r="BN1366" s="59"/>
      <c r="BO1366" s="59"/>
      <c r="BP1366" s="59"/>
      <c r="BQ1366" s="59"/>
      <c r="BR1366" s="59"/>
      <c r="BS1366" s="59"/>
      <c r="BT1366" s="59"/>
      <c r="BU1366" s="59"/>
      <c r="BV1366" s="59"/>
      <c r="BW1366" s="59"/>
      <c r="BX1366" s="59"/>
      <c r="BY1366" s="59"/>
      <c r="BZ1366" s="59"/>
      <c r="CA1366" s="59"/>
      <c r="CB1366" s="59"/>
      <c r="CC1366" s="59"/>
      <c r="CD1366" s="59"/>
      <c r="CE1366" s="59"/>
      <c r="CF1366" s="59"/>
      <c r="CG1366" s="59"/>
      <c r="CH1366" s="59"/>
      <c r="CI1366" s="59"/>
      <c r="CJ1366" s="59"/>
      <c r="CK1366" s="59"/>
      <c r="CL1366" s="59"/>
      <c r="CM1366" s="59"/>
      <c r="CN1366" s="59"/>
      <c r="CO1366" s="59"/>
      <c r="CP1366" s="59"/>
      <c r="CQ1366" s="59"/>
      <c r="CR1366" s="59"/>
      <c r="CS1366" s="59"/>
      <c r="CT1366" s="59"/>
      <c r="CU1366" s="59"/>
      <c r="CV1366" s="59"/>
      <c r="CW1366" s="59"/>
      <c r="CX1366" s="59"/>
      <c r="CY1366" s="59"/>
      <c r="CZ1366" s="59"/>
      <c r="DA1366" s="59"/>
      <c r="DB1366" s="59"/>
      <c r="DC1366" s="59"/>
      <c r="DD1366" s="59"/>
      <c r="DE1366" s="59"/>
      <c r="DF1366" s="59"/>
      <c r="DG1366" s="59"/>
      <c r="DH1366" s="59"/>
      <c r="DI1366" s="59"/>
      <c r="DJ1366" s="59"/>
      <c r="DK1366" s="59"/>
      <c r="DL1366" s="59"/>
      <c r="DM1366" s="59"/>
      <c r="DN1366" s="59"/>
      <c r="DO1366" s="59"/>
      <c r="DP1366" s="59"/>
      <c r="DQ1366" s="59"/>
      <c r="DR1366" s="59"/>
      <c r="DS1366" s="59"/>
      <c r="DT1366" s="59"/>
      <c r="DU1366" s="59"/>
      <c r="DV1366" s="59"/>
      <c r="DW1366" s="59"/>
      <c r="DX1366" s="59"/>
      <c r="DY1366" s="59"/>
      <c r="DZ1366" s="59"/>
      <c r="EA1366" s="59"/>
      <c r="EB1366" s="59"/>
      <c r="EC1366" s="59"/>
      <c r="ED1366" s="59"/>
      <c r="EE1366" s="59"/>
      <c r="EF1366" s="59"/>
      <c r="EG1366" s="59"/>
      <c r="EH1366" s="59"/>
      <c r="EI1366" s="59"/>
      <c r="EJ1366" s="59"/>
      <c r="EK1366" s="59"/>
      <c r="EL1366" s="59"/>
      <c r="EM1366" s="59"/>
      <c r="EN1366" s="59"/>
      <c r="EO1366" s="59"/>
      <c r="EP1366" s="59"/>
      <c r="EQ1366" s="59"/>
      <c r="ER1366" s="59"/>
      <c r="ES1366" s="59"/>
      <c r="ET1366" s="59"/>
      <c r="EU1366" s="59"/>
      <c r="EV1366" s="59"/>
      <c r="EW1366" s="59"/>
      <c r="EX1366" s="59"/>
      <c r="EY1366" s="59"/>
      <c r="EZ1366" s="59"/>
      <c r="FA1366" s="59"/>
      <c r="FB1366" s="59"/>
      <c r="FC1366" s="59"/>
      <c r="FD1366" s="59"/>
      <c r="FE1366" s="59"/>
      <c r="FF1366" s="59"/>
      <c r="FG1366" s="59"/>
      <c r="FH1366" s="59"/>
      <c r="FI1366" s="59"/>
      <c r="FJ1366" s="59"/>
      <c r="FK1366" s="59"/>
      <c r="FL1366" s="59"/>
      <c r="FM1366" s="59"/>
      <c r="FN1366" s="59"/>
      <c r="FO1366" s="59"/>
      <c r="FP1366" s="59"/>
      <c r="FQ1366" s="59"/>
      <c r="FR1366" s="59"/>
      <c r="FS1366" s="59"/>
      <c r="FT1366" s="59"/>
      <c r="FU1366" s="59"/>
      <c r="FV1366" s="59"/>
      <c r="FW1366" s="59"/>
      <c r="FX1366" s="59"/>
      <c r="FY1366" s="59"/>
      <c r="FZ1366" s="59"/>
      <c r="GA1366" s="59"/>
      <c r="GB1366" s="59"/>
      <c r="GC1366" s="59"/>
    </row>
    <row r="1367">
      <c r="A1367" s="59"/>
      <c r="B1367" s="59"/>
      <c r="C1367" s="59"/>
      <c r="D1367" s="59"/>
      <c r="E1367" s="59"/>
      <c r="F1367" s="59"/>
      <c r="G1367" s="59"/>
      <c r="H1367" s="59"/>
      <c r="I1367" s="59"/>
      <c r="J1367" s="59"/>
      <c r="K1367" s="59"/>
      <c r="L1367" s="59"/>
      <c r="M1367" s="59"/>
      <c r="N1367" s="59"/>
      <c r="O1367" s="59"/>
      <c r="P1367" s="59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  <c r="AD1367" s="59"/>
      <c r="AE1367" s="59"/>
      <c r="AF1367" s="59"/>
      <c r="AG1367" s="59"/>
      <c r="AH1367" s="59"/>
      <c r="AI1367" s="59"/>
      <c r="AJ1367" s="59"/>
      <c r="AK1367" s="59"/>
      <c r="AL1367" s="59"/>
      <c r="AM1367" s="59"/>
      <c r="AN1367" s="59"/>
      <c r="AO1367" s="59"/>
      <c r="AP1367" s="59"/>
      <c r="AQ1367" s="59"/>
      <c r="AR1367" s="59"/>
      <c r="AS1367" s="59"/>
      <c r="AT1367" s="59"/>
      <c r="AU1367" s="59"/>
      <c r="AV1367" s="59"/>
      <c r="AW1367" s="59"/>
      <c r="AX1367" s="59"/>
      <c r="AY1367" s="59"/>
      <c r="AZ1367" s="59"/>
      <c r="BA1367" s="59"/>
      <c r="BB1367" s="59"/>
      <c r="BC1367" s="59"/>
      <c r="BD1367" s="59"/>
      <c r="BE1367" s="59"/>
      <c r="BF1367" s="59"/>
      <c r="BG1367" s="59"/>
      <c r="BH1367" s="59"/>
      <c r="BI1367" s="59"/>
      <c r="BJ1367" s="59"/>
      <c r="BK1367" s="59"/>
      <c r="BL1367" s="59"/>
      <c r="BM1367" s="59"/>
      <c r="BN1367" s="59"/>
      <c r="BO1367" s="59"/>
      <c r="BP1367" s="59"/>
      <c r="BQ1367" s="59"/>
      <c r="BR1367" s="59"/>
      <c r="BS1367" s="59"/>
      <c r="BT1367" s="59"/>
      <c r="BU1367" s="59"/>
      <c r="BV1367" s="59"/>
      <c r="BW1367" s="59"/>
      <c r="BX1367" s="59"/>
      <c r="BY1367" s="59"/>
      <c r="BZ1367" s="59"/>
      <c r="CA1367" s="59"/>
      <c r="CB1367" s="59"/>
      <c r="CC1367" s="59"/>
      <c r="CD1367" s="59"/>
      <c r="CE1367" s="59"/>
      <c r="CF1367" s="59"/>
      <c r="CG1367" s="59"/>
      <c r="CH1367" s="59"/>
      <c r="CI1367" s="59"/>
      <c r="CJ1367" s="59"/>
      <c r="CK1367" s="59"/>
      <c r="CL1367" s="59"/>
      <c r="CM1367" s="59"/>
      <c r="CN1367" s="59"/>
      <c r="CO1367" s="59"/>
      <c r="CP1367" s="59"/>
      <c r="CQ1367" s="59"/>
      <c r="CR1367" s="59"/>
      <c r="CS1367" s="59"/>
      <c r="CT1367" s="59"/>
      <c r="CU1367" s="59"/>
      <c r="CV1367" s="59"/>
      <c r="CW1367" s="59"/>
      <c r="CX1367" s="59"/>
      <c r="CY1367" s="59"/>
      <c r="CZ1367" s="59"/>
      <c r="DA1367" s="59"/>
      <c r="DB1367" s="59"/>
      <c r="DC1367" s="59"/>
      <c r="DD1367" s="59"/>
      <c r="DE1367" s="59"/>
      <c r="DF1367" s="59"/>
      <c r="DG1367" s="59"/>
      <c r="DH1367" s="59"/>
      <c r="DI1367" s="59"/>
      <c r="DJ1367" s="59"/>
      <c r="DK1367" s="59"/>
      <c r="DL1367" s="59"/>
      <c r="DM1367" s="59"/>
      <c r="DN1367" s="59"/>
      <c r="DO1367" s="59"/>
      <c r="DP1367" s="59"/>
      <c r="DQ1367" s="59"/>
      <c r="DR1367" s="59"/>
      <c r="DS1367" s="59"/>
      <c r="DT1367" s="59"/>
      <c r="DU1367" s="59"/>
      <c r="DV1367" s="59"/>
      <c r="DW1367" s="59"/>
      <c r="DX1367" s="59"/>
      <c r="DY1367" s="59"/>
      <c r="DZ1367" s="59"/>
      <c r="EA1367" s="59"/>
      <c r="EB1367" s="59"/>
      <c r="EC1367" s="59"/>
      <c r="ED1367" s="59"/>
      <c r="EE1367" s="59"/>
      <c r="EF1367" s="59"/>
      <c r="EG1367" s="59"/>
      <c r="EH1367" s="59"/>
      <c r="EI1367" s="59"/>
      <c r="EJ1367" s="59"/>
      <c r="EK1367" s="59"/>
      <c r="EL1367" s="59"/>
      <c r="EM1367" s="59"/>
      <c r="EN1367" s="59"/>
      <c r="EO1367" s="59"/>
      <c r="EP1367" s="59"/>
      <c r="EQ1367" s="59"/>
      <c r="ER1367" s="59"/>
      <c r="ES1367" s="59"/>
      <c r="ET1367" s="59"/>
      <c r="EU1367" s="59"/>
      <c r="EV1367" s="59"/>
      <c r="EW1367" s="59"/>
      <c r="EX1367" s="59"/>
      <c r="EY1367" s="59"/>
      <c r="EZ1367" s="59"/>
      <c r="FA1367" s="59"/>
      <c r="FB1367" s="59"/>
      <c r="FC1367" s="59"/>
      <c r="FD1367" s="59"/>
      <c r="FE1367" s="59"/>
      <c r="FF1367" s="59"/>
      <c r="FG1367" s="59"/>
      <c r="FH1367" s="59"/>
      <c r="FI1367" s="59"/>
      <c r="FJ1367" s="59"/>
      <c r="FK1367" s="59"/>
      <c r="FL1367" s="59"/>
      <c r="FM1367" s="59"/>
      <c r="FN1367" s="59"/>
      <c r="FO1367" s="59"/>
      <c r="FP1367" s="59"/>
      <c r="FQ1367" s="59"/>
      <c r="FR1367" s="59"/>
      <c r="FS1367" s="59"/>
      <c r="FT1367" s="59"/>
      <c r="FU1367" s="59"/>
      <c r="FV1367" s="59"/>
      <c r="FW1367" s="59"/>
      <c r="FX1367" s="59"/>
      <c r="FY1367" s="59"/>
      <c r="FZ1367" s="59"/>
      <c r="GA1367" s="59"/>
      <c r="GB1367" s="59"/>
      <c r="GC1367" s="59"/>
    </row>
    <row r="1368">
      <c r="A1368" s="59"/>
      <c r="B1368" s="59"/>
      <c r="C1368" s="59"/>
      <c r="D1368" s="59"/>
      <c r="E1368" s="59"/>
      <c r="F1368" s="59"/>
      <c r="G1368" s="59"/>
      <c r="H1368" s="59"/>
      <c r="I1368" s="59"/>
      <c r="J1368" s="59"/>
      <c r="K1368" s="59"/>
      <c r="L1368" s="59"/>
      <c r="M1368" s="59"/>
      <c r="N1368" s="59"/>
      <c r="O1368" s="59"/>
      <c r="P1368" s="59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59"/>
      <c r="AU1368" s="59"/>
      <c r="AV1368" s="59"/>
      <c r="AW1368" s="59"/>
      <c r="AX1368" s="59"/>
      <c r="AY1368" s="59"/>
      <c r="AZ1368" s="59"/>
      <c r="BA1368" s="59"/>
      <c r="BB1368" s="59"/>
      <c r="BC1368" s="59"/>
      <c r="BD1368" s="59"/>
      <c r="BE1368" s="59"/>
      <c r="BF1368" s="59"/>
      <c r="BG1368" s="59"/>
      <c r="BH1368" s="59"/>
      <c r="BI1368" s="59"/>
      <c r="BJ1368" s="59"/>
      <c r="BK1368" s="59"/>
      <c r="BL1368" s="59"/>
      <c r="BM1368" s="59"/>
      <c r="BN1368" s="59"/>
      <c r="BO1368" s="59"/>
      <c r="BP1368" s="59"/>
      <c r="BQ1368" s="59"/>
      <c r="BR1368" s="59"/>
      <c r="BS1368" s="59"/>
      <c r="BT1368" s="59"/>
      <c r="BU1368" s="59"/>
      <c r="BV1368" s="59"/>
      <c r="BW1368" s="59"/>
      <c r="BX1368" s="59"/>
      <c r="BY1368" s="59"/>
      <c r="BZ1368" s="59"/>
      <c r="CA1368" s="59"/>
      <c r="CB1368" s="59"/>
      <c r="CC1368" s="59"/>
      <c r="CD1368" s="59"/>
      <c r="CE1368" s="59"/>
      <c r="CF1368" s="59"/>
      <c r="CG1368" s="59"/>
      <c r="CH1368" s="59"/>
      <c r="CI1368" s="59"/>
      <c r="CJ1368" s="59"/>
      <c r="CK1368" s="59"/>
      <c r="CL1368" s="59"/>
      <c r="CM1368" s="59"/>
      <c r="CN1368" s="59"/>
      <c r="CO1368" s="59"/>
      <c r="CP1368" s="59"/>
      <c r="CQ1368" s="59"/>
      <c r="CR1368" s="59"/>
      <c r="CS1368" s="59"/>
      <c r="CT1368" s="59"/>
      <c r="CU1368" s="59"/>
      <c r="CV1368" s="59"/>
      <c r="CW1368" s="59"/>
      <c r="CX1368" s="59"/>
      <c r="CY1368" s="59"/>
      <c r="CZ1368" s="59"/>
      <c r="DA1368" s="59"/>
      <c r="DB1368" s="59"/>
      <c r="DC1368" s="59"/>
      <c r="DD1368" s="59"/>
      <c r="DE1368" s="59"/>
      <c r="DF1368" s="59"/>
      <c r="DG1368" s="59"/>
      <c r="DH1368" s="59"/>
      <c r="DI1368" s="59"/>
      <c r="DJ1368" s="59"/>
      <c r="DK1368" s="59"/>
      <c r="DL1368" s="59"/>
      <c r="DM1368" s="59"/>
      <c r="DN1368" s="59"/>
      <c r="DO1368" s="59"/>
      <c r="DP1368" s="59"/>
      <c r="DQ1368" s="59"/>
      <c r="DR1368" s="59"/>
      <c r="DS1368" s="59"/>
      <c r="DT1368" s="59"/>
      <c r="DU1368" s="59"/>
      <c r="DV1368" s="59"/>
      <c r="DW1368" s="59"/>
      <c r="DX1368" s="59"/>
      <c r="DY1368" s="59"/>
      <c r="DZ1368" s="59"/>
      <c r="EA1368" s="59"/>
      <c r="EB1368" s="59"/>
      <c r="EC1368" s="59"/>
      <c r="ED1368" s="59"/>
      <c r="EE1368" s="59"/>
      <c r="EF1368" s="59"/>
      <c r="EG1368" s="59"/>
      <c r="EH1368" s="59"/>
      <c r="EI1368" s="59"/>
      <c r="EJ1368" s="59"/>
      <c r="EK1368" s="59"/>
      <c r="EL1368" s="59"/>
      <c r="EM1368" s="59"/>
      <c r="EN1368" s="59"/>
      <c r="EO1368" s="59"/>
      <c r="EP1368" s="59"/>
      <c r="EQ1368" s="59"/>
      <c r="ER1368" s="59"/>
      <c r="ES1368" s="59"/>
      <c r="ET1368" s="59"/>
      <c r="EU1368" s="59"/>
      <c r="EV1368" s="59"/>
      <c r="EW1368" s="59"/>
      <c r="EX1368" s="59"/>
      <c r="EY1368" s="59"/>
      <c r="EZ1368" s="59"/>
      <c r="FA1368" s="59"/>
      <c r="FB1368" s="59"/>
      <c r="FC1368" s="59"/>
      <c r="FD1368" s="59"/>
      <c r="FE1368" s="59"/>
      <c r="FF1368" s="59"/>
      <c r="FG1368" s="59"/>
      <c r="FH1368" s="59"/>
      <c r="FI1368" s="59"/>
      <c r="FJ1368" s="59"/>
      <c r="FK1368" s="59"/>
      <c r="FL1368" s="59"/>
      <c r="FM1368" s="59"/>
      <c r="FN1368" s="59"/>
      <c r="FO1368" s="59"/>
      <c r="FP1368" s="59"/>
      <c r="FQ1368" s="59"/>
      <c r="FR1368" s="59"/>
      <c r="FS1368" s="59"/>
      <c r="FT1368" s="59"/>
      <c r="FU1368" s="59"/>
      <c r="FV1368" s="59"/>
      <c r="FW1368" s="59"/>
      <c r="FX1368" s="59"/>
      <c r="FY1368" s="59"/>
      <c r="FZ1368" s="59"/>
      <c r="GA1368" s="59"/>
      <c r="GB1368" s="59"/>
      <c r="GC1368" s="59"/>
    </row>
    <row r="1369">
      <c r="A1369" s="59"/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  <c r="AR1369" s="59"/>
      <c r="AS1369" s="59"/>
      <c r="AT1369" s="59"/>
      <c r="AU1369" s="59"/>
      <c r="AV1369" s="59"/>
      <c r="AW1369" s="59"/>
      <c r="AX1369" s="59"/>
      <c r="AY1369" s="59"/>
      <c r="AZ1369" s="59"/>
      <c r="BA1369" s="59"/>
      <c r="BB1369" s="59"/>
      <c r="BC1369" s="59"/>
      <c r="BD1369" s="59"/>
      <c r="BE1369" s="59"/>
      <c r="BF1369" s="59"/>
      <c r="BG1369" s="59"/>
      <c r="BH1369" s="59"/>
      <c r="BI1369" s="59"/>
      <c r="BJ1369" s="59"/>
      <c r="BK1369" s="59"/>
      <c r="BL1369" s="59"/>
      <c r="BM1369" s="59"/>
      <c r="BN1369" s="59"/>
      <c r="BO1369" s="59"/>
      <c r="BP1369" s="59"/>
      <c r="BQ1369" s="59"/>
      <c r="BR1369" s="59"/>
      <c r="BS1369" s="59"/>
      <c r="BT1369" s="59"/>
      <c r="BU1369" s="59"/>
      <c r="BV1369" s="59"/>
      <c r="BW1369" s="59"/>
      <c r="BX1369" s="59"/>
      <c r="BY1369" s="59"/>
      <c r="BZ1369" s="59"/>
      <c r="CA1369" s="59"/>
      <c r="CB1369" s="59"/>
      <c r="CC1369" s="59"/>
      <c r="CD1369" s="59"/>
      <c r="CE1369" s="59"/>
      <c r="CF1369" s="59"/>
      <c r="CG1369" s="59"/>
      <c r="CH1369" s="59"/>
      <c r="CI1369" s="59"/>
      <c r="CJ1369" s="59"/>
      <c r="CK1369" s="59"/>
      <c r="CL1369" s="59"/>
      <c r="CM1369" s="59"/>
      <c r="CN1369" s="59"/>
      <c r="CO1369" s="59"/>
      <c r="CP1369" s="59"/>
      <c r="CQ1369" s="59"/>
      <c r="CR1369" s="59"/>
      <c r="CS1369" s="59"/>
      <c r="CT1369" s="59"/>
      <c r="CU1369" s="59"/>
      <c r="CV1369" s="59"/>
      <c r="CW1369" s="59"/>
      <c r="CX1369" s="59"/>
      <c r="CY1369" s="59"/>
      <c r="CZ1369" s="59"/>
      <c r="DA1369" s="59"/>
      <c r="DB1369" s="59"/>
      <c r="DC1369" s="59"/>
      <c r="DD1369" s="59"/>
      <c r="DE1369" s="59"/>
      <c r="DF1369" s="59"/>
      <c r="DG1369" s="59"/>
      <c r="DH1369" s="59"/>
      <c r="DI1369" s="59"/>
      <c r="DJ1369" s="59"/>
      <c r="DK1369" s="59"/>
      <c r="DL1369" s="59"/>
      <c r="DM1369" s="59"/>
      <c r="DN1369" s="59"/>
      <c r="DO1369" s="59"/>
      <c r="DP1369" s="59"/>
      <c r="DQ1369" s="59"/>
      <c r="DR1369" s="59"/>
      <c r="DS1369" s="59"/>
      <c r="DT1369" s="59"/>
      <c r="DU1369" s="59"/>
      <c r="DV1369" s="59"/>
      <c r="DW1369" s="59"/>
      <c r="DX1369" s="59"/>
      <c r="DY1369" s="59"/>
      <c r="DZ1369" s="59"/>
      <c r="EA1369" s="59"/>
      <c r="EB1369" s="59"/>
      <c r="EC1369" s="59"/>
      <c r="ED1369" s="59"/>
      <c r="EE1369" s="59"/>
      <c r="EF1369" s="59"/>
      <c r="EG1369" s="59"/>
      <c r="EH1369" s="59"/>
      <c r="EI1369" s="59"/>
      <c r="EJ1369" s="59"/>
      <c r="EK1369" s="59"/>
      <c r="EL1369" s="59"/>
      <c r="EM1369" s="59"/>
      <c r="EN1369" s="59"/>
      <c r="EO1369" s="59"/>
      <c r="EP1369" s="59"/>
      <c r="EQ1369" s="59"/>
      <c r="ER1369" s="59"/>
      <c r="ES1369" s="59"/>
      <c r="ET1369" s="59"/>
      <c r="EU1369" s="59"/>
      <c r="EV1369" s="59"/>
      <c r="EW1369" s="59"/>
      <c r="EX1369" s="59"/>
      <c r="EY1369" s="59"/>
      <c r="EZ1369" s="59"/>
      <c r="FA1369" s="59"/>
      <c r="FB1369" s="59"/>
      <c r="FC1369" s="59"/>
      <c r="FD1369" s="59"/>
      <c r="FE1369" s="59"/>
      <c r="FF1369" s="59"/>
      <c r="FG1369" s="59"/>
      <c r="FH1369" s="59"/>
      <c r="FI1369" s="59"/>
      <c r="FJ1369" s="59"/>
      <c r="FK1369" s="59"/>
      <c r="FL1369" s="59"/>
      <c r="FM1369" s="59"/>
      <c r="FN1369" s="59"/>
      <c r="FO1369" s="59"/>
      <c r="FP1369" s="59"/>
      <c r="FQ1369" s="59"/>
      <c r="FR1369" s="59"/>
      <c r="FS1369" s="59"/>
      <c r="FT1369" s="59"/>
      <c r="FU1369" s="59"/>
      <c r="FV1369" s="59"/>
      <c r="FW1369" s="59"/>
      <c r="FX1369" s="59"/>
      <c r="FY1369" s="59"/>
      <c r="FZ1369" s="59"/>
      <c r="GA1369" s="59"/>
      <c r="GB1369" s="59"/>
      <c r="GC1369" s="59"/>
    </row>
    <row r="1370">
      <c r="A1370" s="59"/>
      <c r="B1370" s="59"/>
      <c r="C1370" s="59"/>
      <c r="D1370" s="59"/>
      <c r="E1370" s="59"/>
      <c r="F1370" s="59"/>
      <c r="G1370" s="59"/>
      <c r="H1370" s="59"/>
      <c r="I1370" s="59"/>
      <c r="J1370" s="59"/>
      <c r="K1370" s="59"/>
      <c r="L1370" s="59"/>
      <c r="M1370" s="59"/>
      <c r="N1370" s="59"/>
      <c r="O1370" s="59"/>
      <c r="P1370" s="59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59"/>
      <c r="AU1370" s="59"/>
      <c r="AV1370" s="59"/>
      <c r="AW1370" s="59"/>
      <c r="AX1370" s="59"/>
      <c r="AY1370" s="59"/>
      <c r="AZ1370" s="59"/>
      <c r="BA1370" s="59"/>
      <c r="BB1370" s="59"/>
      <c r="BC1370" s="59"/>
      <c r="BD1370" s="59"/>
      <c r="BE1370" s="59"/>
      <c r="BF1370" s="59"/>
      <c r="BG1370" s="59"/>
      <c r="BH1370" s="59"/>
      <c r="BI1370" s="59"/>
      <c r="BJ1370" s="59"/>
      <c r="BK1370" s="59"/>
      <c r="BL1370" s="59"/>
      <c r="BM1370" s="59"/>
      <c r="BN1370" s="59"/>
      <c r="BO1370" s="59"/>
      <c r="BP1370" s="59"/>
      <c r="BQ1370" s="59"/>
      <c r="BR1370" s="59"/>
      <c r="BS1370" s="59"/>
      <c r="BT1370" s="59"/>
      <c r="BU1370" s="59"/>
      <c r="BV1370" s="59"/>
      <c r="BW1370" s="59"/>
      <c r="BX1370" s="59"/>
      <c r="BY1370" s="59"/>
      <c r="BZ1370" s="59"/>
      <c r="CA1370" s="59"/>
      <c r="CB1370" s="59"/>
      <c r="CC1370" s="59"/>
      <c r="CD1370" s="59"/>
      <c r="CE1370" s="59"/>
      <c r="CF1370" s="59"/>
      <c r="CG1370" s="59"/>
      <c r="CH1370" s="59"/>
      <c r="CI1370" s="59"/>
      <c r="CJ1370" s="59"/>
      <c r="CK1370" s="59"/>
      <c r="CL1370" s="59"/>
      <c r="CM1370" s="59"/>
      <c r="CN1370" s="59"/>
      <c r="CO1370" s="59"/>
      <c r="CP1370" s="59"/>
      <c r="CQ1370" s="59"/>
      <c r="CR1370" s="59"/>
      <c r="CS1370" s="59"/>
      <c r="CT1370" s="59"/>
      <c r="CU1370" s="59"/>
      <c r="CV1370" s="59"/>
      <c r="CW1370" s="59"/>
      <c r="CX1370" s="59"/>
      <c r="CY1370" s="59"/>
      <c r="CZ1370" s="59"/>
      <c r="DA1370" s="59"/>
      <c r="DB1370" s="59"/>
      <c r="DC1370" s="59"/>
      <c r="DD1370" s="59"/>
      <c r="DE1370" s="59"/>
      <c r="DF1370" s="59"/>
      <c r="DG1370" s="59"/>
      <c r="DH1370" s="59"/>
      <c r="DI1370" s="59"/>
      <c r="DJ1370" s="59"/>
      <c r="DK1370" s="59"/>
      <c r="DL1370" s="59"/>
      <c r="DM1370" s="59"/>
      <c r="DN1370" s="59"/>
      <c r="DO1370" s="59"/>
      <c r="DP1370" s="59"/>
      <c r="DQ1370" s="59"/>
      <c r="DR1370" s="59"/>
      <c r="DS1370" s="59"/>
      <c r="DT1370" s="59"/>
      <c r="DU1370" s="59"/>
      <c r="DV1370" s="59"/>
      <c r="DW1370" s="59"/>
      <c r="DX1370" s="59"/>
      <c r="DY1370" s="59"/>
      <c r="DZ1370" s="59"/>
      <c r="EA1370" s="59"/>
      <c r="EB1370" s="59"/>
      <c r="EC1370" s="59"/>
      <c r="ED1370" s="59"/>
      <c r="EE1370" s="59"/>
      <c r="EF1370" s="59"/>
      <c r="EG1370" s="59"/>
      <c r="EH1370" s="59"/>
      <c r="EI1370" s="59"/>
      <c r="EJ1370" s="59"/>
      <c r="EK1370" s="59"/>
      <c r="EL1370" s="59"/>
      <c r="EM1370" s="59"/>
      <c r="EN1370" s="59"/>
      <c r="EO1370" s="59"/>
      <c r="EP1370" s="59"/>
      <c r="EQ1370" s="59"/>
      <c r="ER1370" s="59"/>
      <c r="ES1370" s="59"/>
      <c r="ET1370" s="59"/>
      <c r="EU1370" s="59"/>
      <c r="EV1370" s="59"/>
      <c r="EW1370" s="59"/>
      <c r="EX1370" s="59"/>
      <c r="EY1370" s="59"/>
      <c r="EZ1370" s="59"/>
      <c r="FA1370" s="59"/>
      <c r="FB1370" s="59"/>
      <c r="FC1370" s="59"/>
      <c r="FD1370" s="59"/>
      <c r="FE1370" s="59"/>
      <c r="FF1370" s="59"/>
      <c r="FG1370" s="59"/>
      <c r="FH1370" s="59"/>
      <c r="FI1370" s="59"/>
      <c r="FJ1370" s="59"/>
      <c r="FK1370" s="59"/>
      <c r="FL1370" s="59"/>
      <c r="FM1370" s="59"/>
      <c r="FN1370" s="59"/>
      <c r="FO1370" s="59"/>
      <c r="FP1370" s="59"/>
      <c r="FQ1370" s="59"/>
      <c r="FR1370" s="59"/>
      <c r="FS1370" s="59"/>
      <c r="FT1370" s="59"/>
      <c r="FU1370" s="59"/>
      <c r="FV1370" s="59"/>
      <c r="FW1370" s="59"/>
      <c r="FX1370" s="59"/>
      <c r="FY1370" s="59"/>
      <c r="FZ1370" s="59"/>
      <c r="GA1370" s="59"/>
      <c r="GB1370" s="59"/>
      <c r="GC1370" s="59"/>
    </row>
    <row r="1371">
      <c r="A1371" s="59"/>
      <c r="B1371" s="59"/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59"/>
      <c r="AG1371" s="59"/>
      <c r="AH1371" s="59"/>
      <c r="AI1371" s="59"/>
      <c r="AJ1371" s="59"/>
      <c r="AK1371" s="59"/>
      <c r="AL1371" s="59"/>
      <c r="AM1371" s="59"/>
      <c r="AN1371" s="59"/>
      <c r="AO1371" s="59"/>
      <c r="AP1371" s="59"/>
      <c r="AQ1371" s="59"/>
      <c r="AR1371" s="59"/>
      <c r="AS1371" s="59"/>
      <c r="AT1371" s="59"/>
      <c r="AU1371" s="59"/>
      <c r="AV1371" s="59"/>
      <c r="AW1371" s="59"/>
      <c r="AX1371" s="59"/>
      <c r="AY1371" s="59"/>
      <c r="AZ1371" s="59"/>
      <c r="BA1371" s="59"/>
      <c r="BB1371" s="59"/>
      <c r="BC1371" s="59"/>
      <c r="BD1371" s="59"/>
      <c r="BE1371" s="59"/>
      <c r="BF1371" s="59"/>
      <c r="BG1371" s="59"/>
      <c r="BH1371" s="59"/>
      <c r="BI1371" s="59"/>
      <c r="BJ1371" s="59"/>
      <c r="BK1371" s="59"/>
      <c r="BL1371" s="59"/>
      <c r="BM1371" s="59"/>
      <c r="BN1371" s="59"/>
      <c r="BO1371" s="59"/>
      <c r="BP1371" s="59"/>
      <c r="BQ1371" s="59"/>
      <c r="BR1371" s="59"/>
      <c r="BS1371" s="59"/>
      <c r="BT1371" s="59"/>
      <c r="BU1371" s="59"/>
      <c r="BV1371" s="59"/>
      <c r="BW1371" s="59"/>
      <c r="BX1371" s="59"/>
      <c r="BY1371" s="59"/>
      <c r="BZ1371" s="59"/>
      <c r="CA1371" s="59"/>
      <c r="CB1371" s="59"/>
      <c r="CC1371" s="59"/>
      <c r="CD1371" s="59"/>
      <c r="CE1371" s="59"/>
      <c r="CF1371" s="59"/>
      <c r="CG1371" s="59"/>
      <c r="CH1371" s="59"/>
      <c r="CI1371" s="59"/>
      <c r="CJ1371" s="59"/>
      <c r="CK1371" s="59"/>
      <c r="CL1371" s="59"/>
      <c r="CM1371" s="59"/>
      <c r="CN1371" s="59"/>
      <c r="CO1371" s="59"/>
      <c r="CP1371" s="59"/>
      <c r="CQ1371" s="59"/>
      <c r="CR1371" s="59"/>
      <c r="CS1371" s="59"/>
      <c r="CT1371" s="59"/>
      <c r="CU1371" s="59"/>
      <c r="CV1371" s="59"/>
      <c r="CW1371" s="59"/>
      <c r="CX1371" s="59"/>
      <c r="CY1371" s="59"/>
      <c r="CZ1371" s="59"/>
      <c r="DA1371" s="59"/>
      <c r="DB1371" s="59"/>
      <c r="DC1371" s="59"/>
      <c r="DD1371" s="59"/>
      <c r="DE1371" s="59"/>
      <c r="DF1371" s="59"/>
      <c r="DG1371" s="59"/>
      <c r="DH1371" s="59"/>
      <c r="DI1371" s="59"/>
      <c r="DJ1371" s="59"/>
      <c r="DK1371" s="59"/>
      <c r="DL1371" s="59"/>
      <c r="DM1371" s="59"/>
      <c r="DN1371" s="59"/>
      <c r="DO1371" s="59"/>
      <c r="DP1371" s="59"/>
      <c r="DQ1371" s="59"/>
      <c r="DR1371" s="59"/>
      <c r="DS1371" s="59"/>
      <c r="DT1371" s="59"/>
      <c r="DU1371" s="59"/>
      <c r="DV1371" s="59"/>
      <c r="DW1371" s="59"/>
      <c r="DX1371" s="59"/>
      <c r="DY1371" s="59"/>
      <c r="DZ1371" s="59"/>
      <c r="EA1371" s="59"/>
      <c r="EB1371" s="59"/>
      <c r="EC1371" s="59"/>
      <c r="ED1371" s="59"/>
      <c r="EE1371" s="59"/>
      <c r="EF1371" s="59"/>
      <c r="EG1371" s="59"/>
      <c r="EH1371" s="59"/>
      <c r="EI1371" s="59"/>
      <c r="EJ1371" s="59"/>
      <c r="EK1371" s="59"/>
      <c r="EL1371" s="59"/>
      <c r="EM1371" s="59"/>
      <c r="EN1371" s="59"/>
      <c r="EO1371" s="59"/>
      <c r="EP1371" s="59"/>
      <c r="EQ1371" s="59"/>
      <c r="ER1371" s="59"/>
      <c r="ES1371" s="59"/>
      <c r="ET1371" s="59"/>
      <c r="EU1371" s="59"/>
      <c r="EV1371" s="59"/>
      <c r="EW1371" s="59"/>
      <c r="EX1371" s="59"/>
      <c r="EY1371" s="59"/>
      <c r="EZ1371" s="59"/>
      <c r="FA1371" s="59"/>
      <c r="FB1371" s="59"/>
      <c r="FC1371" s="59"/>
      <c r="FD1371" s="59"/>
      <c r="FE1371" s="59"/>
      <c r="FF1371" s="59"/>
      <c r="FG1371" s="59"/>
      <c r="FH1371" s="59"/>
      <c r="FI1371" s="59"/>
      <c r="FJ1371" s="59"/>
      <c r="FK1371" s="59"/>
      <c r="FL1371" s="59"/>
      <c r="FM1371" s="59"/>
      <c r="FN1371" s="59"/>
      <c r="FO1371" s="59"/>
      <c r="FP1371" s="59"/>
      <c r="FQ1371" s="59"/>
      <c r="FR1371" s="59"/>
      <c r="FS1371" s="59"/>
      <c r="FT1371" s="59"/>
      <c r="FU1371" s="59"/>
      <c r="FV1371" s="59"/>
      <c r="FW1371" s="59"/>
      <c r="FX1371" s="59"/>
      <c r="FY1371" s="59"/>
      <c r="FZ1371" s="59"/>
      <c r="GA1371" s="59"/>
      <c r="GB1371" s="59"/>
      <c r="GC1371" s="59"/>
    </row>
    <row r="1372">
      <c r="A1372" s="59"/>
      <c r="B1372" s="59"/>
      <c r="C1372" s="59"/>
      <c r="D1372" s="59"/>
      <c r="E1372" s="59"/>
      <c r="F1372" s="59"/>
      <c r="G1372" s="59"/>
      <c r="H1372" s="59"/>
      <c r="I1372" s="59"/>
      <c r="J1372" s="59"/>
      <c r="K1372" s="59"/>
      <c r="L1372" s="59"/>
      <c r="M1372" s="59"/>
      <c r="N1372" s="59"/>
      <c r="O1372" s="59"/>
      <c r="P1372" s="59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59"/>
      <c r="AU1372" s="59"/>
      <c r="AV1372" s="59"/>
      <c r="AW1372" s="59"/>
      <c r="AX1372" s="59"/>
      <c r="AY1372" s="59"/>
      <c r="AZ1372" s="59"/>
      <c r="BA1372" s="59"/>
      <c r="BB1372" s="59"/>
      <c r="BC1372" s="59"/>
      <c r="BD1372" s="59"/>
      <c r="BE1372" s="59"/>
      <c r="BF1372" s="59"/>
      <c r="BG1372" s="59"/>
      <c r="BH1372" s="59"/>
      <c r="BI1372" s="59"/>
      <c r="BJ1372" s="59"/>
      <c r="BK1372" s="59"/>
      <c r="BL1372" s="59"/>
      <c r="BM1372" s="59"/>
      <c r="BN1372" s="59"/>
      <c r="BO1372" s="59"/>
      <c r="BP1372" s="59"/>
      <c r="BQ1372" s="59"/>
      <c r="BR1372" s="59"/>
      <c r="BS1372" s="59"/>
      <c r="BT1372" s="59"/>
      <c r="BU1372" s="59"/>
      <c r="BV1372" s="59"/>
      <c r="BW1372" s="59"/>
      <c r="BX1372" s="59"/>
      <c r="BY1372" s="59"/>
      <c r="BZ1372" s="59"/>
      <c r="CA1372" s="59"/>
      <c r="CB1372" s="59"/>
      <c r="CC1372" s="59"/>
      <c r="CD1372" s="59"/>
      <c r="CE1372" s="59"/>
      <c r="CF1372" s="59"/>
      <c r="CG1372" s="59"/>
      <c r="CH1372" s="59"/>
      <c r="CI1372" s="59"/>
      <c r="CJ1372" s="59"/>
      <c r="CK1372" s="59"/>
      <c r="CL1372" s="59"/>
      <c r="CM1372" s="59"/>
      <c r="CN1372" s="59"/>
      <c r="CO1372" s="59"/>
      <c r="CP1372" s="59"/>
      <c r="CQ1372" s="59"/>
      <c r="CR1372" s="59"/>
      <c r="CS1372" s="59"/>
      <c r="CT1372" s="59"/>
      <c r="CU1372" s="59"/>
      <c r="CV1372" s="59"/>
      <c r="CW1372" s="59"/>
      <c r="CX1372" s="59"/>
      <c r="CY1372" s="59"/>
      <c r="CZ1372" s="59"/>
      <c r="DA1372" s="59"/>
      <c r="DB1372" s="59"/>
      <c r="DC1372" s="59"/>
      <c r="DD1372" s="59"/>
      <c r="DE1372" s="59"/>
      <c r="DF1372" s="59"/>
      <c r="DG1372" s="59"/>
      <c r="DH1372" s="59"/>
      <c r="DI1372" s="59"/>
      <c r="DJ1372" s="59"/>
      <c r="DK1372" s="59"/>
      <c r="DL1372" s="59"/>
      <c r="DM1372" s="59"/>
      <c r="DN1372" s="59"/>
      <c r="DO1372" s="59"/>
      <c r="DP1372" s="59"/>
      <c r="DQ1372" s="59"/>
      <c r="DR1372" s="59"/>
      <c r="DS1372" s="59"/>
      <c r="DT1372" s="59"/>
      <c r="DU1372" s="59"/>
      <c r="DV1372" s="59"/>
      <c r="DW1372" s="59"/>
      <c r="DX1372" s="59"/>
      <c r="DY1372" s="59"/>
      <c r="DZ1372" s="59"/>
      <c r="EA1372" s="59"/>
      <c r="EB1372" s="59"/>
      <c r="EC1372" s="59"/>
      <c r="ED1372" s="59"/>
      <c r="EE1372" s="59"/>
      <c r="EF1372" s="59"/>
      <c r="EG1372" s="59"/>
      <c r="EH1372" s="59"/>
      <c r="EI1372" s="59"/>
      <c r="EJ1372" s="59"/>
      <c r="EK1372" s="59"/>
      <c r="EL1372" s="59"/>
      <c r="EM1372" s="59"/>
      <c r="EN1372" s="59"/>
      <c r="EO1372" s="59"/>
      <c r="EP1372" s="59"/>
      <c r="EQ1372" s="59"/>
      <c r="ER1372" s="59"/>
      <c r="ES1372" s="59"/>
      <c r="ET1372" s="59"/>
      <c r="EU1372" s="59"/>
      <c r="EV1372" s="59"/>
      <c r="EW1372" s="59"/>
      <c r="EX1372" s="59"/>
      <c r="EY1372" s="59"/>
      <c r="EZ1372" s="59"/>
      <c r="FA1372" s="59"/>
      <c r="FB1372" s="59"/>
      <c r="FC1372" s="59"/>
      <c r="FD1372" s="59"/>
      <c r="FE1372" s="59"/>
      <c r="FF1372" s="59"/>
      <c r="FG1372" s="59"/>
      <c r="FH1372" s="59"/>
      <c r="FI1372" s="59"/>
      <c r="FJ1372" s="59"/>
      <c r="FK1372" s="59"/>
      <c r="FL1372" s="59"/>
      <c r="FM1372" s="59"/>
      <c r="FN1372" s="59"/>
      <c r="FO1372" s="59"/>
      <c r="FP1372" s="59"/>
      <c r="FQ1372" s="59"/>
      <c r="FR1372" s="59"/>
      <c r="FS1372" s="59"/>
      <c r="FT1372" s="59"/>
      <c r="FU1372" s="59"/>
      <c r="FV1372" s="59"/>
      <c r="FW1372" s="59"/>
      <c r="FX1372" s="59"/>
      <c r="FY1372" s="59"/>
      <c r="FZ1372" s="59"/>
      <c r="GA1372" s="59"/>
      <c r="GB1372" s="59"/>
      <c r="GC1372" s="59"/>
    </row>
    <row r="1373">
      <c r="A1373" s="59"/>
      <c r="B1373" s="59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59"/>
      <c r="O1373" s="59"/>
      <c r="P1373" s="59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  <c r="AD1373" s="59"/>
      <c r="AE1373" s="59"/>
      <c r="AF1373" s="59"/>
      <c r="AG1373" s="59"/>
      <c r="AH1373" s="59"/>
      <c r="AI1373" s="59"/>
      <c r="AJ1373" s="59"/>
      <c r="AK1373" s="59"/>
      <c r="AL1373" s="59"/>
      <c r="AM1373" s="59"/>
      <c r="AN1373" s="59"/>
      <c r="AO1373" s="59"/>
      <c r="AP1373" s="59"/>
      <c r="AQ1373" s="59"/>
      <c r="AR1373" s="59"/>
      <c r="AS1373" s="59"/>
      <c r="AT1373" s="59"/>
      <c r="AU1373" s="59"/>
      <c r="AV1373" s="59"/>
      <c r="AW1373" s="59"/>
      <c r="AX1373" s="59"/>
      <c r="AY1373" s="59"/>
      <c r="AZ1373" s="59"/>
      <c r="BA1373" s="59"/>
      <c r="BB1373" s="59"/>
      <c r="BC1373" s="59"/>
      <c r="BD1373" s="59"/>
      <c r="BE1373" s="59"/>
      <c r="BF1373" s="59"/>
      <c r="BG1373" s="59"/>
      <c r="BH1373" s="59"/>
      <c r="BI1373" s="59"/>
      <c r="BJ1373" s="59"/>
      <c r="BK1373" s="59"/>
      <c r="BL1373" s="59"/>
      <c r="BM1373" s="59"/>
      <c r="BN1373" s="59"/>
      <c r="BO1373" s="59"/>
      <c r="BP1373" s="59"/>
      <c r="BQ1373" s="59"/>
      <c r="BR1373" s="59"/>
      <c r="BS1373" s="59"/>
      <c r="BT1373" s="59"/>
      <c r="BU1373" s="59"/>
      <c r="BV1373" s="59"/>
      <c r="BW1373" s="59"/>
      <c r="BX1373" s="59"/>
      <c r="BY1373" s="59"/>
      <c r="BZ1373" s="59"/>
      <c r="CA1373" s="59"/>
      <c r="CB1373" s="59"/>
      <c r="CC1373" s="59"/>
      <c r="CD1373" s="59"/>
      <c r="CE1373" s="59"/>
      <c r="CF1373" s="59"/>
      <c r="CG1373" s="59"/>
      <c r="CH1373" s="59"/>
      <c r="CI1373" s="59"/>
      <c r="CJ1373" s="59"/>
      <c r="CK1373" s="59"/>
      <c r="CL1373" s="59"/>
      <c r="CM1373" s="59"/>
      <c r="CN1373" s="59"/>
      <c r="CO1373" s="59"/>
      <c r="CP1373" s="59"/>
      <c r="CQ1373" s="59"/>
      <c r="CR1373" s="59"/>
      <c r="CS1373" s="59"/>
      <c r="CT1373" s="59"/>
      <c r="CU1373" s="59"/>
      <c r="CV1373" s="59"/>
      <c r="CW1373" s="59"/>
      <c r="CX1373" s="59"/>
      <c r="CY1373" s="59"/>
      <c r="CZ1373" s="59"/>
      <c r="DA1373" s="59"/>
      <c r="DB1373" s="59"/>
      <c r="DC1373" s="59"/>
      <c r="DD1373" s="59"/>
      <c r="DE1373" s="59"/>
      <c r="DF1373" s="59"/>
      <c r="DG1373" s="59"/>
      <c r="DH1373" s="59"/>
      <c r="DI1373" s="59"/>
      <c r="DJ1373" s="59"/>
      <c r="DK1373" s="59"/>
      <c r="DL1373" s="59"/>
      <c r="DM1373" s="59"/>
      <c r="DN1373" s="59"/>
      <c r="DO1373" s="59"/>
      <c r="DP1373" s="59"/>
      <c r="DQ1373" s="59"/>
      <c r="DR1373" s="59"/>
      <c r="DS1373" s="59"/>
      <c r="DT1373" s="59"/>
      <c r="DU1373" s="59"/>
      <c r="DV1373" s="59"/>
      <c r="DW1373" s="59"/>
      <c r="DX1373" s="59"/>
      <c r="DY1373" s="59"/>
      <c r="DZ1373" s="59"/>
      <c r="EA1373" s="59"/>
      <c r="EB1373" s="59"/>
      <c r="EC1373" s="59"/>
      <c r="ED1373" s="59"/>
      <c r="EE1373" s="59"/>
      <c r="EF1373" s="59"/>
      <c r="EG1373" s="59"/>
      <c r="EH1373" s="59"/>
      <c r="EI1373" s="59"/>
      <c r="EJ1373" s="59"/>
      <c r="EK1373" s="59"/>
      <c r="EL1373" s="59"/>
      <c r="EM1373" s="59"/>
      <c r="EN1373" s="59"/>
      <c r="EO1373" s="59"/>
      <c r="EP1373" s="59"/>
      <c r="EQ1373" s="59"/>
      <c r="ER1373" s="59"/>
      <c r="ES1373" s="59"/>
      <c r="ET1373" s="59"/>
      <c r="EU1373" s="59"/>
      <c r="EV1373" s="59"/>
      <c r="EW1373" s="59"/>
      <c r="EX1373" s="59"/>
      <c r="EY1373" s="59"/>
      <c r="EZ1373" s="59"/>
      <c r="FA1373" s="59"/>
      <c r="FB1373" s="59"/>
      <c r="FC1373" s="59"/>
      <c r="FD1373" s="59"/>
      <c r="FE1373" s="59"/>
      <c r="FF1373" s="59"/>
      <c r="FG1373" s="59"/>
      <c r="FH1373" s="59"/>
      <c r="FI1373" s="59"/>
      <c r="FJ1373" s="59"/>
      <c r="FK1373" s="59"/>
      <c r="FL1373" s="59"/>
      <c r="FM1373" s="59"/>
      <c r="FN1373" s="59"/>
      <c r="FO1373" s="59"/>
      <c r="FP1373" s="59"/>
      <c r="FQ1373" s="59"/>
      <c r="FR1373" s="59"/>
      <c r="FS1373" s="59"/>
      <c r="FT1373" s="59"/>
      <c r="FU1373" s="59"/>
      <c r="FV1373" s="59"/>
      <c r="FW1373" s="59"/>
      <c r="FX1373" s="59"/>
      <c r="FY1373" s="59"/>
      <c r="FZ1373" s="59"/>
      <c r="GA1373" s="59"/>
      <c r="GB1373" s="59"/>
      <c r="GC1373" s="59"/>
    </row>
    <row r="1374">
      <c r="A1374" s="59"/>
      <c r="B1374" s="59"/>
      <c r="C1374" s="59"/>
      <c r="D1374" s="59"/>
      <c r="E1374" s="59"/>
      <c r="F1374" s="59"/>
      <c r="G1374" s="59"/>
      <c r="H1374" s="59"/>
      <c r="I1374" s="59"/>
      <c r="J1374" s="59"/>
      <c r="K1374" s="59"/>
      <c r="L1374" s="59"/>
      <c r="M1374" s="59"/>
      <c r="N1374" s="59"/>
      <c r="O1374" s="59"/>
      <c r="P1374" s="59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59"/>
      <c r="AU1374" s="59"/>
      <c r="AV1374" s="59"/>
      <c r="AW1374" s="59"/>
      <c r="AX1374" s="59"/>
      <c r="AY1374" s="59"/>
      <c r="AZ1374" s="59"/>
      <c r="BA1374" s="59"/>
      <c r="BB1374" s="59"/>
      <c r="BC1374" s="59"/>
      <c r="BD1374" s="59"/>
      <c r="BE1374" s="59"/>
      <c r="BF1374" s="59"/>
      <c r="BG1374" s="59"/>
      <c r="BH1374" s="59"/>
      <c r="BI1374" s="59"/>
      <c r="BJ1374" s="59"/>
      <c r="BK1374" s="59"/>
      <c r="BL1374" s="59"/>
      <c r="BM1374" s="59"/>
      <c r="BN1374" s="59"/>
      <c r="BO1374" s="59"/>
      <c r="BP1374" s="59"/>
      <c r="BQ1374" s="59"/>
      <c r="BR1374" s="59"/>
      <c r="BS1374" s="59"/>
      <c r="BT1374" s="59"/>
      <c r="BU1374" s="59"/>
      <c r="BV1374" s="59"/>
      <c r="BW1374" s="59"/>
      <c r="BX1374" s="59"/>
      <c r="BY1374" s="59"/>
      <c r="BZ1374" s="59"/>
      <c r="CA1374" s="59"/>
      <c r="CB1374" s="59"/>
      <c r="CC1374" s="59"/>
      <c r="CD1374" s="59"/>
      <c r="CE1374" s="59"/>
      <c r="CF1374" s="59"/>
      <c r="CG1374" s="59"/>
      <c r="CH1374" s="59"/>
      <c r="CI1374" s="59"/>
      <c r="CJ1374" s="59"/>
      <c r="CK1374" s="59"/>
      <c r="CL1374" s="59"/>
      <c r="CM1374" s="59"/>
      <c r="CN1374" s="59"/>
      <c r="CO1374" s="59"/>
      <c r="CP1374" s="59"/>
      <c r="CQ1374" s="59"/>
      <c r="CR1374" s="59"/>
      <c r="CS1374" s="59"/>
      <c r="CT1374" s="59"/>
      <c r="CU1374" s="59"/>
      <c r="CV1374" s="59"/>
      <c r="CW1374" s="59"/>
      <c r="CX1374" s="59"/>
      <c r="CY1374" s="59"/>
      <c r="CZ1374" s="59"/>
      <c r="DA1374" s="59"/>
      <c r="DB1374" s="59"/>
      <c r="DC1374" s="59"/>
      <c r="DD1374" s="59"/>
      <c r="DE1374" s="59"/>
      <c r="DF1374" s="59"/>
      <c r="DG1374" s="59"/>
      <c r="DH1374" s="59"/>
      <c r="DI1374" s="59"/>
      <c r="DJ1374" s="59"/>
      <c r="DK1374" s="59"/>
      <c r="DL1374" s="59"/>
      <c r="DM1374" s="59"/>
      <c r="DN1374" s="59"/>
      <c r="DO1374" s="59"/>
      <c r="DP1374" s="59"/>
      <c r="DQ1374" s="59"/>
      <c r="DR1374" s="59"/>
      <c r="DS1374" s="59"/>
      <c r="DT1374" s="59"/>
      <c r="DU1374" s="59"/>
      <c r="DV1374" s="59"/>
      <c r="DW1374" s="59"/>
      <c r="DX1374" s="59"/>
      <c r="DY1374" s="59"/>
      <c r="DZ1374" s="59"/>
      <c r="EA1374" s="59"/>
      <c r="EB1374" s="59"/>
      <c r="EC1374" s="59"/>
      <c r="ED1374" s="59"/>
      <c r="EE1374" s="59"/>
      <c r="EF1374" s="59"/>
      <c r="EG1374" s="59"/>
      <c r="EH1374" s="59"/>
      <c r="EI1374" s="59"/>
      <c r="EJ1374" s="59"/>
      <c r="EK1374" s="59"/>
      <c r="EL1374" s="59"/>
      <c r="EM1374" s="59"/>
      <c r="EN1374" s="59"/>
      <c r="EO1374" s="59"/>
      <c r="EP1374" s="59"/>
      <c r="EQ1374" s="59"/>
      <c r="ER1374" s="59"/>
      <c r="ES1374" s="59"/>
      <c r="ET1374" s="59"/>
      <c r="EU1374" s="59"/>
      <c r="EV1374" s="59"/>
      <c r="EW1374" s="59"/>
      <c r="EX1374" s="59"/>
      <c r="EY1374" s="59"/>
      <c r="EZ1374" s="59"/>
      <c r="FA1374" s="59"/>
      <c r="FB1374" s="59"/>
      <c r="FC1374" s="59"/>
      <c r="FD1374" s="59"/>
      <c r="FE1374" s="59"/>
      <c r="FF1374" s="59"/>
      <c r="FG1374" s="59"/>
      <c r="FH1374" s="59"/>
      <c r="FI1374" s="59"/>
      <c r="FJ1374" s="59"/>
      <c r="FK1374" s="59"/>
      <c r="FL1374" s="59"/>
      <c r="FM1374" s="59"/>
      <c r="FN1374" s="59"/>
      <c r="FO1374" s="59"/>
      <c r="FP1374" s="59"/>
      <c r="FQ1374" s="59"/>
      <c r="FR1374" s="59"/>
      <c r="FS1374" s="59"/>
      <c r="FT1374" s="59"/>
      <c r="FU1374" s="59"/>
      <c r="FV1374" s="59"/>
      <c r="FW1374" s="59"/>
      <c r="FX1374" s="59"/>
      <c r="FY1374" s="59"/>
      <c r="FZ1374" s="59"/>
      <c r="GA1374" s="59"/>
      <c r="GB1374" s="59"/>
      <c r="GC1374" s="59"/>
    </row>
    <row r="1375">
      <c r="A1375" s="59"/>
      <c r="B1375" s="59"/>
      <c r="C1375" s="59"/>
      <c r="D1375" s="59"/>
      <c r="E1375" s="59"/>
      <c r="F1375" s="59"/>
      <c r="G1375" s="59"/>
      <c r="H1375" s="59"/>
      <c r="I1375" s="59"/>
      <c r="J1375" s="59"/>
      <c r="K1375" s="59"/>
      <c r="L1375" s="59"/>
      <c r="M1375" s="59"/>
      <c r="N1375" s="59"/>
      <c r="O1375" s="59"/>
      <c r="P1375" s="59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  <c r="AD1375" s="59"/>
      <c r="AE1375" s="59"/>
      <c r="AF1375" s="59"/>
      <c r="AG1375" s="59"/>
      <c r="AH1375" s="59"/>
      <c r="AI1375" s="59"/>
      <c r="AJ1375" s="59"/>
      <c r="AK1375" s="59"/>
      <c r="AL1375" s="59"/>
      <c r="AM1375" s="59"/>
      <c r="AN1375" s="59"/>
      <c r="AO1375" s="59"/>
      <c r="AP1375" s="59"/>
      <c r="AQ1375" s="59"/>
      <c r="AR1375" s="59"/>
      <c r="AS1375" s="59"/>
      <c r="AT1375" s="59"/>
      <c r="AU1375" s="59"/>
      <c r="AV1375" s="59"/>
      <c r="AW1375" s="59"/>
      <c r="AX1375" s="59"/>
      <c r="AY1375" s="59"/>
      <c r="AZ1375" s="59"/>
      <c r="BA1375" s="59"/>
      <c r="BB1375" s="59"/>
      <c r="BC1375" s="59"/>
      <c r="BD1375" s="59"/>
      <c r="BE1375" s="59"/>
      <c r="BF1375" s="59"/>
      <c r="BG1375" s="59"/>
      <c r="BH1375" s="59"/>
      <c r="BI1375" s="59"/>
      <c r="BJ1375" s="59"/>
      <c r="BK1375" s="59"/>
      <c r="BL1375" s="59"/>
      <c r="BM1375" s="59"/>
      <c r="BN1375" s="59"/>
      <c r="BO1375" s="59"/>
      <c r="BP1375" s="59"/>
      <c r="BQ1375" s="59"/>
      <c r="BR1375" s="59"/>
      <c r="BS1375" s="59"/>
      <c r="BT1375" s="59"/>
      <c r="BU1375" s="59"/>
      <c r="BV1375" s="59"/>
      <c r="BW1375" s="59"/>
      <c r="BX1375" s="59"/>
      <c r="BY1375" s="59"/>
      <c r="BZ1375" s="59"/>
      <c r="CA1375" s="59"/>
      <c r="CB1375" s="59"/>
      <c r="CC1375" s="59"/>
      <c r="CD1375" s="59"/>
      <c r="CE1375" s="59"/>
      <c r="CF1375" s="59"/>
      <c r="CG1375" s="59"/>
      <c r="CH1375" s="59"/>
      <c r="CI1375" s="59"/>
      <c r="CJ1375" s="59"/>
      <c r="CK1375" s="59"/>
      <c r="CL1375" s="59"/>
      <c r="CM1375" s="59"/>
      <c r="CN1375" s="59"/>
      <c r="CO1375" s="59"/>
      <c r="CP1375" s="59"/>
      <c r="CQ1375" s="59"/>
      <c r="CR1375" s="59"/>
      <c r="CS1375" s="59"/>
      <c r="CT1375" s="59"/>
      <c r="CU1375" s="59"/>
      <c r="CV1375" s="59"/>
      <c r="CW1375" s="59"/>
      <c r="CX1375" s="59"/>
      <c r="CY1375" s="59"/>
      <c r="CZ1375" s="59"/>
      <c r="DA1375" s="59"/>
      <c r="DB1375" s="59"/>
      <c r="DC1375" s="59"/>
      <c r="DD1375" s="59"/>
      <c r="DE1375" s="59"/>
      <c r="DF1375" s="59"/>
      <c r="DG1375" s="59"/>
      <c r="DH1375" s="59"/>
      <c r="DI1375" s="59"/>
      <c r="DJ1375" s="59"/>
      <c r="DK1375" s="59"/>
      <c r="DL1375" s="59"/>
      <c r="DM1375" s="59"/>
      <c r="DN1375" s="59"/>
      <c r="DO1375" s="59"/>
      <c r="DP1375" s="59"/>
      <c r="DQ1375" s="59"/>
      <c r="DR1375" s="59"/>
      <c r="DS1375" s="59"/>
      <c r="DT1375" s="59"/>
      <c r="DU1375" s="59"/>
      <c r="DV1375" s="59"/>
      <c r="DW1375" s="59"/>
      <c r="DX1375" s="59"/>
      <c r="DY1375" s="59"/>
      <c r="DZ1375" s="59"/>
      <c r="EA1375" s="59"/>
      <c r="EB1375" s="59"/>
      <c r="EC1375" s="59"/>
      <c r="ED1375" s="59"/>
      <c r="EE1375" s="59"/>
      <c r="EF1375" s="59"/>
      <c r="EG1375" s="59"/>
      <c r="EH1375" s="59"/>
      <c r="EI1375" s="59"/>
      <c r="EJ1375" s="59"/>
      <c r="EK1375" s="59"/>
      <c r="EL1375" s="59"/>
      <c r="EM1375" s="59"/>
      <c r="EN1375" s="59"/>
      <c r="EO1375" s="59"/>
      <c r="EP1375" s="59"/>
      <c r="EQ1375" s="59"/>
      <c r="ER1375" s="59"/>
      <c r="ES1375" s="59"/>
      <c r="ET1375" s="59"/>
      <c r="EU1375" s="59"/>
      <c r="EV1375" s="59"/>
      <c r="EW1375" s="59"/>
      <c r="EX1375" s="59"/>
      <c r="EY1375" s="59"/>
      <c r="EZ1375" s="59"/>
      <c r="FA1375" s="59"/>
      <c r="FB1375" s="59"/>
      <c r="FC1375" s="59"/>
      <c r="FD1375" s="59"/>
      <c r="FE1375" s="59"/>
      <c r="FF1375" s="59"/>
      <c r="FG1375" s="59"/>
      <c r="FH1375" s="59"/>
      <c r="FI1375" s="59"/>
      <c r="FJ1375" s="59"/>
      <c r="FK1375" s="59"/>
      <c r="FL1375" s="59"/>
      <c r="FM1375" s="59"/>
      <c r="FN1375" s="59"/>
      <c r="FO1375" s="59"/>
      <c r="FP1375" s="59"/>
      <c r="FQ1375" s="59"/>
      <c r="FR1375" s="59"/>
      <c r="FS1375" s="59"/>
      <c r="FT1375" s="59"/>
      <c r="FU1375" s="59"/>
      <c r="FV1375" s="59"/>
      <c r="FW1375" s="59"/>
      <c r="FX1375" s="59"/>
      <c r="FY1375" s="59"/>
      <c r="FZ1375" s="59"/>
      <c r="GA1375" s="59"/>
      <c r="GB1375" s="59"/>
      <c r="GC1375" s="59"/>
    </row>
    <row r="1376">
      <c r="A1376" s="59"/>
      <c r="B1376" s="59"/>
      <c r="C1376" s="59"/>
      <c r="D1376" s="59"/>
      <c r="E1376" s="59"/>
      <c r="F1376" s="59"/>
      <c r="G1376" s="59"/>
      <c r="H1376" s="59"/>
      <c r="I1376" s="59"/>
      <c r="J1376" s="59"/>
      <c r="K1376" s="59"/>
      <c r="L1376" s="59"/>
      <c r="M1376" s="59"/>
      <c r="N1376" s="59"/>
      <c r="O1376" s="59"/>
      <c r="P1376" s="59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59"/>
      <c r="AU1376" s="59"/>
      <c r="AV1376" s="59"/>
      <c r="AW1376" s="59"/>
      <c r="AX1376" s="59"/>
      <c r="AY1376" s="59"/>
      <c r="AZ1376" s="59"/>
      <c r="BA1376" s="59"/>
      <c r="BB1376" s="59"/>
      <c r="BC1376" s="59"/>
      <c r="BD1376" s="59"/>
      <c r="BE1376" s="59"/>
      <c r="BF1376" s="59"/>
      <c r="BG1376" s="59"/>
      <c r="BH1376" s="59"/>
      <c r="BI1376" s="59"/>
      <c r="BJ1376" s="59"/>
      <c r="BK1376" s="59"/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59"/>
      <c r="CH1376" s="59"/>
      <c r="CI1376" s="59"/>
      <c r="CJ1376" s="59"/>
      <c r="CK1376" s="59"/>
      <c r="CL1376" s="59"/>
      <c r="CM1376" s="59"/>
      <c r="CN1376" s="59"/>
      <c r="CO1376" s="59"/>
      <c r="CP1376" s="59"/>
      <c r="CQ1376" s="59"/>
      <c r="CR1376" s="59"/>
      <c r="CS1376" s="59"/>
      <c r="CT1376" s="59"/>
      <c r="CU1376" s="59"/>
      <c r="CV1376" s="59"/>
      <c r="CW1376" s="59"/>
      <c r="CX1376" s="59"/>
      <c r="CY1376" s="59"/>
      <c r="CZ1376" s="59"/>
      <c r="DA1376" s="59"/>
      <c r="DB1376" s="59"/>
      <c r="DC1376" s="59"/>
      <c r="DD1376" s="59"/>
      <c r="DE1376" s="59"/>
      <c r="DF1376" s="59"/>
      <c r="DG1376" s="59"/>
      <c r="DH1376" s="59"/>
      <c r="DI1376" s="59"/>
      <c r="DJ1376" s="59"/>
      <c r="DK1376" s="59"/>
      <c r="DL1376" s="59"/>
      <c r="DM1376" s="59"/>
      <c r="DN1376" s="59"/>
      <c r="DO1376" s="59"/>
      <c r="DP1376" s="59"/>
      <c r="DQ1376" s="59"/>
      <c r="DR1376" s="59"/>
      <c r="DS1376" s="59"/>
      <c r="DT1376" s="59"/>
      <c r="DU1376" s="59"/>
      <c r="DV1376" s="59"/>
      <c r="DW1376" s="59"/>
      <c r="DX1376" s="59"/>
      <c r="DY1376" s="59"/>
      <c r="DZ1376" s="59"/>
      <c r="EA1376" s="59"/>
      <c r="EB1376" s="59"/>
      <c r="EC1376" s="59"/>
      <c r="ED1376" s="59"/>
      <c r="EE1376" s="59"/>
      <c r="EF1376" s="59"/>
      <c r="EG1376" s="59"/>
      <c r="EH1376" s="59"/>
      <c r="EI1376" s="59"/>
      <c r="EJ1376" s="59"/>
      <c r="EK1376" s="59"/>
      <c r="EL1376" s="59"/>
      <c r="EM1376" s="59"/>
      <c r="EN1376" s="59"/>
      <c r="EO1376" s="59"/>
      <c r="EP1376" s="59"/>
      <c r="EQ1376" s="59"/>
      <c r="ER1376" s="59"/>
      <c r="ES1376" s="59"/>
      <c r="ET1376" s="59"/>
      <c r="EU1376" s="59"/>
      <c r="EV1376" s="59"/>
      <c r="EW1376" s="59"/>
      <c r="EX1376" s="59"/>
      <c r="EY1376" s="59"/>
      <c r="EZ1376" s="59"/>
      <c r="FA1376" s="59"/>
      <c r="FB1376" s="59"/>
      <c r="FC1376" s="59"/>
      <c r="FD1376" s="59"/>
      <c r="FE1376" s="59"/>
      <c r="FF1376" s="59"/>
      <c r="FG1376" s="59"/>
      <c r="FH1376" s="59"/>
      <c r="FI1376" s="59"/>
      <c r="FJ1376" s="59"/>
      <c r="FK1376" s="59"/>
      <c r="FL1376" s="59"/>
      <c r="FM1376" s="59"/>
      <c r="FN1376" s="59"/>
      <c r="FO1376" s="59"/>
      <c r="FP1376" s="59"/>
      <c r="FQ1376" s="59"/>
      <c r="FR1376" s="59"/>
      <c r="FS1376" s="59"/>
      <c r="FT1376" s="59"/>
      <c r="FU1376" s="59"/>
      <c r="FV1376" s="59"/>
      <c r="FW1376" s="59"/>
      <c r="FX1376" s="59"/>
      <c r="FY1376" s="59"/>
      <c r="FZ1376" s="59"/>
      <c r="GA1376" s="59"/>
      <c r="GB1376" s="59"/>
      <c r="GC1376" s="59"/>
    </row>
    <row r="1377">
      <c r="A1377" s="59"/>
      <c r="B1377" s="59"/>
      <c r="C1377" s="59"/>
      <c r="D1377" s="59"/>
      <c r="E1377" s="59"/>
      <c r="F1377" s="59"/>
      <c r="G1377" s="59"/>
      <c r="H1377" s="59"/>
      <c r="I1377" s="59"/>
      <c r="J1377" s="59"/>
      <c r="K1377" s="59"/>
      <c r="L1377" s="59"/>
      <c r="M1377" s="59"/>
      <c r="N1377" s="59"/>
      <c r="O1377" s="59"/>
      <c r="P1377" s="59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  <c r="AD1377" s="59"/>
      <c r="AE1377" s="59"/>
      <c r="AF1377" s="59"/>
      <c r="AG1377" s="59"/>
      <c r="AH1377" s="59"/>
      <c r="AI1377" s="59"/>
      <c r="AJ1377" s="59"/>
      <c r="AK1377" s="59"/>
      <c r="AL1377" s="59"/>
      <c r="AM1377" s="59"/>
      <c r="AN1377" s="59"/>
      <c r="AO1377" s="59"/>
      <c r="AP1377" s="59"/>
      <c r="AQ1377" s="59"/>
      <c r="AR1377" s="59"/>
      <c r="AS1377" s="59"/>
      <c r="AT1377" s="59"/>
      <c r="AU1377" s="59"/>
      <c r="AV1377" s="59"/>
      <c r="AW1377" s="59"/>
      <c r="AX1377" s="59"/>
      <c r="AY1377" s="59"/>
      <c r="AZ1377" s="59"/>
      <c r="BA1377" s="59"/>
      <c r="BB1377" s="59"/>
      <c r="BC1377" s="59"/>
      <c r="BD1377" s="59"/>
      <c r="BE1377" s="59"/>
      <c r="BF1377" s="59"/>
      <c r="BG1377" s="59"/>
      <c r="BH1377" s="59"/>
      <c r="BI1377" s="59"/>
      <c r="BJ1377" s="59"/>
      <c r="BK1377" s="59"/>
      <c r="BL1377" s="59"/>
      <c r="BM1377" s="59"/>
      <c r="BN1377" s="59"/>
      <c r="BO1377" s="59"/>
      <c r="BP1377" s="59"/>
      <c r="BQ1377" s="59"/>
      <c r="BR1377" s="59"/>
      <c r="BS1377" s="59"/>
      <c r="BT1377" s="59"/>
      <c r="BU1377" s="59"/>
      <c r="BV1377" s="59"/>
      <c r="BW1377" s="59"/>
      <c r="BX1377" s="59"/>
      <c r="BY1377" s="59"/>
      <c r="BZ1377" s="59"/>
      <c r="CA1377" s="59"/>
      <c r="CB1377" s="59"/>
      <c r="CC1377" s="59"/>
      <c r="CD1377" s="59"/>
      <c r="CE1377" s="59"/>
      <c r="CF1377" s="59"/>
      <c r="CG1377" s="59"/>
      <c r="CH1377" s="59"/>
      <c r="CI1377" s="59"/>
      <c r="CJ1377" s="59"/>
      <c r="CK1377" s="59"/>
      <c r="CL1377" s="59"/>
      <c r="CM1377" s="59"/>
      <c r="CN1377" s="59"/>
      <c r="CO1377" s="59"/>
      <c r="CP1377" s="59"/>
      <c r="CQ1377" s="59"/>
      <c r="CR1377" s="59"/>
      <c r="CS1377" s="59"/>
      <c r="CT1377" s="59"/>
      <c r="CU1377" s="59"/>
      <c r="CV1377" s="59"/>
      <c r="CW1377" s="59"/>
      <c r="CX1377" s="59"/>
      <c r="CY1377" s="59"/>
      <c r="CZ1377" s="59"/>
      <c r="DA1377" s="59"/>
      <c r="DB1377" s="59"/>
      <c r="DC1377" s="59"/>
      <c r="DD1377" s="59"/>
      <c r="DE1377" s="59"/>
      <c r="DF1377" s="59"/>
      <c r="DG1377" s="59"/>
      <c r="DH1377" s="59"/>
      <c r="DI1377" s="59"/>
      <c r="DJ1377" s="59"/>
      <c r="DK1377" s="59"/>
      <c r="DL1377" s="59"/>
      <c r="DM1377" s="59"/>
      <c r="DN1377" s="59"/>
      <c r="DO1377" s="59"/>
      <c r="DP1377" s="59"/>
      <c r="DQ1377" s="59"/>
      <c r="DR1377" s="59"/>
      <c r="DS1377" s="59"/>
      <c r="DT1377" s="59"/>
      <c r="DU1377" s="59"/>
      <c r="DV1377" s="59"/>
      <c r="DW1377" s="59"/>
      <c r="DX1377" s="59"/>
      <c r="DY1377" s="59"/>
      <c r="DZ1377" s="59"/>
      <c r="EA1377" s="59"/>
      <c r="EB1377" s="59"/>
      <c r="EC1377" s="59"/>
      <c r="ED1377" s="59"/>
      <c r="EE1377" s="59"/>
      <c r="EF1377" s="59"/>
      <c r="EG1377" s="59"/>
      <c r="EH1377" s="59"/>
      <c r="EI1377" s="59"/>
      <c r="EJ1377" s="59"/>
      <c r="EK1377" s="59"/>
      <c r="EL1377" s="59"/>
      <c r="EM1377" s="59"/>
      <c r="EN1377" s="59"/>
      <c r="EO1377" s="59"/>
      <c r="EP1377" s="59"/>
      <c r="EQ1377" s="59"/>
      <c r="ER1377" s="59"/>
      <c r="ES1377" s="59"/>
      <c r="ET1377" s="59"/>
      <c r="EU1377" s="59"/>
      <c r="EV1377" s="59"/>
      <c r="EW1377" s="59"/>
      <c r="EX1377" s="59"/>
      <c r="EY1377" s="59"/>
      <c r="EZ1377" s="59"/>
      <c r="FA1377" s="59"/>
      <c r="FB1377" s="59"/>
      <c r="FC1377" s="59"/>
      <c r="FD1377" s="59"/>
      <c r="FE1377" s="59"/>
      <c r="FF1377" s="59"/>
      <c r="FG1377" s="59"/>
      <c r="FH1377" s="59"/>
      <c r="FI1377" s="59"/>
      <c r="FJ1377" s="59"/>
      <c r="FK1377" s="59"/>
      <c r="FL1377" s="59"/>
      <c r="FM1377" s="59"/>
      <c r="FN1377" s="59"/>
      <c r="FO1377" s="59"/>
      <c r="FP1377" s="59"/>
      <c r="FQ1377" s="59"/>
      <c r="FR1377" s="59"/>
      <c r="FS1377" s="59"/>
      <c r="FT1377" s="59"/>
      <c r="FU1377" s="59"/>
      <c r="FV1377" s="59"/>
      <c r="FW1377" s="59"/>
      <c r="FX1377" s="59"/>
      <c r="FY1377" s="59"/>
      <c r="FZ1377" s="59"/>
      <c r="GA1377" s="59"/>
      <c r="GB1377" s="59"/>
      <c r="GC1377" s="59"/>
    </row>
    <row r="1378">
      <c r="A1378" s="59"/>
      <c r="B1378" s="59"/>
      <c r="C1378" s="59"/>
      <c r="D1378" s="59"/>
      <c r="E1378" s="59"/>
      <c r="F1378" s="59"/>
      <c r="G1378" s="59"/>
      <c r="H1378" s="59"/>
      <c r="I1378" s="59"/>
      <c r="J1378" s="59"/>
      <c r="K1378" s="59"/>
      <c r="L1378" s="59"/>
      <c r="M1378" s="59"/>
      <c r="N1378" s="59"/>
      <c r="O1378" s="59"/>
      <c r="P1378" s="59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59"/>
      <c r="AU1378" s="59"/>
      <c r="AV1378" s="59"/>
      <c r="AW1378" s="59"/>
      <c r="AX1378" s="59"/>
      <c r="AY1378" s="59"/>
      <c r="AZ1378" s="59"/>
      <c r="BA1378" s="59"/>
      <c r="BB1378" s="59"/>
      <c r="BC1378" s="59"/>
      <c r="BD1378" s="59"/>
      <c r="BE1378" s="59"/>
      <c r="BF1378" s="59"/>
      <c r="BG1378" s="59"/>
      <c r="BH1378" s="59"/>
      <c r="BI1378" s="59"/>
      <c r="BJ1378" s="59"/>
      <c r="BK1378" s="59"/>
      <c r="BL1378" s="59"/>
      <c r="BM1378" s="59"/>
      <c r="BN1378" s="59"/>
      <c r="BO1378" s="59"/>
      <c r="BP1378" s="59"/>
      <c r="BQ1378" s="59"/>
      <c r="BR1378" s="59"/>
      <c r="BS1378" s="59"/>
      <c r="BT1378" s="59"/>
      <c r="BU1378" s="59"/>
      <c r="BV1378" s="59"/>
      <c r="BW1378" s="59"/>
      <c r="BX1378" s="59"/>
      <c r="BY1378" s="59"/>
      <c r="BZ1378" s="59"/>
      <c r="CA1378" s="59"/>
      <c r="CB1378" s="59"/>
      <c r="CC1378" s="59"/>
      <c r="CD1378" s="59"/>
      <c r="CE1378" s="59"/>
      <c r="CF1378" s="59"/>
      <c r="CG1378" s="59"/>
      <c r="CH1378" s="59"/>
      <c r="CI1378" s="59"/>
      <c r="CJ1378" s="59"/>
      <c r="CK1378" s="59"/>
      <c r="CL1378" s="59"/>
      <c r="CM1378" s="59"/>
      <c r="CN1378" s="59"/>
      <c r="CO1378" s="59"/>
      <c r="CP1378" s="59"/>
      <c r="CQ1378" s="59"/>
      <c r="CR1378" s="59"/>
      <c r="CS1378" s="59"/>
      <c r="CT1378" s="59"/>
      <c r="CU1378" s="59"/>
      <c r="CV1378" s="59"/>
      <c r="CW1378" s="59"/>
      <c r="CX1378" s="59"/>
      <c r="CY1378" s="59"/>
      <c r="CZ1378" s="59"/>
      <c r="DA1378" s="59"/>
      <c r="DB1378" s="59"/>
      <c r="DC1378" s="59"/>
      <c r="DD1378" s="59"/>
      <c r="DE1378" s="59"/>
      <c r="DF1378" s="59"/>
      <c r="DG1378" s="59"/>
      <c r="DH1378" s="59"/>
      <c r="DI1378" s="59"/>
      <c r="DJ1378" s="59"/>
      <c r="DK1378" s="59"/>
      <c r="DL1378" s="59"/>
      <c r="DM1378" s="59"/>
      <c r="DN1378" s="59"/>
      <c r="DO1378" s="59"/>
      <c r="DP1378" s="59"/>
      <c r="DQ1378" s="59"/>
      <c r="DR1378" s="59"/>
      <c r="DS1378" s="59"/>
      <c r="DT1378" s="59"/>
      <c r="DU1378" s="59"/>
      <c r="DV1378" s="59"/>
      <c r="DW1378" s="59"/>
      <c r="DX1378" s="59"/>
      <c r="DY1378" s="59"/>
      <c r="DZ1378" s="59"/>
      <c r="EA1378" s="59"/>
      <c r="EB1378" s="59"/>
      <c r="EC1378" s="59"/>
      <c r="ED1378" s="59"/>
      <c r="EE1378" s="59"/>
      <c r="EF1378" s="59"/>
      <c r="EG1378" s="59"/>
      <c r="EH1378" s="59"/>
      <c r="EI1378" s="59"/>
      <c r="EJ1378" s="59"/>
      <c r="EK1378" s="59"/>
      <c r="EL1378" s="59"/>
      <c r="EM1378" s="59"/>
      <c r="EN1378" s="59"/>
      <c r="EO1378" s="59"/>
      <c r="EP1378" s="59"/>
      <c r="EQ1378" s="59"/>
      <c r="ER1378" s="59"/>
      <c r="ES1378" s="59"/>
      <c r="ET1378" s="59"/>
      <c r="EU1378" s="59"/>
      <c r="EV1378" s="59"/>
      <c r="EW1378" s="59"/>
      <c r="EX1378" s="59"/>
      <c r="EY1378" s="59"/>
      <c r="EZ1378" s="59"/>
      <c r="FA1378" s="59"/>
      <c r="FB1378" s="59"/>
      <c r="FC1378" s="59"/>
      <c r="FD1378" s="59"/>
      <c r="FE1378" s="59"/>
      <c r="FF1378" s="59"/>
      <c r="FG1378" s="59"/>
      <c r="FH1378" s="59"/>
      <c r="FI1378" s="59"/>
      <c r="FJ1378" s="59"/>
      <c r="FK1378" s="59"/>
      <c r="FL1378" s="59"/>
      <c r="FM1378" s="59"/>
      <c r="FN1378" s="59"/>
      <c r="FO1378" s="59"/>
      <c r="FP1378" s="59"/>
      <c r="FQ1378" s="59"/>
      <c r="FR1378" s="59"/>
      <c r="FS1378" s="59"/>
      <c r="FT1378" s="59"/>
      <c r="FU1378" s="59"/>
      <c r="FV1378" s="59"/>
      <c r="FW1378" s="59"/>
      <c r="FX1378" s="59"/>
      <c r="FY1378" s="59"/>
      <c r="FZ1378" s="59"/>
      <c r="GA1378" s="59"/>
      <c r="GB1378" s="59"/>
      <c r="GC1378" s="59"/>
    </row>
    <row r="1379">
      <c r="A1379" s="59"/>
      <c r="B1379" s="59"/>
      <c r="C1379" s="59"/>
      <c r="D1379" s="59"/>
      <c r="E1379" s="59"/>
      <c r="F1379" s="59"/>
      <c r="G1379" s="59"/>
      <c r="H1379" s="59"/>
      <c r="I1379" s="59"/>
      <c r="J1379" s="59"/>
      <c r="K1379" s="59"/>
      <c r="L1379" s="59"/>
      <c r="M1379" s="59"/>
      <c r="N1379" s="59"/>
      <c r="O1379" s="59"/>
      <c r="P1379" s="59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  <c r="AL1379" s="59"/>
      <c r="AM1379" s="59"/>
      <c r="AN1379" s="59"/>
      <c r="AO1379" s="59"/>
      <c r="AP1379" s="59"/>
      <c r="AQ1379" s="59"/>
      <c r="AR1379" s="59"/>
      <c r="AS1379" s="59"/>
      <c r="AT1379" s="59"/>
      <c r="AU1379" s="59"/>
      <c r="AV1379" s="59"/>
      <c r="AW1379" s="59"/>
      <c r="AX1379" s="59"/>
      <c r="AY1379" s="59"/>
      <c r="AZ1379" s="59"/>
      <c r="BA1379" s="59"/>
      <c r="BB1379" s="59"/>
      <c r="BC1379" s="59"/>
      <c r="BD1379" s="59"/>
      <c r="BE1379" s="59"/>
      <c r="BF1379" s="59"/>
      <c r="BG1379" s="59"/>
      <c r="BH1379" s="59"/>
      <c r="BI1379" s="59"/>
      <c r="BJ1379" s="59"/>
      <c r="BK1379" s="59"/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59"/>
      <c r="CH1379" s="59"/>
      <c r="CI1379" s="59"/>
      <c r="CJ1379" s="59"/>
      <c r="CK1379" s="59"/>
      <c r="CL1379" s="59"/>
      <c r="CM1379" s="59"/>
      <c r="CN1379" s="59"/>
      <c r="CO1379" s="59"/>
      <c r="CP1379" s="59"/>
      <c r="CQ1379" s="59"/>
      <c r="CR1379" s="59"/>
      <c r="CS1379" s="59"/>
      <c r="CT1379" s="59"/>
      <c r="CU1379" s="59"/>
      <c r="CV1379" s="59"/>
      <c r="CW1379" s="59"/>
      <c r="CX1379" s="59"/>
      <c r="CY1379" s="59"/>
      <c r="CZ1379" s="59"/>
      <c r="DA1379" s="59"/>
      <c r="DB1379" s="59"/>
      <c r="DC1379" s="59"/>
      <c r="DD1379" s="59"/>
      <c r="DE1379" s="59"/>
      <c r="DF1379" s="59"/>
      <c r="DG1379" s="59"/>
      <c r="DH1379" s="59"/>
      <c r="DI1379" s="59"/>
      <c r="DJ1379" s="59"/>
      <c r="DK1379" s="59"/>
      <c r="DL1379" s="59"/>
      <c r="DM1379" s="59"/>
      <c r="DN1379" s="59"/>
      <c r="DO1379" s="59"/>
      <c r="DP1379" s="59"/>
      <c r="DQ1379" s="59"/>
      <c r="DR1379" s="59"/>
      <c r="DS1379" s="59"/>
      <c r="DT1379" s="59"/>
      <c r="DU1379" s="59"/>
      <c r="DV1379" s="59"/>
      <c r="DW1379" s="59"/>
      <c r="DX1379" s="59"/>
      <c r="DY1379" s="59"/>
      <c r="DZ1379" s="59"/>
      <c r="EA1379" s="59"/>
      <c r="EB1379" s="59"/>
      <c r="EC1379" s="59"/>
      <c r="ED1379" s="59"/>
      <c r="EE1379" s="59"/>
      <c r="EF1379" s="59"/>
      <c r="EG1379" s="59"/>
      <c r="EH1379" s="59"/>
      <c r="EI1379" s="59"/>
      <c r="EJ1379" s="59"/>
      <c r="EK1379" s="59"/>
      <c r="EL1379" s="59"/>
      <c r="EM1379" s="59"/>
      <c r="EN1379" s="59"/>
      <c r="EO1379" s="59"/>
      <c r="EP1379" s="59"/>
      <c r="EQ1379" s="59"/>
      <c r="ER1379" s="59"/>
      <c r="ES1379" s="59"/>
      <c r="ET1379" s="59"/>
      <c r="EU1379" s="59"/>
      <c r="EV1379" s="59"/>
      <c r="EW1379" s="59"/>
      <c r="EX1379" s="59"/>
      <c r="EY1379" s="59"/>
      <c r="EZ1379" s="59"/>
      <c r="FA1379" s="59"/>
      <c r="FB1379" s="59"/>
      <c r="FC1379" s="59"/>
      <c r="FD1379" s="59"/>
      <c r="FE1379" s="59"/>
      <c r="FF1379" s="59"/>
      <c r="FG1379" s="59"/>
      <c r="FH1379" s="59"/>
      <c r="FI1379" s="59"/>
      <c r="FJ1379" s="59"/>
      <c r="FK1379" s="59"/>
      <c r="FL1379" s="59"/>
      <c r="FM1379" s="59"/>
      <c r="FN1379" s="59"/>
      <c r="FO1379" s="59"/>
      <c r="FP1379" s="59"/>
      <c r="FQ1379" s="59"/>
      <c r="FR1379" s="59"/>
      <c r="FS1379" s="59"/>
      <c r="FT1379" s="59"/>
      <c r="FU1379" s="59"/>
      <c r="FV1379" s="59"/>
      <c r="FW1379" s="59"/>
      <c r="FX1379" s="59"/>
      <c r="FY1379" s="59"/>
      <c r="FZ1379" s="59"/>
      <c r="GA1379" s="59"/>
      <c r="GB1379" s="59"/>
      <c r="GC1379" s="59"/>
    </row>
    <row r="1380">
      <c r="A1380" s="59"/>
      <c r="B1380" s="59"/>
      <c r="C1380" s="59"/>
      <c r="D1380" s="59"/>
      <c r="E1380" s="59"/>
      <c r="F1380" s="59"/>
      <c r="G1380" s="59"/>
      <c r="H1380" s="59"/>
      <c r="I1380" s="59"/>
      <c r="J1380" s="59"/>
      <c r="K1380" s="59"/>
      <c r="L1380" s="59"/>
      <c r="M1380" s="59"/>
      <c r="N1380" s="59"/>
      <c r="O1380" s="59"/>
      <c r="P1380" s="59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59"/>
      <c r="AU1380" s="59"/>
      <c r="AV1380" s="59"/>
      <c r="AW1380" s="59"/>
      <c r="AX1380" s="59"/>
      <c r="AY1380" s="59"/>
      <c r="AZ1380" s="59"/>
      <c r="BA1380" s="59"/>
      <c r="BB1380" s="59"/>
      <c r="BC1380" s="59"/>
      <c r="BD1380" s="59"/>
      <c r="BE1380" s="59"/>
      <c r="BF1380" s="59"/>
      <c r="BG1380" s="59"/>
      <c r="BH1380" s="59"/>
      <c r="BI1380" s="59"/>
      <c r="BJ1380" s="59"/>
      <c r="BK1380" s="59"/>
      <c r="BL1380" s="59"/>
      <c r="BM1380" s="59"/>
      <c r="BN1380" s="59"/>
      <c r="BO1380" s="59"/>
      <c r="BP1380" s="59"/>
      <c r="BQ1380" s="59"/>
      <c r="BR1380" s="59"/>
      <c r="BS1380" s="59"/>
      <c r="BT1380" s="59"/>
      <c r="BU1380" s="59"/>
      <c r="BV1380" s="59"/>
      <c r="BW1380" s="59"/>
      <c r="BX1380" s="59"/>
      <c r="BY1380" s="59"/>
      <c r="BZ1380" s="59"/>
      <c r="CA1380" s="59"/>
      <c r="CB1380" s="59"/>
      <c r="CC1380" s="59"/>
      <c r="CD1380" s="59"/>
      <c r="CE1380" s="59"/>
      <c r="CF1380" s="59"/>
      <c r="CG1380" s="59"/>
      <c r="CH1380" s="59"/>
      <c r="CI1380" s="59"/>
      <c r="CJ1380" s="59"/>
      <c r="CK1380" s="59"/>
      <c r="CL1380" s="59"/>
      <c r="CM1380" s="59"/>
      <c r="CN1380" s="59"/>
      <c r="CO1380" s="59"/>
      <c r="CP1380" s="59"/>
      <c r="CQ1380" s="59"/>
      <c r="CR1380" s="59"/>
      <c r="CS1380" s="59"/>
      <c r="CT1380" s="59"/>
      <c r="CU1380" s="59"/>
      <c r="CV1380" s="59"/>
      <c r="CW1380" s="59"/>
      <c r="CX1380" s="59"/>
      <c r="CY1380" s="59"/>
      <c r="CZ1380" s="59"/>
      <c r="DA1380" s="59"/>
      <c r="DB1380" s="59"/>
      <c r="DC1380" s="59"/>
      <c r="DD1380" s="59"/>
      <c r="DE1380" s="59"/>
      <c r="DF1380" s="59"/>
      <c r="DG1380" s="59"/>
      <c r="DH1380" s="59"/>
      <c r="DI1380" s="59"/>
      <c r="DJ1380" s="59"/>
      <c r="DK1380" s="59"/>
      <c r="DL1380" s="59"/>
      <c r="DM1380" s="59"/>
      <c r="DN1380" s="59"/>
      <c r="DO1380" s="59"/>
      <c r="DP1380" s="59"/>
      <c r="DQ1380" s="59"/>
      <c r="DR1380" s="59"/>
      <c r="DS1380" s="59"/>
      <c r="DT1380" s="59"/>
      <c r="DU1380" s="59"/>
      <c r="DV1380" s="59"/>
      <c r="DW1380" s="59"/>
      <c r="DX1380" s="59"/>
      <c r="DY1380" s="59"/>
      <c r="DZ1380" s="59"/>
      <c r="EA1380" s="59"/>
      <c r="EB1380" s="59"/>
      <c r="EC1380" s="59"/>
      <c r="ED1380" s="59"/>
      <c r="EE1380" s="59"/>
      <c r="EF1380" s="59"/>
      <c r="EG1380" s="59"/>
      <c r="EH1380" s="59"/>
      <c r="EI1380" s="59"/>
      <c r="EJ1380" s="59"/>
      <c r="EK1380" s="59"/>
      <c r="EL1380" s="59"/>
      <c r="EM1380" s="59"/>
      <c r="EN1380" s="59"/>
      <c r="EO1380" s="59"/>
      <c r="EP1380" s="59"/>
      <c r="EQ1380" s="59"/>
      <c r="ER1380" s="59"/>
      <c r="ES1380" s="59"/>
      <c r="ET1380" s="59"/>
      <c r="EU1380" s="59"/>
      <c r="EV1380" s="59"/>
      <c r="EW1380" s="59"/>
      <c r="EX1380" s="59"/>
      <c r="EY1380" s="59"/>
      <c r="EZ1380" s="59"/>
      <c r="FA1380" s="59"/>
      <c r="FB1380" s="59"/>
      <c r="FC1380" s="59"/>
      <c r="FD1380" s="59"/>
      <c r="FE1380" s="59"/>
      <c r="FF1380" s="59"/>
      <c r="FG1380" s="59"/>
      <c r="FH1380" s="59"/>
      <c r="FI1380" s="59"/>
      <c r="FJ1380" s="59"/>
      <c r="FK1380" s="59"/>
      <c r="FL1380" s="59"/>
      <c r="FM1380" s="59"/>
      <c r="FN1380" s="59"/>
      <c r="FO1380" s="59"/>
      <c r="FP1380" s="59"/>
      <c r="FQ1380" s="59"/>
      <c r="FR1380" s="59"/>
      <c r="FS1380" s="59"/>
      <c r="FT1380" s="59"/>
      <c r="FU1380" s="59"/>
      <c r="FV1380" s="59"/>
      <c r="FW1380" s="59"/>
      <c r="FX1380" s="59"/>
      <c r="FY1380" s="59"/>
      <c r="FZ1380" s="59"/>
      <c r="GA1380" s="59"/>
      <c r="GB1380" s="59"/>
      <c r="GC1380" s="59"/>
    </row>
    <row r="1381">
      <c r="A1381" s="59"/>
      <c r="B1381" s="59"/>
      <c r="C1381" s="59"/>
      <c r="D1381" s="59"/>
      <c r="E1381" s="59"/>
      <c r="F1381" s="59"/>
      <c r="G1381" s="59"/>
      <c r="H1381" s="59"/>
      <c r="I1381" s="59"/>
      <c r="J1381" s="59"/>
      <c r="K1381" s="59"/>
      <c r="L1381" s="59"/>
      <c r="M1381" s="59"/>
      <c r="N1381" s="59"/>
      <c r="O1381" s="59"/>
      <c r="P1381" s="59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  <c r="AD1381" s="59"/>
      <c r="AE1381" s="59"/>
      <c r="AF1381" s="59"/>
      <c r="AG1381" s="59"/>
      <c r="AH1381" s="59"/>
      <c r="AI1381" s="59"/>
      <c r="AJ1381" s="59"/>
      <c r="AK1381" s="59"/>
      <c r="AL1381" s="59"/>
      <c r="AM1381" s="59"/>
      <c r="AN1381" s="59"/>
      <c r="AO1381" s="59"/>
      <c r="AP1381" s="59"/>
      <c r="AQ1381" s="59"/>
      <c r="AR1381" s="59"/>
      <c r="AS1381" s="59"/>
      <c r="AT1381" s="59"/>
      <c r="AU1381" s="59"/>
      <c r="AV1381" s="59"/>
      <c r="AW1381" s="59"/>
      <c r="AX1381" s="59"/>
      <c r="AY1381" s="59"/>
      <c r="AZ1381" s="59"/>
      <c r="BA1381" s="59"/>
      <c r="BB1381" s="59"/>
      <c r="BC1381" s="59"/>
      <c r="BD1381" s="59"/>
      <c r="BE1381" s="59"/>
      <c r="BF1381" s="59"/>
      <c r="BG1381" s="59"/>
      <c r="BH1381" s="59"/>
      <c r="BI1381" s="59"/>
      <c r="BJ1381" s="59"/>
      <c r="BK1381" s="59"/>
      <c r="BL1381" s="59"/>
      <c r="BM1381" s="59"/>
      <c r="BN1381" s="59"/>
      <c r="BO1381" s="59"/>
      <c r="BP1381" s="59"/>
      <c r="BQ1381" s="59"/>
      <c r="BR1381" s="59"/>
      <c r="BS1381" s="59"/>
      <c r="BT1381" s="59"/>
      <c r="BU1381" s="59"/>
      <c r="BV1381" s="59"/>
      <c r="BW1381" s="59"/>
      <c r="BX1381" s="59"/>
      <c r="BY1381" s="59"/>
      <c r="BZ1381" s="59"/>
      <c r="CA1381" s="59"/>
      <c r="CB1381" s="59"/>
      <c r="CC1381" s="59"/>
      <c r="CD1381" s="59"/>
      <c r="CE1381" s="59"/>
      <c r="CF1381" s="59"/>
      <c r="CG1381" s="59"/>
      <c r="CH1381" s="59"/>
      <c r="CI1381" s="59"/>
      <c r="CJ1381" s="59"/>
      <c r="CK1381" s="59"/>
      <c r="CL1381" s="59"/>
      <c r="CM1381" s="59"/>
      <c r="CN1381" s="59"/>
      <c r="CO1381" s="59"/>
      <c r="CP1381" s="59"/>
      <c r="CQ1381" s="59"/>
      <c r="CR1381" s="59"/>
      <c r="CS1381" s="59"/>
      <c r="CT1381" s="59"/>
      <c r="CU1381" s="59"/>
      <c r="CV1381" s="59"/>
      <c r="CW1381" s="59"/>
      <c r="CX1381" s="59"/>
      <c r="CY1381" s="59"/>
      <c r="CZ1381" s="59"/>
      <c r="DA1381" s="59"/>
      <c r="DB1381" s="59"/>
      <c r="DC1381" s="59"/>
      <c r="DD1381" s="59"/>
      <c r="DE1381" s="59"/>
      <c r="DF1381" s="59"/>
      <c r="DG1381" s="59"/>
      <c r="DH1381" s="59"/>
      <c r="DI1381" s="59"/>
      <c r="DJ1381" s="59"/>
      <c r="DK1381" s="59"/>
      <c r="DL1381" s="59"/>
      <c r="DM1381" s="59"/>
      <c r="DN1381" s="59"/>
      <c r="DO1381" s="59"/>
      <c r="DP1381" s="59"/>
      <c r="DQ1381" s="59"/>
      <c r="DR1381" s="59"/>
      <c r="DS1381" s="59"/>
      <c r="DT1381" s="59"/>
      <c r="DU1381" s="59"/>
      <c r="DV1381" s="59"/>
      <c r="DW1381" s="59"/>
      <c r="DX1381" s="59"/>
      <c r="DY1381" s="59"/>
      <c r="DZ1381" s="59"/>
      <c r="EA1381" s="59"/>
      <c r="EB1381" s="59"/>
      <c r="EC1381" s="59"/>
      <c r="ED1381" s="59"/>
      <c r="EE1381" s="59"/>
      <c r="EF1381" s="59"/>
      <c r="EG1381" s="59"/>
      <c r="EH1381" s="59"/>
      <c r="EI1381" s="59"/>
      <c r="EJ1381" s="59"/>
      <c r="EK1381" s="59"/>
      <c r="EL1381" s="59"/>
      <c r="EM1381" s="59"/>
      <c r="EN1381" s="59"/>
      <c r="EO1381" s="59"/>
      <c r="EP1381" s="59"/>
      <c r="EQ1381" s="59"/>
      <c r="ER1381" s="59"/>
      <c r="ES1381" s="59"/>
      <c r="ET1381" s="59"/>
      <c r="EU1381" s="59"/>
      <c r="EV1381" s="59"/>
      <c r="EW1381" s="59"/>
      <c r="EX1381" s="59"/>
      <c r="EY1381" s="59"/>
      <c r="EZ1381" s="59"/>
      <c r="FA1381" s="59"/>
      <c r="FB1381" s="59"/>
      <c r="FC1381" s="59"/>
      <c r="FD1381" s="59"/>
      <c r="FE1381" s="59"/>
      <c r="FF1381" s="59"/>
      <c r="FG1381" s="59"/>
      <c r="FH1381" s="59"/>
      <c r="FI1381" s="59"/>
      <c r="FJ1381" s="59"/>
      <c r="FK1381" s="59"/>
      <c r="FL1381" s="59"/>
      <c r="FM1381" s="59"/>
      <c r="FN1381" s="59"/>
      <c r="FO1381" s="59"/>
      <c r="FP1381" s="59"/>
      <c r="FQ1381" s="59"/>
      <c r="FR1381" s="59"/>
      <c r="FS1381" s="59"/>
      <c r="FT1381" s="59"/>
      <c r="FU1381" s="59"/>
      <c r="FV1381" s="59"/>
      <c r="FW1381" s="59"/>
      <c r="FX1381" s="59"/>
      <c r="FY1381" s="59"/>
      <c r="FZ1381" s="59"/>
      <c r="GA1381" s="59"/>
      <c r="GB1381" s="59"/>
      <c r="GC1381" s="59"/>
    </row>
    <row r="1382">
      <c r="A1382" s="59"/>
      <c r="B1382" s="59"/>
      <c r="C1382" s="59"/>
      <c r="D1382" s="59"/>
      <c r="E1382" s="59"/>
      <c r="F1382" s="59"/>
      <c r="G1382" s="59"/>
      <c r="H1382" s="59"/>
      <c r="I1382" s="59"/>
      <c r="J1382" s="59"/>
      <c r="K1382" s="59"/>
      <c r="L1382" s="59"/>
      <c r="M1382" s="59"/>
      <c r="N1382" s="59"/>
      <c r="O1382" s="59"/>
      <c r="P1382" s="59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59"/>
      <c r="AU1382" s="59"/>
      <c r="AV1382" s="59"/>
      <c r="AW1382" s="59"/>
      <c r="AX1382" s="59"/>
      <c r="AY1382" s="59"/>
      <c r="AZ1382" s="59"/>
      <c r="BA1382" s="59"/>
      <c r="BB1382" s="59"/>
      <c r="BC1382" s="59"/>
      <c r="BD1382" s="59"/>
      <c r="BE1382" s="59"/>
      <c r="BF1382" s="59"/>
      <c r="BG1382" s="59"/>
      <c r="BH1382" s="59"/>
      <c r="BI1382" s="59"/>
      <c r="BJ1382" s="59"/>
      <c r="BK1382" s="59"/>
      <c r="BL1382" s="59"/>
      <c r="BM1382" s="59"/>
      <c r="BN1382" s="59"/>
      <c r="BO1382" s="59"/>
      <c r="BP1382" s="59"/>
      <c r="BQ1382" s="59"/>
      <c r="BR1382" s="59"/>
      <c r="BS1382" s="59"/>
      <c r="BT1382" s="59"/>
      <c r="BU1382" s="59"/>
      <c r="BV1382" s="59"/>
      <c r="BW1382" s="59"/>
      <c r="BX1382" s="59"/>
      <c r="BY1382" s="59"/>
      <c r="BZ1382" s="59"/>
      <c r="CA1382" s="59"/>
      <c r="CB1382" s="59"/>
      <c r="CC1382" s="59"/>
      <c r="CD1382" s="59"/>
      <c r="CE1382" s="59"/>
      <c r="CF1382" s="59"/>
      <c r="CG1382" s="59"/>
      <c r="CH1382" s="59"/>
      <c r="CI1382" s="59"/>
      <c r="CJ1382" s="59"/>
      <c r="CK1382" s="59"/>
      <c r="CL1382" s="59"/>
      <c r="CM1382" s="59"/>
      <c r="CN1382" s="59"/>
      <c r="CO1382" s="59"/>
      <c r="CP1382" s="59"/>
      <c r="CQ1382" s="59"/>
      <c r="CR1382" s="59"/>
      <c r="CS1382" s="59"/>
      <c r="CT1382" s="59"/>
      <c r="CU1382" s="59"/>
      <c r="CV1382" s="59"/>
      <c r="CW1382" s="59"/>
      <c r="CX1382" s="59"/>
      <c r="CY1382" s="59"/>
      <c r="CZ1382" s="59"/>
      <c r="DA1382" s="59"/>
      <c r="DB1382" s="59"/>
      <c r="DC1382" s="59"/>
      <c r="DD1382" s="59"/>
      <c r="DE1382" s="59"/>
      <c r="DF1382" s="59"/>
      <c r="DG1382" s="59"/>
      <c r="DH1382" s="59"/>
      <c r="DI1382" s="59"/>
      <c r="DJ1382" s="59"/>
      <c r="DK1382" s="59"/>
      <c r="DL1382" s="59"/>
      <c r="DM1382" s="59"/>
      <c r="DN1382" s="59"/>
      <c r="DO1382" s="59"/>
      <c r="DP1382" s="59"/>
      <c r="DQ1382" s="59"/>
      <c r="DR1382" s="59"/>
      <c r="DS1382" s="59"/>
      <c r="DT1382" s="59"/>
      <c r="DU1382" s="59"/>
      <c r="DV1382" s="59"/>
      <c r="DW1382" s="59"/>
      <c r="DX1382" s="59"/>
      <c r="DY1382" s="59"/>
      <c r="DZ1382" s="59"/>
      <c r="EA1382" s="59"/>
      <c r="EB1382" s="59"/>
      <c r="EC1382" s="59"/>
      <c r="ED1382" s="59"/>
      <c r="EE1382" s="59"/>
      <c r="EF1382" s="59"/>
      <c r="EG1382" s="59"/>
      <c r="EH1382" s="59"/>
      <c r="EI1382" s="59"/>
      <c r="EJ1382" s="59"/>
      <c r="EK1382" s="59"/>
      <c r="EL1382" s="59"/>
      <c r="EM1382" s="59"/>
      <c r="EN1382" s="59"/>
      <c r="EO1382" s="59"/>
      <c r="EP1382" s="59"/>
      <c r="EQ1382" s="59"/>
      <c r="ER1382" s="59"/>
      <c r="ES1382" s="59"/>
      <c r="ET1382" s="59"/>
      <c r="EU1382" s="59"/>
      <c r="EV1382" s="59"/>
      <c r="EW1382" s="59"/>
      <c r="EX1382" s="59"/>
      <c r="EY1382" s="59"/>
      <c r="EZ1382" s="59"/>
      <c r="FA1382" s="59"/>
      <c r="FB1382" s="59"/>
      <c r="FC1382" s="59"/>
      <c r="FD1382" s="59"/>
      <c r="FE1382" s="59"/>
      <c r="FF1382" s="59"/>
      <c r="FG1382" s="59"/>
      <c r="FH1382" s="59"/>
      <c r="FI1382" s="59"/>
      <c r="FJ1382" s="59"/>
      <c r="FK1382" s="59"/>
      <c r="FL1382" s="59"/>
      <c r="FM1382" s="59"/>
      <c r="FN1382" s="59"/>
      <c r="FO1382" s="59"/>
      <c r="FP1382" s="59"/>
      <c r="FQ1382" s="59"/>
      <c r="FR1382" s="59"/>
      <c r="FS1382" s="59"/>
      <c r="FT1382" s="59"/>
      <c r="FU1382" s="59"/>
      <c r="FV1382" s="59"/>
      <c r="FW1382" s="59"/>
      <c r="FX1382" s="59"/>
      <c r="FY1382" s="59"/>
      <c r="FZ1382" s="59"/>
      <c r="GA1382" s="59"/>
      <c r="GB1382" s="59"/>
      <c r="GC1382" s="59"/>
    </row>
    <row r="1383">
      <c r="A1383" s="59"/>
      <c r="B1383" s="59"/>
      <c r="C1383" s="59"/>
      <c r="D1383" s="59"/>
      <c r="E1383" s="59"/>
      <c r="F1383" s="59"/>
      <c r="G1383" s="59"/>
      <c r="H1383" s="59"/>
      <c r="I1383" s="59"/>
      <c r="J1383" s="59"/>
      <c r="K1383" s="59"/>
      <c r="L1383" s="59"/>
      <c r="M1383" s="59"/>
      <c r="N1383" s="59"/>
      <c r="O1383" s="59"/>
      <c r="P1383" s="59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  <c r="AD1383" s="59"/>
      <c r="AE1383" s="59"/>
      <c r="AF1383" s="59"/>
      <c r="AG1383" s="59"/>
      <c r="AH1383" s="59"/>
      <c r="AI1383" s="59"/>
      <c r="AJ1383" s="59"/>
      <c r="AK1383" s="59"/>
      <c r="AL1383" s="59"/>
      <c r="AM1383" s="59"/>
      <c r="AN1383" s="59"/>
      <c r="AO1383" s="59"/>
      <c r="AP1383" s="59"/>
      <c r="AQ1383" s="59"/>
      <c r="AR1383" s="59"/>
      <c r="AS1383" s="59"/>
      <c r="AT1383" s="59"/>
      <c r="AU1383" s="59"/>
      <c r="AV1383" s="59"/>
      <c r="AW1383" s="59"/>
      <c r="AX1383" s="59"/>
      <c r="AY1383" s="59"/>
      <c r="AZ1383" s="59"/>
      <c r="BA1383" s="59"/>
      <c r="BB1383" s="59"/>
      <c r="BC1383" s="59"/>
      <c r="BD1383" s="59"/>
      <c r="BE1383" s="59"/>
      <c r="BF1383" s="59"/>
      <c r="BG1383" s="59"/>
      <c r="BH1383" s="59"/>
      <c r="BI1383" s="59"/>
      <c r="BJ1383" s="59"/>
      <c r="BK1383" s="59"/>
      <c r="BL1383" s="59"/>
      <c r="BM1383" s="59"/>
      <c r="BN1383" s="59"/>
      <c r="BO1383" s="59"/>
      <c r="BP1383" s="59"/>
      <c r="BQ1383" s="59"/>
      <c r="BR1383" s="59"/>
      <c r="BS1383" s="59"/>
      <c r="BT1383" s="59"/>
      <c r="BU1383" s="59"/>
      <c r="BV1383" s="59"/>
      <c r="BW1383" s="59"/>
      <c r="BX1383" s="59"/>
      <c r="BY1383" s="59"/>
      <c r="BZ1383" s="59"/>
      <c r="CA1383" s="59"/>
      <c r="CB1383" s="59"/>
      <c r="CC1383" s="59"/>
      <c r="CD1383" s="59"/>
      <c r="CE1383" s="59"/>
      <c r="CF1383" s="59"/>
      <c r="CG1383" s="59"/>
      <c r="CH1383" s="59"/>
      <c r="CI1383" s="59"/>
      <c r="CJ1383" s="59"/>
      <c r="CK1383" s="59"/>
      <c r="CL1383" s="59"/>
      <c r="CM1383" s="59"/>
      <c r="CN1383" s="59"/>
      <c r="CO1383" s="59"/>
      <c r="CP1383" s="59"/>
      <c r="CQ1383" s="59"/>
      <c r="CR1383" s="59"/>
      <c r="CS1383" s="59"/>
      <c r="CT1383" s="59"/>
      <c r="CU1383" s="59"/>
      <c r="CV1383" s="59"/>
      <c r="CW1383" s="59"/>
      <c r="CX1383" s="59"/>
      <c r="CY1383" s="59"/>
      <c r="CZ1383" s="59"/>
      <c r="DA1383" s="59"/>
      <c r="DB1383" s="59"/>
      <c r="DC1383" s="59"/>
      <c r="DD1383" s="59"/>
      <c r="DE1383" s="59"/>
      <c r="DF1383" s="59"/>
      <c r="DG1383" s="59"/>
      <c r="DH1383" s="59"/>
      <c r="DI1383" s="59"/>
      <c r="DJ1383" s="59"/>
      <c r="DK1383" s="59"/>
      <c r="DL1383" s="59"/>
      <c r="DM1383" s="59"/>
      <c r="DN1383" s="59"/>
      <c r="DO1383" s="59"/>
      <c r="DP1383" s="59"/>
      <c r="DQ1383" s="59"/>
      <c r="DR1383" s="59"/>
      <c r="DS1383" s="59"/>
      <c r="DT1383" s="59"/>
      <c r="DU1383" s="59"/>
      <c r="DV1383" s="59"/>
      <c r="DW1383" s="59"/>
      <c r="DX1383" s="59"/>
      <c r="DY1383" s="59"/>
      <c r="DZ1383" s="59"/>
      <c r="EA1383" s="59"/>
      <c r="EB1383" s="59"/>
      <c r="EC1383" s="59"/>
      <c r="ED1383" s="59"/>
      <c r="EE1383" s="59"/>
      <c r="EF1383" s="59"/>
      <c r="EG1383" s="59"/>
      <c r="EH1383" s="59"/>
      <c r="EI1383" s="59"/>
      <c r="EJ1383" s="59"/>
      <c r="EK1383" s="59"/>
      <c r="EL1383" s="59"/>
      <c r="EM1383" s="59"/>
      <c r="EN1383" s="59"/>
      <c r="EO1383" s="59"/>
      <c r="EP1383" s="59"/>
      <c r="EQ1383" s="59"/>
      <c r="ER1383" s="59"/>
      <c r="ES1383" s="59"/>
      <c r="ET1383" s="59"/>
      <c r="EU1383" s="59"/>
      <c r="EV1383" s="59"/>
      <c r="EW1383" s="59"/>
      <c r="EX1383" s="59"/>
      <c r="EY1383" s="59"/>
      <c r="EZ1383" s="59"/>
      <c r="FA1383" s="59"/>
      <c r="FB1383" s="59"/>
      <c r="FC1383" s="59"/>
      <c r="FD1383" s="59"/>
      <c r="FE1383" s="59"/>
      <c r="FF1383" s="59"/>
      <c r="FG1383" s="59"/>
      <c r="FH1383" s="59"/>
      <c r="FI1383" s="59"/>
      <c r="FJ1383" s="59"/>
      <c r="FK1383" s="59"/>
      <c r="FL1383" s="59"/>
      <c r="FM1383" s="59"/>
      <c r="FN1383" s="59"/>
      <c r="FO1383" s="59"/>
      <c r="FP1383" s="59"/>
      <c r="FQ1383" s="59"/>
      <c r="FR1383" s="59"/>
      <c r="FS1383" s="59"/>
      <c r="FT1383" s="59"/>
      <c r="FU1383" s="59"/>
      <c r="FV1383" s="59"/>
      <c r="FW1383" s="59"/>
      <c r="FX1383" s="59"/>
      <c r="FY1383" s="59"/>
      <c r="FZ1383" s="59"/>
      <c r="GA1383" s="59"/>
      <c r="GB1383" s="59"/>
      <c r="GC1383" s="59"/>
    </row>
    <row r="1384">
      <c r="A1384" s="59"/>
      <c r="B1384" s="59"/>
      <c r="C1384" s="59"/>
      <c r="D1384" s="59"/>
      <c r="E1384" s="59"/>
      <c r="F1384" s="59"/>
      <c r="G1384" s="59"/>
      <c r="H1384" s="59"/>
      <c r="I1384" s="59"/>
      <c r="J1384" s="59"/>
      <c r="K1384" s="59"/>
      <c r="L1384" s="59"/>
      <c r="M1384" s="59"/>
      <c r="N1384" s="59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59"/>
      <c r="AU1384" s="59"/>
      <c r="AV1384" s="59"/>
      <c r="AW1384" s="59"/>
      <c r="AX1384" s="59"/>
      <c r="AY1384" s="59"/>
      <c r="AZ1384" s="59"/>
      <c r="BA1384" s="59"/>
      <c r="BB1384" s="59"/>
      <c r="BC1384" s="59"/>
      <c r="BD1384" s="59"/>
      <c r="BE1384" s="59"/>
      <c r="BF1384" s="59"/>
      <c r="BG1384" s="59"/>
      <c r="BH1384" s="59"/>
      <c r="BI1384" s="59"/>
      <c r="BJ1384" s="59"/>
      <c r="BK1384" s="59"/>
      <c r="BL1384" s="59"/>
      <c r="BM1384" s="59"/>
      <c r="BN1384" s="59"/>
      <c r="BO1384" s="59"/>
      <c r="BP1384" s="59"/>
      <c r="BQ1384" s="59"/>
      <c r="BR1384" s="59"/>
      <c r="BS1384" s="59"/>
      <c r="BT1384" s="59"/>
      <c r="BU1384" s="59"/>
      <c r="BV1384" s="59"/>
      <c r="BW1384" s="59"/>
      <c r="BX1384" s="59"/>
      <c r="BY1384" s="59"/>
      <c r="BZ1384" s="59"/>
      <c r="CA1384" s="59"/>
      <c r="CB1384" s="59"/>
      <c r="CC1384" s="59"/>
      <c r="CD1384" s="59"/>
      <c r="CE1384" s="59"/>
      <c r="CF1384" s="59"/>
      <c r="CG1384" s="59"/>
      <c r="CH1384" s="59"/>
      <c r="CI1384" s="59"/>
      <c r="CJ1384" s="59"/>
      <c r="CK1384" s="59"/>
      <c r="CL1384" s="59"/>
      <c r="CM1384" s="59"/>
      <c r="CN1384" s="59"/>
      <c r="CO1384" s="59"/>
      <c r="CP1384" s="59"/>
      <c r="CQ1384" s="59"/>
      <c r="CR1384" s="59"/>
      <c r="CS1384" s="59"/>
      <c r="CT1384" s="59"/>
      <c r="CU1384" s="59"/>
      <c r="CV1384" s="59"/>
      <c r="CW1384" s="59"/>
      <c r="CX1384" s="59"/>
      <c r="CY1384" s="59"/>
      <c r="CZ1384" s="59"/>
      <c r="DA1384" s="59"/>
      <c r="DB1384" s="59"/>
      <c r="DC1384" s="59"/>
      <c r="DD1384" s="59"/>
      <c r="DE1384" s="59"/>
      <c r="DF1384" s="59"/>
      <c r="DG1384" s="59"/>
      <c r="DH1384" s="59"/>
      <c r="DI1384" s="59"/>
      <c r="DJ1384" s="59"/>
      <c r="DK1384" s="59"/>
      <c r="DL1384" s="59"/>
      <c r="DM1384" s="59"/>
      <c r="DN1384" s="59"/>
      <c r="DO1384" s="59"/>
      <c r="DP1384" s="59"/>
      <c r="DQ1384" s="59"/>
      <c r="DR1384" s="59"/>
      <c r="DS1384" s="59"/>
      <c r="DT1384" s="59"/>
      <c r="DU1384" s="59"/>
      <c r="DV1384" s="59"/>
      <c r="DW1384" s="59"/>
      <c r="DX1384" s="59"/>
      <c r="DY1384" s="59"/>
      <c r="DZ1384" s="59"/>
      <c r="EA1384" s="59"/>
      <c r="EB1384" s="59"/>
      <c r="EC1384" s="59"/>
      <c r="ED1384" s="59"/>
      <c r="EE1384" s="59"/>
      <c r="EF1384" s="59"/>
      <c r="EG1384" s="59"/>
      <c r="EH1384" s="59"/>
      <c r="EI1384" s="59"/>
      <c r="EJ1384" s="59"/>
      <c r="EK1384" s="59"/>
      <c r="EL1384" s="59"/>
      <c r="EM1384" s="59"/>
      <c r="EN1384" s="59"/>
      <c r="EO1384" s="59"/>
      <c r="EP1384" s="59"/>
      <c r="EQ1384" s="59"/>
      <c r="ER1384" s="59"/>
      <c r="ES1384" s="59"/>
      <c r="ET1384" s="59"/>
      <c r="EU1384" s="59"/>
      <c r="EV1384" s="59"/>
      <c r="EW1384" s="59"/>
      <c r="EX1384" s="59"/>
      <c r="EY1384" s="59"/>
      <c r="EZ1384" s="59"/>
      <c r="FA1384" s="59"/>
      <c r="FB1384" s="59"/>
      <c r="FC1384" s="59"/>
      <c r="FD1384" s="59"/>
      <c r="FE1384" s="59"/>
      <c r="FF1384" s="59"/>
      <c r="FG1384" s="59"/>
      <c r="FH1384" s="59"/>
      <c r="FI1384" s="59"/>
      <c r="FJ1384" s="59"/>
      <c r="FK1384" s="59"/>
      <c r="FL1384" s="59"/>
      <c r="FM1384" s="59"/>
      <c r="FN1384" s="59"/>
      <c r="FO1384" s="59"/>
      <c r="FP1384" s="59"/>
      <c r="FQ1384" s="59"/>
      <c r="FR1384" s="59"/>
      <c r="FS1384" s="59"/>
      <c r="FT1384" s="59"/>
      <c r="FU1384" s="59"/>
      <c r="FV1384" s="59"/>
      <c r="FW1384" s="59"/>
      <c r="FX1384" s="59"/>
      <c r="FY1384" s="59"/>
      <c r="FZ1384" s="59"/>
      <c r="GA1384" s="59"/>
      <c r="GB1384" s="59"/>
      <c r="GC1384" s="59"/>
    </row>
    <row r="1385">
      <c r="A1385" s="59"/>
      <c r="B1385" s="59"/>
      <c r="C1385" s="59"/>
      <c r="D1385" s="59"/>
      <c r="E1385" s="59"/>
      <c r="F1385" s="59"/>
      <c r="G1385" s="59"/>
      <c r="H1385" s="59"/>
      <c r="I1385" s="59"/>
      <c r="J1385" s="59"/>
      <c r="K1385" s="59"/>
      <c r="L1385" s="59"/>
      <c r="M1385" s="59"/>
      <c r="N1385" s="59"/>
      <c r="O1385" s="59"/>
      <c r="P1385" s="59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  <c r="AD1385" s="59"/>
      <c r="AE1385" s="59"/>
      <c r="AF1385" s="59"/>
      <c r="AG1385" s="59"/>
      <c r="AH1385" s="59"/>
      <c r="AI1385" s="59"/>
      <c r="AJ1385" s="59"/>
      <c r="AK1385" s="59"/>
      <c r="AL1385" s="59"/>
      <c r="AM1385" s="59"/>
      <c r="AN1385" s="59"/>
      <c r="AO1385" s="59"/>
      <c r="AP1385" s="59"/>
      <c r="AQ1385" s="59"/>
      <c r="AR1385" s="59"/>
      <c r="AS1385" s="59"/>
      <c r="AT1385" s="59"/>
      <c r="AU1385" s="59"/>
      <c r="AV1385" s="59"/>
      <c r="AW1385" s="59"/>
      <c r="AX1385" s="59"/>
      <c r="AY1385" s="59"/>
      <c r="AZ1385" s="59"/>
      <c r="BA1385" s="59"/>
      <c r="BB1385" s="59"/>
      <c r="BC1385" s="59"/>
      <c r="BD1385" s="59"/>
      <c r="BE1385" s="59"/>
      <c r="BF1385" s="59"/>
      <c r="BG1385" s="59"/>
      <c r="BH1385" s="59"/>
      <c r="BI1385" s="59"/>
      <c r="BJ1385" s="59"/>
      <c r="BK1385" s="59"/>
      <c r="BL1385" s="59"/>
      <c r="BM1385" s="59"/>
      <c r="BN1385" s="59"/>
      <c r="BO1385" s="59"/>
      <c r="BP1385" s="59"/>
      <c r="BQ1385" s="59"/>
      <c r="BR1385" s="59"/>
      <c r="BS1385" s="59"/>
      <c r="BT1385" s="59"/>
      <c r="BU1385" s="59"/>
      <c r="BV1385" s="59"/>
      <c r="BW1385" s="59"/>
      <c r="BX1385" s="59"/>
      <c r="BY1385" s="59"/>
      <c r="BZ1385" s="59"/>
      <c r="CA1385" s="59"/>
      <c r="CB1385" s="59"/>
      <c r="CC1385" s="59"/>
      <c r="CD1385" s="59"/>
      <c r="CE1385" s="59"/>
      <c r="CF1385" s="59"/>
      <c r="CG1385" s="59"/>
      <c r="CH1385" s="59"/>
      <c r="CI1385" s="59"/>
      <c r="CJ1385" s="59"/>
      <c r="CK1385" s="59"/>
      <c r="CL1385" s="59"/>
      <c r="CM1385" s="59"/>
      <c r="CN1385" s="59"/>
      <c r="CO1385" s="59"/>
      <c r="CP1385" s="59"/>
      <c r="CQ1385" s="59"/>
      <c r="CR1385" s="59"/>
      <c r="CS1385" s="59"/>
      <c r="CT1385" s="59"/>
      <c r="CU1385" s="59"/>
      <c r="CV1385" s="59"/>
      <c r="CW1385" s="59"/>
      <c r="CX1385" s="59"/>
      <c r="CY1385" s="59"/>
      <c r="CZ1385" s="59"/>
      <c r="DA1385" s="59"/>
      <c r="DB1385" s="59"/>
      <c r="DC1385" s="59"/>
      <c r="DD1385" s="59"/>
      <c r="DE1385" s="59"/>
      <c r="DF1385" s="59"/>
      <c r="DG1385" s="59"/>
      <c r="DH1385" s="59"/>
      <c r="DI1385" s="59"/>
      <c r="DJ1385" s="59"/>
      <c r="DK1385" s="59"/>
      <c r="DL1385" s="59"/>
      <c r="DM1385" s="59"/>
      <c r="DN1385" s="59"/>
      <c r="DO1385" s="59"/>
      <c r="DP1385" s="59"/>
      <c r="DQ1385" s="59"/>
      <c r="DR1385" s="59"/>
      <c r="DS1385" s="59"/>
      <c r="DT1385" s="59"/>
      <c r="DU1385" s="59"/>
      <c r="DV1385" s="59"/>
      <c r="DW1385" s="59"/>
      <c r="DX1385" s="59"/>
      <c r="DY1385" s="59"/>
      <c r="DZ1385" s="59"/>
      <c r="EA1385" s="59"/>
      <c r="EB1385" s="59"/>
      <c r="EC1385" s="59"/>
      <c r="ED1385" s="59"/>
      <c r="EE1385" s="59"/>
      <c r="EF1385" s="59"/>
      <c r="EG1385" s="59"/>
      <c r="EH1385" s="59"/>
      <c r="EI1385" s="59"/>
      <c r="EJ1385" s="59"/>
      <c r="EK1385" s="59"/>
      <c r="EL1385" s="59"/>
      <c r="EM1385" s="59"/>
      <c r="EN1385" s="59"/>
      <c r="EO1385" s="59"/>
      <c r="EP1385" s="59"/>
      <c r="EQ1385" s="59"/>
      <c r="ER1385" s="59"/>
      <c r="ES1385" s="59"/>
      <c r="ET1385" s="59"/>
      <c r="EU1385" s="59"/>
      <c r="EV1385" s="59"/>
      <c r="EW1385" s="59"/>
      <c r="EX1385" s="59"/>
      <c r="EY1385" s="59"/>
      <c r="EZ1385" s="59"/>
      <c r="FA1385" s="59"/>
      <c r="FB1385" s="59"/>
      <c r="FC1385" s="59"/>
      <c r="FD1385" s="59"/>
      <c r="FE1385" s="59"/>
      <c r="FF1385" s="59"/>
      <c r="FG1385" s="59"/>
      <c r="FH1385" s="59"/>
      <c r="FI1385" s="59"/>
      <c r="FJ1385" s="59"/>
      <c r="FK1385" s="59"/>
      <c r="FL1385" s="59"/>
      <c r="FM1385" s="59"/>
      <c r="FN1385" s="59"/>
      <c r="FO1385" s="59"/>
      <c r="FP1385" s="59"/>
      <c r="FQ1385" s="59"/>
      <c r="FR1385" s="59"/>
      <c r="FS1385" s="59"/>
      <c r="FT1385" s="59"/>
      <c r="FU1385" s="59"/>
      <c r="FV1385" s="59"/>
      <c r="FW1385" s="59"/>
      <c r="FX1385" s="59"/>
      <c r="FY1385" s="59"/>
      <c r="FZ1385" s="59"/>
      <c r="GA1385" s="59"/>
      <c r="GB1385" s="59"/>
      <c r="GC1385" s="59"/>
    </row>
    <row r="1386">
      <c r="A1386" s="59"/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59"/>
      <c r="N1386" s="59"/>
      <c r="O1386" s="59"/>
      <c r="P1386" s="59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59"/>
      <c r="AU1386" s="59"/>
      <c r="AV1386" s="59"/>
      <c r="AW1386" s="59"/>
      <c r="AX1386" s="59"/>
      <c r="AY1386" s="59"/>
      <c r="AZ1386" s="59"/>
      <c r="BA1386" s="59"/>
      <c r="BB1386" s="59"/>
      <c r="BC1386" s="59"/>
      <c r="BD1386" s="59"/>
      <c r="BE1386" s="59"/>
      <c r="BF1386" s="59"/>
      <c r="BG1386" s="59"/>
      <c r="BH1386" s="59"/>
      <c r="BI1386" s="59"/>
      <c r="BJ1386" s="59"/>
      <c r="BK1386" s="59"/>
      <c r="BL1386" s="59"/>
      <c r="BM1386" s="59"/>
      <c r="BN1386" s="59"/>
      <c r="BO1386" s="59"/>
      <c r="BP1386" s="59"/>
      <c r="BQ1386" s="59"/>
      <c r="BR1386" s="59"/>
      <c r="BS1386" s="59"/>
      <c r="BT1386" s="59"/>
      <c r="BU1386" s="59"/>
      <c r="BV1386" s="59"/>
      <c r="BW1386" s="59"/>
      <c r="BX1386" s="59"/>
      <c r="BY1386" s="59"/>
      <c r="BZ1386" s="59"/>
      <c r="CA1386" s="59"/>
      <c r="CB1386" s="59"/>
      <c r="CC1386" s="59"/>
      <c r="CD1386" s="59"/>
      <c r="CE1386" s="59"/>
      <c r="CF1386" s="59"/>
      <c r="CG1386" s="59"/>
      <c r="CH1386" s="59"/>
      <c r="CI1386" s="59"/>
      <c r="CJ1386" s="59"/>
      <c r="CK1386" s="59"/>
      <c r="CL1386" s="59"/>
      <c r="CM1386" s="59"/>
      <c r="CN1386" s="59"/>
      <c r="CO1386" s="59"/>
      <c r="CP1386" s="59"/>
      <c r="CQ1386" s="59"/>
      <c r="CR1386" s="59"/>
      <c r="CS1386" s="59"/>
      <c r="CT1386" s="59"/>
      <c r="CU1386" s="59"/>
      <c r="CV1386" s="59"/>
      <c r="CW1386" s="59"/>
      <c r="CX1386" s="59"/>
      <c r="CY1386" s="59"/>
      <c r="CZ1386" s="59"/>
      <c r="DA1386" s="59"/>
      <c r="DB1386" s="59"/>
      <c r="DC1386" s="59"/>
      <c r="DD1386" s="59"/>
      <c r="DE1386" s="59"/>
      <c r="DF1386" s="59"/>
      <c r="DG1386" s="59"/>
      <c r="DH1386" s="59"/>
      <c r="DI1386" s="59"/>
      <c r="DJ1386" s="59"/>
      <c r="DK1386" s="59"/>
      <c r="DL1386" s="59"/>
      <c r="DM1386" s="59"/>
      <c r="DN1386" s="59"/>
      <c r="DO1386" s="59"/>
      <c r="DP1386" s="59"/>
      <c r="DQ1386" s="59"/>
      <c r="DR1386" s="59"/>
      <c r="DS1386" s="59"/>
      <c r="DT1386" s="59"/>
      <c r="DU1386" s="59"/>
      <c r="DV1386" s="59"/>
      <c r="DW1386" s="59"/>
      <c r="DX1386" s="59"/>
      <c r="DY1386" s="59"/>
      <c r="DZ1386" s="59"/>
      <c r="EA1386" s="59"/>
      <c r="EB1386" s="59"/>
      <c r="EC1386" s="59"/>
      <c r="ED1386" s="59"/>
      <c r="EE1386" s="59"/>
      <c r="EF1386" s="59"/>
      <c r="EG1386" s="59"/>
      <c r="EH1386" s="59"/>
      <c r="EI1386" s="59"/>
      <c r="EJ1386" s="59"/>
      <c r="EK1386" s="59"/>
      <c r="EL1386" s="59"/>
      <c r="EM1386" s="59"/>
      <c r="EN1386" s="59"/>
      <c r="EO1386" s="59"/>
      <c r="EP1386" s="59"/>
      <c r="EQ1386" s="59"/>
      <c r="ER1386" s="59"/>
      <c r="ES1386" s="59"/>
      <c r="ET1386" s="59"/>
      <c r="EU1386" s="59"/>
      <c r="EV1386" s="59"/>
      <c r="EW1386" s="59"/>
      <c r="EX1386" s="59"/>
      <c r="EY1386" s="59"/>
      <c r="EZ1386" s="59"/>
      <c r="FA1386" s="59"/>
      <c r="FB1386" s="59"/>
      <c r="FC1386" s="59"/>
      <c r="FD1386" s="59"/>
      <c r="FE1386" s="59"/>
      <c r="FF1386" s="59"/>
      <c r="FG1386" s="59"/>
      <c r="FH1386" s="59"/>
      <c r="FI1386" s="59"/>
      <c r="FJ1386" s="59"/>
      <c r="FK1386" s="59"/>
      <c r="FL1386" s="59"/>
      <c r="FM1386" s="59"/>
      <c r="FN1386" s="59"/>
      <c r="FO1386" s="59"/>
      <c r="FP1386" s="59"/>
      <c r="FQ1386" s="59"/>
      <c r="FR1386" s="59"/>
      <c r="FS1386" s="59"/>
      <c r="FT1386" s="59"/>
      <c r="FU1386" s="59"/>
      <c r="FV1386" s="59"/>
      <c r="FW1386" s="59"/>
      <c r="FX1386" s="59"/>
      <c r="FY1386" s="59"/>
      <c r="FZ1386" s="59"/>
      <c r="GA1386" s="59"/>
      <c r="GB1386" s="59"/>
      <c r="GC1386" s="59"/>
    </row>
    <row r="1387">
      <c r="A1387" s="59"/>
      <c r="B1387" s="59"/>
      <c r="C1387" s="59"/>
      <c r="D1387" s="59"/>
      <c r="E1387" s="59"/>
      <c r="F1387" s="59"/>
      <c r="G1387" s="59"/>
      <c r="H1387" s="59"/>
      <c r="I1387" s="59"/>
      <c r="J1387" s="59"/>
      <c r="K1387" s="59"/>
      <c r="L1387" s="59"/>
      <c r="M1387" s="59"/>
      <c r="N1387" s="59"/>
      <c r="O1387" s="59"/>
      <c r="P1387" s="59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  <c r="AD1387" s="59"/>
      <c r="AE1387" s="59"/>
      <c r="AF1387" s="59"/>
      <c r="AG1387" s="59"/>
      <c r="AH1387" s="59"/>
      <c r="AI1387" s="59"/>
      <c r="AJ1387" s="59"/>
      <c r="AK1387" s="59"/>
      <c r="AL1387" s="59"/>
      <c r="AM1387" s="59"/>
      <c r="AN1387" s="59"/>
      <c r="AO1387" s="59"/>
      <c r="AP1387" s="59"/>
      <c r="AQ1387" s="59"/>
      <c r="AR1387" s="59"/>
      <c r="AS1387" s="59"/>
      <c r="AT1387" s="59"/>
      <c r="AU1387" s="59"/>
      <c r="AV1387" s="59"/>
      <c r="AW1387" s="59"/>
      <c r="AX1387" s="59"/>
      <c r="AY1387" s="59"/>
      <c r="AZ1387" s="59"/>
      <c r="BA1387" s="59"/>
      <c r="BB1387" s="59"/>
      <c r="BC1387" s="59"/>
      <c r="BD1387" s="59"/>
      <c r="BE1387" s="59"/>
      <c r="BF1387" s="59"/>
      <c r="BG1387" s="59"/>
      <c r="BH1387" s="59"/>
      <c r="BI1387" s="59"/>
      <c r="BJ1387" s="59"/>
      <c r="BK1387" s="59"/>
      <c r="BL1387" s="59"/>
      <c r="BM1387" s="59"/>
      <c r="BN1387" s="59"/>
      <c r="BO1387" s="59"/>
      <c r="BP1387" s="59"/>
      <c r="BQ1387" s="59"/>
      <c r="BR1387" s="59"/>
      <c r="BS1387" s="59"/>
      <c r="BT1387" s="59"/>
      <c r="BU1387" s="59"/>
      <c r="BV1387" s="59"/>
      <c r="BW1387" s="59"/>
      <c r="BX1387" s="59"/>
      <c r="BY1387" s="59"/>
      <c r="BZ1387" s="59"/>
      <c r="CA1387" s="59"/>
      <c r="CB1387" s="59"/>
      <c r="CC1387" s="59"/>
      <c r="CD1387" s="59"/>
      <c r="CE1387" s="59"/>
      <c r="CF1387" s="59"/>
      <c r="CG1387" s="59"/>
      <c r="CH1387" s="59"/>
      <c r="CI1387" s="59"/>
      <c r="CJ1387" s="59"/>
      <c r="CK1387" s="59"/>
      <c r="CL1387" s="59"/>
      <c r="CM1387" s="59"/>
      <c r="CN1387" s="59"/>
      <c r="CO1387" s="59"/>
      <c r="CP1387" s="59"/>
      <c r="CQ1387" s="59"/>
      <c r="CR1387" s="59"/>
      <c r="CS1387" s="59"/>
      <c r="CT1387" s="59"/>
      <c r="CU1387" s="59"/>
      <c r="CV1387" s="59"/>
      <c r="CW1387" s="59"/>
      <c r="CX1387" s="59"/>
      <c r="CY1387" s="59"/>
      <c r="CZ1387" s="59"/>
      <c r="DA1387" s="59"/>
      <c r="DB1387" s="59"/>
      <c r="DC1387" s="59"/>
      <c r="DD1387" s="59"/>
      <c r="DE1387" s="59"/>
      <c r="DF1387" s="59"/>
      <c r="DG1387" s="59"/>
      <c r="DH1387" s="59"/>
      <c r="DI1387" s="59"/>
      <c r="DJ1387" s="59"/>
      <c r="DK1387" s="59"/>
      <c r="DL1387" s="59"/>
      <c r="DM1387" s="59"/>
      <c r="DN1387" s="59"/>
      <c r="DO1387" s="59"/>
      <c r="DP1387" s="59"/>
      <c r="DQ1387" s="59"/>
      <c r="DR1387" s="59"/>
      <c r="DS1387" s="59"/>
      <c r="DT1387" s="59"/>
      <c r="DU1387" s="59"/>
      <c r="DV1387" s="59"/>
      <c r="DW1387" s="59"/>
      <c r="DX1387" s="59"/>
      <c r="DY1387" s="59"/>
      <c r="DZ1387" s="59"/>
      <c r="EA1387" s="59"/>
      <c r="EB1387" s="59"/>
      <c r="EC1387" s="59"/>
      <c r="ED1387" s="59"/>
      <c r="EE1387" s="59"/>
      <c r="EF1387" s="59"/>
      <c r="EG1387" s="59"/>
      <c r="EH1387" s="59"/>
      <c r="EI1387" s="59"/>
      <c r="EJ1387" s="59"/>
      <c r="EK1387" s="59"/>
      <c r="EL1387" s="59"/>
      <c r="EM1387" s="59"/>
      <c r="EN1387" s="59"/>
      <c r="EO1387" s="59"/>
      <c r="EP1387" s="59"/>
      <c r="EQ1387" s="59"/>
      <c r="ER1387" s="59"/>
      <c r="ES1387" s="59"/>
      <c r="ET1387" s="59"/>
      <c r="EU1387" s="59"/>
      <c r="EV1387" s="59"/>
      <c r="EW1387" s="59"/>
      <c r="EX1387" s="59"/>
      <c r="EY1387" s="59"/>
      <c r="EZ1387" s="59"/>
      <c r="FA1387" s="59"/>
      <c r="FB1387" s="59"/>
      <c r="FC1387" s="59"/>
      <c r="FD1387" s="59"/>
      <c r="FE1387" s="59"/>
      <c r="FF1387" s="59"/>
      <c r="FG1387" s="59"/>
      <c r="FH1387" s="59"/>
      <c r="FI1387" s="59"/>
      <c r="FJ1387" s="59"/>
      <c r="FK1387" s="59"/>
      <c r="FL1387" s="59"/>
      <c r="FM1387" s="59"/>
      <c r="FN1387" s="59"/>
      <c r="FO1387" s="59"/>
      <c r="FP1387" s="59"/>
      <c r="FQ1387" s="59"/>
      <c r="FR1387" s="59"/>
      <c r="FS1387" s="59"/>
      <c r="FT1387" s="59"/>
      <c r="FU1387" s="59"/>
      <c r="FV1387" s="59"/>
      <c r="FW1387" s="59"/>
      <c r="FX1387" s="59"/>
      <c r="FY1387" s="59"/>
      <c r="FZ1387" s="59"/>
      <c r="GA1387" s="59"/>
      <c r="GB1387" s="59"/>
      <c r="GC1387" s="59"/>
    </row>
    <row r="1388">
      <c r="A1388" s="59"/>
      <c r="B1388" s="59"/>
      <c r="C1388" s="59"/>
      <c r="D1388" s="59"/>
      <c r="E1388" s="59"/>
      <c r="F1388" s="59"/>
      <c r="G1388" s="59"/>
      <c r="H1388" s="59"/>
      <c r="I1388" s="59"/>
      <c r="J1388" s="59"/>
      <c r="K1388" s="59"/>
      <c r="L1388" s="59"/>
      <c r="M1388" s="59"/>
      <c r="N1388" s="59"/>
      <c r="O1388" s="59"/>
      <c r="P1388" s="59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59"/>
      <c r="AU1388" s="59"/>
      <c r="AV1388" s="59"/>
      <c r="AW1388" s="59"/>
      <c r="AX1388" s="59"/>
      <c r="AY1388" s="59"/>
      <c r="AZ1388" s="59"/>
      <c r="BA1388" s="59"/>
      <c r="BB1388" s="59"/>
      <c r="BC1388" s="59"/>
      <c r="BD1388" s="59"/>
      <c r="BE1388" s="59"/>
      <c r="BF1388" s="59"/>
      <c r="BG1388" s="59"/>
      <c r="BH1388" s="59"/>
      <c r="BI1388" s="59"/>
      <c r="BJ1388" s="59"/>
      <c r="BK1388" s="59"/>
      <c r="BL1388" s="59"/>
      <c r="BM1388" s="59"/>
      <c r="BN1388" s="59"/>
      <c r="BO1388" s="59"/>
      <c r="BP1388" s="59"/>
      <c r="BQ1388" s="59"/>
      <c r="BR1388" s="59"/>
      <c r="BS1388" s="59"/>
      <c r="BT1388" s="59"/>
      <c r="BU1388" s="59"/>
      <c r="BV1388" s="59"/>
      <c r="BW1388" s="59"/>
      <c r="BX1388" s="59"/>
      <c r="BY1388" s="59"/>
      <c r="BZ1388" s="59"/>
      <c r="CA1388" s="59"/>
      <c r="CB1388" s="59"/>
      <c r="CC1388" s="59"/>
      <c r="CD1388" s="59"/>
      <c r="CE1388" s="59"/>
      <c r="CF1388" s="59"/>
      <c r="CG1388" s="59"/>
      <c r="CH1388" s="59"/>
      <c r="CI1388" s="59"/>
      <c r="CJ1388" s="59"/>
      <c r="CK1388" s="59"/>
      <c r="CL1388" s="59"/>
      <c r="CM1388" s="59"/>
      <c r="CN1388" s="59"/>
      <c r="CO1388" s="59"/>
      <c r="CP1388" s="59"/>
      <c r="CQ1388" s="59"/>
      <c r="CR1388" s="59"/>
      <c r="CS1388" s="59"/>
      <c r="CT1388" s="59"/>
      <c r="CU1388" s="59"/>
      <c r="CV1388" s="59"/>
      <c r="CW1388" s="59"/>
      <c r="CX1388" s="59"/>
      <c r="CY1388" s="59"/>
      <c r="CZ1388" s="59"/>
      <c r="DA1388" s="59"/>
      <c r="DB1388" s="59"/>
      <c r="DC1388" s="59"/>
      <c r="DD1388" s="59"/>
      <c r="DE1388" s="59"/>
      <c r="DF1388" s="59"/>
      <c r="DG1388" s="59"/>
      <c r="DH1388" s="59"/>
      <c r="DI1388" s="59"/>
      <c r="DJ1388" s="59"/>
      <c r="DK1388" s="59"/>
      <c r="DL1388" s="59"/>
      <c r="DM1388" s="59"/>
      <c r="DN1388" s="59"/>
      <c r="DO1388" s="59"/>
      <c r="DP1388" s="59"/>
      <c r="DQ1388" s="59"/>
      <c r="DR1388" s="59"/>
      <c r="DS1388" s="59"/>
      <c r="DT1388" s="59"/>
      <c r="DU1388" s="59"/>
      <c r="DV1388" s="59"/>
      <c r="DW1388" s="59"/>
      <c r="DX1388" s="59"/>
      <c r="DY1388" s="59"/>
      <c r="DZ1388" s="59"/>
      <c r="EA1388" s="59"/>
      <c r="EB1388" s="59"/>
      <c r="EC1388" s="59"/>
      <c r="ED1388" s="59"/>
      <c r="EE1388" s="59"/>
      <c r="EF1388" s="59"/>
      <c r="EG1388" s="59"/>
      <c r="EH1388" s="59"/>
      <c r="EI1388" s="59"/>
      <c r="EJ1388" s="59"/>
      <c r="EK1388" s="59"/>
      <c r="EL1388" s="59"/>
      <c r="EM1388" s="59"/>
      <c r="EN1388" s="59"/>
      <c r="EO1388" s="59"/>
      <c r="EP1388" s="59"/>
      <c r="EQ1388" s="59"/>
      <c r="ER1388" s="59"/>
      <c r="ES1388" s="59"/>
      <c r="ET1388" s="59"/>
      <c r="EU1388" s="59"/>
      <c r="EV1388" s="59"/>
      <c r="EW1388" s="59"/>
      <c r="EX1388" s="59"/>
      <c r="EY1388" s="59"/>
      <c r="EZ1388" s="59"/>
      <c r="FA1388" s="59"/>
      <c r="FB1388" s="59"/>
      <c r="FC1388" s="59"/>
      <c r="FD1388" s="59"/>
      <c r="FE1388" s="59"/>
      <c r="FF1388" s="59"/>
      <c r="FG1388" s="59"/>
      <c r="FH1388" s="59"/>
      <c r="FI1388" s="59"/>
      <c r="FJ1388" s="59"/>
      <c r="FK1388" s="59"/>
      <c r="FL1388" s="59"/>
      <c r="FM1388" s="59"/>
      <c r="FN1388" s="59"/>
      <c r="FO1388" s="59"/>
      <c r="FP1388" s="59"/>
      <c r="FQ1388" s="59"/>
      <c r="FR1388" s="59"/>
      <c r="FS1388" s="59"/>
      <c r="FT1388" s="59"/>
      <c r="FU1388" s="59"/>
      <c r="FV1388" s="59"/>
      <c r="FW1388" s="59"/>
      <c r="FX1388" s="59"/>
      <c r="FY1388" s="59"/>
      <c r="FZ1388" s="59"/>
      <c r="GA1388" s="59"/>
      <c r="GB1388" s="59"/>
      <c r="GC1388" s="59"/>
    </row>
    <row r="1389">
      <c r="A1389" s="59"/>
      <c r="B1389" s="59"/>
      <c r="C1389" s="59"/>
      <c r="D1389" s="59"/>
      <c r="E1389" s="59"/>
      <c r="F1389" s="59"/>
      <c r="G1389" s="59"/>
      <c r="H1389" s="59"/>
      <c r="I1389" s="59"/>
      <c r="J1389" s="59"/>
      <c r="K1389" s="59"/>
      <c r="L1389" s="59"/>
      <c r="M1389" s="59"/>
      <c r="N1389" s="59"/>
      <c r="O1389" s="59"/>
      <c r="P1389" s="59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  <c r="AD1389" s="59"/>
      <c r="AE1389" s="59"/>
      <c r="AF1389" s="59"/>
      <c r="AG1389" s="59"/>
      <c r="AH1389" s="59"/>
      <c r="AI1389" s="59"/>
      <c r="AJ1389" s="59"/>
      <c r="AK1389" s="59"/>
      <c r="AL1389" s="59"/>
      <c r="AM1389" s="59"/>
      <c r="AN1389" s="59"/>
      <c r="AO1389" s="59"/>
      <c r="AP1389" s="59"/>
      <c r="AQ1389" s="59"/>
      <c r="AR1389" s="59"/>
      <c r="AS1389" s="59"/>
      <c r="AT1389" s="59"/>
      <c r="AU1389" s="59"/>
      <c r="AV1389" s="59"/>
      <c r="AW1389" s="59"/>
      <c r="AX1389" s="59"/>
      <c r="AY1389" s="59"/>
      <c r="AZ1389" s="59"/>
      <c r="BA1389" s="59"/>
      <c r="BB1389" s="59"/>
      <c r="BC1389" s="59"/>
      <c r="BD1389" s="59"/>
      <c r="BE1389" s="59"/>
      <c r="BF1389" s="59"/>
      <c r="BG1389" s="59"/>
      <c r="BH1389" s="59"/>
      <c r="BI1389" s="59"/>
      <c r="BJ1389" s="59"/>
      <c r="BK1389" s="59"/>
      <c r="BL1389" s="59"/>
      <c r="BM1389" s="59"/>
      <c r="BN1389" s="59"/>
      <c r="BO1389" s="59"/>
      <c r="BP1389" s="59"/>
      <c r="BQ1389" s="59"/>
      <c r="BR1389" s="59"/>
      <c r="BS1389" s="59"/>
      <c r="BT1389" s="59"/>
      <c r="BU1389" s="59"/>
      <c r="BV1389" s="59"/>
      <c r="BW1389" s="59"/>
      <c r="BX1389" s="59"/>
      <c r="BY1389" s="59"/>
      <c r="BZ1389" s="59"/>
      <c r="CA1389" s="59"/>
      <c r="CB1389" s="59"/>
      <c r="CC1389" s="59"/>
      <c r="CD1389" s="59"/>
      <c r="CE1389" s="59"/>
      <c r="CF1389" s="59"/>
      <c r="CG1389" s="59"/>
      <c r="CH1389" s="59"/>
      <c r="CI1389" s="59"/>
      <c r="CJ1389" s="59"/>
      <c r="CK1389" s="59"/>
      <c r="CL1389" s="59"/>
      <c r="CM1389" s="59"/>
      <c r="CN1389" s="59"/>
      <c r="CO1389" s="59"/>
      <c r="CP1389" s="59"/>
      <c r="CQ1389" s="59"/>
      <c r="CR1389" s="59"/>
      <c r="CS1389" s="59"/>
      <c r="CT1389" s="59"/>
      <c r="CU1389" s="59"/>
      <c r="CV1389" s="59"/>
      <c r="CW1389" s="59"/>
      <c r="CX1389" s="59"/>
      <c r="CY1389" s="59"/>
      <c r="CZ1389" s="59"/>
      <c r="DA1389" s="59"/>
      <c r="DB1389" s="59"/>
      <c r="DC1389" s="59"/>
      <c r="DD1389" s="59"/>
      <c r="DE1389" s="59"/>
      <c r="DF1389" s="59"/>
      <c r="DG1389" s="59"/>
      <c r="DH1389" s="59"/>
      <c r="DI1389" s="59"/>
      <c r="DJ1389" s="59"/>
      <c r="DK1389" s="59"/>
      <c r="DL1389" s="59"/>
      <c r="DM1389" s="59"/>
      <c r="DN1389" s="59"/>
      <c r="DO1389" s="59"/>
      <c r="DP1389" s="59"/>
      <c r="DQ1389" s="59"/>
      <c r="DR1389" s="59"/>
      <c r="DS1389" s="59"/>
      <c r="DT1389" s="59"/>
      <c r="DU1389" s="59"/>
      <c r="DV1389" s="59"/>
      <c r="DW1389" s="59"/>
      <c r="DX1389" s="59"/>
      <c r="DY1389" s="59"/>
      <c r="DZ1389" s="59"/>
      <c r="EA1389" s="59"/>
      <c r="EB1389" s="59"/>
      <c r="EC1389" s="59"/>
      <c r="ED1389" s="59"/>
      <c r="EE1389" s="59"/>
      <c r="EF1389" s="59"/>
      <c r="EG1389" s="59"/>
      <c r="EH1389" s="59"/>
      <c r="EI1389" s="59"/>
      <c r="EJ1389" s="59"/>
      <c r="EK1389" s="59"/>
      <c r="EL1389" s="59"/>
      <c r="EM1389" s="59"/>
      <c r="EN1389" s="59"/>
      <c r="EO1389" s="59"/>
      <c r="EP1389" s="59"/>
      <c r="EQ1389" s="59"/>
      <c r="ER1389" s="59"/>
      <c r="ES1389" s="59"/>
      <c r="ET1389" s="59"/>
      <c r="EU1389" s="59"/>
      <c r="EV1389" s="59"/>
      <c r="EW1389" s="59"/>
      <c r="EX1389" s="59"/>
      <c r="EY1389" s="59"/>
      <c r="EZ1389" s="59"/>
      <c r="FA1389" s="59"/>
      <c r="FB1389" s="59"/>
      <c r="FC1389" s="59"/>
      <c r="FD1389" s="59"/>
      <c r="FE1389" s="59"/>
      <c r="FF1389" s="59"/>
      <c r="FG1389" s="59"/>
      <c r="FH1389" s="59"/>
      <c r="FI1389" s="59"/>
      <c r="FJ1389" s="59"/>
      <c r="FK1389" s="59"/>
      <c r="FL1389" s="59"/>
      <c r="FM1389" s="59"/>
      <c r="FN1389" s="59"/>
      <c r="FO1389" s="59"/>
      <c r="FP1389" s="59"/>
      <c r="FQ1389" s="59"/>
      <c r="FR1389" s="59"/>
      <c r="FS1389" s="59"/>
      <c r="FT1389" s="59"/>
      <c r="FU1389" s="59"/>
      <c r="FV1389" s="59"/>
      <c r="FW1389" s="59"/>
      <c r="FX1389" s="59"/>
      <c r="FY1389" s="59"/>
      <c r="FZ1389" s="59"/>
      <c r="GA1389" s="59"/>
      <c r="GB1389" s="59"/>
      <c r="GC1389" s="59"/>
    </row>
    <row r="1390">
      <c r="A1390" s="59"/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59"/>
      <c r="AU1390" s="59"/>
      <c r="AV1390" s="59"/>
      <c r="AW1390" s="59"/>
      <c r="AX1390" s="59"/>
      <c r="AY1390" s="59"/>
      <c r="AZ1390" s="59"/>
      <c r="BA1390" s="59"/>
      <c r="BB1390" s="59"/>
      <c r="BC1390" s="59"/>
      <c r="BD1390" s="59"/>
      <c r="BE1390" s="59"/>
      <c r="BF1390" s="59"/>
      <c r="BG1390" s="59"/>
      <c r="BH1390" s="59"/>
      <c r="BI1390" s="59"/>
      <c r="BJ1390" s="59"/>
      <c r="BK1390" s="59"/>
      <c r="BL1390" s="59"/>
      <c r="BM1390" s="59"/>
      <c r="BN1390" s="59"/>
      <c r="BO1390" s="59"/>
      <c r="BP1390" s="59"/>
      <c r="BQ1390" s="59"/>
      <c r="BR1390" s="59"/>
      <c r="BS1390" s="59"/>
      <c r="BT1390" s="59"/>
      <c r="BU1390" s="59"/>
      <c r="BV1390" s="59"/>
      <c r="BW1390" s="59"/>
      <c r="BX1390" s="59"/>
      <c r="BY1390" s="59"/>
      <c r="BZ1390" s="59"/>
      <c r="CA1390" s="59"/>
      <c r="CB1390" s="59"/>
      <c r="CC1390" s="59"/>
      <c r="CD1390" s="59"/>
      <c r="CE1390" s="59"/>
      <c r="CF1390" s="59"/>
      <c r="CG1390" s="59"/>
      <c r="CH1390" s="59"/>
      <c r="CI1390" s="59"/>
      <c r="CJ1390" s="59"/>
      <c r="CK1390" s="59"/>
      <c r="CL1390" s="59"/>
      <c r="CM1390" s="59"/>
      <c r="CN1390" s="59"/>
      <c r="CO1390" s="59"/>
      <c r="CP1390" s="59"/>
      <c r="CQ1390" s="59"/>
      <c r="CR1390" s="59"/>
      <c r="CS1390" s="59"/>
      <c r="CT1390" s="59"/>
      <c r="CU1390" s="59"/>
      <c r="CV1390" s="59"/>
      <c r="CW1390" s="59"/>
      <c r="CX1390" s="59"/>
      <c r="CY1390" s="59"/>
      <c r="CZ1390" s="59"/>
      <c r="DA1390" s="59"/>
      <c r="DB1390" s="59"/>
      <c r="DC1390" s="59"/>
      <c r="DD1390" s="59"/>
      <c r="DE1390" s="59"/>
      <c r="DF1390" s="59"/>
      <c r="DG1390" s="59"/>
      <c r="DH1390" s="59"/>
      <c r="DI1390" s="59"/>
      <c r="DJ1390" s="59"/>
      <c r="DK1390" s="59"/>
      <c r="DL1390" s="59"/>
      <c r="DM1390" s="59"/>
      <c r="DN1390" s="59"/>
      <c r="DO1390" s="59"/>
      <c r="DP1390" s="59"/>
      <c r="DQ1390" s="59"/>
      <c r="DR1390" s="59"/>
      <c r="DS1390" s="59"/>
      <c r="DT1390" s="59"/>
      <c r="DU1390" s="59"/>
      <c r="DV1390" s="59"/>
      <c r="DW1390" s="59"/>
      <c r="DX1390" s="59"/>
      <c r="DY1390" s="59"/>
      <c r="DZ1390" s="59"/>
      <c r="EA1390" s="59"/>
      <c r="EB1390" s="59"/>
      <c r="EC1390" s="59"/>
      <c r="ED1390" s="59"/>
      <c r="EE1390" s="59"/>
      <c r="EF1390" s="59"/>
      <c r="EG1390" s="59"/>
      <c r="EH1390" s="59"/>
      <c r="EI1390" s="59"/>
      <c r="EJ1390" s="59"/>
      <c r="EK1390" s="59"/>
      <c r="EL1390" s="59"/>
      <c r="EM1390" s="59"/>
      <c r="EN1390" s="59"/>
      <c r="EO1390" s="59"/>
      <c r="EP1390" s="59"/>
      <c r="EQ1390" s="59"/>
      <c r="ER1390" s="59"/>
      <c r="ES1390" s="59"/>
      <c r="ET1390" s="59"/>
      <c r="EU1390" s="59"/>
      <c r="EV1390" s="59"/>
      <c r="EW1390" s="59"/>
      <c r="EX1390" s="59"/>
      <c r="EY1390" s="59"/>
      <c r="EZ1390" s="59"/>
      <c r="FA1390" s="59"/>
      <c r="FB1390" s="59"/>
      <c r="FC1390" s="59"/>
      <c r="FD1390" s="59"/>
      <c r="FE1390" s="59"/>
      <c r="FF1390" s="59"/>
      <c r="FG1390" s="59"/>
      <c r="FH1390" s="59"/>
      <c r="FI1390" s="59"/>
      <c r="FJ1390" s="59"/>
      <c r="FK1390" s="59"/>
      <c r="FL1390" s="59"/>
      <c r="FM1390" s="59"/>
      <c r="FN1390" s="59"/>
      <c r="FO1390" s="59"/>
      <c r="FP1390" s="59"/>
      <c r="FQ1390" s="59"/>
      <c r="FR1390" s="59"/>
      <c r="FS1390" s="59"/>
      <c r="FT1390" s="59"/>
      <c r="FU1390" s="59"/>
      <c r="FV1390" s="59"/>
      <c r="FW1390" s="59"/>
      <c r="FX1390" s="59"/>
      <c r="FY1390" s="59"/>
      <c r="FZ1390" s="59"/>
      <c r="GA1390" s="59"/>
      <c r="GB1390" s="59"/>
      <c r="GC1390" s="59"/>
    </row>
    <row r="1391">
      <c r="A1391" s="59"/>
      <c r="B1391" s="59"/>
      <c r="C1391" s="59"/>
      <c r="D1391" s="59"/>
      <c r="E1391" s="59"/>
      <c r="F1391" s="59"/>
      <c r="G1391" s="59"/>
      <c r="H1391" s="59"/>
      <c r="I1391" s="59"/>
      <c r="J1391" s="59"/>
      <c r="K1391" s="59"/>
      <c r="L1391" s="59"/>
      <c r="M1391" s="59"/>
      <c r="N1391" s="59"/>
      <c r="O1391" s="59"/>
      <c r="P1391" s="59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  <c r="AD1391" s="59"/>
      <c r="AE1391" s="59"/>
      <c r="AF1391" s="59"/>
      <c r="AG1391" s="59"/>
      <c r="AH1391" s="59"/>
      <c r="AI1391" s="59"/>
      <c r="AJ1391" s="59"/>
      <c r="AK1391" s="59"/>
      <c r="AL1391" s="59"/>
      <c r="AM1391" s="59"/>
      <c r="AN1391" s="59"/>
      <c r="AO1391" s="59"/>
      <c r="AP1391" s="59"/>
      <c r="AQ1391" s="59"/>
      <c r="AR1391" s="59"/>
      <c r="AS1391" s="59"/>
      <c r="AT1391" s="59"/>
      <c r="AU1391" s="59"/>
      <c r="AV1391" s="59"/>
      <c r="AW1391" s="59"/>
      <c r="AX1391" s="59"/>
      <c r="AY1391" s="59"/>
      <c r="AZ1391" s="59"/>
      <c r="BA1391" s="59"/>
      <c r="BB1391" s="59"/>
      <c r="BC1391" s="59"/>
      <c r="BD1391" s="59"/>
      <c r="BE1391" s="59"/>
      <c r="BF1391" s="59"/>
      <c r="BG1391" s="59"/>
      <c r="BH1391" s="59"/>
      <c r="BI1391" s="59"/>
      <c r="BJ1391" s="59"/>
      <c r="BK1391" s="59"/>
      <c r="BL1391" s="59"/>
      <c r="BM1391" s="59"/>
      <c r="BN1391" s="59"/>
      <c r="BO1391" s="59"/>
      <c r="BP1391" s="59"/>
      <c r="BQ1391" s="59"/>
      <c r="BR1391" s="59"/>
      <c r="BS1391" s="59"/>
      <c r="BT1391" s="59"/>
      <c r="BU1391" s="59"/>
      <c r="BV1391" s="59"/>
      <c r="BW1391" s="59"/>
      <c r="BX1391" s="59"/>
      <c r="BY1391" s="59"/>
      <c r="BZ1391" s="59"/>
      <c r="CA1391" s="59"/>
      <c r="CB1391" s="59"/>
      <c r="CC1391" s="59"/>
      <c r="CD1391" s="59"/>
      <c r="CE1391" s="59"/>
      <c r="CF1391" s="59"/>
      <c r="CG1391" s="59"/>
      <c r="CH1391" s="59"/>
      <c r="CI1391" s="59"/>
      <c r="CJ1391" s="59"/>
      <c r="CK1391" s="59"/>
      <c r="CL1391" s="59"/>
      <c r="CM1391" s="59"/>
      <c r="CN1391" s="59"/>
      <c r="CO1391" s="59"/>
      <c r="CP1391" s="59"/>
      <c r="CQ1391" s="59"/>
      <c r="CR1391" s="59"/>
      <c r="CS1391" s="59"/>
      <c r="CT1391" s="59"/>
      <c r="CU1391" s="59"/>
      <c r="CV1391" s="59"/>
      <c r="CW1391" s="59"/>
      <c r="CX1391" s="59"/>
      <c r="CY1391" s="59"/>
      <c r="CZ1391" s="59"/>
      <c r="DA1391" s="59"/>
      <c r="DB1391" s="59"/>
      <c r="DC1391" s="59"/>
      <c r="DD1391" s="59"/>
      <c r="DE1391" s="59"/>
      <c r="DF1391" s="59"/>
      <c r="DG1391" s="59"/>
      <c r="DH1391" s="59"/>
      <c r="DI1391" s="59"/>
      <c r="DJ1391" s="59"/>
      <c r="DK1391" s="59"/>
      <c r="DL1391" s="59"/>
      <c r="DM1391" s="59"/>
      <c r="DN1391" s="59"/>
      <c r="DO1391" s="59"/>
      <c r="DP1391" s="59"/>
      <c r="DQ1391" s="59"/>
      <c r="DR1391" s="59"/>
      <c r="DS1391" s="59"/>
      <c r="DT1391" s="59"/>
      <c r="DU1391" s="59"/>
      <c r="DV1391" s="59"/>
      <c r="DW1391" s="59"/>
      <c r="DX1391" s="59"/>
      <c r="DY1391" s="59"/>
      <c r="DZ1391" s="59"/>
      <c r="EA1391" s="59"/>
      <c r="EB1391" s="59"/>
      <c r="EC1391" s="59"/>
      <c r="ED1391" s="59"/>
      <c r="EE1391" s="59"/>
      <c r="EF1391" s="59"/>
      <c r="EG1391" s="59"/>
      <c r="EH1391" s="59"/>
      <c r="EI1391" s="59"/>
      <c r="EJ1391" s="59"/>
      <c r="EK1391" s="59"/>
      <c r="EL1391" s="59"/>
      <c r="EM1391" s="59"/>
      <c r="EN1391" s="59"/>
      <c r="EO1391" s="59"/>
      <c r="EP1391" s="59"/>
      <c r="EQ1391" s="59"/>
      <c r="ER1391" s="59"/>
      <c r="ES1391" s="59"/>
      <c r="ET1391" s="59"/>
      <c r="EU1391" s="59"/>
      <c r="EV1391" s="59"/>
      <c r="EW1391" s="59"/>
      <c r="EX1391" s="59"/>
      <c r="EY1391" s="59"/>
      <c r="EZ1391" s="59"/>
      <c r="FA1391" s="59"/>
      <c r="FB1391" s="59"/>
      <c r="FC1391" s="59"/>
      <c r="FD1391" s="59"/>
      <c r="FE1391" s="59"/>
      <c r="FF1391" s="59"/>
      <c r="FG1391" s="59"/>
      <c r="FH1391" s="59"/>
      <c r="FI1391" s="59"/>
      <c r="FJ1391" s="59"/>
      <c r="FK1391" s="59"/>
      <c r="FL1391" s="59"/>
      <c r="FM1391" s="59"/>
      <c r="FN1391" s="59"/>
      <c r="FO1391" s="59"/>
      <c r="FP1391" s="59"/>
      <c r="FQ1391" s="59"/>
      <c r="FR1391" s="59"/>
      <c r="FS1391" s="59"/>
      <c r="FT1391" s="59"/>
      <c r="FU1391" s="59"/>
      <c r="FV1391" s="59"/>
      <c r="FW1391" s="59"/>
      <c r="FX1391" s="59"/>
      <c r="FY1391" s="59"/>
      <c r="FZ1391" s="59"/>
      <c r="GA1391" s="59"/>
      <c r="GB1391" s="59"/>
      <c r="GC1391" s="59"/>
    </row>
    <row r="1392">
      <c r="A1392" s="59"/>
      <c r="B1392" s="59"/>
      <c r="C1392" s="59"/>
      <c r="D1392" s="59"/>
      <c r="E1392" s="59"/>
      <c r="F1392" s="59"/>
      <c r="G1392" s="59"/>
      <c r="H1392" s="59"/>
      <c r="I1392" s="59"/>
      <c r="J1392" s="59"/>
      <c r="K1392" s="59"/>
      <c r="L1392" s="59"/>
      <c r="M1392" s="59"/>
      <c r="N1392" s="59"/>
      <c r="O1392" s="59"/>
      <c r="P1392" s="59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59"/>
      <c r="AG1392" s="59"/>
      <c r="AH1392" s="59"/>
      <c r="AI1392" s="59"/>
      <c r="AJ1392" s="59"/>
      <c r="AK1392" s="59"/>
      <c r="AL1392" s="59"/>
      <c r="AM1392" s="59"/>
      <c r="AN1392" s="59"/>
      <c r="AO1392" s="59"/>
      <c r="AP1392" s="59"/>
      <c r="AQ1392" s="59"/>
      <c r="AR1392" s="59"/>
      <c r="AS1392" s="59"/>
      <c r="AT1392" s="59"/>
      <c r="AU1392" s="59"/>
      <c r="AV1392" s="59"/>
      <c r="AW1392" s="59"/>
      <c r="AX1392" s="59"/>
      <c r="AY1392" s="59"/>
      <c r="AZ1392" s="59"/>
      <c r="BA1392" s="59"/>
      <c r="BB1392" s="59"/>
      <c r="BC1392" s="59"/>
      <c r="BD1392" s="59"/>
      <c r="BE1392" s="59"/>
      <c r="BF1392" s="59"/>
      <c r="BG1392" s="59"/>
      <c r="BH1392" s="59"/>
      <c r="BI1392" s="59"/>
      <c r="BJ1392" s="59"/>
      <c r="BK1392" s="59"/>
      <c r="BL1392" s="59"/>
      <c r="BM1392" s="59"/>
      <c r="BN1392" s="59"/>
      <c r="BO1392" s="59"/>
      <c r="BP1392" s="59"/>
      <c r="BQ1392" s="59"/>
      <c r="BR1392" s="59"/>
      <c r="BS1392" s="59"/>
      <c r="BT1392" s="59"/>
      <c r="BU1392" s="59"/>
      <c r="BV1392" s="59"/>
      <c r="BW1392" s="59"/>
      <c r="BX1392" s="59"/>
      <c r="BY1392" s="59"/>
      <c r="BZ1392" s="59"/>
      <c r="CA1392" s="59"/>
      <c r="CB1392" s="59"/>
      <c r="CC1392" s="59"/>
      <c r="CD1392" s="59"/>
      <c r="CE1392" s="59"/>
      <c r="CF1392" s="59"/>
      <c r="CG1392" s="59"/>
      <c r="CH1392" s="59"/>
      <c r="CI1392" s="59"/>
      <c r="CJ1392" s="59"/>
      <c r="CK1392" s="59"/>
      <c r="CL1392" s="59"/>
      <c r="CM1392" s="59"/>
      <c r="CN1392" s="59"/>
      <c r="CO1392" s="59"/>
      <c r="CP1392" s="59"/>
      <c r="CQ1392" s="59"/>
      <c r="CR1392" s="59"/>
      <c r="CS1392" s="59"/>
      <c r="CT1392" s="59"/>
      <c r="CU1392" s="59"/>
      <c r="CV1392" s="59"/>
      <c r="CW1392" s="59"/>
      <c r="CX1392" s="59"/>
      <c r="CY1392" s="59"/>
      <c r="CZ1392" s="59"/>
      <c r="DA1392" s="59"/>
      <c r="DB1392" s="59"/>
      <c r="DC1392" s="59"/>
      <c r="DD1392" s="59"/>
      <c r="DE1392" s="59"/>
      <c r="DF1392" s="59"/>
      <c r="DG1392" s="59"/>
      <c r="DH1392" s="59"/>
      <c r="DI1392" s="59"/>
      <c r="DJ1392" s="59"/>
      <c r="DK1392" s="59"/>
      <c r="DL1392" s="59"/>
      <c r="DM1392" s="59"/>
      <c r="DN1392" s="59"/>
      <c r="DO1392" s="59"/>
      <c r="DP1392" s="59"/>
      <c r="DQ1392" s="59"/>
      <c r="DR1392" s="59"/>
      <c r="DS1392" s="59"/>
      <c r="DT1392" s="59"/>
      <c r="DU1392" s="59"/>
      <c r="DV1392" s="59"/>
      <c r="DW1392" s="59"/>
      <c r="DX1392" s="59"/>
      <c r="DY1392" s="59"/>
      <c r="DZ1392" s="59"/>
      <c r="EA1392" s="59"/>
      <c r="EB1392" s="59"/>
      <c r="EC1392" s="59"/>
      <c r="ED1392" s="59"/>
      <c r="EE1392" s="59"/>
      <c r="EF1392" s="59"/>
      <c r="EG1392" s="59"/>
      <c r="EH1392" s="59"/>
      <c r="EI1392" s="59"/>
      <c r="EJ1392" s="59"/>
      <c r="EK1392" s="59"/>
      <c r="EL1392" s="59"/>
      <c r="EM1392" s="59"/>
      <c r="EN1392" s="59"/>
      <c r="EO1392" s="59"/>
      <c r="EP1392" s="59"/>
      <c r="EQ1392" s="59"/>
      <c r="ER1392" s="59"/>
      <c r="ES1392" s="59"/>
      <c r="ET1392" s="59"/>
      <c r="EU1392" s="59"/>
      <c r="EV1392" s="59"/>
      <c r="EW1392" s="59"/>
      <c r="EX1392" s="59"/>
      <c r="EY1392" s="59"/>
      <c r="EZ1392" s="59"/>
      <c r="FA1392" s="59"/>
      <c r="FB1392" s="59"/>
      <c r="FC1392" s="59"/>
      <c r="FD1392" s="59"/>
      <c r="FE1392" s="59"/>
      <c r="FF1392" s="59"/>
      <c r="FG1392" s="59"/>
      <c r="FH1392" s="59"/>
      <c r="FI1392" s="59"/>
      <c r="FJ1392" s="59"/>
      <c r="FK1392" s="59"/>
      <c r="FL1392" s="59"/>
      <c r="FM1392" s="59"/>
      <c r="FN1392" s="59"/>
      <c r="FO1392" s="59"/>
      <c r="FP1392" s="59"/>
      <c r="FQ1392" s="59"/>
      <c r="FR1392" s="59"/>
      <c r="FS1392" s="59"/>
      <c r="FT1392" s="59"/>
      <c r="FU1392" s="59"/>
      <c r="FV1392" s="59"/>
      <c r="FW1392" s="59"/>
      <c r="FX1392" s="59"/>
      <c r="FY1392" s="59"/>
      <c r="FZ1392" s="59"/>
      <c r="GA1392" s="59"/>
      <c r="GB1392" s="59"/>
      <c r="GC1392" s="59"/>
    </row>
    <row r="1393">
      <c r="A1393" s="59"/>
      <c r="B1393" s="59"/>
      <c r="C1393" s="59"/>
      <c r="D1393" s="59"/>
      <c r="E1393" s="59"/>
      <c r="F1393" s="59"/>
      <c r="G1393" s="59"/>
      <c r="H1393" s="59"/>
      <c r="I1393" s="59"/>
      <c r="J1393" s="59"/>
      <c r="K1393" s="59"/>
      <c r="L1393" s="59"/>
      <c r="M1393" s="59"/>
      <c r="N1393" s="59"/>
      <c r="O1393" s="59"/>
      <c r="P1393" s="59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59"/>
      <c r="AG1393" s="59"/>
      <c r="AH1393" s="59"/>
      <c r="AI1393" s="59"/>
      <c r="AJ1393" s="59"/>
      <c r="AK1393" s="59"/>
      <c r="AL1393" s="59"/>
      <c r="AM1393" s="59"/>
      <c r="AN1393" s="59"/>
      <c r="AO1393" s="59"/>
      <c r="AP1393" s="59"/>
      <c r="AQ1393" s="59"/>
      <c r="AR1393" s="59"/>
      <c r="AS1393" s="59"/>
      <c r="AT1393" s="59"/>
      <c r="AU1393" s="59"/>
      <c r="AV1393" s="59"/>
      <c r="AW1393" s="59"/>
      <c r="AX1393" s="59"/>
      <c r="AY1393" s="59"/>
      <c r="AZ1393" s="59"/>
      <c r="BA1393" s="59"/>
      <c r="BB1393" s="59"/>
      <c r="BC1393" s="59"/>
      <c r="BD1393" s="59"/>
      <c r="BE1393" s="59"/>
      <c r="BF1393" s="59"/>
      <c r="BG1393" s="59"/>
      <c r="BH1393" s="59"/>
      <c r="BI1393" s="59"/>
      <c r="BJ1393" s="59"/>
      <c r="BK1393" s="59"/>
      <c r="BL1393" s="59"/>
      <c r="BM1393" s="59"/>
      <c r="BN1393" s="59"/>
      <c r="BO1393" s="59"/>
      <c r="BP1393" s="59"/>
      <c r="BQ1393" s="59"/>
      <c r="BR1393" s="59"/>
      <c r="BS1393" s="59"/>
      <c r="BT1393" s="59"/>
      <c r="BU1393" s="59"/>
      <c r="BV1393" s="59"/>
      <c r="BW1393" s="59"/>
      <c r="BX1393" s="59"/>
      <c r="BY1393" s="59"/>
      <c r="BZ1393" s="59"/>
      <c r="CA1393" s="59"/>
      <c r="CB1393" s="59"/>
      <c r="CC1393" s="59"/>
      <c r="CD1393" s="59"/>
      <c r="CE1393" s="59"/>
      <c r="CF1393" s="59"/>
      <c r="CG1393" s="59"/>
      <c r="CH1393" s="59"/>
      <c r="CI1393" s="59"/>
      <c r="CJ1393" s="59"/>
      <c r="CK1393" s="59"/>
      <c r="CL1393" s="59"/>
      <c r="CM1393" s="59"/>
      <c r="CN1393" s="59"/>
      <c r="CO1393" s="59"/>
      <c r="CP1393" s="59"/>
      <c r="CQ1393" s="59"/>
      <c r="CR1393" s="59"/>
      <c r="CS1393" s="59"/>
      <c r="CT1393" s="59"/>
      <c r="CU1393" s="59"/>
      <c r="CV1393" s="59"/>
      <c r="CW1393" s="59"/>
      <c r="CX1393" s="59"/>
      <c r="CY1393" s="59"/>
      <c r="CZ1393" s="59"/>
      <c r="DA1393" s="59"/>
      <c r="DB1393" s="59"/>
      <c r="DC1393" s="59"/>
      <c r="DD1393" s="59"/>
      <c r="DE1393" s="59"/>
      <c r="DF1393" s="59"/>
      <c r="DG1393" s="59"/>
      <c r="DH1393" s="59"/>
      <c r="DI1393" s="59"/>
      <c r="DJ1393" s="59"/>
      <c r="DK1393" s="59"/>
      <c r="DL1393" s="59"/>
      <c r="DM1393" s="59"/>
      <c r="DN1393" s="59"/>
      <c r="DO1393" s="59"/>
      <c r="DP1393" s="59"/>
      <c r="DQ1393" s="59"/>
      <c r="DR1393" s="59"/>
      <c r="DS1393" s="59"/>
      <c r="DT1393" s="59"/>
      <c r="DU1393" s="59"/>
      <c r="DV1393" s="59"/>
      <c r="DW1393" s="59"/>
      <c r="DX1393" s="59"/>
      <c r="DY1393" s="59"/>
      <c r="DZ1393" s="59"/>
      <c r="EA1393" s="59"/>
      <c r="EB1393" s="59"/>
      <c r="EC1393" s="59"/>
      <c r="ED1393" s="59"/>
      <c r="EE1393" s="59"/>
      <c r="EF1393" s="59"/>
      <c r="EG1393" s="59"/>
      <c r="EH1393" s="59"/>
      <c r="EI1393" s="59"/>
      <c r="EJ1393" s="59"/>
      <c r="EK1393" s="59"/>
      <c r="EL1393" s="59"/>
      <c r="EM1393" s="59"/>
      <c r="EN1393" s="59"/>
      <c r="EO1393" s="59"/>
      <c r="EP1393" s="59"/>
      <c r="EQ1393" s="59"/>
      <c r="ER1393" s="59"/>
      <c r="ES1393" s="59"/>
      <c r="ET1393" s="59"/>
      <c r="EU1393" s="59"/>
      <c r="EV1393" s="59"/>
      <c r="EW1393" s="59"/>
      <c r="EX1393" s="59"/>
      <c r="EY1393" s="59"/>
      <c r="EZ1393" s="59"/>
      <c r="FA1393" s="59"/>
      <c r="FB1393" s="59"/>
      <c r="FC1393" s="59"/>
      <c r="FD1393" s="59"/>
      <c r="FE1393" s="59"/>
      <c r="FF1393" s="59"/>
      <c r="FG1393" s="59"/>
      <c r="FH1393" s="59"/>
      <c r="FI1393" s="59"/>
      <c r="FJ1393" s="59"/>
      <c r="FK1393" s="59"/>
      <c r="FL1393" s="59"/>
      <c r="FM1393" s="59"/>
      <c r="FN1393" s="59"/>
      <c r="FO1393" s="59"/>
      <c r="FP1393" s="59"/>
      <c r="FQ1393" s="59"/>
      <c r="FR1393" s="59"/>
      <c r="FS1393" s="59"/>
      <c r="FT1393" s="59"/>
      <c r="FU1393" s="59"/>
      <c r="FV1393" s="59"/>
      <c r="FW1393" s="59"/>
      <c r="FX1393" s="59"/>
      <c r="FY1393" s="59"/>
      <c r="FZ1393" s="59"/>
      <c r="GA1393" s="59"/>
      <c r="GB1393" s="59"/>
      <c r="GC1393" s="59"/>
    </row>
    <row r="1394">
      <c r="A1394" s="59"/>
      <c r="B1394" s="59"/>
      <c r="C1394" s="59"/>
      <c r="D1394" s="59"/>
      <c r="E1394" s="59"/>
      <c r="F1394" s="59"/>
      <c r="G1394" s="59"/>
      <c r="H1394" s="59"/>
      <c r="I1394" s="59"/>
      <c r="J1394" s="59"/>
      <c r="K1394" s="59"/>
      <c r="L1394" s="59"/>
      <c r="M1394" s="59"/>
      <c r="N1394" s="59"/>
      <c r="O1394" s="59"/>
      <c r="P1394" s="59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  <c r="AD1394" s="59"/>
      <c r="AE1394" s="59"/>
      <c r="AF1394" s="59"/>
      <c r="AG1394" s="59"/>
      <c r="AH1394" s="59"/>
      <c r="AI1394" s="59"/>
      <c r="AJ1394" s="59"/>
      <c r="AK1394" s="59"/>
      <c r="AL1394" s="59"/>
      <c r="AM1394" s="59"/>
      <c r="AN1394" s="59"/>
      <c r="AO1394" s="59"/>
      <c r="AP1394" s="59"/>
      <c r="AQ1394" s="59"/>
      <c r="AR1394" s="59"/>
      <c r="AS1394" s="59"/>
      <c r="AT1394" s="59"/>
      <c r="AU1394" s="59"/>
      <c r="AV1394" s="59"/>
      <c r="AW1394" s="59"/>
      <c r="AX1394" s="59"/>
      <c r="AY1394" s="59"/>
      <c r="AZ1394" s="59"/>
      <c r="BA1394" s="59"/>
      <c r="BB1394" s="59"/>
      <c r="BC1394" s="59"/>
      <c r="BD1394" s="59"/>
      <c r="BE1394" s="59"/>
      <c r="BF1394" s="59"/>
      <c r="BG1394" s="59"/>
      <c r="BH1394" s="59"/>
      <c r="BI1394" s="59"/>
      <c r="BJ1394" s="59"/>
      <c r="BK1394" s="59"/>
      <c r="BL1394" s="59"/>
      <c r="BM1394" s="59"/>
      <c r="BN1394" s="59"/>
      <c r="BO1394" s="59"/>
      <c r="BP1394" s="59"/>
      <c r="BQ1394" s="59"/>
      <c r="BR1394" s="59"/>
      <c r="BS1394" s="59"/>
      <c r="BT1394" s="59"/>
      <c r="BU1394" s="59"/>
      <c r="BV1394" s="59"/>
      <c r="BW1394" s="59"/>
      <c r="BX1394" s="59"/>
      <c r="BY1394" s="59"/>
      <c r="BZ1394" s="59"/>
      <c r="CA1394" s="59"/>
      <c r="CB1394" s="59"/>
      <c r="CC1394" s="59"/>
      <c r="CD1394" s="59"/>
      <c r="CE1394" s="59"/>
      <c r="CF1394" s="59"/>
      <c r="CG1394" s="59"/>
      <c r="CH1394" s="59"/>
      <c r="CI1394" s="59"/>
      <c r="CJ1394" s="59"/>
      <c r="CK1394" s="59"/>
      <c r="CL1394" s="59"/>
      <c r="CM1394" s="59"/>
      <c r="CN1394" s="59"/>
      <c r="CO1394" s="59"/>
      <c r="CP1394" s="59"/>
      <c r="CQ1394" s="59"/>
      <c r="CR1394" s="59"/>
      <c r="CS1394" s="59"/>
      <c r="CT1394" s="59"/>
      <c r="CU1394" s="59"/>
      <c r="CV1394" s="59"/>
      <c r="CW1394" s="59"/>
      <c r="CX1394" s="59"/>
      <c r="CY1394" s="59"/>
      <c r="CZ1394" s="59"/>
      <c r="DA1394" s="59"/>
      <c r="DB1394" s="59"/>
      <c r="DC1394" s="59"/>
      <c r="DD1394" s="59"/>
      <c r="DE1394" s="59"/>
      <c r="DF1394" s="59"/>
      <c r="DG1394" s="59"/>
      <c r="DH1394" s="59"/>
      <c r="DI1394" s="59"/>
      <c r="DJ1394" s="59"/>
      <c r="DK1394" s="59"/>
      <c r="DL1394" s="59"/>
      <c r="DM1394" s="59"/>
      <c r="DN1394" s="59"/>
      <c r="DO1394" s="59"/>
      <c r="DP1394" s="59"/>
      <c r="DQ1394" s="59"/>
      <c r="DR1394" s="59"/>
      <c r="DS1394" s="59"/>
      <c r="DT1394" s="59"/>
      <c r="DU1394" s="59"/>
      <c r="DV1394" s="59"/>
      <c r="DW1394" s="59"/>
      <c r="DX1394" s="59"/>
      <c r="DY1394" s="59"/>
      <c r="DZ1394" s="59"/>
      <c r="EA1394" s="59"/>
      <c r="EB1394" s="59"/>
      <c r="EC1394" s="59"/>
      <c r="ED1394" s="59"/>
      <c r="EE1394" s="59"/>
      <c r="EF1394" s="59"/>
      <c r="EG1394" s="59"/>
      <c r="EH1394" s="59"/>
      <c r="EI1394" s="59"/>
      <c r="EJ1394" s="59"/>
      <c r="EK1394" s="59"/>
      <c r="EL1394" s="59"/>
      <c r="EM1394" s="59"/>
      <c r="EN1394" s="59"/>
      <c r="EO1394" s="59"/>
      <c r="EP1394" s="59"/>
      <c r="EQ1394" s="59"/>
      <c r="ER1394" s="59"/>
      <c r="ES1394" s="59"/>
      <c r="ET1394" s="59"/>
      <c r="EU1394" s="59"/>
      <c r="EV1394" s="59"/>
      <c r="EW1394" s="59"/>
      <c r="EX1394" s="59"/>
      <c r="EY1394" s="59"/>
      <c r="EZ1394" s="59"/>
      <c r="FA1394" s="59"/>
      <c r="FB1394" s="59"/>
      <c r="FC1394" s="59"/>
      <c r="FD1394" s="59"/>
      <c r="FE1394" s="59"/>
      <c r="FF1394" s="59"/>
      <c r="FG1394" s="59"/>
      <c r="FH1394" s="59"/>
      <c r="FI1394" s="59"/>
      <c r="FJ1394" s="59"/>
      <c r="FK1394" s="59"/>
      <c r="FL1394" s="59"/>
      <c r="FM1394" s="59"/>
      <c r="FN1394" s="59"/>
      <c r="FO1394" s="59"/>
      <c r="FP1394" s="59"/>
      <c r="FQ1394" s="59"/>
      <c r="FR1394" s="59"/>
      <c r="FS1394" s="59"/>
      <c r="FT1394" s="59"/>
      <c r="FU1394" s="59"/>
      <c r="FV1394" s="59"/>
      <c r="FW1394" s="59"/>
      <c r="FX1394" s="59"/>
      <c r="FY1394" s="59"/>
      <c r="FZ1394" s="59"/>
      <c r="GA1394" s="59"/>
      <c r="GB1394" s="59"/>
      <c r="GC1394" s="59"/>
    </row>
    <row r="1395">
      <c r="A1395" s="59"/>
      <c r="B1395" s="59"/>
      <c r="C1395" s="59"/>
      <c r="D1395" s="59"/>
      <c r="E1395" s="59"/>
      <c r="F1395" s="59"/>
      <c r="G1395" s="59"/>
      <c r="H1395" s="59"/>
      <c r="I1395" s="59"/>
      <c r="J1395" s="59"/>
      <c r="K1395" s="59"/>
      <c r="L1395" s="59"/>
      <c r="M1395" s="59"/>
      <c r="N1395" s="59"/>
      <c r="O1395" s="59"/>
      <c r="P1395" s="59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  <c r="AD1395" s="59"/>
      <c r="AE1395" s="59"/>
      <c r="AF1395" s="59"/>
      <c r="AG1395" s="59"/>
      <c r="AH1395" s="59"/>
      <c r="AI1395" s="59"/>
      <c r="AJ1395" s="59"/>
      <c r="AK1395" s="59"/>
      <c r="AL1395" s="59"/>
      <c r="AM1395" s="59"/>
      <c r="AN1395" s="59"/>
      <c r="AO1395" s="59"/>
      <c r="AP1395" s="59"/>
      <c r="AQ1395" s="59"/>
      <c r="AR1395" s="59"/>
      <c r="AS1395" s="59"/>
      <c r="AT1395" s="59"/>
      <c r="AU1395" s="59"/>
      <c r="AV1395" s="59"/>
      <c r="AW1395" s="59"/>
      <c r="AX1395" s="59"/>
      <c r="AY1395" s="59"/>
      <c r="AZ1395" s="59"/>
      <c r="BA1395" s="59"/>
      <c r="BB1395" s="59"/>
      <c r="BC1395" s="59"/>
      <c r="BD1395" s="59"/>
      <c r="BE1395" s="59"/>
      <c r="BF1395" s="59"/>
      <c r="BG1395" s="59"/>
      <c r="BH1395" s="59"/>
      <c r="BI1395" s="59"/>
      <c r="BJ1395" s="59"/>
      <c r="BK1395" s="59"/>
      <c r="BL1395" s="59"/>
      <c r="BM1395" s="59"/>
      <c r="BN1395" s="59"/>
      <c r="BO1395" s="59"/>
      <c r="BP1395" s="59"/>
      <c r="BQ1395" s="59"/>
      <c r="BR1395" s="59"/>
      <c r="BS1395" s="59"/>
      <c r="BT1395" s="59"/>
      <c r="BU1395" s="59"/>
      <c r="BV1395" s="59"/>
      <c r="BW1395" s="59"/>
      <c r="BX1395" s="59"/>
      <c r="BY1395" s="59"/>
      <c r="BZ1395" s="59"/>
      <c r="CA1395" s="59"/>
      <c r="CB1395" s="59"/>
      <c r="CC1395" s="59"/>
      <c r="CD1395" s="59"/>
      <c r="CE1395" s="59"/>
      <c r="CF1395" s="59"/>
      <c r="CG1395" s="59"/>
      <c r="CH1395" s="59"/>
      <c r="CI1395" s="59"/>
      <c r="CJ1395" s="59"/>
      <c r="CK1395" s="59"/>
      <c r="CL1395" s="59"/>
      <c r="CM1395" s="59"/>
      <c r="CN1395" s="59"/>
      <c r="CO1395" s="59"/>
      <c r="CP1395" s="59"/>
      <c r="CQ1395" s="59"/>
      <c r="CR1395" s="59"/>
      <c r="CS1395" s="59"/>
      <c r="CT1395" s="59"/>
      <c r="CU1395" s="59"/>
      <c r="CV1395" s="59"/>
      <c r="CW1395" s="59"/>
      <c r="CX1395" s="59"/>
      <c r="CY1395" s="59"/>
      <c r="CZ1395" s="59"/>
      <c r="DA1395" s="59"/>
      <c r="DB1395" s="59"/>
      <c r="DC1395" s="59"/>
      <c r="DD1395" s="59"/>
      <c r="DE1395" s="59"/>
      <c r="DF1395" s="59"/>
      <c r="DG1395" s="59"/>
      <c r="DH1395" s="59"/>
      <c r="DI1395" s="59"/>
      <c r="DJ1395" s="59"/>
      <c r="DK1395" s="59"/>
      <c r="DL1395" s="59"/>
      <c r="DM1395" s="59"/>
      <c r="DN1395" s="59"/>
      <c r="DO1395" s="59"/>
      <c r="DP1395" s="59"/>
      <c r="DQ1395" s="59"/>
      <c r="DR1395" s="59"/>
      <c r="DS1395" s="59"/>
      <c r="DT1395" s="59"/>
      <c r="DU1395" s="59"/>
      <c r="DV1395" s="59"/>
      <c r="DW1395" s="59"/>
      <c r="DX1395" s="59"/>
      <c r="DY1395" s="59"/>
      <c r="DZ1395" s="59"/>
      <c r="EA1395" s="59"/>
      <c r="EB1395" s="59"/>
      <c r="EC1395" s="59"/>
      <c r="ED1395" s="59"/>
      <c r="EE1395" s="59"/>
      <c r="EF1395" s="59"/>
      <c r="EG1395" s="59"/>
      <c r="EH1395" s="59"/>
      <c r="EI1395" s="59"/>
      <c r="EJ1395" s="59"/>
      <c r="EK1395" s="59"/>
      <c r="EL1395" s="59"/>
      <c r="EM1395" s="59"/>
      <c r="EN1395" s="59"/>
      <c r="EO1395" s="59"/>
      <c r="EP1395" s="59"/>
      <c r="EQ1395" s="59"/>
      <c r="ER1395" s="59"/>
      <c r="ES1395" s="59"/>
      <c r="ET1395" s="59"/>
      <c r="EU1395" s="59"/>
      <c r="EV1395" s="59"/>
      <c r="EW1395" s="59"/>
      <c r="EX1395" s="59"/>
      <c r="EY1395" s="59"/>
      <c r="EZ1395" s="59"/>
      <c r="FA1395" s="59"/>
      <c r="FB1395" s="59"/>
      <c r="FC1395" s="59"/>
      <c r="FD1395" s="59"/>
      <c r="FE1395" s="59"/>
      <c r="FF1395" s="59"/>
      <c r="FG1395" s="59"/>
      <c r="FH1395" s="59"/>
      <c r="FI1395" s="59"/>
      <c r="FJ1395" s="59"/>
      <c r="FK1395" s="59"/>
      <c r="FL1395" s="59"/>
      <c r="FM1395" s="59"/>
      <c r="FN1395" s="59"/>
      <c r="FO1395" s="59"/>
      <c r="FP1395" s="59"/>
      <c r="FQ1395" s="59"/>
      <c r="FR1395" s="59"/>
      <c r="FS1395" s="59"/>
      <c r="FT1395" s="59"/>
      <c r="FU1395" s="59"/>
      <c r="FV1395" s="59"/>
      <c r="FW1395" s="59"/>
      <c r="FX1395" s="59"/>
      <c r="FY1395" s="59"/>
      <c r="FZ1395" s="59"/>
      <c r="GA1395" s="59"/>
      <c r="GB1395" s="59"/>
      <c r="GC1395" s="59"/>
    </row>
    <row r="1396">
      <c r="A1396" s="59"/>
      <c r="B1396" s="59"/>
      <c r="C1396" s="59"/>
      <c r="D1396" s="59"/>
      <c r="E1396" s="59"/>
      <c r="F1396" s="59"/>
      <c r="G1396" s="59"/>
      <c r="H1396" s="59"/>
      <c r="I1396" s="59"/>
      <c r="J1396" s="59"/>
      <c r="K1396" s="59"/>
      <c r="L1396" s="59"/>
      <c r="M1396" s="59"/>
      <c r="N1396" s="59"/>
      <c r="O1396" s="59"/>
      <c r="P1396" s="59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  <c r="AD1396" s="59"/>
      <c r="AE1396" s="59"/>
      <c r="AF1396" s="59"/>
      <c r="AG1396" s="59"/>
      <c r="AH1396" s="59"/>
      <c r="AI1396" s="59"/>
      <c r="AJ1396" s="59"/>
      <c r="AK1396" s="59"/>
      <c r="AL1396" s="59"/>
      <c r="AM1396" s="59"/>
      <c r="AN1396" s="59"/>
      <c r="AO1396" s="59"/>
      <c r="AP1396" s="59"/>
      <c r="AQ1396" s="59"/>
      <c r="AR1396" s="59"/>
      <c r="AS1396" s="59"/>
      <c r="AT1396" s="59"/>
      <c r="AU1396" s="59"/>
      <c r="AV1396" s="59"/>
      <c r="AW1396" s="59"/>
      <c r="AX1396" s="59"/>
      <c r="AY1396" s="59"/>
      <c r="AZ1396" s="59"/>
      <c r="BA1396" s="59"/>
      <c r="BB1396" s="59"/>
      <c r="BC1396" s="59"/>
      <c r="BD1396" s="59"/>
      <c r="BE1396" s="59"/>
      <c r="BF1396" s="59"/>
      <c r="BG1396" s="59"/>
      <c r="BH1396" s="59"/>
      <c r="BI1396" s="59"/>
      <c r="BJ1396" s="59"/>
      <c r="BK1396" s="59"/>
      <c r="BL1396" s="59"/>
      <c r="BM1396" s="59"/>
      <c r="BN1396" s="59"/>
      <c r="BO1396" s="59"/>
      <c r="BP1396" s="59"/>
      <c r="BQ1396" s="59"/>
      <c r="BR1396" s="59"/>
      <c r="BS1396" s="59"/>
      <c r="BT1396" s="59"/>
      <c r="BU1396" s="59"/>
      <c r="BV1396" s="59"/>
      <c r="BW1396" s="59"/>
      <c r="BX1396" s="59"/>
      <c r="BY1396" s="59"/>
      <c r="BZ1396" s="59"/>
      <c r="CA1396" s="59"/>
      <c r="CB1396" s="59"/>
      <c r="CC1396" s="59"/>
      <c r="CD1396" s="59"/>
      <c r="CE1396" s="59"/>
      <c r="CF1396" s="59"/>
      <c r="CG1396" s="59"/>
      <c r="CH1396" s="59"/>
      <c r="CI1396" s="59"/>
      <c r="CJ1396" s="59"/>
      <c r="CK1396" s="59"/>
      <c r="CL1396" s="59"/>
      <c r="CM1396" s="59"/>
      <c r="CN1396" s="59"/>
      <c r="CO1396" s="59"/>
      <c r="CP1396" s="59"/>
      <c r="CQ1396" s="59"/>
      <c r="CR1396" s="59"/>
      <c r="CS1396" s="59"/>
      <c r="CT1396" s="59"/>
      <c r="CU1396" s="59"/>
      <c r="CV1396" s="59"/>
      <c r="CW1396" s="59"/>
      <c r="CX1396" s="59"/>
      <c r="CY1396" s="59"/>
      <c r="CZ1396" s="59"/>
      <c r="DA1396" s="59"/>
      <c r="DB1396" s="59"/>
      <c r="DC1396" s="59"/>
      <c r="DD1396" s="59"/>
      <c r="DE1396" s="59"/>
      <c r="DF1396" s="59"/>
      <c r="DG1396" s="59"/>
      <c r="DH1396" s="59"/>
      <c r="DI1396" s="59"/>
      <c r="DJ1396" s="59"/>
      <c r="DK1396" s="59"/>
      <c r="DL1396" s="59"/>
      <c r="DM1396" s="59"/>
      <c r="DN1396" s="59"/>
      <c r="DO1396" s="59"/>
      <c r="DP1396" s="59"/>
      <c r="DQ1396" s="59"/>
      <c r="DR1396" s="59"/>
      <c r="DS1396" s="59"/>
      <c r="DT1396" s="59"/>
      <c r="DU1396" s="59"/>
      <c r="DV1396" s="59"/>
      <c r="DW1396" s="59"/>
      <c r="DX1396" s="59"/>
      <c r="DY1396" s="59"/>
      <c r="DZ1396" s="59"/>
      <c r="EA1396" s="59"/>
      <c r="EB1396" s="59"/>
      <c r="EC1396" s="59"/>
      <c r="ED1396" s="59"/>
      <c r="EE1396" s="59"/>
      <c r="EF1396" s="59"/>
      <c r="EG1396" s="59"/>
      <c r="EH1396" s="59"/>
      <c r="EI1396" s="59"/>
      <c r="EJ1396" s="59"/>
      <c r="EK1396" s="59"/>
      <c r="EL1396" s="59"/>
      <c r="EM1396" s="59"/>
      <c r="EN1396" s="59"/>
      <c r="EO1396" s="59"/>
      <c r="EP1396" s="59"/>
      <c r="EQ1396" s="59"/>
      <c r="ER1396" s="59"/>
      <c r="ES1396" s="59"/>
      <c r="ET1396" s="59"/>
      <c r="EU1396" s="59"/>
      <c r="EV1396" s="59"/>
      <c r="EW1396" s="59"/>
      <c r="EX1396" s="59"/>
      <c r="EY1396" s="59"/>
      <c r="EZ1396" s="59"/>
      <c r="FA1396" s="59"/>
      <c r="FB1396" s="59"/>
      <c r="FC1396" s="59"/>
      <c r="FD1396" s="59"/>
      <c r="FE1396" s="59"/>
      <c r="FF1396" s="59"/>
      <c r="FG1396" s="59"/>
      <c r="FH1396" s="59"/>
      <c r="FI1396" s="59"/>
      <c r="FJ1396" s="59"/>
      <c r="FK1396" s="59"/>
      <c r="FL1396" s="59"/>
      <c r="FM1396" s="59"/>
      <c r="FN1396" s="59"/>
      <c r="FO1396" s="59"/>
      <c r="FP1396" s="59"/>
      <c r="FQ1396" s="59"/>
      <c r="FR1396" s="59"/>
      <c r="FS1396" s="59"/>
      <c r="FT1396" s="59"/>
      <c r="FU1396" s="59"/>
      <c r="FV1396" s="59"/>
      <c r="FW1396" s="59"/>
      <c r="FX1396" s="59"/>
      <c r="FY1396" s="59"/>
      <c r="FZ1396" s="59"/>
      <c r="GA1396" s="59"/>
      <c r="GB1396" s="59"/>
      <c r="GC1396" s="59"/>
    </row>
    <row r="1397">
      <c r="A1397" s="59"/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59"/>
      <c r="N1397" s="59"/>
      <c r="O1397" s="59"/>
      <c r="P1397" s="59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59"/>
      <c r="AG1397" s="59"/>
      <c r="AH1397" s="59"/>
      <c r="AI1397" s="59"/>
      <c r="AJ1397" s="59"/>
      <c r="AK1397" s="59"/>
      <c r="AL1397" s="59"/>
      <c r="AM1397" s="59"/>
      <c r="AN1397" s="59"/>
      <c r="AO1397" s="59"/>
      <c r="AP1397" s="59"/>
      <c r="AQ1397" s="59"/>
      <c r="AR1397" s="59"/>
      <c r="AS1397" s="59"/>
      <c r="AT1397" s="59"/>
      <c r="AU1397" s="59"/>
      <c r="AV1397" s="59"/>
      <c r="AW1397" s="59"/>
      <c r="AX1397" s="59"/>
      <c r="AY1397" s="59"/>
      <c r="AZ1397" s="59"/>
      <c r="BA1397" s="59"/>
      <c r="BB1397" s="59"/>
      <c r="BC1397" s="59"/>
      <c r="BD1397" s="59"/>
      <c r="BE1397" s="59"/>
      <c r="BF1397" s="59"/>
      <c r="BG1397" s="59"/>
      <c r="BH1397" s="59"/>
      <c r="BI1397" s="59"/>
      <c r="BJ1397" s="59"/>
      <c r="BK1397" s="59"/>
      <c r="BL1397" s="59"/>
      <c r="BM1397" s="59"/>
      <c r="BN1397" s="59"/>
      <c r="BO1397" s="59"/>
      <c r="BP1397" s="59"/>
      <c r="BQ1397" s="59"/>
      <c r="BR1397" s="59"/>
      <c r="BS1397" s="59"/>
      <c r="BT1397" s="59"/>
      <c r="BU1397" s="59"/>
      <c r="BV1397" s="59"/>
      <c r="BW1397" s="59"/>
      <c r="BX1397" s="59"/>
      <c r="BY1397" s="59"/>
      <c r="BZ1397" s="59"/>
      <c r="CA1397" s="59"/>
      <c r="CB1397" s="59"/>
      <c r="CC1397" s="59"/>
      <c r="CD1397" s="59"/>
      <c r="CE1397" s="59"/>
      <c r="CF1397" s="59"/>
      <c r="CG1397" s="59"/>
      <c r="CH1397" s="59"/>
      <c r="CI1397" s="59"/>
      <c r="CJ1397" s="59"/>
      <c r="CK1397" s="59"/>
      <c r="CL1397" s="59"/>
      <c r="CM1397" s="59"/>
      <c r="CN1397" s="59"/>
      <c r="CO1397" s="59"/>
      <c r="CP1397" s="59"/>
      <c r="CQ1397" s="59"/>
      <c r="CR1397" s="59"/>
      <c r="CS1397" s="59"/>
      <c r="CT1397" s="59"/>
      <c r="CU1397" s="59"/>
      <c r="CV1397" s="59"/>
      <c r="CW1397" s="59"/>
      <c r="CX1397" s="59"/>
      <c r="CY1397" s="59"/>
      <c r="CZ1397" s="59"/>
      <c r="DA1397" s="59"/>
      <c r="DB1397" s="59"/>
      <c r="DC1397" s="59"/>
      <c r="DD1397" s="59"/>
      <c r="DE1397" s="59"/>
      <c r="DF1397" s="59"/>
      <c r="DG1397" s="59"/>
      <c r="DH1397" s="59"/>
      <c r="DI1397" s="59"/>
      <c r="DJ1397" s="59"/>
      <c r="DK1397" s="59"/>
      <c r="DL1397" s="59"/>
      <c r="DM1397" s="59"/>
      <c r="DN1397" s="59"/>
      <c r="DO1397" s="59"/>
      <c r="DP1397" s="59"/>
      <c r="DQ1397" s="59"/>
      <c r="DR1397" s="59"/>
      <c r="DS1397" s="59"/>
      <c r="DT1397" s="59"/>
      <c r="DU1397" s="59"/>
      <c r="DV1397" s="59"/>
      <c r="DW1397" s="59"/>
      <c r="DX1397" s="59"/>
      <c r="DY1397" s="59"/>
      <c r="DZ1397" s="59"/>
      <c r="EA1397" s="59"/>
      <c r="EB1397" s="59"/>
      <c r="EC1397" s="59"/>
      <c r="ED1397" s="59"/>
      <c r="EE1397" s="59"/>
      <c r="EF1397" s="59"/>
      <c r="EG1397" s="59"/>
      <c r="EH1397" s="59"/>
      <c r="EI1397" s="59"/>
      <c r="EJ1397" s="59"/>
      <c r="EK1397" s="59"/>
      <c r="EL1397" s="59"/>
      <c r="EM1397" s="59"/>
      <c r="EN1397" s="59"/>
      <c r="EO1397" s="59"/>
      <c r="EP1397" s="59"/>
      <c r="EQ1397" s="59"/>
      <c r="ER1397" s="59"/>
      <c r="ES1397" s="59"/>
      <c r="ET1397" s="59"/>
      <c r="EU1397" s="59"/>
      <c r="EV1397" s="59"/>
      <c r="EW1397" s="59"/>
      <c r="EX1397" s="59"/>
      <c r="EY1397" s="59"/>
      <c r="EZ1397" s="59"/>
      <c r="FA1397" s="59"/>
      <c r="FB1397" s="59"/>
      <c r="FC1397" s="59"/>
      <c r="FD1397" s="59"/>
      <c r="FE1397" s="59"/>
      <c r="FF1397" s="59"/>
      <c r="FG1397" s="59"/>
      <c r="FH1397" s="59"/>
      <c r="FI1397" s="59"/>
      <c r="FJ1397" s="59"/>
      <c r="FK1397" s="59"/>
      <c r="FL1397" s="59"/>
      <c r="FM1397" s="59"/>
      <c r="FN1397" s="59"/>
      <c r="FO1397" s="59"/>
      <c r="FP1397" s="59"/>
      <c r="FQ1397" s="59"/>
      <c r="FR1397" s="59"/>
      <c r="FS1397" s="59"/>
      <c r="FT1397" s="59"/>
      <c r="FU1397" s="59"/>
      <c r="FV1397" s="59"/>
      <c r="FW1397" s="59"/>
      <c r="FX1397" s="59"/>
      <c r="FY1397" s="59"/>
      <c r="FZ1397" s="59"/>
      <c r="GA1397" s="59"/>
      <c r="GB1397" s="59"/>
      <c r="GC1397" s="59"/>
    </row>
    <row r="1398">
      <c r="A1398" s="59"/>
      <c r="B1398" s="59"/>
      <c r="C1398" s="59"/>
      <c r="D1398" s="59"/>
      <c r="E1398" s="59"/>
      <c r="F1398" s="59"/>
      <c r="G1398" s="59"/>
      <c r="H1398" s="59"/>
      <c r="I1398" s="59"/>
      <c r="J1398" s="59"/>
      <c r="K1398" s="59"/>
      <c r="L1398" s="59"/>
      <c r="M1398" s="59"/>
      <c r="N1398" s="59"/>
      <c r="O1398" s="59"/>
      <c r="P1398" s="59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  <c r="AD1398" s="59"/>
      <c r="AE1398" s="59"/>
      <c r="AF1398" s="59"/>
      <c r="AG1398" s="59"/>
      <c r="AH1398" s="59"/>
      <c r="AI1398" s="59"/>
      <c r="AJ1398" s="59"/>
      <c r="AK1398" s="59"/>
      <c r="AL1398" s="59"/>
      <c r="AM1398" s="59"/>
      <c r="AN1398" s="59"/>
      <c r="AO1398" s="59"/>
      <c r="AP1398" s="59"/>
      <c r="AQ1398" s="59"/>
      <c r="AR1398" s="59"/>
      <c r="AS1398" s="59"/>
      <c r="AT1398" s="59"/>
      <c r="AU1398" s="59"/>
      <c r="AV1398" s="59"/>
      <c r="AW1398" s="59"/>
      <c r="AX1398" s="59"/>
      <c r="AY1398" s="59"/>
      <c r="AZ1398" s="59"/>
      <c r="BA1398" s="59"/>
      <c r="BB1398" s="59"/>
      <c r="BC1398" s="59"/>
      <c r="BD1398" s="59"/>
      <c r="BE1398" s="59"/>
      <c r="BF1398" s="59"/>
      <c r="BG1398" s="59"/>
      <c r="BH1398" s="59"/>
      <c r="BI1398" s="59"/>
      <c r="BJ1398" s="59"/>
      <c r="BK1398" s="59"/>
      <c r="BL1398" s="59"/>
      <c r="BM1398" s="59"/>
      <c r="BN1398" s="59"/>
      <c r="BO1398" s="59"/>
      <c r="BP1398" s="59"/>
      <c r="BQ1398" s="59"/>
      <c r="BR1398" s="59"/>
      <c r="BS1398" s="59"/>
      <c r="BT1398" s="59"/>
      <c r="BU1398" s="59"/>
      <c r="BV1398" s="59"/>
      <c r="BW1398" s="59"/>
      <c r="BX1398" s="59"/>
      <c r="BY1398" s="59"/>
      <c r="BZ1398" s="59"/>
      <c r="CA1398" s="59"/>
      <c r="CB1398" s="59"/>
      <c r="CC1398" s="59"/>
      <c r="CD1398" s="59"/>
      <c r="CE1398" s="59"/>
      <c r="CF1398" s="59"/>
      <c r="CG1398" s="59"/>
      <c r="CH1398" s="59"/>
      <c r="CI1398" s="59"/>
      <c r="CJ1398" s="59"/>
      <c r="CK1398" s="59"/>
      <c r="CL1398" s="59"/>
      <c r="CM1398" s="59"/>
      <c r="CN1398" s="59"/>
      <c r="CO1398" s="59"/>
      <c r="CP1398" s="59"/>
      <c r="CQ1398" s="59"/>
      <c r="CR1398" s="59"/>
      <c r="CS1398" s="59"/>
      <c r="CT1398" s="59"/>
      <c r="CU1398" s="59"/>
      <c r="CV1398" s="59"/>
      <c r="CW1398" s="59"/>
      <c r="CX1398" s="59"/>
      <c r="CY1398" s="59"/>
      <c r="CZ1398" s="59"/>
      <c r="DA1398" s="59"/>
      <c r="DB1398" s="59"/>
      <c r="DC1398" s="59"/>
      <c r="DD1398" s="59"/>
      <c r="DE1398" s="59"/>
      <c r="DF1398" s="59"/>
      <c r="DG1398" s="59"/>
      <c r="DH1398" s="59"/>
      <c r="DI1398" s="59"/>
      <c r="DJ1398" s="59"/>
      <c r="DK1398" s="59"/>
      <c r="DL1398" s="59"/>
      <c r="DM1398" s="59"/>
      <c r="DN1398" s="59"/>
      <c r="DO1398" s="59"/>
      <c r="DP1398" s="59"/>
      <c r="DQ1398" s="59"/>
      <c r="DR1398" s="59"/>
      <c r="DS1398" s="59"/>
      <c r="DT1398" s="59"/>
      <c r="DU1398" s="59"/>
      <c r="DV1398" s="59"/>
      <c r="DW1398" s="59"/>
      <c r="DX1398" s="59"/>
      <c r="DY1398" s="59"/>
      <c r="DZ1398" s="59"/>
      <c r="EA1398" s="59"/>
      <c r="EB1398" s="59"/>
      <c r="EC1398" s="59"/>
      <c r="ED1398" s="59"/>
      <c r="EE1398" s="59"/>
      <c r="EF1398" s="59"/>
      <c r="EG1398" s="59"/>
      <c r="EH1398" s="59"/>
      <c r="EI1398" s="59"/>
      <c r="EJ1398" s="59"/>
      <c r="EK1398" s="59"/>
      <c r="EL1398" s="59"/>
      <c r="EM1398" s="59"/>
      <c r="EN1398" s="59"/>
      <c r="EO1398" s="59"/>
      <c r="EP1398" s="59"/>
      <c r="EQ1398" s="59"/>
      <c r="ER1398" s="59"/>
      <c r="ES1398" s="59"/>
      <c r="ET1398" s="59"/>
      <c r="EU1398" s="59"/>
      <c r="EV1398" s="59"/>
      <c r="EW1398" s="59"/>
      <c r="EX1398" s="59"/>
      <c r="EY1398" s="59"/>
      <c r="EZ1398" s="59"/>
      <c r="FA1398" s="59"/>
      <c r="FB1398" s="59"/>
      <c r="FC1398" s="59"/>
      <c r="FD1398" s="59"/>
      <c r="FE1398" s="59"/>
      <c r="FF1398" s="59"/>
      <c r="FG1398" s="59"/>
      <c r="FH1398" s="59"/>
      <c r="FI1398" s="59"/>
      <c r="FJ1398" s="59"/>
      <c r="FK1398" s="59"/>
      <c r="FL1398" s="59"/>
      <c r="FM1398" s="59"/>
      <c r="FN1398" s="59"/>
      <c r="FO1398" s="59"/>
      <c r="FP1398" s="59"/>
      <c r="FQ1398" s="59"/>
      <c r="FR1398" s="59"/>
      <c r="FS1398" s="59"/>
      <c r="FT1398" s="59"/>
      <c r="FU1398" s="59"/>
      <c r="FV1398" s="59"/>
      <c r="FW1398" s="59"/>
      <c r="FX1398" s="59"/>
      <c r="FY1398" s="59"/>
      <c r="FZ1398" s="59"/>
      <c r="GA1398" s="59"/>
      <c r="GB1398" s="59"/>
      <c r="GC1398" s="59"/>
    </row>
    <row r="1399">
      <c r="A1399" s="59"/>
      <c r="B1399" s="59"/>
      <c r="C1399" s="59"/>
      <c r="D1399" s="59"/>
      <c r="E1399" s="59"/>
      <c r="F1399" s="59"/>
      <c r="G1399" s="59"/>
      <c r="H1399" s="59"/>
      <c r="I1399" s="59"/>
      <c r="J1399" s="59"/>
      <c r="K1399" s="59"/>
      <c r="L1399" s="59"/>
      <c r="M1399" s="59"/>
      <c r="N1399" s="59"/>
      <c r="O1399" s="59"/>
      <c r="P1399" s="59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  <c r="AD1399" s="59"/>
      <c r="AE1399" s="59"/>
      <c r="AF1399" s="59"/>
      <c r="AG1399" s="59"/>
      <c r="AH1399" s="59"/>
      <c r="AI1399" s="59"/>
      <c r="AJ1399" s="59"/>
      <c r="AK1399" s="59"/>
      <c r="AL1399" s="59"/>
      <c r="AM1399" s="59"/>
      <c r="AN1399" s="59"/>
      <c r="AO1399" s="59"/>
      <c r="AP1399" s="59"/>
      <c r="AQ1399" s="59"/>
      <c r="AR1399" s="59"/>
      <c r="AS1399" s="59"/>
      <c r="AT1399" s="59"/>
      <c r="AU1399" s="59"/>
      <c r="AV1399" s="59"/>
      <c r="AW1399" s="59"/>
      <c r="AX1399" s="59"/>
      <c r="AY1399" s="59"/>
      <c r="AZ1399" s="59"/>
      <c r="BA1399" s="59"/>
      <c r="BB1399" s="59"/>
      <c r="BC1399" s="59"/>
      <c r="BD1399" s="59"/>
      <c r="BE1399" s="59"/>
      <c r="BF1399" s="59"/>
      <c r="BG1399" s="59"/>
      <c r="BH1399" s="59"/>
      <c r="BI1399" s="59"/>
      <c r="BJ1399" s="59"/>
      <c r="BK1399" s="59"/>
      <c r="BL1399" s="59"/>
      <c r="BM1399" s="59"/>
      <c r="BN1399" s="59"/>
      <c r="BO1399" s="59"/>
      <c r="BP1399" s="59"/>
      <c r="BQ1399" s="59"/>
      <c r="BR1399" s="59"/>
      <c r="BS1399" s="59"/>
      <c r="BT1399" s="59"/>
      <c r="BU1399" s="59"/>
      <c r="BV1399" s="59"/>
      <c r="BW1399" s="59"/>
      <c r="BX1399" s="59"/>
      <c r="BY1399" s="59"/>
      <c r="BZ1399" s="59"/>
      <c r="CA1399" s="59"/>
      <c r="CB1399" s="59"/>
      <c r="CC1399" s="59"/>
      <c r="CD1399" s="59"/>
      <c r="CE1399" s="59"/>
      <c r="CF1399" s="59"/>
      <c r="CG1399" s="59"/>
      <c r="CH1399" s="59"/>
      <c r="CI1399" s="59"/>
      <c r="CJ1399" s="59"/>
      <c r="CK1399" s="59"/>
      <c r="CL1399" s="59"/>
      <c r="CM1399" s="59"/>
      <c r="CN1399" s="59"/>
      <c r="CO1399" s="59"/>
      <c r="CP1399" s="59"/>
      <c r="CQ1399" s="59"/>
      <c r="CR1399" s="59"/>
      <c r="CS1399" s="59"/>
      <c r="CT1399" s="59"/>
      <c r="CU1399" s="59"/>
      <c r="CV1399" s="59"/>
      <c r="CW1399" s="59"/>
      <c r="CX1399" s="59"/>
      <c r="CY1399" s="59"/>
      <c r="CZ1399" s="59"/>
      <c r="DA1399" s="59"/>
      <c r="DB1399" s="59"/>
      <c r="DC1399" s="59"/>
      <c r="DD1399" s="59"/>
      <c r="DE1399" s="59"/>
      <c r="DF1399" s="59"/>
      <c r="DG1399" s="59"/>
      <c r="DH1399" s="59"/>
      <c r="DI1399" s="59"/>
      <c r="DJ1399" s="59"/>
      <c r="DK1399" s="59"/>
      <c r="DL1399" s="59"/>
      <c r="DM1399" s="59"/>
      <c r="DN1399" s="59"/>
      <c r="DO1399" s="59"/>
      <c r="DP1399" s="59"/>
      <c r="DQ1399" s="59"/>
      <c r="DR1399" s="59"/>
      <c r="DS1399" s="59"/>
      <c r="DT1399" s="59"/>
      <c r="DU1399" s="59"/>
      <c r="DV1399" s="59"/>
      <c r="DW1399" s="59"/>
      <c r="DX1399" s="59"/>
      <c r="DY1399" s="59"/>
      <c r="DZ1399" s="59"/>
      <c r="EA1399" s="59"/>
      <c r="EB1399" s="59"/>
      <c r="EC1399" s="59"/>
      <c r="ED1399" s="59"/>
      <c r="EE1399" s="59"/>
      <c r="EF1399" s="59"/>
      <c r="EG1399" s="59"/>
      <c r="EH1399" s="59"/>
      <c r="EI1399" s="59"/>
      <c r="EJ1399" s="59"/>
      <c r="EK1399" s="59"/>
      <c r="EL1399" s="59"/>
      <c r="EM1399" s="59"/>
      <c r="EN1399" s="59"/>
      <c r="EO1399" s="59"/>
      <c r="EP1399" s="59"/>
      <c r="EQ1399" s="59"/>
      <c r="ER1399" s="59"/>
      <c r="ES1399" s="59"/>
      <c r="ET1399" s="59"/>
      <c r="EU1399" s="59"/>
      <c r="EV1399" s="59"/>
      <c r="EW1399" s="59"/>
      <c r="EX1399" s="59"/>
      <c r="EY1399" s="59"/>
      <c r="EZ1399" s="59"/>
      <c r="FA1399" s="59"/>
      <c r="FB1399" s="59"/>
      <c r="FC1399" s="59"/>
      <c r="FD1399" s="59"/>
      <c r="FE1399" s="59"/>
      <c r="FF1399" s="59"/>
      <c r="FG1399" s="59"/>
      <c r="FH1399" s="59"/>
      <c r="FI1399" s="59"/>
      <c r="FJ1399" s="59"/>
      <c r="FK1399" s="59"/>
      <c r="FL1399" s="59"/>
      <c r="FM1399" s="59"/>
      <c r="FN1399" s="59"/>
      <c r="FO1399" s="59"/>
      <c r="FP1399" s="59"/>
      <c r="FQ1399" s="59"/>
      <c r="FR1399" s="59"/>
      <c r="FS1399" s="59"/>
      <c r="FT1399" s="59"/>
      <c r="FU1399" s="59"/>
      <c r="FV1399" s="59"/>
      <c r="FW1399" s="59"/>
      <c r="FX1399" s="59"/>
      <c r="FY1399" s="59"/>
      <c r="FZ1399" s="59"/>
      <c r="GA1399" s="59"/>
      <c r="GB1399" s="59"/>
      <c r="GC1399" s="59"/>
    </row>
    <row r="1400">
      <c r="A1400" s="59"/>
      <c r="B1400" s="59"/>
      <c r="C1400" s="59"/>
      <c r="D1400" s="59"/>
      <c r="E1400" s="59"/>
      <c r="F1400" s="59"/>
      <c r="G1400" s="59"/>
      <c r="H1400" s="59"/>
      <c r="I1400" s="59"/>
      <c r="J1400" s="59"/>
      <c r="K1400" s="59"/>
      <c r="L1400" s="59"/>
      <c r="M1400" s="59"/>
      <c r="N1400" s="59"/>
      <c r="O1400" s="59"/>
      <c r="P1400" s="59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  <c r="AD1400" s="59"/>
      <c r="AE1400" s="59"/>
      <c r="AF1400" s="59"/>
      <c r="AG1400" s="59"/>
      <c r="AH1400" s="59"/>
      <c r="AI1400" s="59"/>
      <c r="AJ1400" s="59"/>
      <c r="AK1400" s="59"/>
      <c r="AL1400" s="59"/>
      <c r="AM1400" s="59"/>
      <c r="AN1400" s="59"/>
      <c r="AO1400" s="59"/>
      <c r="AP1400" s="59"/>
      <c r="AQ1400" s="59"/>
      <c r="AR1400" s="59"/>
      <c r="AS1400" s="59"/>
      <c r="AT1400" s="59"/>
      <c r="AU1400" s="59"/>
      <c r="AV1400" s="59"/>
      <c r="AW1400" s="59"/>
      <c r="AX1400" s="59"/>
      <c r="AY1400" s="59"/>
      <c r="AZ1400" s="59"/>
      <c r="BA1400" s="59"/>
      <c r="BB1400" s="59"/>
      <c r="BC1400" s="59"/>
      <c r="BD1400" s="59"/>
      <c r="BE1400" s="59"/>
      <c r="BF1400" s="59"/>
      <c r="BG1400" s="59"/>
      <c r="BH1400" s="59"/>
      <c r="BI1400" s="59"/>
      <c r="BJ1400" s="59"/>
      <c r="BK1400" s="59"/>
      <c r="BL1400" s="59"/>
      <c r="BM1400" s="59"/>
      <c r="BN1400" s="59"/>
      <c r="BO1400" s="59"/>
      <c r="BP1400" s="59"/>
      <c r="BQ1400" s="59"/>
      <c r="BR1400" s="59"/>
      <c r="BS1400" s="59"/>
      <c r="BT1400" s="59"/>
      <c r="BU1400" s="59"/>
      <c r="BV1400" s="59"/>
      <c r="BW1400" s="59"/>
      <c r="BX1400" s="59"/>
      <c r="BY1400" s="59"/>
      <c r="BZ1400" s="59"/>
      <c r="CA1400" s="59"/>
      <c r="CB1400" s="59"/>
      <c r="CC1400" s="59"/>
      <c r="CD1400" s="59"/>
      <c r="CE1400" s="59"/>
      <c r="CF1400" s="59"/>
      <c r="CG1400" s="59"/>
      <c r="CH1400" s="59"/>
      <c r="CI1400" s="59"/>
      <c r="CJ1400" s="59"/>
      <c r="CK1400" s="59"/>
      <c r="CL1400" s="59"/>
      <c r="CM1400" s="59"/>
      <c r="CN1400" s="59"/>
      <c r="CO1400" s="59"/>
      <c r="CP1400" s="59"/>
      <c r="CQ1400" s="59"/>
      <c r="CR1400" s="59"/>
      <c r="CS1400" s="59"/>
      <c r="CT1400" s="59"/>
      <c r="CU1400" s="59"/>
      <c r="CV1400" s="59"/>
      <c r="CW1400" s="59"/>
      <c r="CX1400" s="59"/>
      <c r="CY1400" s="59"/>
      <c r="CZ1400" s="59"/>
      <c r="DA1400" s="59"/>
      <c r="DB1400" s="59"/>
      <c r="DC1400" s="59"/>
      <c r="DD1400" s="59"/>
      <c r="DE1400" s="59"/>
      <c r="DF1400" s="59"/>
      <c r="DG1400" s="59"/>
      <c r="DH1400" s="59"/>
      <c r="DI1400" s="59"/>
      <c r="DJ1400" s="59"/>
      <c r="DK1400" s="59"/>
      <c r="DL1400" s="59"/>
      <c r="DM1400" s="59"/>
      <c r="DN1400" s="59"/>
      <c r="DO1400" s="59"/>
      <c r="DP1400" s="59"/>
      <c r="DQ1400" s="59"/>
      <c r="DR1400" s="59"/>
      <c r="DS1400" s="59"/>
      <c r="DT1400" s="59"/>
      <c r="DU1400" s="59"/>
      <c r="DV1400" s="59"/>
      <c r="DW1400" s="59"/>
      <c r="DX1400" s="59"/>
      <c r="DY1400" s="59"/>
      <c r="DZ1400" s="59"/>
      <c r="EA1400" s="59"/>
      <c r="EB1400" s="59"/>
      <c r="EC1400" s="59"/>
      <c r="ED1400" s="59"/>
      <c r="EE1400" s="59"/>
      <c r="EF1400" s="59"/>
      <c r="EG1400" s="59"/>
      <c r="EH1400" s="59"/>
      <c r="EI1400" s="59"/>
      <c r="EJ1400" s="59"/>
      <c r="EK1400" s="59"/>
      <c r="EL1400" s="59"/>
      <c r="EM1400" s="59"/>
      <c r="EN1400" s="59"/>
      <c r="EO1400" s="59"/>
      <c r="EP1400" s="59"/>
      <c r="EQ1400" s="59"/>
      <c r="ER1400" s="59"/>
      <c r="ES1400" s="59"/>
      <c r="ET1400" s="59"/>
      <c r="EU1400" s="59"/>
      <c r="EV1400" s="59"/>
      <c r="EW1400" s="59"/>
      <c r="EX1400" s="59"/>
      <c r="EY1400" s="59"/>
      <c r="EZ1400" s="59"/>
      <c r="FA1400" s="59"/>
      <c r="FB1400" s="59"/>
      <c r="FC1400" s="59"/>
      <c r="FD1400" s="59"/>
      <c r="FE1400" s="59"/>
      <c r="FF1400" s="59"/>
      <c r="FG1400" s="59"/>
      <c r="FH1400" s="59"/>
      <c r="FI1400" s="59"/>
      <c r="FJ1400" s="59"/>
      <c r="FK1400" s="59"/>
      <c r="FL1400" s="59"/>
      <c r="FM1400" s="59"/>
      <c r="FN1400" s="59"/>
      <c r="FO1400" s="59"/>
      <c r="FP1400" s="59"/>
      <c r="FQ1400" s="59"/>
      <c r="FR1400" s="59"/>
      <c r="FS1400" s="59"/>
      <c r="FT1400" s="59"/>
      <c r="FU1400" s="59"/>
      <c r="FV1400" s="59"/>
      <c r="FW1400" s="59"/>
      <c r="FX1400" s="59"/>
      <c r="FY1400" s="59"/>
      <c r="FZ1400" s="59"/>
      <c r="GA1400" s="59"/>
      <c r="GB1400" s="59"/>
      <c r="GC1400" s="59"/>
    </row>
    <row r="1401">
      <c r="A1401" s="59"/>
      <c r="B1401" s="59"/>
      <c r="C1401" s="59"/>
      <c r="D1401" s="59"/>
      <c r="E1401" s="59"/>
      <c r="F1401" s="59"/>
      <c r="G1401" s="59"/>
      <c r="H1401" s="59"/>
      <c r="I1401" s="59"/>
      <c r="J1401" s="59"/>
      <c r="K1401" s="59"/>
      <c r="L1401" s="59"/>
      <c r="M1401" s="59"/>
      <c r="N1401" s="59"/>
      <c r="O1401" s="59"/>
      <c r="P1401" s="59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  <c r="AD1401" s="59"/>
      <c r="AE1401" s="59"/>
      <c r="AF1401" s="59"/>
      <c r="AG1401" s="59"/>
      <c r="AH1401" s="59"/>
      <c r="AI1401" s="59"/>
      <c r="AJ1401" s="59"/>
      <c r="AK1401" s="59"/>
      <c r="AL1401" s="59"/>
      <c r="AM1401" s="59"/>
      <c r="AN1401" s="59"/>
      <c r="AO1401" s="59"/>
      <c r="AP1401" s="59"/>
      <c r="AQ1401" s="59"/>
      <c r="AR1401" s="59"/>
      <c r="AS1401" s="59"/>
      <c r="AT1401" s="59"/>
      <c r="AU1401" s="59"/>
      <c r="AV1401" s="59"/>
      <c r="AW1401" s="59"/>
      <c r="AX1401" s="59"/>
      <c r="AY1401" s="59"/>
      <c r="AZ1401" s="59"/>
      <c r="BA1401" s="59"/>
      <c r="BB1401" s="59"/>
      <c r="BC1401" s="59"/>
      <c r="BD1401" s="59"/>
      <c r="BE1401" s="59"/>
      <c r="BF1401" s="59"/>
      <c r="BG1401" s="59"/>
      <c r="BH1401" s="59"/>
      <c r="BI1401" s="59"/>
      <c r="BJ1401" s="59"/>
      <c r="BK1401" s="59"/>
      <c r="BL1401" s="59"/>
      <c r="BM1401" s="59"/>
      <c r="BN1401" s="59"/>
      <c r="BO1401" s="59"/>
      <c r="BP1401" s="59"/>
      <c r="BQ1401" s="59"/>
      <c r="BR1401" s="59"/>
      <c r="BS1401" s="59"/>
      <c r="BT1401" s="59"/>
      <c r="BU1401" s="59"/>
      <c r="BV1401" s="59"/>
      <c r="BW1401" s="59"/>
      <c r="BX1401" s="59"/>
      <c r="BY1401" s="59"/>
      <c r="BZ1401" s="59"/>
      <c r="CA1401" s="59"/>
      <c r="CB1401" s="59"/>
      <c r="CC1401" s="59"/>
      <c r="CD1401" s="59"/>
      <c r="CE1401" s="59"/>
      <c r="CF1401" s="59"/>
      <c r="CG1401" s="59"/>
      <c r="CH1401" s="59"/>
      <c r="CI1401" s="59"/>
      <c r="CJ1401" s="59"/>
      <c r="CK1401" s="59"/>
      <c r="CL1401" s="59"/>
      <c r="CM1401" s="59"/>
      <c r="CN1401" s="59"/>
      <c r="CO1401" s="59"/>
      <c r="CP1401" s="59"/>
      <c r="CQ1401" s="59"/>
      <c r="CR1401" s="59"/>
      <c r="CS1401" s="59"/>
      <c r="CT1401" s="59"/>
      <c r="CU1401" s="59"/>
      <c r="CV1401" s="59"/>
      <c r="CW1401" s="59"/>
      <c r="CX1401" s="59"/>
      <c r="CY1401" s="59"/>
      <c r="CZ1401" s="59"/>
      <c r="DA1401" s="59"/>
      <c r="DB1401" s="59"/>
      <c r="DC1401" s="59"/>
      <c r="DD1401" s="59"/>
      <c r="DE1401" s="59"/>
      <c r="DF1401" s="59"/>
      <c r="DG1401" s="59"/>
      <c r="DH1401" s="59"/>
      <c r="DI1401" s="59"/>
      <c r="DJ1401" s="59"/>
      <c r="DK1401" s="59"/>
      <c r="DL1401" s="59"/>
      <c r="DM1401" s="59"/>
      <c r="DN1401" s="59"/>
      <c r="DO1401" s="59"/>
      <c r="DP1401" s="59"/>
      <c r="DQ1401" s="59"/>
      <c r="DR1401" s="59"/>
      <c r="DS1401" s="59"/>
      <c r="DT1401" s="59"/>
      <c r="DU1401" s="59"/>
      <c r="DV1401" s="59"/>
      <c r="DW1401" s="59"/>
      <c r="DX1401" s="59"/>
      <c r="DY1401" s="59"/>
      <c r="DZ1401" s="59"/>
      <c r="EA1401" s="59"/>
      <c r="EB1401" s="59"/>
      <c r="EC1401" s="59"/>
      <c r="ED1401" s="59"/>
      <c r="EE1401" s="59"/>
      <c r="EF1401" s="59"/>
      <c r="EG1401" s="59"/>
      <c r="EH1401" s="59"/>
      <c r="EI1401" s="59"/>
      <c r="EJ1401" s="59"/>
      <c r="EK1401" s="59"/>
      <c r="EL1401" s="59"/>
      <c r="EM1401" s="59"/>
      <c r="EN1401" s="59"/>
      <c r="EO1401" s="59"/>
      <c r="EP1401" s="59"/>
      <c r="EQ1401" s="59"/>
      <c r="ER1401" s="59"/>
      <c r="ES1401" s="59"/>
      <c r="ET1401" s="59"/>
      <c r="EU1401" s="59"/>
      <c r="EV1401" s="59"/>
      <c r="EW1401" s="59"/>
      <c r="EX1401" s="59"/>
      <c r="EY1401" s="59"/>
      <c r="EZ1401" s="59"/>
      <c r="FA1401" s="59"/>
      <c r="FB1401" s="59"/>
      <c r="FC1401" s="59"/>
      <c r="FD1401" s="59"/>
      <c r="FE1401" s="59"/>
      <c r="FF1401" s="59"/>
      <c r="FG1401" s="59"/>
      <c r="FH1401" s="59"/>
      <c r="FI1401" s="59"/>
      <c r="FJ1401" s="59"/>
      <c r="FK1401" s="59"/>
      <c r="FL1401" s="59"/>
      <c r="FM1401" s="59"/>
      <c r="FN1401" s="59"/>
      <c r="FO1401" s="59"/>
      <c r="FP1401" s="59"/>
      <c r="FQ1401" s="59"/>
      <c r="FR1401" s="59"/>
      <c r="FS1401" s="59"/>
      <c r="FT1401" s="59"/>
      <c r="FU1401" s="59"/>
      <c r="FV1401" s="59"/>
      <c r="FW1401" s="59"/>
      <c r="FX1401" s="59"/>
      <c r="FY1401" s="59"/>
      <c r="FZ1401" s="59"/>
      <c r="GA1401" s="59"/>
      <c r="GB1401" s="59"/>
      <c r="GC1401" s="59"/>
    </row>
    <row r="1402">
      <c r="A1402" s="59"/>
      <c r="B1402" s="59"/>
      <c r="C1402" s="59"/>
      <c r="D1402" s="59"/>
      <c r="E1402" s="59"/>
      <c r="F1402" s="59"/>
      <c r="G1402" s="59"/>
      <c r="H1402" s="59"/>
      <c r="I1402" s="59"/>
      <c r="J1402" s="59"/>
      <c r="K1402" s="59"/>
      <c r="L1402" s="59"/>
      <c r="M1402" s="59"/>
      <c r="N1402" s="59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59"/>
      <c r="AG1402" s="59"/>
      <c r="AH1402" s="59"/>
      <c r="AI1402" s="59"/>
      <c r="AJ1402" s="59"/>
      <c r="AK1402" s="59"/>
      <c r="AL1402" s="59"/>
      <c r="AM1402" s="59"/>
      <c r="AN1402" s="59"/>
      <c r="AO1402" s="59"/>
      <c r="AP1402" s="59"/>
      <c r="AQ1402" s="59"/>
      <c r="AR1402" s="59"/>
      <c r="AS1402" s="59"/>
      <c r="AT1402" s="59"/>
      <c r="AU1402" s="59"/>
      <c r="AV1402" s="59"/>
      <c r="AW1402" s="59"/>
      <c r="AX1402" s="59"/>
      <c r="AY1402" s="59"/>
      <c r="AZ1402" s="59"/>
      <c r="BA1402" s="59"/>
      <c r="BB1402" s="59"/>
      <c r="BC1402" s="59"/>
      <c r="BD1402" s="59"/>
      <c r="BE1402" s="59"/>
      <c r="BF1402" s="59"/>
      <c r="BG1402" s="59"/>
      <c r="BH1402" s="59"/>
      <c r="BI1402" s="59"/>
      <c r="BJ1402" s="59"/>
      <c r="BK1402" s="59"/>
      <c r="BL1402" s="59"/>
      <c r="BM1402" s="59"/>
      <c r="BN1402" s="59"/>
      <c r="BO1402" s="59"/>
      <c r="BP1402" s="59"/>
      <c r="BQ1402" s="59"/>
      <c r="BR1402" s="59"/>
      <c r="BS1402" s="59"/>
      <c r="BT1402" s="59"/>
      <c r="BU1402" s="59"/>
      <c r="BV1402" s="59"/>
      <c r="BW1402" s="59"/>
      <c r="BX1402" s="59"/>
      <c r="BY1402" s="59"/>
      <c r="BZ1402" s="59"/>
      <c r="CA1402" s="59"/>
      <c r="CB1402" s="59"/>
      <c r="CC1402" s="59"/>
      <c r="CD1402" s="59"/>
      <c r="CE1402" s="59"/>
      <c r="CF1402" s="59"/>
      <c r="CG1402" s="59"/>
      <c r="CH1402" s="59"/>
      <c r="CI1402" s="59"/>
      <c r="CJ1402" s="59"/>
      <c r="CK1402" s="59"/>
      <c r="CL1402" s="59"/>
      <c r="CM1402" s="59"/>
      <c r="CN1402" s="59"/>
      <c r="CO1402" s="59"/>
      <c r="CP1402" s="59"/>
      <c r="CQ1402" s="59"/>
      <c r="CR1402" s="59"/>
      <c r="CS1402" s="59"/>
      <c r="CT1402" s="59"/>
      <c r="CU1402" s="59"/>
      <c r="CV1402" s="59"/>
      <c r="CW1402" s="59"/>
      <c r="CX1402" s="59"/>
      <c r="CY1402" s="59"/>
      <c r="CZ1402" s="59"/>
      <c r="DA1402" s="59"/>
      <c r="DB1402" s="59"/>
      <c r="DC1402" s="59"/>
      <c r="DD1402" s="59"/>
      <c r="DE1402" s="59"/>
      <c r="DF1402" s="59"/>
      <c r="DG1402" s="59"/>
      <c r="DH1402" s="59"/>
      <c r="DI1402" s="59"/>
      <c r="DJ1402" s="59"/>
      <c r="DK1402" s="59"/>
      <c r="DL1402" s="59"/>
      <c r="DM1402" s="59"/>
      <c r="DN1402" s="59"/>
      <c r="DO1402" s="59"/>
      <c r="DP1402" s="59"/>
      <c r="DQ1402" s="59"/>
      <c r="DR1402" s="59"/>
      <c r="DS1402" s="59"/>
      <c r="DT1402" s="59"/>
      <c r="DU1402" s="59"/>
      <c r="DV1402" s="59"/>
      <c r="DW1402" s="59"/>
      <c r="DX1402" s="59"/>
      <c r="DY1402" s="59"/>
      <c r="DZ1402" s="59"/>
      <c r="EA1402" s="59"/>
      <c r="EB1402" s="59"/>
      <c r="EC1402" s="59"/>
      <c r="ED1402" s="59"/>
      <c r="EE1402" s="59"/>
      <c r="EF1402" s="59"/>
      <c r="EG1402" s="59"/>
      <c r="EH1402" s="59"/>
      <c r="EI1402" s="59"/>
      <c r="EJ1402" s="59"/>
      <c r="EK1402" s="59"/>
      <c r="EL1402" s="59"/>
      <c r="EM1402" s="59"/>
      <c r="EN1402" s="59"/>
      <c r="EO1402" s="59"/>
      <c r="EP1402" s="59"/>
      <c r="EQ1402" s="59"/>
      <c r="ER1402" s="59"/>
      <c r="ES1402" s="59"/>
      <c r="ET1402" s="59"/>
      <c r="EU1402" s="59"/>
      <c r="EV1402" s="59"/>
      <c r="EW1402" s="59"/>
      <c r="EX1402" s="59"/>
      <c r="EY1402" s="59"/>
      <c r="EZ1402" s="59"/>
      <c r="FA1402" s="59"/>
      <c r="FB1402" s="59"/>
      <c r="FC1402" s="59"/>
      <c r="FD1402" s="59"/>
      <c r="FE1402" s="59"/>
      <c r="FF1402" s="59"/>
      <c r="FG1402" s="59"/>
      <c r="FH1402" s="59"/>
      <c r="FI1402" s="59"/>
      <c r="FJ1402" s="59"/>
      <c r="FK1402" s="59"/>
      <c r="FL1402" s="59"/>
      <c r="FM1402" s="59"/>
      <c r="FN1402" s="59"/>
      <c r="FO1402" s="59"/>
      <c r="FP1402" s="59"/>
      <c r="FQ1402" s="59"/>
      <c r="FR1402" s="59"/>
      <c r="FS1402" s="59"/>
      <c r="FT1402" s="59"/>
      <c r="FU1402" s="59"/>
      <c r="FV1402" s="59"/>
      <c r="FW1402" s="59"/>
      <c r="FX1402" s="59"/>
      <c r="FY1402" s="59"/>
      <c r="FZ1402" s="59"/>
      <c r="GA1402" s="59"/>
      <c r="GB1402" s="59"/>
      <c r="GC1402" s="59"/>
    </row>
    <row r="1403">
      <c r="A1403" s="59"/>
      <c r="B1403" s="59"/>
      <c r="C1403" s="59"/>
      <c r="D1403" s="59"/>
      <c r="E1403" s="59"/>
      <c r="F1403" s="59"/>
      <c r="G1403" s="59"/>
      <c r="H1403" s="59"/>
      <c r="I1403" s="59"/>
      <c r="J1403" s="59"/>
      <c r="K1403" s="59"/>
      <c r="L1403" s="59"/>
      <c r="M1403" s="59"/>
      <c r="N1403" s="59"/>
      <c r="O1403" s="59"/>
      <c r="P1403" s="59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  <c r="AD1403" s="59"/>
      <c r="AE1403" s="59"/>
      <c r="AF1403" s="59"/>
      <c r="AG1403" s="59"/>
      <c r="AH1403" s="59"/>
      <c r="AI1403" s="59"/>
      <c r="AJ1403" s="59"/>
      <c r="AK1403" s="59"/>
      <c r="AL1403" s="59"/>
      <c r="AM1403" s="59"/>
      <c r="AN1403" s="59"/>
      <c r="AO1403" s="59"/>
      <c r="AP1403" s="59"/>
      <c r="AQ1403" s="59"/>
      <c r="AR1403" s="59"/>
      <c r="AS1403" s="59"/>
      <c r="AT1403" s="59"/>
      <c r="AU1403" s="59"/>
      <c r="AV1403" s="59"/>
      <c r="AW1403" s="59"/>
      <c r="AX1403" s="59"/>
      <c r="AY1403" s="59"/>
      <c r="AZ1403" s="59"/>
      <c r="BA1403" s="59"/>
      <c r="BB1403" s="59"/>
      <c r="BC1403" s="59"/>
      <c r="BD1403" s="59"/>
      <c r="BE1403" s="59"/>
      <c r="BF1403" s="59"/>
      <c r="BG1403" s="59"/>
      <c r="BH1403" s="59"/>
      <c r="BI1403" s="59"/>
      <c r="BJ1403" s="59"/>
      <c r="BK1403" s="59"/>
      <c r="BL1403" s="59"/>
      <c r="BM1403" s="59"/>
      <c r="BN1403" s="59"/>
      <c r="BO1403" s="59"/>
      <c r="BP1403" s="59"/>
      <c r="BQ1403" s="59"/>
      <c r="BR1403" s="59"/>
      <c r="BS1403" s="59"/>
      <c r="BT1403" s="59"/>
      <c r="BU1403" s="59"/>
      <c r="BV1403" s="59"/>
      <c r="BW1403" s="59"/>
      <c r="BX1403" s="59"/>
      <c r="BY1403" s="59"/>
      <c r="BZ1403" s="59"/>
      <c r="CA1403" s="59"/>
      <c r="CB1403" s="59"/>
      <c r="CC1403" s="59"/>
      <c r="CD1403" s="59"/>
      <c r="CE1403" s="59"/>
      <c r="CF1403" s="59"/>
      <c r="CG1403" s="59"/>
      <c r="CH1403" s="59"/>
      <c r="CI1403" s="59"/>
      <c r="CJ1403" s="59"/>
      <c r="CK1403" s="59"/>
      <c r="CL1403" s="59"/>
      <c r="CM1403" s="59"/>
      <c r="CN1403" s="59"/>
      <c r="CO1403" s="59"/>
      <c r="CP1403" s="59"/>
      <c r="CQ1403" s="59"/>
      <c r="CR1403" s="59"/>
      <c r="CS1403" s="59"/>
      <c r="CT1403" s="59"/>
      <c r="CU1403" s="59"/>
      <c r="CV1403" s="59"/>
      <c r="CW1403" s="59"/>
      <c r="CX1403" s="59"/>
      <c r="CY1403" s="59"/>
      <c r="CZ1403" s="59"/>
      <c r="DA1403" s="59"/>
      <c r="DB1403" s="59"/>
      <c r="DC1403" s="59"/>
      <c r="DD1403" s="59"/>
      <c r="DE1403" s="59"/>
      <c r="DF1403" s="59"/>
      <c r="DG1403" s="59"/>
      <c r="DH1403" s="59"/>
      <c r="DI1403" s="59"/>
      <c r="DJ1403" s="59"/>
      <c r="DK1403" s="59"/>
      <c r="DL1403" s="59"/>
      <c r="DM1403" s="59"/>
      <c r="DN1403" s="59"/>
      <c r="DO1403" s="59"/>
      <c r="DP1403" s="59"/>
      <c r="DQ1403" s="59"/>
      <c r="DR1403" s="59"/>
      <c r="DS1403" s="59"/>
      <c r="DT1403" s="59"/>
      <c r="DU1403" s="59"/>
      <c r="DV1403" s="59"/>
      <c r="DW1403" s="59"/>
      <c r="DX1403" s="59"/>
      <c r="DY1403" s="59"/>
      <c r="DZ1403" s="59"/>
      <c r="EA1403" s="59"/>
      <c r="EB1403" s="59"/>
      <c r="EC1403" s="59"/>
      <c r="ED1403" s="59"/>
      <c r="EE1403" s="59"/>
      <c r="EF1403" s="59"/>
      <c r="EG1403" s="59"/>
      <c r="EH1403" s="59"/>
      <c r="EI1403" s="59"/>
      <c r="EJ1403" s="59"/>
      <c r="EK1403" s="59"/>
      <c r="EL1403" s="59"/>
      <c r="EM1403" s="59"/>
      <c r="EN1403" s="59"/>
      <c r="EO1403" s="59"/>
      <c r="EP1403" s="59"/>
      <c r="EQ1403" s="59"/>
      <c r="ER1403" s="59"/>
      <c r="ES1403" s="59"/>
      <c r="ET1403" s="59"/>
      <c r="EU1403" s="59"/>
      <c r="EV1403" s="59"/>
      <c r="EW1403" s="59"/>
      <c r="EX1403" s="59"/>
      <c r="EY1403" s="59"/>
      <c r="EZ1403" s="59"/>
      <c r="FA1403" s="59"/>
      <c r="FB1403" s="59"/>
      <c r="FC1403" s="59"/>
      <c r="FD1403" s="59"/>
      <c r="FE1403" s="59"/>
      <c r="FF1403" s="59"/>
      <c r="FG1403" s="59"/>
      <c r="FH1403" s="59"/>
      <c r="FI1403" s="59"/>
      <c r="FJ1403" s="59"/>
      <c r="FK1403" s="59"/>
      <c r="FL1403" s="59"/>
      <c r="FM1403" s="59"/>
      <c r="FN1403" s="59"/>
      <c r="FO1403" s="59"/>
      <c r="FP1403" s="59"/>
      <c r="FQ1403" s="59"/>
      <c r="FR1403" s="59"/>
      <c r="FS1403" s="59"/>
      <c r="FT1403" s="59"/>
      <c r="FU1403" s="59"/>
      <c r="FV1403" s="59"/>
      <c r="FW1403" s="59"/>
      <c r="FX1403" s="59"/>
      <c r="FY1403" s="59"/>
      <c r="FZ1403" s="59"/>
      <c r="GA1403" s="59"/>
      <c r="GB1403" s="59"/>
      <c r="GC1403" s="59"/>
    </row>
    <row r="1404">
      <c r="A1404" s="59"/>
      <c r="B1404" s="59"/>
      <c r="C1404" s="59"/>
      <c r="D1404" s="59"/>
      <c r="E1404" s="59"/>
      <c r="F1404" s="59"/>
      <c r="G1404" s="59"/>
      <c r="H1404" s="59"/>
      <c r="I1404" s="59"/>
      <c r="J1404" s="59"/>
      <c r="K1404" s="59"/>
      <c r="L1404" s="59"/>
      <c r="M1404" s="59"/>
      <c r="N1404" s="59"/>
      <c r="O1404" s="59"/>
      <c r="P1404" s="59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59"/>
      <c r="AG1404" s="59"/>
      <c r="AH1404" s="59"/>
      <c r="AI1404" s="59"/>
      <c r="AJ1404" s="59"/>
      <c r="AK1404" s="59"/>
      <c r="AL1404" s="59"/>
      <c r="AM1404" s="59"/>
      <c r="AN1404" s="59"/>
      <c r="AO1404" s="59"/>
      <c r="AP1404" s="59"/>
      <c r="AQ1404" s="59"/>
      <c r="AR1404" s="59"/>
      <c r="AS1404" s="59"/>
      <c r="AT1404" s="59"/>
      <c r="AU1404" s="59"/>
      <c r="AV1404" s="59"/>
      <c r="AW1404" s="59"/>
      <c r="AX1404" s="59"/>
      <c r="AY1404" s="59"/>
      <c r="AZ1404" s="59"/>
      <c r="BA1404" s="59"/>
      <c r="BB1404" s="59"/>
      <c r="BC1404" s="59"/>
      <c r="BD1404" s="59"/>
      <c r="BE1404" s="59"/>
      <c r="BF1404" s="59"/>
      <c r="BG1404" s="59"/>
      <c r="BH1404" s="59"/>
      <c r="BI1404" s="59"/>
      <c r="BJ1404" s="59"/>
      <c r="BK1404" s="59"/>
      <c r="BL1404" s="59"/>
      <c r="BM1404" s="59"/>
      <c r="BN1404" s="59"/>
      <c r="BO1404" s="59"/>
      <c r="BP1404" s="59"/>
      <c r="BQ1404" s="59"/>
      <c r="BR1404" s="59"/>
      <c r="BS1404" s="59"/>
      <c r="BT1404" s="59"/>
      <c r="BU1404" s="59"/>
      <c r="BV1404" s="59"/>
      <c r="BW1404" s="59"/>
      <c r="BX1404" s="59"/>
      <c r="BY1404" s="59"/>
      <c r="BZ1404" s="59"/>
      <c r="CA1404" s="59"/>
      <c r="CB1404" s="59"/>
      <c r="CC1404" s="59"/>
      <c r="CD1404" s="59"/>
      <c r="CE1404" s="59"/>
      <c r="CF1404" s="59"/>
      <c r="CG1404" s="59"/>
      <c r="CH1404" s="59"/>
      <c r="CI1404" s="59"/>
      <c r="CJ1404" s="59"/>
      <c r="CK1404" s="59"/>
      <c r="CL1404" s="59"/>
      <c r="CM1404" s="59"/>
      <c r="CN1404" s="59"/>
      <c r="CO1404" s="59"/>
      <c r="CP1404" s="59"/>
      <c r="CQ1404" s="59"/>
      <c r="CR1404" s="59"/>
      <c r="CS1404" s="59"/>
      <c r="CT1404" s="59"/>
      <c r="CU1404" s="59"/>
      <c r="CV1404" s="59"/>
      <c r="CW1404" s="59"/>
      <c r="CX1404" s="59"/>
      <c r="CY1404" s="59"/>
      <c r="CZ1404" s="59"/>
      <c r="DA1404" s="59"/>
      <c r="DB1404" s="59"/>
      <c r="DC1404" s="59"/>
      <c r="DD1404" s="59"/>
      <c r="DE1404" s="59"/>
      <c r="DF1404" s="59"/>
      <c r="DG1404" s="59"/>
      <c r="DH1404" s="59"/>
      <c r="DI1404" s="59"/>
      <c r="DJ1404" s="59"/>
      <c r="DK1404" s="59"/>
      <c r="DL1404" s="59"/>
      <c r="DM1404" s="59"/>
      <c r="DN1404" s="59"/>
      <c r="DO1404" s="59"/>
      <c r="DP1404" s="59"/>
      <c r="DQ1404" s="59"/>
      <c r="DR1404" s="59"/>
      <c r="DS1404" s="59"/>
      <c r="DT1404" s="59"/>
      <c r="DU1404" s="59"/>
      <c r="DV1404" s="59"/>
      <c r="DW1404" s="59"/>
      <c r="DX1404" s="59"/>
      <c r="DY1404" s="59"/>
      <c r="DZ1404" s="59"/>
      <c r="EA1404" s="59"/>
      <c r="EB1404" s="59"/>
      <c r="EC1404" s="59"/>
      <c r="ED1404" s="59"/>
      <c r="EE1404" s="59"/>
      <c r="EF1404" s="59"/>
      <c r="EG1404" s="59"/>
      <c r="EH1404" s="59"/>
      <c r="EI1404" s="59"/>
      <c r="EJ1404" s="59"/>
      <c r="EK1404" s="59"/>
      <c r="EL1404" s="59"/>
      <c r="EM1404" s="59"/>
      <c r="EN1404" s="59"/>
      <c r="EO1404" s="59"/>
      <c r="EP1404" s="59"/>
      <c r="EQ1404" s="59"/>
      <c r="ER1404" s="59"/>
      <c r="ES1404" s="59"/>
      <c r="ET1404" s="59"/>
      <c r="EU1404" s="59"/>
      <c r="EV1404" s="59"/>
      <c r="EW1404" s="59"/>
      <c r="EX1404" s="59"/>
      <c r="EY1404" s="59"/>
      <c r="EZ1404" s="59"/>
      <c r="FA1404" s="59"/>
      <c r="FB1404" s="59"/>
      <c r="FC1404" s="59"/>
      <c r="FD1404" s="59"/>
      <c r="FE1404" s="59"/>
      <c r="FF1404" s="59"/>
      <c r="FG1404" s="59"/>
      <c r="FH1404" s="59"/>
      <c r="FI1404" s="59"/>
      <c r="FJ1404" s="59"/>
      <c r="FK1404" s="59"/>
      <c r="FL1404" s="59"/>
      <c r="FM1404" s="59"/>
      <c r="FN1404" s="59"/>
      <c r="FO1404" s="59"/>
      <c r="FP1404" s="59"/>
      <c r="FQ1404" s="59"/>
      <c r="FR1404" s="59"/>
      <c r="FS1404" s="59"/>
      <c r="FT1404" s="59"/>
      <c r="FU1404" s="59"/>
      <c r="FV1404" s="59"/>
      <c r="FW1404" s="59"/>
      <c r="FX1404" s="59"/>
      <c r="FY1404" s="59"/>
      <c r="FZ1404" s="59"/>
      <c r="GA1404" s="59"/>
      <c r="GB1404" s="59"/>
      <c r="GC1404" s="59"/>
    </row>
    <row r="1405">
      <c r="A1405" s="59"/>
      <c r="B1405" s="59"/>
      <c r="C1405" s="59"/>
      <c r="D1405" s="59"/>
      <c r="E1405" s="59"/>
      <c r="F1405" s="59"/>
      <c r="G1405" s="59"/>
      <c r="H1405" s="59"/>
      <c r="I1405" s="59"/>
      <c r="J1405" s="59"/>
      <c r="K1405" s="59"/>
      <c r="L1405" s="59"/>
      <c r="M1405" s="59"/>
      <c r="N1405" s="59"/>
      <c r="O1405" s="59"/>
      <c r="P1405" s="59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  <c r="AD1405" s="59"/>
      <c r="AE1405" s="59"/>
      <c r="AF1405" s="59"/>
      <c r="AG1405" s="59"/>
      <c r="AH1405" s="59"/>
      <c r="AI1405" s="59"/>
      <c r="AJ1405" s="59"/>
      <c r="AK1405" s="59"/>
      <c r="AL1405" s="59"/>
      <c r="AM1405" s="59"/>
      <c r="AN1405" s="59"/>
      <c r="AO1405" s="59"/>
      <c r="AP1405" s="59"/>
      <c r="AQ1405" s="59"/>
      <c r="AR1405" s="59"/>
      <c r="AS1405" s="59"/>
      <c r="AT1405" s="59"/>
      <c r="AU1405" s="59"/>
      <c r="AV1405" s="59"/>
      <c r="AW1405" s="59"/>
      <c r="AX1405" s="59"/>
      <c r="AY1405" s="59"/>
      <c r="AZ1405" s="59"/>
      <c r="BA1405" s="59"/>
      <c r="BB1405" s="59"/>
      <c r="BC1405" s="59"/>
      <c r="BD1405" s="59"/>
      <c r="BE1405" s="59"/>
      <c r="BF1405" s="59"/>
      <c r="BG1405" s="59"/>
      <c r="BH1405" s="59"/>
      <c r="BI1405" s="59"/>
      <c r="BJ1405" s="59"/>
      <c r="BK1405" s="59"/>
      <c r="BL1405" s="59"/>
      <c r="BM1405" s="59"/>
      <c r="BN1405" s="59"/>
      <c r="BO1405" s="59"/>
      <c r="BP1405" s="59"/>
      <c r="BQ1405" s="59"/>
      <c r="BR1405" s="59"/>
      <c r="BS1405" s="59"/>
      <c r="BT1405" s="59"/>
      <c r="BU1405" s="59"/>
      <c r="BV1405" s="59"/>
      <c r="BW1405" s="59"/>
      <c r="BX1405" s="59"/>
      <c r="BY1405" s="59"/>
      <c r="BZ1405" s="59"/>
      <c r="CA1405" s="59"/>
      <c r="CB1405" s="59"/>
      <c r="CC1405" s="59"/>
      <c r="CD1405" s="59"/>
      <c r="CE1405" s="59"/>
      <c r="CF1405" s="59"/>
      <c r="CG1405" s="59"/>
      <c r="CH1405" s="59"/>
      <c r="CI1405" s="59"/>
      <c r="CJ1405" s="59"/>
      <c r="CK1405" s="59"/>
      <c r="CL1405" s="59"/>
      <c r="CM1405" s="59"/>
      <c r="CN1405" s="59"/>
      <c r="CO1405" s="59"/>
      <c r="CP1405" s="59"/>
      <c r="CQ1405" s="59"/>
      <c r="CR1405" s="59"/>
      <c r="CS1405" s="59"/>
      <c r="CT1405" s="59"/>
      <c r="CU1405" s="59"/>
      <c r="CV1405" s="59"/>
      <c r="CW1405" s="59"/>
      <c r="CX1405" s="59"/>
      <c r="CY1405" s="59"/>
      <c r="CZ1405" s="59"/>
      <c r="DA1405" s="59"/>
      <c r="DB1405" s="59"/>
      <c r="DC1405" s="59"/>
      <c r="DD1405" s="59"/>
      <c r="DE1405" s="59"/>
      <c r="DF1405" s="59"/>
      <c r="DG1405" s="59"/>
      <c r="DH1405" s="59"/>
      <c r="DI1405" s="59"/>
      <c r="DJ1405" s="59"/>
      <c r="DK1405" s="59"/>
      <c r="DL1405" s="59"/>
      <c r="DM1405" s="59"/>
      <c r="DN1405" s="59"/>
      <c r="DO1405" s="59"/>
      <c r="DP1405" s="59"/>
      <c r="DQ1405" s="59"/>
      <c r="DR1405" s="59"/>
      <c r="DS1405" s="59"/>
      <c r="DT1405" s="59"/>
      <c r="DU1405" s="59"/>
      <c r="DV1405" s="59"/>
      <c r="DW1405" s="59"/>
      <c r="DX1405" s="59"/>
      <c r="DY1405" s="59"/>
      <c r="DZ1405" s="59"/>
      <c r="EA1405" s="59"/>
      <c r="EB1405" s="59"/>
      <c r="EC1405" s="59"/>
      <c r="ED1405" s="59"/>
      <c r="EE1405" s="59"/>
      <c r="EF1405" s="59"/>
      <c r="EG1405" s="59"/>
      <c r="EH1405" s="59"/>
      <c r="EI1405" s="59"/>
      <c r="EJ1405" s="59"/>
      <c r="EK1405" s="59"/>
      <c r="EL1405" s="59"/>
      <c r="EM1405" s="59"/>
      <c r="EN1405" s="59"/>
      <c r="EO1405" s="59"/>
      <c r="EP1405" s="59"/>
      <c r="EQ1405" s="59"/>
      <c r="ER1405" s="59"/>
      <c r="ES1405" s="59"/>
      <c r="ET1405" s="59"/>
      <c r="EU1405" s="59"/>
      <c r="EV1405" s="59"/>
      <c r="EW1405" s="59"/>
      <c r="EX1405" s="59"/>
      <c r="EY1405" s="59"/>
      <c r="EZ1405" s="59"/>
      <c r="FA1405" s="59"/>
      <c r="FB1405" s="59"/>
      <c r="FC1405" s="59"/>
      <c r="FD1405" s="59"/>
      <c r="FE1405" s="59"/>
      <c r="FF1405" s="59"/>
      <c r="FG1405" s="59"/>
      <c r="FH1405" s="59"/>
      <c r="FI1405" s="59"/>
      <c r="FJ1405" s="59"/>
      <c r="FK1405" s="59"/>
      <c r="FL1405" s="59"/>
      <c r="FM1405" s="59"/>
      <c r="FN1405" s="59"/>
      <c r="FO1405" s="59"/>
      <c r="FP1405" s="59"/>
      <c r="FQ1405" s="59"/>
      <c r="FR1405" s="59"/>
      <c r="FS1405" s="59"/>
      <c r="FT1405" s="59"/>
      <c r="FU1405" s="59"/>
      <c r="FV1405" s="59"/>
      <c r="FW1405" s="59"/>
      <c r="FX1405" s="59"/>
      <c r="FY1405" s="59"/>
      <c r="FZ1405" s="59"/>
      <c r="GA1405" s="59"/>
      <c r="GB1405" s="59"/>
      <c r="GC1405" s="59"/>
    </row>
    <row r="1406">
      <c r="A1406" s="59"/>
      <c r="B1406" s="59"/>
      <c r="C1406" s="59"/>
      <c r="D1406" s="59"/>
      <c r="E1406" s="59"/>
      <c r="F1406" s="59"/>
      <c r="G1406" s="59"/>
      <c r="H1406" s="59"/>
      <c r="I1406" s="59"/>
      <c r="J1406" s="59"/>
      <c r="K1406" s="59"/>
      <c r="L1406" s="59"/>
      <c r="M1406" s="59"/>
      <c r="N1406" s="59"/>
      <c r="O1406" s="59"/>
      <c r="P1406" s="59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  <c r="AD1406" s="59"/>
      <c r="AE1406" s="59"/>
      <c r="AF1406" s="59"/>
      <c r="AG1406" s="59"/>
      <c r="AH1406" s="59"/>
      <c r="AI1406" s="59"/>
      <c r="AJ1406" s="59"/>
      <c r="AK1406" s="59"/>
      <c r="AL1406" s="59"/>
      <c r="AM1406" s="59"/>
      <c r="AN1406" s="59"/>
      <c r="AO1406" s="59"/>
      <c r="AP1406" s="59"/>
      <c r="AQ1406" s="59"/>
      <c r="AR1406" s="59"/>
      <c r="AS1406" s="59"/>
      <c r="AT1406" s="59"/>
      <c r="AU1406" s="59"/>
      <c r="AV1406" s="59"/>
      <c r="AW1406" s="59"/>
      <c r="AX1406" s="59"/>
      <c r="AY1406" s="59"/>
      <c r="AZ1406" s="59"/>
      <c r="BA1406" s="59"/>
      <c r="BB1406" s="59"/>
      <c r="BC1406" s="59"/>
      <c r="BD1406" s="59"/>
      <c r="BE1406" s="59"/>
      <c r="BF1406" s="59"/>
      <c r="BG1406" s="59"/>
      <c r="BH1406" s="59"/>
      <c r="BI1406" s="59"/>
      <c r="BJ1406" s="59"/>
      <c r="BK1406" s="59"/>
      <c r="BL1406" s="59"/>
      <c r="BM1406" s="59"/>
      <c r="BN1406" s="59"/>
      <c r="BO1406" s="59"/>
      <c r="BP1406" s="59"/>
      <c r="BQ1406" s="59"/>
      <c r="BR1406" s="59"/>
      <c r="BS1406" s="59"/>
      <c r="BT1406" s="59"/>
      <c r="BU1406" s="59"/>
      <c r="BV1406" s="59"/>
      <c r="BW1406" s="59"/>
      <c r="BX1406" s="59"/>
      <c r="BY1406" s="59"/>
      <c r="BZ1406" s="59"/>
      <c r="CA1406" s="59"/>
      <c r="CB1406" s="59"/>
      <c r="CC1406" s="59"/>
      <c r="CD1406" s="59"/>
      <c r="CE1406" s="59"/>
      <c r="CF1406" s="59"/>
      <c r="CG1406" s="59"/>
      <c r="CH1406" s="59"/>
      <c r="CI1406" s="59"/>
      <c r="CJ1406" s="59"/>
      <c r="CK1406" s="59"/>
      <c r="CL1406" s="59"/>
      <c r="CM1406" s="59"/>
      <c r="CN1406" s="59"/>
      <c r="CO1406" s="59"/>
      <c r="CP1406" s="59"/>
      <c r="CQ1406" s="59"/>
      <c r="CR1406" s="59"/>
      <c r="CS1406" s="59"/>
      <c r="CT1406" s="59"/>
      <c r="CU1406" s="59"/>
      <c r="CV1406" s="59"/>
      <c r="CW1406" s="59"/>
      <c r="CX1406" s="59"/>
      <c r="CY1406" s="59"/>
      <c r="CZ1406" s="59"/>
      <c r="DA1406" s="59"/>
      <c r="DB1406" s="59"/>
      <c r="DC1406" s="59"/>
      <c r="DD1406" s="59"/>
      <c r="DE1406" s="59"/>
      <c r="DF1406" s="59"/>
      <c r="DG1406" s="59"/>
      <c r="DH1406" s="59"/>
      <c r="DI1406" s="59"/>
      <c r="DJ1406" s="59"/>
      <c r="DK1406" s="59"/>
      <c r="DL1406" s="59"/>
      <c r="DM1406" s="59"/>
      <c r="DN1406" s="59"/>
      <c r="DO1406" s="59"/>
      <c r="DP1406" s="59"/>
      <c r="DQ1406" s="59"/>
      <c r="DR1406" s="59"/>
      <c r="DS1406" s="59"/>
      <c r="DT1406" s="59"/>
      <c r="DU1406" s="59"/>
      <c r="DV1406" s="59"/>
      <c r="DW1406" s="59"/>
      <c r="DX1406" s="59"/>
      <c r="DY1406" s="59"/>
      <c r="DZ1406" s="59"/>
      <c r="EA1406" s="59"/>
      <c r="EB1406" s="59"/>
      <c r="EC1406" s="59"/>
      <c r="ED1406" s="59"/>
      <c r="EE1406" s="59"/>
      <c r="EF1406" s="59"/>
      <c r="EG1406" s="59"/>
      <c r="EH1406" s="59"/>
      <c r="EI1406" s="59"/>
      <c r="EJ1406" s="59"/>
      <c r="EK1406" s="59"/>
      <c r="EL1406" s="59"/>
      <c r="EM1406" s="59"/>
      <c r="EN1406" s="59"/>
      <c r="EO1406" s="59"/>
      <c r="EP1406" s="59"/>
      <c r="EQ1406" s="59"/>
      <c r="ER1406" s="59"/>
      <c r="ES1406" s="59"/>
      <c r="ET1406" s="59"/>
      <c r="EU1406" s="59"/>
      <c r="EV1406" s="59"/>
      <c r="EW1406" s="59"/>
      <c r="EX1406" s="59"/>
      <c r="EY1406" s="59"/>
      <c r="EZ1406" s="59"/>
      <c r="FA1406" s="59"/>
      <c r="FB1406" s="59"/>
      <c r="FC1406" s="59"/>
      <c r="FD1406" s="59"/>
      <c r="FE1406" s="59"/>
      <c r="FF1406" s="59"/>
      <c r="FG1406" s="59"/>
      <c r="FH1406" s="59"/>
      <c r="FI1406" s="59"/>
      <c r="FJ1406" s="59"/>
      <c r="FK1406" s="59"/>
      <c r="FL1406" s="59"/>
      <c r="FM1406" s="59"/>
      <c r="FN1406" s="59"/>
      <c r="FO1406" s="59"/>
      <c r="FP1406" s="59"/>
      <c r="FQ1406" s="59"/>
      <c r="FR1406" s="59"/>
      <c r="FS1406" s="59"/>
      <c r="FT1406" s="59"/>
      <c r="FU1406" s="59"/>
      <c r="FV1406" s="59"/>
      <c r="FW1406" s="59"/>
      <c r="FX1406" s="59"/>
      <c r="FY1406" s="59"/>
      <c r="FZ1406" s="59"/>
      <c r="GA1406" s="59"/>
      <c r="GB1406" s="59"/>
      <c r="GC1406" s="59"/>
    </row>
    <row r="1407">
      <c r="A1407" s="59"/>
      <c r="B1407" s="59"/>
      <c r="C1407" s="59"/>
      <c r="D1407" s="59"/>
      <c r="E1407" s="59"/>
      <c r="F1407" s="59"/>
      <c r="G1407" s="59"/>
      <c r="H1407" s="59"/>
      <c r="I1407" s="59"/>
      <c r="J1407" s="59"/>
      <c r="K1407" s="59"/>
      <c r="L1407" s="59"/>
      <c r="M1407" s="59"/>
      <c r="N1407" s="59"/>
      <c r="O1407" s="59"/>
      <c r="P1407" s="59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  <c r="AD1407" s="59"/>
      <c r="AE1407" s="59"/>
      <c r="AF1407" s="59"/>
      <c r="AG1407" s="59"/>
      <c r="AH1407" s="59"/>
      <c r="AI1407" s="59"/>
      <c r="AJ1407" s="59"/>
      <c r="AK1407" s="59"/>
      <c r="AL1407" s="59"/>
      <c r="AM1407" s="59"/>
      <c r="AN1407" s="59"/>
      <c r="AO1407" s="59"/>
      <c r="AP1407" s="59"/>
      <c r="AQ1407" s="59"/>
      <c r="AR1407" s="59"/>
      <c r="AS1407" s="59"/>
      <c r="AT1407" s="59"/>
      <c r="AU1407" s="59"/>
      <c r="AV1407" s="59"/>
      <c r="AW1407" s="59"/>
      <c r="AX1407" s="59"/>
      <c r="AY1407" s="59"/>
      <c r="AZ1407" s="59"/>
      <c r="BA1407" s="59"/>
      <c r="BB1407" s="59"/>
      <c r="BC1407" s="59"/>
      <c r="BD1407" s="59"/>
      <c r="BE1407" s="59"/>
      <c r="BF1407" s="59"/>
      <c r="BG1407" s="59"/>
      <c r="BH1407" s="59"/>
      <c r="BI1407" s="59"/>
      <c r="BJ1407" s="59"/>
      <c r="BK1407" s="59"/>
      <c r="BL1407" s="59"/>
      <c r="BM1407" s="59"/>
      <c r="BN1407" s="59"/>
      <c r="BO1407" s="59"/>
      <c r="BP1407" s="59"/>
      <c r="BQ1407" s="59"/>
      <c r="BR1407" s="59"/>
      <c r="BS1407" s="59"/>
      <c r="BT1407" s="59"/>
      <c r="BU1407" s="59"/>
      <c r="BV1407" s="59"/>
      <c r="BW1407" s="59"/>
      <c r="BX1407" s="59"/>
      <c r="BY1407" s="59"/>
      <c r="BZ1407" s="59"/>
      <c r="CA1407" s="59"/>
      <c r="CB1407" s="59"/>
      <c r="CC1407" s="59"/>
      <c r="CD1407" s="59"/>
      <c r="CE1407" s="59"/>
      <c r="CF1407" s="59"/>
      <c r="CG1407" s="59"/>
      <c r="CH1407" s="59"/>
      <c r="CI1407" s="59"/>
      <c r="CJ1407" s="59"/>
      <c r="CK1407" s="59"/>
      <c r="CL1407" s="59"/>
      <c r="CM1407" s="59"/>
      <c r="CN1407" s="59"/>
      <c r="CO1407" s="59"/>
      <c r="CP1407" s="59"/>
      <c r="CQ1407" s="59"/>
      <c r="CR1407" s="59"/>
      <c r="CS1407" s="59"/>
      <c r="CT1407" s="59"/>
      <c r="CU1407" s="59"/>
      <c r="CV1407" s="59"/>
      <c r="CW1407" s="59"/>
      <c r="CX1407" s="59"/>
      <c r="CY1407" s="59"/>
      <c r="CZ1407" s="59"/>
      <c r="DA1407" s="59"/>
      <c r="DB1407" s="59"/>
      <c r="DC1407" s="59"/>
      <c r="DD1407" s="59"/>
      <c r="DE1407" s="59"/>
      <c r="DF1407" s="59"/>
      <c r="DG1407" s="59"/>
      <c r="DH1407" s="59"/>
      <c r="DI1407" s="59"/>
      <c r="DJ1407" s="59"/>
      <c r="DK1407" s="59"/>
      <c r="DL1407" s="59"/>
      <c r="DM1407" s="59"/>
      <c r="DN1407" s="59"/>
      <c r="DO1407" s="59"/>
      <c r="DP1407" s="59"/>
      <c r="DQ1407" s="59"/>
      <c r="DR1407" s="59"/>
      <c r="DS1407" s="59"/>
      <c r="DT1407" s="59"/>
      <c r="DU1407" s="59"/>
      <c r="DV1407" s="59"/>
      <c r="DW1407" s="59"/>
      <c r="DX1407" s="59"/>
      <c r="DY1407" s="59"/>
      <c r="DZ1407" s="59"/>
      <c r="EA1407" s="59"/>
      <c r="EB1407" s="59"/>
      <c r="EC1407" s="59"/>
      <c r="ED1407" s="59"/>
      <c r="EE1407" s="59"/>
      <c r="EF1407" s="59"/>
      <c r="EG1407" s="59"/>
      <c r="EH1407" s="59"/>
      <c r="EI1407" s="59"/>
      <c r="EJ1407" s="59"/>
      <c r="EK1407" s="59"/>
      <c r="EL1407" s="59"/>
      <c r="EM1407" s="59"/>
      <c r="EN1407" s="59"/>
      <c r="EO1407" s="59"/>
      <c r="EP1407" s="59"/>
      <c r="EQ1407" s="59"/>
      <c r="ER1407" s="59"/>
      <c r="ES1407" s="59"/>
      <c r="ET1407" s="59"/>
      <c r="EU1407" s="59"/>
      <c r="EV1407" s="59"/>
      <c r="EW1407" s="59"/>
      <c r="EX1407" s="59"/>
      <c r="EY1407" s="59"/>
      <c r="EZ1407" s="59"/>
      <c r="FA1407" s="59"/>
      <c r="FB1407" s="59"/>
      <c r="FC1407" s="59"/>
      <c r="FD1407" s="59"/>
      <c r="FE1407" s="59"/>
      <c r="FF1407" s="59"/>
      <c r="FG1407" s="59"/>
      <c r="FH1407" s="59"/>
      <c r="FI1407" s="59"/>
      <c r="FJ1407" s="59"/>
      <c r="FK1407" s="59"/>
      <c r="FL1407" s="59"/>
      <c r="FM1407" s="59"/>
      <c r="FN1407" s="59"/>
      <c r="FO1407" s="59"/>
      <c r="FP1407" s="59"/>
      <c r="FQ1407" s="59"/>
      <c r="FR1407" s="59"/>
      <c r="FS1407" s="59"/>
      <c r="FT1407" s="59"/>
      <c r="FU1407" s="59"/>
      <c r="FV1407" s="59"/>
      <c r="FW1407" s="59"/>
      <c r="FX1407" s="59"/>
      <c r="FY1407" s="59"/>
      <c r="FZ1407" s="59"/>
      <c r="GA1407" s="59"/>
      <c r="GB1407" s="59"/>
      <c r="GC1407" s="59"/>
    </row>
    <row r="1408">
      <c r="A1408" s="59"/>
      <c r="B1408" s="59"/>
      <c r="C1408" s="59"/>
      <c r="D1408" s="59"/>
      <c r="E1408" s="59"/>
      <c r="F1408" s="59"/>
      <c r="G1408" s="59"/>
      <c r="H1408" s="59"/>
      <c r="I1408" s="59"/>
      <c r="J1408" s="59"/>
      <c r="K1408" s="59"/>
      <c r="L1408" s="59"/>
      <c r="M1408" s="59"/>
      <c r="N1408" s="59"/>
      <c r="O1408" s="59"/>
      <c r="P1408" s="59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  <c r="AD1408" s="59"/>
      <c r="AE1408" s="59"/>
      <c r="AF1408" s="59"/>
      <c r="AG1408" s="59"/>
      <c r="AH1408" s="59"/>
      <c r="AI1408" s="59"/>
      <c r="AJ1408" s="59"/>
      <c r="AK1408" s="59"/>
      <c r="AL1408" s="59"/>
      <c r="AM1408" s="59"/>
      <c r="AN1408" s="59"/>
      <c r="AO1408" s="59"/>
      <c r="AP1408" s="59"/>
      <c r="AQ1408" s="59"/>
      <c r="AR1408" s="59"/>
      <c r="AS1408" s="59"/>
      <c r="AT1408" s="59"/>
      <c r="AU1408" s="59"/>
      <c r="AV1408" s="59"/>
      <c r="AW1408" s="59"/>
      <c r="AX1408" s="59"/>
      <c r="AY1408" s="59"/>
      <c r="AZ1408" s="59"/>
      <c r="BA1408" s="59"/>
      <c r="BB1408" s="59"/>
      <c r="BC1408" s="59"/>
      <c r="BD1408" s="59"/>
      <c r="BE1408" s="59"/>
      <c r="BF1408" s="59"/>
      <c r="BG1408" s="59"/>
      <c r="BH1408" s="59"/>
      <c r="BI1408" s="59"/>
      <c r="BJ1408" s="59"/>
      <c r="BK1408" s="59"/>
      <c r="BL1408" s="59"/>
      <c r="BM1408" s="59"/>
      <c r="BN1408" s="59"/>
      <c r="BO1408" s="59"/>
      <c r="BP1408" s="59"/>
      <c r="BQ1408" s="59"/>
      <c r="BR1408" s="59"/>
      <c r="BS1408" s="59"/>
      <c r="BT1408" s="59"/>
      <c r="BU1408" s="59"/>
      <c r="BV1408" s="59"/>
      <c r="BW1408" s="59"/>
      <c r="BX1408" s="59"/>
      <c r="BY1408" s="59"/>
      <c r="BZ1408" s="59"/>
      <c r="CA1408" s="59"/>
      <c r="CB1408" s="59"/>
      <c r="CC1408" s="59"/>
      <c r="CD1408" s="59"/>
      <c r="CE1408" s="59"/>
      <c r="CF1408" s="59"/>
      <c r="CG1408" s="59"/>
      <c r="CH1408" s="59"/>
      <c r="CI1408" s="59"/>
      <c r="CJ1408" s="59"/>
      <c r="CK1408" s="59"/>
      <c r="CL1408" s="59"/>
      <c r="CM1408" s="59"/>
      <c r="CN1408" s="59"/>
      <c r="CO1408" s="59"/>
      <c r="CP1408" s="59"/>
      <c r="CQ1408" s="59"/>
      <c r="CR1408" s="59"/>
      <c r="CS1408" s="59"/>
      <c r="CT1408" s="59"/>
      <c r="CU1408" s="59"/>
      <c r="CV1408" s="59"/>
      <c r="CW1408" s="59"/>
      <c r="CX1408" s="59"/>
      <c r="CY1408" s="59"/>
      <c r="CZ1408" s="59"/>
      <c r="DA1408" s="59"/>
      <c r="DB1408" s="59"/>
      <c r="DC1408" s="59"/>
      <c r="DD1408" s="59"/>
      <c r="DE1408" s="59"/>
      <c r="DF1408" s="59"/>
      <c r="DG1408" s="59"/>
      <c r="DH1408" s="59"/>
      <c r="DI1408" s="59"/>
      <c r="DJ1408" s="59"/>
      <c r="DK1408" s="59"/>
      <c r="DL1408" s="59"/>
      <c r="DM1408" s="59"/>
      <c r="DN1408" s="59"/>
      <c r="DO1408" s="59"/>
      <c r="DP1408" s="59"/>
      <c r="DQ1408" s="59"/>
      <c r="DR1408" s="59"/>
      <c r="DS1408" s="59"/>
      <c r="DT1408" s="59"/>
      <c r="DU1408" s="59"/>
      <c r="DV1408" s="59"/>
      <c r="DW1408" s="59"/>
      <c r="DX1408" s="59"/>
      <c r="DY1408" s="59"/>
      <c r="DZ1408" s="59"/>
      <c r="EA1408" s="59"/>
      <c r="EB1408" s="59"/>
      <c r="EC1408" s="59"/>
      <c r="ED1408" s="59"/>
      <c r="EE1408" s="59"/>
      <c r="EF1408" s="59"/>
      <c r="EG1408" s="59"/>
      <c r="EH1408" s="59"/>
      <c r="EI1408" s="59"/>
      <c r="EJ1408" s="59"/>
      <c r="EK1408" s="59"/>
      <c r="EL1408" s="59"/>
      <c r="EM1408" s="59"/>
      <c r="EN1408" s="59"/>
      <c r="EO1408" s="59"/>
      <c r="EP1408" s="59"/>
      <c r="EQ1408" s="59"/>
      <c r="ER1408" s="59"/>
      <c r="ES1408" s="59"/>
      <c r="ET1408" s="59"/>
      <c r="EU1408" s="59"/>
      <c r="EV1408" s="59"/>
      <c r="EW1408" s="59"/>
      <c r="EX1408" s="59"/>
      <c r="EY1408" s="59"/>
      <c r="EZ1408" s="59"/>
      <c r="FA1408" s="59"/>
      <c r="FB1408" s="59"/>
      <c r="FC1408" s="59"/>
      <c r="FD1408" s="59"/>
      <c r="FE1408" s="59"/>
      <c r="FF1408" s="59"/>
      <c r="FG1408" s="59"/>
      <c r="FH1408" s="59"/>
      <c r="FI1408" s="59"/>
      <c r="FJ1408" s="59"/>
      <c r="FK1408" s="59"/>
      <c r="FL1408" s="59"/>
      <c r="FM1408" s="59"/>
      <c r="FN1408" s="59"/>
      <c r="FO1408" s="59"/>
      <c r="FP1408" s="59"/>
      <c r="FQ1408" s="59"/>
      <c r="FR1408" s="59"/>
      <c r="FS1408" s="59"/>
      <c r="FT1408" s="59"/>
      <c r="FU1408" s="59"/>
      <c r="FV1408" s="59"/>
      <c r="FW1408" s="59"/>
      <c r="FX1408" s="59"/>
      <c r="FY1408" s="59"/>
      <c r="FZ1408" s="59"/>
      <c r="GA1408" s="59"/>
      <c r="GB1408" s="59"/>
      <c r="GC1408" s="59"/>
    </row>
    <row r="1409">
      <c r="A1409" s="59"/>
      <c r="B1409" s="59"/>
      <c r="C1409" s="59"/>
      <c r="D1409" s="59"/>
      <c r="E1409" s="59"/>
      <c r="F1409" s="59"/>
      <c r="G1409" s="59"/>
      <c r="H1409" s="59"/>
      <c r="I1409" s="59"/>
      <c r="J1409" s="59"/>
      <c r="K1409" s="59"/>
      <c r="L1409" s="59"/>
      <c r="M1409" s="59"/>
      <c r="N1409" s="59"/>
      <c r="O1409" s="59"/>
      <c r="P1409" s="59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  <c r="AD1409" s="59"/>
      <c r="AE1409" s="59"/>
      <c r="AF1409" s="59"/>
      <c r="AG1409" s="59"/>
      <c r="AH1409" s="59"/>
      <c r="AI1409" s="59"/>
      <c r="AJ1409" s="59"/>
      <c r="AK1409" s="59"/>
      <c r="AL1409" s="59"/>
      <c r="AM1409" s="59"/>
      <c r="AN1409" s="59"/>
      <c r="AO1409" s="59"/>
      <c r="AP1409" s="59"/>
      <c r="AQ1409" s="59"/>
      <c r="AR1409" s="59"/>
      <c r="AS1409" s="59"/>
      <c r="AT1409" s="59"/>
      <c r="AU1409" s="59"/>
      <c r="AV1409" s="59"/>
      <c r="AW1409" s="59"/>
      <c r="AX1409" s="59"/>
      <c r="AY1409" s="59"/>
      <c r="AZ1409" s="59"/>
      <c r="BA1409" s="59"/>
      <c r="BB1409" s="59"/>
      <c r="BC1409" s="59"/>
      <c r="BD1409" s="59"/>
      <c r="BE1409" s="59"/>
      <c r="BF1409" s="59"/>
      <c r="BG1409" s="59"/>
      <c r="BH1409" s="59"/>
      <c r="BI1409" s="59"/>
      <c r="BJ1409" s="59"/>
      <c r="BK1409" s="59"/>
      <c r="BL1409" s="59"/>
      <c r="BM1409" s="59"/>
      <c r="BN1409" s="59"/>
      <c r="BO1409" s="59"/>
      <c r="BP1409" s="59"/>
      <c r="BQ1409" s="59"/>
      <c r="BR1409" s="59"/>
      <c r="BS1409" s="59"/>
      <c r="BT1409" s="59"/>
      <c r="BU1409" s="59"/>
      <c r="BV1409" s="59"/>
      <c r="BW1409" s="59"/>
      <c r="BX1409" s="59"/>
      <c r="BY1409" s="59"/>
      <c r="BZ1409" s="59"/>
      <c r="CA1409" s="59"/>
      <c r="CB1409" s="59"/>
      <c r="CC1409" s="59"/>
      <c r="CD1409" s="59"/>
      <c r="CE1409" s="59"/>
      <c r="CF1409" s="59"/>
      <c r="CG1409" s="59"/>
      <c r="CH1409" s="59"/>
      <c r="CI1409" s="59"/>
      <c r="CJ1409" s="59"/>
      <c r="CK1409" s="59"/>
      <c r="CL1409" s="59"/>
      <c r="CM1409" s="59"/>
      <c r="CN1409" s="59"/>
      <c r="CO1409" s="59"/>
      <c r="CP1409" s="59"/>
      <c r="CQ1409" s="59"/>
      <c r="CR1409" s="59"/>
      <c r="CS1409" s="59"/>
      <c r="CT1409" s="59"/>
      <c r="CU1409" s="59"/>
      <c r="CV1409" s="59"/>
      <c r="CW1409" s="59"/>
      <c r="CX1409" s="59"/>
      <c r="CY1409" s="59"/>
      <c r="CZ1409" s="59"/>
      <c r="DA1409" s="59"/>
      <c r="DB1409" s="59"/>
      <c r="DC1409" s="59"/>
      <c r="DD1409" s="59"/>
      <c r="DE1409" s="59"/>
      <c r="DF1409" s="59"/>
      <c r="DG1409" s="59"/>
      <c r="DH1409" s="59"/>
      <c r="DI1409" s="59"/>
      <c r="DJ1409" s="59"/>
      <c r="DK1409" s="59"/>
      <c r="DL1409" s="59"/>
      <c r="DM1409" s="59"/>
      <c r="DN1409" s="59"/>
      <c r="DO1409" s="59"/>
      <c r="DP1409" s="59"/>
      <c r="DQ1409" s="59"/>
      <c r="DR1409" s="59"/>
      <c r="DS1409" s="59"/>
      <c r="DT1409" s="59"/>
      <c r="DU1409" s="59"/>
      <c r="DV1409" s="59"/>
      <c r="DW1409" s="59"/>
      <c r="DX1409" s="59"/>
      <c r="DY1409" s="59"/>
      <c r="DZ1409" s="59"/>
      <c r="EA1409" s="59"/>
      <c r="EB1409" s="59"/>
      <c r="EC1409" s="59"/>
      <c r="ED1409" s="59"/>
      <c r="EE1409" s="59"/>
      <c r="EF1409" s="59"/>
      <c r="EG1409" s="59"/>
      <c r="EH1409" s="59"/>
      <c r="EI1409" s="59"/>
      <c r="EJ1409" s="59"/>
      <c r="EK1409" s="59"/>
      <c r="EL1409" s="59"/>
      <c r="EM1409" s="59"/>
      <c r="EN1409" s="59"/>
      <c r="EO1409" s="59"/>
      <c r="EP1409" s="59"/>
      <c r="EQ1409" s="59"/>
      <c r="ER1409" s="59"/>
      <c r="ES1409" s="59"/>
      <c r="ET1409" s="59"/>
      <c r="EU1409" s="59"/>
      <c r="EV1409" s="59"/>
      <c r="EW1409" s="59"/>
      <c r="EX1409" s="59"/>
      <c r="EY1409" s="59"/>
      <c r="EZ1409" s="59"/>
      <c r="FA1409" s="59"/>
      <c r="FB1409" s="59"/>
      <c r="FC1409" s="59"/>
      <c r="FD1409" s="59"/>
      <c r="FE1409" s="59"/>
      <c r="FF1409" s="59"/>
      <c r="FG1409" s="59"/>
      <c r="FH1409" s="59"/>
      <c r="FI1409" s="59"/>
      <c r="FJ1409" s="59"/>
      <c r="FK1409" s="59"/>
      <c r="FL1409" s="59"/>
      <c r="FM1409" s="59"/>
      <c r="FN1409" s="59"/>
      <c r="FO1409" s="59"/>
      <c r="FP1409" s="59"/>
      <c r="FQ1409" s="59"/>
      <c r="FR1409" s="59"/>
      <c r="FS1409" s="59"/>
      <c r="FT1409" s="59"/>
      <c r="FU1409" s="59"/>
      <c r="FV1409" s="59"/>
      <c r="FW1409" s="59"/>
      <c r="FX1409" s="59"/>
      <c r="FY1409" s="59"/>
      <c r="FZ1409" s="59"/>
      <c r="GA1409" s="59"/>
      <c r="GB1409" s="59"/>
      <c r="GC1409" s="59"/>
    </row>
    <row r="1410">
      <c r="A1410" s="59"/>
      <c r="B1410" s="59"/>
      <c r="C1410" s="59"/>
      <c r="D1410" s="59"/>
      <c r="E1410" s="59"/>
      <c r="F1410" s="59"/>
      <c r="G1410" s="59"/>
      <c r="H1410" s="59"/>
      <c r="I1410" s="59"/>
      <c r="J1410" s="59"/>
      <c r="K1410" s="59"/>
      <c r="L1410" s="59"/>
      <c r="M1410" s="59"/>
      <c r="N1410" s="59"/>
      <c r="O1410" s="59"/>
      <c r="P1410" s="59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59"/>
      <c r="AG1410" s="59"/>
      <c r="AH1410" s="59"/>
      <c r="AI1410" s="59"/>
      <c r="AJ1410" s="59"/>
      <c r="AK1410" s="59"/>
      <c r="AL1410" s="59"/>
      <c r="AM1410" s="59"/>
      <c r="AN1410" s="59"/>
      <c r="AO1410" s="59"/>
      <c r="AP1410" s="59"/>
      <c r="AQ1410" s="59"/>
      <c r="AR1410" s="59"/>
      <c r="AS1410" s="59"/>
      <c r="AT1410" s="59"/>
      <c r="AU1410" s="59"/>
      <c r="AV1410" s="59"/>
      <c r="AW1410" s="59"/>
      <c r="AX1410" s="59"/>
      <c r="AY1410" s="59"/>
      <c r="AZ1410" s="59"/>
      <c r="BA1410" s="59"/>
      <c r="BB1410" s="59"/>
      <c r="BC1410" s="59"/>
      <c r="BD1410" s="59"/>
      <c r="BE1410" s="59"/>
      <c r="BF1410" s="59"/>
      <c r="BG1410" s="59"/>
      <c r="BH1410" s="59"/>
      <c r="BI1410" s="59"/>
      <c r="BJ1410" s="59"/>
      <c r="BK1410" s="59"/>
      <c r="BL1410" s="59"/>
      <c r="BM1410" s="59"/>
      <c r="BN1410" s="59"/>
      <c r="BO1410" s="59"/>
      <c r="BP1410" s="59"/>
      <c r="BQ1410" s="59"/>
      <c r="BR1410" s="59"/>
      <c r="BS1410" s="59"/>
      <c r="BT1410" s="59"/>
      <c r="BU1410" s="59"/>
      <c r="BV1410" s="59"/>
      <c r="BW1410" s="59"/>
      <c r="BX1410" s="59"/>
      <c r="BY1410" s="59"/>
      <c r="BZ1410" s="59"/>
      <c r="CA1410" s="59"/>
      <c r="CB1410" s="59"/>
      <c r="CC1410" s="59"/>
      <c r="CD1410" s="59"/>
      <c r="CE1410" s="59"/>
      <c r="CF1410" s="59"/>
      <c r="CG1410" s="59"/>
      <c r="CH1410" s="59"/>
      <c r="CI1410" s="59"/>
      <c r="CJ1410" s="59"/>
      <c r="CK1410" s="59"/>
      <c r="CL1410" s="59"/>
      <c r="CM1410" s="59"/>
      <c r="CN1410" s="59"/>
      <c r="CO1410" s="59"/>
      <c r="CP1410" s="59"/>
      <c r="CQ1410" s="59"/>
      <c r="CR1410" s="59"/>
      <c r="CS1410" s="59"/>
      <c r="CT1410" s="59"/>
      <c r="CU1410" s="59"/>
      <c r="CV1410" s="59"/>
      <c r="CW1410" s="59"/>
      <c r="CX1410" s="59"/>
      <c r="CY1410" s="59"/>
      <c r="CZ1410" s="59"/>
      <c r="DA1410" s="59"/>
      <c r="DB1410" s="59"/>
      <c r="DC1410" s="59"/>
      <c r="DD1410" s="59"/>
      <c r="DE1410" s="59"/>
      <c r="DF1410" s="59"/>
      <c r="DG1410" s="59"/>
      <c r="DH1410" s="59"/>
      <c r="DI1410" s="59"/>
      <c r="DJ1410" s="59"/>
      <c r="DK1410" s="59"/>
      <c r="DL1410" s="59"/>
      <c r="DM1410" s="59"/>
      <c r="DN1410" s="59"/>
      <c r="DO1410" s="59"/>
      <c r="DP1410" s="59"/>
      <c r="DQ1410" s="59"/>
      <c r="DR1410" s="59"/>
      <c r="DS1410" s="59"/>
      <c r="DT1410" s="59"/>
      <c r="DU1410" s="59"/>
      <c r="DV1410" s="59"/>
      <c r="DW1410" s="59"/>
      <c r="DX1410" s="59"/>
      <c r="DY1410" s="59"/>
      <c r="DZ1410" s="59"/>
      <c r="EA1410" s="59"/>
      <c r="EB1410" s="59"/>
      <c r="EC1410" s="59"/>
      <c r="ED1410" s="59"/>
      <c r="EE1410" s="59"/>
      <c r="EF1410" s="59"/>
      <c r="EG1410" s="59"/>
      <c r="EH1410" s="59"/>
      <c r="EI1410" s="59"/>
      <c r="EJ1410" s="59"/>
      <c r="EK1410" s="59"/>
      <c r="EL1410" s="59"/>
      <c r="EM1410" s="59"/>
      <c r="EN1410" s="59"/>
      <c r="EO1410" s="59"/>
      <c r="EP1410" s="59"/>
      <c r="EQ1410" s="59"/>
      <c r="ER1410" s="59"/>
      <c r="ES1410" s="59"/>
      <c r="ET1410" s="59"/>
      <c r="EU1410" s="59"/>
      <c r="EV1410" s="59"/>
      <c r="EW1410" s="59"/>
      <c r="EX1410" s="59"/>
      <c r="EY1410" s="59"/>
      <c r="EZ1410" s="59"/>
      <c r="FA1410" s="59"/>
      <c r="FB1410" s="59"/>
      <c r="FC1410" s="59"/>
      <c r="FD1410" s="59"/>
      <c r="FE1410" s="59"/>
      <c r="FF1410" s="59"/>
      <c r="FG1410" s="59"/>
      <c r="FH1410" s="59"/>
      <c r="FI1410" s="59"/>
      <c r="FJ1410" s="59"/>
      <c r="FK1410" s="59"/>
      <c r="FL1410" s="59"/>
      <c r="FM1410" s="59"/>
      <c r="FN1410" s="59"/>
      <c r="FO1410" s="59"/>
      <c r="FP1410" s="59"/>
      <c r="FQ1410" s="59"/>
      <c r="FR1410" s="59"/>
      <c r="FS1410" s="59"/>
      <c r="FT1410" s="59"/>
      <c r="FU1410" s="59"/>
      <c r="FV1410" s="59"/>
      <c r="FW1410" s="59"/>
      <c r="FX1410" s="59"/>
      <c r="FY1410" s="59"/>
      <c r="FZ1410" s="59"/>
      <c r="GA1410" s="59"/>
      <c r="GB1410" s="59"/>
      <c r="GC1410" s="59"/>
    </row>
    <row r="1411">
      <c r="A1411" s="59"/>
      <c r="B1411" s="59"/>
      <c r="C1411" s="59"/>
      <c r="D1411" s="59"/>
      <c r="E1411" s="59"/>
      <c r="F1411" s="59"/>
      <c r="G1411" s="59"/>
      <c r="H1411" s="59"/>
      <c r="I1411" s="59"/>
      <c r="J1411" s="59"/>
      <c r="K1411" s="59"/>
      <c r="L1411" s="59"/>
      <c r="M1411" s="59"/>
      <c r="N1411" s="59"/>
      <c r="O1411" s="59"/>
      <c r="P1411" s="59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  <c r="AD1411" s="59"/>
      <c r="AE1411" s="59"/>
      <c r="AF1411" s="59"/>
      <c r="AG1411" s="59"/>
      <c r="AH1411" s="59"/>
      <c r="AI1411" s="59"/>
      <c r="AJ1411" s="59"/>
      <c r="AK1411" s="59"/>
      <c r="AL1411" s="59"/>
      <c r="AM1411" s="59"/>
      <c r="AN1411" s="59"/>
      <c r="AO1411" s="59"/>
      <c r="AP1411" s="59"/>
      <c r="AQ1411" s="59"/>
      <c r="AR1411" s="59"/>
      <c r="AS1411" s="59"/>
      <c r="AT1411" s="59"/>
      <c r="AU1411" s="59"/>
      <c r="AV1411" s="59"/>
      <c r="AW1411" s="59"/>
      <c r="AX1411" s="59"/>
      <c r="AY1411" s="59"/>
      <c r="AZ1411" s="59"/>
      <c r="BA1411" s="59"/>
      <c r="BB1411" s="59"/>
      <c r="BC1411" s="59"/>
      <c r="BD1411" s="59"/>
      <c r="BE1411" s="59"/>
      <c r="BF1411" s="59"/>
      <c r="BG1411" s="59"/>
      <c r="BH1411" s="59"/>
      <c r="BI1411" s="59"/>
      <c r="BJ1411" s="59"/>
      <c r="BK1411" s="59"/>
      <c r="BL1411" s="59"/>
      <c r="BM1411" s="59"/>
      <c r="BN1411" s="59"/>
      <c r="BO1411" s="59"/>
      <c r="BP1411" s="59"/>
      <c r="BQ1411" s="59"/>
      <c r="BR1411" s="59"/>
      <c r="BS1411" s="59"/>
      <c r="BT1411" s="59"/>
      <c r="BU1411" s="59"/>
      <c r="BV1411" s="59"/>
      <c r="BW1411" s="59"/>
      <c r="BX1411" s="59"/>
      <c r="BY1411" s="59"/>
      <c r="BZ1411" s="59"/>
      <c r="CA1411" s="59"/>
      <c r="CB1411" s="59"/>
      <c r="CC1411" s="59"/>
      <c r="CD1411" s="59"/>
      <c r="CE1411" s="59"/>
      <c r="CF1411" s="59"/>
      <c r="CG1411" s="59"/>
      <c r="CH1411" s="59"/>
      <c r="CI1411" s="59"/>
      <c r="CJ1411" s="59"/>
      <c r="CK1411" s="59"/>
      <c r="CL1411" s="59"/>
      <c r="CM1411" s="59"/>
      <c r="CN1411" s="59"/>
      <c r="CO1411" s="59"/>
      <c r="CP1411" s="59"/>
      <c r="CQ1411" s="59"/>
      <c r="CR1411" s="59"/>
      <c r="CS1411" s="59"/>
      <c r="CT1411" s="59"/>
      <c r="CU1411" s="59"/>
      <c r="CV1411" s="59"/>
      <c r="CW1411" s="59"/>
      <c r="CX1411" s="59"/>
      <c r="CY1411" s="59"/>
      <c r="CZ1411" s="59"/>
      <c r="DA1411" s="59"/>
      <c r="DB1411" s="59"/>
      <c r="DC1411" s="59"/>
      <c r="DD1411" s="59"/>
      <c r="DE1411" s="59"/>
      <c r="DF1411" s="59"/>
      <c r="DG1411" s="59"/>
      <c r="DH1411" s="59"/>
      <c r="DI1411" s="59"/>
      <c r="DJ1411" s="59"/>
      <c r="DK1411" s="59"/>
      <c r="DL1411" s="59"/>
      <c r="DM1411" s="59"/>
      <c r="DN1411" s="59"/>
      <c r="DO1411" s="59"/>
      <c r="DP1411" s="59"/>
      <c r="DQ1411" s="59"/>
      <c r="DR1411" s="59"/>
      <c r="DS1411" s="59"/>
      <c r="DT1411" s="59"/>
      <c r="DU1411" s="59"/>
      <c r="DV1411" s="59"/>
      <c r="DW1411" s="59"/>
      <c r="DX1411" s="59"/>
      <c r="DY1411" s="59"/>
      <c r="DZ1411" s="59"/>
      <c r="EA1411" s="59"/>
      <c r="EB1411" s="59"/>
      <c r="EC1411" s="59"/>
      <c r="ED1411" s="59"/>
      <c r="EE1411" s="59"/>
      <c r="EF1411" s="59"/>
      <c r="EG1411" s="59"/>
      <c r="EH1411" s="59"/>
      <c r="EI1411" s="59"/>
      <c r="EJ1411" s="59"/>
      <c r="EK1411" s="59"/>
      <c r="EL1411" s="59"/>
      <c r="EM1411" s="59"/>
      <c r="EN1411" s="59"/>
      <c r="EO1411" s="59"/>
      <c r="EP1411" s="59"/>
      <c r="EQ1411" s="59"/>
      <c r="ER1411" s="59"/>
      <c r="ES1411" s="59"/>
      <c r="ET1411" s="59"/>
      <c r="EU1411" s="59"/>
      <c r="EV1411" s="59"/>
      <c r="EW1411" s="59"/>
      <c r="EX1411" s="59"/>
      <c r="EY1411" s="59"/>
      <c r="EZ1411" s="59"/>
      <c r="FA1411" s="59"/>
      <c r="FB1411" s="59"/>
      <c r="FC1411" s="59"/>
      <c r="FD1411" s="59"/>
      <c r="FE1411" s="59"/>
      <c r="FF1411" s="59"/>
      <c r="FG1411" s="59"/>
      <c r="FH1411" s="59"/>
      <c r="FI1411" s="59"/>
      <c r="FJ1411" s="59"/>
      <c r="FK1411" s="59"/>
      <c r="FL1411" s="59"/>
      <c r="FM1411" s="59"/>
      <c r="FN1411" s="59"/>
      <c r="FO1411" s="59"/>
      <c r="FP1411" s="59"/>
      <c r="FQ1411" s="59"/>
      <c r="FR1411" s="59"/>
      <c r="FS1411" s="59"/>
      <c r="FT1411" s="59"/>
      <c r="FU1411" s="59"/>
      <c r="FV1411" s="59"/>
      <c r="FW1411" s="59"/>
      <c r="FX1411" s="59"/>
      <c r="FY1411" s="59"/>
      <c r="FZ1411" s="59"/>
      <c r="GA1411" s="59"/>
      <c r="GB1411" s="59"/>
      <c r="GC1411" s="59"/>
    </row>
    <row r="1412">
      <c r="A1412" s="59"/>
      <c r="B1412" s="59"/>
      <c r="C1412" s="59"/>
      <c r="D1412" s="59"/>
      <c r="E1412" s="59"/>
      <c r="F1412" s="59"/>
      <c r="G1412" s="59"/>
      <c r="H1412" s="59"/>
      <c r="I1412" s="59"/>
      <c r="J1412" s="59"/>
      <c r="K1412" s="59"/>
      <c r="L1412" s="59"/>
      <c r="M1412" s="59"/>
      <c r="N1412" s="59"/>
      <c r="O1412" s="59"/>
      <c r="P1412" s="59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  <c r="AD1412" s="59"/>
      <c r="AE1412" s="59"/>
      <c r="AF1412" s="59"/>
      <c r="AG1412" s="59"/>
      <c r="AH1412" s="59"/>
      <c r="AI1412" s="59"/>
      <c r="AJ1412" s="59"/>
      <c r="AK1412" s="59"/>
      <c r="AL1412" s="59"/>
      <c r="AM1412" s="59"/>
      <c r="AN1412" s="59"/>
      <c r="AO1412" s="59"/>
      <c r="AP1412" s="59"/>
      <c r="AQ1412" s="59"/>
      <c r="AR1412" s="59"/>
      <c r="AS1412" s="59"/>
      <c r="AT1412" s="59"/>
      <c r="AU1412" s="59"/>
      <c r="AV1412" s="59"/>
      <c r="AW1412" s="59"/>
      <c r="AX1412" s="59"/>
      <c r="AY1412" s="59"/>
      <c r="AZ1412" s="59"/>
      <c r="BA1412" s="59"/>
      <c r="BB1412" s="59"/>
      <c r="BC1412" s="59"/>
      <c r="BD1412" s="59"/>
      <c r="BE1412" s="59"/>
      <c r="BF1412" s="59"/>
      <c r="BG1412" s="59"/>
      <c r="BH1412" s="59"/>
      <c r="BI1412" s="59"/>
      <c r="BJ1412" s="59"/>
      <c r="BK1412" s="59"/>
      <c r="BL1412" s="59"/>
      <c r="BM1412" s="59"/>
      <c r="BN1412" s="59"/>
      <c r="BO1412" s="59"/>
      <c r="BP1412" s="59"/>
      <c r="BQ1412" s="59"/>
      <c r="BR1412" s="59"/>
      <c r="BS1412" s="59"/>
      <c r="BT1412" s="59"/>
      <c r="BU1412" s="59"/>
      <c r="BV1412" s="59"/>
      <c r="BW1412" s="59"/>
      <c r="BX1412" s="59"/>
      <c r="BY1412" s="59"/>
      <c r="BZ1412" s="59"/>
      <c r="CA1412" s="59"/>
      <c r="CB1412" s="59"/>
      <c r="CC1412" s="59"/>
      <c r="CD1412" s="59"/>
      <c r="CE1412" s="59"/>
      <c r="CF1412" s="59"/>
      <c r="CG1412" s="59"/>
      <c r="CH1412" s="59"/>
      <c r="CI1412" s="59"/>
      <c r="CJ1412" s="59"/>
      <c r="CK1412" s="59"/>
      <c r="CL1412" s="59"/>
      <c r="CM1412" s="59"/>
      <c r="CN1412" s="59"/>
      <c r="CO1412" s="59"/>
      <c r="CP1412" s="59"/>
      <c r="CQ1412" s="59"/>
      <c r="CR1412" s="59"/>
      <c r="CS1412" s="59"/>
      <c r="CT1412" s="59"/>
      <c r="CU1412" s="59"/>
      <c r="CV1412" s="59"/>
      <c r="CW1412" s="59"/>
      <c r="CX1412" s="59"/>
      <c r="CY1412" s="59"/>
      <c r="CZ1412" s="59"/>
      <c r="DA1412" s="59"/>
      <c r="DB1412" s="59"/>
      <c r="DC1412" s="59"/>
      <c r="DD1412" s="59"/>
      <c r="DE1412" s="59"/>
      <c r="DF1412" s="59"/>
      <c r="DG1412" s="59"/>
      <c r="DH1412" s="59"/>
      <c r="DI1412" s="59"/>
      <c r="DJ1412" s="59"/>
      <c r="DK1412" s="59"/>
      <c r="DL1412" s="59"/>
      <c r="DM1412" s="59"/>
      <c r="DN1412" s="59"/>
      <c r="DO1412" s="59"/>
      <c r="DP1412" s="59"/>
      <c r="DQ1412" s="59"/>
      <c r="DR1412" s="59"/>
      <c r="DS1412" s="59"/>
      <c r="DT1412" s="59"/>
      <c r="DU1412" s="59"/>
      <c r="DV1412" s="59"/>
      <c r="DW1412" s="59"/>
      <c r="DX1412" s="59"/>
      <c r="DY1412" s="59"/>
      <c r="DZ1412" s="59"/>
      <c r="EA1412" s="59"/>
      <c r="EB1412" s="59"/>
      <c r="EC1412" s="59"/>
      <c r="ED1412" s="59"/>
      <c r="EE1412" s="59"/>
      <c r="EF1412" s="59"/>
      <c r="EG1412" s="59"/>
      <c r="EH1412" s="59"/>
      <c r="EI1412" s="59"/>
      <c r="EJ1412" s="59"/>
      <c r="EK1412" s="59"/>
      <c r="EL1412" s="59"/>
      <c r="EM1412" s="59"/>
      <c r="EN1412" s="59"/>
      <c r="EO1412" s="59"/>
      <c r="EP1412" s="59"/>
      <c r="EQ1412" s="59"/>
      <c r="ER1412" s="59"/>
      <c r="ES1412" s="59"/>
      <c r="ET1412" s="59"/>
      <c r="EU1412" s="59"/>
      <c r="EV1412" s="59"/>
      <c r="EW1412" s="59"/>
      <c r="EX1412" s="59"/>
      <c r="EY1412" s="59"/>
      <c r="EZ1412" s="59"/>
      <c r="FA1412" s="59"/>
      <c r="FB1412" s="59"/>
      <c r="FC1412" s="59"/>
      <c r="FD1412" s="59"/>
      <c r="FE1412" s="59"/>
      <c r="FF1412" s="59"/>
      <c r="FG1412" s="59"/>
      <c r="FH1412" s="59"/>
      <c r="FI1412" s="59"/>
      <c r="FJ1412" s="59"/>
      <c r="FK1412" s="59"/>
      <c r="FL1412" s="59"/>
      <c r="FM1412" s="59"/>
      <c r="FN1412" s="59"/>
      <c r="FO1412" s="59"/>
      <c r="FP1412" s="59"/>
      <c r="FQ1412" s="59"/>
      <c r="FR1412" s="59"/>
      <c r="FS1412" s="59"/>
      <c r="FT1412" s="59"/>
      <c r="FU1412" s="59"/>
      <c r="FV1412" s="59"/>
      <c r="FW1412" s="59"/>
      <c r="FX1412" s="59"/>
      <c r="FY1412" s="59"/>
      <c r="FZ1412" s="59"/>
      <c r="GA1412" s="59"/>
      <c r="GB1412" s="59"/>
      <c r="GC1412" s="59"/>
    </row>
    <row r="1413">
      <c r="A1413" s="59"/>
      <c r="B1413" s="59"/>
      <c r="C1413" s="59"/>
      <c r="D1413" s="59"/>
      <c r="E1413" s="59"/>
      <c r="F1413" s="59"/>
      <c r="G1413" s="59"/>
      <c r="H1413" s="59"/>
      <c r="I1413" s="59"/>
      <c r="J1413" s="59"/>
      <c r="K1413" s="59"/>
      <c r="L1413" s="59"/>
      <c r="M1413" s="59"/>
      <c r="N1413" s="59"/>
      <c r="O1413" s="59"/>
      <c r="P1413" s="59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  <c r="AD1413" s="59"/>
      <c r="AE1413" s="59"/>
      <c r="AF1413" s="59"/>
      <c r="AG1413" s="59"/>
      <c r="AH1413" s="59"/>
      <c r="AI1413" s="59"/>
      <c r="AJ1413" s="59"/>
      <c r="AK1413" s="59"/>
      <c r="AL1413" s="59"/>
      <c r="AM1413" s="59"/>
      <c r="AN1413" s="59"/>
      <c r="AO1413" s="59"/>
      <c r="AP1413" s="59"/>
      <c r="AQ1413" s="59"/>
      <c r="AR1413" s="59"/>
      <c r="AS1413" s="59"/>
      <c r="AT1413" s="59"/>
      <c r="AU1413" s="59"/>
      <c r="AV1413" s="59"/>
      <c r="AW1413" s="59"/>
      <c r="AX1413" s="59"/>
      <c r="AY1413" s="59"/>
      <c r="AZ1413" s="59"/>
      <c r="BA1413" s="59"/>
      <c r="BB1413" s="59"/>
      <c r="BC1413" s="59"/>
      <c r="BD1413" s="59"/>
      <c r="BE1413" s="59"/>
      <c r="BF1413" s="59"/>
      <c r="BG1413" s="59"/>
      <c r="BH1413" s="59"/>
      <c r="BI1413" s="59"/>
      <c r="BJ1413" s="59"/>
      <c r="BK1413" s="59"/>
      <c r="BL1413" s="59"/>
      <c r="BM1413" s="59"/>
      <c r="BN1413" s="59"/>
      <c r="BO1413" s="59"/>
      <c r="BP1413" s="59"/>
      <c r="BQ1413" s="59"/>
      <c r="BR1413" s="59"/>
      <c r="BS1413" s="59"/>
      <c r="BT1413" s="59"/>
      <c r="BU1413" s="59"/>
      <c r="BV1413" s="59"/>
      <c r="BW1413" s="59"/>
      <c r="BX1413" s="59"/>
      <c r="BY1413" s="59"/>
      <c r="BZ1413" s="59"/>
      <c r="CA1413" s="59"/>
      <c r="CB1413" s="59"/>
      <c r="CC1413" s="59"/>
      <c r="CD1413" s="59"/>
      <c r="CE1413" s="59"/>
      <c r="CF1413" s="59"/>
      <c r="CG1413" s="59"/>
      <c r="CH1413" s="59"/>
      <c r="CI1413" s="59"/>
      <c r="CJ1413" s="59"/>
      <c r="CK1413" s="59"/>
      <c r="CL1413" s="59"/>
      <c r="CM1413" s="59"/>
      <c r="CN1413" s="59"/>
      <c r="CO1413" s="59"/>
      <c r="CP1413" s="59"/>
      <c r="CQ1413" s="59"/>
      <c r="CR1413" s="59"/>
      <c r="CS1413" s="59"/>
      <c r="CT1413" s="59"/>
      <c r="CU1413" s="59"/>
      <c r="CV1413" s="59"/>
      <c r="CW1413" s="59"/>
      <c r="CX1413" s="59"/>
      <c r="CY1413" s="59"/>
      <c r="CZ1413" s="59"/>
      <c r="DA1413" s="59"/>
      <c r="DB1413" s="59"/>
      <c r="DC1413" s="59"/>
      <c r="DD1413" s="59"/>
      <c r="DE1413" s="59"/>
      <c r="DF1413" s="59"/>
      <c r="DG1413" s="59"/>
      <c r="DH1413" s="59"/>
      <c r="DI1413" s="59"/>
      <c r="DJ1413" s="59"/>
      <c r="DK1413" s="59"/>
      <c r="DL1413" s="59"/>
      <c r="DM1413" s="59"/>
      <c r="DN1413" s="59"/>
      <c r="DO1413" s="59"/>
      <c r="DP1413" s="59"/>
      <c r="DQ1413" s="59"/>
      <c r="DR1413" s="59"/>
      <c r="DS1413" s="59"/>
      <c r="DT1413" s="59"/>
      <c r="DU1413" s="59"/>
      <c r="DV1413" s="59"/>
      <c r="DW1413" s="59"/>
      <c r="DX1413" s="59"/>
      <c r="DY1413" s="59"/>
      <c r="DZ1413" s="59"/>
      <c r="EA1413" s="59"/>
      <c r="EB1413" s="59"/>
      <c r="EC1413" s="59"/>
      <c r="ED1413" s="59"/>
      <c r="EE1413" s="59"/>
      <c r="EF1413" s="59"/>
      <c r="EG1413" s="59"/>
      <c r="EH1413" s="59"/>
      <c r="EI1413" s="59"/>
      <c r="EJ1413" s="59"/>
      <c r="EK1413" s="59"/>
      <c r="EL1413" s="59"/>
      <c r="EM1413" s="59"/>
      <c r="EN1413" s="59"/>
      <c r="EO1413" s="59"/>
      <c r="EP1413" s="59"/>
      <c r="EQ1413" s="59"/>
      <c r="ER1413" s="59"/>
      <c r="ES1413" s="59"/>
      <c r="ET1413" s="59"/>
      <c r="EU1413" s="59"/>
      <c r="EV1413" s="59"/>
      <c r="EW1413" s="59"/>
      <c r="EX1413" s="59"/>
      <c r="EY1413" s="59"/>
      <c r="EZ1413" s="59"/>
      <c r="FA1413" s="59"/>
      <c r="FB1413" s="59"/>
      <c r="FC1413" s="59"/>
      <c r="FD1413" s="59"/>
      <c r="FE1413" s="59"/>
      <c r="FF1413" s="59"/>
      <c r="FG1413" s="59"/>
      <c r="FH1413" s="59"/>
      <c r="FI1413" s="59"/>
      <c r="FJ1413" s="59"/>
      <c r="FK1413" s="59"/>
      <c r="FL1413" s="59"/>
      <c r="FM1413" s="59"/>
      <c r="FN1413" s="59"/>
      <c r="FO1413" s="59"/>
      <c r="FP1413" s="59"/>
      <c r="FQ1413" s="59"/>
      <c r="FR1413" s="59"/>
      <c r="FS1413" s="59"/>
      <c r="FT1413" s="59"/>
      <c r="FU1413" s="59"/>
      <c r="FV1413" s="59"/>
      <c r="FW1413" s="59"/>
      <c r="FX1413" s="59"/>
      <c r="FY1413" s="59"/>
      <c r="FZ1413" s="59"/>
      <c r="GA1413" s="59"/>
      <c r="GB1413" s="59"/>
      <c r="GC1413" s="59"/>
    </row>
    <row r="1414">
      <c r="A1414" s="59"/>
      <c r="B1414" s="59"/>
      <c r="C1414" s="59"/>
      <c r="D1414" s="59"/>
      <c r="E1414" s="59"/>
      <c r="F1414" s="59"/>
      <c r="G1414" s="59"/>
      <c r="H1414" s="59"/>
      <c r="I1414" s="59"/>
      <c r="J1414" s="59"/>
      <c r="K1414" s="59"/>
      <c r="L1414" s="59"/>
      <c r="M1414" s="59"/>
      <c r="N1414" s="59"/>
      <c r="O1414" s="59"/>
      <c r="P1414" s="59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  <c r="AD1414" s="59"/>
      <c r="AE1414" s="59"/>
      <c r="AF1414" s="59"/>
      <c r="AG1414" s="59"/>
      <c r="AH1414" s="59"/>
      <c r="AI1414" s="59"/>
      <c r="AJ1414" s="59"/>
      <c r="AK1414" s="59"/>
      <c r="AL1414" s="59"/>
      <c r="AM1414" s="59"/>
      <c r="AN1414" s="59"/>
      <c r="AO1414" s="59"/>
      <c r="AP1414" s="59"/>
      <c r="AQ1414" s="59"/>
      <c r="AR1414" s="59"/>
      <c r="AS1414" s="59"/>
      <c r="AT1414" s="59"/>
      <c r="AU1414" s="59"/>
      <c r="AV1414" s="59"/>
      <c r="AW1414" s="59"/>
      <c r="AX1414" s="59"/>
      <c r="AY1414" s="59"/>
      <c r="AZ1414" s="59"/>
      <c r="BA1414" s="59"/>
      <c r="BB1414" s="59"/>
      <c r="BC1414" s="59"/>
      <c r="BD1414" s="59"/>
      <c r="BE1414" s="59"/>
      <c r="BF1414" s="59"/>
      <c r="BG1414" s="59"/>
      <c r="BH1414" s="59"/>
      <c r="BI1414" s="59"/>
      <c r="BJ1414" s="59"/>
      <c r="BK1414" s="59"/>
      <c r="BL1414" s="59"/>
      <c r="BM1414" s="59"/>
      <c r="BN1414" s="59"/>
      <c r="BO1414" s="59"/>
      <c r="BP1414" s="59"/>
      <c r="BQ1414" s="59"/>
      <c r="BR1414" s="59"/>
      <c r="BS1414" s="59"/>
      <c r="BT1414" s="59"/>
      <c r="BU1414" s="59"/>
      <c r="BV1414" s="59"/>
      <c r="BW1414" s="59"/>
      <c r="BX1414" s="59"/>
      <c r="BY1414" s="59"/>
      <c r="BZ1414" s="59"/>
      <c r="CA1414" s="59"/>
      <c r="CB1414" s="59"/>
      <c r="CC1414" s="59"/>
      <c r="CD1414" s="59"/>
      <c r="CE1414" s="59"/>
      <c r="CF1414" s="59"/>
      <c r="CG1414" s="59"/>
      <c r="CH1414" s="59"/>
      <c r="CI1414" s="59"/>
      <c r="CJ1414" s="59"/>
      <c r="CK1414" s="59"/>
      <c r="CL1414" s="59"/>
      <c r="CM1414" s="59"/>
      <c r="CN1414" s="59"/>
      <c r="CO1414" s="59"/>
      <c r="CP1414" s="59"/>
      <c r="CQ1414" s="59"/>
      <c r="CR1414" s="59"/>
      <c r="CS1414" s="59"/>
      <c r="CT1414" s="59"/>
      <c r="CU1414" s="59"/>
      <c r="CV1414" s="59"/>
      <c r="CW1414" s="59"/>
      <c r="CX1414" s="59"/>
      <c r="CY1414" s="59"/>
      <c r="CZ1414" s="59"/>
      <c r="DA1414" s="59"/>
      <c r="DB1414" s="59"/>
      <c r="DC1414" s="59"/>
      <c r="DD1414" s="59"/>
      <c r="DE1414" s="59"/>
      <c r="DF1414" s="59"/>
      <c r="DG1414" s="59"/>
      <c r="DH1414" s="59"/>
      <c r="DI1414" s="59"/>
      <c r="DJ1414" s="59"/>
      <c r="DK1414" s="59"/>
      <c r="DL1414" s="59"/>
      <c r="DM1414" s="59"/>
      <c r="DN1414" s="59"/>
      <c r="DO1414" s="59"/>
      <c r="DP1414" s="59"/>
      <c r="DQ1414" s="59"/>
      <c r="DR1414" s="59"/>
      <c r="DS1414" s="59"/>
      <c r="DT1414" s="59"/>
      <c r="DU1414" s="59"/>
      <c r="DV1414" s="59"/>
      <c r="DW1414" s="59"/>
      <c r="DX1414" s="59"/>
      <c r="DY1414" s="59"/>
      <c r="DZ1414" s="59"/>
      <c r="EA1414" s="59"/>
      <c r="EB1414" s="59"/>
      <c r="EC1414" s="59"/>
      <c r="ED1414" s="59"/>
      <c r="EE1414" s="59"/>
      <c r="EF1414" s="59"/>
      <c r="EG1414" s="59"/>
      <c r="EH1414" s="59"/>
      <c r="EI1414" s="59"/>
      <c r="EJ1414" s="59"/>
      <c r="EK1414" s="59"/>
      <c r="EL1414" s="59"/>
      <c r="EM1414" s="59"/>
      <c r="EN1414" s="59"/>
      <c r="EO1414" s="59"/>
      <c r="EP1414" s="59"/>
      <c r="EQ1414" s="59"/>
      <c r="ER1414" s="59"/>
      <c r="ES1414" s="59"/>
      <c r="ET1414" s="59"/>
      <c r="EU1414" s="59"/>
      <c r="EV1414" s="59"/>
      <c r="EW1414" s="59"/>
      <c r="EX1414" s="59"/>
      <c r="EY1414" s="59"/>
      <c r="EZ1414" s="59"/>
      <c r="FA1414" s="59"/>
      <c r="FB1414" s="59"/>
      <c r="FC1414" s="59"/>
      <c r="FD1414" s="59"/>
      <c r="FE1414" s="59"/>
      <c r="FF1414" s="59"/>
      <c r="FG1414" s="59"/>
      <c r="FH1414" s="59"/>
      <c r="FI1414" s="59"/>
      <c r="FJ1414" s="59"/>
      <c r="FK1414" s="59"/>
      <c r="FL1414" s="59"/>
      <c r="FM1414" s="59"/>
      <c r="FN1414" s="59"/>
      <c r="FO1414" s="59"/>
      <c r="FP1414" s="59"/>
      <c r="FQ1414" s="59"/>
      <c r="FR1414" s="59"/>
      <c r="FS1414" s="59"/>
      <c r="FT1414" s="59"/>
      <c r="FU1414" s="59"/>
      <c r="FV1414" s="59"/>
      <c r="FW1414" s="59"/>
      <c r="FX1414" s="59"/>
      <c r="FY1414" s="59"/>
      <c r="FZ1414" s="59"/>
      <c r="GA1414" s="59"/>
      <c r="GB1414" s="59"/>
      <c r="GC1414" s="59"/>
    </row>
    <row r="1415">
      <c r="A1415" s="59"/>
      <c r="B1415" s="59"/>
      <c r="C1415" s="59"/>
      <c r="D1415" s="59"/>
      <c r="E1415" s="59"/>
      <c r="F1415" s="59"/>
      <c r="G1415" s="59"/>
      <c r="H1415" s="59"/>
      <c r="I1415" s="59"/>
      <c r="J1415" s="59"/>
      <c r="K1415" s="59"/>
      <c r="L1415" s="59"/>
      <c r="M1415" s="59"/>
      <c r="N1415" s="59"/>
      <c r="O1415" s="59"/>
      <c r="P1415" s="59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  <c r="AD1415" s="59"/>
      <c r="AE1415" s="59"/>
      <c r="AF1415" s="59"/>
      <c r="AG1415" s="59"/>
      <c r="AH1415" s="59"/>
      <c r="AI1415" s="59"/>
      <c r="AJ1415" s="59"/>
      <c r="AK1415" s="59"/>
      <c r="AL1415" s="59"/>
      <c r="AM1415" s="59"/>
      <c r="AN1415" s="59"/>
      <c r="AO1415" s="59"/>
      <c r="AP1415" s="59"/>
      <c r="AQ1415" s="59"/>
      <c r="AR1415" s="59"/>
      <c r="AS1415" s="59"/>
      <c r="AT1415" s="59"/>
      <c r="AU1415" s="59"/>
      <c r="AV1415" s="59"/>
      <c r="AW1415" s="59"/>
      <c r="AX1415" s="59"/>
      <c r="AY1415" s="59"/>
      <c r="AZ1415" s="59"/>
      <c r="BA1415" s="59"/>
      <c r="BB1415" s="59"/>
      <c r="BC1415" s="59"/>
      <c r="BD1415" s="59"/>
      <c r="BE1415" s="59"/>
      <c r="BF1415" s="59"/>
      <c r="BG1415" s="59"/>
      <c r="BH1415" s="59"/>
      <c r="BI1415" s="59"/>
      <c r="BJ1415" s="59"/>
      <c r="BK1415" s="59"/>
      <c r="BL1415" s="59"/>
      <c r="BM1415" s="59"/>
      <c r="BN1415" s="59"/>
      <c r="BO1415" s="59"/>
      <c r="BP1415" s="59"/>
      <c r="BQ1415" s="59"/>
      <c r="BR1415" s="59"/>
      <c r="BS1415" s="59"/>
      <c r="BT1415" s="59"/>
      <c r="BU1415" s="59"/>
      <c r="BV1415" s="59"/>
      <c r="BW1415" s="59"/>
      <c r="BX1415" s="59"/>
      <c r="BY1415" s="59"/>
      <c r="BZ1415" s="59"/>
      <c r="CA1415" s="59"/>
      <c r="CB1415" s="59"/>
      <c r="CC1415" s="59"/>
      <c r="CD1415" s="59"/>
      <c r="CE1415" s="59"/>
      <c r="CF1415" s="59"/>
      <c r="CG1415" s="59"/>
      <c r="CH1415" s="59"/>
      <c r="CI1415" s="59"/>
      <c r="CJ1415" s="59"/>
      <c r="CK1415" s="59"/>
      <c r="CL1415" s="59"/>
      <c r="CM1415" s="59"/>
      <c r="CN1415" s="59"/>
      <c r="CO1415" s="59"/>
      <c r="CP1415" s="59"/>
      <c r="CQ1415" s="59"/>
      <c r="CR1415" s="59"/>
      <c r="CS1415" s="59"/>
      <c r="CT1415" s="59"/>
      <c r="CU1415" s="59"/>
      <c r="CV1415" s="59"/>
      <c r="CW1415" s="59"/>
      <c r="CX1415" s="59"/>
      <c r="CY1415" s="59"/>
      <c r="CZ1415" s="59"/>
      <c r="DA1415" s="59"/>
      <c r="DB1415" s="59"/>
      <c r="DC1415" s="59"/>
      <c r="DD1415" s="59"/>
      <c r="DE1415" s="59"/>
      <c r="DF1415" s="59"/>
      <c r="DG1415" s="59"/>
      <c r="DH1415" s="59"/>
      <c r="DI1415" s="59"/>
      <c r="DJ1415" s="59"/>
      <c r="DK1415" s="59"/>
      <c r="DL1415" s="59"/>
      <c r="DM1415" s="59"/>
      <c r="DN1415" s="59"/>
      <c r="DO1415" s="59"/>
      <c r="DP1415" s="59"/>
      <c r="DQ1415" s="59"/>
      <c r="DR1415" s="59"/>
      <c r="DS1415" s="59"/>
      <c r="DT1415" s="59"/>
      <c r="DU1415" s="59"/>
      <c r="DV1415" s="59"/>
      <c r="DW1415" s="59"/>
      <c r="DX1415" s="59"/>
      <c r="DY1415" s="59"/>
      <c r="DZ1415" s="59"/>
      <c r="EA1415" s="59"/>
      <c r="EB1415" s="59"/>
      <c r="EC1415" s="59"/>
      <c r="ED1415" s="59"/>
      <c r="EE1415" s="59"/>
      <c r="EF1415" s="59"/>
      <c r="EG1415" s="59"/>
      <c r="EH1415" s="59"/>
      <c r="EI1415" s="59"/>
      <c r="EJ1415" s="59"/>
      <c r="EK1415" s="59"/>
      <c r="EL1415" s="59"/>
      <c r="EM1415" s="59"/>
      <c r="EN1415" s="59"/>
      <c r="EO1415" s="59"/>
      <c r="EP1415" s="59"/>
      <c r="EQ1415" s="59"/>
      <c r="ER1415" s="59"/>
      <c r="ES1415" s="59"/>
      <c r="ET1415" s="59"/>
      <c r="EU1415" s="59"/>
      <c r="EV1415" s="59"/>
      <c r="EW1415" s="59"/>
      <c r="EX1415" s="59"/>
      <c r="EY1415" s="59"/>
      <c r="EZ1415" s="59"/>
      <c r="FA1415" s="59"/>
      <c r="FB1415" s="59"/>
      <c r="FC1415" s="59"/>
      <c r="FD1415" s="59"/>
      <c r="FE1415" s="59"/>
      <c r="FF1415" s="59"/>
      <c r="FG1415" s="59"/>
      <c r="FH1415" s="59"/>
      <c r="FI1415" s="59"/>
      <c r="FJ1415" s="59"/>
      <c r="FK1415" s="59"/>
      <c r="FL1415" s="59"/>
      <c r="FM1415" s="59"/>
      <c r="FN1415" s="59"/>
      <c r="FO1415" s="59"/>
      <c r="FP1415" s="59"/>
      <c r="FQ1415" s="59"/>
      <c r="FR1415" s="59"/>
      <c r="FS1415" s="59"/>
      <c r="FT1415" s="59"/>
      <c r="FU1415" s="59"/>
      <c r="FV1415" s="59"/>
      <c r="FW1415" s="59"/>
      <c r="FX1415" s="59"/>
      <c r="FY1415" s="59"/>
      <c r="FZ1415" s="59"/>
      <c r="GA1415" s="59"/>
      <c r="GB1415" s="59"/>
      <c r="GC1415" s="59"/>
    </row>
    <row r="1416">
      <c r="A1416" s="59"/>
      <c r="B1416" s="59"/>
      <c r="C1416" s="59"/>
      <c r="D1416" s="59"/>
      <c r="E1416" s="59"/>
      <c r="F1416" s="59"/>
      <c r="G1416" s="59"/>
      <c r="H1416" s="59"/>
      <c r="I1416" s="59"/>
      <c r="J1416" s="59"/>
      <c r="K1416" s="59"/>
      <c r="L1416" s="59"/>
      <c r="M1416" s="59"/>
      <c r="N1416" s="59"/>
      <c r="O1416" s="59"/>
      <c r="P1416" s="59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  <c r="AD1416" s="59"/>
      <c r="AE1416" s="59"/>
      <c r="AF1416" s="59"/>
      <c r="AG1416" s="59"/>
      <c r="AH1416" s="59"/>
      <c r="AI1416" s="59"/>
      <c r="AJ1416" s="59"/>
      <c r="AK1416" s="59"/>
      <c r="AL1416" s="59"/>
      <c r="AM1416" s="59"/>
      <c r="AN1416" s="59"/>
      <c r="AO1416" s="59"/>
      <c r="AP1416" s="59"/>
      <c r="AQ1416" s="59"/>
      <c r="AR1416" s="59"/>
      <c r="AS1416" s="59"/>
      <c r="AT1416" s="59"/>
      <c r="AU1416" s="59"/>
      <c r="AV1416" s="59"/>
      <c r="AW1416" s="59"/>
      <c r="AX1416" s="59"/>
      <c r="AY1416" s="59"/>
      <c r="AZ1416" s="59"/>
      <c r="BA1416" s="59"/>
      <c r="BB1416" s="59"/>
      <c r="BC1416" s="59"/>
      <c r="BD1416" s="59"/>
      <c r="BE1416" s="59"/>
      <c r="BF1416" s="59"/>
      <c r="BG1416" s="59"/>
      <c r="BH1416" s="59"/>
      <c r="BI1416" s="59"/>
      <c r="BJ1416" s="59"/>
      <c r="BK1416" s="59"/>
      <c r="BL1416" s="59"/>
      <c r="BM1416" s="59"/>
      <c r="BN1416" s="59"/>
      <c r="BO1416" s="59"/>
      <c r="BP1416" s="59"/>
      <c r="BQ1416" s="59"/>
      <c r="BR1416" s="59"/>
      <c r="BS1416" s="59"/>
      <c r="BT1416" s="59"/>
      <c r="BU1416" s="59"/>
      <c r="BV1416" s="59"/>
      <c r="BW1416" s="59"/>
      <c r="BX1416" s="59"/>
      <c r="BY1416" s="59"/>
      <c r="BZ1416" s="59"/>
      <c r="CA1416" s="59"/>
      <c r="CB1416" s="59"/>
      <c r="CC1416" s="59"/>
      <c r="CD1416" s="59"/>
      <c r="CE1416" s="59"/>
      <c r="CF1416" s="59"/>
      <c r="CG1416" s="59"/>
      <c r="CH1416" s="59"/>
      <c r="CI1416" s="59"/>
      <c r="CJ1416" s="59"/>
      <c r="CK1416" s="59"/>
      <c r="CL1416" s="59"/>
      <c r="CM1416" s="59"/>
      <c r="CN1416" s="59"/>
      <c r="CO1416" s="59"/>
      <c r="CP1416" s="59"/>
      <c r="CQ1416" s="59"/>
      <c r="CR1416" s="59"/>
      <c r="CS1416" s="59"/>
      <c r="CT1416" s="59"/>
      <c r="CU1416" s="59"/>
      <c r="CV1416" s="59"/>
      <c r="CW1416" s="59"/>
      <c r="CX1416" s="59"/>
      <c r="CY1416" s="59"/>
      <c r="CZ1416" s="59"/>
      <c r="DA1416" s="59"/>
      <c r="DB1416" s="59"/>
      <c r="DC1416" s="59"/>
      <c r="DD1416" s="59"/>
      <c r="DE1416" s="59"/>
      <c r="DF1416" s="59"/>
      <c r="DG1416" s="59"/>
      <c r="DH1416" s="59"/>
      <c r="DI1416" s="59"/>
      <c r="DJ1416" s="59"/>
      <c r="DK1416" s="59"/>
      <c r="DL1416" s="59"/>
      <c r="DM1416" s="59"/>
      <c r="DN1416" s="59"/>
      <c r="DO1416" s="59"/>
      <c r="DP1416" s="59"/>
      <c r="DQ1416" s="59"/>
      <c r="DR1416" s="59"/>
      <c r="DS1416" s="59"/>
      <c r="DT1416" s="59"/>
      <c r="DU1416" s="59"/>
      <c r="DV1416" s="59"/>
      <c r="DW1416" s="59"/>
      <c r="DX1416" s="59"/>
      <c r="DY1416" s="59"/>
      <c r="DZ1416" s="59"/>
      <c r="EA1416" s="59"/>
      <c r="EB1416" s="59"/>
      <c r="EC1416" s="59"/>
      <c r="ED1416" s="59"/>
      <c r="EE1416" s="59"/>
      <c r="EF1416" s="59"/>
      <c r="EG1416" s="59"/>
      <c r="EH1416" s="59"/>
      <c r="EI1416" s="59"/>
      <c r="EJ1416" s="59"/>
      <c r="EK1416" s="59"/>
      <c r="EL1416" s="59"/>
      <c r="EM1416" s="59"/>
      <c r="EN1416" s="59"/>
      <c r="EO1416" s="59"/>
      <c r="EP1416" s="59"/>
      <c r="EQ1416" s="59"/>
      <c r="ER1416" s="59"/>
      <c r="ES1416" s="59"/>
      <c r="ET1416" s="59"/>
      <c r="EU1416" s="59"/>
      <c r="EV1416" s="59"/>
      <c r="EW1416" s="59"/>
      <c r="EX1416" s="59"/>
      <c r="EY1416" s="59"/>
      <c r="EZ1416" s="59"/>
      <c r="FA1416" s="59"/>
      <c r="FB1416" s="59"/>
      <c r="FC1416" s="59"/>
      <c r="FD1416" s="59"/>
      <c r="FE1416" s="59"/>
      <c r="FF1416" s="59"/>
      <c r="FG1416" s="59"/>
      <c r="FH1416" s="59"/>
      <c r="FI1416" s="59"/>
      <c r="FJ1416" s="59"/>
      <c r="FK1416" s="59"/>
      <c r="FL1416" s="59"/>
      <c r="FM1416" s="59"/>
      <c r="FN1416" s="59"/>
      <c r="FO1416" s="59"/>
      <c r="FP1416" s="59"/>
      <c r="FQ1416" s="59"/>
      <c r="FR1416" s="59"/>
      <c r="FS1416" s="59"/>
      <c r="FT1416" s="59"/>
      <c r="FU1416" s="59"/>
      <c r="FV1416" s="59"/>
      <c r="FW1416" s="59"/>
      <c r="FX1416" s="59"/>
      <c r="FY1416" s="59"/>
      <c r="FZ1416" s="59"/>
      <c r="GA1416" s="59"/>
      <c r="GB1416" s="59"/>
      <c r="GC1416" s="59"/>
    </row>
    <row r="1417">
      <c r="A1417" s="59"/>
      <c r="B1417" s="59"/>
      <c r="C1417" s="59"/>
      <c r="D1417" s="59"/>
      <c r="E1417" s="59"/>
      <c r="F1417" s="59"/>
      <c r="G1417" s="59"/>
      <c r="H1417" s="59"/>
      <c r="I1417" s="59"/>
      <c r="J1417" s="59"/>
      <c r="K1417" s="59"/>
      <c r="L1417" s="59"/>
      <c r="M1417" s="59"/>
      <c r="N1417" s="59"/>
      <c r="O1417" s="59"/>
      <c r="P1417" s="59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59"/>
      <c r="AE1417" s="59"/>
      <c r="AF1417" s="59"/>
      <c r="AG1417" s="59"/>
      <c r="AH1417" s="59"/>
      <c r="AI1417" s="59"/>
      <c r="AJ1417" s="59"/>
      <c r="AK1417" s="59"/>
      <c r="AL1417" s="59"/>
      <c r="AM1417" s="59"/>
      <c r="AN1417" s="59"/>
      <c r="AO1417" s="59"/>
      <c r="AP1417" s="59"/>
      <c r="AQ1417" s="59"/>
      <c r="AR1417" s="59"/>
      <c r="AS1417" s="59"/>
      <c r="AT1417" s="59"/>
      <c r="AU1417" s="59"/>
      <c r="AV1417" s="59"/>
      <c r="AW1417" s="59"/>
      <c r="AX1417" s="59"/>
      <c r="AY1417" s="59"/>
      <c r="AZ1417" s="59"/>
      <c r="BA1417" s="59"/>
      <c r="BB1417" s="59"/>
      <c r="BC1417" s="59"/>
      <c r="BD1417" s="59"/>
      <c r="BE1417" s="59"/>
      <c r="BF1417" s="59"/>
      <c r="BG1417" s="59"/>
      <c r="BH1417" s="59"/>
      <c r="BI1417" s="59"/>
      <c r="BJ1417" s="59"/>
      <c r="BK1417" s="59"/>
      <c r="BL1417" s="59"/>
      <c r="BM1417" s="59"/>
      <c r="BN1417" s="59"/>
      <c r="BO1417" s="59"/>
      <c r="BP1417" s="59"/>
      <c r="BQ1417" s="59"/>
      <c r="BR1417" s="59"/>
      <c r="BS1417" s="59"/>
      <c r="BT1417" s="59"/>
      <c r="BU1417" s="59"/>
      <c r="BV1417" s="59"/>
      <c r="BW1417" s="59"/>
      <c r="BX1417" s="59"/>
      <c r="BY1417" s="59"/>
      <c r="BZ1417" s="59"/>
      <c r="CA1417" s="59"/>
      <c r="CB1417" s="59"/>
      <c r="CC1417" s="59"/>
      <c r="CD1417" s="59"/>
      <c r="CE1417" s="59"/>
      <c r="CF1417" s="59"/>
      <c r="CG1417" s="59"/>
      <c r="CH1417" s="59"/>
      <c r="CI1417" s="59"/>
      <c r="CJ1417" s="59"/>
      <c r="CK1417" s="59"/>
      <c r="CL1417" s="59"/>
      <c r="CM1417" s="59"/>
      <c r="CN1417" s="59"/>
      <c r="CO1417" s="59"/>
      <c r="CP1417" s="59"/>
      <c r="CQ1417" s="59"/>
      <c r="CR1417" s="59"/>
      <c r="CS1417" s="59"/>
      <c r="CT1417" s="59"/>
      <c r="CU1417" s="59"/>
      <c r="CV1417" s="59"/>
      <c r="CW1417" s="59"/>
      <c r="CX1417" s="59"/>
      <c r="CY1417" s="59"/>
      <c r="CZ1417" s="59"/>
      <c r="DA1417" s="59"/>
      <c r="DB1417" s="59"/>
      <c r="DC1417" s="59"/>
      <c r="DD1417" s="59"/>
      <c r="DE1417" s="59"/>
      <c r="DF1417" s="59"/>
      <c r="DG1417" s="59"/>
      <c r="DH1417" s="59"/>
      <c r="DI1417" s="59"/>
      <c r="DJ1417" s="59"/>
      <c r="DK1417" s="59"/>
      <c r="DL1417" s="59"/>
      <c r="DM1417" s="59"/>
      <c r="DN1417" s="59"/>
      <c r="DO1417" s="59"/>
      <c r="DP1417" s="59"/>
      <c r="DQ1417" s="59"/>
      <c r="DR1417" s="59"/>
      <c r="DS1417" s="59"/>
      <c r="DT1417" s="59"/>
      <c r="DU1417" s="59"/>
      <c r="DV1417" s="59"/>
      <c r="DW1417" s="59"/>
      <c r="DX1417" s="59"/>
      <c r="DY1417" s="59"/>
      <c r="DZ1417" s="59"/>
      <c r="EA1417" s="59"/>
      <c r="EB1417" s="59"/>
      <c r="EC1417" s="59"/>
      <c r="ED1417" s="59"/>
      <c r="EE1417" s="59"/>
      <c r="EF1417" s="59"/>
      <c r="EG1417" s="59"/>
      <c r="EH1417" s="59"/>
      <c r="EI1417" s="59"/>
      <c r="EJ1417" s="59"/>
      <c r="EK1417" s="59"/>
      <c r="EL1417" s="59"/>
      <c r="EM1417" s="59"/>
      <c r="EN1417" s="59"/>
      <c r="EO1417" s="59"/>
      <c r="EP1417" s="59"/>
      <c r="EQ1417" s="59"/>
      <c r="ER1417" s="59"/>
      <c r="ES1417" s="59"/>
      <c r="ET1417" s="59"/>
      <c r="EU1417" s="59"/>
      <c r="EV1417" s="59"/>
      <c r="EW1417" s="59"/>
      <c r="EX1417" s="59"/>
      <c r="EY1417" s="59"/>
      <c r="EZ1417" s="59"/>
      <c r="FA1417" s="59"/>
      <c r="FB1417" s="59"/>
      <c r="FC1417" s="59"/>
      <c r="FD1417" s="59"/>
      <c r="FE1417" s="59"/>
      <c r="FF1417" s="59"/>
      <c r="FG1417" s="59"/>
      <c r="FH1417" s="59"/>
      <c r="FI1417" s="59"/>
      <c r="FJ1417" s="59"/>
      <c r="FK1417" s="59"/>
      <c r="FL1417" s="59"/>
      <c r="FM1417" s="59"/>
      <c r="FN1417" s="59"/>
      <c r="FO1417" s="59"/>
      <c r="FP1417" s="59"/>
      <c r="FQ1417" s="59"/>
      <c r="FR1417" s="59"/>
      <c r="FS1417" s="59"/>
      <c r="FT1417" s="59"/>
      <c r="FU1417" s="59"/>
      <c r="FV1417" s="59"/>
      <c r="FW1417" s="59"/>
      <c r="FX1417" s="59"/>
      <c r="FY1417" s="59"/>
      <c r="FZ1417" s="59"/>
      <c r="GA1417" s="59"/>
      <c r="GB1417" s="59"/>
      <c r="GC1417" s="59"/>
    </row>
    <row r="1418">
      <c r="A1418" s="59"/>
      <c r="B1418" s="59"/>
      <c r="C1418" s="59"/>
      <c r="D1418" s="59"/>
      <c r="E1418" s="59"/>
      <c r="F1418" s="59"/>
      <c r="G1418" s="59"/>
      <c r="H1418" s="59"/>
      <c r="I1418" s="59"/>
      <c r="J1418" s="59"/>
      <c r="K1418" s="59"/>
      <c r="L1418" s="59"/>
      <c r="M1418" s="59"/>
      <c r="N1418" s="59"/>
      <c r="O1418" s="59"/>
      <c r="P1418" s="59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  <c r="AD1418" s="59"/>
      <c r="AE1418" s="59"/>
      <c r="AF1418" s="59"/>
      <c r="AG1418" s="59"/>
      <c r="AH1418" s="59"/>
      <c r="AI1418" s="59"/>
      <c r="AJ1418" s="59"/>
      <c r="AK1418" s="59"/>
      <c r="AL1418" s="59"/>
      <c r="AM1418" s="59"/>
      <c r="AN1418" s="59"/>
      <c r="AO1418" s="59"/>
      <c r="AP1418" s="59"/>
      <c r="AQ1418" s="59"/>
      <c r="AR1418" s="59"/>
      <c r="AS1418" s="59"/>
      <c r="AT1418" s="59"/>
      <c r="AU1418" s="59"/>
      <c r="AV1418" s="59"/>
      <c r="AW1418" s="59"/>
      <c r="AX1418" s="59"/>
      <c r="AY1418" s="59"/>
      <c r="AZ1418" s="59"/>
      <c r="BA1418" s="59"/>
      <c r="BB1418" s="59"/>
      <c r="BC1418" s="59"/>
      <c r="BD1418" s="59"/>
      <c r="BE1418" s="59"/>
      <c r="BF1418" s="59"/>
      <c r="BG1418" s="59"/>
      <c r="BH1418" s="59"/>
      <c r="BI1418" s="59"/>
      <c r="BJ1418" s="59"/>
      <c r="BK1418" s="59"/>
      <c r="BL1418" s="59"/>
      <c r="BM1418" s="59"/>
      <c r="BN1418" s="59"/>
      <c r="BO1418" s="59"/>
      <c r="BP1418" s="59"/>
      <c r="BQ1418" s="59"/>
      <c r="BR1418" s="59"/>
      <c r="BS1418" s="59"/>
      <c r="BT1418" s="59"/>
      <c r="BU1418" s="59"/>
      <c r="BV1418" s="59"/>
      <c r="BW1418" s="59"/>
      <c r="BX1418" s="59"/>
      <c r="BY1418" s="59"/>
      <c r="BZ1418" s="59"/>
      <c r="CA1418" s="59"/>
      <c r="CB1418" s="59"/>
      <c r="CC1418" s="59"/>
      <c r="CD1418" s="59"/>
      <c r="CE1418" s="59"/>
      <c r="CF1418" s="59"/>
      <c r="CG1418" s="59"/>
      <c r="CH1418" s="59"/>
      <c r="CI1418" s="59"/>
      <c r="CJ1418" s="59"/>
      <c r="CK1418" s="59"/>
      <c r="CL1418" s="59"/>
      <c r="CM1418" s="59"/>
      <c r="CN1418" s="59"/>
      <c r="CO1418" s="59"/>
      <c r="CP1418" s="59"/>
      <c r="CQ1418" s="59"/>
      <c r="CR1418" s="59"/>
      <c r="CS1418" s="59"/>
      <c r="CT1418" s="59"/>
      <c r="CU1418" s="59"/>
      <c r="CV1418" s="59"/>
      <c r="CW1418" s="59"/>
      <c r="CX1418" s="59"/>
      <c r="CY1418" s="59"/>
      <c r="CZ1418" s="59"/>
      <c r="DA1418" s="59"/>
      <c r="DB1418" s="59"/>
      <c r="DC1418" s="59"/>
      <c r="DD1418" s="59"/>
      <c r="DE1418" s="59"/>
      <c r="DF1418" s="59"/>
      <c r="DG1418" s="59"/>
      <c r="DH1418" s="59"/>
      <c r="DI1418" s="59"/>
      <c r="DJ1418" s="59"/>
      <c r="DK1418" s="59"/>
      <c r="DL1418" s="59"/>
      <c r="DM1418" s="59"/>
      <c r="DN1418" s="59"/>
      <c r="DO1418" s="59"/>
      <c r="DP1418" s="59"/>
      <c r="DQ1418" s="59"/>
      <c r="DR1418" s="59"/>
      <c r="DS1418" s="59"/>
      <c r="DT1418" s="59"/>
      <c r="DU1418" s="59"/>
      <c r="DV1418" s="59"/>
      <c r="DW1418" s="59"/>
      <c r="DX1418" s="59"/>
      <c r="DY1418" s="59"/>
      <c r="DZ1418" s="59"/>
      <c r="EA1418" s="59"/>
      <c r="EB1418" s="59"/>
      <c r="EC1418" s="59"/>
      <c r="ED1418" s="59"/>
      <c r="EE1418" s="59"/>
      <c r="EF1418" s="59"/>
      <c r="EG1418" s="59"/>
      <c r="EH1418" s="59"/>
      <c r="EI1418" s="59"/>
      <c r="EJ1418" s="59"/>
      <c r="EK1418" s="59"/>
      <c r="EL1418" s="59"/>
      <c r="EM1418" s="59"/>
      <c r="EN1418" s="59"/>
      <c r="EO1418" s="59"/>
      <c r="EP1418" s="59"/>
      <c r="EQ1418" s="59"/>
      <c r="ER1418" s="59"/>
      <c r="ES1418" s="59"/>
      <c r="ET1418" s="59"/>
      <c r="EU1418" s="59"/>
      <c r="EV1418" s="59"/>
      <c r="EW1418" s="59"/>
      <c r="EX1418" s="59"/>
      <c r="EY1418" s="59"/>
      <c r="EZ1418" s="59"/>
      <c r="FA1418" s="59"/>
      <c r="FB1418" s="59"/>
      <c r="FC1418" s="59"/>
      <c r="FD1418" s="59"/>
      <c r="FE1418" s="59"/>
      <c r="FF1418" s="59"/>
      <c r="FG1418" s="59"/>
      <c r="FH1418" s="59"/>
      <c r="FI1418" s="59"/>
      <c r="FJ1418" s="59"/>
      <c r="FK1418" s="59"/>
      <c r="FL1418" s="59"/>
      <c r="FM1418" s="59"/>
      <c r="FN1418" s="59"/>
      <c r="FO1418" s="59"/>
      <c r="FP1418" s="59"/>
      <c r="FQ1418" s="59"/>
      <c r="FR1418" s="59"/>
      <c r="FS1418" s="59"/>
      <c r="FT1418" s="59"/>
      <c r="FU1418" s="59"/>
      <c r="FV1418" s="59"/>
      <c r="FW1418" s="59"/>
      <c r="FX1418" s="59"/>
      <c r="FY1418" s="59"/>
      <c r="FZ1418" s="59"/>
      <c r="GA1418" s="59"/>
      <c r="GB1418" s="59"/>
      <c r="GC1418" s="59"/>
    </row>
    <row r="1419">
      <c r="A1419" s="59"/>
      <c r="B1419" s="59"/>
      <c r="C1419" s="59"/>
      <c r="D1419" s="59"/>
      <c r="E1419" s="59"/>
      <c r="F1419" s="59"/>
      <c r="G1419" s="59"/>
      <c r="H1419" s="59"/>
      <c r="I1419" s="59"/>
      <c r="J1419" s="59"/>
      <c r="K1419" s="59"/>
      <c r="L1419" s="59"/>
      <c r="M1419" s="59"/>
      <c r="N1419" s="59"/>
      <c r="O1419" s="59"/>
      <c r="P1419" s="59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  <c r="AD1419" s="59"/>
      <c r="AE1419" s="59"/>
      <c r="AF1419" s="59"/>
      <c r="AG1419" s="59"/>
      <c r="AH1419" s="59"/>
      <c r="AI1419" s="59"/>
      <c r="AJ1419" s="59"/>
      <c r="AK1419" s="59"/>
      <c r="AL1419" s="59"/>
      <c r="AM1419" s="59"/>
      <c r="AN1419" s="59"/>
      <c r="AO1419" s="59"/>
      <c r="AP1419" s="59"/>
      <c r="AQ1419" s="59"/>
      <c r="AR1419" s="59"/>
      <c r="AS1419" s="59"/>
      <c r="AT1419" s="59"/>
      <c r="AU1419" s="59"/>
      <c r="AV1419" s="59"/>
      <c r="AW1419" s="59"/>
      <c r="AX1419" s="59"/>
      <c r="AY1419" s="59"/>
      <c r="AZ1419" s="59"/>
      <c r="BA1419" s="59"/>
      <c r="BB1419" s="59"/>
      <c r="BC1419" s="59"/>
      <c r="BD1419" s="59"/>
      <c r="BE1419" s="59"/>
      <c r="BF1419" s="59"/>
      <c r="BG1419" s="59"/>
      <c r="BH1419" s="59"/>
      <c r="BI1419" s="59"/>
      <c r="BJ1419" s="59"/>
      <c r="BK1419" s="59"/>
      <c r="BL1419" s="59"/>
      <c r="BM1419" s="59"/>
      <c r="BN1419" s="59"/>
      <c r="BO1419" s="59"/>
      <c r="BP1419" s="59"/>
      <c r="BQ1419" s="59"/>
      <c r="BR1419" s="59"/>
      <c r="BS1419" s="59"/>
      <c r="BT1419" s="59"/>
      <c r="BU1419" s="59"/>
      <c r="BV1419" s="59"/>
      <c r="BW1419" s="59"/>
      <c r="BX1419" s="59"/>
      <c r="BY1419" s="59"/>
      <c r="BZ1419" s="59"/>
      <c r="CA1419" s="59"/>
      <c r="CB1419" s="59"/>
      <c r="CC1419" s="59"/>
      <c r="CD1419" s="59"/>
      <c r="CE1419" s="59"/>
      <c r="CF1419" s="59"/>
      <c r="CG1419" s="59"/>
      <c r="CH1419" s="59"/>
      <c r="CI1419" s="59"/>
      <c r="CJ1419" s="59"/>
      <c r="CK1419" s="59"/>
      <c r="CL1419" s="59"/>
      <c r="CM1419" s="59"/>
      <c r="CN1419" s="59"/>
      <c r="CO1419" s="59"/>
      <c r="CP1419" s="59"/>
      <c r="CQ1419" s="59"/>
      <c r="CR1419" s="59"/>
      <c r="CS1419" s="59"/>
      <c r="CT1419" s="59"/>
      <c r="CU1419" s="59"/>
      <c r="CV1419" s="59"/>
      <c r="CW1419" s="59"/>
      <c r="CX1419" s="59"/>
      <c r="CY1419" s="59"/>
      <c r="CZ1419" s="59"/>
      <c r="DA1419" s="59"/>
      <c r="DB1419" s="59"/>
      <c r="DC1419" s="59"/>
      <c r="DD1419" s="59"/>
      <c r="DE1419" s="59"/>
      <c r="DF1419" s="59"/>
      <c r="DG1419" s="59"/>
      <c r="DH1419" s="59"/>
      <c r="DI1419" s="59"/>
      <c r="DJ1419" s="59"/>
      <c r="DK1419" s="59"/>
      <c r="DL1419" s="59"/>
      <c r="DM1419" s="59"/>
      <c r="DN1419" s="59"/>
      <c r="DO1419" s="59"/>
      <c r="DP1419" s="59"/>
      <c r="DQ1419" s="59"/>
      <c r="DR1419" s="59"/>
      <c r="DS1419" s="59"/>
      <c r="DT1419" s="59"/>
      <c r="DU1419" s="59"/>
      <c r="DV1419" s="59"/>
      <c r="DW1419" s="59"/>
      <c r="DX1419" s="59"/>
      <c r="DY1419" s="59"/>
      <c r="DZ1419" s="59"/>
      <c r="EA1419" s="59"/>
      <c r="EB1419" s="59"/>
      <c r="EC1419" s="59"/>
      <c r="ED1419" s="59"/>
      <c r="EE1419" s="59"/>
      <c r="EF1419" s="59"/>
      <c r="EG1419" s="59"/>
      <c r="EH1419" s="59"/>
      <c r="EI1419" s="59"/>
      <c r="EJ1419" s="59"/>
      <c r="EK1419" s="59"/>
      <c r="EL1419" s="59"/>
      <c r="EM1419" s="59"/>
      <c r="EN1419" s="59"/>
      <c r="EO1419" s="59"/>
      <c r="EP1419" s="59"/>
      <c r="EQ1419" s="59"/>
      <c r="ER1419" s="59"/>
      <c r="ES1419" s="59"/>
      <c r="ET1419" s="59"/>
      <c r="EU1419" s="59"/>
      <c r="EV1419" s="59"/>
      <c r="EW1419" s="59"/>
      <c r="EX1419" s="59"/>
      <c r="EY1419" s="59"/>
      <c r="EZ1419" s="59"/>
      <c r="FA1419" s="59"/>
      <c r="FB1419" s="59"/>
      <c r="FC1419" s="59"/>
      <c r="FD1419" s="59"/>
      <c r="FE1419" s="59"/>
      <c r="FF1419" s="59"/>
      <c r="FG1419" s="59"/>
      <c r="FH1419" s="59"/>
      <c r="FI1419" s="59"/>
      <c r="FJ1419" s="59"/>
      <c r="FK1419" s="59"/>
      <c r="FL1419" s="59"/>
      <c r="FM1419" s="59"/>
      <c r="FN1419" s="59"/>
      <c r="FO1419" s="59"/>
      <c r="FP1419" s="59"/>
      <c r="FQ1419" s="59"/>
      <c r="FR1419" s="59"/>
      <c r="FS1419" s="59"/>
      <c r="FT1419" s="59"/>
      <c r="FU1419" s="59"/>
      <c r="FV1419" s="59"/>
      <c r="FW1419" s="59"/>
      <c r="FX1419" s="59"/>
      <c r="FY1419" s="59"/>
      <c r="FZ1419" s="59"/>
      <c r="GA1419" s="59"/>
      <c r="GB1419" s="59"/>
      <c r="GC1419" s="59"/>
    </row>
    <row r="1420">
      <c r="A1420" s="59"/>
      <c r="B1420" s="59"/>
      <c r="C1420" s="59"/>
      <c r="D1420" s="59"/>
      <c r="E1420" s="59"/>
      <c r="F1420" s="59"/>
      <c r="G1420" s="59"/>
      <c r="H1420" s="59"/>
      <c r="I1420" s="59"/>
      <c r="J1420" s="59"/>
      <c r="K1420" s="59"/>
      <c r="L1420" s="59"/>
      <c r="M1420" s="59"/>
      <c r="N1420" s="59"/>
      <c r="O1420" s="59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  <c r="AL1420" s="59"/>
      <c r="AM1420" s="59"/>
      <c r="AN1420" s="59"/>
      <c r="AO1420" s="59"/>
      <c r="AP1420" s="59"/>
      <c r="AQ1420" s="59"/>
      <c r="AR1420" s="59"/>
      <c r="AS1420" s="59"/>
      <c r="AT1420" s="59"/>
      <c r="AU1420" s="59"/>
      <c r="AV1420" s="59"/>
      <c r="AW1420" s="59"/>
      <c r="AX1420" s="59"/>
      <c r="AY1420" s="59"/>
      <c r="AZ1420" s="59"/>
      <c r="BA1420" s="59"/>
      <c r="BB1420" s="59"/>
      <c r="BC1420" s="59"/>
      <c r="BD1420" s="59"/>
      <c r="BE1420" s="59"/>
      <c r="BF1420" s="59"/>
      <c r="BG1420" s="59"/>
      <c r="BH1420" s="59"/>
      <c r="BI1420" s="59"/>
      <c r="BJ1420" s="59"/>
      <c r="BK1420" s="59"/>
      <c r="BL1420" s="59"/>
      <c r="BM1420" s="59"/>
      <c r="BN1420" s="59"/>
      <c r="BO1420" s="59"/>
      <c r="BP1420" s="59"/>
      <c r="BQ1420" s="59"/>
      <c r="BR1420" s="59"/>
      <c r="BS1420" s="59"/>
      <c r="BT1420" s="59"/>
      <c r="BU1420" s="59"/>
      <c r="BV1420" s="59"/>
      <c r="BW1420" s="59"/>
      <c r="BX1420" s="59"/>
      <c r="BY1420" s="59"/>
      <c r="BZ1420" s="59"/>
      <c r="CA1420" s="59"/>
      <c r="CB1420" s="59"/>
      <c r="CC1420" s="59"/>
      <c r="CD1420" s="59"/>
      <c r="CE1420" s="59"/>
      <c r="CF1420" s="59"/>
      <c r="CG1420" s="59"/>
      <c r="CH1420" s="59"/>
      <c r="CI1420" s="59"/>
      <c r="CJ1420" s="59"/>
      <c r="CK1420" s="59"/>
      <c r="CL1420" s="59"/>
      <c r="CM1420" s="59"/>
      <c r="CN1420" s="59"/>
      <c r="CO1420" s="59"/>
      <c r="CP1420" s="59"/>
      <c r="CQ1420" s="59"/>
      <c r="CR1420" s="59"/>
      <c r="CS1420" s="59"/>
      <c r="CT1420" s="59"/>
      <c r="CU1420" s="59"/>
      <c r="CV1420" s="59"/>
      <c r="CW1420" s="59"/>
      <c r="CX1420" s="59"/>
      <c r="CY1420" s="59"/>
      <c r="CZ1420" s="59"/>
      <c r="DA1420" s="59"/>
      <c r="DB1420" s="59"/>
      <c r="DC1420" s="59"/>
      <c r="DD1420" s="59"/>
      <c r="DE1420" s="59"/>
      <c r="DF1420" s="59"/>
      <c r="DG1420" s="59"/>
      <c r="DH1420" s="59"/>
      <c r="DI1420" s="59"/>
      <c r="DJ1420" s="59"/>
      <c r="DK1420" s="59"/>
      <c r="DL1420" s="59"/>
      <c r="DM1420" s="59"/>
      <c r="DN1420" s="59"/>
      <c r="DO1420" s="59"/>
      <c r="DP1420" s="59"/>
      <c r="DQ1420" s="59"/>
      <c r="DR1420" s="59"/>
      <c r="DS1420" s="59"/>
      <c r="DT1420" s="59"/>
      <c r="DU1420" s="59"/>
      <c r="DV1420" s="59"/>
      <c r="DW1420" s="59"/>
      <c r="DX1420" s="59"/>
      <c r="DY1420" s="59"/>
      <c r="DZ1420" s="59"/>
      <c r="EA1420" s="59"/>
      <c r="EB1420" s="59"/>
      <c r="EC1420" s="59"/>
      <c r="ED1420" s="59"/>
      <c r="EE1420" s="59"/>
      <c r="EF1420" s="59"/>
      <c r="EG1420" s="59"/>
      <c r="EH1420" s="59"/>
      <c r="EI1420" s="59"/>
      <c r="EJ1420" s="59"/>
      <c r="EK1420" s="59"/>
      <c r="EL1420" s="59"/>
      <c r="EM1420" s="59"/>
      <c r="EN1420" s="59"/>
      <c r="EO1420" s="59"/>
      <c r="EP1420" s="59"/>
      <c r="EQ1420" s="59"/>
      <c r="ER1420" s="59"/>
      <c r="ES1420" s="59"/>
      <c r="ET1420" s="59"/>
      <c r="EU1420" s="59"/>
      <c r="EV1420" s="59"/>
      <c r="EW1420" s="59"/>
      <c r="EX1420" s="59"/>
      <c r="EY1420" s="59"/>
      <c r="EZ1420" s="59"/>
      <c r="FA1420" s="59"/>
      <c r="FB1420" s="59"/>
      <c r="FC1420" s="59"/>
      <c r="FD1420" s="59"/>
      <c r="FE1420" s="59"/>
      <c r="FF1420" s="59"/>
      <c r="FG1420" s="59"/>
      <c r="FH1420" s="59"/>
      <c r="FI1420" s="59"/>
      <c r="FJ1420" s="59"/>
      <c r="FK1420" s="59"/>
      <c r="FL1420" s="59"/>
      <c r="FM1420" s="59"/>
      <c r="FN1420" s="59"/>
      <c r="FO1420" s="59"/>
      <c r="FP1420" s="59"/>
      <c r="FQ1420" s="59"/>
      <c r="FR1420" s="59"/>
      <c r="FS1420" s="59"/>
      <c r="FT1420" s="59"/>
      <c r="FU1420" s="59"/>
      <c r="FV1420" s="59"/>
      <c r="FW1420" s="59"/>
      <c r="FX1420" s="59"/>
      <c r="FY1420" s="59"/>
      <c r="FZ1420" s="59"/>
      <c r="GA1420" s="59"/>
      <c r="GB1420" s="59"/>
      <c r="GC1420" s="59"/>
    </row>
    <row r="1421">
      <c r="A1421" s="59"/>
      <c r="B1421" s="59"/>
      <c r="C1421" s="59"/>
      <c r="D1421" s="59"/>
      <c r="E1421" s="59"/>
      <c r="F1421" s="59"/>
      <c r="G1421" s="59"/>
      <c r="H1421" s="59"/>
      <c r="I1421" s="59"/>
      <c r="J1421" s="59"/>
      <c r="K1421" s="59"/>
      <c r="L1421" s="59"/>
      <c r="M1421" s="59"/>
      <c r="N1421" s="59"/>
      <c r="O1421" s="59"/>
      <c r="P1421" s="59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59"/>
      <c r="AG1421" s="59"/>
      <c r="AH1421" s="59"/>
      <c r="AI1421" s="59"/>
      <c r="AJ1421" s="59"/>
      <c r="AK1421" s="59"/>
      <c r="AL1421" s="59"/>
      <c r="AM1421" s="59"/>
      <c r="AN1421" s="59"/>
      <c r="AO1421" s="59"/>
      <c r="AP1421" s="59"/>
      <c r="AQ1421" s="59"/>
      <c r="AR1421" s="59"/>
      <c r="AS1421" s="59"/>
      <c r="AT1421" s="59"/>
      <c r="AU1421" s="59"/>
      <c r="AV1421" s="59"/>
      <c r="AW1421" s="59"/>
      <c r="AX1421" s="59"/>
      <c r="AY1421" s="59"/>
      <c r="AZ1421" s="59"/>
      <c r="BA1421" s="59"/>
      <c r="BB1421" s="59"/>
      <c r="BC1421" s="59"/>
      <c r="BD1421" s="59"/>
      <c r="BE1421" s="59"/>
      <c r="BF1421" s="59"/>
      <c r="BG1421" s="59"/>
      <c r="BH1421" s="59"/>
      <c r="BI1421" s="59"/>
      <c r="BJ1421" s="59"/>
      <c r="BK1421" s="59"/>
      <c r="BL1421" s="59"/>
      <c r="BM1421" s="59"/>
      <c r="BN1421" s="59"/>
      <c r="BO1421" s="59"/>
      <c r="BP1421" s="59"/>
      <c r="BQ1421" s="59"/>
      <c r="BR1421" s="59"/>
      <c r="BS1421" s="59"/>
      <c r="BT1421" s="59"/>
      <c r="BU1421" s="59"/>
      <c r="BV1421" s="59"/>
      <c r="BW1421" s="59"/>
      <c r="BX1421" s="59"/>
      <c r="BY1421" s="59"/>
      <c r="BZ1421" s="59"/>
      <c r="CA1421" s="59"/>
      <c r="CB1421" s="59"/>
      <c r="CC1421" s="59"/>
      <c r="CD1421" s="59"/>
      <c r="CE1421" s="59"/>
      <c r="CF1421" s="59"/>
      <c r="CG1421" s="59"/>
      <c r="CH1421" s="59"/>
      <c r="CI1421" s="59"/>
      <c r="CJ1421" s="59"/>
      <c r="CK1421" s="59"/>
      <c r="CL1421" s="59"/>
      <c r="CM1421" s="59"/>
      <c r="CN1421" s="59"/>
      <c r="CO1421" s="59"/>
      <c r="CP1421" s="59"/>
      <c r="CQ1421" s="59"/>
      <c r="CR1421" s="59"/>
      <c r="CS1421" s="59"/>
      <c r="CT1421" s="59"/>
      <c r="CU1421" s="59"/>
      <c r="CV1421" s="59"/>
      <c r="CW1421" s="59"/>
      <c r="CX1421" s="59"/>
      <c r="CY1421" s="59"/>
      <c r="CZ1421" s="59"/>
      <c r="DA1421" s="59"/>
      <c r="DB1421" s="59"/>
      <c r="DC1421" s="59"/>
      <c r="DD1421" s="59"/>
      <c r="DE1421" s="59"/>
      <c r="DF1421" s="59"/>
      <c r="DG1421" s="59"/>
      <c r="DH1421" s="59"/>
      <c r="DI1421" s="59"/>
      <c r="DJ1421" s="59"/>
      <c r="DK1421" s="59"/>
      <c r="DL1421" s="59"/>
      <c r="DM1421" s="59"/>
      <c r="DN1421" s="59"/>
      <c r="DO1421" s="59"/>
      <c r="DP1421" s="59"/>
      <c r="DQ1421" s="59"/>
      <c r="DR1421" s="59"/>
      <c r="DS1421" s="59"/>
      <c r="DT1421" s="59"/>
      <c r="DU1421" s="59"/>
      <c r="DV1421" s="59"/>
      <c r="DW1421" s="59"/>
      <c r="DX1421" s="59"/>
      <c r="DY1421" s="59"/>
      <c r="DZ1421" s="59"/>
      <c r="EA1421" s="59"/>
      <c r="EB1421" s="59"/>
      <c r="EC1421" s="59"/>
      <c r="ED1421" s="59"/>
      <c r="EE1421" s="59"/>
      <c r="EF1421" s="59"/>
      <c r="EG1421" s="59"/>
      <c r="EH1421" s="59"/>
      <c r="EI1421" s="59"/>
      <c r="EJ1421" s="59"/>
      <c r="EK1421" s="59"/>
      <c r="EL1421" s="59"/>
      <c r="EM1421" s="59"/>
      <c r="EN1421" s="59"/>
      <c r="EO1421" s="59"/>
      <c r="EP1421" s="59"/>
      <c r="EQ1421" s="59"/>
      <c r="ER1421" s="59"/>
      <c r="ES1421" s="59"/>
      <c r="ET1421" s="59"/>
      <c r="EU1421" s="59"/>
      <c r="EV1421" s="59"/>
      <c r="EW1421" s="59"/>
      <c r="EX1421" s="59"/>
      <c r="EY1421" s="59"/>
      <c r="EZ1421" s="59"/>
      <c r="FA1421" s="59"/>
      <c r="FB1421" s="59"/>
      <c r="FC1421" s="59"/>
      <c r="FD1421" s="59"/>
      <c r="FE1421" s="59"/>
      <c r="FF1421" s="59"/>
      <c r="FG1421" s="59"/>
      <c r="FH1421" s="59"/>
      <c r="FI1421" s="59"/>
      <c r="FJ1421" s="59"/>
      <c r="FK1421" s="59"/>
      <c r="FL1421" s="59"/>
      <c r="FM1421" s="59"/>
      <c r="FN1421" s="59"/>
      <c r="FO1421" s="59"/>
      <c r="FP1421" s="59"/>
      <c r="FQ1421" s="59"/>
      <c r="FR1421" s="59"/>
      <c r="FS1421" s="59"/>
      <c r="FT1421" s="59"/>
      <c r="FU1421" s="59"/>
      <c r="FV1421" s="59"/>
      <c r="FW1421" s="59"/>
      <c r="FX1421" s="59"/>
      <c r="FY1421" s="59"/>
      <c r="FZ1421" s="59"/>
      <c r="GA1421" s="59"/>
      <c r="GB1421" s="59"/>
      <c r="GC1421" s="59"/>
    </row>
    <row r="1422">
      <c r="A1422" s="59"/>
      <c r="B1422" s="59"/>
      <c r="C1422" s="59"/>
      <c r="D1422" s="59"/>
      <c r="E1422" s="59"/>
      <c r="F1422" s="59"/>
      <c r="G1422" s="59"/>
      <c r="H1422" s="59"/>
      <c r="I1422" s="59"/>
      <c r="J1422" s="59"/>
      <c r="K1422" s="59"/>
      <c r="L1422" s="59"/>
      <c r="M1422" s="59"/>
      <c r="N1422" s="59"/>
      <c r="O1422" s="59"/>
      <c r="P1422" s="59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  <c r="AD1422" s="59"/>
      <c r="AE1422" s="59"/>
      <c r="AF1422" s="59"/>
      <c r="AG1422" s="59"/>
      <c r="AH1422" s="59"/>
      <c r="AI1422" s="59"/>
      <c r="AJ1422" s="59"/>
      <c r="AK1422" s="59"/>
      <c r="AL1422" s="59"/>
      <c r="AM1422" s="59"/>
      <c r="AN1422" s="59"/>
      <c r="AO1422" s="59"/>
      <c r="AP1422" s="59"/>
      <c r="AQ1422" s="59"/>
      <c r="AR1422" s="59"/>
      <c r="AS1422" s="59"/>
      <c r="AT1422" s="59"/>
      <c r="AU1422" s="59"/>
      <c r="AV1422" s="59"/>
      <c r="AW1422" s="59"/>
      <c r="AX1422" s="59"/>
      <c r="AY1422" s="59"/>
      <c r="AZ1422" s="59"/>
      <c r="BA1422" s="59"/>
      <c r="BB1422" s="59"/>
      <c r="BC1422" s="59"/>
      <c r="BD1422" s="59"/>
      <c r="BE1422" s="59"/>
      <c r="BF1422" s="59"/>
      <c r="BG1422" s="59"/>
      <c r="BH1422" s="59"/>
      <c r="BI1422" s="59"/>
      <c r="BJ1422" s="59"/>
      <c r="BK1422" s="59"/>
      <c r="BL1422" s="59"/>
      <c r="BM1422" s="59"/>
      <c r="BN1422" s="59"/>
      <c r="BO1422" s="59"/>
      <c r="BP1422" s="59"/>
      <c r="BQ1422" s="59"/>
      <c r="BR1422" s="59"/>
      <c r="BS1422" s="59"/>
      <c r="BT1422" s="59"/>
      <c r="BU1422" s="59"/>
      <c r="BV1422" s="59"/>
      <c r="BW1422" s="59"/>
      <c r="BX1422" s="59"/>
      <c r="BY1422" s="59"/>
      <c r="BZ1422" s="59"/>
      <c r="CA1422" s="59"/>
      <c r="CB1422" s="59"/>
      <c r="CC1422" s="59"/>
      <c r="CD1422" s="59"/>
      <c r="CE1422" s="59"/>
      <c r="CF1422" s="59"/>
      <c r="CG1422" s="59"/>
      <c r="CH1422" s="59"/>
      <c r="CI1422" s="59"/>
      <c r="CJ1422" s="59"/>
      <c r="CK1422" s="59"/>
      <c r="CL1422" s="59"/>
      <c r="CM1422" s="59"/>
      <c r="CN1422" s="59"/>
      <c r="CO1422" s="59"/>
      <c r="CP1422" s="59"/>
      <c r="CQ1422" s="59"/>
      <c r="CR1422" s="59"/>
      <c r="CS1422" s="59"/>
      <c r="CT1422" s="59"/>
      <c r="CU1422" s="59"/>
      <c r="CV1422" s="59"/>
      <c r="CW1422" s="59"/>
      <c r="CX1422" s="59"/>
      <c r="CY1422" s="59"/>
      <c r="CZ1422" s="59"/>
      <c r="DA1422" s="59"/>
      <c r="DB1422" s="59"/>
      <c r="DC1422" s="59"/>
      <c r="DD1422" s="59"/>
      <c r="DE1422" s="59"/>
      <c r="DF1422" s="59"/>
      <c r="DG1422" s="59"/>
      <c r="DH1422" s="59"/>
      <c r="DI1422" s="59"/>
      <c r="DJ1422" s="59"/>
      <c r="DK1422" s="59"/>
      <c r="DL1422" s="59"/>
      <c r="DM1422" s="59"/>
      <c r="DN1422" s="59"/>
      <c r="DO1422" s="59"/>
      <c r="DP1422" s="59"/>
      <c r="DQ1422" s="59"/>
      <c r="DR1422" s="59"/>
      <c r="DS1422" s="59"/>
      <c r="DT1422" s="59"/>
      <c r="DU1422" s="59"/>
      <c r="DV1422" s="59"/>
      <c r="DW1422" s="59"/>
      <c r="DX1422" s="59"/>
      <c r="DY1422" s="59"/>
      <c r="DZ1422" s="59"/>
      <c r="EA1422" s="59"/>
      <c r="EB1422" s="59"/>
      <c r="EC1422" s="59"/>
      <c r="ED1422" s="59"/>
      <c r="EE1422" s="59"/>
      <c r="EF1422" s="59"/>
      <c r="EG1422" s="59"/>
      <c r="EH1422" s="59"/>
      <c r="EI1422" s="59"/>
      <c r="EJ1422" s="59"/>
      <c r="EK1422" s="59"/>
      <c r="EL1422" s="59"/>
      <c r="EM1422" s="59"/>
      <c r="EN1422" s="59"/>
      <c r="EO1422" s="59"/>
      <c r="EP1422" s="59"/>
      <c r="EQ1422" s="59"/>
      <c r="ER1422" s="59"/>
      <c r="ES1422" s="59"/>
      <c r="ET1422" s="59"/>
      <c r="EU1422" s="59"/>
      <c r="EV1422" s="59"/>
      <c r="EW1422" s="59"/>
      <c r="EX1422" s="59"/>
      <c r="EY1422" s="59"/>
      <c r="EZ1422" s="59"/>
      <c r="FA1422" s="59"/>
      <c r="FB1422" s="59"/>
      <c r="FC1422" s="59"/>
      <c r="FD1422" s="59"/>
      <c r="FE1422" s="59"/>
      <c r="FF1422" s="59"/>
      <c r="FG1422" s="59"/>
      <c r="FH1422" s="59"/>
      <c r="FI1422" s="59"/>
      <c r="FJ1422" s="59"/>
      <c r="FK1422" s="59"/>
      <c r="FL1422" s="59"/>
      <c r="FM1422" s="59"/>
      <c r="FN1422" s="59"/>
      <c r="FO1422" s="59"/>
      <c r="FP1422" s="59"/>
      <c r="FQ1422" s="59"/>
      <c r="FR1422" s="59"/>
      <c r="FS1422" s="59"/>
      <c r="FT1422" s="59"/>
      <c r="FU1422" s="59"/>
      <c r="FV1422" s="59"/>
      <c r="FW1422" s="59"/>
      <c r="FX1422" s="59"/>
      <c r="FY1422" s="59"/>
      <c r="FZ1422" s="59"/>
      <c r="GA1422" s="59"/>
      <c r="GB1422" s="59"/>
      <c r="GC1422" s="59"/>
    </row>
    <row r="1423">
      <c r="A1423" s="59"/>
      <c r="B1423" s="59"/>
      <c r="C1423" s="59"/>
      <c r="D1423" s="59"/>
      <c r="E1423" s="59"/>
      <c r="F1423" s="59"/>
      <c r="G1423" s="59"/>
      <c r="H1423" s="59"/>
      <c r="I1423" s="59"/>
      <c r="J1423" s="59"/>
      <c r="K1423" s="59"/>
      <c r="L1423" s="59"/>
      <c r="M1423" s="59"/>
      <c r="N1423" s="59"/>
      <c r="O1423" s="59"/>
      <c r="P1423" s="59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  <c r="AD1423" s="59"/>
      <c r="AE1423" s="59"/>
      <c r="AF1423" s="59"/>
      <c r="AG1423" s="59"/>
      <c r="AH1423" s="59"/>
      <c r="AI1423" s="59"/>
      <c r="AJ1423" s="59"/>
      <c r="AK1423" s="59"/>
      <c r="AL1423" s="59"/>
      <c r="AM1423" s="59"/>
      <c r="AN1423" s="59"/>
      <c r="AO1423" s="59"/>
      <c r="AP1423" s="59"/>
      <c r="AQ1423" s="59"/>
      <c r="AR1423" s="59"/>
      <c r="AS1423" s="59"/>
      <c r="AT1423" s="59"/>
      <c r="AU1423" s="59"/>
      <c r="AV1423" s="59"/>
      <c r="AW1423" s="59"/>
      <c r="AX1423" s="59"/>
      <c r="AY1423" s="59"/>
      <c r="AZ1423" s="59"/>
      <c r="BA1423" s="59"/>
      <c r="BB1423" s="59"/>
      <c r="BC1423" s="59"/>
      <c r="BD1423" s="59"/>
      <c r="BE1423" s="59"/>
      <c r="BF1423" s="59"/>
      <c r="BG1423" s="59"/>
      <c r="BH1423" s="59"/>
      <c r="BI1423" s="59"/>
      <c r="BJ1423" s="59"/>
      <c r="BK1423" s="59"/>
      <c r="BL1423" s="59"/>
      <c r="BM1423" s="59"/>
      <c r="BN1423" s="59"/>
      <c r="BO1423" s="59"/>
      <c r="BP1423" s="59"/>
      <c r="BQ1423" s="59"/>
      <c r="BR1423" s="59"/>
      <c r="BS1423" s="59"/>
      <c r="BT1423" s="59"/>
      <c r="BU1423" s="59"/>
      <c r="BV1423" s="59"/>
      <c r="BW1423" s="59"/>
      <c r="BX1423" s="59"/>
      <c r="BY1423" s="59"/>
      <c r="BZ1423" s="59"/>
      <c r="CA1423" s="59"/>
      <c r="CB1423" s="59"/>
      <c r="CC1423" s="59"/>
      <c r="CD1423" s="59"/>
      <c r="CE1423" s="59"/>
      <c r="CF1423" s="59"/>
      <c r="CG1423" s="59"/>
      <c r="CH1423" s="59"/>
      <c r="CI1423" s="59"/>
      <c r="CJ1423" s="59"/>
      <c r="CK1423" s="59"/>
      <c r="CL1423" s="59"/>
      <c r="CM1423" s="59"/>
      <c r="CN1423" s="59"/>
      <c r="CO1423" s="59"/>
      <c r="CP1423" s="59"/>
      <c r="CQ1423" s="59"/>
      <c r="CR1423" s="59"/>
      <c r="CS1423" s="59"/>
      <c r="CT1423" s="59"/>
      <c r="CU1423" s="59"/>
      <c r="CV1423" s="59"/>
      <c r="CW1423" s="59"/>
      <c r="CX1423" s="59"/>
      <c r="CY1423" s="59"/>
      <c r="CZ1423" s="59"/>
      <c r="DA1423" s="59"/>
      <c r="DB1423" s="59"/>
      <c r="DC1423" s="59"/>
      <c r="DD1423" s="59"/>
      <c r="DE1423" s="59"/>
      <c r="DF1423" s="59"/>
      <c r="DG1423" s="59"/>
      <c r="DH1423" s="59"/>
      <c r="DI1423" s="59"/>
      <c r="DJ1423" s="59"/>
      <c r="DK1423" s="59"/>
      <c r="DL1423" s="59"/>
      <c r="DM1423" s="59"/>
      <c r="DN1423" s="59"/>
      <c r="DO1423" s="59"/>
      <c r="DP1423" s="59"/>
      <c r="DQ1423" s="59"/>
      <c r="DR1423" s="59"/>
      <c r="DS1423" s="59"/>
      <c r="DT1423" s="59"/>
      <c r="DU1423" s="59"/>
      <c r="DV1423" s="59"/>
      <c r="DW1423" s="59"/>
      <c r="DX1423" s="59"/>
      <c r="DY1423" s="59"/>
      <c r="DZ1423" s="59"/>
      <c r="EA1423" s="59"/>
      <c r="EB1423" s="59"/>
      <c r="EC1423" s="59"/>
      <c r="ED1423" s="59"/>
      <c r="EE1423" s="59"/>
      <c r="EF1423" s="59"/>
      <c r="EG1423" s="59"/>
      <c r="EH1423" s="59"/>
      <c r="EI1423" s="59"/>
      <c r="EJ1423" s="59"/>
      <c r="EK1423" s="59"/>
      <c r="EL1423" s="59"/>
      <c r="EM1423" s="59"/>
      <c r="EN1423" s="59"/>
      <c r="EO1423" s="59"/>
      <c r="EP1423" s="59"/>
      <c r="EQ1423" s="59"/>
      <c r="ER1423" s="59"/>
      <c r="ES1423" s="59"/>
      <c r="ET1423" s="59"/>
      <c r="EU1423" s="59"/>
      <c r="EV1423" s="59"/>
      <c r="EW1423" s="59"/>
      <c r="EX1423" s="59"/>
      <c r="EY1423" s="59"/>
      <c r="EZ1423" s="59"/>
      <c r="FA1423" s="59"/>
      <c r="FB1423" s="59"/>
      <c r="FC1423" s="59"/>
      <c r="FD1423" s="59"/>
      <c r="FE1423" s="59"/>
      <c r="FF1423" s="59"/>
      <c r="FG1423" s="59"/>
      <c r="FH1423" s="59"/>
      <c r="FI1423" s="59"/>
      <c r="FJ1423" s="59"/>
      <c r="FK1423" s="59"/>
      <c r="FL1423" s="59"/>
      <c r="FM1423" s="59"/>
      <c r="FN1423" s="59"/>
      <c r="FO1423" s="59"/>
      <c r="FP1423" s="59"/>
      <c r="FQ1423" s="59"/>
      <c r="FR1423" s="59"/>
      <c r="FS1423" s="59"/>
      <c r="FT1423" s="59"/>
      <c r="FU1423" s="59"/>
      <c r="FV1423" s="59"/>
      <c r="FW1423" s="59"/>
      <c r="FX1423" s="59"/>
      <c r="FY1423" s="59"/>
      <c r="FZ1423" s="59"/>
      <c r="GA1423" s="59"/>
      <c r="GB1423" s="59"/>
      <c r="GC1423" s="59"/>
    </row>
    <row r="1424">
      <c r="A1424" s="59"/>
      <c r="B1424" s="59"/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59"/>
      <c r="P1424" s="59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59"/>
      <c r="AG1424" s="59"/>
      <c r="AH1424" s="59"/>
      <c r="AI1424" s="59"/>
      <c r="AJ1424" s="59"/>
      <c r="AK1424" s="59"/>
      <c r="AL1424" s="59"/>
      <c r="AM1424" s="59"/>
      <c r="AN1424" s="59"/>
      <c r="AO1424" s="59"/>
      <c r="AP1424" s="59"/>
      <c r="AQ1424" s="59"/>
      <c r="AR1424" s="59"/>
      <c r="AS1424" s="59"/>
      <c r="AT1424" s="59"/>
      <c r="AU1424" s="59"/>
      <c r="AV1424" s="59"/>
      <c r="AW1424" s="59"/>
      <c r="AX1424" s="59"/>
      <c r="AY1424" s="59"/>
      <c r="AZ1424" s="59"/>
      <c r="BA1424" s="59"/>
      <c r="BB1424" s="59"/>
      <c r="BC1424" s="59"/>
      <c r="BD1424" s="59"/>
      <c r="BE1424" s="59"/>
      <c r="BF1424" s="59"/>
      <c r="BG1424" s="59"/>
      <c r="BH1424" s="59"/>
      <c r="BI1424" s="59"/>
      <c r="BJ1424" s="59"/>
      <c r="BK1424" s="59"/>
      <c r="BL1424" s="59"/>
      <c r="BM1424" s="59"/>
      <c r="BN1424" s="59"/>
      <c r="BO1424" s="59"/>
      <c r="BP1424" s="59"/>
      <c r="BQ1424" s="59"/>
      <c r="BR1424" s="59"/>
      <c r="BS1424" s="59"/>
      <c r="BT1424" s="59"/>
      <c r="BU1424" s="59"/>
      <c r="BV1424" s="59"/>
      <c r="BW1424" s="59"/>
      <c r="BX1424" s="59"/>
      <c r="BY1424" s="59"/>
      <c r="BZ1424" s="59"/>
      <c r="CA1424" s="59"/>
      <c r="CB1424" s="59"/>
      <c r="CC1424" s="59"/>
      <c r="CD1424" s="59"/>
      <c r="CE1424" s="59"/>
      <c r="CF1424" s="59"/>
      <c r="CG1424" s="59"/>
      <c r="CH1424" s="59"/>
      <c r="CI1424" s="59"/>
      <c r="CJ1424" s="59"/>
      <c r="CK1424" s="59"/>
      <c r="CL1424" s="59"/>
      <c r="CM1424" s="59"/>
      <c r="CN1424" s="59"/>
      <c r="CO1424" s="59"/>
      <c r="CP1424" s="59"/>
      <c r="CQ1424" s="59"/>
      <c r="CR1424" s="59"/>
      <c r="CS1424" s="59"/>
      <c r="CT1424" s="59"/>
      <c r="CU1424" s="59"/>
      <c r="CV1424" s="59"/>
      <c r="CW1424" s="59"/>
      <c r="CX1424" s="59"/>
      <c r="CY1424" s="59"/>
      <c r="CZ1424" s="59"/>
      <c r="DA1424" s="59"/>
      <c r="DB1424" s="59"/>
      <c r="DC1424" s="59"/>
      <c r="DD1424" s="59"/>
      <c r="DE1424" s="59"/>
      <c r="DF1424" s="59"/>
      <c r="DG1424" s="59"/>
      <c r="DH1424" s="59"/>
      <c r="DI1424" s="59"/>
      <c r="DJ1424" s="59"/>
      <c r="DK1424" s="59"/>
      <c r="DL1424" s="59"/>
      <c r="DM1424" s="59"/>
      <c r="DN1424" s="59"/>
      <c r="DO1424" s="59"/>
      <c r="DP1424" s="59"/>
      <c r="DQ1424" s="59"/>
      <c r="DR1424" s="59"/>
      <c r="DS1424" s="59"/>
      <c r="DT1424" s="59"/>
      <c r="DU1424" s="59"/>
      <c r="DV1424" s="59"/>
      <c r="DW1424" s="59"/>
      <c r="DX1424" s="59"/>
      <c r="DY1424" s="59"/>
      <c r="DZ1424" s="59"/>
      <c r="EA1424" s="59"/>
      <c r="EB1424" s="59"/>
      <c r="EC1424" s="59"/>
      <c r="ED1424" s="59"/>
      <c r="EE1424" s="59"/>
      <c r="EF1424" s="59"/>
      <c r="EG1424" s="59"/>
      <c r="EH1424" s="59"/>
      <c r="EI1424" s="59"/>
      <c r="EJ1424" s="59"/>
      <c r="EK1424" s="59"/>
      <c r="EL1424" s="59"/>
      <c r="EM1424" s="59"/>
      <c r="EN1424" s="59"/>
      <c r="EO1424" s="59"/>
      <c r="EP1424" s="59"/>
      <c r="EQ1424" s="59"/>
      <c r="ER1424" s="59"/>
      <c r="ES1424" s="59"/>
      <c r="ET1424" s="59"/>
      <c r="EU1424" s="59"/>
      <c r="EV1424" s="59"/>
      <c r="EW1424" s="59"/>
      <c r="EX1424" s="59"/>
      <c r="EY1424" s="59"/>
      <c r="EZ1424" s="59"/>
      <c r="FA1424" s="59"/>
      <c r="FB1424" s="59"/>
      <c r="FC1424" s="59"/>
      <c r="FD1424" s="59"/>
      <c r="FE1424" s="59"/>
      <c r="FF1424" s="59"/>
      <c r="FG1424" s="59"/>
      <c r="FH1424" s="59"/>
      <c r="FI1424" s="59"/>
      <c r="FJ1424" s="59"/>
      <c r="FK1424" s="59"/>
      <c r="FL1424" s="59"/>
      <c r="FM1424" s="59"/>
      <c r="FN1424" s="59"/>
      <c r="FO1424" s="59"/>
      <c r="FP1424" s="59"/>
      <c r="FQ1424" s="59"/>
      <c r="FR1424" s="59"/>
      <c r="FS1424" s="59"/>
      <c r="FT1424" s="59"/>
      <c r="FU1424" s="59"/>
      <c r="FV1424" s="59"/>
      <c r="FW1424" s="59"/>
      <c r="FX1424" s="59"/>
      <c r="FY1424" s="59"/>
      <c r="FZ1424" s="59"/>
      <c r="GA1424" s="59"/>
      <c r="GB1424" s="59"/>
      <c r="GC1424" s="59"/>
    </row>
    <row r="1425">
      <c r="A1425" s="59"/>
      <c r="B1425" s="59"/>
      <c r="C1425" s="59"/>
      <c r="D1425" s="59"/>
      <c r="E1425" s="59"/>
      <c r="F1425" s="59"/>
      <c r="G1425" s="59"/>
      <c r="H1425" s="59"/>
      <c r="I1425" s="59"/>
      <c r="J1425" s="59"/>
      <c r="K1425" s="59"/>
      <c r="L1425" s="59"/>
      <c r="M1425" s="59"/>
      <c r="N1425" s="59"/>
      <c r="O1425" s="59"/>
      <c r="P1425" s="59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59"/>
      <c r="AG1425" s="59"/>
      <c r="AH1425" s="59"/>
      <c r="AI1425" s="59"/>
      <c r="AJ1425" s="59"/>
      <c r="AK1425" s="59"/>
      <c r="AL1425" s="59"/>
      <c r="AM1425" s="59"/>
      <c r="AN1425" s="59"/>
      <c r="AO1425" s="59"/>
      <c r="AP1425" s="59"/>
      <c r="AQ1425" s="59"/>
      <c r="AR1425" s="59"/>
      <c r="AS1425" s="59"/>
      <c r="AT1425" s="59"/>
      <c r="AU1425" s="59"/>
      <c r="AV1425" s="59"/>
      <c r="AW1425" s="59"/>
      <c r="AX1425" s="59"/>
      <c r="AY1425" s="59"/>
      <c r="AZ1425" s="59"/>
      <c r="BA1425" s="59"/>
      <c r="BB1425" s="59"/>
      <c r="BC1425" s="59"/>
      <c r="BD1425" s="59"/>
      <c r="BE1425" s="59"/>
      <c r="BF1425" s="59"/>
      <c r="BG1425" s="59"/>
      <c r="BH1425" s="59"/>
      <c r="BI1425" s="59"/>
      <c r="BJ1425" s="59"/>
      <c r="BK1425" s="59"/>
      <c r="BL1425" s="59"/>
      <c r="BM1425" s="59"/>
      <c r="BN1425" s="59"/>
      <c r="BO1425" s="59"/>
      <c r="BP1425" s="59"/>
      <c r="BQ1425" s="59"/>
      <c r="BR1425" s="59"/>
      <c r="BS1425" s="59"/>
      <c r="BT1425" s="59"/>
      <c r="BU1425" s="59"/>
      <c r="BV1425" s="59"/>
      <c r="BW1425" s="59"/>
      <c r="BX1425" s="59"/>
      <c r="BY1425" s="59"/>
      <c r="BZ1425" s="59"/>
      <c r="CA1425" s="59"/>
      <c r="CB1425" s="59"/>
      <c r="CC1425" s="59"/>
      <c r="CD1425" s="59"/>
      <c r="CE1425" s="59"/>
      <c r="CF1425" s="59"/>
      <c r="CG1425" s="59"/>
      <c r="CH1425" s="59"/>
      <c r="CI1425" s="59"/>
      <c r="CJ1425" s="59"/>
      <c r="CK1425" s="59"/>
      <c r="CL1425" s="59"/>
      <c r="CM1425" s="59"/>
      <c r="CN1425" s="59"/>
      <c r="CO1425" s="59"/>
      <c r="CP1425" s="59"/>
      <c r="CQ1425" s="59"/>
      <c r="CR1425" s="59"/>
      <c r="CS1425" s="59"/>
      <c r="CT1425" s="59"/>
      <c r="CU1425" s="59"/>
      <c r="CV1425" s="59"/>
      <c r="CW1425" s="59"/>
      <c r="CX1425" s="59"/>
      <c r="CY1425" s="59"/>
      <c r="CZ1425" s="59"/>
      <c r="DA1425" s="59"/>
      <c r="DB1425" s="59"/>
      <c r="DC1425" s="59"/>
      <c r="DD1425" s="59"/>
      <c r="DE1425" s="59"/>
      <c r="DF1425" s="59"/>
      <c r="DG1425" s="59"/>
      <c r="DH1425" s="59"/>
      <c r="DI1425" s="59"/>
      <c r="DJ1425" s="59"/>
      <c r="DK1425" s="59"/>
      <c r="DL1425" s="59"/>
      <c r="DM1425" s="59"/>
      <c r="DN1425" s="59"/>
      <c r="DO1425" s="59"/>
      <c r="DP1425" s="59"/>
      <c r="DQ1425" s="59"/>
      <c r="DR1425" s="59"/>
      <c r="DS1425" s="59"/>
      <c r="DT1425" s="59"/>
      <c r="DU1425" s="59"/>
      <c r="DV1425" s="59"/>
      <c r="DW1425" s="59"/>
      <c r="DX1425" s="59"/>
      <c r="DY1425" s="59"/>
      <c r="DZ1425" s="59"/>
      <c r="EA1425" s="59"/>
      <c r="EB1425" s="59"/>
      <c r="EC1425" s="59"/>
      <c r="ED1425" s="59"/>
      <c r="EE1425" s="59"/>
      <c r="EF1425" s="59"/>
      <c r="EG1425" s="59"/>
      <c r="EH1425" s="59"/>
      <c r="EI1425" s="59"/>
      <c r="EJ1425" s="59"/>
      <c r="EK1425" s="59"/>
      <c r="EL1425" s="59"/>
      <c r="EM1425" s="59"/>
      <c r="EN1425" s="59"/>
      <c r="EO1425" s="59"/>
      <c r="EP1425" s="59"/>
      <c r="EQ1425" s="59"/>
      <c r="ER1425" s="59"/>
      <c r="ES1425" s="59"/>
      <c r="ET1425" s="59"/>
      <c r="EU1425" s="59"/>
      <c r="EV1425" s="59"/>
      <c r="EW1425" s="59"/>
      <c r="EX1425" s="59"/>
      <c r="EY1425" s="59"/>
      <c r="EZ1425" s="59"/>
      <c r="FA1425" s="59"/>
      <c r="FB1425" s="59"/>
      <c r="FC1425" s="59"/>
      <c r="FD1425" s="59"/>
      <c r="FE1425" s="59"/>
      <c r="FF1425" s="59"/>
      <c r="FG1425" s="59"/>
      <c r="FH1425" s="59"/>
      <c r="FI1425" s="59"/>
      <c r="FJ1425" s="59"/>
      <c r="FK1425" s="59"/>
      <c r="FL1425" s="59"/>
      <c r="FM1425" s="59"/>
      <c r="FN1425" s="59"/>
      <c r="FO1425" s="59"/>
      <c r="FP1425" s="59"/>
      <c r="FQ1425" s="59"/>
      <c r="FR1425" s="59"/>
      <c r="FS1425" s="59"/>
      <c r="FT1425" s="59"/>
      <c r="FU1425" s="59"/>
      <c r="FV1425" s="59"/>
      <c r="FW1425" s="59"/>
      <c r="FX1425" s="59"/>
      <c r="FY1425" s="59"/>
      <c r="FZ1425" s="59"/>
      <c r="GA1425" s="59"/>
      <c r="GB1425" s="59"/>
      <c r="GC1425" s="59"/>
    </row>
    <row r="1426">
      <c r="A1426" s="59"/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59"/>
      <c r="P1426" s="59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59"/>
      <c r="AG1426" s="59"/>
      <c r="AH1426" s="59"/>
      <c r="AI1426" s="59"/>
      <c r="AJ1426" s="59"/>
      <c r="AK1426" s="59"/>
      <c r="AL1426" s="59"/>
      <c r="AM1426" s="59"/>
      <c r="AN1426" s="59"/>
      <c r="AO1426" s="59"/>
      <c r="AP1426" s="59"/>
      <c r="AQ1426" s="59"/>
      <c r="AR1426" s="59"/>
      <c r="AS1426" s="59"/>
      <c r="AT1426" s="59"/>
      <c r="AU1426" s="59"/>
      <c r="AV1426" s="59"/>
      <c r="AW1426" s="59"/>
      <c r="AX1426" s="59"/>
      <c r="AY1426" s="59"/>
      <c r="AZ1426" s="59"/>
      <c r="BA1426" s="59"/>
      <c r="BB1426" s="59"/>
      <c r="BC1426" s="59"/>
      <c r="BD1426" s="59"/>
      <c r="BE1426" s="59"/>
      <c r="BF1426" s="59"/>
      <c r="BG1426" s="59"/>
      <c r="BH1426" s="59"/>
      <c r="BI1426" s="59"/>
      <c r="BJ1426" s="59"/>
      <c r="BK1426" s="59"/>
      <c r="BL1426" s="59"/>
      <c r="BM1426" s="59"/>
      <c r="BN1426" s="59"/>
      <c r="BO1426" s="59"/>
      <c r="BP1426" s="59"/>
      <c r="BQ1426" s="59"/>
      <c r="BR1426" s="59"/>
      <c r="BS1426" s="59"/>
      <c r="BT1426" s="59"/>
      <c r="BU1426" s="59"/>
      <c r="BV1426" s="59"/>
      <c r="BW1426" s="59"/>
      <c r="BX1426" s="59"/>
      <c r="BY1426" s="59"/>
      <c r="BZ1426" s="59"/>
      <c r="CA1426" s="59"/>
      <c r="CB1426" s="59"/>
      <c r="CC1426" s="59"/>
      <c r="CD1426" s="59"/>
      <c r="CE1426" s="59"/>
      <c r="CF1426" s="59"/>
      <c r="CG1426" s="59"/>
      <c r="CH1426" s="59"/>
      <c r="CI1426" s="59"/>
      <c r="CJ1426" s="59"/>
      <c r="CK1426" s="59"/>
      <c r="CL1426" s="59"/>
      <c r="CM1426" s="59"/>
      <c r="CN1426" s="59"/>
      <c r="CO1426" s="59"/>
      <c r="CP1426" s="59"/>
      <c r="CQ1426" s="59"/>
      <c r="CR1426" s="59"/>
      <c r="CS1426" s="59"/>
      <c r="CT1426" s="59"/>
      <c r="CU1426" s="59"/>
      <c r="CV1426" s="59"/>
      <c r="CW1426" s="59"/>
      <c r="CX1426" s="59"/>
      <c r="CY1426" s="59"/>
      <c r="CZ1426" s="59"/>
      <c r="DA1426" s="59"/>
      <c r="DB1426" s="59"/>
      <c r="DC1426" s="59"/>
      <c r="DD1426" s="59"/>
      <c r="DE1426" s="59"/>
      <c r="DF1426" s="59"/>
      <c r="DG1426" s="59"/>
      <c r="DH1426" s="59"/>
      <c r="DI1426" s="59"/>
      <c r="DJ1426" s="59"/>
      <c r="DK1426" s="59"/>
      <c r="DL1426" s="59"/>
      <c r="DM1426" s="59"/>
      <c r="DN1426" s="59"/>
      <c r="DO1426" s="59"/>
      <c r="DP1426" s="59"/>
      <c r="DQ1426" s="59"/>
      <c r="DR1426" s="59"/>
      <c r="DS1426" s="59"/>
      <c r="DT1426" s="59"/>
      <c r="DU1426" s="59"/>
      <c r="DV1426" s="59"/>
      <c r="DW1426" s="59"/>
      <c r="DX1426" s="59"/>
      <c r="DY1426" s="59"/>
      <c r="DZ1426" s="59"/>
      <c r="EA1426" s="59"/>
      <c r="EB1426" s="59"/>
      <c r="EC1426" s="59"/>
      <c r="ED1426" s="59"/>
      <c r="EE1426" s="59"/>
      <c r="EF1426" s="59"/>
      <c r="EG1426" s="59"/>
      <c r="EH1426" s="59"/>
      <c r="EI1426" s="59"/>
      <c r="EJ1426" s="59"/>
      <c r="EK1426" s="59"/>
      <c r="EL1426" s="59"/>
      <c r="EM1426" s="59"/>
      <c r="EN1426" s="59"/>
      <c r="EO1426" s="59"/>
      <c r="EP1426" s="59"/>
      <c r="EQ1426" s="59"/>
      <c r="ER1426" s="59"/>
      <c r="ES1426" s="59"/>
      <c r="ET1426" s="59"/>
      <c r="EU1426" s="59"/>
      <c r="EV1426" s="59"/>
      <c r="EW1426" s="59"/>
      <c r="EX1426" s="59"/>
      <c r="EY1426" s="59"/>
      <c r="EZ1426" s="59"/>
      <c r="FA1426" s="59"/>
      <c r="FB1426" s="59"/>
      <c r="FC1426" s="59"/>
      <c r="FD1426" s="59"/>
      <c r="FE1426" s="59"/>
      <c r="FF1426" s="59"/>
      <c r="FG1426" s="59"/>
      <c r="FH1426" s="59"/>
      <c r="FI1426" s="59"/>
      <c r="FJ1426" s="59"/>
      <c r="FK1426" s="59"/>
      <c r="FL1426" s="59"/>
      <c r="FM1426" s="59"/>
      <c r="FN1426" s="59"/>
      <c r="FO1426" s="59"/>
      <c r="FP1426" s="59"/>
      <c r="FQ1426" s="59"/>
      <c r="FR1426" s="59"/>
      <c r="FS1426" s="59"/>
      <c r="FT1426" s="59"/>
      <c r="FU1426" s="59"/>
      <c r="FV1426" s="59"/>
      <c r="FW1426" s="59"/>
      <c r="FX1426" s="59"/>
      <c r="FY1426" s="59"/>
      <c r="FZ1426" s="59"/>
      <c r="GA1426" s="59"/>
      <c r="GB1426" s="59"/>
      <c r="GC1426" s="59"/>
    </row>
    <row r="1427">
      <c r="A1427" s="59"/>
      <c r="B1427" s="59"/>
      <c r="C1427" s="59"/>
      <c r="D1427" s="59"/>
      <c r="E1427" s="59"/>
      <c r="F1427" s="59"/>
      <c r="G1427" s="59"/>
      <c r="H1427" s="59"/>
      <c r="I1427" s="59"/>
      <c r="J1427" s="59"/>
      <c r="K1427" s="59"/>
      <c r="L1427" s="59"/>
      <c r="M1427" s="59"/>
      <c r="N1427" s="59"/>
      <c r="O1427" s="59"/>
      <c r="P1427" s="59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  <c r="AD1427" s="59"/>
      <c r="AE1427" s="59"/>
      <c r="AF1427" s="59"/>
      <c r="AG1427" s="59"/>
      <c r="AH1427" s="59"/>
      <c r="AI1427" s="59"/>
      <c r="AJ1427" s="59"/>
      <c r="AK1427" s="59"/>
      <c r="AL1427" s="59"/>
      <c r="AM1427" s="59"/>
      <c r="AN1427" s="59"/>
      <c r="AO1427" s="59"/>
      <c r="AP1427" s="59"/>
      <c r="AQ1427" s="59"/>
      <c r="AR1427" s="59"/>
      <c r="AS1427" s="59"/>
      <c r="AT1427" s="59"/>
      <c r="AU1427" s="59"/>
      <c r="AV1427" s="59"/>
      <c r="AW1427" s="59"/>
      <c r="AX1427" s="59"/>
      <c r="AY1427" s="59"/>
      <c r="AZ1427" s="59"/>
      <c r="BA1427" s="59"/>
      <c r="BB1427" s="59"/>
      <c r="BC1427" s="59"/>
      <c r="BD1427" s="59"/>
      <c r="BE1427" s="59"/>
      <c r="BF1427" s="59"/>
      <c r="BG1427" s="59"/>
      <c r="BH1427" s="59"/>
      <c r="BI1427" s="59"/>
      <c r="BJ1427" s="59"/>
      <c r="BK1427" s="59"/>
      <c r="BL1427" s="59"/>
      <c r="BM1427" s="59"/>
      <c r="BN1427" s="59"/>
      <c r="BO1427" s="59"/>
      <c r="BP1427" s="59"/>
      <c r="BQ1427" s="59"/>
      <c r="BR1427" s="59"/>
      <c r="BS1427" s="59"/>
      <c r="BT1427" s="59"/>
      <c r="BU1427" s="59"/>
      <c r="BV1427" s="59"/>
      <c r="BW1427" s="59"/>
      <c r="BX1427" s="59"/>
      <c r="BY1427" s="59"/>
      <c r="BZ1427" s="59"/>
      <c r="CA1427" s="59"/>
      <c r="CB1427" s="59"/>
      <c r="CC1427" s="59"/>
      <c r="CD1427" s="59"/>
      <c r="CE1427" s="59"/>
      <c r="CF1427" s="59"/>
      <c r="CG1427" s="59"/>
      <c r="CH1427" s="59"/>
      <c r="CI1427" s="59"/>
      <c r="CJ1427" s="59"/>
      <c r="CK1427" s="59"/>
      <c r="CL1427" s="59"/>
      <c r="CM1427" s="59"/>
      <c r="CN1427" s="59"/>
      <c r="CO1427" s="59"/>
      <c r="CP1427" s="59"/>
      <c r="CQ1427" s="59"/>
      <c r="CR1427" s="59"/>
      <c r="CS1427" s="59"/>
      <c r="CT1427" s="59"/>
      <c r="CU1427" s="59"/>
      <c r="CV1427" s="59"/>
      <c r="CW1427" s="59"/>
      <c r="CX1427" s="59"/>
      <c r="CY1427" s="59"/>
      <c r="CZ1427" s="59"/>
      <c r="DA1427" s="59"/>
      <c r="DB1427" s="59"/>
      <c r="DC1427" s="59"/>
      <c r="DD1427" s="59"/>
      <c r="DE1427" s="59"/>
      <c r="DF1427" s="59"/>
      <c r="DG1427" s="59"/>
      <c r="DH1427" s="59"/>
      <c r="DI1427" s="59"/>
      <c r="DJ1427" s="59"/>
      <c r="DK1427" s="59"/>
      <c r="DL1427" s="59"/>
      <c r="DM1427" s="59"/>
      <c r="DN1427" s="59"/>
      <c r="DO1427" s="59"/>
      <c r="DP1427" s="59"/>
      <c r="DQ1427" s="59"/>
      <c r="DR1427" s="59"/>
      <c r="DS1427" s="59"/>
      <c r="DT1427" s="59"/>
      <c r="DU1427" s="59"/>
      <c r="DV1427" s="59"/>
      <c r="DW1427" s="59"/>
      <c r="DX1427" s="59"/>
      <c r="DY1427" s="59"/>
      <c r="DZ1427" s="59"/>
      <c r="EA1427" s="59"/>
      <c r="EB1427" s="59"/>
      <c r="EC1427" s="59"/>
      <c r="ED1427" s="59"/>
      <c r="EE1427" s="59"/>
      <c r="EF1427" s="59"/>
      <c r="EG1427" s="59"/>
      <c r="EH1427" s="59"/>
      <c r="EI1427" s="59"/>
      <c r="EJ1427" s="59"/>
      <c r="EK1427" s="59"/>
      <c r="EL1427" s="59"/>
      <c r="EM1427" s="59"/>
      <c r="EN1427" s="59"/>
      <c r="EO1427" s="59"/>
      <c r="EP1427" s="59"/>
      <c r="EQ1427" s="59"/>
      <c r="ER1427" s="59"/>
      <c r="ES1427" s="59"/>
      <c r="ET1427" s="59"/>
      <c r="EU1427" s="59"/>
      <c r="EV1427" s="59"/>
      <c r="EW1427" s="59"/>
      <c r="EX1427" s="59"/>
      <c r="EY1427" s="59"/>
      <c r="EZ1427" s="59"/>
      <c r="FA1427" s="59"/>
      <c r="FB1427" s="59"/>
      <c r="FC1427" s="59"/>
      <c r="FD1427" s="59"/>
      <c r="FE1427" s="59"/>
      <c r="FF1427" s="59"/>
      <c r="FG1427" s="59"/>
      <c r="FH1427" s="59"/>
      <c r="FI1427" s="59"/>
      <c r="FJ1427" s="59"/>
      <c r="FK1427" s="59"/>
      <c r="FL1427" s="59"/>
      <c r="FM1427" s="59"/>
      <c r="FN1427" s="59"/>
      <c r="FO1427" s="59"/>
      <c r="FP1427" s="59"/>
      <c r="FQ1427" s="59"/>
      <c r="FR1427" s="59"/>
      <c r="FS1427" s="59"/>
      <c r="FT1427" s="59"/>
      <c r="FU1427" s="59"/>
      <c r="FV1427" s="59"/>
      <c r="FW1427" s="59"/>
      <c r="FX1427" s="59"/>
      <c r="FY1427" s="59"/>
      <c r="FZ1427" s="59"/>
      <c r="GA1427" s="59"/>
      <c r="GB1427" s="59"/>
      <c r="GC1427" s="59"/>
    </row>
    <row r="1428">
      <c r="A1428" s="59"/>
      <c r="B1428" s="59"/>
      <c r="C1428" s="59"/>
      <c r="D1428" s="59"/>
      <c r="E1428" s="59"/>
      <c r="F1428" s="59"/>
      <c r="G1428" s="59"/>
      <c r="H1428" s="59"/>
      <c r="I1428" s="59"/>
      <c r="J1428" s="59"/>
      <c r="K1428" s="59"/>
      <c r="L1428" s="59"/>
      <c r="M1428" s="59"/>
      <c r="N1428" s="59"/>
      <c r="O1428" s="59"/>
      <c r="P1428" s="59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/>
      <c r="AF1428" s="59"/>
      <c r="AG1428" s="59"/>
      <c r="AH1428" s="59"/>
      <c r="AI1428" s="59"/>
      <c r="AJ1428" s="59"/>
      <c r="AK1428" s="59"/>
      <c r="AL1428" s="59"/>
      <c r="AM1428" s="59"/>
      <c r="AN1428" s="59"/>
      <c r="AO1428" s="59"/>
      <c r="AP1428" s="59"/>
      <c r="AQ1428" s="59"/>
      <c r="AR1428" s="59"/>
      <c r="AS1428" s="59"/>
      <c r="AT1428" s="59"/>
      <c r="AU1428" s="59"/>
      <c r="AV1428" s="59"/>
      <c r="AW1428" s="59"/>
      <c r="AX1428" s="59"/>
      <c r="AY1428" s="59"/>
      <c r="AZ1428" s="59"/>
      <c r="BA1428" s="59"/>
      <c r="BB1428" s="59"/>
      <c r="BC1428" s="59"/>
      <c r="BD1428" s="59"/>
      <c r="BE1428" s="59"/>
      <c r="BF1428" s="59"/>
      <c r="BG1428" s="59"/>
      <c r="BH1428" s="59"/>
      <c r="BI1428" s="59"/>
      <c r="BJ1428" s="59"/>
      <c r="BK1428" s="59"/>
      <c r="BL1428" s="59"/>
      <c r="BM1428" s="59"/>
      <c r="BN1428" s="59"/>
      <c r="BO1428" s="59"/>
      <c r="BP1428" s="59"/>
      <c r="BQ1428" s="59"/>
      <c r="BR1428" s="59"/>
      <c r="BS1428" s="59"/>
      <c r="BT1428" s="59"/>
      <c r="BU1428" s="59"/>
      <c r="BV1428" s="59"/>
      <c r="BW1428" s="59"/>
      <c r="BX1428" s="59"/>
      <c r="BY1428" s="59"/>
      <c r="BZ1428" s="59"/>
      <c r="CA1428" s="59"/>
      <c r="CB1428" s="59"/>
      <c r="CC1428" s="59"/>
      <c r="CD1428" s="59"/>
      <c r="CE1428" s="59"/>
      <c r="CF1428" s="59"/>
      <c r="CG1428" s="59"/>
      <c r="CH1428" s="59"/>
      <c r="CI1428" s="59"/>
      <c r="CJ1428" s="59"/>
      <c r="CK1428" s="59"/>
      <c r="CL1428" s="59"/>
      <c r="CM1428" s="59"/>
      <c r="CN1428" s="59"/>
      <c r="CO1428" s="59"/>
      <c r="CP1428" s="59"/>
      <c r="CQ1428" s="59"/>
      <c r="CR1428" s="59"/>
      <c r="CS1428" s="59"/>
      <c r="CT1428" s="59"/>
      <c r="CU1428" s="59"/>
      <c r="CV1428" s="59"/>
      <c r="CW1428" s="59"/>
      <c r="CX1428" s="59"/>
      <c r="CY1428" s="59"/>
      <c r="CZ1428" s="59"/>
      <c r="DA1428" s="59"/>
      <c r="DB1428" s="59"/>
      <c r="DC1428" s="59"/>
      <c r="DD1428" s="59"/>
      <c r="DE1428" s="59"/>
      <c r="DF1428" s="59"/>
      <c r="DG1428" s="59"/>
      <c r="DH1428" s="59"/>
      <c r="DI1428" s="59"/>
      <c r="DJ1428" s="59"/>
      <c r="DK1428" s="59"/>
      <c r="DL1428" s="59"/>
      <c r="DM1428" s="59"/>
      <c r="DN1428" s="59"/>
      <c r="DO1428" s="59"/>
      <c r="DP1428" s="59"/>
      <c r="DQ1428" s="59"/>
      <c r="DR1428" s="59"/>
      <c r="DS1428" s="59"/>
      <c r="DT1428" s="59"/>
      <c r="DU1428" s="59"/>
      <c r="DV1428" s="59"/>
      <c r="DW1428" s="59"/>
      <c r="DX1428" s="59"/>
      <c r="DY1428" s="59"/>
      <c r="DZ1428" s="59"/>
      <c r="EA1428" s="59"/>
      <c r="EB1428" s="59"/>
      <c r="EC1428" s="59"/>
      <c r="ED1428" s="59"/>
      <c r="EE1428" s="59"/>
      <c r="EF1428" s="59"/>
      <c r="EG1428" s="59"/>
      <c r="EH1428" s="59"/>
      <c r="EI1428" s="59"/>
      <c r="EJ1428" s="59"/>
      <c r="EK1428" s="59"/>
      <c r="EL1428" s="59"/>
      <c r="EM1428" s="59"/>
      <c r="EN1428" s="59"/>
      <c r="EO1428" s="59"/>
      <c r="EP1428" s="59"/>
      <c r="EQ1428" s="59"/>
      <c r="ER1428" s="59"/>
      <c r="ES1428" s="59"/>
      <c r="ET1428" s="59"/>
      <c r="EU1428" s="59"/>
      <c r="EV1428" s="59"/>
      <c r="EW1428" s="59"/>
      <c r="EX1428" s="59"/>
      <c r="EY1428" s="59"/>
      <c r="EZ1428" s="59"/>
      <c r="FA1428" s="59"/>
      <c r="FB1428" s="59"/>
      <c r="FC1428" s="59"/>
      <c r="FD1428" s="59"/>
      <c r="FE1428" s="59"/>
      <c r="FF1428" s="59"/>
      <c r="FG1428" s="59"/>
      <c r="FH1428" s="59"/>
      <c r="FI1428" s="59"/>
      <c r="FJ1428" s="59"/>
      <c r="FK1428" s="59"/>
      <c r="FL1428" s="59"/>
      <c r="FM1428" s="59"/>
      <c r="FN1428" s="59"/>
      <c r="FO1428" s="59"/>
      <c r="FP1428" s="59"/>
      <c r="FQ1428" s="59"/>
      <c r="FR1428" s="59"/>
      <c r="FS1428" s="59"/>
      <c r="FT1428" s="59"/>
      <c r="FU1428" s="59"/>
      <c r="FV1428" s="59"/>
      <c r="FW1428" s="59"/>
      <c r="FX1428" s="59"/>
      <c r="FY1428" s="59"/>
      <c r="FZ1428" s="59"/>
      <c r="GA1428" s="59"/>
      <c r="GB1428" s="59"/>
      <c r="GC1428" s="59"/>
    </row>
    <row r="1429">
      <c r="A1429" s="59"/>
      <c r="B1429" s="59"/>
      <c r="C1429" s="59"/>
      <c r="D1429" s="59"/>
      <c r="E1429" s="59"/>
      <c r="F1429" s="59"/>
      <c r="G1429" s="59"/>
      <c r="H1429" s="59"/>
      <c r="I1429" s="59"/>
      <c r="J1429" s="59"/>
      <c r="K1429" s="59"/>
      <c r="L1429" s="59"/>
      <c r="M1429" s="59"/>
      <c r="N1429" s="59"/>
      <c r="O1429" s="59"/>
      <c r="P1429" s="59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  <c r="AD1429" s="59"/>
      <c r="AE1429" s="59"/>
      <c r="AF1429" s="59"/>
      <c r="AG1429" s="59"/>
      <c r="AH1429" s="59"/>
      <c r="AI1429" s="59"/>
      <c r="AJ1429" s="59"/>
      <c r="AK1429" s="59"/>
      <c r="AL1429" s="59"/>
      <c r="AM1429" s="59"/>
      <c r="AN1429" s="59"/>
      <c r="AO1429" s="59"/>
      <c r="AP1429" s="59"/>
      <c r="AQ1429" s="59"/>
      <c r="AR1429" s="59"/>
      <c r="AS1429" s="59"/>
      <c r="AT1429" s="59"/>
      <c r="AU1429" s="59"/>
      <c r="AV1429" s="59"/>
      <c r="AW1429" s="59"/>
      <c r="AX1429" s="59"/>
      <c r="AY1429" s="59"/>
      <c r="AZ1429" s="59"/>
      <c r="BA1429" s="59"/>
      <c r="BB1429" s="59"/>
      <c r="BC1429" s="59"/>
      <c r="BD1429" s="59"/>
      <c r="BE1429" s="59"/>
      <c r="BF1429" s="59"/>
      <c r="BG1429" s="59"/>
      <c r="BH1429" s="59"/>
      <c r="BI1429" s="59"/>
      <c r="BJ1429" s="59"/>
      <c r="BK1429" s="59"/>
      <c r="BL1429" s="59"/>
      <c r="BM1429" s="59"/>
      <c r="BN1429" s="59"/>
      <c r="BO1429" s="59"/>
      <c r="BP1429" s="59"/>
      <c r="BQ1429" s="59"/>
      <c r="BR1429" s="59"/>
      <c r="BS1429" s="59"/>
      <c r="BT1429" s="59"/>
      <c r="BU1429" s="59"/>
      <c r="BV1429" s="59"/>
      <c r="BW1429" s="59"/>
      <c r="BX1429" s="59"/>
      <c r="BY1429" s="59"/>
      <c r="BZ1429" s="59"/>
      <c r="CA1429" s="59"/>
      <c r="CB1429" s="59"/>
      <c r="CC1429" s="59"/>
      <c r="CD1429" s="59"/>
      <c r="CE1429" s="59"/>
      <c r="CF1429" s="59"/>
      <c r="CG1429" s="59"/>
      <c r="CH1429" s="59"/>
      <c r="CI1429" s="59"/>
      <c r="CJ1429" s="59"/>
      <c r="CK1429" s="59"/>
      <c r="CL1429" s="59"/>
      <c r="CM1429" s="59"/>
      <c r="CN1429" s="59"/>
      <c r="CO1429" s="59"/>
      <c r="CP1429" s="59"/>
      <c r="CQ1429" s="59"/>
      <c r="CR1429" s="59"/>
      <c r="CS1429" s="59"/>
      <c r="CT1429" s="59"/>
      <c r="CU1429" s="59"/>
      <c r="CV1429" s="59"/>
      <c r="CW1429" s="59"/>
      <c r="CX1429" s="59"/>
      <c r="CY1429" s="59"/>
      <c r="CZ1429" s="59"/>
      <c r="DA1429" s="59"/>
      <c r="DB1429" s="59"/>
      <c r="DC1429" s="59"/>
      <c r="DD1429" s="59"/>
      <c r="DE1429" s="59"/>
      <c r="DF1429" s="59"/>
      <c r="DG1429" s="59"/>
      <c r="DH1429" s="59"/>
      <c r="DI1429" s="59"/>
      <c r="DJ1429" s="59"/>
      <c r="DK1429" s="59"/>
      <c r="DL1429" s="59"/>
      <c r="DM1429" s="59"/>
      <c r="DN1429" s="59"/>
      <c r="DO1429" s="59"/>
      <c r="DP1429" s="59"/>
      <c r="DQ1429" s="59"/>
      <c r="DR1429" s="59"/>
      <c r="DS1429" s="59"/>
      <c r="DT1429" s="59"/>
      <c r="DU1429" s="59"/>
      <c r="DV1429" s="59"/>
      <c r="DW1429" s="59"/>
      <c r="DX1429" s="59"/>
      <c r="DY1429" s="59"/>
      <c r="DZ1429" s="59"/>
      <c r="EA1429" s="59"/>
      <c r="EB1429" s="59"/>
      <c r="EC1429" s="59"/>
      <c r="ED1429" s="59"/>
      <c r="EE1429" s="59"/>
      <c r="EF1429" s="59"/>
      <c r="EG1429" s="59"/>
      <c r="EH1429" s="59"/>
      <c r="EI1429" s="59"/>
      <c r="EJ1429" s="59"/>
      <c r="EK1429" s="59"/>
      <c r="EL1429" s="59"/>
      <c r="EM1429" s="59"/>
      <c r="EN1429" s="59"/>
      <c r="EO1429" s="59"/>
      <c r="EP1429" s="59"/>
      <c r="EQ1429" s="59"/>
      <c r="ER1429" s="59"/>
      <c r="ES1429" s="59"/>
      <c r="ET1429" s="59"/>
      <c r="EU1429" s="59"/>
      <c r="EV1429" s="59"/>
      <c r="EW1429" s="59"/>
      <c r="EX1429" s="59"/>
      <c r="EY1429" s="59"/>
      <c r="EZ1429" s="59"/>
      <c r="FA1429" s="59"/>
      <c r="FB1429" s="59"/>
      <c r="FC1429" s="59"/>
      <c r="FD1429" s="59"/>
      <c r="FE1429" s="59"/>
      <c r="FF1429" s="59"/>
      <c r="FG1429" s="59"/>
      <c r="FH1429" s="59"/>
      <c r="FI1429" s="59"/>
      <c r="FJ1429" s="59"/>
      <c r="FK1429" s="59"/>
      <c r="FL1429" s="59"/>
      <c r="FM1429" s="59"/>
      <c r="FN1429" s="59"/>
      <c r="FO1429" s="59"/>
      <c r="FP1429" s="59"/>
      <c r="FQ1429" s="59"/>
      <c r="FR1429" s="59"/>
      <c r="FS1429" s="59"/>
      <c r="FT1429" s="59"/>
      <c r="FU1429" s="59"/>
      <c r="FV1429" s="59"/>
      <c r="FW1429" s="59"/>
      <c r="FX1429" s="59"/>
      <c r="FY1429" s="59"/>
      <c r="FZ1429" s="59"/>
      <c r="GA1429" s="59"/>
      <c r="GB1429" s="59"/>
      <c r="GC1429" s="59"/>
    </row>
    <row r="1430">
      <c r="A1430" s="59"/>
      <c r="B1430" s="59"/>
      <c r="C1430" s="59"/>
      <c r="D1430" s="59"/>
      <c r="E1430" s="59"/>
      <c r="F1430" s="59"/>
      <c r="G1430" s="59"/>
      <c r="H1430" s="59"/>
      <c r="I1430" s="59"/>
      <c r="J1430" s="59"/>
      <c r="K1430" s="59"/>
      <c r="L1430" s="59"/>
      <c r="M1430" s="59"/>
      <c r="N1430" s="59"/>
      <c r="O1430" s="59"/>
      <c r="P1430" s="59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59"/>
      <c r="AG1430" s="59"/>
      <c r="AH1430" s="59"/>
      <c r="AI1430" s="59"/>
      <c r="AJ1430" s="59"/>
      <c r="AK1430" s="59"/>
      <c r="AL1430" s="59"/>
      <c r="AM1430" s="59"/>
      <c r="AN1430" s="59"/>
      <c r="AO1430" s="59"/>
      <c r="AP1430" s="59"/>
      <c r="AQ1430" s="59"/>
      <c r="AR1430" s="59"/>
      <c r="AS1430" s="59"/>
      <c r="AT1430" s="59"/>
      <c r="AU1430" s="59"/>
      <c r="AV1430" s="59"/>
      <c r="AW1430" s="59"/>
      <c r="AX1430" s="59"/>
      <c r="AY1430" s="59"/>
      <c r="AZ1430" s="59"/>
      <c r="BA1430" s="59"/>
      <c r="BB1430" s="59"/>
      <c r="BC1430" s="59"/>
      <c r="BD1430" s="59"/>
      <c r="BE1430" s="59"/>
      <c r="BF1430" s="59"/>
      <c r="BG1430" s="59"/>
      <c r="BH1430" s="59"/>
      <c r="BI1430" s="59"/>
      <c r="BJ1430" s="59"/>
      <c r="BK1430" s="59"/>
      <c r="BL1430" s="59"/>
      <c r="BM1430" s="59"/>
      <c r="BN1430" s="59"/>
      <c r="BO1430" s="59"/>
      <c r="BP1430" s="59"/>
      <c r="BQ1430" s="59"/>
      <c r="BR1430" s="59"/>
      <c r="BS1430" s="59"/>
      <c r="BT1430" s="59"/>
      <c r="BU1430" s="59"/>
      <c r="BV1430" s="59"/>
      <c r="BW1430" s="59"/>
      <c r="BX1430" s="59"/>
      <c r="BY1430" s="59"/>
      <c r="BZ1430" s="59"/>
      <c r="CA1430" s="59"/>
      <c r="CB1430" s="59"/>
      <c r="CC1430" s="59"/>
      <c r="CD1430" s="59"/>
      <c r="CE1430" s="59"/>
      <c r="CF1430" s="59"/>
      <c r="CG1430" s="59"/>
      <c r="CH1430" s="59"/>
      <c r="CI1430" s="59"/>
      <c r="CJ1430" s="59"/>
      <c r="CK1430" s="59"/>
      <c r="CL1430" s="59"/>
      <c r="CM1430" s="59"/>
      <c r="CN1430" s="59"/>
      <c r="CO1430" s="59"/>
      <c r="CP1430" s="59"/>
      <c r="CQ1430" s="59"/>
      <c r="CR1430" s="59"/>
      <c r="CS1430" s="59"/>
      <c r="CT1430" s="59"/>
      <c r="CU1430" s="59"/>
      <c r="CV1430" s="59"/>
      <c r="CW1430" s="59"/>
      <c r="CX1430" s="59"/>
      <c r="CY1430" s="59"/>
      <c r="CZ1430" s="59"/>
      <c r="DA1430" s="59"/>
      <c r="DB1430" s="59"/>
      <c r="DC1430" s="59"/>
      <c r="DD1430" s="59"/>
      <c r="DE1430" s="59"/>
      <c r="DF1430" s="59"/>
      <c r="DG1430" s="59"/>
      <c r="DH1430" s="59"/>
      <c r="DI1430" s="59"/>
      <c r="DJ1430" s="59"/>
      <c r="DK1430" s="59"/>
      <c r="DL1430" s="59"/>
      <c r="DM1430" s="59"/>
      <c r="DN1430" s="59"/>
      <c r="DO1430" s="59"/>
      <c r="DP1430" s="59"/>
      <c r="DQ1430" s="59"/>
      <c r="DR1430" s="59"/>
      <c r="DS1430" s="59"/>
      <c r="DT1430" s="59"/>
      <c r="DU1430" s="59"/>
      <c r="DV1430" s="59"/>
      <c r="DW1430" s="59"/>
      <c r="DX1430" s="59"/>
      <c r="DY1430" s="59"/>
      <c r="DZ1430" s="59"/>
      <c r="EA1430" s="59"/>
      <c r="EB1430" s="59"/>
      <c r="EC1430" s="59"/>
      <c r="ED1430" s="59"/>
      <c r="EE1430" s="59"/>
      <c r="EF1430" s="59"/>
      <c r="EG1430" s="59"/>
      <c r="EH1430" s="59"/>
      <c r="EI1430" s="59"/>
      <c r="EJ1430" s="59"/>
      <c r="EK1430" s="59"/>
      <c r="EL1430" s="59"/>
      <c r="EM1430" s="59"/>
      <c r="EN1430" s="59"/>
      <c r="EO1430" s="59"/>
      <c r="EP1430" s="59"/>
      <c r="EQ1430" s="59"/>
      <c r="ER1430" s="59"/>
      <c r="ES1430" s="59"/>
      <c r="ET1430" s="59"/>
      <c r="EU1430" s="59"/>
      <c r="EV1430" s="59"/>
      <c r="EW1430" s="59"/>
      <c r="EX1430" s="59"/>
      <c r="EY1430" s="59"/>
      <c r="EZ1430" s="59"/>
      <c r="FA1430" s="59"/>
      <c r="FB1430" s="59"/>
      <c r="FC1430" s="59"/>
      <c r="FD1430" s="59"/>
      <c r="FE1430" s="59"/>
      <c r="FF1430" s="59"/>
      <c r="FG1430" s="59"/>
      <c r="FH1430" s="59"/>
      <c r="FI1430" s="59"/>
      <c r="FJ1430" s="59"/>
      <c r="FK1430" s="59"/>
      <c r="FL1430" s="59"/>
      <c r="FM1430" s="59"/>
      <c r="FN1430" s="59"/>
      <c r="FO1430" s="59"/>
      <c r="FP1430" s="59"/>
      <c r="FQ1430" s="59"/>
      <c r="FR1430" s="59"/>
      <c r="FS1430" s="59"/>
      <c r="FT1430" s="59"/>
      <c r="FU1430" s="59"/>
      <c r="FV1430" s="59"/>
      <c r="FW1430" s="59"/>
      <c r="FX1430" s="59"/>
      <c r="FY1430" s="59"/>
      <c r="FZ1430" s="59"/>
      <c r="GA1430" s="59"/>
      <c r="GB1430" s="59"/>
      <c r="GC1430" s="59"/>
    </row>
    <row r="1431">
      <c r="A1431" s="59"/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59"/>
      <c r="P1431" s="59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59"/>
      <c r="AG1431" s="59"/>
      <c r="AH1431" s="59"/>
      <c r="AI1431" s="59"/>
      <c r="AJ1431" s="59"/>
      <c r="AK1431" s="59"/>
      <c r="AL1431" s="59"/>
      <c r="AM1431" s="59"/>
      <c r="AN1431" s="59"/>
      <c r="AO1431" s="59"/>
      <c r="AP1431" s="59"/>
      <c r="AQ1431" s="59"/>
      <c r="AR1431" s="59"/>
      <c r="AS1431" s="59"/>
      <c r="AT1431" s="59"/>
      <c r="AU1431" s="59"/>
      <c r="AV1431" s="59"/>
      <c r="AW1431" s="59"/>
      <c r="AX1431" s="59"/>
      <c r="AY1431" s="59"/>
      <c r="AZ1431" s="59"/>
      <c r="BA1431" s="59"/>
      <c r="BB1431" s="59"/>
      <c r="BC1431" s="59"/>
      <c r="BD1431" s="59"/>
      <c r="BE1431" s="59"/>
      <c r="BF1431" s="59"/>
      <c r="BG1431" s="59"/>
      <c r="BH1431" s="59"/>
      <c r="BI1431" s="59"/>
      <c r="BJ1431" s="59"/>
      <c r="BK1431" s="59"/>
      <c r="BL1431" s="59"/>
      <c r="BM1431" s="59"/>
      <c r="BN1431" s="59"/>
      <c r="BO1431" s="59"/>
      <c r="BP1431" s="59"/>
      <c r="BQ1431" s="59"/>
      <c r="BR1431" s="59"/>
      <c r="BS1431" s="59"/>
      <c r="BT1431" s="59"/>
      <c r="BU1431" s="59"/>
      <c r="BV1431" s="59"/>
      <c r="BW1431" s="59"/>
      <c r="BX1431" s="59"/>
      <c r="BY1431" s="59"/>
      <c r="BZ1431" s="59"/>
      <c r="CA1431" s="59"/>
      <c r="CB1431" s="59"/>
      <c r="CC1431" s="59"/>
      <c r="CD1431" s="59"/>
      <c r="CE1431" s="59"/>
      <c r="CF1431" s="59"/>
      <c r="CG1431" s="59"/>
      <c r="CH1431" s="59"/>
      <c r="CI1431" s="59"/>
      <c r="CJ1431" s="59"/>
      <c r="CK1431" s="59"/>
      <c r="CL1431" s="59"/>
      <c r="CM1431" s="59"/>
      <c r="CN1431" s="59"/>
      <c r="CO1431" s="59"/>
      <c r="CP1431" s="59"/>
      <c r="CQ1431" s="59"/>
      <c r="CR1431" s="59"/>
      <c r="CS1431" s="59"/>
      <c r="CT1431" s="59"/>
      <c r="CU1431" s="59"/>
      <c r="CV1431" s="59"/>
      <c r="CW1431" s="59"/>
      <c r="CX1431" s="59"/>
      <c r="CY1431" s="59"/>
      <c r="CZ1431" s="59"/>
      <c r="DA1431" s="59"/>
      <c r="DB1431" s="59"/>
      <c r="DC1431" s="59"/>
      <c r="DD1431" s="59"/>
      <c r="DE1431" s="59"/>
      <c r="DF1431" s="59"/>
      <c r="DG1431" s="59"/>
      <c r="DH1431" s="59"/>
      <c r="DI1431" s="59"/>
      <c r="DJ1431" s="59"/>
      <c r="DK1431" s="59"/>
      <c r="DL1431" s="59"/>
      <c r="DM1431" s="59"/>
      <c r="DN1431" s="59"/>
      <c r="DO1431" s="59"/>
      <c r="DP1431" s="59"/>
      <c r="DQ1431" s="59"/>
      <c r="DR1431" s="59"/>
      <c r="DS1431" s="59"/>
      <c r="DT1431" s="59"/>
      <c r="DU1431" s="59"/>
      <c r="DV1431" s="59"/>
      <c r="DW1431" s="59"/>
      <c r="DX1431" s="59"/>
      <c r="DY1431" s="59"/>
      <c r="DZ1431" s="59"/>
      <c r="EA1431" s="59"/>
      <c r="EB1431" s="59"/>
      <c r="EC1431" s="59"/>
      <c r="ED1431" s="59"/>
      <c r="EE1431" s="59"/>
      <c r="EF1431" s="59"/>
      <c r="EG1431" s="59"/>
      <c r="EH1431" s="59"/>
      <c r="EI1431" s="59"/>
      <c r="EJ1431" s="59"/>
      <c r="EK1431" s="59"/>
      <c r="EL1431" s="59"/>
      <c r="EM1431" s="59"/>
      <c r="EN1431" s="59"/>
      <c r="EO1431" s="59"/>
      <c r="EP1431" s="59"/>
      <c r="EQ1431" s="59"/>
      <c r="ER1431" s="59"/>
      <c r="ES1431" s="59"/>
      <c r="ET1431" s="59"/>
      <c r="EU1431" s="59"/>
      <c r="EV1431" s="59"/>
      <c r="EW1431" s="59"/>
      <c r="EX1431" s="59"/>
      <c r="EY1431" s="59"/>
      <c r="EZ1431" s="59"/>
      <c r="FA1431" s="59"/>
      <c r="FB1431" s="59"/>
      <c r="FC1431" s="59"/>
      <c r="FD1431" s="59"/>
      <c r="FE1431" s="59"/>
      <c r="FF1431" s="59"/>
      <c r="FG1431" s="59"/>
      <c r="FH1431" s="59"/>
      <c r="FI1431" s="59"/>
      <c r="FJ1431" s="59"/>
      <c r="FK1431" s="59"/>
      <c r="FL1431" s="59"/>
      <c r="FM1431" s="59"/>
      <c r="FN1431" s="59"/>
      <c r="FO1431" s="59"/>
      <c r="FP1431" s="59"/>
      <c r="FQ1431" s="59"/>
      <c r="FR1431" s="59"/>
      <c r="FS1431" s="59"/>
      <c r="FT1431" s="59"/>
      <c r="FU1431" s="59"/>
      <c r="FV1431" s="59"/>
      <c r="FW1431" s="59"/>
      <c r="FX1431" s="59"/>
      <c r="FY1431" s="59"/>
      <c r="FZ1431" s="59"/>
      <c r="GA1431" s="59"/>
      <c r="GB1431" s="59"/>
      <c r="GC1431" s="59"/>
    </row>
    <row r="1432">
      <c r="A1432" s="59"/>
      <c r="B1432" s="59"/>
      <c r="C1432" s="59"/>
      <c r="D1432" s="59"/>
      <c r="E1432" s="59"/>
      <c r="F1432" s="59"/>
      <c r="G1432" s="59"/>
      <c r="H1432" s="59"/>
      <c r="I1432" s="59"/>
      <c r="J1432" s="59"/>
      <c r="K1432" s="59"/>
      <c r="L1432" s="59"/>
      <c r="M1432" s="59"/>
      <c r="N1432" s="59"/>
      <c r="O1432" s="59"/>
      <c r="P1432" s="59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  <c r="AD1432" s="59"/>
      <c r="AE1432" s="59"/>
      <c r="AF1432" s="59"/>
      <c r="AG1432" s="59"/>
      <c r="AH1432" s="59"/>
      <c r="AI1432" s="59"/>
      <c r="AJ1432" s="59"/>
      <c r="AK1432" s="59"/>
      <c r="AL1432" s="59"/>
      <c r="AM1432" s="59"/>
      <c r="AN1432" s="59"/>
      <c r="AO1432" s="59"/>
      <c r="AP1432" s="59"/>
      <c r="AQ1432" s="59"/>
      <c r="AR1432" s="59"/>
      <c r="AS1432" s="59"/>
      <c r="AT1432" s="59"/>
      <c r="AU1432" s="59"/>
      <c r="AV1432" s="59"/>
      <c r="AW1432" s="59"/>
      <c r="AX1432" s="59"/>
      <c r="AY1432" s="59"/>
      <c r="AZ1432" s="59"/>
      <c r="BA1432" s="59"/>
      <c r="BB1432" s="59"/>
      <c r="BC1432" s="59"/>
      <c r="BD1432" s="59"/>
      <c r="BE1432" s="59"/>
      <c r="BF1432" s="59"/>
      <c r="BG1432" s="59"/>
      <c r="BH1432" s="59"/>
      <c r="BI1432" s="59"/>
      <c r="BJ1432" s="59"/>
      <c r="BK1432" s="59"/>
      <c r="BL1432" s="59"/>
      <c r="BM1432" s="59"/>
      <c r="BN1432" s="59"/>
      <c r="BO1432" s="59"/>
      <c r="BP1432" s="59"/>
      <c r="BQ1432" s="59"/>
      <c r="BR1432" s="59"/>
      <c r="BS1432" s="59"/>
      <c r="BT1432" s="59"/>
      <c r="BU1432" s="59"/>
      <c r="BV1432" s="59"/>
      <c r="BW1432" s="59"/>
      <c r="BX1432" s="59"/>
      <c r="BY1432" s="59"/>
      <c r="BZ1432" s="59"/>
      <c r="CA1432" s="59"/>
      <c r="CB1432" s="59"/>
      <c r="CC1432" s="59"/>
      <c r="CD1432" s="59"/>
      <c r="CE1432" s="59"/>
      <c r="CF1432" s="59"/>
      <c r="CG1432" s="59"/>
      <c r="CH1432" s="59"/>
      <c r="CI1432" s="59"/>
      <c r="CJ1432" s="59"/>
      <c r="CK1432" s="59"/>
      <c r="CL1432" s="59"/>
      <c r="CM1432" s="59"/>
      <c r="CN1432" s="59"/>
      <c r="CO1432" s="59"/>
      <c r="CP1432" s="59"/>
      <c r="CQ1432" s="59"/>
      <c r="CR1432" s="59"/>
      <c r="CS1432" s="59"/>
      <c r="CT1432" s="59"/>
      <c r="CU1432" s="59"/>
      <c r="CV1432" s="59"/>
      <c r="CW1432" s="59"/>
      <c r="CX1432" s="59"/>
      <c r="CY1432" s="59"/>
      <c r="CZ1432" s="59"/>
      <c r="DA1432" s="59"/>
      <c r="DB1432" s="59"/>
      <c r="DC1432" s="59"/>
      <c r="DD1432" s="59"/>
      <c r="DE1432" s="59"/>
      <c r="DF1432" s="59"/>
      <c r="DG1432" s="59"/>
      <c r="DH1432" s="59"/>
      <c r="DI1432" s="59"/>
      <c r="DJ1432" s="59"/>
      <c r="DK1432" s="59"/>
      <c r="DL1432" s="59"/>
      <c r="DM1432" s="59"/>
      <c r="DN1432" s="59"/>
      <c r="DO1432" s="59"/>
      <c r="DP1432" s="59"/>
      <c r="DQ1432" s="59"/>
      <c r="DR1432" s="59"/>
      <c r="DS1432" s="59"/>
      <c r="DT1432" s="59"/>
      <c r="DU1432" s="59"/>
      <c r="DV1432" s="59"/>
      <c r="DW1432" s="59"/>
      <c r="DX1432" s="59"/>
      <c r="DY1432" s="59"/>
      <c r="DZ1432" s="59"/>
      <c r="EA1432" s="59"/>
      <c r="EB1432" s="59"/>
      <c r="EC1432" s="59"/>
      <c r="ED1432" s="59"/>
      <c r="EE1432" s="59"/>
      <c r="EF1432" s="59"/>
      <c r="EG1432" s="59"/>
      <c r="EH1432" s="59"/>
      <c r="EI1432" s="59"/>
      <c r="EJ1432" s="59"/>
      <c r="EK1432" s="59"/>
      <c r="EL1432" s="59"/>
      <c r="EM1432" s="59"/>
      <c r="EN1432" s="59"/>
      <c r="EO1432" s="59"/>
      <c r="EP1432" s="59"/>
      <c r="EQ1432" s="59"/>
      <c r="ER1432" s="59"/>
      <c r="ES1432" s="59"/>
      <c r="ET1432" s="59"/>
      <c r="EU1432" s="59"/>
      <c r="EV1432" s="59"/>
      <c r="EW1432" s="59"/>
      <c r="EX1432" s="59"/>
      <c r="EY1432" s="59"/>
      <c r="EZ1432" s="59"/>
      <c r="FA1432" s="59"/>
      <c r="FB1432" s="59"/>
      <c r="FC1432" s="59"/>
      <c r="FD1432" s="59"/>
      <c r="FE1432" s="59"/>
      <c r="FF1432" s="59"/>
      <c r="FG1432" s="59"/>
      <c r="FH1432" s="59"/>
      <c r="FI1432" s="59"/>
      <c r="FJ1432" s="59"/>
      <c r="FK1432" s="59"/>
      <c r="FL1432" s="59"/>
      <c r="FM1432" s="59"/>
      <c r="FN1432" s="59"/>
      <c r="FO1432" s="59"/>
      <c r="FP1432" s="59"/>
      <c r="FQ1432" s="59"/>
      <c r="FR1432" s="59"/>
      <c r="FS1432" s="59"/>
      <c r="FT1432" s="59"/>
      <c r="FU1432" s="59"/>
      <c r="FV1432" s="59"/>
      <c r="FW1432" s="59"/>
      <c r="FX1432" s="59"/>
      <c r="FY1432" s="59"/>
      <c r="FZ1432" s="59"/>
      <c r="GA1432" s="59"/>
      <c r="GB1432" s="59"/>
      <c r="GC1432" s="59"/>
    </row>
    <row r="1433">
      <c r="A1433" s="59"/>
      <c r="B1433" s="59"/>
      <c r="C1433" s="59"/>
      <c r="D1433" s="59"/>
      <c r="E1433" s="59"/>
      <c r="F1433" s="59"/>
      <c r="G1433" s="59"/>
      <c r="H1433" s="59"/>
      <c r="I1433" s="59"/>
      <c r="J1433" s="59"/>
      <c r="K1433" s="59"/>
      <c r="L1433" s="59"/>
      <c r="M1433" s="59"/>
      <c r="N1433" s="59"/>
      <c r="O1433" s="59"/>
      <c r="P1433" s="59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59"/>
      <c r="AG1433" s="59"/>
      <c r="AH1433" s="59"/>
      <c r="AI1433" s="59"/>
      <c r="AJ1433" s="59"/>
      <c r="AK1433" s="59"/>
      <c r="AL1433" s="59"/>
      <c r="AM1433" s="59"/>
      <c r="AN1433" s="59"/>
      <c r="AO1433" s="59"/>
      <c r="AP1433" s="59"/>
      <c r="AQ1433" s="59"/>
      <c r="AR1433" s="59"/>
      <c r="AS1433" s="59"/>
      <c r="AT1433" s="59"/>
      <c r="AU1433" s="59"/>
      <c r="AV1433" s="59"/>
      <c r="AW1433" s="59"/>
      <c r="AX1433" s="59"/>
      <c r="AY1433" s="59"/>
      <c r="AZ1433" s="59"/>
      <c r="BA1433" s="59"/>
      <c r="BB1433" s="59"/>
      <c r="BC1433" s="59"/>
      <c r="BD1433" s="59"/>
      <c r="BE1433" s="59"/>
      <c r="BF1433" s="59"/>
      <c r="BG1433" s="59"/>
      <c r="BH1433" s="59"/>
      <c r="BI1433" s="59"/>
      <c r="BJ1433" s="59"/>
      <c r="BK1433" s="59"/>
      <c r="BL1433" s="59"/>
      <c r="BM1433" s="59"/>
      <c r="BN1433" s="59"/>
      <c r="BO1433" s="59"/>
      <c r="BP1433" s="59"/>
      <c r="BQ1433" s="59"/>
      <c r="BR1433" s="59"/>
      <c r="BS1433" s="59"/>
      <c r="BT1433" s="59"/>
      <c r="BU1433" s="59"/>
      <c r="BV1433" s="59"/>
      <c r="BW1433" s="59"/>
      <c r="BX1433" s="59"/>
      <c r="BY1433" s="59"/>
      <c r="BZ1433" s="59"/>
      <c r="CA1433" s="59"/>
      <c r="CB1433" s="59"/>
      <c r="CC1433" s="59"/>
      <c r="CD1433" s="59"/>
      <c r="CE1433" s="59"/>
      <c r="CF1433" s="59"/>
      <c r="CG1433" s="59"/>
      <c r="CH1433" s="59"/>
      <c r="CI1433" s="59"/>
      <c r="CJ1433" s="59"/>
      <c r="CK1433" s="59"/>
      <c r="CL1433" s="59"/>
      <c r="CM1433" s="59"/>
      <c r="CN1433" s="59"/>
      <c r="CO1433" s="59"/>
      <c r="CP1433" s="59"/>
      <c r="CQ1433" s="59"/>
      <c r="CR1433" s="59"/>
      <c r="CS1433" s="59"/>
      <c r="CT1433" s="59"/>
      <c r="CU1433" s="59"/>
      <c r="CV1433" s="59"/>
      <c r="CW1433" s="59"/>
      <c r="CX1433" s="59"/>
      <c r="CY1433" s="59"/>
      <c r="CZ1433" s="59"/>
      <c r="DA1433" s="59"/>
      <c r="DB1433" s="59"/>
      <c r="DC1433" s="59"/>
      <c r="DD1433" s="59"/>
      <c r="DE1433" s="59"/>
      <c r="DF1433" s="59"/>
      <c r="DG1433" s="59"/>
      <c r="DH1433" s="59"/>
      <c r="DI1433" s="59"/>
      <c r="DJ1433" s="59"/>
      <c r="DK1433" s="59"/>
      <c r="DL1433" s="59"/>
      <c r="DM1433" s="59"/>
      <c r="DN1433" s="59"/>
      <c r="DO1433" s="59"/>
      <c r="DP1433" s="59"/>
      <c r="DQ1433" s="59"/>
      <c r="DR1433" s="59"/>
      <c r="DS1433" s="59"/>
      <c r="DT1433" s="59"/>
      <c r="DU1433" s="59"/>
      <c r="DV1433" s="59"/>
      <c r="DW1433" s="59"/>
      <c r="DX1433" s="59"/>
      <c r="DY1433" s="59"/>
      <c r="DZ1433" s="59"/>
      <c r="EA1433" s="59"/>
      <c r="EB1433" s="59"/>
      <c r="EC1433" s="59"/>
      <c r="ED1433" s="59"/>
      <c r="EE1433" s="59"/>
      <c r="EF1433" s="59"/>
      <c r="EG1433" s="59"/>
      <c r="EH1433" s="59"/>
      <c r="EI1433" s="59"/>
      <c r="EJ1433" s="59"/>
      <c r="EK1433" s="59"/>
      <c r="EL1433" s="59"/>
      <c r="EM1433" s="59"/>
      <c r="EN1433" s="59"/>
      <c r="EO1433" s="59"/>
      <c r="EP1433" s="59"/>
      <c r="EQ1433" s="59"/>
      <c r="ER1433" s="59"/>
      <c r="ES1433" s="59"/>
      <c r="ET1433" s="59"/>
      <c r="EU1433" s="59"/>
      <c r="EV1433" s="59"/>
      <c r="EW1433" s="59"/>
      <c r="EX1433" s="59"/>
      <c r="EY1433" s="59"/>
      <c r="EZ1433" s="59"/>
      <c r="FA1433" s="59"/>
      <c r="FB1433" s="59"/>
      <c r="FC1433" s="59"/>
      <c r="FD1433" s="59"/>
      <c r="FE1433" s="59"/>
      <c r="FF1433" s="59"/>
      <c r="FG1433" s="59"/>
      <c r="FH1433" s="59"/>
      <c r="FI1433" s="59"/>
      <c r="FJ1433" s="59"/>
      <c r="FK1433" s="59"/>
      <c r="FL1433" s="59"/>
      <c r="FM1433" s="59"/>
      <c r="FN1433" s="59"/>
      <c r="FO1433" s="59"/>
      <c r="FP1433" s="59"/>
      <c r="FQ1433" s="59"/>
      <c r="FR1433" s="59"/>
      <c r="FS1433" s="59"/>
      <c r="FT1433" s="59"/>
      <c r="FU1433" s="59"/>
      <c r="FV1433" s="59"/>
      <c r="FW1433" s="59"/>
      <c r="FX1433" s="59"/>
      <c r="FY1433" s="59"/>
      <c r="FZ1433" s="59"/>
      <c r="GA1433" s="59"/>
      <c r="GB1433" s="59"/>
      <c r="GC1433" s="59"/>
    </row>
    <row r="1434">
      <c r="A1434" s="59"/>
      <c r="B1434" s="59"/>
      <c r="C1434" s="59"/>
      <c r="D1434" s="59"/>
      <c r="E1434" s="59"/>
      <c r="F1434" s="59"/>
      <c r="G1434" s="59"/>
      <c r="H1434" s="59"/>
      <c r="I1434" s="59"/>
      <c r="J1434" s="59"/>
      <c r="K1434" s="59"/>
      <c r="L1434" s="59"/>
      <c r="M1434" s="59"/>
      <c r="N1434" s="59"/>
      <c r="O1434" s="59"/>
      <c r="P1434" s="59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  <c r="AD1434" s="59"/>
      <c r="AE1434" s="59"/>
      <c r="AF1434" s="59"/>
      <c r="AG1434" s="59"/>
      <c r="AH1434" s="59"/>
      <c r="AI1434" s="59"/>
      <c r="AJ1434" s="59"/>
      <c r="AK1434" s="59"/>
      <c r="AL1434" s="59"/>
      <c r="AM1434" s="59"/>
      <c r="AN1434" s="59"/>
      <c r="AO1434" s="59"/>
      <c r="AP1434" s="59"/>
      <c r="AQ1434" s="59"/>
      <c r="AR1434" s="59"/>
      <c r="AS1434" s="59"/>
      <c r="AT1434" s="59"/>
      <c r="AU1434" s="59"/>
      <c r="AV1434" s="59"/>
      <c r="AW1434" s="59"/>
      <c r="AX1434" s="59"/>
      <c r="AY1434" s="59"/>
      <c r="AZ1434" s="59"/>
      <c r="BA1434" s="59"/>
      <c r="BB1434" s="59"/>
      <c r="BC1434" s="59"/>
      <c r="BD1434" s="59"/>
      <c r="BE1434" s="59"/>
      <c r="BF1434" s="59"/>
      <c r="BG1434" s="59"/>
      <c r="BH1434" s="59"/>
      <c r="BI1434" s="59"/>
      <c r="BJ1434" s="59"/>
      <c r="BK1434" s="59"/>
      <c r="BL1434" s="59"/>
      <c r="BM1434" s="59"/>
      <c r="BN1434" s="59"/>
      <c r="BO1434" s="59"/>
      <c r="BP1434" s="59"/>
      <c r="BQ1434" s="59"/>
      <c r="BR1434" s="59"/>
      <c r="BS1434" s="59"/>
      <c r="BT1434" s="59"/>
      <c r="BU1434" s="59"/>
      <c r="BV1434" s="59"/>
      <c r="BW1434" s="59"/>
      <c r="BX1434" s="59"/>
      <c r="BY1434" s="59"/>
      <c r="BZ1434" s="59"/>
      <c r="CA1434" s="59"/>
      <c r="CB1434" s="59"/>
      <c r="CC1434" s="59"/>
      <c r="CD1434" s="59"/>
      <c r="CE1434" s="59"/>
      <c r="CF1434" s="59"/>
      <c r="CG1434" s="59"/>
      <c r="CH1434" s="59"/>
      <c r="CI1434" s="59"/>
      <c r="CJ1434" s="59"/>
      <c r="CK1434" s="59"/>
      <c r="CL1434" s="59"/>
      <c r="CM1434" s="59"/>
      <c r="CN1434" s="59"/>
      <c r="CO1434" s="59"/>
      <c r="CP1434" s="59"/>
      <c r="CQ1434" s="59"/>
      <c r="CR1434" s="59"/>
      <c r="CS1434" s="59"/>
      <c r="CT1434" s="59"/>
      <c r="CU1434" s="59"/>
      <c r="CV1434" s="59"/>
      <c r="CW1434" s="59"/>
      <c r="CX1434" s="59"/>
      <c r="CY1434" s="59"/>
      <c r="CZ1434" s="59"/>
      <c r="DA1434" s="59"/>
      <c r="DB1434" s="59"/>
      <c r="DC1434" s="59"/>
      <c r="DD1434" s="59"/>
      <c r="DE1434" s="59"/>
      <c r="DF1434" s="59"/>
      <c r="DG1434" s="59"/>
      <c r="DH1434" s="59"/>
      <c r="DI1434" s="59"/>
      <c r="DJ1434" s="59"/>
      <c r="DK1434" s="59"/>
      <c r="DL1434" s="59"/>
      <c r="DM1434" s="59"/>
      <c r="DN1434" s="59"/>
      <c r="DO1434" s="59"/>
      <c r="DP1434" s="59"/>
      <c r="DQ1434" s="59"/>
      <c r="DR1434" s="59"/>
      <c r="DS1434" s="59"/>
      <c r="DT1434" s="59"/>
      <c r="DU1434" s="59"/>
      <c r="DV1434" s="59"/>
      <c r="DW1434" s="59"/>
      <c r="DX1434" s="59"/>
      <c r="DY1434" s="59"/>
      <c r="DZ1434" s="59"/>
      <c r="EA1434" s="59"/>
      <c r="EB1434" s="59"/>
      <c r="EC1434" s="59"/>
      <c r="ED1434" s="59"/>
      <c r="EE1434" s="59"/>
      <c r="EF1434" s="59"/>
      <c r="EG1434" s="59"/>
      <c r="EH1434" s="59"/>
      <c r="EI1434" s="59"/>
      <c r="EJ1434" s="59"/>
      <c r="EK1434" s="59"/>
      <c r="EL1434" s="59"/>
      <c r="EM1434" s="59"/>
      <c r="EN1434" s="59"/>
      <c r="EO1434" s="59"/>
      <c r="EP1434" s="59"/>
      <c r="EQ1434" s="59"/>
      <c r="ER1434" s="59"/>
      <c r="ES1434" s="59"/>
      <c r="ET1434" s="59"/>
      <c r="EU1434" s="59"/>
      <c r="EV1434" s="59"/>
      <c r="EW1434" s="59"/>
      <c r="EX1434" s="59"/>
      <c r="EY1434" s="59"/>
      <c r="EZ1434" s="59"/>
      <c r="FA1434" s="59"/>
      <c r="FB1434" s="59"/>
      <c r="FC1434" s="59"/>
      <c r="FD1434" s="59"/>
      <c r="FE1434" s="59"/>
      <c r="FF1434" s="59"/>
      <c r="FG1434" s="59"/>
      <c r="FH1434" s="59"/>
      <c r="FI1434" s="59"/>
      <c r="FJ1434" s="59"/>
      <c r="FK1434" s="59"/>
      <c r="FL1434" s="59"/>
      <c r="FM1434" s="59"/>
      <c r="FN1434" s="59"/>
      <c r="FO1434" s="59"/>
      <c r="FP1434" s="59"/>
      <c r="FQ1434" s="59"/>
      <c r="FR1434" s="59"/>
      <c r="FS1434" s="59"/>
      <c r="FT1434" s="59"/>
      <c r="FU1434" s="59"/>
      <c r="FV1434" s="59"/>
      <c r="FW1434" s="59"/>
      <c r="FX1434" s="59"/>
      <c r="FY1434" s="59"/>
      <c r="FZ1434" s="59"/>
      <c r="GA1434" s="59"/>
      <c r="GB1434" s="59"/>
      <c r="GC1434" s="59"/>
    </row>
    <row r="1435">
      <c r="A1435" s="59"/>
      <c r="B1435" s="59"/>
      <c r="C1435" s="59"/>
      <c r="D1435" s="59"/>
      <c r="E1435" s="59"/>
      <c r="F1435" s="59"/>
      <c r="G1435" s="59"/>
      <c r="H1435" s="59"/>
      <c r="I1435" s="59"/>
      <c r="J1435" s="59"/>
      <c r="K1435" s="59"/>
      <c r="L1435" s="59"/>
      <c r="M1435" s="59"/>
      <c r="N1435" s="59"/>
      <c r="O1435" s="59"/>
      <c r="P1435" s="59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59"/>
      <c r="AG1435" s="59"/>
      <c r="AH1435" s="59"/>
      <c r="AI1435" s="59"/>
      <c r="AJ1435" s="59"/>
      <c r="AK1435" s="59"/>
      <c r="AL1435" s="59"/>
      <c r="AM1435" s="59"/>
      <c r="AN1435" s="59"/>
      <c r="AO1435" s="59"/>
      <c r="AP1435" s="59"/>
      <c r="AQ1435" s="59"/>
      <c r="AR1435" s="59"/>
      <c r="AS1435" s="59"/>
      <c r="AT1435" s="59"/>
      <c r="AU1435" s="59"/>
      <c r="AV1435" s="59"/>
      <c r="AW1435" s="59"/>
      <c r="AX1435" s="59"/>
      <c r="AY1435" s="59"/>
      <c r="AZ1435" s="59"/>
      <c r="BA1435" s="59"/>
      <c r="BB1435" s="59"/>
      <c r="BC1435" s="59"/>
      <c r="BD1435" s="59"/>
      <c r="BE1435" s="59"/>
      <c r="BF1435" s="59"/>
      <c r="BG1435" s="59"/>
      <c r="BH1435" s="59"/>
      <c r="BI1435" s="59"/>
      <c r="BJ1435" s="59"/>
      <c r="BK1435" s="59"/>
      <c r="BL1435" s="59"/>
      <c r="BM1435" s="59"/>
      <c r="BN1435" s="59"/>
      <c r="BO1435" s="59"/>
      <c r="BP1435" s="59"/>
      <c r="BQ1435" s="59"/>
      <c r="BR1435" s="59"/>
      <c r="BS1435" s="59"/>
      <c r="BT1435" s="59"/>
      <c r="BU1435" s="59"/>
      <c r="BV1435" s="59"/>
      <c r="BW1435" s="59"/>
      <c r="BX1435" s="59"/>
      <c r="BY1435" s="59"/>
      <c r="BZ1435" s="59"/>
      <c r="CA1435" s="59"/>
      <c r="CB1435" s="59"/>
      <c r="CC1435" s="59"/>
      <c r="CD1435" s="59"/>
      <c r="CE1435" s="59"/>
      <c r="CF1435" s="59"/>
      <c r="CG1435" s="59"/>
      <c r="CH1435" s="59"/>
      <c r="CI1435" s="59"/>
      <c r="CJ1435" s="59"/>
      <c r="CK1435" s="59"/>
      <c r="CL1435" s="59"/>
      <c r="CM1435" s="59"/>
      <c r="CN1435" s="59"/>
      <c r="CO1435" s="59"/>
      <c r="CP1435" s="59"/>
      <c r="CQ1435" s="59"/>
      <c r="CR1435" s="59"/>
      <c r="CS1435" s="59"/>
      <c r="CT1435" s="59"/>
      <c r="CU1435" s="59"/>
      <c r="CV1435" s="59"/>
      <c r="CW1435" s="59"/>
      <c r="CX1435" s="59"/>
      <c r="CY1435" s="59"/>
      <c r="CZ1435" s="59"/>
      <c r="DA1435" s="59"/>
      <c r="DB1435" s="59"/>
      <c r="DC1435" s="59"/>
      <c r="DD1435" s="59"/>
      <c r="DE1435" s="59"/>
      <c r="DF1435" s="59"/>
      <c r="DG1435" s="59"/>
      <c r="DH1435" s="59"/>
      <c r="DI1435" s="59"/>
      <c r="DJ1435" s="59"/>
      <c r="DK1435" s="59"/>
      <c r="DL1435" s="59"/>
      <c r="DM1435" s="59"/>
      <c r="DN1435" s="59"/>
      <c r="DO1435" s="59"/>
      <c r="DP1435" s="59"/>
      <c r="DQ1435" s="59"/>
      <c r="DR1435" s="59"/>
      <c r="DS1435" s="59"/>
      <c r="DT1435" s="59"/>
      <c r="DU1435" s="59"/>
      <c r="DV1435" s="59"/>
      <c r="DW1435" s="59"/>
      <c r="DX1435" s="59"/>
      <c r="DY1435" s="59"/>
      <c r="DZ1435" s="59"/>
      <c r="EA1435" s="59"/>
      <c r="EB1435" s="59"/>
      <c r="EC1435" s="59"/>
      <c r="ED1435" s="59"/>
      <c r="EE1435" s="59"/>
      <c r="EF1435" s="59"/>
      <c r="EG1435" s="59"/>
      <c r="EH1435" s="59"/>
      <c r="EI1435" s="59"/>
      <c r="EJ1435" s="59"/>
      <c r="EK1435" s="59"/>
      <c r="EL1435" s="59"/>
      <c r="EM1435" s="59"/>
      <c r="EN1435" s="59"/>
      <c r="EO1435" s="59"/>
      <c r="EP1435" s="59"/>
      <c r="EQ1435" s="59"/>
      <c r="ER1435" s="59"/>
      <c r="ES1435" s="59"/>
      <c r="ET1435" s="59"/>
      <c r="EU1435" s="59"/>
      <c r="EV1435" s="59"/>
      <c r="EW1435" s="59"/>
      <c r="EX1435" s="59"/>
      <c r="EY1435" s="59"/>
      <c r="EZ1435" s="59"/>
      <c r="FA1435" s="59"/>
      <c r="FB1435" s="59"/>
      <c r="FC1435" s="59"/>
      <c r="FD1435" s="59"/>
      <c r="FE1435" s="59"/>
      <c r="FF1435" s="59"/>
      <c r="FG1435" s="59"/>
      <c r="FH1435" s="59"/>
      <c r="FI1435" s="59"/>
      <c r="FJ1435" s="59"/>
      <c r="FK1435" s="59"/>
      <c r="FL1435" s="59"/>
      <c r="FM1435" s="59"/>
      <c r="FN1435" s="59"/>
      <c r="FO1435" s="59"/>
      <c r="FP1435" s="59"/>
      <c r="FQ1435" s="59"/>
      <c r="FR1435" s="59"/>
      <c r="FS1435" s="59"/>
      <c r="FT1435" s="59"/>
      <c r="FU1435" s="59"/>
      <c r="FV1435" s="59"/>
      <c r="FW1435" s="59"/>
      <c r="FX1435" s="59"/>
      <c r="FY1435" s="59"/>
      <c r="FZ1435" s="59"/>
      <c r="GA1435" s="59"/>
      <c r="GB1435" s="59"/>
      <c r="GC1435" s="59"/>
    </row>
    <row r="1436">
      <c r="A1436" s="59"/>
      <c r="B1436" s="59"/>
      <c r="C1436" s="59"/>
      <c r="D1436" s="59"/>
      <c r="E1436" s="59"/>
      <c r="F1436" s="59"/>
      <c r="G1436" s="59"/>
      <c r="H1436" s="59"/>
      <c r="I1436" s="59"/>
      <c r="J1436" s="59"/>
      <c r="K1436" s="59"/>
      <c r="L1436" s="59"/>
      <c r="M1436" s="59"/>
      <c r="N1436" s="59"/>
      <c r="O1436" s="59"/>
      <c r="P1436" s="59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  <c r="AD1436" s="59"/>
      <c r="AE1436" s="59"/>
      <c r="AF1436" s="59"/>
      <c r="AG1436" s="59"/>
      <c r="AH1436" s="59"/>
      <c r="AI1436" s="59"/>
      <c r="AJ1436" s="59"/>
      <c r="AK1436" s="59"/>
      <c r="AL1436" s="59"/>
      <c r="AM1436" s="59"/>
      <c r="AN1436" s="59"/>
      <c r="AO1436" s="59"/>
      <c r="AP1436" s="59"/>
      <c r="AQ1436" s="59"/>
      <c r="AR1436" s="59"/>
      <c r="AS1436" s="59"/>
      <c r="AT1436" s="59"/>
      <c r="AU1436" s="59"/>
      <c r="AV1436" s="59"/>
      <c r="AW1436" s="59"/>
      <c r="AX1436" s="59"/>
      <c r="AY1436" s="59"/>
      <c r="AZ1436" s="59"/>
      <c r="BA1436" s="59"/>
      <c r="BB1436" s="59"/>
      <c r="BC1436" s="59"/>
      <c r="BD1436" s="59"/>
      <c r="BE1436" s="59"/>
      <c r="BF1436" s="59"/>
      <c r="BG1436" s="59"/>
      <c r="BH1436" s="59"/>
      <c r="BI1436" s="59"/>
      <c r="BJ1436" s="59"/>
      <c r="BK1436" s="59"/>
      <c r="BL1436" s="59"/>
      <c r="BM1436" s="59"/>
      <c r="BN1436" s="59"/>
      <c r="BO1436" s="59"/>
      <c r="BP1436" s="59"/>
      <c r="BQ1436" s="59"/>
      <c r="BR1436" s="59"/>
      <c r="BS1436" s="59"/>
      <c r="BT1436" s="59"/>
      <c r="BU1436" s="59"/>
      <c r="BV1436" s="59"/>
      <c r="BW1436" s="59"/>
      <c r="BX1436" s="59"/>
      <c r="BY1436" s="59"/>
      <c r="BZ1436" s="59"/>
      <c r="CA1436" s="59"/>
      <c r="CB1436" s="59"/>
      <c r="CC1436" s="59"/>
      <c r="CD1436" s="59"/>
      <c r="CE1436" s="59"/>
      <c r="CF1436" s="59"/>
      <c r="CG1436" s="59"/>
      <c r="CH1436" s="59"/>
      <c r="CI1436" s="59"/>
      <c r="CJ1436" s="59"/>
      <c r="CK1436" s="59"/>
      <c r="CL1436" s="59"/>
      <c r="CM1436" s="59"/>
      <c r="CN1436" s="59"/>
      <c r="CO1436" s="59"/>
      <c r="CP1436" s="59"/>
      <c r="CQ1436" s="59"/>
      <c r="CR1436" s="59"/>
      <c r="CS1436" s="59"/>
      <c r="CT1436" s="59"/>
      <c r="CU1436" s="59"/>
      <c r="CV1436" s="59"/>
      <c r="CW1436" s="59"/>
      <c r="CX1436" s="59"/>
      <c r="CY1436" s="59"/>
      <c r="CZ1436" s="59"/>
      <c r="DA1436" s="59"/>
      <c r="DB1436" s="59"/>
      <c r="DC1436" s="59"/>
      <c r="DD1436" s="59"/>
      <c r="DE1436" s="59"/>
      <c r="DF1436" s="59"/>
      <c r="DG1436" s="59"/>
      <c r="DH1436" s="59"/>
      <c r="DI1436" s="59"/>
      <c r="DJ1436" s="59"/>
      <c r="DK1436" s="59"/>
      <c r="DL1436" s="59"/>
      <c r="DM1436" s="59"/>
      <c r="DN1436" s="59"/>
      <c r="DO1436" s="59"/>
      <c r="DP1436" s="59"/>
      <c r="DQ1436" s="59"/>
      <c r="DR1436" s="59"/>
      <c r="DS1436" s="59"/>
      <c r="DT1436" s="59"/>
      <c r="DU1436" s="59"/>
      <c r="DV1436" s="59"/>
      <c r="DW1436" s="59"/>
      <c r="DX1436" s="59"/>
      <c r="DY1436" s="59"/>
      <c r="DZ1436" s="59"/>
      <c r="EA1436" s="59"/>
      <c r="EB1436" s="59"/>
      <c r="EC1436" s="59"/>
      <c r="ED1436" s="59"/>
      <c r="EE1436" s="59"/>
      <c r="EF1436" s="59"/>
      <c r="EG1436" s="59"/>
      <c r="EH1436" s="59"/>
      <c r="EI1436" s="59"/>
      <c r="EJ1436" s="59"/>
      <c r="EK1436" s="59"/>
      <c r="EL1436" s="59"/>
      <c r="EM1436" s="59"/>
      <c r="EN1436" s="59"/>
      <c r="EO1436" s="59"/>
      <c r="EP1436" s="59"/>
      <c r="EQ1436" s="59"/>
      <c r="ER1436" s="59"/>
      <c r="ES1436" s="59"/>
      <c r="ET1436" s="59"/>
      <c r="EU1436" s="59"/>
      <c r="EV1436" s="59"/>
      <c r="EW1436" s="59"/>
      <c r="EX1436" s="59"/>
      <c r="EY1436" s="59"/>
      <c r="EZ1436" s="59"/>
      <c r="FA1436" s="59"/>
      <c r="FB1436" s="59"/>
      <c r="FC1436" s="59"/>
      <c r="FD1436" s="59"/>
      <c r="FE1436" s="59"/>
      <c r="FF1436" s="59"/>
      <c r="FG1436" s="59"/>
      <c r="FH1436" s="59"/>
      <c r="FI1436" s="59"/>
      <c r="FJ1436" s="59"/>
      <c r="FK1436" s="59"/>
      <c r="FL1436" s="59"/>
      <c r="FM1436" s="59"/>
      <c r="FN1436" s="59"/>
      <c r="FO1436" s="59"/>
      <c r="FP1436" s="59"/>
      <c r="FQ1436" s="59"/>
      <c r="FR1436" s="59"/>
      <c r="FS1436" s="59"/>
      <c r="FT1436" s="59"/>
      <c r="FU1436" s="59"/>
      <c r="FV1436" s="59"/>
      <c r="FW1436" s="59"/>
      <c r="FX1436" s="59"/>
      <c r="FY1436" s="59"/>
      <c r="FZ1436" s="59"/>
      <c r="GA1436" s="59"/>
      <c r="GB1436" s="59"/>
      <c r="GC1436" s="59"/>
    </row>
    <row r="1437">
      <c r="A1437" s="59"/>
      <c r="B1437" s="59"/>
      <c r="C1437" s="59"/>
      <c r="D1437" s="59"/>
      <c r="E1437" s="59"/>
      <c r="F1437" s="59"/>
      <c r="G1437" s="59"/>
      <c r="H1437" s="59"/>
      <c r="I1437" s="59"/>
      <c r="J1437" s="59"/>
      <c r="K1437" s="59"/>
      <c r="L1437" s="59"/>
      <c r="M1437" s="59"/>
      <c r="N1437" s="59"/>
      <c r="O1437" s="59"/>
      <c r="P1437" s="59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  <c r="AD1437" s="59"/>
      <c r="AE1437" s="59"/>
      <c r="AF1437" s="59"/>
      <c r="AG1437" s="59"/>
      <c r="AH1437" s="59"/>
      <c r="AI1437" s="59"/>
      <c r="AJ1437" s="59"/>
      <c r="AK1437" s="59"/>
      <c r="AL1437" s="59"/>
      <c r="AM1437" s="59"/>
      <c r="AN1437" s="59"/>
      <c r="AO1437" s="59"/>
      <c r="AP1437" s="59"/>
      <c r="AQ1437" s="59"/>
      <c r="AR1437" s="59"/>
      <c r="AS1437" s="59"/>
      <c r="AT1437" s="59"/>
      <c r="AU1437" s="59"/>
      <c r="AV1437" s="59"/>
      <c r="AW1437" s="59"/>
      <c r="AX1437" s="59"/>
      <c r="AY1437" s="59"/>
      <c r="AZ1437" s="59"/>
      <c r="BA1437" s="59"/>
      <c r="BB1437" s="59"/>
      <c r="BC1437" s="59"/>
      <c r="BD1437" s="59"/>
      <c r="BE1437" s="59"/>
      <c r="BF1437" s="59"/>
      <c r="BG1437" s="59"/>
      <c r="BH1437" s="59"/>
      <c r="BI1437" s="59"/>
      <c r="BJ1437" s="59"/>
      <c r="BK1437" s="59"/>
      <c r="BL1437" s="59"/>
      <c r="BM1437" s="59"/>
      <c r="BN1437" s="59"/>
      <c r="BO1437" s="59"/>
      <c r="BP1437" s="59"/>
      <c r="BQ1437" s="59"/>
      <c r="BR1437" s="59"/>
      <c r="BS1437" s="59"/>
      <c r="BT1437" s="59"/>
      <c r="BU1437" s="59"/>
      <c r="BV1437" s="59"/>
      <c r="BW1437" s="59"/>
      <c r="BX1437" s="59"/>
      <c r="BY1437" s="59"/>
      <c r="BZ1437" s="59"/>
      <c r="CA1437" s="59"/>
      <c r="CB1437" s="59"/>
      <c r="CC1437" s="59"/>
      <c r="CD1437" s="59"/>
      <c r="CE1437" s="59"/>
      <c r="CF1437" s="59"/>
      <c r="CG1437" s="59"/>
      <c r="CH1437" s="59"/>
      <c r="CI1437" s="59"/>
      <c r="CJ1437" s="59"/>
      <c r="CK1437" s="59"/>
      <c r="CL1437" s="59"/>
      <c r="CM1437" s="59"/>
      <c r="CN1437" s="59"/>
      <c r="CO1437" s="59"/>
      <c r="CP1437" s="59"/>
      <c r="CQ1437" s="59"/>
      <c r="CR1437" s="59"/>
      <c r="CS1437" s="59"/>
      <c r="CT1437" s="59"/>
      <c r="CU1437" s="59"/>
      <c r="CV1437" s="59"/>
      <c r="CW1437" s="59"/>
      <c r="CX1437" s="59"/>
      <c r="CY1437" s="59"/>
      <c r="CZ1437" s="59"/>
      <c r="DA1437" s="59"/>
      <c r="DB1437" s="59"/>
      <c r="DC1437" s="59"/>
      <c r="DD1437" s="59"/>
      <c r="DE1437" s="59"/>
      <c r="DF1437" s="59"/>
      <c r="DG1437" s="59"/>
      <c r="DH1437" s="59"/>
      <c r="DI1437" s="59"/>
      <c r="DJ1437" s="59"/>
      <c r="DK1437" s="59"/>
      <c r="DL1437" s="59"/>
      <c r="DM1437" s="59"/>
      <c r="DN1437" s="59"/>
      <c r="DO1437" s="59"/>
      <c r="DP1437" s="59"/>
      <c r="DQ1437" s="59"/>
      <c r="DR1437" s="59"/>
      <c r="DS1437" s="59"/>
      <c r="DT1437" s="59"/>
      <c r="DU1437" s="59"/>
      <c r="DV1437" s="59"/>
      <c r="DW1437" s="59"/>
      <c r="DX1437" s="59"/>
      <c r="DY1437" s="59"/>
      <c r="DZ1437" s="59"/>
      <c r="EA1437" s="59"/>
      <c r="EB1437" s="59"/>
      <c r="EC1437" s="59"/>
      <c r="ED1437" s="59"/>
      <c r="EE1437" s="59"/>
      <c r="EF1437" s="59"/>
      <c r="EG1437" s="59"/>
      <c r="EH1437" s="59"/>
      <c r="EI1437" s="59"/>
      <c r="EJ1437" s="59"/>
      <c r="EK1437" s="59"/>
      <c r="EL1437" s="59"/>
      <c r="EM1437" s="59"/>
      <c r="EN1437" s="59"/>
      <c r="EO1437" s="59"/>
      <c r="EP1437" s="59"/>
      <c r="EQ1437" s="59"/>
      <c r="ER1437" s="59"/>
      <c r="ES1437" s="59"/>
      <c r="ET1437" s="59"/>
      <c r="EU1437" s="59"/>
      <c r="EV1437" s="59"/>
      <c r="EW1437" s="59"/>
      <c r="EX1437" s="59"/>
      <c r="EY1437" s="59"/>
      <c r="EZ1437" s="59"/>
      <c r="FA1437" s="59"/>
      <c r="FB1437" s="59"/>
      <c r="FC1437" s="59"/>
      <c r="FD1437" s="59"/>
      <c r="FE1437" s="59"/>
      <c r="FF1437" s="59"/>
      <c r="FG1437" s="59"/>
      <c r="FH1437" s="59"/>
      <c r="FI1437" s="59"/>
      <c r="FJ1437" s="59"/>
      <c r="FK1437" s="59"/>
      <c r="FL1437" s="59"/>
      <c r="FM1437" s="59"/>
      <c r="FN1437" s="59"/>
      <c r="FO1437" s="59"/>
      <c r="FP1437" s="59"/>
      <c r="FQ1437" s="59"/>
      <c r="FR1437" s="59"/>
      <c r="FS1437" s="59"/>
      <c r="FT1437" s="59"/>
      <c r="FU1437" s="59"/>
      <c r="FV1437" s="59"/>
      <c r="FW1437" s="59"/>
      <c r="FX1437" s="59"/>
      <c r="FY1437" s="59"/>
      <c r="FZ1437" s="59"/>
      <c r="GA1437" s="59"/>
      <c r="GB1437" s="59"/>
      <c r="GC1437" s="59"/>
    </row>
    <row r="1438">
      <c r="A1438" s="59"/>
      <c r="B1438" s="59"/>
      <c r="C1438" s="59"/>
      <c r="D1438" s="59"/>
      <c r="E1438" s="59"/>
      <c r="F1438" s="59"/>
      <c r="G1438" s="59"/>
      <c r="H1438" s="59"/>
      <c r="I1438" s="59"/>
      <c r="J1438" s="59"/>
      <c r="K1438" s="59"/>
      <c r="L1438" s="59"/>
      <c r="M1438" s="59"/>
      <c r="N1438" s="59"/>
      <c r="O1438" s="59"/>
      <c r="P1438" s="59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59"/>
      <c r="AI1438" s="59"/>
      <c r="AJ1438" s="59"/>
      <c r="AK1438" s="59"/>
      <c r="AL1438" s="59"/>
      <c r="AM1438" s="59"/>
      <c r="AN1438" s="59"/>
      <c r="AO1438" s="59"/>
      <c r="AP1438" s="59"/>
      <c r="AQ1438" s="59"/>
      <c r="AR1438" s="59"/>
      <c r="AS1438" s="59"/>
      <c r="AT1438" s="59"/>
      <c r="AU1438" s="59"/>
      <c r="AV1438" s="59"/>
      <c r="AW1438" s="59"/>
      <c r="AX1438" s="59"/>
      <c r="AY1438" s="59"/>
      <c r="AZ1438" s="59"/>
      <c r="BA1438" s="59"/>
      <c r="BB1438" s="59"/>
      <c r="BC1438" s="59"/>
      <c r="BD1438" s="59"/>
      <c r="BE1438" s="59"/>
      <c r="BF1438" s="59"/>
      <c r="BG1438" s="59"/>
      <c r="BH1438" s="59"/>
      <c r="BI1438" s="59"/>
      <c r="BJ1438" s="59"/>
      <c r="BK1438" s="59"/>
      <c r="BL1438" s="59"/>
      <c r="BM1438" s="59"/>
      <c r="BN1438" s="59"/>
      <c r="BO1438" s="59"/>
      <c r="BP1438" s="59"/>
      <c r="BQ1438" s="59"/>
      <c r="BR1438" s="59"/>
      <c r="BS1438" s="59"/>
      <c r="BT1438" s="59"/>
      <c r="BU1438" s="59"/>
      <c r="BV1438" s="59"/>
      <c r="BW1438" s="59"/>
      <c r="BX1438" s="59"/>
      <c r="BY1438" s="59"/>
      <c r="BZ1438" s="59"/>
      <c r="CA1438" s="59"/>
      <c r="CB1438" s="59"/>
      <c r="CC1438" s="59"/>
      <c r="CD1438" s="59"/>
      <c r="CE1438" s="59"/>
      <c r="CF1438" s="59"/>
      <c r="CG1438" s="59"/>
      <c r="CH1438" s="59"/>
      <c r="CI1438" s="59"/>
      <c r="CJ1438" s="59"/>
      <c r="CK1438" s="59"/>
      <c r="CL1438" s="59"/>
      <c r="CM1438" s="59"/>
      <c r="CN1438" s="59"/>
      <c r="CO1438" s="59"/>
      <c r="CP1438" s="59"/>
      <c r="CQ1438" s="59"/>
      <c r="CR1438" s="59"/>
      <c r="CS1438" s="59"/>
      <c r="CT1438" s="59"/>
      <c r="CU1438" s="59"/>
      <c r="CV1438" s="59"/>
      <c r="CW1438" s="59"/>
      <c r="CX1438" s="59"/>
      <c r="CY1438" s="59"/>
      <c r="CZ1438" s="59"/>
      <c r="DA1438" s="59"/>
      <c r="DB1438" s="59"/>
      <c r="DC1438" s="59"/>
      <c r="DD1438" s="59"/>
      <c r="DE1438" s="59"/>
      <c r="DF1438" s="59"/>
      <c r="DG1438" s="59"/>
      <c r="DH1438" s="59"/>
      <c r="DI1438" s="59"/>
      <c r="DJ1438" s="59"/>
      <c r="DK1438" s="59"/>
      <c r="DL1438" s="59"/>
      <c r="DM1438" s="59"/>
      <c r="DN1438" s="59"/>
      <c r="DO1438" s="59"/>
      <c r="DP1438" s="59"/>
      <c r="DQ1438" s="59"/>
      <c r="DR1438" s="59"/>
      <c r="DS1438" s="59"/>
      <c r="DT1438" s="59"/>
      <c r="DU1438" s="59"/>
      <c r="DV1438" s="59"/>
      <c r="DW1438" s="59"/>
      <c r="DX1438" s="59"/>
      <c r="DY1438" s="59"/>
      <c r="DZ1438" s="59"/>
      <c r="EA1438" s="59"/>
      <c r="EB1438" s="59"/>
      <c r="EC1438" s="59"/>
      <c r="ED1438" s="59"/>
      <c r="EE1438" s="59"/>
      <c r="EF1438" s="59"/>
      <c r="EG1438" s="59"/>
      <c r="EH1438" s="59"/>
      <c r="EI1438" s="59"/>
      <c r="EJ1438" s="59"/>
      <c r="EK1438" s="59"/>
      <c r="EL1438" s="59"/>
      <c r="EM1438" s="59"/>
      <c r="EN1438" s="59"/>
      <c r="EO1438" s="59"/>
      <c r="EP1438" s="59"/>
      <c r="EQ1438" s="59"/>
      <c r="ER1438" s="59"/>
      <c r="ES1438" s="59"/>
      <c r="ET1438" s="59"/>
      <c r="EU1438" s="59"/>
      <c r="EV1438" s="59"/>
      <c r="EW1438" s="59"/>
      <c r="EX1438" s="59"/>
      <c r="EY1438" s="59"/>
      <c r="EZ1438" s="59"/>
      <c r="FA1438" s="59"/>
      <c r="FB1438" s="59"/>
      <c r="FC1438" s="59"/>
      <c r="FD1438" s="59"/>
      <c r="FE1438" s="59"/>
      <c r="FF1438" s="59"/>
      <c r="FG1438" s="59"/>
      <c r="FH1438" s="59"/>
      <c r="FI1438" s="59"/>
      <c r="FJ1438" s="59"/>
      <c r="FK1438" s="59"/>
      <c r="FL1438" s="59"/>
      <c r="FM1438" s="59"/>
      <c r="FN1438" s="59"/>
      <c r="FO1438" s="59"/>
      <c r="FP1438" s="59"/>
      <c r="FQ1438" s="59"/>
      <c r="FR1438" s="59"/>
      <c r="FS1438" s="59"/>
      <c r="FT1438" s="59"/>
      <c r="FU1438" s="59"/>
      <c r="FV1438" s="59"/>
      <c r="FW1438" s="59"/>
      <c r="FX1438" s="59"/>
      <c r="FY1438" s="59"/>
      <c r="FZ1438" s="59"/>
      <c r="GA1438" s="59"/>
      <c r="GB1438" s="59"/>
      <c r="GC1438" s="59"/>
    </row>
    <row r="1439">
      <c r="A1439" s="59"/>
      <c r="B1439" s="59"/>
      <c r="C1439" s="59"/>
      <c r="D1439" s="59"/>
      <c r="E1439" s="59"/>
      <c r="F1439" s="59"/>
      <c r="G1439" s="59"/>
      <c r="H1439" s="59"/>
      <c r="I1439" s="59"/>
      <c r="J1439" s="59"/>
      <c r="K1439" s="59"/>
      <c r="L1439" s="59"/>
      <c r="M1439" s="59"/>
      <c r="N1439" s="59"/>
      <c r="O1439" s="59"/>
      <c r="P1439" s="59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  <c r="AD1439" s="59"/>
      <c r="AE1439" s="59"/>
      <c r="AF1439" s="59"/>
      <c r="AG1439" s="59"/>
      <c r="AH1439" s="59"/>
      <c r="AI1439" s="59"/>
      <c r="AJ1439" s="59"/>
      <c r="AK1439" s="59"/>
      <c r="AL1439" s="59"/>
      <c r="AM1439" s="59"/>
      <c r="AN1439" s="59"/>
      <c r="AO1439" s="59"/>
      <c r="AP1439" s="59"/>
      <c r="AQ1439" s="59"/>
      <c r="AR1439" s="59"/>
      <c r="AS1439" s="59"/>
      <c r="AT1439" s="59"/>
      <c r="AU1439" s="59"/>
      <c r="AV1439" s="59"/>
      <c r="AW1439" s="59"/>
      <c r="AX1439" s="59"/>
      <c r="AY1439" s="59"/>
      <c r="AZ1439" s="59"/>
      <c r="BA1439" s="59"/>
      <c r="BB1439" s="59"/>
      <c r="BC1439" s="59"/>
      <c r="BD1439" s="59"/>
      <c r="BE1439" s="59"/>
      <c r="BF1439" s="59"/>
      <c r="BG1439" s="59"/>
      <c r="BH1439" s="59"/>
      <c r="BI1439" s="59"/>
      <c r="BJ1439" s="59"/>
      <c r="BK1439" s="59"/>
      <c r="BL1439" s="59"/>
      <c r="BM1439" s="59"/>
      <c r="BN1439" s="59"/>
      <c r="BO1439" s="59"/>
      <c r="BP1439" s="59"/>
      <c r="BQ1439" s="59"/>
      <c r="BR1439" s="59"/>
      <c r="BS1439" s="59"/>
      <c r="BT1439" s="59"/>
      <c r="BU1439" s="59"/>
      <c r="BV1439" s="59"/>
      <c r="BW1439" s="59"/>
      <c r="BX1439" s="59"/>
      <c r="BY1439" s="59"/>
      <c r="BZ1439" s="59"/>
      <c r="CA1439" s="59"/>
      <c r="CB1439" s="59"/>
      <c r="CC1439" s="59"/>
      <c r="CD1439" s="59"/>
      <c r="CE1439" s="59"/>
      <c r="CF1439" s="59"/>
      <c r="CG1439" s="59"/>
      <c r="CH1439" s="59"/>
      <c r="CI1439" s="59"/>
      <c r="CJ1439" s="59"/>
      <c r="CK1439" s="59"/>
      <c r="CL1439" s="59"/>
      <c r="CM1439" s="59"/>
      <c r="CN1439" s="59"/>
      <c r="CO1439" s="59"/>
      <c r="CP1439" s="59"/>
      <c r="CQ1439" s="59"/>
      <c r="CR1439" s="59"/>
      <c r="CS1439" s="59"/>
      <c r="CT1439" s="59"/>
      <c r="CU1439" s="59"/>
      <c r="CV1439" s="59"/>
      <c r="CW1439" s="59"/>
      <c r="CX1439" s="59"/>
      <c r="CY1439" s="59"/>
      <c r="CZ1439" s="59"/>
      <c r="DA1439" s="59"/>
      <c r="DB1439" s="59"/>
      <c r="DC1439" s="59"/>
      <c r="DD1439" s="59"/>
      <c r="DE1439" s="59"/>
      <c r="DF1439" s="59"/>
      <c r="DG1439" s="59"/>
      <c r="DH1439" s="59"/>
      <c r="DI1439" s="59"/>
      <c r="DJ1439" s="59"/>
      <c r="DK1439" s="59"/>
      <c r="DL1439" s="59"/>
      <c r="DM1439" s="59"/>
      <c r="DN1439" s="59"/>
      <c r="DO1439" s="59"/>
      <c r="DP1439" s="59"/>
      <c r="DQ1439" s="59"/>
      <c r="DR1439" s="59"/>
      <c r="DS1439" s="59"/>
      <c r="DT1439" s="59"/>
      <c r="DU1439" s="59"/>
      <c r="DV1439" s="59"/>
      <c r="DW1439" s="59"/>
      <c r="DX1439" s="59"/>
      <c r="DY1439" s="59"/>
      <c r="DZ1439" s="59"/>
      <c r="EA1439" s="59"/>
      <c r="EB1439" s="59"/>
      <c r="EC1439" s="59"/>
      <c r="ED1439" s="59"/>
      <c r="EE1439" s="59"/>
      <c r="EF1439" s="59"/>
      <c r="EG1439" s="59"/>
      <c r="EH1439" s="59"/>
      <c r="EI1439" s="59"/>
      <c r="EJ1439" s="59"/>
      <c r="EK1439" s="59"/>
      <c r="EL1439" s="59"/>
      <c r="EM1439" s="59"/>
      <c r="EN1439" s="59"/>
      <c r="EO1439" s="59"/>
      <c r="EP1439" s="59"/>
      <c r="EQ1439" s="59"/>
      <c r="ER1439" s="59"/>
      <c r="ES1439" s="59"/>
      <c r="ET1439" s="59"/>
      <c r="EU1439" s="59"/>
      <c r="EV1439" s="59"/>
      <c r="EW1439" s="59"/>
      <c r="EX1439" s="59"/>
      <c r="EY1439" s="59"/>
      <c r="EZ1439" s="59"/>
      <c r="FA1439" s="59"/>
      <c r="FB1439" s="59"/>
      <c r="FC1439" s="59"/>
      <c r="FD1439" s="59"/>
      <c r="FE1439" s="59"/>
      <c r="FF1439" s="59"/>
      <c r="FG1439" s="59"/>
      <c r="FH1439" s="59"/>
      <c r="FI1439" s="59"/>
      <c r="FJ1439" s="59"/>
      <c r="FK1439" s="59"/>
      <c r="FL1439" s="59"/>
      <c r="FM1439" s="59"/>
      <c r="FN1439" s="59"/>
      <c r="FO1439" s="59"/>
      <c r="FP1439" s="59"/>
      <c r="FQ1439" s="59"/>
      <c r="FR1439" s="59"/>
      <c r="FS1439" s="59"/>
      <c r="FT1439" s="59"/>
      <c r="FU1439" s="59"/>
      <c r="FV1439" s="59"/>
      <c r="FW1439" s="59"/>
      <c r="FX1439" s="59"/>
      <c r="FY1439" s="59"/>
      <c r="FZ1439" s="59"/>
      <c r="GA1439" s="59"/>
      <c r="GB1439" s="59"/>
      <c r="GC1439" s="59"/>
    </row>
    <row r="1440">
      <c r="A1440" s="59"/>
      <c r="B1440" s="59"/>
      <c r="C1440" s="59"/>
      <c r="D1440" s="59"/>
      <c r="E1440" s="59"/>
      <c r="F1440" s="59"/>
      <c r="G1440" s="59"/>
      <c r="H1440" s="59"/>
      <c r="I1440" s="59"/>
      <c r="J1440" s="59"/>
      <c r="K1440" s="59"/>
      <c r="L1440" s="59"/>
      <c r="M1440" s="59"/>
      <c r="N1440" s="59"/>
      <c r="O1440" s="59"/>
      <c r="P1440" s="59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  <c r="AD1440" s="59"/>
      <c r="AE1440" s="59"/>
      <c r="AF1440" s="59"/>
      <c r="AG1440" s="59"/>
      <c r="AH1440" s="59"/>
      <c r="AI1440" s="59"/>
      <c r="AJ1440" s="59"/>
      <c r="AK1440" s="59"/>
      <c r="AL1440" s="59"/>
      <c r="AM1440" s="59"/>
      <c r="AN1440" s="59"/>
      <c r="AO1440" s="59"/>
      <c r="AP1440" s="59"/>
      <c r="AQ1440" s="59"/>
      <c r="AR1440" s="59"/>
      <c r="AS1440" s="59"/>
      <c r="AT1440" s="59"/>
      <c r="AU1440" s="59"/>
      <c r="AV1440" s="59"/>
      <c r="AW1440" s="59"/>
      <c r="AX1440" s="59"/>
      <c r="AY1440" s="59"/>
      <c r="AZ1440" s="59"/>
      <c r="BA1440" s="59"/>
      <c r="BB1440" s="59"/>
      <c r="BC1440" s="59"/>
      <c r="BD1440" s="59"/>
      <c r="BE1440" s="59"/>
      <c r="BF1440" s="59"/>
      <c r="BG1440" s="59"/>
      <c r="BH1440" s="59"/>
      <c r="BI1440" s="59"/>
      <c r="BJ1440" s="59"/>
      <c r="BK1440" s="59"/>
      <c r="BL1440" s="59"/>
      <c r="BM1440" s="59"/>
      <c r="BN1440" s="59"/>
      <c r="BO1440" s="59"/>
      <c r="BP1440" s="59"/>
      <c r="BQ1440" s="59"/>
      <c r="BR1440" s="59"/>
      <c r="BS1440" s="59"/>
      <c r="BT1440" s="59"/>
      <c r="BU1440" s="59"/>
      <c r="BV1440" s="59"/>
      <c r="BW1440" s="59"/>
      <c r="BX1440" s="59"/>
      <c r="BY1440" s="59"/>
      <c r="BZ1440" s="59"/>
      <c r="CA1440" s="59"/>
      <c r="CB1440" s="59"/>
      <c r="CC1440" s="59"/>
      <c r="CD1440" s="59"/>
      <c r="CE1440" s="59"/>
      <c r="CF1440" s="59"/>
      <c r="CG1440" s="59"/>
      <c r="CH1440" s="59"/>
      <c r="CI1440" s="59"/>
      <c r="CJ1440" s="59"/>
      <c r="CK1440" s="59"/>
      <c r="CL1440" s="59"/>
      <c r="CM1440" s="59"/>
      <c r="CN1440" s="59"/>
      <c r="CO1440" s="59"/>
      <c r="CP1440" s="59"/>
      <c r="CQ1440" s="59"/>
      <c r="CR1440" s="59"/>
      <c r="CS1440" s="59"/>
      <c r="CT1440" s="59"/>
      <c r="CU1440" s="59"/>
      <c r="CV1440" s="59"/>
      <c r="CW1440" s="59"/>
      <c r="CX1440" s="59"/>
      <c r="CY1440" s="59"/>
      <c r="CZ1440" s="59"/>
      <c r="DA1440" s="59"/>
      <c r="DB1440" s="59"/>
      <c r="DC1440" s="59"/>
      <c r="DD1440" s="59"/>
      <c r="DE1440" s="59"/>
      <c r="DF1440" s="59"/>
      <c r="DG1440" s="59"/>
      <c r="DH1440" s="59"/>
      <c r="DI1440" s="59"/>
      <c r="DJ1440" s="59"/>
      <c r="DK1440" s="59"/>
      <c r="DL1440" s="59"/>
      <c r="DM1440" s="59"/>
      <c r="DN1440" s="59"/>
      <c r="DO1440" s="59"/>
      <c r="DP1440" s="59"/>
      <c r="DQ1440" s="59"/>
      <c r="DR1440" s="59"/>
      <c r="DS1440" s="59"/>
      <c r="DT1440" s="59"/>
      <c r="DU1440" s="59"/>
      <c r="DV1440" s="59"/>
      <c r="DW1440" s="59"/>
      <c r="DX1440" s="59"/>
      <c r="DY1440" s="59"/>
      <c r="DZ1440" s="59"/>
      <c r="EA1440" s="59"/>
      <c r="EB1440" s="59"/>
      <c r="EC1440" s="59"/>
      <c r="ED1440" s="59"/>
      <c r="EE1440" s="59"/>
      <c r="EF1440" s="59"/>
      <c r="EG1440" s="59"/>
      <c r="EH1440" s="59"/>
      <c r="EI1440" s="59"/>
      <c r="EJ1440" s="59"/>
      <c r="EK1440" s="59"/>
      <c r="EL1440" s="59"/>
      <c r="EM1440" s="59"/>
      <c r="EN1440" s="59"/>
      <c r="EO1440" s="59"/>
      <c r="EP1440" s="59"/>
      <c r="EQ1440" s="59"/>
      <c r="ER1440" s="59"/>
      <c r="ES1440" s="59"/>
      <c r="ET1440" s="59"/>
      <c r="EU1440" s="59"/>
      <c r="EV1440" s="59"/>
      <c r="EW1440" s="59"/>
      <c r="EX1440" s="59"/>
      <c r="EY1440" s="59"/>
      <c r="EZ1440" s="59"/>
      <c r="FA1440" s="59"/>
      <c r="FB1440" s="59"/>
      <c r="FC1440" s="59"/>
      <c r="FD1440" s="59"/>
      <c r="FE1440" s="59"/>
      <c r="FF1440" s="59"/>
      <c r="FG1440" s="59"/>
      <c r="FH1440" s="59"/>
      <c r="FI1440" s="59"/>
      <c r="FJ1440" s="59"/>
      <c r="FK1440" s="59"/>
      <c r="FL1440" s="59"/>
      <c r="FM1440" s="59"/>
      <c r="FN1440" s="59"/>
      <c r="FO1440" s="59"/>
      <c r="FP1440" s="59"/>
      <c r="FQ1440" s="59"/>
      <c r="FR1440" s="59"/>
      <c r="FS1440" s="59"/>
      <c r="FT1440" s="59"/>
      <c r="FU1440" s="59"/>
      <c r="FV1440" s="59"/>
      <c r="FW1440" s="59"/>
      <c r="FX1440" s="59"/>
      <c r="FY1440" s="59"/>
      <c r="FZ1440" s="59"/>
      <c r="GA1440" s="59"/>
      <c r="GB1440" s="59"/>
      <c r="GC1440" s="59"/>
    </row>
    <row r="1441">
      <c r="A1441" s="59"/>
      <c r="B1441" s="59"/>
      <c r="C1441" s="59"/>
      <c r="D1441" s="59"/>
      <c r="E1441" s="59"/>
      <c r="F1441" s="59"/>
      <c r="G1441" s="59"/>
      <c r="H1441" s="59"/>
      <c r="I1441" s="59"/>
      <c r="J1441" s="59"/>
      <c r="K1441" s="59"/>
      <c r="L1441" s="59"/>
      <c r="M1441" s="59"/>
      <c r="N1441" s="59"/>
      <c r="O1441" s="59"/>
      <c r="P1441" s="59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59"/>
      <c r="AG1441" s="59"/>
      <c r="AH1441" s="59"/>
      <c r="AI1441" s="59"/>
      <c r="AJ1441" s="59"/>
      <c r="AK1441" s="59"/>
      <c r="AL1441" s="59"/>
      <c r="AM1441" s="59"/>
      <c r="AN1441" s="59"/>
      <c r="AO1441" s="59"/>
      <c r="AP1441" s="59"/>
      <c r="AQ1441" s="59"/>
      <c r="AR1441" s="59"/>
      <c r="AS1441" s="59"/>
      <c r="AT1441" s="59"/>
      <c r="AU1441" s="59"/>
      <c r="AV1441" s="59"/>
      <c r="AW1441" s="59"/>
      <c r="AX1441" s="59"/>
      <c r="AY1441" s="59"/>
      <c r="AZ1441" s="59"/>
      <c r="BA1441" s="59"/>
      <c r="BB1441" s="59"/>
      <c r="BC1441" s="59"/>
      <c r="BD1441" s="59"/>
      <c r="BE1441" s="59"/>
      <c r="BF1441" s="59"/>
      <c r="BG1441" s="59"/>
      <c r="BH1441" s="59"/>
      <c r="BI1441" s="59"/>
      <c r="BJ1441" s="59"/>
      <c r="BK1441" s="59"/>
      <c r="BL1441" s="59"/>
      <c r="BM1441" s="59"/>
      <c r="BN1441" s="59"/>
      <c r="BO1441" s="59"/>
      <c r="BP1441" s="59"/>
      <c r="BQ1441" s="59"/>
      <c r="BR1441" s="59"/>
      <c r="BS1441" s="59"/>
      <c r="BT1441" s="59"/>
      <c r="BU1441" s="59"/>
      <c r="BV1441" s="59"/>
      <c r="BW1441" s="59"/>
      <c r="BX1441" s="59"/>
      <c r="BY1441" s="59"/>
      <c r="BZ1441" s="59"/>
      <c r="CA1441" s="59"/>
      <c r="CB1441" s="59"/>
      <c r="CC1441" s="59"/>
      <c r="CD1441" s="59"/>
      <c r="CE1441" s="59"/>
      <c r="CF1441" s="59"/>
      <c r="CG1441" s="59"/>
      <c r="CH1441" s="59"/>
      <c r="CI1441" s="59"/>
      <c r="CJ1441" s="59"/>
      <c r="CK1441" s="59"/>
      <c r="CL1441" s="59"/>
      <c r="CM1441" s="59"/>
      <c r="CN1441" s="59"/>
      <c r="CO1441" s="59"/>
      <c r="CP1441" s="59"/>
      <c r="CQ1441" s="59"/>
      <c r="CR1441" s="59"/>
      <c r="CS1441" s="59"/>
      <c r="CT1441" s="59"/>
      <c r="CU1441" s="59"/>
      <c r="CV1441" s="59"/>
      <c r="CW1441" s="59"/>
      <c r="CX1441" s="59"/>
      <c r="CY1441" s="59"/>
      <c r="CZ1441" s="59"/>
      <c r="DA1441" s="59"/>
      <c r="DB1441" s="59"/>
      <c r="DC1441" s="59"/>
      <c r="DD1441" s="59"/>
      <c r="DE1441" s="59"/>
      <c r="DF1441" s="59"/>
      <c r="DG1441" s="59"/>
      <c r="DH1441" s="59"/>
      <c r="DI1441" s="59"/>
      <c r="DJ1441" s="59"/>
      <c r="DK1441" s="59"/>
      <c r="DL1441" s="59"/>
      <c r="DM1441" s="59"/>
      <c r="DN1441" s="59"/>
      <c r="DO1441" s="59"/>
      <c r="DP1441" s="59"/>
      <c r="DQ1441" s="59"/>
      <c r="DR1441" s="59"/>
      <c r="DS1441" s="59"/>
      <c r="DT1441" s="59"/>
      <c r="DU1441" s="59"/>
      <c r="DV1441" s="59"/>
      <c r="DW1441" s="59"/>
      <c r="DX1441" s="59"/>
      <c r="DY1441" s="59"/>
      <c r="DZ1441" s="59"/>
      <c r="EA1441" s="59"/>
      <c r="EB1441" s="59"/>
      <c r="EC1441" s="59"/>
      <c r="ED1441" s="59"/>
      <c r="EE1441" s="59"/>
      <c r="EF1441" s="59"/>
      <c r="EG1441" s="59"/>
      <c r="EH1441" s="59"/>
      <c r="EI1441" s="59"/>
      <c r="EJ1441" s="59"/>
      <c r="EK1441" s="59"/>
      <c r="EL1441" s="59"/>
      <c r="EM1441" s="59"/>
      <c r="EN1441" s="59"/>
      <c r="EO1441" s="59"/>
      <c r="EP1441" s="59"/>
      <c r="EQ1441" s="59"/>
      <c r="ER1441" s="59"/>
      <c r="ES1441" s="59"/>
      <c r="ET1441" s="59"/>
      <c r="EU1441" s="59"/>
      <c r="EV1441" s="59"/>
      <c r="EW1441" s="59"/>
      <c r="EX1441" s="59"/>
      <c r="EY1441" s="59"/>
      <c r="EZ1441" s="59"/>
      <c r="FA1441" s="59"/>
      <c r="FB1441" s="59"/>
      <c r="FC1441" s="59"/>
      <c r="FD1441" s="59"/>
      <c r="FE1441" s="59"/>
      <c r="FF1441" s="59"/>
      <c r="FG1441" s="59"/>
      <c r="FH1441" s="59"/>
      <c r="FI1441" s="59"/>
      <c r="FJ1441" s="59"/>
      <c r="FK1441" s="59"/>
      <c r="FL1441" s="59"/>
      <c r="FM1441" s="59"/>
      <c r="FN1441" s="59"/>
      <c r="FO1441" s="59"/>
      <c r="FP1441" s="59"/>
      <c r="FQ1441" s="59"/>
      <c r="FR1441" s="59"/>
      <c r="FS1441" s="59"/>
      <c r="FT1441" s="59"/>
      <c r="FU1441" s="59"/>
      <c r="FV1441" s="59"/>
      <c r="FW1441" s="59"/>
      <c r="FX1441" s="59"/>
      <c r="FY1441" s="59"/>
      <c r="FZ1441" s="59"/>
      <c r="GA1441" s="59"/>
      <c r="GB1441" s="59"/>
      <c r="GC1441" s="59"/>
    </row>
    <row r="1442">
      <c r="A1442" s="59"/>
      <c r="B1442" s="59"/>
      <c r="C1442" s="59"/>
      <c r="D1442" s="59"/>
      <c r="E1442" s="59"/>
      <c r="F1442" s="59"/>
      <c r="G1442" s="59"/>
      <c r="H1442" s="59"/>
      <c r="I1442" s="59"/>
      <c r="J1442" s="59"/>
      <c r="K1442" s="59"/>
      <c r="L1442" s="59"/>
      <c r="M1442" s="59"/>
      <c r="N1442" s="59"/>
      <c r="O1442" s="59"/>
      <c r="P1442" s="59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  <c r="AA1442" s="59"/>
      <c r="AB1442" s="59"/>
      <c r="AC1442" s="59"/>
      <c r="AD1442" s="59"/>
      <c r="AE1442" s="59"/>
      <c r="AF1442" s="59"/>
      <c r="AG1442" s="59"/>
      <c r="AH1442" s="59"/>
      <c r="AI1442" s="59"/>
      <c r="AJ1442" s="59"/>
      <c r="AK1442" s="59"/>
      <c r="AL1442" s="59"/>
      <c r="AM1442" s="59"/>
      <c r="AN1442" s="59"/>
      <c r="AO1442" s="59"/>
      <c r="AP1442" s="59"/>
      <c r="AQ1442" s="59"/>
      <c r="AR1442" s="59"/>
      <c r="AS1442" s="59"/>
      <c r="AT1442" s="59"/>
      <c r="AU1442" s="59"/>
      <c r="AV1442" s="59"/>
      <c r="AW1442" s="59"/>
      <c r="AX1442" s="59"/>
      <c r="AY1442" s="59"/>
      <c r="AZ1442" s="59"/>
      <c r="BA1442" s="59"/>
      <c r="BB1442" s="59"/>
      <c r="BC1442" s="59"/>
      <c r="BD1442" s="59"/>
      <c r="BE1442" s="59"/>
      <c r="BF1442" s="59"/>
      <c r="BG1442" s="59"/>
      <c r="BH1442" s="59"/>
      <c r="BI1442" s="59"/>
      <c r="BJ1442" s="59"/>
      <c r="BK1442" s="59"/>
      <c r="BL1442" s="59"/>
      <c r="BM1442" s="59"/>
      <c r="BN1442" s="59"/>
      <c r="BO1442" s="59"/>
      <c r="BP1442" s="59"/>
      <c r="BQ1442" s="59"/>
      <c r="BR1442" s="59"/>
      <c r="BS1442" s="59"/>
      <c r="BT1442" s="59"/>
      <c r="BU1442" s="59"/>
      <c r="BV1442" s="59"/>
      <c r="BW1442" s="59"/>
      <c r="BX1442" s="59"/>
      <c r="BY1442" s="59"/>
      <c r="BZ1442" s="59"/>
      <c r="CA1442" s="59"/>
      <c r="CB1442" s="59"/>
      <c r="CC1442" s="59"/>
      <c r="CD1442" s="59"/>
      <c r="CE1442" s="59"/>
      <c r="CF1442" s="59"/>
      <c r="CG1442" s="59"/>
      <c r="CH1442" s="59"/>
      <c r="CI1442" s="59"/>
      <c r="CJ1442" s="59"/>
      <c r="CK1442" s="59"/>
      <c r="CL1442" s="59"/>
      <c r="CM1442" s="59"/>
      <c r="CN1442" s="59"/>
      <c r="CO1442" s="59"/>
      <c r="CP1442" s="59"/>
      <c r="CQ1442" s="59"/>
      <c r="CR1442" s="59"/>
      <c r="CS1442" s="59"/>
      <c r="CT1442" s="59"/>
      <c r="CU1442" s="59"/>
      <c r="CV1442" s="59"/>
      <c r="CW1442" s="59"/>
      <c r="CX1442" s="59"/>
      <c r="CY1442" s="59"/>
      <c r="CZ1442" s="59"/>
      <c r="DA1442" s="59"/>
      <c r="DB1442" s="59"/>
      <c r="DC1442" s="59"/>
      <c r="DD1442" s="59"/>
      <c r="DE1442" s="59"/>
      <c r="DF1442" s="59"/>
      <c r="DG1442" s="59"/>
      <c r="DH1442" s="59"/>
      <c r="DI1442" s="59"/>
      <c r="DJ1442" s="59"/>
      <c r="DK1442" s="59"/>
      <c r="DL1442" s="59"/>
      <c r="DM1442" s="59"/>
      <c r="DN1442" s="59"/>
      <c r="DO1442" s="59"/>
      <c r="DP1442" s="59"/>
      <c r="DQ1442" s="59"/>
      <c r="DR1442" s="59"/>
      <c r="DS1442" s="59"/>
      <c r="DT1442" s="59"/>
      <c r="DU1442" s="59"/>
      <c r="DV1442" s="59"/>
      <c r="DW1442" s="59"/>
      <c r="DX1442" s="59"/>
      <c r="DY1442" s="59"/>
      <c r="DZ1442" s="59"/>
      <c r="EA1442" s="59"/>
      <c r="EB1442" s="59"/>
      <c r="EC1442" s="59"/>
      <c r="ED1442" s="59"/>
      <c r="EE1442" s="59"/>
      <c r="EF1442" s="59"/>
      <c r="EG1442" s="59"/>
      <c r="EH1442" s="59"/>
      <c r="EI1442" s="59"/>
      <c r="EJ1442" s="59"/>
      <c r="EK1442" s="59"/>
      <c r="EL1442" s="59"/>
      <c r="EM1442" s="59"/>
      <c r="EN1442" s="59"/>
      <c r="EO1442" s="59"/>
      <c r="EP1442" s="59"/>
      <c r="EQ1442" s="59"/>
      <c r="ER1442" s="59"/>
      <c r="ES1442" s="59"/>
      <c r="ET1442" s="59"/>
      <c r="EU1442" s="59"/>
      <c r="EV1442" s="59"/>
      <c r="EW1442" s="59"/>
      <c r="EX1442" s="59"/>
      <c r="EY1442" s="59"/>
      <c r="EZ1442" s="59"/>
      <c r="FA1442" s="59"/>
      <c r="FB1442" s="59"/>
      <c r="FC1442" s="59"/>
      <c r="FD1442" s="59"/>
      <c r="FE1442" s="59"/>
      <c r="FF1442" s="59"/>
      <c r="FG1442" s="59"/>
      <c r="FH1442" s="59"/>
      <c r="FI1442" s="59"/>
      <c r="FJ1442" s="59"/>
      <c r="FK1442" s="59"/>
      <c r="FL1442" s="59"/>
      <c r="FM1442" s="59"/>
      <c r="FN1442" s="59"/>
      <c r="FO1442" s="59"/>
      <c r="FP1442" s="59"/>
      <c r="FQ1442" s="59"/>
      <c r="FR1442" s="59"/>
      <c r="FS1442" s="59"/>
      <c r="FT1442" s="59"/>
      <c r="FU1442" s="59"/>
      <c r="FV1442" s="59"/>
      <c r="FW1442" s="59"/>
      <c r="FX1442" s="59"/>
      <c r="FY1442" s="59"/>
      <c r="FZ1442" s="59"/>
      <c r="GA1442" s="59"/>
      <c r="GB1442" s="59"/>
      <c r="GC1442" s="59"/>
    </row>
    <row r="1443">
      <c r="A1443" s="59"/>
      <c r="B1443" s="59"/>
      <c r="C1443" s="59"/>
      <c r="D1443" s="59"/>
      <c r="E1443" s="59"/>
      <c r="F1443" s="59"/>
      <c r="G1443" s="59"/>
      <c r="H1443" s="59"/>
      <c r="I1443" s="59"/>
      <c r="J1443" s="59"/>
      <c r="K1443" s="59"/>
      <c r="L1443" s="59"/>
      <c r="M1443" s="59"/>
      <c r="N1443" s="59"/>
      <c r="O1443" s="59"/>
      <c r="P1443" s="59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59"/>
      <c r="AG1443" s="59"/>
      <c r="AH1443" s="59"/>
      <c r="AI1443" s="59"/>
      <c r="AJ1443" s="59"/>
      <c r="AK1443" s="59"/>
      <c r="AL1443" s="59"/>
      <c r="AM1443" s="59"/>
      <c r="AN1443" s="59"/>
      <c r="AO1443" s="59"/>
      <c r="AP1443" s="59"/>
      <c r="AQ1443" s="59"/>
      <c r="AR1443" s="59"/>
      <c r="AS1443" s="59"/>
      <c r="AT1443" s="59"/>
      <c r="AU1443" s="59"/>
      <c r="AV1443" s="59"/>
      <c r="AW1443" s="59"/>
      <c r="AX1443" s="59"/>
      <c r="AY1443" s="59"/>
      <c r="AZ1443" s="59"/>
      <c r="BA1443" s="59"/>
      <c r="BB1443" s="59"/>
      <c r="BC1443" s="59"/>
      <c r="BD1443" s="59"/>
      <c r="BE1443" s="59"/>
      <c r="BF1443" s="59"/>
      <c r="BG1443" s="59"/>
      <c r="BH1443" s="59"/>
      <c r="BI1443" s="59"/>
      <c r="BJ1443" s="59"/>
      <c r="BK1443" s="59"/>
      <c r="BL1443" s="59"/>
      <c r="BM1443" s="59"/>
      <c r="BN1443" s="59"/>
      <c r="BO1443" s="59"/>
      <c r="BP1443" s="59"/>
      <c r="BQ1443" s="59"/>
      <c r="BR1443" s="59"/>
      <c r="BS1443" s="59"/>
      <c r="BT1443" s="59"/>
      <c r="BU1443" s="59"/>
      <c r="BV1443" s="59"/>
      <c r="BW1443" s="59"/>
      <c r="BX1443" s="59"/>
      <c r="BY1443" s="59"/>
      <c r="BZ1443" s="59"/>
      <c r="CA1443" s="59"/>
      <c r="CB1443" s="59"/>
      <c r="CC1443" s="59"/>
      <c r="CD1443" s="59"/>
      <c r="CE1443" s="59"/>
      <c r="CF1443" s="59"/>
      <c r="CG1443" s="59"/>
      <c r="CH1443" s="59"/>
      <c r="CI1443" s="59"/>
      <c r="CJ1443" s="59"/>
      <c r="CK1443" s="59"/>
      <c r="CL1443" s="59"/>
      <c r="CM1443" s="59"/>
      <c r="CN1443" s="59"/>
      <c r="CO1443" s="59"/>
      <c r="CP1443" s="59"/>
      <c r="CQ1443" s="59"/>
      <c r="CR1443" s="59"/>
      <c r="CS1443" s="59"/>
      <c r="CT1443" s="59"/>
      <c r="CU1443" s="59"/>
      <c r="CV1443" s="59"/>
      <c r="CW1443" s="59"/>
      <c r="CX1443" s="59"/>
      <c r="CY1443" s="59"/>
      <c r="CZ1443" s="59"/>
      <c r="DA1443" s="59"/>
      <c r="DB1443" s="59"/>
      <c r="DC1443" s="59"/>
      <c r="DD1443" s="59"/>
      <c r="DE1443" s="59"/>
      <c r="DF1443" s="59"/>
      <c r="DG1443" s="59"/>
      <c r="DH1443" s="59"/>
      <c r="DI1443" s="59"/>
      <c r="DJ1443" s="59"/>
      <c r="DK1443" s="59"/>
      <c r="DL1443" s="59"/>
      <c r="DM1443" s="59"/>
      <c r="DN1443" s="59"/>
      <c r="DO1443" s="59"/>
      <c r="DP1443" s="59"/>
      <c r="DQ1443" s="59"/>
      <c r="DR1443" s="59"/>
      <c r="DS1443" s="59"/>
      <c r="DT1443" s="59"/>
      <c r="DU1443" s="59"/>
      <c r="DV1443" s="59"/>
      <c r="DW1443" s="59"/>
      <c r="DX1443" s="59"/>
      <c r="DY1443" s="59"/>
      <c r="DZ1443" s="59"/>
      <c r="EA1443" s="59"/>
      <c r="EB1443" s="59"/>
      <c r="EC1443" s="59"/>
      <c r="ED1443" s="59"/>
      <c r="EE1443" s="59"/>
      <c r="EF1443" s="59"/>
      <c r="EG1443" s="59"/>
      <c r="EH1443" s="59"/>
      <c r="EI1443" s="59"/>
      <c r="EJ1443" s="59"/>
      <c r="EK1443" s="59"/>
      <c r="EL1443" s="59"/>
      <c r="EM1443" s="59"/>
      <c r="EN1443" s="59"/>
      <c r="EO1443" s="59"/>
      <c r="EP1443" s="59"/>
      <c r="EQ1443" s="59"/>
      <c r="ER1443" s="59"/>
      <c r="ES1443" s="59"/>
      <c r="ET1443" s="59"/>
      <c r="EU1443" s="59"/>
      <c r="EV1443" s="59"/>
      <c r="EW1443" s="59"/>
      <c r="EX1443" s="59"/>
      <c r="EY1443" s="59"/>
      <c r="EZ1443" s="59"/>
      <c r="FA1443" s="59"/>
      <c r="FB1443" s="59"/>
      <c r="FC1443" s="59"/>
      <c r="FD1443" s="59"/>
      <c r="FE1443" s="59"/>
      <c r="FF1443" s="59"/>
      <c r="FG1443" s="59"/>
      <c r="FH1443" s="59"/>
      <c r="FI1443" s="59"/>
      <c r="FJ1443" s="59"/>
      <c r="FK1443" s="59"/>
      <c r="FL1443" s="59"/>
      <c r="FM1443" s="59"/>
      <c r="FN1443" s="59"/>
      <c r="FO1443" s="59"/>
      <c r="FP1443" s="59"/>
      <c r="FQ1443" s="59"/>
      <c r="FR1443" s="59"/>
      <c r="FS1443" s="59"/>
      <c r="FT1443" s="59"/>
      <c r="FU1443" s="59"/>
      <c r="FV1443" s="59"/>
      <c r="FW1443" s="59"/>
      <c r="FX1443" s="59"/>
      <c r="FY1443" s="59"/>
      <c r="FZ1443" s="59"/>
      <c r="GA1443" s="59"/>
      <c r="GB1443" s="59"/>
      <c r="GC1443" s="59"/>
    </row>
    <row r="1444">
      <c r="A1444" s="59"/>
      <c r="B1444" s="59"/>
      <c r="C1444" s="59"/>
      <c r="D1444" s="59"/>
      <c r="E1444" s="59"/>
      <c r="F1444" s="59"/>
      <c r="G1444" s="59"/>
      <c r="H1444" s="59"/>
      <c r="I1444" s="59"/>
      <c r="J1444" s="59"/>
      <c r="K1444" s="59"/>
      <c r="L1444" s="59"/>
      <c r="M1444" s="59"/>
      <c r="N1444" s="59"/>
      <c r="O1444" s="59"/>
      <c r="P1444" s="59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  <c r="AD1444" s="59"/>
      <c r="AE1444" s="59"/>
      <c r="AF1444" s="59"/>
      <c r="AG1444" s="59"/>
      <c r="AH1444" s="59"/>
      <c r="AI1444" s="59"/>
      <c r="AJ1444" s="59"/>
      <c r="AK1444" s="59"/>
      <c r="AL1444" s="59"/>
      <c r="AM1444" s="59"/>
      <c r="AN1444" s="59"/>
      <c r="AO1444" s="59"/>
      <c r="AP1444" s="59"/>
      <c r="AQ1444" s="59"/>
      <c r="AR1444" s="59"/>
      <c r="AS1444" s="59"/>
      <c r="AT1444" s="59"/>
      <c r="AU1444" s="59"/>
      <c r="AV1444" s="59"/>
      <c r="AW1444" s="59"/>
      <c r="AX1444" s="59"/>
      <c r="AY1444" s="59"/>
      <c r="AZ1444" s="59"/>
      <c r="BA1444" s="59"/>
      <c r="BB1444" s="59"/>
      <c r="BC1444" s="59"/>
      <c r="BD1444" s="59"/>
      <c r="BE1444" s="59"/>
      <c r="BF1444" s="59"/>
      <c r="BG1444" s="59"/>
      <c r="BH1444" s="59"/>
      <c r="BI1444" s="59"/>
      <c r="BJ1444" s="59"/>
      <c r="BK1444" s="59"/>
      <c r="BL1444" s="59"/>
      <c r="BM1444" s="59"/>
      <c r="BN1444" s="59"/>
      <c r="BO1444" s="59"/>
      <c r="BP1444" s="59"/>
      <c r="BQ1444" s="59"/>
      <c r="BR1444" s="59"/>
      <c r="BS1444" s="59"/>
      <c r="BT1444" s="59"/>
      <c r="BU1444" s="59"/>
      <c r="BV1444" s="59"/>
      <c r="BW1444" s="59"/>
      <c r="BX1444" s="59"/>
      <c r="BY1444" s="59"/>
      <c r="BZ1444" s="59"/>
      <c r="CA1444" s="59"/>
      <c r="CB1444" s="59"/>
      <c r="CC1444" s="59"/>
      <c r="CD1444" s="59"/>
      <c r="CE1444" s="59"/>
      <c r="CF1444" s="59"/>
      <c r="CG1444" s="59"/>
      <c r="CH1444" s="59"/>
      <c r="CI1444" s="59"/>
      <c r="CJ1444" s="59"/>
      <c r="CK1444" s="59"/>
      <c r="CL1444" s="59"/>
      <c r="CM1444" s="59"/>
      <c r="CN1444" s="59"/>
      <c r="CO1444" s="59"/>
      <c r="CP1444" s="59"/>
      <c r="CQ1444" s="59"/>
      <c r="CR1444" s="59"/>
      <c r="CS1444" s="59"/>
      <c r="CT1444" s="59"/>
      <c r="CU1444" s="59"/>
      <c r="CV1444" s="59"/>
      <c r="CW1444" s="59"/>
      <c r="CX1444" s="59"/>
      <c r="CY1444" s="59"/>
      <c r="CZ1444" s="59"/>
      <c r="DA1444" s="59"/>
      <c r="DB1444" s="59"/>
      <c r="DC1444" s="59"/>
      <c r="DD1444" s="59"/>
      <c r="DE1444" s="59"/>
      <c r="DF1444" s="59"/>
      <c r="DG1444" s="59"/>
      <c r="DH1444" s="59"/>
      <c r="DI1444" s="59"/>
      <c r="DJ1444" s="59"/>
      <c r="DK1444" s="59"/>
      <c r="DL1444" s="59"/>
      <c r="DM1444" s="59"/>
      <c r="DN1444" s="59"/>
      <c r="DO1444" s="59"/>
      <c r="DP1444" s="59"/>
      <c r="DQ1444" s="59"/>
      <c r="DR1444" s="59"/>
      <c r="DS1444" s="59"/>
      <c r="DT1444" s="59"/>
      <c r="DU1444" s="59"/>
      <c r="DV1444" s="59"/>
      <c r="DW1444" s="59"/>
      <c r="DX1444" s="59"/>
      <c r="DY1444" s="59"/>
      <c r="DZ1444" s="59"/>
      <c r="EA1444" s="59"/>
      <c r="EB1444" s="59"/>
      <c r="EC1444" s="59"/>
      <c r="ED1444" s="59"/>
      <c r="EE1444" s="59"/>
      <c r="EF1444" s="59"/>
      <c r="EG1444" s="59"/>
      <c r="EH1444" s="59"/>
      <c r="EI1444" s="59"/>
      <c r="EJ1444" s="59"/>
      <c r="EK1444" s="59"/>
      <c r="EL1444" s="59"/>
      <c r="EM1444" s="59"/>
      <c r="EN1444" s="59"/>
      <c r="EO1444" s="59"/>
      <c r="EP1444" s="59"/>
      <c r="EQ1444" s="59"/>
      <c r="ER1444" s="59"/>
      <c r="ES1444" s="59"/>
      <c r="ET1444" s="59"/>
      <c r="EU1444" s="59"/>
      <c r="EV1444" s="59"/>
      <c r="EW1444" s="59"/>
      <c r="EX1444" s="59"/>
      <c r="EY1444" s="59"/>
      <c r="EZ1444" s="59"/>
      <c r="FA1444" s="59"/>
      <c r="FB1444" s="59"/>
      <c r="FC1444" s="59"/>
      <c r="FD1444" s="59"/>
      <c r="FE1444" s="59"/>
      <c r="FF1444" s="59"/>
      <c r="FG1444" s="59"/>
      <c r="FH1444" s="59"/>
      <c r="FI1444" s="59"/>
      <c r="FJ1444" s="59"/>
      <c r="FK1444" s="59"/>
      <c r="FL1444" s="59"/>
      <c r="FM1444" s="59"/>
      <c r="FN1444" s="59"/>
      <c r="FO1444" s="59"/>
      <c r="FP1444" s="59"/>
      <c r="FQ1444" s="59"/>
      <c r="FR1444" s="59"/>
      <c r="FS1444" s="59"/>
      <c r="FT1444" s="59"/>
      <c r="FU1444" s="59"/>
      <c r="FV1444" s="59"/>
      <c r="FW1444" s="59"/>
      <c r="FX1444" s="59"/>
      <c r="FY1444" s="59"/>
      <c r="FZ1444" s="59"/>
      <c r="GA1444" s="59"/>
      <c r="GB1444" s="59"/>
      <c r="GC1444" s="59"/>
    </row>
    <row r="1445">
      <c r="A1445" s="59"/>
      <c r="B1445" s="59"/>
      <c r="C1445" s="59"/>
      <c r="D1445" s="59"/>
      <c r="E1445" s="59"/>
      <c r="F1445" s="59"/>
      <c r="G1445" s="59"/>
      <c r="H1445" s="59"/>
      <c r="I1445" s="59"/>
      <c r="J1445" s="59"/>
      <c r="K1445" s="59"/>
      <c r="L1445" s="59"/>
      <c r="M1445" s="59"/>
      <c r="N1445" s="59"/>
      <c r="O1445" s="59"/>
      <c r="P1445" s="59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  <c r="AD1445" s="59"/>
      <c r="AE1445" s="59"/>
      <c r="AF1445" s="59"/>
      <c r="AG1445" s="59"/>
      <c r="AH1445" s="59"/>
      <c r="AI1445" s="59"/>
      <c r="AJ1445" s="59"/>
      <c r="AK1445" s="59"/>
      <c r="AL1445" s="59"/>
      <c r="AM1445" s="59"/>
      <c r="AN1445" s="59"/>
      <c r="AO1445" s="59"/>
      <c r="AP1445" s="59"/>
      <c r="AQ1445" s="59"/>
      <c r="AR1445" s="59"/>
      <c r="AS1445" s="59"/>
      <c r="AT1445" s="59"/>
      <c r="AU1445" s="59"/>
      <c r="AV1445" s="59"/>
      <c r="AW1445" s="59"/>
      <c r="AX1445" s="59"/>
      <c r="AY1445" s="59"/>
      <c r="AZ1445" s="59"/>
      <c r="BA1445" s="59"/>
      <c r="BB1445" s="59"/>
      <c r="BC1445" s="59"/>
      <c r="BD1445" s="59"/>
      <c r="BE1445" s="59"/>
      <c r="BF1445" s="59"/>
      <c r="BG1445" s="59"/>
      <c r="BH1445" s="59"/>
      <c r="BI1445" s="59"/>
      <c r="BJ1445" s="59"/>
      <c r="BK1445" s="59"/>
      <c r="BL1445" s="59"/>
      <c r="BM1445" s="59"/>
      <c r="BN1445" s="59"/>
      <c r="BO1445" s="59"/>
      <c r="BP1445" s="59"/>
      <c r="BQ1445" s="59"/>
      <c r="BR1445" s="59"/>
      <c r="BS1445" s="59"/>
      <c r="BT1445" s="59"/>
      <c r="BU1445" s="59"/>
      <c r="BV1445" s="59"/>
      <c r="BW1445" s="59"/>
      <c r="BX1445" s="59"/>
      <c r="BY1445" s="59"/>
      <c r="BZ1445" s="59"/>
      <c r="CA1445" s="59"/>
      <c r="CB1445" s="59"/>
      <c r="CC1445" s="59"/>
      <c r="CD1445" s="59"/>
      <c r="CE1445" s="59"/>
      <c r="CF1445" s="59"/>
      <c r="CG1445" s="59"/>
      <c r="CH1445" s="59"/>
      <c r="CI1445" s="59"/>
      <c r="CJ1445" s="59"/>
      <c r="CK1445" s="59"/>
      <c r="CL1445" s="59"/>
      <c r="CM1445" s="59"/>
      <c r="CN1445" s="59"/>
      <c r="CO1445" s="59"/>
      <c r="CP1445" s="59"/>
      <c r="CQ1445" s="59"/>
      <c r="CR1445" s="59"/>
      <c r="CS1445" s="59"/>
      <c r="CT1445" s="59"/>
      <c r="CU1445" s="59"/>
      <c r="CV1445" s="59"/>
      <c r="CW1445" s="59"/>
      <c r="CX1445" s="59"/>
      <c r="CY1445" s="59"/>
      <c r="CZ1445" s="59"/>
      <c r="DA1445" s="59"/>
      <c r="DB1445" s="59"/>
      <c r="DC1445" s="59"/>
      <c r="DD1445" s="59"/>
      <c r="DE1445" s="59"/>
      <c r="DF1445" s="59"/>
      <c r="DG1445" s="59"/>
      <c r="DH1445" s="59"/>
      <c r="DI1445" s="59"/>
      <c r="DJ1445" s="59"/>
      <c r="DK1445" s="59"/>
      <c r="DL1445" s="59"/>
      <c r="DM1445" s="59"/>
      <c r="DN1445" s="59"/>
      <c r="DO1445" s="59"/>
      <c r="DP1445" s="59"/>
      <c r="DQ1445" s="59"/>
      <c r="DR1445" s="59"/>
      <c r="DS1445" s="59"/>
      <c r="DT1445" s="59"/>
      <c r="DU1445" s="59"/>
      <c r="DV1445" s="59"/>
      <c r="DW1445" s="59"/>
      <c r="DX1445" s="59"/>
      <c r="DY1445" s="59"/>
      <c r="DZ1445" s="59"/>
      <c r="EA1445" s="59"/>
      <c r="EB1445" s="59"/>
      <c r="EC1445" s="59"/>
      <c r="ED1445" s="59"/>
      <c r="EE1445" s="59"/>
      <c r="EF1445" s="59"/>
      <c r="EG1445" s="59"/>
      <c r="EH1445" s="59"/>
      <c r="EI1445" s="59"/>
      <c r="EJ1445" s="59"/>
      <c r="EK1445" s="59"/>
      <c r="EL1445" s="59"/>
      <c r="EM1445" s="59"/>
      <c r="EN1445" s="59"/>
      <c r="EO1445" s="59"/>
      <c r="EP1445" s="59"/>
      <c r="EQ1445" s="59"/>
      <c r="ER1445" s="59"/>
      <c r="ES1445" s="59"/>
      <c r="ET1445" s="59"/>
      <c r="EU1445" s="59"/>
      <c r="EV1445" s="59"/>
      <c r="EW1445" s="59"/>
      <c r="EX1445" s="59"/>
      <c r="EY1445" s="59"/>
      <c r="EZ1445" s="59"/>
      <c r="FA1445" s="59"/>
      <c r="FB1445" s="59"/>
      <c r="FC1445" s="59"/>
      <c r="FD1445" s="59"/>
      <c r="FE1445" s="59"/>
      <c r="FF1445" s="59"/>
      <c r="FG1445" s="59"/>
      <c r="FH1445" s="59"/>
      <c r="FI1445" s="59"/>
      <c r="FJ1445" s="59"/>
      <c r="FK1445" s="59"/>
      <c r="FL1445" s="59"/>
      <c r="FM1445" s="59"/>
      <c r="FN1445" s="59"/>
      <c r="FO1445" s="59"/>
      <c r="FP1445" s="59"/>
      <c r="FQ1445" s="59"/>
      <c r="FR1445" s="59"/>
      <c r="FS1445" s="59"/>
      <c r="FT1445" s="59"/>
      <c r="FU1445" s="59"/>
      <c r="FV1445" s="59"/>
      <c r="FW1445" s="59"/>
      <c r="FX1445" s="59"/>
      <c r="FY1445" s="59"/>
      <c r="FZ1445" s="59"/>
      <c r="GA1445" s="59"/>
      <c r="GB1445" s="59"/>
      <c r="GC1445" s="59"/>
    </row>
    <row r="1446">
      <c r="A1446" s="59"/>
      <c r="B1446" s="59"/>
      <c r="C1446" s="59"/>
      <c r="D1446" s="59"/>
      <c r="E1446" s="59"/>
      <c r="F1446" s="59"/>
      <c r="G1446" s="59"/>
      <c r="H1446" s="59"/>
      <c r="I1446" s="59"/>
      <c r="J1446" s="59"/>
      <c r="K1446" s="59"/>
      <c r="L1446" s="59"/>
      <c r="M1446" s="59"/>
      <c r="N1446" s="59"/>
      <c r="O1446" s="59"/>
      <c r="P1446" s="59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  <c r="AD1446" s="59"/>
      <c r="AE1446" s="59"/>
      <c r="AF1446" s="59"/>
      <c r="AG1446" s="59"/>
      <c r="AH1446" s="59"/>
      <c r="AI1446" s="59"/>
      <c r="AJ1446" s="59"/>
      <c r="AK1446" s="59"/>
      <c r="AL1446" s="59"/>
      <c r="AM1446" s="59"/>
      <c r="AN1446" s="59"/>
      <c r="AO1446" s="59"/>
      <c r="AP1446" s="59"/>
      <c r="AQ1446" s="59"/>
      <c r="AR1446" s="59"/>
      <c r="AS1446" s="59"/>
      <c r="AT1446" s="59"/>
      <c r="AU1446" s="59"/>
      <c r="AV1446" s="59"/>
      <c r="AW1446" s="59"/>
      <c r="AX1446" s="59"/>
      <c r="AY1446" s="59"/>
      <c r="AZ1446" s="59"/>
      <c r="BA1446" s="59"/>
      <c r="BB1446" s="59"/>
      <c r="BC1446" s="59"/>
      <c r="BD1446" s="59"/>
      <c r="BE1446" s="59"/>
      <c r="BF1446" s="59"/>
      <c r="BG1446" s="59"/>
      <c r="BH1446" s="59"/>
      <c r="BI1446" s="59"/>
      <c r="BJ1446" s="59"/>
      <c r="BK1446" s="59"/>
      <c r="BL1446" s="59"/>
      <c r="BM1446" s="59"/>
      <c r="BN1446" s="59"/>
      <c r="BO1446" s="59"/>
      <c r="BP1446" s="59"/>
      <c r="BQ1446" s="59"/>
      <c r="BR1446" s="59"/>
      <c r="BS1446" s="59"/>
      <c r="BT1446" s="59"/>
      <c r="BU1446" s="59"/>
      <c r="BV1446" s="59"/>
      <c r="BW1446" s="59"/>
      <c r="BX1446" s="59"/>
      <c r="BY1446" s="59"/>
      <c r="BZ1446" s="59"/>
      <c r="CA1446" s="59"/>
      <c r="CB1446" s="59"/>
      <c r="CC1446" s="59"/>
      <c r="CD1446" s="59"/>
      <c r="CE1446" s="59"/>
      <c r="CF1446" s="59"/>
      <c r="CG1446" s="59"/>
      <c r="CH1446" s="59"/>
      <c r="CI1446" s="59"/>
      <c r="CJ1446" s="59"/>
      <c r="CK1446" s="59"/>
      <c r="CL1446" s="59"/>
      <c r="CM1446" s="59"/>
      <c r="CN1446" s="59"/>
      <c r="CO1446" s="59"/>
      <c r="CP1446" s="59"/>
      <c r="CQ1446" s="59"/>
      <c r="CR1446" s="59"/>
      <c r="CS1446" s="59"/>
      <c r="CT1446" s="59"/>
      <c r="CU1446" s="59"/>
      <c r="CV1446" s="59"/>
      <c r="CW1446" s="59"/>
      <c r="CX1446" s="59"/>
      <c r="CY1446" s="59"/>
      <c r="CZ1446" s="59"/>
      <c r="DA1446" s="59"/>
      <c r="DB1446" s="59"/>
      <c r="DC1446" s="59"/>
      <c r="DD1446" s="59"/>
      <c r="DE1446" s="59"/>
      <c r="DF1446" s="59"/>
      <c r="DG1446" s="59"/>
      <c r="DH1446" s="59"/>
      <c r="DI1446" s="59"/>
      <c r="DJ1446" s="59"/>
      <c r="DK1446" s="59"/>
      <c r="DL1446" s="59"/>
      <c r="DM1446" s="59"/>
      <c r="DN1446" s="59"/>
      <c r="DO1446" s="59"/>
      <c r="DP1446" s="59"/>
      <c r="DQ1446" s="59"/>
      <c r="DR1446" s="59"/>
      <c r="DS1446" s="59"/>
      <c r="DT1446" s="59"/>
      <c r="DU1446" s="59"/>
      <c r="DV1446" s="59"/>
      <c r="DW1446" s="59"/>
      <c r="DX1446" s="59"/>
      <c r="DY1446" s="59"/>
      <c r="DZ1446" s="59"/>
      <c r="EA1446" s="59"/>
      <c r="EB1446" s="59"/>
      <c r="EC1446" s="59"/>
      <c r="ED1446" s="59"/>
      <c r="EE1446" s="59"/>
      <c r="EF1446" s="59"/>
      <c r="EG1446" s="59"/>
      <c r="EH1446" s="59"/>
      <c r="EI1446" s="59"/>
      <c r="EJ1446" s="59"/>
      <c r="EK1446" s="59"/>
      <c r="EL1446" s="59"/>
      <c r="EM1446" s="59"/>
      <c r="EN1446" s="59"/>
      <c r="EO1446" s="59"/>
      <c r="EP1446" s="59"/>
      <c r="EQ1446" s="59"/>
      <c r="ER1446" s="59"/>
      <c r="ES1446" s="59"/>
      <c r="ET1446" s="59"/>
      <c r="EU1446" s="59"/>
      <c r="EV1446" s="59"/>
      <c r="EW1446" s="59"/>
      <c r="EX1446" s="59"/>
      <c r="EY1446" s="59"/>
      <c r="EZ1446" s="59"/>
      <c r="FA1446" s="59"/>
      <c r="FB1446" s="59"/>
      <c r="FC1446" s="59"/>
      <c r="FD1446" s="59"/>
      <c r="FE1446" s="59"/>
      <c r="FF1446" s="59"/>
      <c r="FG1446" s="59"/>
      <c r="FH1446" s="59"/>
      <c r="FI1446" s="59"/>
      <c r="FJ1446" s="59"/>
      <c r="FK1446" s="59"/>
      <c r="FL1446" s="59"/>
      <c r="FM1446" s="59"/>
      <c r="FN1446" s="59"/>
      <c r="FO1446" s="59"/>
      <c r="FP1446" s="59"/>
      <c r="FQ1446" s="59"/>
      <c r="FR1446" s="59"/>
      <c r="FS1446" s="59"/>
      <c r="FT1446" s="59"/>
      <c r="FU1446" s="59"/>
      <c r="FV1446" s="59"/>
      <c r="FW1446" s="59"/>
      <c r="FX1446" s="59"/>
      <c r="FY1446" s="59"/>
      <c r="FZ1446" s="59"/>
      <c r="GA1446" s="59"/>
      <c r="GB1446" s="59"/>
      <c r="GC1446" s="59"/>
    </row>
    <row r="1447">
      <c r="A1447" s="59"/>
      <c r="B1447" s="59"/>
      <c r="C1447" s="59"/>
      <c r="D1447" s="59"/>
      <c r="E1447" s="59"/>
      <c r="F1447" s="59"/>
      <c r="G1447" s="59"/>
      <c r="H1447" s="59"/>
      <c r="I1447" s="59"/>
      <c r="J1447" s="59"/>
      <c r="K1447" s="59"/>
      <c r="L1447" s="59"/>
      <c r="M1447" s="59"/>
      <c r="N1447" s="59"/>
      <c r="O1447" s="59"/>
      <c r="P1447" s="59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59"/>
      <c r="AG1447" s="59"/>
      <c r="AH1447" s="59"/>
      <c r="AI1447" s="59"/>
      <c r="AJ1447" s="59"/>
      <c r="AK1447" s="59"/>
      <c r="AL1447" s="59"/>
      <c r="AM1447" s="59"/>
      <c r="AN1447" s="59"/>
      <c r="AO1447" s="59"/>
      <c r="AP1447" s="59"/>
      <c r="AQ1447" s="59"/>
      <c r="AR1447" s="59"/>
      <c r="AS1447" s="59"/>
      <c r="AT1447" s="59"/>
      <c r="AU1447" s="59"/>
      <c r="AV1447" s="59"/>
      <c r="AW1447" s="59"/>
      <c r="AX1447" s="59"/>
      <c r="AY1447" s="59"/>
      <c r="AZ1447" s="59"/>
      <c r="BA1447" s="59"/>
      <c r="BB1447" s="59"/>
      <c r="BC1447" s="59"/>
      <c r="BD1447" s="59"/>
      <c r="BE1447" s="59"/>
      <c r="BF1447" s="59"/>
      <c r="BG1447" s="59"/>
      <c r="BH1447" s="59"/>
      <c r="BI1447" s="59"/>
      <c r="BJ1447" s="59"/>
      <c r="BK1447" s="59"/>
      <c r="BL1447" s="59"/>
      <c r="BM1447" s="59"/>
      <c r="BN1447" s="59"/>
      <c r="BO1447" s="59"/>
      <c r="BP1447" s="59"/>
      <c r="BQ1447" s="59"/>
      <c r="BR1447" s="59"/>
      <c r="BS1447" s="59"/>
      <c r="BT1447" s="59"/>
      <c r="BU1447" s="59"/>
      <c r="BV1447" s="59"/>
      <c r="BW1447" s="59"/>
      <c r="BX1447" s="59"/>
      <c r="BY1447" s="59"/>
      <c r="BZ1447" s="59"/>
      <c r="CA1447" s="59"/>
      <c r="CB1447" s="59"/>
      <c r="CC1447" s="59"/>
      <c r="CD1447" s="59"/>
      <c r="CE1447" s="59"/>
      <c r="CF1447" s="59"/>
      <c r="CG1447" s="59"/>
      <c r="CH1447" s="59"/>
      <c r="CI1447" s="59"/>
      <c r="CJ1447" s="59"/>
      <c r="CK1447" s="59"/>
      <c r="CL1447" s="59"/>
      <c r="CM1447" s="59"/>
      <c r="CN1447" s="59"/>
      <c r="CO1447" s="59"/>
      <c r="CP1447" s="59"/>
      <c r="CQ1447" s="59"/>
      <c r="CR1447" s="59"/>
      <c r="CS1447" s="59"/>
      <c r="CT1447" s="59"/>
      <c r="CU1447" s="59"/>
      <c r="CV1447" s="59"/>
      <c r="CW1447" s="59"/>
      <c r="CX1447" s="59"/>
      <c r="CY1447" s="59"/>
      <c r="CZ1447" s="59"/>
      <c r="DA1447" s="59"/>
      <c r="DB1447" s="59"/>
      <c r="DC1447" s="59"/>
      <c r="DD1447" s="59"/>
      <c r="DE1447" s="59"/>
      <c r="DF1447" s="59"/>
      <c r="DG1447" s="59"/>
      <c r="DH1447" s="59"/>
      <c r="DI1447" s="59"/>
      <c r="DJ1447" s="59"/>
      <c r="DK1447" s="59"/>
      <c r="DL1447" s="59"/>
      <c r="DM1447" s="59"/>
      <c r="DN1447" s="59"/>
      <c r="DO1447" s="59"/>
      <c r="DP1447" s="59"/>
      <c r="DQ1447" s="59"/>
      <c r="DR1447" s="59"/>
      <c r="DS1447" s="59"/>
      <c r="DT1447" s="59"/>
      <c r="DU1447" s="59"/>
      <c r="DV1447" s="59"/>
      <c r="DW1447" s="59"/>
      <c r="DX1447" s="59"/>
      <c r="DY1447" s="59"/>
      <c r="DZ1447" s="59"/>
      <c r="EA1447" s="59"/>
      <c r="EB1447" s="59"/>
      <c r="EC1447" s="59"/>
      <c r="ED1447" s="59"/>
      <c r="EE1447" s="59"/>
      <c r="EF1447" s="59"/>
      <c r="EG1447" s="59"/>
      <c r="EH1447" s="59"/>
      <c r="EI1447" s="59"/>
      <c r="EJ1447" s="59"/>
      <c r="EK1447" s="59"/>
      <c r="EL1447" s="59"/>
      <c r="EM1447" s="59"/>
      <c r="EN1447" s="59"/>
      <c r="EO1447" s="59"/>
      <c r="EP1447" s="59"/>
      <c r="EQ1447" s="59"/>
      <c r="ER1447" s="59"/>
      <c r="ES1447" s="59"/>
      <c r="ET1447" s="59"/>
      <c r="EU1447" s="59"/>
      <c r="EV1447" s="59"/>
      <c r="EW1447" s="59"/>
      <c r="EX1447" s="59"/>
      <c r="EY1447" s="59"/>
      <c r="EZ1447" s="59"/>
      <c r="FA1447" s="59"/>
      <c r="FB1447" s="59"/>
      <c r="FC1447" s="59"/>
      <c r="FD1447" s="59"/>
      <c r="FE1447" s="59"/>
      <c r="FF1447" s="59"/>
      <c r="FG1447" s="59"/>
      <c r="FH1447" s="59"/>
      <c r="FI1447" s="59"/>
      <c r="FJ1447" s="59"/>
      <c r="FK1447" s="59"/>
      <c r="FL1447" s="59"/>
      <c r="FM1447" s="59"/>
      <c r="FN1447" s="59"/>
      <c r="FO1447" s="59"/>
      <c r="FP1447" s="59"/>
      <c r="FQ1447" s="59"/>
      <c r="FR1447" s="59"/>
      <c r="FS1447" s="59"/>
      <c r="FT1447" s="59"/>
      <c r="FU1447" s="59"/>
      <c r="FV1447" s="59"/>
      <c r="FW1447" s="59"/>
      <c r="FX1447" s="59"/>
      <c r="FY1447" s="59"/>
      <c r="FZ1447" s="59"/>
      <c r="GA1447" s="59"/>
      <c r="GB1447" s="59"/>
      <c r="GC1447" s="59"/>
    </row>
    <row r="1448">
      <c r="A1448" s="59"/>
      <c r="B1448" s="59"/>
      <c r="C1448" s="59"/>
      <c r="D1448" s="59"/>
      <c r="E1448" s="59"/>
      <c r="F1448" s="59"/>
      <c r="G1448" s="59"/>
      <c r="H1448" s="59"/>
      <c r="I1448" s="59"/>
      <c r="J1448" s="59"/>
      <c r="K1448" s="59"/>
      <c r="L1448" s="59"/>
      <c r="M1448" s="59"/>
      <c r="N1448" s="59"/>
      <c r="O1448" s="59"/>
      <c r="P1448" s="59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59"/>
      <c r="AG1448" s="59"/>
      <c r="AH1448" s="59"/>
      <c r="AI1448" s="59"/>
      <c r="AJ1448" s="59"/>
      <c r="AK1448" s="59"/>
      <c r="AL1448" s="59"/>
      <c r="AM1448" s="59"/>
      <c r="AN1448" s="59"/>
      <c r="AO1448" s="59"/>
      <c r="AP1448" s="59"/>
      <c r="AQ1448" s="59"/>
      <c r="AR1448" s="59"/>
      <c r="AS1448" s="59"/>
      <c r="AT1448" s="59"/>
      <c r="AU1448" s="59"/>
      <c r="AV1448" s="59"/>
      <c r="AW1448" s="59"/>
      <c r="AX1448" s="59"/>
      <c r="AY1448" s="59"/>
      <c r="AZ1448" s="59"/>
      <c r="BA1448" s="59"/>
      <c r="BB1448" s="59"/>
      <c r="BC1448" s="59"/>
      <c r="BD1448" s="59"/>
      <c r="BE1448" s="59"/>
      <c r="BF1448" s="59"/>
      <c r="BG1448" s="59"/>
      <c r="BH1448" s="59"/>
      <c r="BI1448" s="59"/>
      <c r="BJ1448" s="59"/>
      <c r="BK1448" s="59"/>
      <c r="BL1448" s="59"/>
      <c r="BM1448" s="59"/>
      <c r="BN1448" s="59"/>
      <c r="BO1448" s="59"/>
      <c r="BP1448" s="59"/>
      <c r="BQ1448" s="59"/>
      <c r="BR1448" s="59"/>
      <c r="BS1448" s="59"/>
      <c r="BT1448" s="59"/>
      <c r="BU1448" s="59"/>
      <c r="BV1448" s="59"/>
      <c r="BW1448" s="59"/>
      <c r="BX1448" s="59"/>
      <c r="BY1448" s="59"/>
      <c r="BZ1448" s="59"/>
      <c r="CA1448" s="59"/>
      <c r="CB1448" s="59"/>
      <c r="CC1448" s="59"/>
      <c r="CD1448" s="59"/>
      <c r="CE1448" s="59"/>
      <c r="CF1448" s="59"/>
      <c r="CG1448" s="59"/>
      <c r="CH1448" s="59"/>
      <c r="CI1448" s="59"/>
      <c r="CJ1448" s="59"/>
      <c r="CK1448" s="59"/>
      <c r="CL1448" s="59"/>
      <c r="CM1448" s="59"/>
      <c r="CN1448" s="59"/>
      <c r="CO1448" s="59"/>
      <c r="CP1448" s="59"/>
      <c r="CQ1448" s="59"/>
      <c r="CR1448" s="59"/>
      <c r="CS1448" s="59"/>
      <c r="CT1448" s="59"/>
      <c r="CU1448" s="59"/>
      <c r="CV1448" s="59"/>
      <c r="CW1448" s="59"/>
      <c r="CX1448" s="59"/>
      <c r="CY1448" s="59"/>
      <c r="CZ1448" s="59"/>
      <c r="DA1448" s="59"/>
      <c r="DB1448" s="59"/>
      <c r="DC1448" s="59"/>
      <c r="DD1448" s="59"/>
      <c r="DE1448" s="59"/>
      <c r="DF1448" s="59"/>
      <c r="DG1448" s="59"/>
      <c r="DH1448" s="59"/>
      <c r="DI1448" s="59"/>
      <c r="DJ1448" s="59"/>
      <c r="DK1448" s="59"/>
      <c r="DL1448" s="59"/>
      <c r="DM1448" s="59"/>
      <c r="DN1448" s="59"/>
      <c r="DO1448" s="59"/>
      <c r="DP1448" s="59"/>
      <c r="DQ1448" s="59"/>
      <c r="DR1448" s="59"/>
      <c r="DS1448" s="59"/>
      <c r="DT1448" s="59"/>
      <c r="DU1448" s="59"/>
      <c r="DV1448" s="59"/>
      <c r="DW1448" s="59"/>
      <c r="DX1448" s="59"/>
      <c r="DY1448" s="59"/>
      <c r="DZ1448" s="59"/>
      <c r="EA1448" s="59"/>
      <c r="EB1448" s="59"/>
      <c r="EC1448" s="59"/>
      <c r="ED1448" s="59"/>
      <c r="EE1448" s="59"/>
      <c r="EF1448" s="59"/>
      <c r="EG1448" s="59"/>
      <c r="EH1448" s="59"/>
      <c r="EI1448" s="59"/>
      <c r="EJ1448" s="59"/>
      <c r="EK1448" s="59"/>
      <c r="EL1448" s="59"/>
      <c r="EM1448" s="59"/>
      <c r="EN1448" s="59"/>
      <c r="EO1448" s="59"/>
      <c r="EP1448" s="59"/>
      <c r="EQ1448" s="59"/>
      <c r="ER1448" s="59"/>
      <c r="ES1448" s="59"/>
      <c r="ET1448" s="59"/>
      <c r="EU1448" s="59"/>
      <c r="EV1448" s="59"/>
      <c r="EW1448" s="59"/>
      <c r="EX1448" s="59"/>
      <c r="EY1448" s="59"/>
      <c r="EZ1448" s="59"/>
      <c r="FA1448" s="59"/>
      <c r="FB1448" s="59"/>
      <c r="FC1448" s="59"/>
      <c r="FD1448" s="59"/>
      <c r="FE1448" s="59"/>
      <c r="FF1448" s="59"/>
      <c r="FG1448" s="59"/>
      <c r="FH1448" s="59"/>
      <c r="FI1448" s="59"/>
      <c r="FJ1448" s="59"/>
      <c r="FK1448" s="59"/>
      <c r="FL1448" s="59"/>
      <c r="FM1448" s="59"/>
      <c r="FN1448" s="59"/>
      <c r="FO1448" s="59"/>
      <c r="FP1448" s="59"/>
      <c r="FQ1448" s="59"/>
      <c r="FR1448" s="59"/>
      <c r="FS1448" s="59"/>
      <c r="FT1448" s="59"/>
      <c r="FU1448" s="59"/>
      <c r="FV1448" s="59"/>
      <c r="FW1448" s="59"/>
      <c r="FX1448" s="59"/>
      <c r="FY1448" s="59"/>
      <c r="FZ1448" s="59"/>
      <c r="GA1448" s="59"/>
      <c r="GB1448" s="59"/>
      <c r="GC1448" s="59"/>
    </row>
    <row r="1449">
      <c r="A1449" s="59"/>
      <c r="B1449" s="59"/>
      <c r="C1449" s="59"/>
      <c r="D1449" s="59"/>
      <c r="E1449" s="59"/>
      <c r="F1449" s="59"/>
      <c r="G1449" s="59"/>
      <c r="H1449" s="59"/>
      <c r="I1449" s="59"/>
      <c r="J1449" s="59"/>
      <c r="K1449" s="59"/>
      <c r="L1449" s="59"/>
      <c r="M1449" s="59"/>
      <c r="N1449" s="59"/>
      <c r="O1449" s="59"/>
      <c r="P1449" s="59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  <c r="AA1449" s="59"/>
      <c r="AB1449" s="59"/>
      <c r="AC1449" s="59"/>
      <c r="AD1449" s="59"/>
      <c r="AE1449" s="59"/>
      <c r="AF1449" s="59"/>
      <c r="AG1449" s="59"/>
      <c r="AH1449" s="59"/>
      <c r="AI1449" s="59"/>
      <c r="AJ1449" s="59"/>
      <c r="AK1449" s="59"/>
      <c r="AL1449" s="59"/>
      <c r="AM1449" s="59"/>
      <c r="AN1449" s="59"/>
      <c r="AO1449" s="59"/>
      <c r="AP1449" s="59"/>
      <c r="AQ1449" s="59"/>
      <c r="AR1449" s="59"/>
      <c r="AS1449" s="59"/>
      <c r="AT1449" s="59"/>
      <c r="AU1449" s="59"/>
      <c r="AV1449" s="59"/>
      <c r="AW1449" s="59"/>
      <c r="AX1449" s="59"/>
      <c r="AY1449" s="59"/>
      <c r="AZ1449" s="59"/>
      <c r="BA1449" s="59"/>
      <c r="BB1449" s="59"/>
      <c r="BC1449" s="59"/>
      <c r="BD1449" s="59"/>
      <c r="BE1449" s="59"/>
      <c r="BF1449" s="59"/>
      <c r="BG1449" s="59"/>
      <c r="BH1449" s="59"/>
      <c r="BI1449" s="59"/>
      <c r="BJ1449" s="59"/>
      <c r="BK1449" s="59"/>
      <c r="BL1449" s="59"/>
      <c r="BM1449" s="59"/>
      <c r="BN1449" s="59"/>
      <c r="BO1449" s="59"/>
      <c r="BP1449" s="59"/>
      <c r="BQ1449" s="59"/>
      <c r="BR1449" s="59"/>
      <c r="BS1449" s="59"/>
      <c r="BT1449" s="59"/>
      <c r="BU1449" s="59"/>
      <c r="BV1449" s="59"/>
      <c r="BW1449" s="59"/>
      <c r="BX1449" s="59"/>
      <c r="BY1449" s="59"/>
      <c r="BZ1449" s="59"/>
      <c r="CA1449" s="59"/>
      <c r="CB1449" s="59"/>
      <c r="CC1449" s="59"/>
      <c r="CD1449" s="59"/>
      <c r="CE1449" s="59"/>
      <c r="CF1449" s="59"/>
      <c r="CG1449" s="59"/>
      <c r="CH1449" s="59"/>
      <c r="CI1449" s="59"/>
      <c r="CJ1449" s="59"/>
      <c r="CK1449" s="59"/>
      <c r="CL1449" s="59"/>
      <c r="CM1449" s="59"/>
      <c r="CN1449" s="59"/>
      <c r="CO1449" s="59"/>
      <c r="CP1449" s="59"/>
      <c r="CQ1449" s="59"/>
      <c r="CR1449" s="59"/>
      <c r="CS1449" s="59"/>
      <c r="CT1449" s="59"/>
      <c r="CU1449" s="59"/>
      <c r="CV1449" s="59"/>
      <c r="CW1449" s="59"/>
      <c r="CX1449" s="59"/>
      <c r="CY1449" s="59"/>
      <c r="CZ1449" s="59"/>
      <c r="DA1449" s="59"/>
      <c r="DB1449" s="59"/>
      <c r="DC1449" s="59"/>
      <c r="DD1449" s="59"/>
      <c r="DE1449" s="59"/>
      <c r="DF1449" s="59"/>
      <c r="DG1449" s="59"/>
      <c r="DH1449" s="59"/>
      <c r="DI1449" s="59"/>
      <c r="DJ1449" s="59"/>
      <c r="DK1449" s="59"/>
      <c r="DL1449" s="59"/>
      <c r="DM1449" s="59"/>
      <c r="DN1449" s="59"/>
      <c r="DO1449" s="59"/>
      <c r="DP1449" s="59"/>
      <c r="DQ1449" s="59"/>
      <c r="DR1449" s="59"/>
      <c r="DS1449" s="59"/>
      <c r="DT1449" s="59"/>
      <c r="DU1449" s="59"/>
      <c r="DV1449" s="59"/>
      <c r="DW1449" s="59"/>
      <c r="DX1449" s="59"/>
      <c r="DY1449" s="59"/>
      <c r="DZ1449" s="59"/>
      <c r="EA1449" s="59"/>
      <c r="EB1449" s="59"/>
      <c r="EC1449" s="59"/>
      <c r="ED1449" s="59"/>
      <c r="EE1449" s="59"/>
      <c r="EF1449" s="59"/>
      <c r="EG1449" s="59"/>
      <c r="EH1449" s="59"/>
      <c r="EI1449" s="59"/>
      <c r="EJ1449" s="59"/>
      <c r="EK1449" s="59"/>
      <c r="EL1449" s="59"/>
      <c r="EM1449" s="59"/>
      <c r="EN1449" s="59"/>
      <c r="EO1449" s="59"/>
      <c r="EP1449" s="59"/>
      <c r="EQ1449" s="59"/>
      <c r="ER1449" s="59"/>
      <c r="ES1449" s="59"/>
      <c r="ET1449" s="59"/>
      <c r="EU1449" s="59"/>
      <c r="EV1449" s="59"/>
      <c r="EW1449" s="59"/>
      <c r="EX1449" s="59"/>
      <c r="EY1449" s="59"/>
      <c r="EZ1449" s="59"/>
      <c r="FA1449" s="59"/>
      <c r="FB1449" s="59"/>
      <c r="FC1449" s="59"/>
      <c r="FD1449" s="59"/>
      <c r="FE1449" s="59"/>
      <c r="FF1449" s="59"/>
      <c r="FG1449" s="59"/>
      <c r="FH1449" s="59"/>
      <c r="FI1449" s="59"/>
      <c r="FJ1449" s="59"/>
      <c r="FK1449" s="59"/>
      <c r="FL1449" s="59"/>
      <c r="FM1449" s="59"/>
      <c r="FN1449" s="59"/>
      <c r="FO1449" s="59"/>
      <c r="FP1449" s="59"/>
      <c r="FQ1449" s="59"/>
      <c r="FR1449" s="59"/>
      <c r="FS1449" s="59"/>
      <c r="FT1449" s="59"/>
      <c r="FU1449" s="59"/>
      <c r="FV1449" s="59"/>
      <c r="FW1449" s="59"/>
      <c r="FX1449" s="59"/>
      <c r="FY1449" s="59"/>
      <c r="FZ1449" s="59"/>
      <c r="GA1449" s="59"/>
      <c r="GB1449" s="59"/>
      <c r="GC1449" s="59"/>
    </row>
    <row r="1450">
      <c r="A1450" s="59"/>
      <c r="B1450" s="59"/>
      <c r="C1450" s="59"/>
      <c r="D1450" s="59"/>
      <c r="E1450" s="59"/>
      <c r="F1450" s="59"/>
      <c r="G1450" s="59"/>
      <c r="H1450" s="59"/>
      <c r="I1450" s="59"/>
      <c r="J1450" s="59"/>
      <c r="K1450" s="59"/>
      <c r="L1450" s="59"/>
      <c r="M1450" s="59"/>
      <c r="N1450" s="59"/>
      <c r="O1450" s="59"/>
      <c r="P1450" s="59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  <c r="AD1450" s="59"/>
      <c r="AE1450" s="59"/>
      <c r="AF1450" s="59"/>
      <c r="AG1450" s="59"/>
      <c r="AH1450" s="59"/>
      <c r="AI1450" s="59"/>
      <c r="AJ1450" s="59"/>
      <c r="AK1450" s="59"/>
      <c r="AL1450" s="59"/>
      <c r="AM1450" s="59"/>
      <c r="AN1450" s="59"/>
      <c r="AO1450" s="59"/>
      <c r="AP1450" s="59"/>
      <c r="AQ1450" s="59"/>
      <c r="AR1450" s="59"/>
      <c r="AS1450" s="59"/>
      <c r="AT1450" s="59"/>
      <c r="AU1450" s="59"/>
      <c r="AV1450" s="59"/>
      <c r="AW1450" s="59"/>
      <c r="AX1450" s="59"/>
      <c r="AY1450" s="59"/>
      <c r="AZ1450" s="59"/>
      <c r="BA1450" s="59"/>
      <c r="BB1450" s="59"/>
      <c r="BC1450" s="59"/>
      <c r="BD1450" s="59"/>
      <c r="BE1450" s="59"/>
      <c r="BF1450" s="59"/>
      <c r="BG1450" s="59"/>
      <c r="BH1450" s="59"/>
      <c r="BI1450" s="59"/>
      <c r="BJ1450" s="59"/>
      <c r="BK1450" s="59"/>
      <c r="BL1450" s="59"/>
      <c r="BM1450" s="59"/>
      <c r="BN1450" s="59"/>
      <c r="BO1450" s="59"/>
      <c r="BP1450" s="59"/>
      <c r="BQ1450" s="59"/>
      <c r="BR1450" s="59"/>
      <c r="BS1450" s="59"/>
      <c r="BT1450" s="59"/>
      <c r="BU1450" s="59"/>
      <c r="BV1450" s="59"/>
      <c r="BW1450" s="59"/>
      <c r="BX1450" s="59"/>
      <c r="BY1450" s="59"/>
      <c r="BZ1450" s="59"/>
      <c r="CA1450" s="59"/>
      <c r="CB1450" s="59"/>
      <c r="CC1450" s="59"/>
      <c r="CD1450" s="59"/>
      <c r="CE1450" s="59"/>
      <c r="CF1450" s="59"/>
      <c r="CG1450" s="59"/>
      <c r="CH1450" s="59"/>
      <c r="CI1450" s="59"/>
      <c r="CJ1450" s="59"/>
      <c r="CK1450" s="59"/>
      <c r="CL1450" s="59"/>
      <c r="CM1450" s="59"/>
      <c r="CN1450" s="59"/>
      <c r="CO1450" s="59"/>
      <c r="CP1450" s="59"/>
      <c r="CQ1450" s="59"/>
      <c r="CR1450" s="59"/>
      <c r="CS1450" s="59"/>
      <c r="CT1450" s="59"/>
      <c r="CU1450" s="59"/>
      <c r="CV1450" s="59"/>
      <c r="CW1450" s="59"/>
      <c r="CX1450" s="59"/>
      <c r="CY1450" s="59"/>
      <c r="CZ1450" s="59"/>
      <c r="DA1450" s="59"/>
      <c r="DB1450" s="59"/>
      <c r="DC1450" s="59"/>
      <c r="DD1450" s="59"/>
      <c r="DE1450" s="59"/>
      <c r="DF1450" s="59"/>
      <c r="DG1450" s="59"/>
      <c r="DH1450" s="59"/>
      <c r="DI1450" s="59"/>
      <c r="DJ1450" s="59"/>
      <c r="DK1450" s="59"/>
      <c r="DL1450" s="59"/>
      <c r="DM1450" s="59"/>
      <c r="DN1450" s="59"/>
      <c r="DO1450" s="59"/>
      <c r="DP1450" s="59"/>
      <c r="DQ1450" s="59"/>
      <c r="DR1450" s="59"/>
      <c r="DS1450" s="59"/>
      <c r="DT1450" s="59"/>
      <c r="DU1450" s="59"/>
      <c r="DV1450" s="59"/>
      <c r="DW1450" s="59"/>
      <c r="DX1450" s="59"/>
      <c r="DY1450" s="59"/>
      <c r="DZ1450" s="59"/>
      <c r="EA1450" s="59"/>
      <c r="EB1450" s="59"/>
      <c r="EC1450" s="59"/>
      <c r="ED1450" s="59"/>
      <c r="EE1450" s="59"/>
      <c r="EF1450" s="59"/>
      <c r="EG1450" s="59"/>
      <c r="EH1450" s="59"/>
      <c r="EI1450" s="59"/>
      <c r="EJ1450" s="59"/>
      <c r="EK1450" s="59"/>
      <c r="EL1450" s="59"/>
      <c r="EM1450" s="59"/>
      <c r="EN1450" s="59"/>
      <c r="EO1450" s="59"/>
      <c r="EP1450" s="59"/>
      <c r="EQ1450" s="59"/>
      <c r="ER1450" s="59"/>
      <c r="ES1450" s="59"/>
      <c r="ET1450" s="59"/>
      <c r="EU1450" s="59"/>
      <c r="EV1450" s="59"/>
      <c r="EW1450" s="59"/>
      <c r="EX1450" s="59"/>
      <c r="EY1450" s="59"/>
      <c r="EZ1450" s="59"/>
      <c r="FA1450" s="59"/>
      <c r="FB1450" s="59"/>
      <c r="FC1450" s="59"/>
      <c r="FD1450" s="59"/>
      <c r="FE1450" s="59"/>
      <c r="FF1450" s="59"/>
      <c r="FG1450" s="59"/>
      <c r="FH1450" s="59"/>
      <c r="FI1450" s="59"/>
      <c r="FJ1450" s="59"/>
      <c r="FK1450" s="59"/>
      <c r="FL1450" s="59"/>
      <c r="FM1450" s="59"/>
      <c r="FN1450" s="59"/>
      <c r="FO1450" s="59"/>
      <c r="FP1450" s="59"/>
      <c r="FQ1450" s="59"/>
      <c r="FR1450" s="59"/>
      <c r="FS1450" s="59"/>
      <c r="FT1450" s="59"/>
      <c r="FU1450" s="59"/>
      <c r="FV1450" s="59"/>
      <c r="FW1450" s="59"/>
      <c r="FX1450" s="59"/>
      <c r="FY1450" s="59"/>
      <c r="FZ1450" s="59"/>
      <c r="GA1450" s="59"/>
      <c r="GB1450" s="59"/>
      <c r="GC1450" s="59"/>
    </row>
    <row r="1451">
      <c r="A1451" s="59"/>
      <c r="B1451" s="59"/>
      <c r="C1451" s="59"/>
      <c r="D1451" s="59"/>
      <c r="E1451" s="59"/>
      <c r="F1451" s="59"/>
      <c r="G1451" s="59"/>
      <c r="H1451" s="59"/>
      <c r="I1451" s="59"/>
      <c r="J1451" s="59"/>
      <c r="K1451" s="59"/>
      <c r="L1451" s="59"/>
      <c r="M1451" s="59"/>
      <c r="N1451" s="59"/>
      <c r="O1451" s="59"/>
      <c r="P1451" s="59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  <c r="AD1451" s="59"/>
      <c r="AE1451" s="59"/>
      <c r="AF1451" s="59"/>
      <c r="AG1451" s="59"/>
      <c r="AH1451" s="59"/>
      <c r="AI1451" s="59"/>
      <c r="AJ1451" s="59"/>
      <c r="AK1451" s="59"/>
      <c r="AL1451" s="59"/>
      <c r="AM1451" s="59"/>
      <c r="AN1451" s="59"/>
      <c r="AO1451" s="59"/>
      <c r="AP1451" s="59"/>
      <c r="AQ1451" s="59"/>
      <c r="AR1451" s="59"/>
      <c r="AS1451" s="59"/>
      <c r="AT1451" s="59"/>
      <c r="AU1451" s="59"/>
      <c r="AV1451" s="59"/>
      <c r="AW1451" s="59"/>
      <c r="AX1451" s="59"/>
      <c r="AY1451" s="59"/>
      <c r="AZ1451" s="59"/>
      <c r="BA1451" s="59"/>
      <c r="BB1451" s="59"/>
      <c r="BC1451" s="59"/>
      <c r="BD1451" s="59"/>
      <c r="BE1451" s="59"/>
      <c r="BF1451" s="59"/>
      <c r="BG1451" s="59"/>
      <c r="BH1451" s="59"/>
      <c r="BI1451" s="59"/>
      <c r="BJ1451" s="59"/>
      <c r="BK1451" s="59"/>
      <c r="BL1451" s="59"/>
      <c r="BM1451" s="59"/>
      <c r="BN1451" s="59"/>
      <c r="BO1451" s="59"/>
      <c r="BP1451" s="59"/>
      <c r="BQ1451" s="59"/>
      <c r="BR1451" s="59"/>
      <c r="BS1451" s="59"/>
      <c r="BT1451" s="59"/>
      <c r="BU1451" s="59"/>
      <c r="BV1451" s="59"/>
      <c r="BW1451" s="59"/>
      <c r="BX1451" s="59"/>
      <c r="BY1451" s="59"/>
      <c r="BZ1451" s="59"/>
      <c r="CA1451" s="59"/>
      <c r="CB1451" s="59"/>
      <c r="CC1451" s="59"/>
      <c r="CD1451" s="59"/>
      <c r="CE1451" s="59"/>
      <c r="CF1451" s="59"/>
      <c r="CG1451" s="59"/>
      <c r="CH1451" s="59"/>
      <c r="CI1451" s="59"/>
      <c r="CJ1451" s="59"/>
      <c r="CK1451" s="59"/>
      <c r="CL1451" s="59"/>
      <c r="CM1451" s="59"/>
      <c r="CN1451" s="59"/>
      <c r="CO1451" s="59"/>
      <c r="CP1451" s="59"/>
      <c r="CQ1451" s="59"/>
      <c r="CR1451" s="59"/>
      <c r="CS1451" s="59"/>
      <c r="CT1451" s="59"/>
      <c r="CU1451" s="59"/>
      <c r="CV1451" s="59"/>
      <c r="CW1451" s="59"/>
      <c r="CX1451" s="59"/>
      <c r="CY1451" s="59"/>
      <c r="CZ1451" s="59"/>
      <c r="DA1451" s="59"/>
      <c r="DB1451" s="59"/>
      <c r="DC1451" s="59"/>
      <c r="DD1451" s="59"/>
      <c r="DE1451" s="59"/>
      <c r="DF1451" s="59"/>
      <c r="DG1451" s="59"/>
      <c r="DH1451" s="59"/>
      <c r="DI1451" s="59"/>
      <c r="DJ1451" s="59"/>
      <c r="DK1451" s="59"/>
      <c r="DL1451" s="59"/>
      <c r="DM1451" s="59"/>
      <c r="DN1451" s="59"/>
      <c r="DO1451" s="59"/>
      <c r="DP1451" s="59"/>
      <c r="DQ1451" s="59"/>
      <c r="DR1451" s="59"/>
      <c r="DS1451" s="59"/>
      <c r="DT1451" s="59"/>
      <c r="DU1451" s="59"/>
      <c r="DV1451" s="59"/>
      <c r="DW1451" s="59"/>
      <c r="DX1451" s="59"/>
      <c r="DY1451" s="59"/>
      <c r="DZ1451" s="59"/>
      <c r="EA1451" s="59"/>
      <c r="EB1451" s="59"/>
      <c r="EC1451" s="59"/>
      <c r="ED1451" s="59"/>
      <c r="EE1451" s="59"/>
      <c r="EF1451" s="59"/>
      <c r="EG1451" s="59"/>
      <c r="EH1451" s="59"/>
      <c r="EI1451" s="59"/>
      <c r="EJ1451" s="59"/>
      <c r="EK1451" s="59"/>
      <c r="EL1451" s="59"/>
      <c r="EM1451" s="59"/>
      <c r="EN1451" s="59"/>
      <c r="EO1451" s="59"/>
      <c r="EP1451" s="59"/>
      <c r="EQ1451" s="59"/>
      <c r="ER1451" s="59"/>
      <c r="ES1451" s="59"/>
      <c r="ET1451" s="59"/>
      <c r="EU1451" s="59"/>
      <c r="EV1451" s="59"/>
      <c r="EW1451" s="59"/>
      <c r="EX1451" s="59"/>
      <c r="EY1451" s="59"/>
      <c r="EZ1451" s="59"/>
      <c r="FA1451" s="59"/>
      <c r="FB1451" s="59"/>
      <c r="FC1451" s="59"/>
      <c r="FD1451" s="59"/>
      <c r="FE1451" s="59"/>
      <c r="FF1451" s="59"/>
      <c r="FG1451" s="59"/>
      <c r="FH1451" s="59"/>
      <c r="FI1451" s="59"/>
      <c r="FJ1451" s="59"/>
      <c r="FK1451" s="59"/>
      <c r="FL1451" s="59"/>
      <c r="FM1451" s="59"/>
      <c r="FN1451" s="59"/>
      <c r="FO1451" s="59"/>
      <c r="FP1451" s="59"/>
      <c r="FQ1451" s="59"/>
      <c r="FR1451" s="59"/>
      <c r="FS1451" s="59"/>
      <c r="FT1451" s="59"/>
      <c r="FU1451" s="59"/>
      <c r="FV1451" s="59"/>
      <c r="FW1451" s="59"/>
      <c r="FX1451" s="59"/>
      <c r="FY1451" s="59"/>
      <c r="FZ1451" s="59"/>
      <c r="GA1451" s="59"/>
      <c r="GB1451" s="59"/>
      <c r="GC1451" s="59"/>
    </row>
    <row r="1452">
      <c r="A1452" s="59"/>
      <c r="B1452" s="59"/>
      <c r="C1452" s="59"/>
      <c r="D1452" s="59"/>
      <c r="E1452" s="59"/>
      <c r="F1452" s="59"/>
      <c r="G1452" s="59"/>
      <c r="H1452" s="59"/>
      <c r="I1452" s="59"/>
      <c r="J1452" s="59"/>
      <c r="K1452" s="59"/>
      <c r="L1452" s="59"/>
      <c r="M1452" s="59"/>
      <c r="N1452" s="59"/>
      <c r="O1452" s="59"/>
      <c r="P1452" s="59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  <c r="AD1452" s="59"/>
      <c r="AE1452" s="59"/>
      <c r="AF1452" s="59"/>
      <c r="AG1452" s="59"/>
      <c r="AH1452" s="59"/>
      <c r="AI1452" s="59"/>
      <c r="AJ1452" s="59"/>
      <c r="AK1452" s="59"/>
      <c r="AL1452" s="59"/>
      <c r="AM1452" s="59"/>
      <c r="AN1452" s="59"/>
      <c r="AO1452" s="59"/>
      <c r="AP1452" s="59"/>
      <c r="AQ1452" s="59"/>
      <c r="AR1452" s="59"/>
      <c r="AS1452" s="59"/>
      <c r="AT1452" s="59"/>
      <c r="AU1452" s="59"/>
      <c r="AV1452" s="59"/>
      <c r="AW1452" s="59"/>
      <c r="AX1452" s="59"/>
      <c r="AY1452" s="59"/>
      <c r="AZ1452" s="59"/>
      <c r="BA1452" s="59"/>
      <c r="BB1452" s="59"/>
      <c r="BC1452" s="59"/>
      <c r="BD1452" s="59"/>
      <c r="BE1452" s="59"/>
      <c r="BF1452" s="59"/>
      <c r="BG1452" s="59"/>
      <c r="BH1452" s="59"/>
      <c r="BI1452" s="59"/>
      <c r="BJ1452" s="59"/>
      <c r="BK1452" s="59"/>
      <c r="BL1452" s="59"/>
      <c r="BM1452" s="59"/>
      <c r="BN1452" s="59"/>
      <c r="BO1452" s="59"/>
      <c r="BP1452" s="59"/>
      <c r="BQ1452" s="59"/>
      <c r="BR1452" s="59"/>
      <c r="BS1452" s="59"/>
      <c r="BT1452" s="59"/>
      <c r="BU1452" s="59"/>
      <c r="BV1452" s="59"/>
      <c r="BW1452" s="59"/>
      <c r="BX1452" s="59"/>
      <c r="BY1452" s="59"/>
      <c r="BZ1452" s="59"/>
      <c r="CA1452" s="59"/>
      <c r="CB1452" s="59"/>
      <c r="CC1452" s="59"/>
      <c r="CD1452" s="59"/>
      <c r="CE1452" s="59"/>
      <c r="CF1452" s="59"/>
      <c r="CG1452" s="59"/>
      <c r="CH1452" s="59"/>
      <c r="CI1452" s="59"/>
      <c r="CJ1452" s="59"/>
      <c r="CK1452" s="59"/>
      <c r="CL1452" s="59"/>
      <c r="CM1452" s="59"/>
      <c r="CN1452" s="59"/>
      <c r="CO1452" s="59"/>
      <c r="CP1452" s="59"/>
      <c r="CQ1452" s="59"/>
      <c r="CR1452" s="59"/>
      <c r="CS1452" s="59"/>
      <c r="CT1452" s="59"/>
      <c r="CU1452" s="59"/>
      <c r="CV1452" s="59"/>
      <c r="CW1452" s="59"/>
      <c r="CX1452" s="59"/>
      <c r="CY1452" s="59"/>
      <c r="CZ1452" s="59"/>
      <c r="DA1452" s="59"/>
      <c r="DB1452" s="59"/>
      <c r="DC1452" s="59"/>
      <c r="DD1452" s="59"/>
      <c r="DE1452" s="59"/>
      <c r="DF1452" s="59"/>
      <c r="DG1452" s="59"/>
      <c r="DH1452" s="59"/>
      <c r="DI1452" s="59"/>
      <c r="DJ1452" s="59"/>
      <c r="DK1452" s="59"/>
      <c r="DL1452" s="59"/>
      <c r="DM1452" s="59"/>
      <c r="DN1452" s="59"/>
      <c r="DO1452" s="59"/>
      <c r="DP1452" s="59"/>
      <c r="DQ1452" s="59"/>
      <c r="DR1452" s="59"/>
      <c r="DS1452" s="59"/>
      <c r="DT1452" s="59"/>
      <c r="DU1452" s="59"/>
      <c r="DV1452" s="59"/>
      <c r="DW1452" s="59"/>
      <c r="DX1452" s="59"/>
      <c r="DY1452" s="59"/>
      <c r="DZ1452" s="59"/>
      <c r="EA1452" s="59"/>
      <c r="EB1452" s="59"/>
      <c r="EC1452" s="59"/>
      <c r="ED1452" s="59"/>
      <c r="EE1452" s="59"/>
      <c r="EF1452" s="59"/>
      <c r="EG1452" s="59"/>
      <c r="EH1452" s="59"/>
      <c r="EI1452" s="59"/>
      <c r="EJ1452" s="59"/>
      <c r="EK1452" s="59"/>
      <c r="EL1452" s="59"/>
      <c r="EM1452" s="59"/>
      <c r="EN1452" s="59"/>
      <c r="EO1452" s="59"/>
      <c r="EP1452" s="59"/>
      <c r="EQ1452" s="59"/>
      <c r="ER1452" s="59"/>
      <c r="ES1452" s="59"/>
      <c r="ET1452" s="59"/>
      <c r="EU1452" s="59"/>
      <c r="EV1452" s="59"/>
      <c r="EW1452" s="59"/>
      <c r="EX1452" s="59"/>
      <c r="EY1452" s="59"/>
      <c r="EZ1452" s="59"/>
      <c r="FA1452" s="59"/>
      <c r="FB1452" s="59"/>
      <c r="FC1452" s="59"/>
      <c r="FD1452" s="59"/>
      <c r="FE1452" s="59"/>
      <c r="FF1452" s="59"/>
      <c r="FG1452" s="59"/>
      <c r="FH1452" s="59"/>
      <c r="FI1452" s="59"/>
      <c r="FJ1452" s="59"/>
      <c r="FK1452" s="59"/>
      <c r="FL1452" s="59"/>
      <c r="FM1452" s="59"/>
      <c r="FN1452" s="59"/>
      <c r="FO1452" s="59"/>
      <c r="FP1452" s="59"/>
      <c r="FQ1452" s="59"/>
      <c r="FR1452" s="59"/>
      <c r="FS1452" s="59"/>
      <c r="FT1452" s="59"/>
      <c r="FU1452" s="59"/>
      <c r="FV1452" s="59"/>
      <c r="FW1452" s="59"/>
      <c r="FX1452" s="59"/>
      <c r="FY1452" s="59"/>
      <c r="FZ1452" s="59"/>
      <c r="GA1452" s="59"/>
      <c r="GB1452" s="59"/>
      <c r="GC1452" s="59"/>
    </row>
    <row r="1453">
      <c r="A1453" s="59"/>
      <c r="B1453" s="59"/>
      <c r="C1453" s="59"/>
      <c r="D1453" s="59"/>
      <c r="E1453" s="59"/>
      <c r="F1453" s="59"/>
      <c r="G1453" s="59"/>
      <c r="H1453" s="59"/>
      <c r="I1453" s="59"/>
      <c r="J1453" s="59"/>
      <c r="K1453" s="59"/>
      <c r="L1453" s="59"/>
      <c r="M1453" s="59"/>
      <c r="N1453" s="59"/>
      <c r="O1453" s="59"/>
      <c r="P1453" s="59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59"/>
      <c r="AG1453" s="59"/>
      <c r="AH1453" s="59"/>
      <c r="AI1453" s="59"/>
      <c r="AJ1453" s="59"/>
      <c r="AK1453" s="59"/>
      <c r="AL1453" s="59"/>
      <c r="AM1453" s="59"/>
      <c r="AN1453" s="59"/>
      <c r="AO1453" s="59"/>
      <c r="AP1453" s="59"/>
      <c r="AQ1453" s="59"/>
      <c r="AR1453" s="59"/>
      <c r="AS1453" s="59"/>
      <c r="AT1453" s="59"/>
      <c r="AU1453" s="59"/>
      <c r="AV1453" s="59"/>
      <c r="AW1453" s="59"/>
      <c r="AX1453" s="59"/>
      <c r="AY1453" s="59"/>
      <c r="AZ1453" s="59"/>
      <c r="BA1453" s="59"/>
      <c r="BB1453" s="59"/>
      <c r="BC1453" s="59"/>
      <c r="BD1453" s="59"/>
      <c r="BE1453" s="59"/>
      <c r="BF1453" s="59"/>
      <c r="BG1453" s="59"/>
      <c r="BH1453" s="59"/>
      <c r="BI1453" s="59"/>
      <c r="BJ1453" s="59"/>
      <c r="BK1453" s="59"/>
      <c r="BL1453" s="59"/>
      <c r="BM1453" s="59"/>
      <c r="BN1453" s="59"/>
      <c r="BO1453" s="59"/>
      <c r="BP1453" s="59"/>
      <c r="BQ1453" s="59"/>
      <c r="BR1453" s="59"/>
      <c r="BS1453" s="59"/>
      <c r="BT1453" s="59"/>
      <c r="BU1453" s="59"/>
      <c r="BV1453" s="59"/>
      <c r="BW1453" s="59"/>
      <c r="BX1453" s="59"/>
      <c r="BY1453" s="59"/>
      <c r="BZ1453" s="59"/>
      <c r="CA1453" s="59"/>
      <c r="CB1453" s="59"/>
      <c r="CC1453" s="59"/>
      <c r="CD1453" s="59"/>
      <c r="CE1453" s="59"/>
      <c r="CF1453" s="59"/>
      <c r="CG1453" s="59"/>
      <c r="CH1453" s="59"/>
      <c r="CI1453" s="59"/>
      <c r="CJ1453" s="59"/>
      <c r="CK1453" s="59"/>
      <c r="CL1453" s="59"/>
      <c r="CM1453" s="59"/>
      <c r="CN1453" s="59"/>
      <c r="CO1453" s="59"/>
      <c r="CP1453" s="59"/>
      <c r="CQ1453" s="59"/>
      <c r="CR1453" s="59"/>
      <c r="CS1453" s="59"/>
      <c r="CT1453" s="59"/>
      <c r="CU1453" s="59"/>
      <c r="CV1453" s="59"/>
      <c r="CW1453" s="59"/>
      <c r="CX1453" s="59"/>
      <c r="CY1453" s="59"/>
      <c r="CZ1453" s="59"/>
      <c r="DA1453" s="59"/>
      <c r="DB1453" s="59"/>
      <c r="DC1453" s="59"/>
      <c r="DD1453" s="59"/>
      <c r="DE1453" s="59"/>
      <c r="DF1453" s="59"/>
      <c r="DG1453" s="59"/>
      <c r="DH1453" s="59"/>
      <c r="DI1453" s="59"/>
      <c r="DJ1453" s="59"/>
      <c r="DK1453" s="59"/>
      <c r="DL1453" s="59"/>
      <c r="DM1453" s="59"/>
      <c r="DN1453" s="59"/>
      <c r="DO1453" s="59"/>
      <c r="DP1453" s="59"/>
      <c r="DQ1453" s="59"/>
      <c r="DR1453" s="59"/>
      <c r="DS1453" s="59"/>
      <c r="DT1453" s="59"/>
      <c r="DU1453" s="59"/>
      <c r="DV1453" s="59"/>
      <c r="DW1453" s="59"/>
      <c r="DX1453" s="59"/>
      <c r="DY1453" s="59"/>
      <c r="DZ1453" s="59"/>
      <c r="EA1453" s="59"/>
      <c r="EB1453" s="59"/>
      <c r="EC1453" s="59"/>
      <c r="ED1453" s="59"/>
      <c r="EE1453" s="59"/>
      <c r="EF1453" s="59"/>
      <c r="EG1453" s="59"/>
      <c r="EH1453" s="59"/>
      <c r="EI1453" s="59"/>
      <c r="EJ1453" s="59"/>
      <c r="EK1453" s="59"/>
      <c r="EL1453" s="59"/>
      <c r="EM1453" s="59"/>
      <c r="EN1453" s="59"/>
      <c r="EO1453" s="59"/>
      <c r="EP1453" s="59"/>
      <c r="EQ1453" s="59"/>
      <c r="ER1453" s="59"/>
      <c r="ES1453" s="59"/>
      <c r="ET1453" s="59"/>
      <c r="EU1453" s="59"/>
      <c r="EV1453" s="59"/>
      <c r="EW1453" s="59"/>
      <c r="EX1453" s="59"/>
      <c r="EY1453" s="59"/>
      <c r="EZ1453" s="59"/>
      <c r="FA1453" s="59"/>
      <c r="FB1453" s="59"/>
      <c r="FC1453" s="59"/>
      <c r="FD1453" s="59"/>
      <c r="FE1453" s="59"/>
      <c r="FF1453" s="59"/>
      <c r="FG1453" s="59"/>
      <c r="FH1453" s="59"/>
      <c r="FI1453" s="59"/>
      <c r="FJ1453" s="59"/>
      <c r="FK1453" s="59"/>
      <c r="FL1453" s="59"/>
      <c r="FM1453" s="59"/>
      <c r="FN1453" s="59"/>
      <c r="FO1453" s="59"/>
      <c r="FP1453" s="59"/>
      <c r="FQ1453" s="59"/>
      <c r="FR1453" s="59"/>
      <c r="FS1453" s="59"/>
      <c r="FT1453" s="59"/>
      <c r="FU1453" s="59"/>
      <c r="FV1453" s="59"/>
      <c r="FW1453" s="59"/>
      <c r="FX1453" s="59"/>
      <c r="FY1453" s="59"/>
      <c r="FZ1453" s="59"/>
      <c r="GA1453" s="59"/>
      <c r="GB1453" s="59"/>
      <c r="GC1453" s="59"/>
    </row>
    <row r="1454">
      <c r="A1454" s="59"/>
      <c r="B1454" s="59"/>
      <c r="C1454" s="59"/>
      <c r="D1454" s="59"/>
      <c r="E1454" s="59"/>
      <c r="F1454" s="59"/>
      <c r="G1454" s="59"/>
      <c r="H1454" s="59"/>
      <c r="I1454" s="59"/>
      <c r="J1454" s="59"/>
      <c r="K1454" s="59"/>
      <c r="L1454" s="59"/>
      <c r="M1454" s="59"/>
      <c r="N1454" s="59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59"/>
      <c r="AI1454" s="59"/>
      <c r="AJ1454" s="59"/>
      <c r="AK1454" s="59"/>
      <c r="AL1454" s="59"/>
      <c r="AM1454" s="59"/>
      <c r="AN1454" s="59"/>
      <c r="AO1454" s="59"/>
      <c r="AP1454" s="59"/>
      <c r="AQ1454" s="59"/>
      <c r="AR1454" s="59"/>
      <c r="AS1454" s="59"/>
      <c r="AT1454" s="59"/>
      <c r="AU1454" s="59"/>
      <c r="AV1454" s="59"/>
      <c r="AW1454" s="59"/>
      <c r="AX1454" s="59"/>
      <c r="AY1454" s="59"/>
      <c r="AZ1454" s="59"/>
      <c r="BA1454" s="59"/>
      <c r="BB1454" s="59"/>
      <c r="BC1454" s="59"/>
      <c r="BD1454" s="59"/>
      <c r="BE1454" s="59"/>
      <c r="BF1454" s="59"/>
      <c r="BG1454" s="59"/>
      <c r="BH1454" s="59"/>
      <c r="BI1454" s="59"/>
      <c r="BJ1454" s="59"/>
      <c r="BK1454" s="59"/>
      <c r="BL1454" s="59"/>
      <c r="BM1454" s="59"/>
      <c r="BN1454" s="59"/>
      <c r="BO1454" s="59"/>
      <c r="BP1454" s="59"/>
      <c r="BQ1454" s="59"/>
      <c r="BR1454" s="59"/>
      <c r="BS1454" s="59"/>
      <c r="BT1454" s="59"/>
      <c r="BU1454" s="59"/>
      <c r="BV1454" s="59"/>
      <c r="BW1454" s="59"/>
      <c r="BX1454" s="59"/>
      <c r="BY1454" s="59"/>
      <c r="BZ1454" s="59"/>
      <c r="CA1454" s="59"/>
      <c r="CB1454" s="59"/>
      <c r="CC1454" s="59"/>
      <c r="CD1454" s="59"/>
      <c r="CE1454" s="59"/>
      <c r="CF1454" s="59"/>
      <c r="CG1454" s="59"/>
      <c r="CH1454" s="59"/>
      <c r="CI1454" s="59"/>
      <c r="CJ1454" s="59"/>
      <c r="CK1454" s="59"/>
      <c r="CL1454" s="59"/>
      <c r="CM1454" s="59"/>
      <c r="CN1454" s="59"/>
      <c r="CO1454" s="59"/>
      <c r="CP1454" s="59"/>
      <c r="CQ1454" s="59"/>
      <c r="CR1454" s="59"/>
      <c r="CS1454" s="59"/>
      <c r="CT1454" s="59"/>
      <c r="CU1454" s="59"/>
      <c r="CV1454" s="59"/>
      <c r="CW1454" s="59"/>
      <c r="CX1454" s="59"/>
      <c r="CY1454" s="59"/>
      <c r="CZ1454" s="59"/>
      <c r="DA1454" s="59"/>
      <c r="DB1454" s="59"/>
      <c r="DC1454" s="59"/>
      <c r="DD1454" s="59"/>
      <c r="DE1454" s="59"/>
      <c r="DF1454" s="59"/>
      <c r="DG1454" s="59"/>
      <c r="DH1454" s="59"/>
      <c r="DI1454" s="59"/>
      <c r="DJ1454" s="59"/>
      <c r="DK1454" s="59"/>
      <c r="DL1454" s="59"/>
      <c r="DM1454" s="59"/>
      <c r="DN1454" s="59"/>
      <c r="DO1454" s="59"/>
      <c r="DP1454" s="59"/>
      <c r="DQ1454" s="59"/>
      <c r="DR1454" s="59"/>
      <c r="DS1454" s="59"/>
      <c r="DT1454" s="59"/>
      <c r="DU1454" s="59"/>
      <c r="DV1454" s="59"/>
      <c r="DW1454" s="59"/>
      <c r="DX1454" s="59"/>
      <c r="DY1454" s="59"/>
      <c r="DZ1454" s="59"/>
      <c r="EA1454" s="59"/>
      <c r="EB1454" s="59"/>
      <c r="EC1454" s="59"/>
      <c r="ED1454" s="59"/>
      <c r="EE1454" s="59"/>
      <c r="EF1454" s="59"/>
      <c r="EG1454" s="59"/>
      <c r="EH1454" s="59"/>
      <c r="EI1454" s="59"/>
      <c r="EJ1454" s="59"/>
      <c r="EK1454" s="59"/>
      <c r="EL1454" s="59"/>
      <c r="EM1454" s="59"/>
      <c r="EN1454" s="59"/>
      <c r="EO1454" s="59"/>
      <c r="EP1454" s="59"/>
      <c r="EQ1454" s="59"/>
      <c r="ER1454" s="59"/>
      <c r="ES1454" s="59"/>
      <c r="ET1454" s="59"/>
      <c r="EU1454" s="59"/>
      <c r="EV1454" s="59"/>
      <c r="EW1454" s="59"/>
      <c r="EX1454" s="59"/>
      <c r="EY1454" s="59"/>
      <c r="EZ1454" s="59"/>
      <c r="FA1454" s="59"/>
      <c r="FB1454" s="59"/>
      <c r="FC1454" s="59"/>
      <c r="FD1454" s="59"/>
      <c r="FE1454" s="59"/>
      <c r="FF1454" s="59"/>
      <c r="FG1454" s="59"/>
      <c r="FH1454" s="59"/>
      <c r="FI1454" s="59"/>
      <c r="FJ1454" s="59"/>
      <c r="FK1454" s="59"/>
      <c r="FL1454" s="59"/>
      <c r="FM1454" s="59"/>
      <c r="FN1454" s="59"/>
      <c r="FO1454" s="59"/>
      <c r="FP1454" s="59"/>
      <c r="FQ1454" s="59"/>
      <c r="FR1454" s="59"/>
      <c r="FS1454" s="59"/>
      <c r="FT1454" s="59"/>
      <c r="FU1454" s="59"/>
      <c r="FV1454" s="59"/>
      <c r="FW1454" s="59"/>
      <c r="FX1454" s="59"/>
      <c r="FY1454" s="59"/>
      <c r="FZ1454" s="59"/>
      <c r="GA1454" s="59"/>
      <c r="GB1454" s="59"/>
      <c r="GC1454" s="59"/>
    </row>
    <row r="1455">
      <c r="A1455" s="59"/>
      <c r="B1455" s="59"/>
      <c r="C1455" s="59"/>
      <c r="D1455" s="59"/>
      <c r="E1455" s="59"/>
      <c r="F1455" s="59"/>
      <c r="G1455" s="59"/>
      <c r="H1455" s="59"/>
      <c r="I1455" s="59"/>
      <c r="J1455" s="59"/>
      <c r="K1455" s="59"/>
      <c r="L1455" s="59"/>
      <c r="M1455" s="59"/>
      <c r="N1455" s="59"/>
      <c r="O1455" s="59"/>
      <c r="P1455" s="59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59"/>
      <c r="AG1455" s="59"/>
      <c r="AH1455" s="59"/>
      <c r="AI1455" s="59"/>
      <c r="AJ1455" s="59"/>
      <c r="AK1455" s="59"/>
      <c r="AL1455" s="59"/>
      <c r="AM1455" s="59"/>
      <c r="AN1455" s="59"/>
      <c r="AO1455" s="59"/>
      <c r="AP1455" s="59"/>
      <c r="AQ1455" s="59"/>
      <c r="AR1455" s="59"/>
      <c r="AS1455" s="59"/>
      <c r="AT1455" s="59"/>
      <c r="AU1455" s="59"/>
      <c r="AV1455" s="59"/>
      <c r="AW1455" s="59"/>
      <c r="AX1455" s="59"/>
      <c r="AY1455" s="59"/>
      <c r="AZ1455" s="59"/>
      <c r="BA1455" s="59"/>
      <c r="BB1455" s="59"/>
      <c r="BC1455" s="59"/>
      <c r="BD1455" s="59"/>
      <c r="BE1455" s="59"/>
      <c r="BF1455" s="59"/>
      <c r="BG1455" s="59"/>
      <c r="BH1455" s="59"/>
      <c r="BI1455" s="59"/>
      <c r="BJ1455" s="59"/>
      <c r="BK1455" s="59"/>
      <c r="BL1455" s="59"/>
      <c r="BM1455" s="59"/>
      <c r="BN1455" s="59"/>
      <c r="BO1455" s="59"/>
      <c r="BP1455" s="59"/>
      <c r="BQ1455" s="59"/>
      <c r="BR1455" s="59"/>
      <c r="BS1455" s="59"/>
      <c r="BT1455" s="59"/>
      <c r="BU1455" s="59"/>
      <c r="BV1455" s="59"/>
      <c r="BW1455" s="59"/>
      <c r="BX1455" s="59"/>
      <c r="BY1455" s="59"/>
      <c r="BZ1455" s="59"/>
      <c r="CA1455" s="59"/>
      <c r="CB1455" s="59"/>
      <c r="CC1455" s="59"/>
      <c r="CD1455" s="59"/>
      <c r="CE1455" s="59"/>
      <c r="CF1455" s="59"/>
      <c r="CG1455" s="59"/>
      <c r="CH1455" s="59"/>
      <c r="CI1455" s="59"/>
      <c r="CJ1455" s="59"/>
      <c r="CK1455" s="59"/>
      <c r="CL1455" s="59"/>
      <c r="CM1455" s="59"/>
      <c r="CN1455" s="59"/>
      <c r="CO1455" s="59"/>
      <c r="CP1455" s="59"/>
      <c r="CQ1455" s="59"/>
      <c r="CR1455" s="59"/>
      <c r="CS1455" s="59"/>
      <c r="CT1455" s="59"/>
      <c r="CU1455" s="59"/>
      <c r="CV1455" s="59"/>
      <c r="CW1455" s="59"/>
      <c r="CX1455" s="59"/>
      <c r="CY1455" s="59"/>
      <c r="CZ1455" s="59"/>
      <c r="DA1455" s="59"/>
      <c r="DB1455" s="59"/>
      <c r="DC1455" s="59"/>
      <c r="DD1455" s="59"/>
      <c r="DE1455" s="59"/>
      <c r="DF1455" s="59"/>
      <c r="DG1455" s="59"/>
      <c r="DH1455" s="59"/>
      <c r="DI1455" s="59"/>
      <c r="DJ1455" s="59"/>
      <c r="DK1455" s="59"/>
      <c r="DL1455" s="59"/>
      <c r="DM1455" s="59"/>
      <c r="DN1455" s="59"/>
      <c r="DO1455" s="59"/>
      <c r="DP1455" s="59"/>
      <c r="DQ1455" s="59"/>
      <c r="DR1455" s="59"/>
      <c r="DS1455" s="59"/>
      <c r="DT1455" s="59"/>
      <c r="DU1455" s="59"/>
      <c r="DV1455" s="59"/>
      <c r="DW1455" s="59"/>
      <c r="DX1455" s="59"/>
      <c r="DY1455" s="59"/>
      <c r="DZ1455" s="59"/>
      <c r="EA1455" s="59"/>
      <c r="EB1455" s="59"/>
      <c r="EC1455" s="59"/>
      <c r="ED1455" s="59"/>
      <c r="EE1455" s="59"/>
      <c r="EF1455" s="59"/>
      <c r="EG1455" s="59"/>
      <c r="EH1455" s="59"/>
      <c r="EI1455" s="59"/>
      <c r="EJ1455" s="59"/>
      <c r="EK1455" s="59"/>
      <c r="EL1455" s="59"/>
      <c r="EM1455" s="59"/>
      <c r="EN1455" s="59"/>
      <c r="EO1455" s="59"/>
      <c r="EP1455" s="59"/>
      <c r="EQ1455" s="59"/>
      <c r="ER1455" s="59"/>
      <c r="ES1455" s="59"/>
      <c r="ET1455" s="59"/>
      <c r="EU1455" s="59"/>
      <c r="EV1455" s="59"/>
      <c r="EW1455" s="59"/>
      <c r="EX1455" s="59"/>
      <c r="EY1455" s="59"/>
      <c r="EZ1455" s="59"/>
      <c r="FA1455" s="59"/>
      <c r="FB1455" s="59"/>
      <c r="FC1455" s="59"/>
      <c r="FD1455" s="59"/>
      <c r="FE1455" s="59"/>
      <c r="FF1455" s="59"/>
      <c r="FG1455" s="59"/>
      <c r="FH1455" s="59"/>
      <c r="FI1455" s="59"/>
      <c r="FJ1455" s="59"/>
      <c r="FK1455" s="59"/>
      <c r="FL1455" s="59"/>
      <c r="FM1455" s="59"/>
      <c r="FN1455" s="59"/>
      <c r="FO1455" s="59"/>
      <c r="FP1455" s="59"/>
      <c r="FQ1455" s="59"/>
      <c r="FR1455" s="59"/>
      <c r="FS1455" s="59"/>
      <c r="FT1455" s="59"/>
      <c r="FU1455" s="59"/>
      <c r="FV1455" s="59"/>
      <c r="FW1455" s="59"/>
      <c r="FX1455" s="59"/>
      <c r="FY1455" s="59"/>
      <c r="FZ1455" s="59"/>
      <c r="GA1455" s="59"/>
      <c r="GB1455" s="59"/>
      <c r="GC1455" s="59"/>
    </row>
    <row r="1456">
      <c r="A1456" s="59"/>
      <c r="B1456" s="59"/>
      <c r="C1456" s="59"/>
      <c r="D1456" s="59"/>
      <c r="E1456" s="59"/>
      <c r="F1456" s="59"/>
      <c r="G1456" s="59"/>
      <c r="H1456" s="59"/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59"/>
      <c r="AI1456" s="59"/>
      <c r="AJ1456" s="59"/>
      <c r="AK1456" s="59"/>
      <c r="AL1456" s="59"/>
      <c r="AM1456" s="59"/>
      <c r="AN1456" s="59"/>
      <c r="AO1456" s="59"/>
      <c r="AP1456" s="59"/>
      <c r="AQ1456" s="59"/>
      <c r="AR1456" s="59"/>
      <c r="AS1456" s="59"/>
      <c r="AT1456" s="59"/>
      <c r="AU1456" s="59"/>
      <c r="AV1456" s="59"/>
      <c r="AW1456" s="59"/>
      <c r="AX1456" s="59"/>
      <c r="AY1456" s="59"/>
      <c r="AZ1456" s="59"/>
      <c r="BA1456" s="59"/>
      <c r="BB1456" s="59"/>
      <c r="BC1456" s="59"/>
      <c r="BD1456" s="59"/>
      <c r="BE1456" s="59"/>
      <c r="BF1456" s="59"/>
      <c r="BG1456" s="59"/>
      <c r="BH1456" s="59"/>
      <c r="BI1456" s="59"/>
      <c r="BJ1456" s="59"/>
      <c r="BK1456" s="59"/>
      <c r="BL1456" s="59"/>
      <c r="BM1456" s="59"/>
      <c r="BN1456" s="59"/>
      <c r="BO1456" s="59"/>
      <c r="BP1456" s="59"/>
      <c r="BQ1456" s="59"/>
      <c r="BR1456" s="59"/>
      <c r="BS1456" s="59"/>
      <c r="BT1456" s="59"/>
      <c r="BU1456" s="59"/>
      <c r="BV1456" s="59"/>
      <c r="BW1456" s="59"/>
      <c r="BX1456" s="59"/>
      <c r="BY1456" s="59"/>
      <c r="BZ1456" s="59"/>
      <c r="CA1456" s="59"/>
      <c r="CB1456" s="59"/>
      <c r="CC1456" s="59"/>
      <c r="CD1456" s="59"/>
      <c r="CE1456" s="59"/>
      <c r="CF1456" s="59"/>
      <c r="CG1456" s="59"/>
      <c r="CH1456" s="59"/>
      <c r="CI1456" s="59"/>
      <c r="CJ1456" s="59"/>
      <c r="CK1456" s="59"/>
      <c r="CL1456" s="59"/>
      <c r="CM1456" s="59"/>
      <c r="CN1456" s="59"/>
      <c r="CO1456" s="59"/>
      <c r="CP1456" s="59"/>
      <c r="CQ1456" s="59"/>
      <c r="CR1456" s="59"/>
      <c r="CS1456" s="59"/>
      <c r="CT1456" s="59"/>
      <c r="CU1456" s="59"/>
      <c r="CV1456" s="59"/>
      <c r="CW1456" s="59"/>
      <c r="CX1456" s="59"/>
      <c r="CY1456" s="59"/>
      <c r="CZ1456" s="59"/>
      <c r="DA1456" s="59"/>
      <c r="DB1456" s="59"/>
      <c r="DC1456" s="59"/>
      <c r="DD1456" s="59"/>
      <c r="DE1456" s="59"/>
      <c r="DF1456" s="59"/>
      <c r="DG1456" s="59"/>
      <c r="DH1456" s="59"/>
      <c r="DI1456" s="59"/>
      <c r="DJ1456" s="59"/>
      <c r="DK1456" s="59"/>
      <c r="DL1456" s="59"/>
      <c r="DM1456" s="59"/>
      <c r="DN1456" s="59"/>
      <c r="DO1456" s="59"/>
      <c r="DP1456" s="59"/>
      <c r="DQ1456" s="59"/>
      <c r="DR1456" s="59"/>
      <c r="DS1456" s="59"/>
      <c r="DT1456" s="59"/>
      <c r="DU1456" s="59"/>
      <c r="DV1456" s="59"/>
      <c r="DW1456" s="59"/>
      <c r="DX1456" s="59"/>
      <c r="DY1456" s="59"/>
      <c r="DZ1456" s="59"/>
      <c r="EA1456" s="59"/>
      <c r="EB1456" s="59"/>
      <c r="EC1456" s="59"/>
      <c r="ED1456" s="59"/>
      <c r="EE1456" s="59"/>
      <c r="EF1456" s="59"/>
      <c r="EG1456" s="59"/>
      <c r="EH1456" s="59"/>
      <c r="EI1456" s="59"/>
      <c r="EJ1456" s="59"/>
      <c r="EK1456" s="59"/>
      <c r="EL1456" s="59"/>
      <c r="EM1456" s="59"/>
      <c r="EN1456" s="59"/>
      <c r="EO1456" s="59"/>
      <c r="EP1456" s="59"/>
      <c r="EQ1456" s="59"/>
      <c r="ER1456" s="59"/>
      <c r="ES1456" s="59"/>
      <c r="ET1456" s="59"/>
      <c r="EU1456" s="59"/>
      <c r="EV1456" s="59"/>
      <c r="EW1456" s="59"/>
      <c r="EX1456" s="59"/>
      <c r="EY1456" s="59"/>
      <c r="EZ1456" s="59"/>
      <c r="FA1456" s="59"/>
      <c r="FB1456" s="59"/>
      <c r="FC1456" s="59"/>
      <c r="FD1456" s="59"/>
      <c r="FE1456" s="59"/>
      <c r="FF1456" s="59"/>
      <c r="FG1456" s="59"/>
      <c r="FH1456" s="59"/>
      <c r="FI1456" s="59"/>
      <c r="FJ1456" s="59"/>
      <c r="FK1456" s="59"/>
      <c r="FL1456" s="59"/>
      <c r="FM1456" s="59"/>
      <c r="FN1456" s="59"/>
      <c r="FO1456" s="59"/>
      <c r="FP1456" s="59"/>
      <c r="FQ1456" s="59"/>
      <c r="FR1456" s="59"/>
      <c r="FS1456" s="59"/>
      <c r="FT1456" s="59"/>
      <c r="FU1456" s="59"/>
      <c r="FV1456" s="59"/>
      <c r="FW1456" s="59"/>
      <c r="FX1456" s="59"/>
      <c r="FY1456" s="59"/>
      <c r="FZ1456" s="59"/>
      <c r="GA1456" s="59"/>
      <c r="GB1456" s="59"/>
      <c r="GC1456" s="59"/>
    </row>
    <row r="1457">
      <c r="A1457" s="59"/>
      <c r="B1457" s="59"/>
      <c r="C1457" s="59"/>
      <c r="D1457" s="59"/>
      <c r="E1457" s="59"/>
      <c r="F1457" s="59"/>
      <c r="G1457" s="59"/>
      <c r="H1457" s="59"/>
      <c r="I1457" s="59"/>
      <c r="J1457" s="59"/>
      <c r="K1457" s="59"/>
      <c r="L1457" s="59"/>
      <c r="M1457" s="59"/>
      <c r="N1457" s="59"/>
      <c r="O1457" s="59"/>
      <c r="P1457" s="59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59"/>
      <c r="AG1457" s="59"/>
      <c r="AH1457" s="59"/>
      <c r="AI1457" s="59"/>
      <c r="AJ1457" s="59"/>
      <c r="AK1457" s="59"/>
      <c r="AL1457" s="59"/>
      <c r="AM1457" s="59"/>
      <c r="AN1457" s="59"/>
      <c r="AO1457" s="59"/>
      <c r="AP1457" s="59"/>
      <c r="AQ1457" s="59"/>
      <c r="AR1457" s="59"/>
      <c r="AS1457" s="59"/>
      <c r="AT1457" s="59"/>
      <c r="AU1457" s="59"/>
      <c r="AV1457" s="59"/>
      <c r="AW1457" s="59"/>
      <c r="AX1457" s="59"/>
      <c r="AY1457" s="59"/>
      <c r="AZ1457" s="59"/>
      <c r="BA1457" s="59"/>
      <c r="BB1457" s="59"/>
      <c r="BC1457" s="59"/>
      <c r="BD1457" s="59"/>
      <c r="BE1457" s="59"/>
      <c r="BF1457" s="59"/>
      <c r="BG1457" s="59"/>
      <c r="BH1457" s="59"/>
      <c r="BI1457" s="59"/>
      <c r="BJ1457" s="59"/>
      <c r="BK1457" s="59"/>
      <c r="BL1457" s="59"/>
      <c r="BM1457" s="59"/>
      <c r="BN1457" s="59"/>
      <c r="BO1457" s="59"/>
      <c r="BP1457" s="59"/>
      <c r="BQ1457" s="59"/>
      <c r="BR1457" s="59"/>
      <c r="BS1457" s="59"/>
      <c r="BT1457" s="59"/>
      <c r="BU1457" s="59"/>
      <c r="BV1457" s="59"/>
      <c r="BW1457" s="59"/>
      <c r="BX1457" s="59"/>
      <c r="BY1457" s="59"/>
      <c r="BZ1457" s="59"/>
      <c r="CA1457" s="59"/>
      <c r="CB1457" s="59"/>
      <c r="CC1457" s="59"/>
      <c r="CD1457" s="59"/>
      <c r="CE1457" s="59"/>
      <c r="CF1457" s="59"/>
      <c r="CG1457" s="59"/>
      <c r="CH1457" s="59"/>
      <c r="CI1457" s="59"/>
      <c r="CJ1457" s="59"/>
      <c r="CK1457" s="59"/>
      <c r="CL1457" s="59"/>
      <c r="CM1457" s="59"/>
      <c r="CN1457" s="59"/>
      <c r="CO1457" s="59"/>
      <c r="CP1457" s="59"/>
      <c r="CQ1457" s="59"/>
      <c r="CR1457" s="59"/>
      <c r="CS1457" s="59"/>
      <c r="CT1457" s="59"/>
      <c r="CU1457" s="59"/>
      <c r="CV1457" s="59"/>
      <c r="CW1457" s="59"/>
      <c r="CX1457" s="59"/>
      <c r="CY1457" s="59"/>
      <c r="CZ1457" s="59"/>
      <c r="DA1457" s="59"/>
      <c r="DB1457" s="59"/>
      <c r="DC1457" s="59"/>
      <c r="DD1457" s="59"/>
      <c r="DE1457" s="59"/>
      <c r="DF1457" s="59"/>
      <c r="DG1457" s="59"/>
      <c r="DH1457" s="59"/>
      <c r="DI1457" s="59"/>
      <c r="DJ1457" s="59"/>
      <c r="DK1457" s="59"/>
      <c r="DL1457" s="59"/>
      <c r="DM1457" s="59"/>
      <c r="DN1457" s="59"/>
      <c r="DO1457" s="59"/>
      <c r="DP1457" s="59"/>
      <c r="DQ1457" s="59"/>
      <c r="DR1457" s="59"/>
      <c r="DS1457" s="59"/>
      <c r="DT1457" s="59"/>
      <c r="DU1457" s="59"/>
      <c r="DV1457" s="59"/>
      <c r="DW1457" s="59"/>
      <c r="DX1457" s="59"/>
      <c r="DY1457" s="59"/>
      <c r="DZ1457" s="59"/>
      <c r="EA1457" s="59"/>
      <c r="EB1457" s="59"/>
      <c r="EC1457" s="59"/>
      <c r="ED1457" s="59"/>
      <c r="EE1457" s="59"/>
      <c r="EF1457" s="59"/>
      <c r="EG1457" s="59"/>
      <c r="EH1457" s="59"/>
      <c r="EI1457" s="59"/>
      <c r="EJ1457" s="59"/>
      <c r="EK1457" s="59"/>
      <c r="EL1457" s="59"/>
      <c r="EM1457" s="59"/>
      <c r="EN1457" s="59"/>
      <c r="EO1457" s="59"/>
      <c r="EP1457" s="59"/>
      <c r="EQ1457" s="59"/>
      <c r="ER1457" s="59"/>
      <c r="ES1457" s="59"/>
      <c r="ET1457" s="59"/>
      <c r="EU1457" s="59"/>
      <c r="EV1457" s="59"/>
      <c r="EW1457" s="59"/>
      <c r="EX1457" s="59"/>
      <c r="EY1457" s="59"/>
      <c r="EZ1457" s="59"/>
      <c r="FA1457" s="59"/>
      <c r="FB1457" s="59"/>
      <c r="FC1457" s="59"/>
      <c r="FD1457" s="59"/>
      <c r="FE1457" s="59"/>
      <c r="FF1457" s="59"/>
      <c r="FG1457" s="59"/>
      <c r="FH1457" s="59"/>
      <c r="FI1457" s="59"/>
      <c r="FJ1457" s="59"/>
      <c r="FK1457" s="59"/>
      <c r="FL1457" s="59"/>
      <c r="FM1457" s="59"/>
      <c r="FN1457" s="59"/>
      <c r="FO1457" s="59"/>
      <c r="FP1457" s="59"/>
      <c r="FQ1457" s="59"/>
      <c r="FR1457" s="59"/>
      <c r="FS1457" s="59"/>
      <c r="FT1457" s="59"/>
      <c r="FU1457" s="59"/>
      <c r="FV1457" s="59"/>
      <c r="FW1457" s="59"/>
      <c r="FX1457" s="59"/>
      <c r="FY1457" s="59"/>
      <c r="FZ1457" s="59"/>
      <c r="GA1457" s="59"/>
      <c r="GB1457" s="59"/>
      <c r="GC1457" s="59"/>
    </row>
    <row r="1458">
      <c r="A1458" s="59"/>
      <c r="B1458" s="59"/>
      <c r="C1458" s="59"/>
      <c r="D1458" s="59"/>
      <c r="E1458" s="59"/>
      <c r="F1458" s="59"/>
      <c r="G1458" s="59"/>
      <c r="H1458" s="59"/>
      <c r="I1458" s="59"/>
      <c r="J1458" s="59"/>
      <c r="K1458" s="59"/>
      <c r="L1458" s="59"/>
      <c r="M1458" s="59"/>
      <c r="N1458" s="59"/>
      <c r="O1458" s="59"/>
      <c r="P1458" s="59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  <c r="AD1458" s="59"/>
      <c r="AE1458" s="59"/>
      <c r="AF1458" s="59"/>
      <c r="AG1458" s="59"/>
      <c r="AH1458" s="59"/>
      <c r="AI1458" s="59"/>
      <c r="AJ1458" s="59"/>
      <c r="AK1458" s="59"/>
      <c r="AL1458" s="59"/>
      <c r="AM1458" s="59"/>
      <c r="AN1458" s="59"/>
      <c r="AO1458" s="59"/>
      <c r="AP1458" s="59"/>
      <c r="AQ1458" s="59"/>
      <c r="AR1458" s="59"/>
      <c r="AS1458" s="59"/>
      <c r="AT1458" s="59"/>
      <c r="AU1458" s="59"/>
      <c r="AV1458" s="59"/>
      <c r="AW1458" s="59"/>
      <c r="AX1458" s="59"/>
      <c r="AY1458" s="59"/>
      <c r="AZ1458" s="59"/>
      <c r="BA1458" s="59"/>
      <c r="BB1458" s="59"/>
      <c r="BC1458" s="59"/>
      <c r="BD1458" s="59"/>
      <c r="BE1458" s="59"/>
      <c r="BF1458" s="59"/>
      <c r="BG1458" s="59"/>
      <c r="BH1458" s="59"/>
      <c r="BI1458" s="59"/>
      <c r="BJ1458" s="59"/>
      <c r="BK1458" s="59"/>
      <c r="BL1458" s="59"/>
      <c r="BM1458" s="59"/>
      <c r="BN1458" s="59"/>
      <c r="BO1458" s="59"/>
      <c r="BP1458" s="59"/>
      <c r="BQ1458" s="59"/>
      <c r="BR1458" s="59"/>
      <c r="BS1458" s="59"/>
      <c r="BT1458" s="59"/>
      <c r="BU1458" s="59"/>
      <c r="BV1458" s="59"/>
      <c r="BW1458" s="59"/>
      <c r="BX1458" s="59"/>
      <c r="BY1458" s="59"/>
      <c r="BZ1458" s="59"/>
      <c r="CA1458" s="59"/>
      <c r="CB1458" s="59"/>
      <c r="CC1458" s="59"/>
      <c r="CD1458" s="59"/>
      <c r="CE1458" s="59"/>
      <c r="CF1458" s="59"/>
      <c r="CG1458" s="59"/>
      <c r="CH1458" s="59"/>
      <c r="CI1458" s="59"/>
      <c r="CJ1458" s="59"/>
      <c r="CK1458" s="59"/>
      <c r="CL1458" s="59"/>
      <c r="CM1458" s="59"/>
      <c r="CN1458" s="59"/>
      <c r="CO1458" s="59"/>
      <c r="CP1458" s="59"/>
      <c r="CQ1458" s="59"/>
      <c r="CR1458" s="59"/>
      <c r="CS1458" s="59"/>
      <c r="CT1458" s="59"/>
      <c r="CU1458" s="59"/>
      <c r="CV1458" s="59"/>
      <c r="CW1458" s="59"/>
      <c r="CX1458" s="59"/>
      <c r="CY1458" s="59"/>
      <c r="CZ1458" s="59"/>
      <c r="DA1458" s="59"/>
      <c r="DB1458" s="59"/>
      <c r="DC1458" s="59"/>
      <c r="DD1458" s="59"/>
      <c r="DE1458" s="59"/>
      <c r="DF1458" s="59"/>
      <c r="DG1458" s="59"/>
      <c r="DH1458" s="59"/>
      <c r="DI1458" s="59"/>
      <c r="DJ1458" s="59"/>
      <c r="DK1458" s="59"/>
      <c r="DL1458" s="59"/>
      <c r="DM1458" s="59"/>
      <c r="DN1458" s="59"/>
      <c r="DO1458" s="59"/>
      <c r="DP1458" s="59"/>
      <c r="DQ1458" s="59"/>
      <c r="DR1458" s="59"/>
      <c r="DS1458" s="59"/>
      <c r="DT1458" s="59"/>
      <c r="DU1458" s="59"/>
      <c r="DV1458" s="59"/>
      <c r="DW1458" s="59"/>
      <c r="DX1458" s="59"/>
      <c r="DY1458" s="59"/>
      <c r="DZ1458" s="59"/>
      <c r="EA1458" s="59"/>
      <c r="EB1458" s="59"/>
      <c r="EC1458" s="59"/>
      <c r="ED1458" s="59"/>
      <c r="EE1458" s="59"/>
      <c r="EF1458" s="59"/>
      <c r="EG1458" s="59"/>
      <c r="EH1458" s="59"/>
      <c r="EI1458" s="59"/>
      <c r="EJ1458" s="59"/>
      <c r="EK1458" s="59"/>
      <c r="EL1458" s="59"/>
      <c r="EM1458" s="59"/>
      <c r="EN1458" s="59"/>
      <c r="EO1458" s="59"/>
      <c r="EP1458" s="59"/>
      <c r="EQ1458" s="59"/>
      <c r="ER1458" s="59"/>
      <c r="ES1458" s="59"/>
      <c r="ET1458" s="59"/>
      <c r="EU1458" s="59"/>
      <c r="EV1458" s="59"/>
      <c r="EW1458" s="59"/>
      <c r="EX1458" s="59"/>
      <c r="EY1458" s="59"/>
      <c r="EZ1458" s="59"/>
      <c r="FA1458" s="59"/>
      <c r="FB1458" s="59"/>
      <c r="FC1458" s="59"/>
      <c r="FD1458" s="59"/>
      <c r="FE1458" s="59"/>
      <c r="FF1458" s="59"/>
      <c r="FG1458" s="59"/>
      <c r="FH1458" s="59"/>
      <c r="FI1458" s="59"/>
      <c r="FJ1458" s="59"/>
      <c r="FK1458" s="59"/>
      <c r="FL1458" s="59"/>
      <c r="FM1458" s="59"/>
      <c r="FN1458" s="59"/>
      <c r="FO1458" s="59"/>
      <c r="FP1458" s="59"/>
      <c r="FQ1458" s="59"/>
      <c r="FR1458" s="59"/>
      <c r="FS1458" s="59"/>
      <c r="FT1458" s="59"/>
      <c r="FU1458" s="59"/>
      <c r="FV1458" s="59"/>
      <c r="FW1458" s="59"/>
      <c r="FX1458" s="59"/>
      <c r="FY1458" s="59"/>
      <c r="FZ1458" s="59"/>
      <c r="GA1458" s="59"/>
      <c r="GB1458" s="59"/>
      <c r="GC1458" s="59"/>
    </row>
    <row r="1459">
      <c r="A1459" s="59"/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  <c r="AD1459" s="59"/>
      <c r="AE1459" s="59"/>
      <c r="AF1459" s="59"/>
      <c r="AG1459" s="59"/>
      <c r="AH1459" s="59"/>
      <c r="AI1459" s="59"/>
      <c r="AJ1459" s="59"/>
      <c r="AK1459" s="59"/>
      <c r="AL1459" s="59"/>
      <c r="AM1459" s="59"/>
      <c r="AN1459" s="59"/>
      <c r="AO1459" s="59"/>
      <c r="AP1459" s="59"/>
      <c r="AQ1459" s="59"/>
      <c r="AR1459" s="59"/>
      <c r="AS1459" s="59"/>
      <c r="AT1459" s="59"/>
      <c r="AU1459" s="59"/>
      <c r="AV1459" s="59"/>
      <c r="AW1459" s="59"/>
      <c r="AX1459" s="59"/>
      <c r="AY1459" s="59"/>
      <c r="AZ1459" s="59"/>
      <c r="BA1459" s="59"/>
      <c r="BB1459" s="59"/>
      <c r="BC1459" s="59"/>
      <c r="BD1459" s="59"/>
      <c r="BE1459" s="59"/>
      <c r="BF1459" s="59"/>
      <c r="BG1459" s="59"/>
      <c r="BH1459" s="59"/>
      <c r="BI1459" s="59"/>
      <c r="BJ1459" s="59"/>
      <c r="BK1459" s="59"/>
      <c r="BL1459" s="59"/>
      <c r="BM1459" s="59"/>
      <c r="BN1459" s="59"/>
      <c r="BO1459" s="59"/>
      <c r="BP1459" s="59"/>
      <c r="BQ1459" s="59"/>
      <c r="BR1459" s="59"/>
      <c r="BS1459" s="59"/>
      <c r="BT1459" s="59"/>
      <c r="BU1459" s="59"/>
      <c r="BV1459" s="59"/>
      <c r="BW1459" s="59"/>
      <c r="BX1459" s="59"/>
      <c r="BY1459" s="59"/>
      <c r="BZ1459" s="59"/>
      <c r="CA1459" s="59"/>
      <c r="CB1459" s="59"/>
      <c r="CC1459" s="59"/>
      <c r="CD1459" s="59"/>
      <c r="CE1459" s="59"/>
      <c r="CF1459" s="59"/>
      <c r="CG1459" s="59"/>
      <c r="CH1459" s="59"/>
      <c r="CI1459" s="59"/>
      <c r="CJ1459" s="59"/>
      <c r="CK1459" s="59"/>
      <c r="CL1459" s="59"/>
      <c r="CM1459" s="59"/>
      <c r="CN1459" s="59"/>
      <c r="CO1459" s="59"/>
      <c r="CP1459" s="59"/>
      <c r="CQ1459" s="59"/>
      <c r="CR1459" s="59"/>
      <c r="CS1459" s="59"/>
      <c r="CT1459" s="59"/>
      <c r="CU1459" s="59"/>
      <c r="CV1459" s="59"/>
      <c r="CW1459" s="59"/>
      <c r="CX1459" s="59"/>
      <c r="CY1459" s="59"/>
      <c r="CZ1459" s="59"/>
      <c r="DA1459" s="59"/>
      <c r="DB1459" s="59"/>
      <c r="DC1459" s="59"/>
      <c r="DD1459" s="59"/>
      <c r="DE1459" s="59"/>
      <c r="DF1459" s="59"/>
      <c r="DG1459" s="59"/>
      <c r="DH1459" s="59"/>
      <c r="DI1459" s="59"/>
      <c r="DJ1459" s="59"/>
      <c r="DK1459" s="59"/>
      <c r="DL1459" s="59"/>
      <c r="DM1459" s="59"/>
      <c r="DN1459" s="59"/>
      <c r="DO1459" s="59"/>
      <c r="DP1459" s="59"/>
      <c r="DQ1459" s="59"/>
      <c r="DR1459" s="59"/>
      <c r="DS1459" s="59"/>
      <c r="DT1459" s="59"/>
      <c r="DU1459" s="59"/>
      <c r="DV1459" s="59"/>
      <c r="DW1459" s="59"/>
      <c r="DX1459" s="59"/>
      <c r="DY1459" s="59"/>
      <c r="DZ1459" s="59"/>
      <c r="EA1459" s="59"/>
      <c r="EB1459" s="59"/>
      <c r="EC1459" s="59"/>
      <c r="ED1459" s="59"/>
      <c r="EE1459" s="59"/>
      <c r="EF1459" s="59"/>
      <c r="EG1459" s="59"/>
      <c r="EH1459" s="59"/>
      <c r="EI1459" s="59"/>
      <c r="EJ1459" s="59"/>
      <c r="EK1459" s="59"/>
      <c r="EL1459" s="59"/>
      <c r="EM1459" s="59"/>
      <c r="EN1459" s="59"/>
      <c r="EO1459" s="59"/>
      <c r="EP1459" s="59"/>
      <c r="EQ1459" s="59"/>
      <c r="ER1459" s="59"/>
      <c r="ES1459" s="59"/>
      <c r="ET1459" s="59"/>
      <c r="EU1459" s="59"/>
      <c r="EV1459" s="59"/>
      <c r="EW1459" s="59"/>
      <c r="EX1459" s="59"/>
      <c r="EY1459" s="59"/>
      <c r="EZ1459" s="59"/>
      <c r="FA1459" s="59"/>
      <c r="FB1459" s="59"/>
      <c r="FC1459" s="59"/>
      <c r="FD1459" s="59"/>
      <c r="FE1459" s="59"/>
      <c r="FF1459" s="59"/>
      <c r="FG1459" s="59"/>
      <c r="FH1459" s="59"/>
      <c r="FI1459" s="59"/>
      <c r="FJ1459" s="59"/>
      <c r="FK1459" s="59"/>
      <c r="FL1459" s="59"/>
      <c r="FM1459" s="59"/>
      <c r="FN1459" s="59"/>
      <c r="FO1459" s="59"/>
      <c r="FP1459" s="59"/>
      <c r="FQ1459" s="59"/>
      <c r="FR1459" s="59"/>
      <c r="FS1459" s="59"/>
      <c r="FT1459" s="59"/>
      <c r="FU1459" s="59"/>
      <c r="FV1459" s="59"/>
      <c r="FW1459" s="59"/>
      <c r="FX1459" s="59"/>
      <c r="FY1459" s="59"/>
      <c r="FZ1459" s="59"/>
      <c r="GA1459" s="59"/>
      <c r="GB1459" s="59"/>
      <c r="GC1459" s="59"/>
    </row>
    <row r="1460">
      <c r="A1460" s="59"/>
      <c r="B1460" s="59"/>
      <c r="C1460" s="59"/>
      <c r="D1460" s="59"/>
      <c r="E1460" s="59"/>
      <c r="F1460" s="59"/>
      <c r="G1460" s="59"/>
      <c r="H1460" s="59"/>
      <c r="I1460" s="59"/>
      <c r="J1460" s="59"/>
      <c r="K1460" s="59"/>
      <c r="L1460" s="59"/>
      <c r="M1460" s="59"/>
      <c r="N1460" s="59"/>
      <c r="O1460" s="59"/>
      <c r="P1460" s="59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  <c r="AD1460" s="59"/>
      <c r="AE1460" s="59"/>
      <c r="AF1460" s="59"/>
      <c r="AG1460" s="59"/>
      <c r="AH1460" s="59"/>
      <c r="AI1460" s="59"/>
      <c r="AJ1460" s="59"/>
      <c r="AK1460" s="59"/>
      <c r="AL1460" s="59"/>
      <c r="AM1460" s="59"/>
      <c r="AN1460" s="59"/>
      <c r="AO1460" s="59"/>
      <c r="AP1460" s="59"/>
      <c r="AQ1460" s="59"/>
      <c r="AR1460" s="59"/>
      <c r="AS1460" s="59"/>
      <c r="AT1460" s="59"/>
      <c r="AU1460" s="59"/>
      <c r="AV1460" s="59"/>
      <c r="AW1460" s="59"/>
      <c r="AX1460" s="59"/>
      <c r="AY1460" s="59"/>
      <c r="AZ1460" s="59"/>
      <c r="BA1460" s="59"/>
      <c r="BB1460" s="59"/>
      <c r="BC1460" s="59"/>
      <c r="BD1460" s="59"/>
      <c r="BE1460" s="59"/>
      <c r="BF1460" s="59"/>
      <c r="BG1460" s="59"/>
      <c r="BH1460" s="59"/>
      <c r="BI1460" s="59"/>
      <c r="BJ1460" s="59"/>
      <c r="BK1460" s="59"/>
      <c r="BL1460" s="59"/>
      <c r="BM1460" s="59"/>
      <c r="BN1460" s="59"/>
      <c r="BO1460" s="59"/>
      <c r="BP1460" s="59"/>
      <c r="BQ1460" s="59"/>
      <c r="BR1460" s="59"/>
      <c r="BS1460" s="59"/>
      <c r="BT1460" s="59"/>
      <c r="BU1460" s="59"/>
      <c r="BV1460" s="59"/>
      <c r="BW1460" s="59"/>
      <c r="BX1460" s="59"/>
      <c r="BY1460" s="59"/>
      <c r="BZ1460" s="59"/>
      <c r="CA1460" s="59"/>
      <c r="CB1460" s="59"/>
      <c r="CC1460" s="59"/>
      <c r="CD1460" s="59"/>
      <c r="CE1460" s="59"/>
      <c r="CF1460" s="59"/>
      <c r="CG1460" s="59"/>
      <c r="CH1460" s="59"/>
      <c r="CI1460" s="59"/>
      <c r="CJ1460" s="59"/>
      <c r="CK1460" s="59"/>
      <c r="CL1460" s="59"/>
      <c r="CM1460" s="59"/>
      <c r="CN1460" s="59"/>
      <c r="CO1460" s="59"/>
      <c r="CP1460" s="59"/>
      <c r="CQ1460" s="59"/>
      <c r="CR1460" s="59"/>
      <c r="CS1460" s="59"/>
      <c r="CT1460" s="59"/>
      <c r="CU1460" s="59"/>
      <c r="CV1460" s="59"/>
      <c r="CW1460" s="59"/>
      <c r="CX1460" s="59"/>
      <c r="CY1460" s="59"/>
      <c r="CZ1460" s="59"/>
      <c r="DA1460" s="59"/>
      <c r="DB1460" s="59"/>
      <c r="DC1460" s="59"/>
      <c r="DD1460" s="59"/>
      <c r="DE1460" s="59"/>
      <c r="DF1460" s="59"/>
      <c r="DG1460" s="59"/>
      <c r="DH1460" s="59"/>
      <c r="DI1460" s="59"/>
      <c r="DJ1460" s="59"/>
      <c r="DK1460" s="59"/>
      <c r="DL1460" s="59"/>
      <c r="DM1460" s="59"/>
      <c r="DN1460" s="59"/>
      <c r="DO1460" s="59"/>
      <c r="DP1460" s="59"/>
      <c r="DQ1460" s="59"/>
      <c r="DR1460" s="59"/>
      <c r="DS1460" s="59"/>
      <c r="DT1460" s="59"/>
      <c r="DU1460" s="59"/>
      <c r="DV1460" s="59"/>
      <c r="DW1460" s="59"/>
      <c r="DX1460" s="59"/>
      <c r="DY1460" s="59"/>
      <c r="DZ1460" s="59"/>
      <c r="EA1460" s="59"/>
      <c r="EB1460" s="59"/>
      <c r="EC1460" s="59"/>
      <c r="ED1460" s="59"/>
      <c r="EE1460" s="59"/>
      <c r="EF1460" s="59"/>
      <c r="EG1460" s="59"/>
      <c r="EH1460" s="59"/>
      <c r="EI1460" s="59"/>
      <c r="EJ1460" s="59"/>
      <c r="EK1460" s="59"/>
      <c r="EL1460" s="59"/>
      <c r="EM1460" s="59"/>
      <c r="EN1460" s="59"/>
      <c r="EO1460" s="59"/>
      <c r="EP1460" s="59"/>
      <c r="EQ1460" s="59"/>
      <c r="ER1460" s="59"/>
      <c r="ES1460" s="59"/>
      <c r="ET1460" s="59"/>
      <c r="EU1460" s="59"/>
      <c r="EV1460" s="59"/>
      <c r="EW1460" s="59"/>
      <c r="EX1460" s="59"/>
      <c r="EY1460" s="59"/>
      <c r="EZ1460" s="59"/>
      <c r="FA1460" s="59"/>
      <c r="FB1460" s="59"/>
      <c r="FC1460" s="59"/>
      <c r="FD1460" s="59"/>
      <c r="FE1460" s="59"/>
      <c r="FF1460" s="59"/>
      <c r="FG1460" s="59"/>
      <c r="FH1460" s="59"/>
      <c r="FI1460" s="59"/>
      <c r="FJ1460" s="59"/>
      <c r="FK1460" s="59"/>
      <c r="FL1460" s="59"/>
      <c r="FM1460" s="59"/>
      <c r="FN1460" s="59"/>
      <c r="FO1460" s="59"/>
      <c r="FP1460" s="59"/>
      <c r="FQ1460" s="59"/>
      <c r="FR1460" s="59"/>
      <c r="FS1460" s="59"/>
      <c r="FT1460" s="59"/>
      <c r="FU1460" s="59"/>
      <c r="FV1460" s="59"/>
      <c r="FW1460" s="59"/>
      <c r="FX1460" s="59"/>
      <c r="FY1460" s="59"/>
      <c r="FZ1460" s="59"/>
      <c r="GA1460" s="59"/>
      <c r="GB1460" s="59"/>
      <c r="GC1460" s="59"/>
    </row>
    <row r="1461">
      <c r="A1461" s="59"/>
      <c r="B1461" s="59"/>
      <c r="C1461" s="59"/>
      <c r="D1461" s="59"/>
      <c r="E1461" s="59"/>
      <c r="F1461" s="59"/>
      <c r="G1461" s="59"/>
      <c r="H1461" s="59"/>
      <c r="I1461" s="59"/>
      <c r="J1461" s="59"/>
      <c r="K1461" s="59"/>
      <c r="L1461" s="59"/>
      <c r="M1461" s="59"/>
      <c r="N1461" s="59"/>
      <c r="O1461" s="59"/>
      <c r="P1461" s="59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  <c r="AD1461" s="59"/>
      <c r="AE1461" s="59"/>
      <c r="AF1461" s="59"/>
      <c r="AG1461" s="59"/>
      <c r="AH1461" s="59"/>
      <c r="AI1461" s="59"/>
      <c r="AJ1461" s="59"/>
      <c r="AK1461" s="59"/>
      <c r="AL1461" s="59"/>
      <c r="AM1461" s="59"/>
      <c r="AN1461" s="59"/>
      <c r="AO1461" s="59"/>
      <c r="AP1461" s="59"/>
      <c r="AQ1461" s="59"/>
      <c r="AR1461" s="59"/>
      <c r="AS1461" s="59"/>
      <c r="AT1461" s="59"/>
      <c r="AU1461" s="59"/>
      <c r="AV1461" s="59"/>
      <c r="AW1461" s="59"/>
      <c r="AX1461" s="59"/>
      <c r="AY1461" s="59"/>
      <c r="AZ1461" s="59"/>
      <c r="BA1461" s="59"/>
      <c r="BB1461" s="59"/>
      <c r="BC1461" s="59"/>
      <c r="BD1461" s="59"/>
      <c r="BE1461" s="59"/>
      <c r="BF1461" s="59"/>
      <c r="BG1461" s="59"/>
      <c r="BH1461" s="59"/>
      <c r="BI1461" s="59"/>
      <c r="BJ1461" s="59"/>
      <c r="BK1461" s="59"/>
      <c r="BL1461" s="59"/>
      <c r="BM1461" s="59"/>
      <c r="BN1461" s="59"/>
      <c r="BO1461" s="59"/>
      <c r="BP1461" s="59"/>
      <c r="BQ1461" s="59"/>
      <c r="BR1461" s="59"/>
      <c r="BS1461" s="59"/>
      <c r="BT1461" s="59"/>
      <c r="BU1461" s="59"/>
      <c r="BV1461" s="59"/>
      <c r="BW1461" s="59"/>
      <c r="BX1461" s="59"/>
      <c r="BY1461" s="59"/>
      <c r="BZ1461" s="59"/>
      <c r="CA1461" s="59"/>
      <c r="CB1461" s="59"/>
      <c r="CC1461" s="59"/>
      <c r="CD1461" s="59"/>
      <c r="CE1461" s="59"/>
      <c r="CF1461" s="59"/>
      <c r="CG1461" s="59"/>
      <c r="CH1461" s="59"/>
      <c r="CI1461" s="59"/>
      <c r="CJ1461" s="59"/>
      <c r="CK1461" s="59"/>
      <c r="CL1461" s="59"/>
      <c r="CM1461" s="59"/>
      <c r="CN1461" s="59"/>
      <c r="CO1461" s="59"/>
      <c r="CP1461" s="59"/>
      <c r="CQ1461" s="59"/>
      <c r="CR1461" s="59"/>
      <c r="CS1461" s="59"/>
      <c r="CT1461" s="59"/>
      <c r="CU1461" s="59"/>
      <c r="CV1461" s="59"/>
      <c r="CW1461" s="59"/>
      <c r="CX1461" s="59"/>
      <c r="CY1461" s="59"/>
      <c r="CZ1461" s="59"/>
      <c r="DA1461" s="59"/>
      <c r="DB1461" s="59"/>
      <c r="DC1461" s="59"/>
      <c r="DD1461" s="59"/>
      <c r="DE1461" s="59"/>
      <c r="DF1461" s="59"/>
      <c r="DG1461" s="59"/>
      <c r="DH1461" s="59"/>
      <c r="DI1461" s="59"/>
      <c r="DJ1461" s="59"/>
      <c r="DK1461" s="59"/>
      <c r="DL1461" s="59"/>
      <c r="DM1461" s="59"/>
      <c r="DN1461" s="59"/>
      <c r="DO1461" s="59"/>
      <c r="DP1461" s="59"/>
      <c r="DQ1461" s="59"/>
      <c r="DR1461" s="59"/>
      <c r="DS1461" s="59"/>
      <c r="DT1461" s="59"/>
      <c r="DU1461" s="59"/>
      <c r="DV1461" s="59"/>
      <c r="DW1461" s="59"/>
      <c r="DX1461" s="59"/>
      <c r="DY1461" s="59"/>
      <c r="DZ1461" s="59"/>
      <c r="EA1461" s="59"/>
      <c r="EB1461" s="59"/>
      <c r="EC1461" s="59"/>
      <c r="ED1461" s="59"/>
      <c r="EE1461" s="59"/>
      <c r="EF1461" s="59"/>
      <c r="EG1461" s="59"/>
      <c r="EH1461" s="59"/>
      <c r="EI1461" s="59"/>
      <c r="EJ1461" s="59"/>
      <c r="EK1461" s="59"/>
      <c r="EL1461" s="59"/>
      <c r="EM1461" s="59"/>
      <c r="EN1461" s="59"/>
      <c r="EO1461" s="59"/>
      <c r="EP1461" s="59"/>
      <c r="EQ1461" s="59"/>
      <c r="ER1461" s="59"/>
      <c r="ES1461" s="59"/>
      <c r="ET1461" s="59"/>
      <c r="EU1461" s="59"/>
      <c r="EV1461" s="59"/>
      <c r="EW1461" s="59"/>
      <c r="EX1461" s="59"/>
      <c r="EY1461" s="59"/>
      <c r="EZ1461" s="59"/>
      <c r="FA1461" s="59"/>
      <c r="FB1461" s="59"/>
      <c r="FC1461" s="59"/>
      <c r="FD1461" s="59"/>
      <c r="FE1461" s="59"/>
      <c r="FF1461" s="59"/>
      <c r="FG1461" s="59"/>
      <c r="FH1461" s="59"/>
      <c r="FI1461" s="59"/>
      <c r="FJ1461" s="59"/>
      <c r="FK1461" s="59"/>
      <c r="FL1461" s="59"/>
      <c r="FM1461" s="59"/>
      <c r="FN1461" s="59"/>
      <c r="FO1461" s="59"/>
      <c r="FP1461" s="59"/>
      <c r="FQ1461" s="59"/>
      <c r="FR1461" s="59"/>
      <c r="FS1461" s="59"/>
      <c r="FT1461" s="59"/>
      <c r="FU1461" s="59"/>
      <c r="FV1461" s="59"/>
      <c r="FW1461" s="59"/>
      <c r="FX1461" s="59"/>
      <c r="FY1461" s="59"/>
      <c r="FZ1461" s="59"/>
      <c r="GA1461" s="59"/>
      <c r="GB1461" s="59"/>
      <c r="GC1461" s="59"/>
    </row>
    <row r="1462">
      <c r="A1462" s="59"/>
      <c r="B1462" s="59"/>
      <c r="C1462" s="59"/>
      <c r="D1462" s="59"/>
      <c r="E1462" s="59"/>
      <c r="F1462" s="59"/>
      <c r="G1462" s="59"/>
      <c r="H1462" s="59"/>
      <c r="I1462" s="59"/>
      <c r="J1462" s="59"/>
      <c r="K1462" s="59"/>
      <c r="L1462" s="59"/>
      <c r="M1462" s="59"/>
      <c r="N1462" s="59"/>
      <c r="O1462" s="59"/>
      <c r="P1462" s="59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59"/>
      <c r="AG1462" s="59"/>
      <c r="AH1462" s="59"/>
      <c r="AI1462" s="59"/>
      <c r="AJ1462" s="59"/>
      <c r="AK1462" s="59"/>
      <c r="AL1462" s="59"/>
      <c r="AM1462" s="59"/>
      <c r="AN1462" s="59"/>
      <c r="AO1462" s="59"/>
      <c r="AP1462" s="59"/>
      <c r="AQ1462" s="59"/>
      <c r="AR1462" s="59"/>
      <c r="AS1462" s="59"/>
      <c r="AT1462" s="59"/>
      <c r="AU1462" s="59"/>
      <c r="AV1462" s="59"/>
      <c r="AW1462" s="59"/>
      <c r="AX1462" s="59"/>
      <c r="AY1462" s="59"/>
      <c r="AZ1462" s="59"/>
      <c r="BA1462" s="59"/>
      <c r="BB1462" s="59"/>
      <c r="BC1462" s="59"/>
      <c r="BD1462" s="59"/>
      <c r="BE1462" s="59"/>
      <c r="BF1462" s="59"/>
      <c r="BG1462" s="59"/>
      <c r="BH1462" s="59"/>
      <c r="BI1462" s="59"/>
      <c r="BJ1462" s="59"/>
      <c r="BK1462" s="59"/>
      <c r="BL1462" s="59"/>
      <c r="BM1462" s="59"/>
      <c r="BN1462" s="59"/>
      <c r="BO1462" s="59"/>
      <c r="BP1462" s="59"/>
      <c r="BQ1462" s="59"/>
      <c r="BR1462" s="59"/>
      <c r="BS1462" s="59"/>
      <c r="BT1462" s="59"/>
      <c r="BU1462" s="59"/>
      <c r="BV1462" s="59"/>
      <c r="BW1462" s="59"/>
      <c r="BX1462" s="59"/>
      <c r="BY1462" s="59"/>
      <c r="BZ1462" s="59"/>
      <c r="CA1462" s="59"/>
      <c r="CB1462" s="59"/>
      <c r="CC1462" s="59"/>
      <c r="CD1462" s="59"/>
      <c r="CE1462" s="59"/>
      <c r="CF1462" s="59"/>
      <c r="CG1462" s="59"/>
      <c r="CH1462" s="59"/>
      <c r="CI1462" s="59"/>
      <c r="CJ1462" s="59"/>
      <c r="CK1462" s="59"/>
      <c r="CL1462" s="59"/>
      <c r="CM1462" s="59"/>
      <c r="CN1462" s="59"/>
      <c r="CO1462" s="59"/>
      <c r="CP1462" s="59"/>
      <c r="CQ1462" s="59"/>
      <c r="CR1462" s="59"/>
      <c r="CS1462" s="59"/>
      <c r="CT1462" s="59"/>
      <c r="CU1462" s="59"/>
      <c r="CV1462" s="59"/>
      <c r="CW1462" s="59"/>
      <c r="CX1462" s="59"/>
      <c r="CY1462" s="59"/>
      <c r="CZ1462" s="59"/>
      <c r="DA1462" s="59"/>
      <c r="DB1462" s="59"/>
      <c r="DC1462" s="59"/>
      <c r="DD1462" s="59"/>
      <c r="DE1462" s="59"/>
      <c r="DF1462" s="59"/>
      <c r="DG1462" s="59"/>
      <c r="DH1462" s="59"/>
      <c r="DI1462" s="59"/>
      <c r="DJ1462" s="59"/>
      <c r="DK1462" s="59"/>
      <c r="DL1462" s="59"/>
      <c r="DM1462" s="59"/>
      <c r="DN1462" s="59"/>
      <c r="DO1462" s="59"/>
      <c r="DP1462" s="59"/>
      <c r="DQ1462" s="59"/>
      <c r="DR1462" s="59"/>
      <c r="DS1462" s="59"/>
      <c r="DT1462" s="59"/>
      <c r="DU1462" s="59"/>
      <c r="DV1462" s="59"/>
      <c r="DW1462" s="59"/>
      <c r="DX1462" s="59"/>
      <c r="DY1462" s="59"/>
      <c r="DZ1462" s="59"/>
      <c r="EA1462" s="59"/>
      <c r="EB1462" s="59"/>
      <c r="EC1462" s="59"/>
      <c r="ED1462" s="59"/>
      <c r="EE1462" s="59"/>
      <c r="EF1462" s="59"/>
      <c r="EG1462" s="59"/>
      <c r="EH1462" s="59"/>
      <c r="EI1462" s="59"/>
      <c r="EJ1462" s="59"/>
      <c r="EK1462" s="59"/>
      <c r="EL1462" s="59"/>
      <c r="EM1462" s="59"/>
      <c r="EN1462" s="59"/>
      <c r="EO1462" s="59"/>
      <c r="EP1462" s="59"/>
      <c r="EQ1462" s="59"/>
      <c r="ER1462" s="59"/>
      <c r="ES1462" s="59"/>
      <c r="ET1462" s="59"/>
      <c r="EU1462" s="59"/>
      <c r="EV1462" s="59"/>
      <c r="EW1462" s="59"/>
      <c r="EX1462" s="59"/>
      <c r="EY1462" s="59"/>
      <c r="EZ1462" s="59"/>
      <c r="FA1462" s="59"/>
      <c r="FB1462" s="59"/>
      <c r="FC1462" s="59"/>
      <c r="FD1462" s="59"/>
      <c r="FE1462" s="59"/>
      <c r="FF1462" s="59"/>
      <c r="FG1462" s="59"/>
      <c r="FH1462" s="59"/>
      <c r="FI1462" s="59"/>
      <c r="FJ1462" s="59"/>
      <c r="FK1462" s="59"/>
      <c r="FL1462" s="59"/>
      <c r="FM1462" s="59"/>
      <c r="FN1462" s="59"/>
      <c r="FO1462" s="59"/>
      <c r="FP1462" s="59"/>
      <c r="FQ1462" s="59"/>
      <c r="FR1462" s="59"/>
      <c r="FS1462" s="59"/>
      <c r="FT1462" s="59"/>
      <c r="FU1462" s="59"/>
      <c r="FV1462" s="59"/>
      <c r="FW1462" s="59"/>
      <c r="FX1462" s="59"/>
      <c r="FY1462" s="59"/>
      <c r="FZ1462" s="59"/>
      <c r="GA1462" s="59"/>
      <c r="GB1462" s="59"/>
      <c r="GC1462" s="59"/>
    </row>
    <row r="1463">
      <c r="A1463" s="59"/>
      <c r="B1463" s="59"/>
      <c r="C1463" s="59"/>
      <c r="D1463" s="59"/>
      <c r="E1463" s="59"/>
      <c r="F1463" s="59"/>
      <c r="G1463" s="59"/>
      <c r="H1463" s="59"/>
      <c r="I1463" s="59"/>
      <c r="J1463" s="59"/>
      <c r="K1463" s="59"/>
      <c r="L1463" s="59"/>
      <c r="M1463" s="59"/>
      <c r="N1463" s="59"/>
      <c r="O1463" s="59"/>
      <c r="P1463" s="59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  <c r="AD1463" s="59"/>
      <c r="AE1463" s="59"/>
      <c r="AF1463" s="59"/>
      <c r="AG1463" s="59"/>
      <c r="AH1463" s="59"/>
      <c r="AI1463" s="59"/>
      <c r="AJ1463" s="59"/>
      <c r="AK1463" s="59"/>
      <c r="AL1463" s="59"/>
      <c r="AM1463" s="59"/>
      <c r="AN1463" s="59"/>
      <c r="AO1463" s="59"/>
      <c r="AP1463" s="59"/>
      <c r="AQ1463" s="59"/>
      <c r="AR1463" s="59"/>
      <c r="AS1463" s="59"/>
      <c r="AT1463" s="59"/>
      <c r="AU1463" s="59"/>
      <c r="AV1463" s="59"/>
      <c r="AW1463" s="59"/>
      <c r="AX1463" s="59"/>
      <c r="AY1463" s="59"/>
      <c r="AZ1463" s="59"/>
      <c r="BA1463" s="59"/>
      <c r="BB1463" s="59"/>
      <c r="BC1463" s="59"/>
      <c r="BD1463" s="59"/>
      <c r="BE1463" s="59"/>
      <c r="BF1463" s="59"/>
      <c r="BG1463" s="59"/>
      <c r="BH1463" s="59"/>
      <c r="BI1463" s="59"/>
      <c r="BJ1463" s="59"/>
      <c r="BK1463" s="59"/>
      <c r="BL1463" s="59"/>
      <c r="BM1463" s="59"/>
      <c r="BN1463" s="59"/>
      <c r="BO1463" s="59"/>
      <c r="BP1463" s="59"/>
      <c r="BQ1463" s="59"/>
      <c r="BR1463" s="59"/>
      <c r="BS1463" s="59"/>
      <c r="BT1463" s="59"/>
      <c r="BU1463" s="59"/>
      <c r="BV1463" s="59"/>
      <c r="BW1463" s="59"/>
      <c r="BX1463" s="59"/>
      <c r="BY1463" s="59"/>
      <c r="BZ1463" s="59"/>
      <c r="CA1463" s="59"/>
      <c r="CB1463" s="59"/>
      <c r="CC1463" s="59"/>
      <c r="CD1463" s="59"/>
      <c r="CE1463" s="59"/>
      <c r="CF1463" s="59"/>
      <c r="CG1463" s="59"/>
      <c r="CH1463" s="59"/>
      <c r="CI1463" s="59"/>
      <c r="CJ1463" s="59"/>
      <c r="CK1463" s="59"/>
      <c r="CL1463" s="59"/>
      <c r="CM1463" s="59"/>
      <c r="CN1463" s="59"/>
      <c r="CO1463" s="59"/>
      <c r="CP1463" s="59"/>
      <c r="CQ1463" s="59"/>
      <c r="CR1463" s="59"/>
      <c r="CS1463" s="59"/>
      <c r="CT1463" s="59"/>
      <c r="CU1463" s="59"/>
      <c r="CV1463" s="59"/>
      <c r="CW1463" s="59"/>
      <c r="CX1463" s="59"/>
      <c r="CY1463" s="59"/>
      <c r="CZ1463" s="59"/>
      <c r="DA1463" s="59"/>
      <c r="DB1463" s="59"/>
      <c r="DC1463" s="59"/>
      <c r="DD1463" s="59"/>
      <c r="DE1463" s="59"/>
      <c r="DF1463" s="59"/>
      <c r="DG1463" s="59"/>
      <c r="DH1463" s="59"/>
      <c r="DI1463" s="59"/>
      <c r="DJ1463" s="59"/>
      <c r="DK1463" s="59"/>
      <c r="DL1463" s="59"/>
      <c r="DM1463" s="59"/>
      <c r="DN1463" s="59"/>
      <c r="DO1463" s="59"/>
      <c r="DP1463" s="59"/>
      <c r="DQ1463" s="59"/>
      <c r="DR1463" s="59"/>
      <c r="DS1463" s="59"/>
      <c r="DT1463" s="59"/>
      <c r="DU1463" s="59"/>
      <c r="DV1463" s="59"/>
      <c r="DW1463" s="59"/>
      <c r="DX1463" s="59"/>
      <c r="DY1463" s="59"/>
      <c r="DZ1463" s="59"/>
      <c r="EA1463" s="59"/>
      <c r="EB1463" s="59"/>
      <c r="EC1463" s="59"/>
      <c r="ED1463" s="59"/>
      <c r="EE1463" s="59"/>
      <c r="EF1463" s="59"/>
      <c r="EG1463" s="59"/>
      <c r="EH1463" s="59"/>
      <c r="EI1463" s="59"/>
      <c r="EJ1463" s="59"/>
      <c r="EK1463" s="59"/>
      <c r="EL1463" s="59"/>
      <c r="EM1463" s="59"/>
      <c r="EN1463" s="59"/>
      <c r="EO1463" s="59"/>
      <c r="EP1463" s="59"/>
      <c r="EQ1463" s="59"/>
      <c r="ER1463" s="59"/>
      <c r="ES1463" s="59"/>
      <c r="ET1463" s="59"/>
      <c r="EU1463" s="59"/>
      <c r="EV1463" s="59"/>
      <c r="EW1463" s="59"/>
      <c r="EX1463" s="59"/>
      <c r="EY1463" s="59"/>
      <c r="EZ1463" s="59"/>
      <c r="FA1463" s="59"/>
      <c r="FB1463" s="59"/>
      <c r="FC1463" s="59"/>
      <c r="FD1463" s="59"/>
      <c r="FE1463" s="59"/>
      <c r="FF1463" s="59"/>
      <c r="FG1463" s="59"/>
      <c r="FH1463" s="59"/>
      <c r="FI1463" s="59"/>
      <c r="FJ1463" s="59"/>
      <c r="FK1463" s="59"/>
      <c r="FL1463" s="59"/>
      <c r="FM1463" s="59"/>
      <c r="FN1463" s="59"/>
      <c r="FO1463" s="59"/>
      <c r="FP1463" s="59"/>
      <c r="FQ1463" s="59"/>
      <c r="FR1463" s="59"/>
      <c r="FS1463" s="59"/>
      <c r="FT1463" s="59"/>
      <c r="FU1463" s="59"/>
      <c r="FV1463" s="59"/>
      <c r="FW1463" s="59"/>
      <c r="FX1463" s="59"/>
      <c r="FY1463" s="59"/>
      <c r="FZ1463" s="59"/>
      <c r="GA1463" s="59"/>
      <c r="GB1463" s="59"/>
      <c r="GC1463" s="59"/>
    </row>
    <row r="1464">
      <c r="A1464" s="59"/>
      <c r="B1464" s="59"/>
      <c r="C1464" s="59"/>
      <c r="D1464" s="59"/>
      <c r="E1464" s="59"/>
      <c r="F1464" s="59"/>
      <c r="G1464" s="59"/>
      <c r="H1464" s="59"/>
      <c r="I1464" s="59"/>
      <c r="J1464" s="59"/>
      <c r="K1464" s="59"/>
      <c r="L1464" s="59"/>
      <c r="M1464" s="59"/>
      <c r="N1464" s="59"/>
      <c r="O1464" s="59"/>
      <c r="P1464" s="59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59"/>
      <c r="AG1464" s="59"/>
      <c r="AH1464" s="59"/>
      <c r="AI1464" s="59"/>
      <c r="AJ1464" s="59"/>
      <c r="AK1464" s="59"/>
      <c r="AL1464" s="59"/>
      <c r="AM1464" s="59"/>
      <c r="AN1464" s="59"/>
      <c r="AO1464" s="59"/>
      <c r="AP1464" s="59"/>
      <c r="AQ1464" s="59"/>
      <c r="AR1464" s="59"/>
      <c r="AS1464" s="59"/>
      <c r="AT1464" s="59"/>
      <c r="AU1464" s="59"/>
      <c r="AV1464" s="59"/>
      <c r="AW1464" s="59"/>
      <c r="AX1464" s="59"/>
      <c r="AY1464" s="59"/>
      <c r="AZ1464" s="59"/>
      <c r="BA1464" s="59"/>
      <c r="BB1464" s="59"/>
      <c r="BC1464" s="59"/>
      <c r="BD1464" s="59"/>
      <c r="BE1464" s="59"/>
      <c r="BF1464" s="59"/>
      <c r="BG1464" s="59"/>
      <c r="BH1464" s="59"/>
      <c r="BI1464" s="59"/>
      <c r="BJ1464" s="59"/>
      <c r="BK1464" s="59"/>
      <c r="BL1464" s="59"/>
      <c r="BM1464" s="59"/>
      <c r="BN1464" s="59"/>
      <c r="BO1464" s="59"/>
      <c r="BP1464" s="59"/>
      <c r="BQ1464" s="59"/>
      <c r="BR1464" s="59"/>
      <c r="BS1464" s="59"/>
      <c r="BT1464" s="59"/>
      <c r="BU1464" s="59"/>
      <c r="BV1464" s="59"/>
      <c r="BW1464" s="59"/>
      <c r="BX1464" s="59"/>
      <c r="BY1464" s="59"/>
      <c r="BZ1464" s="59"/>
      <c r="CA1464" s="59"/>
      <c r="CB1464" s="59"/>
      <c r="CC1464" s="59"/>
      <c r="CD1464" s="59"/>
      <c r="CE1464" s="59"/>
      <c r="CF1464" s="59"/>
      <c r="CG1464" s="59"/>
      <c r="CH1464" s="59"/>
      <c r="CI1464" s="59"/>
      <c r="CJ1464" s="59"/>
      <c r="CK1464" s="59"/>
      <c r="CL1464" s="59"/>
      <c r="CM1464" s="59"/>
      <c r="CN1464" s="59"/>
      <c r="CO1464" s="59"/>
      <c r="CP1464" s="59"/>
      <c r="CQ1464" s="59"/>
      <c r="CR1464" s="59"/>
      <c r="CS1464" s="59"/>
      <c r="CT1464" s="59"/>
      <c r="CU1464" s="59"/>
      <c r="CV1464" s="59"/>
      <c r="CW1464" s="59"/>
      <c r="CX1464" s="59"/>
      <c r="CY1464" s="59"/>
      <c r="CZ1464" s="59"/>
      <c r="DA1464" s="59"/>
      <c r="DB1464" s="59"/>
      <c r="DC1464" s="59"/>
      <c r="DD1464" s="59"/>
      <c r="DE1464" s="59"/>
      <c r="DF1464" s="59"/>
      <c r="DG1464" s="59"/>
      <c r="DH1464" s="59"/>
      <c r="DI1464" s="59"/>
      <c r="DJ1464" s="59"/>
      <c r="DK1464" s="59"/>
      <c r="DL1464" s="59"/>
      <c r="DM1464" s="59"/>
      <c r="DN1464" s="59"/>
      <c r="DO1464" s="59"/>
      <c r="DP1464" s="59"/>
      <c r="DQ1464" s="59"/>
      <c r="DR1464" s="59"/>
      <c r="DS1464" s="59"/>
      <c r="DT1464" s="59"/>
      <c r="DU1464" s="59"/>
      <c r="DV1464" s="59"/>
      <c r="DW1464" s="59"/>
      <c r="DX1464" s="59"/>
      <c r="DY1464" s="59"/>
      <c r="DZ1464" s="59"/>
      <c r="EA1464" s="59"/>
      <c r="EB1464" s="59"/>
      <c r="EC1464" s="59"/>
      <c r="ED1464" s="59"/>
      <c r="EE1464" s="59"/>
      <c r="EF1464" s="59"/>
      <c r="EG1464" s="59"/>
      <c r="EH1464" s="59"/>
      <c r="EI1464" s="59"/>
      <c r="EJ1464" s="59"/>
      <c r="EK1464" s="59"/>
      <c r="EL1464" s="59"/>
      <c r="EM1464" s="59"/>
      <c r="EN1464" s="59"/>
      <c r="EO1464" s="59"/>
      <c r="EP1464" s="59"/>
      <c r="EQ1464" s="59"/>
      <c r="ER1464" s="59"/>
      <c r="ES1464" s="59"/>
      <c r="ET1464" s="59"/>
      <c r="EU1464" s="59"/>
      <c r="EV1464" s="59"/>
      <c r="EW1464" s="59"/>
      <c r="EX1464" s="59"/>
      <c r="EY1464" s="59"/>
      <c r="EZ1464" s="59"/>
      <c r="FA1464" s="59"/>
      <c r="FB1464" s="59"/>
      <c r="FC1464" s="59"/>
      <c r="FD1464" s="59"/>
      <c r="FE1464" s="59"/>
      <c r="FF1464" s="59"/>
      <c r="FG1464" s="59"/>
      <c r="FH1464" s="59"/>
      <c r="FI1464" s="59"/>
      <c r="FJ1464" s="59"/>
      <c r="FK1464" s="59"/>
      <c r="FL1464" s="59"/>
      <c r="FM1464" s="59"/>
      <c r="FN1464" s="59"/>
      <c r="FO1464" s="59"/>
      <c r="FP1464" s="59"/>
      <c r="FQ1464" s="59"/>
      <c r="FR1464" s="59"/>
      <c r="FS1464" s="59"/>
      <c r="FT1464" s="59"/>
      <c r="FU1464" s="59"/>
      <c r="FV1464" s="59"/>
      <c r="FW1464" s="59"/>
      <c r="FX1464" s="59"/>
      <c r="FY1464" s="59"/>
      <c r="FZ1464" s="59"/>
      <c r="GA1464" s="59"/>
      <c r="GB1464" s="59"/>
      <c r="GC1464" s="59"/>
    </row>
    <row r="1465">
      <c r="A1465" s="59"/>
      <c r="B1465" s="59"/>
      <c r="C1465" s="59"/>
      <c r="D1465" s="59"/>
      <c r="E1465" s="59"/>
      <c r="F1465" s="59"/>
      <c r="G1465" s="59"/>
      <c r="H1465" s="59"/>
      <c r="I1465" s="59"/>
      <c r="J1465" s="59"/>
      <c r="K1465" s="59"/>
      <c r="L1465" s="59"/>
      <c r="M1465" s="59"/>
      <c r="N1465" s="59"/>
      <c r="O1465" s="59"/>
      <c r="P1465" s="59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59"/>
      <c r="AG1465" s="59"/>
      <c r="AH1465" s="59"/>
      <c r="AI1465" s="59"/>
      <c r="AJ1465" s="59"/>
      <c r="AK1465" s="59"/>
      <c r="AL1465" s="59"/>
      <c r="AM1465" s="59"/>
      <c r="AN1465" s="59"/>
      <c r="AO1465" s="59"/>
      <c r="AP1465" s="59"/>
      <c r="AQ1465" s="59"/>
      <c r="AR1465" s="59"/>
      <c r="AS1465" s="59"/>
      <c r="AT1465" s="59"/>
      <c r="AU1465" s="59"/>
      <c r="AV1465" s="59"/>
      <c r="AW1465" s="59"/>
      <c r="AX1465" s="59"/>
      <c r="AY1465" s="59"/>
      <c r="AZ1465" s="59"/>
      <c r="BA1465" s="59"/>
      <c r="BB1465" s="59"/>
      <c r="BC1465" s="59"/>
      <c r="BD1465" s="59"/>
      <c r="BE1465" s="59"/>
      <c r="BF1465" s="59"/>
      <c r="BG1465" s="59"/>
      <c r="BH1465" s="59"/>
      <c r="BI1465" s="59"/>
      <c r="BJ1465" s="59"/>
      <c r="BK1465" s="59"/>
      <c r="BL1465" s="59"/>
      <c r="BM1465" s="59"/>
      <c r="BN1465" s="59"/>
      <c r="BO1465" s="59"/>
      <c r="BP1465" s="59"/>
      <c r="BQ1465" s="59"/>
      <c r="BR1465" s="59"/>
      <c r="BS1465" s="59"/>
      <c r="BT1465" s="59"/>
      <c r="BU1465" s="59"/>
      <c r="BV1465" s="59"/>
      <c r="BW1465" s="59"/>
      <c r="BX1465" s="59"/>
      <c r="BY1465" s="59"/>
      <c r="BZ1465" s="59"/>
      <c r="CA1465" s="59"/>
      <c r="CB1465" s="59"/>
      <c r="CC1465" s="59"/>
      <c r="CD1465" s="59"/>
      <c r="CE1465" s="59"/>
      <c r="CF1465" s="59"/>
      <c r="CG1465" s="59"/>
      <c r="CH1465" s="59"/>
      <c r="CI1465" s="59"/>
      <c r="CJ1465" s="59"/>
      <c r="CK1465" s="59"/>
      <c r="CL1465" s="59"/>
      <c r="CM1465" s="59"/>
      <c r="CN1465" s="59"/>
      <c r="CO1465" s="59"/>
      <c r="CP1465" s="59"/>
      <c r="CQ1465" s="59"/>
      <c r="CR1465" s="59"/>
      <c r="CS1465" s="59"/>
      <c r="CT1465" s="59"/>
      <c r="CU1465" s="59"/>
      <c r="CV1465" s="59"/>
      <c r="CW1465" s="59"/>
      <c r="CX1465" s="59"/>
      <c r="CY1465" s="59"/>
      <c r="CZ1465" s="59"/>
      <c r="DA1465" s="59"/>
      <c r="DB1465" s="59"/>
      <c r="DC1465" s="59"/>
      <c r="DD1465" s="59"/>
      <c r="DE1465" s="59"/>
      <c r="DF1465" s="59"/>
      <c r="DG1465" s="59"/>
      <c r="DH1465" s="59"/>
      <c r="DI1465" s="59"/>
      <c r="DJ1465" s="59"/>
      <c r="DK1465" s="59"/>
      <c r="DL1465" s="59"/>
      <c r="DM1465" s="59"/>
      <c r="DN1465" s="59"/>
      <c r="DO1465" s="59"/>
      <c r="DP1465" s="59"/>
      <c r="DQ1465" s="59"/>
      <c r="DR1465" s="59"/>
      <c r="DS1465" s="59"/>
      <c r="DT1465" s="59"/>
      <c r="DU1465" s="59"/>
      <c r="DV1465" s="59"/>
      <c r="DW1465" s="59"/>
      <c r="DX1465" s="59"/>
      <c r="DY1465" s="59"/>
      <c r="DZ1465" s="59"/>
      <c r="EA1465" s="59"/>
      <c r="EB1465" s="59"/>
      <c r="EC1465" s="59"/>
      <c r="ED1465" s="59"/>
      <c r="EE1465" s="59"/>
      <c r="EF1465" s="59"/>
      <c r="EG1465" s="59"/>
      <c r="EH1465" s="59"/>
      <c r="EI1465" s="59"/>
      <c r="EJ1465" s="59"/>
      <c r="EK1465" s="59"/>
      <c r="EL1465" s="59"/>
      <c r="EM1465" s="59"/>
      <c r="EN1465" s="59"/>
      <c r="EO1465" s="59"/>
      <c r="EP1465" s="59"/>
      <c r="EQ1465" s="59"/>
      <c r="ER1465" s="59"/>
      <c r="ES1465" s="59"/>
      <c r="ET1465" s="59"/>
      <c r="EU1465" s="59"/>
      <c r="EV1465" s="59"/>
      <c r="EW1465" s="59"/>
      <c r="EX1465" s="59"/>
      <c r="EY1465" s="59"/>
      <c r="EZ1465" s="59"/>
      <c r="FA1465" s="59"/>
      <c r="FB1465" s="59"/>
      <c r="FC1465" s="59"/>
      <c r="FD1465" s="59"/>
      <c r="FE1465" s="59"/>
      <c r="FF1465" s="59"/>
      <c r="FG1465" s="59"/>
      <c r="FH1465" s="59"/>
      <c r="FI1465" s="59"/>
      <c r="FJ1465" s="59"/>
      <c r="FK1465" s="59"/>
      <c r="FL1465" s="59"/>
      <c r="FM1465" s="59"/>
      <c r="FN1465" s="59"/>
      <c r="FO1465" s="59"/>
      <c r="FP1465" s="59"/>
      <c r="FQ1465" s="59"/>
      <c r="FR1465" s="59"/>
      <c r="FS1465" s="59"/>
      <c r="FT1465" s="59"/>
      <c r="FU1465" s="59"/>
      <c r="FV1465" s="59"/>
      <c r="FW1465" s="59"/>
      <c r="FX1465" s="59"/>
      <c r="FY1465" s="59"/>
      <c r="FZ1465" s="59"/>
      <c r="GA1465" s="59"/>
      <c r="GB1465" s="59"/>
      <c r="GC1465" s="59"/>
    </row>
    <row r="1466">
      <c r="A1466" s="59"/>
      <c r="B1466" s="59"/>
      <c r="C1466" s="59"/>
      <c r="D1466" s="59"/>
      <c r="E1466" s="59"/>
      <c r="F1466" s="59"/>
      <c r="G1466" s="59"/>
      <c r="H1466" s="59"/>
      <c r="I1466" s="59"/>
      <c r="J1466" s="59"/>
      <c r="K1466" s="59"/>
      <c r="L1466" s="59"/>
      <c r="M1466" s="59"/>
      <c r="N1466" s="59"/>
      <c r="O1466" s="59"/>
      <c r="P1466" s="59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  <c r="AD1466" s="59"/>
      <c r="AE1466" s="59"/>
      <c r="AF1466" s="59"/>
      <c r="AG1466" s="59"/>
      <c r="AH1466" s="59"/>
      <c r="AI1466" s="59"/>
      <c r="AJ1466" s="59"/>
      <c r="AK1466" s="59"/>
      <c r="AL1466" s="59"/>
      <c r="AM1466" s="59"/>
      <c r="AN1466" s="59"/>
      <c r="AO1466" s="59"/>
      <c r="AP1466" s="59"/>
      <c r="AQ1466" s="59"/>
      <c r="AR1466" s="59"/>
      <c r="AS1466" s="59"/>
      <c r="AT1466" s="59"/>
      <c r="AU1466" s="59"/>
      <c r="AV1466" s="59"/>
      <c r="AW1466" s="59"/>
      <c r="AX1466" s="59"/>
      <c r="AY1466" s="59"/>
      <c r="AZ1466" s="59"/>
      <c r="BA1466" s="59"/>
      <c r="BB1466" s="59"/>
      <c r="BC1466" s="59"/>
      <c r="BD1466" s="59"/>
      <c r="BE1466" s="59"/>
      <c r="BF1466" s="59"/>
      <c r="BG1466" s="59"/>
      <c r="BH1466" s="59"/>
      <c r="BI1466" s="59"/>
      <c r="BJ1466" s="59"/>
      <c r="BK1466" s="59"/>
      <c r="BL1466" s="59"/>
      <c r="BM1466" s="59"/>
      <c r="BN1466" s="59"/>
      <c r="BO1466" s="59"/>
      <c r="BP1466" s="59"/>
      <c r="BQ1466" s="59"/>
      <c r="BR1466" s="59"/>
      <c r="BS1466" s="59"/>
      <c r="BT1466" s="59"/>
      <c r="BU1466" s="59"/>
      <c r="BV1466" s="59"/>
      <c r="BW1466" s="59"/>
      <c r="BX1466" s="59"/>
      <c r="BY1466" s="59"/>
      <c r="BZ1466" s="59"/>
      <c r="CA1466" s="59"/>
      <c r="CB1466" s="59"/>
      <c r="CC1466" s="59"/>
      <c r="CD1466" s="59"/>
      <c r="CE1466" s="59"/>
      <c r="CF1466" s="59"/>
      <c r="CG1466" s="59"/>
      <c r="CH1466" s="59"/>
      <c r="CI1466" s="59"/>
      <c r="CJ1466" s="59"/>
      <c r="CK1466" s="59"/>
      <c r="CL1466" s="59"/>
      <c r="CM1466" s="59"/>
      <c r="CN1466" s="59"/>
      <c r="CO1466" s="59"/>
      <c r="CP1466" s="59"/>
      <c r="CQ1466" s="59"/>
      <c r="CR1466" s="59"/>
      <c r="CS1466" s="59"/>
      <c r="CT1466" s="59"/>
      <c r="CU1466" s="59"/>
      <c r="CV1466" s="59"/>
      <c r="CW1466" s="59"/>
      <c r="CX1466" s="59"/>
      <c r="CY1466" s="59"/>
      <c r="CZ1466" s="59"/>
      <c r="DA1466" s="59"/>
      <c r="DB1466" s="59"/>
      <c r="DC1466" s="59"/>
      <c r="DD1466" s="59"/>
      <c r="DE1466" s="59"/>
      <c r="DF1466" s="59"/>
      <c r="DG1466" s="59"/>
      <c r="DH1466" s="59"/>
      <c r="DI1466" s="59"/>
      <c r="DJ1466" s="59"/>
      <c r="DK1466" s="59"/>
      <c r="DL1466" s="59"/>
      <c r="DM1466" s="59"/>
      <c r="DN1466" s="59"/>
      <c r="DO1466" s="59"/>
      <c r="DP1466" s="59"/>
      <c r="DQ1466" s="59"/>
      <c r="DR1466" s="59"/>
      <c r="DS1466" s="59"/>
      <c r="DT1466" s="59"/>
      <c r="DU1466" s="59"/>
      <c r="DV1466" s="59"/>
      <c r="DW1466" s="59"/>
      <c r="DX1466" s="59"/>
      <c r="DY1466" s="59"/>
      <c r="DZ1466" s="59"/>
      <c r="EA1466" s="59"/>
      <c r="EB1466" s="59"/>
      <c r="EC1466" s="59"/>
      <c r="ED1466" s="59"/>
      <c r="EE1466" s="59"/>
      <c r="EF1466" s="59"/>
      <c r="EG1466" s="59"/>
      <c r="EH1466" s="59"/>
      <c r="EI1466" s="59"/>
      <c r="EJ1466" s="59"/>
      <c r="EK1466" s="59"/>
      <c r="EL1466" s="59"/>
      <c r="EM1466" s="59"/>
      <c r="EN1466" s="59"/>
      <c r="EO1466" s="59"/>
      <c r="EP1466" s="59"/>
      <c r="EQ1466" s="59"/>
      <c r="ER1466" s="59"/>
      <c r="ES1466" s="59"/>
      <c r="ET1466" s="59"/>
      <c r="EU1466" s="59"/>
      <c r="EV1466" s="59"/>
      <c r="EW1466" s="59"/>
      <c r="EX1466" s="59"/>
      <c r="EY1466" s="59"/>
      <c r="EZ1466" s="59"/>
      <c r="FA1466" s="59"/>
      <c r="FB1466" s="59"/>
      <c r="FC1466" s="59"/>
      <c r="FD1466" s="59"/>
      <c r="FE1466" s="59"/>
      <c r="FF1466" s="59"/>
      <c r="FG1466" s="59"/>
      <c r="FH1466" s="59"/>
      <c r="FI1466" s="59"/>
      <c r="FJ1466" s="59"/>
      <c r="FK1466" s="59"/>
      <c r="FL1466" s="59"/>
      <c r="FM1466" s="59"/>
      <c r="FN1466" s="59"/>
      <c r="FO1466" s="59"/>
      <c r="FP1466" s="59"/>
      <c r="FQ1466" s="59"/>
      <c r="FR1466" s="59"/>
      <c r="FS1466" s="59"/>
      <c r="FT1466" s="59"/>
      <c r="FU1466" s="59"/>
      <c r="FV1466" s="59"/>
      <c r="FW1466" s="59"/>
      <c r="FX1466" s="59"/>
      <c r="FY1466" s="59"/>
      <c r="FZ1466" s="59"/>
      <c r="GA1466" s="59"/>
      <c r="GB1466" s="59"/>
      <c r="GC1466" s="59"/>
    </row>
    <row r="1467">
      <c r="A1467" s="59"/>
      <c r="B1467" s="59"/>
      <c r="C1467" s="59"/>
      <c r="D1467" s="59"/>
      <c r="E1467" s="59"/>
      <c r="F1467" s="59"/>
      <c r="G1467" s="59"/>
      <c r="H1467" s="59"/>
      <c r="I1467" s="59"/>
      <c r="J1467" s="59"/>
      <c r="K1467" s="59"/>
      <c r="L1467" s="59"/>
      <c r="M1467" s="59"/>
      <c r="N1467" s="59"/>
      <c r="O1467" s="59"/>
      <c r="P1467" s="59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  <c r="AD1467" s="59"/>
      <c r="AE1467" s="59"/>
      <c r="AF1467" s="59"/>
      <c r="AG1467" s="59"/>
      <c r="AH1467" s="59"/>
      <c r="AI1467" s="59"/>
      <c r="AJ1467" s="59"/>
      <c r="AK1467" s="59"/>
      <c r="AL1467" s="59"/>
      <c r="AM1467" s="59"/>
      <c r="AN1467" s="59"/>
      <c r="AO1467" s="59"/>
      <c r="AP1467" s="59"/>
      <c r="AQ1467" s="59"/>
      <c r="AR1467" s="59"/>
      <c r="AS1467" s="59"/>
      <c r="AT1467" s="59"/>
      <c r="AU1467" s="59"/>
      <c r="AV1467" s="59"/>
      <c r="AW1467" s="59"/>
      <c r="AX1467" s="59"/>
      <c r="AY1467" s="59"/>
      <c r="AZ1467" s="59"/>
      <c r="BA1467" s="59"/>
      <c r="BB1467" s="59"/>
      <c r="BC1467" s="59"/>
      <c r="BD1467" s="59"/>
      <c r="BE1467" s="59"/>
      <c r="BF1467" s="59"/>
      <c r="BG1467" s="59"/>
      <c r="BH1467" s="59"/>
      <c r="BI1467" s="59"/>
      <c r="BJ1467" s="59"/>
      <c r="BK1467" s="59"/>
      <c r="BL1467" s="59"/>
      <c r="BM1467" s="59"/>
      <c r="BN1467" s="59"/>
      <c r="BO1467" s="59"/>
      <c r="BP1467" s="59"/>
      <c r="BQ1467" s="59"/>
      <c r="BR1467" s="59"/>
      <c r="BS1467" s="59"/>
      <c r="BT1467" s="59"/>
      <c r="BU1467" s="59"/>
      <c r="BV1467" s="59"/>
      <c r="BW1467" s="59"/>
      <c r="BX1467" s="59"/>
      <c r="BY1467" s="59"/>
      <c r="BZ1467" s="59"/>
      <c r="CA1467" s="59"/>
      <c r="CB1467" s="59"/>
      <c r="CC1467" s="59"/>
      <c r="CD1467" s="59"/>
      <c r="CE1467" s="59"/>
      <c r="CF1467" s="59"/>
      <c r="CG1467" s="59"/>
      <c r="CH1467" s="59"/>
      <c r="CI1467" s="59"/>
      <c r="CJ1467" s="59"/>
      <c r="CK1467" s="59"/>
      <c r="CL1467" s="59"/>
      <c r="CM1467" s="59"/>
      <c r="CN1467" s="59"/>
      <c r="CO1467" s="59"/>
      <c r="CP1467" s="59"/>
      <c r="CQ1467" s="59"/>
      <c r="CR1467" s="59"/>
      <c r="CS1467" s="59"/>
      <c r="CT1467" s="59"/>
      <c r="CU1467" s="59"/>
      <c r="CV1467" s="59"/>
      <c r="CW1467" s="59"/>
      <c r="CX1467" s="59"/>
      <c r="CY1467" s="59"/>
      <c r="CZ1467" s="59"/>
      <c r="DA1467" s="59"/>
      <c r="DB1467" s="59"/>
      <c r="DC1467" s="59"/>
      <c r="DD1467" s="59"/>
      <c r="DE1467" s="59"/>
      <c r="DF1467" s="59"/>
      <c r="DG1467" s="59"/>
      <c r="DH1467" s="59"/>
      <c r="DI1467" s="59"/>
      <c r="DJ1467" s="59"/>
      <c r="DK1467" s="59"/>
      <c r="DL1467" s="59"/>
      <c r="DM1467" s="59"/>
      <c r="DN1467" s="59"/>
      <c r="DO1467" s="59"/>
      <c r="DP1467" s="59"/>
      <c r="DQ1467" s="59"/>
      <c r="DR1467" s="59"/>
      <c r="DS1467" s="59"/>
      <c r="DT1467" s="59"/>
      <c r="DU1467" s="59"/>
      <c r="DV1467" s="59"/>
      <c r="DW1467" s="59"/>
      <c r="DX1467" s="59"/>
      <c r="DY1467" s="59"/>
      <c r="DZ1467" s="59"/>
      <c r="EA1467" s="59"/>
      <c r="EB1467" s="59"/>
      <c r="EC1467" s="59"/>
      <c r="ED1467" s="59"/>
      <c r="EE1467" s="59"/>
      <c r="EF1467" s="59"/>
      <c r="EG1467" s="59"/>
      <c r="EH1467" s="59"/>
      <c r="EI1467" s="59"/>
      <c r="EJ1467" s="59"/>
      <c r="EK1467" s="59"/>
      <c r="EL1467" s="59"/>
      <c r="EM1467" s="59"/>
      <c r="EN1467" s="59"/>
      <c r="EO1467" s="59"/>
      <c r="EP1467" s="59"/>
      <c r="EQ1467" s="59"/>
      <c r="ER1467" s="59"/>
      <c r="ES1467" s="59"/>
      <c r="ET1467" s="59"/>
      <c r="EU1467" s="59"/>
      <c r="EV1467" s="59"/>
      <c r="EW1467" s="59"/>
      <c r="EX1467" s="59"/>
      <c r="EY1467" s="59"/>
      <c r="EZ1467" s="59"/>
      <c r="FA1467" s="59"/>
      <c r="FB1467" s="59"/>
      <c r="FC1467" s="59"/>
      <c r="FD1467" s="59"/>
      <c r="FE1467" s="59"/>
      <c r="FF1467" s="59"/>
      <c r="FG1467" s="59"/>
      <c r="FH1467" s="59"/>
      <c r="FI1467" s="59"/>
      <c r="FJ1467" s="59"/>
      <c r="FK1467" s="59"/>
      <c r="FL1467" s="59"/>
      <c r="FM1467" s="59"/>
      <c r="FN1467" s="59"/>
      <c r="FO1467" s="59"/>
      <c r="FP1467" s="59"/>
      <c r="FQ1467" s="59"/>
      <c r="FR1467" s="59"/>
      <c r="FS1467" s="59"/>
      <c r="FT1467" s="59"/>
      <c r="FU1467" s="59"/>
      <c r="FV1467" s="59"/>
      <c r="FW1467" s="59"/>
      <c r="FX1467" s="59"/>
      <c r="FY1467" s="59"/>
      <c r="FZ1467" s="59"/>
      <c r="GA1467" s="59"/>
      <c r="GB1467" s="59"/>
      <c r="GC1467" s="59"/>
    </row>
    <row r="1468">
      <c r="A1468" s="59"/>
      <c r="B1468" s="59"/>
      <c r="C1468" s="59"/>
      <c r="D1468" s="59"/>
      <c r="E1468" s="59"/>
      <c r="F1468" s="59"/>
      <c r="G1468" s="59"/>
      <c r="H1468" s="59"/>
      <c r="I1468" s="59"/>
      <c r="J1468" s="59"/>
      <c r="K1468" s="59"/>
      <c r="L1468" s="59"/>
      <c r="M1468" s="59"/>
      <c r="N1468" s="59"/>
      <c r="O1468" s="59"/>
      <c r="P1468" s="59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  <c r="AD1468" s="59"/>
      <c r="AE1468" s="59"/>
      <c r="AF1468" s="59"/>
      <c r="AG1468" s="59"/>
      <c r="AH1468" s="59"/>
      <c r="AI1468" s="59"/>
      <c r="AJ1468" s="59"/>
      <c r="AK1468" s="59"/>
      <c r="AL1468" s="59"/>
      <c r="AM1468" s="59"/>
      <c r="AN1468" s="59"/>
      <c r="AO1468" s="59"/>
      <c r="AP1468" s="59"/>
      <c r="AQ1468" s="59"/>
      <c r="AR1468" s="59"/>
      <c r="AS1468" s="59"/>
      <c r="AT1468" s="59"/>
      <c r="AU1468" s="59"/>
      <c r="AV1468" s="59"/>
      <c r="AW1468" s="59"/>
      <c r="AX1468" s="59"/>
      <c r="AY1468" s="59"/>
      <c r="AZ1468" s="59"/>
      <c r="BA1468" s="59"/>
      <c r="BB1468" s="59"/>
      <c r="BC1468" s="59"/>
      <c r="BD1468" s="59"/>
      <c r="BE1468" s="59"/>
      <c r="BF1468" s="59"/>
      <c r="BG1468" s="59"/>
      <c r="BH1468" s="59"/>
      <c r="BI1468" s="59"/>
      <c r="BJ1468" s="59"/>
      <c r="BK1468" s="59"/>
      <c r="BL1468" s="59"/>
      <c r="BM1468" s="59"/>
      <c r="BN1468" s="59"/>
      <c r="BO1468" s="59"/>
      <c r="BP1468" s="59"/>
      <c r="BQ1468" s="59"/>
      <c r="BR1468" s="59"/>
      <c r="BS1468" s="59"/>
      <c r="BT1468" s="59"/>
      <c r="BU1468" s="59"/>
      <c r="BV1468" s="59"/>
      <c r="BW1468" s="59"/>
      <c r="BX1468" s="59"/>
      <c r="BY1468" s="59"/>
      <c r="BZ1468" s="59"/>
      <c r="CA1468" s="59"/>
      <c r="CB1468" s="59"/>
      <c r="CC1468" s="59"/>
      <c r="CD1468" s="59"/>
      <c r="CE1468" s="59"/>
      <c r="CF1468" s="59"/>
      <c r="CG1468" s="59"/>
      <c r="CH1468" s="59"/>
      <c r="CI1468" s="59"/>
      <c r="CJ1468" s="59"/>
      <c r="CK1468" s="59"/>
      <c r="CL1468" s="59"/>
      <c r="CM1468" s="59"/>
      <c r="CN1468" s="59"/>
      <c r="CO1468" s="59"/>
      <c r="CP1468" s="59"/>
      <c r="CQ1468" s="59"/>
      <c r="CR1468" s="59"/>
      <c r="CS1468" s="59"/>
      <c r="CT1468" s="59"/>
      <c r="CU1468" s="59"/>
      <c r="CV1468" s="59"/>
      <c r="CW1468" s="59"/>
      <c r="CX1468" s="59"/>
      <c r="CY1468" s="59"/>
      <c r="CZ1468" s="59"/>
      <c r="DA1468" s="59"/>
      <c r="DB1468" s="59"/>
      <c r="DC1468" s="59"/>
      <c r="DD1468" s="59"/>
      <c r="DE1468" s="59"/>
      <c r="DF1468" s="59"/>
      <c r="DG1468" s="59"/>
      <c r="DH1468" s="59"/>
      <c r="DI1468" s="59"/>
      <c r="DJ1468" s="59"/>
      <c r="DK1468" s="59"/>
      <c r="DL1468" s="59"/>
      <c r="DM1468" s="59"/>
      <c r="DN1468" s="59"/>
      <c r="DO1468" s="59"/>
      <c r="DP1468" s="59"/>
      <c r="DQ1468" s="59"/>
      <c r="DR1468" s="59"/>
      <c r="DS1468" s="59"/>
      <c r="DT1468" s="59"/>
      <c r="DU1468" s="59"/>
      <c r="DV1468" s="59"/>
      <c r="DW1468" s="59"/>
      <c r="DX1468" s="59"/>
      <c r="DY1468" s="59"/>
      <c r="DZ1468" s="59"/>
      <c r="EA1468" s="59"/>
      <c r="EB1468" s="59"/>
      <c r="EC1468" s="59"/>
      <c r="ED1468" s="59"/>
      <c r="EE1468" s="59"/>
      <c r="EF1468" s="59"/>
      <c r="EG1468" s="59"/>
      <c r="EH1468" s="59"/>
      <c r="EI1468" s="59"/>
      <c r="EJ1468" s="59"/>
      <c r="EK1468" s="59"/>
      <c r="EL1468" s="59"/>
      <c r="EM1468" s="59"/>
      <c r="EN1468" s="59"/>
      <c r="EO1468" s="59"/>
      <c r="EP1468" s="59"/>
      <c r="EQ1468" s="59"/>
      <c r="ER1468" s="59"/>
      <c r="ES1468" s="59"/>
      <c r="ET1468" s="59"/>
      <c r="EU1468" s="59"/>
      <c r="EV1468" s="59"/>
      <c r="EW1468" s="59"/>
      <c r="EX1468" s="59"/>
      <c r="EY1468" s="59"/>
      <c r="EZ1468" s="59"/>
      <c r="FA1468" s="59"/>
      <c r="FB1468" s="59"/>
      <c r="FC1468" s="59"/>
      <c r="FD1468" s="59"/>
      <c r="FE1468" s="59"/>
      <c r="FF1468" s="59"/>
      <c r="FG1468" s="59"/>
      <c r="FH1468" s="59"/>
      <c r="FI1468" s="59"/>
      <c r="FJ1468" s="59"/>
      <c r="FK1468" s="59"/>
      <c r="FL1468" s="59"/>
      <c r="FM1468" s="59"/>
      <c r="FN1468" s="59"/>
      <c r="FO1468" s="59"/>
      <c r="FP1468" s="59"/>
      <c r="FQ1468" s="59"/>
      <c r="FR1468" s="59"/>
      <c r="FS1468" s="59"/>
      <c r="FT1468" s="59"/>
      <c r="FU1468" s="59"/>
      <c r="FV1468" s="59"/>
      <c r="FW1468" s="59"/>
      <c r="FX1468" s="59"/>
      <c r="FY1468" s="59"/>
      <c r="FZ1468" s="59"/>
      <c r="GA1468" s="59"/>
      <c r="GB1468" s="59"/>
      <c r="GC1468" s="59"/>
    </row>
    <row r="1469">
      <c r="A1469" s="59"/>
      <c r="B1469" s="59"/>
      <c r="C1469" s="59"/>
      <c r="D1469" s="59"/>
      <c r="E1469" s="59"/>
      <c r="F1469" s="59"/>
      <c r="G1469" s="59"/>
      <c r="H1469" s="59"/>
      <c r="I1469" s="59"/>
      <c r="J1469" s="59"/>
      <c r="K1469" s="59"/>
      <c r="L1469" s="59"/>
      <c r="M1469" s="59"/>
      <c r="N1469" s="59"/>
      <c r="O1469" s="59"/>
      <c r="P1469" s="59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  <c r="AD1469" s="59"/>
      <c r="AE1469" s="59"/>
      <c r="AF1469" s="59"/>
      <c r="AG1469" s="59"/>
      <c r="AH1469" s="59"/>
      <c r="AI1469" s="59"/>
      <c r="AJ1469" s="59"/>
      <c r="AK1469" s="59"/>
      <c r="AL1469" s="59"/>
      <c r="AM1469" s="59"/>
      <c r="AN1469" s="59"/>
      <c r="AO1469" s="59"/>
      <c r="AP1469" s="59"/>
      <c r="AQ1469" s="59"/>
      <c r="AR1469" s="59"/>
      <c r="AS1469" s="59"/>
      <c r="AT1469" s="59"/>
      <c r="AU1469" s="59"/>
      <c r="AV1469" s="59"/>
      <c r="AW1469" s="59"/>
      <c r="AX1469" s="59"/>
      <c r="AY1469" s="59"/>
      <c r="AZ1469" s="59"/>
      <c r="BA1469" s="59"/>
      <c r="BB1469" s="59"/>
      <c r="BC1469" s="59"/>
      <c r="BD1469" s="59"/>
      <c r="BE1469" s="59"/>
      <c r="BF1469" s="59"/>
      <c r="BG1469" s="59"/>
      <c r="BH1469" s="59"/>
      <c r="BI1469" s="59"/>
      <c r="BJ1469" s="59"/>
      <c r="BK1469" s="59"/>
      <c r="BL1469" s="59"/>
      <c r="BM1469" s="59"/>
      <c r="BN1469" s="59"/>
      <c r="BO1469" s="59"/>
      <c r="BP1469" s="59"/>
      <c r="BQ1469" s="59"/>
      <c r="BR1469" s="59"/>
      <c r="BS1469" s="59"/>
      <c r="BT1469" s="59"/>
      <c r="BU1469" s="59"/>
      <c r="BV1469" s="59"/>
      <c r="BW1469" s="59"/>
      <c r="BX1469" s="59"/>
      <c r="BY1469" s="59"/>
      <c r="BZ1469" s="59"/>
      <c r="CA1469" s="59"/>
      <c r="CB1469" s="59"/>
      <c r="CC1469" s="59"/>
      <c r="CD1469" s="59"/>
      <c r="CE1469" s="59"/>
      <c r="CF1469" s="59"/>
      <c r="CG1469" s="59"/>
      <c r="CH1469" s="59"/>
      <c r="CI1469" s="59"/>
      <c r="CJ1469" s="59"/>
      <c r="CK1469" s="59"/>
      <c r="CL1469" s="59"/>
      <c r="CM1469" s="59"/>
      <c r="CN1469" s="59"/>
      <c r="CO1469" s="59"/>
      <c r="CP1469" s="59"/>
      <c r="CQ1469" s="59"/>
      <c r="CR1469" s="59"/>
      <c r="CS1469" s="59"/>
      <c r="CT1469" s="59"/>
      <c r="CU1469" s="59"/>
      <c r="CV1469" s="59"/>
      <c r="CW1469" s="59"/>
      <c r="CX1469" s="59"/>
      <c r="CY1469" s="59"/>
      <c r="CZ1469" s="59"/>
      <c r="DA1469" s="59"/>
      <c r="DB1469" s="59"/>
      <c r="DC1469" s="59"/>
      <c r="DD1469" s="59"/>
      <c r="DE1469" s="59"/>
      <c r="DF1469" s="59"/>
      <c r="DG1469" s="59"/>
      <c r="DH1469" s="59"/>
      <c r="DI1469" s="59"/>
      <c r="DJ1469" s="59"/>
      <c r="DK1469" s="59"/>
      <c r="DL1469" s="59"/>
      <c r="DM1469" s="59"/>
      <c r="DN1469" s="59"/>
      <c r="DO1469" s="59"/>
      <c r="DP1469" s="59"/>
      <c r="DQ1469" s="59"/>
      <c r="DR1469" s="59"/>
      <c r="DS1469" s="59"/>
      <c r="DT1469" s="59"/>
      <c r="DU1469" s="59"/>
      <c r="DV1469" s="59"/>
      <c r="DW1469" s="59"/>
      <c r="DX1469" s="59"/>
      <c r="DY1469" s="59"/>
      <c r="DZ1469" s="59"/>
      <c r="EA1469" s="59"/>
      <c r="EB1469" s="59"/>
      <c r="EC1469" s="59"/>
      <c r="ED1469" s="59"/>
      <c r="EE1469" s="59"/>
      <c r="EF1469" s="59"/>
      <c r="EG1469" s="59"/>
      <c r="EH1469" s="59"/>
      <c r="EI1469" s="59"/>
      <c r="EJ1469" s="59"/>
      <c r="EK1469" s="59"/>
      <c r="EL1469" s="59"/>
      <c r="EM1469" s="59"/>
      <c r="EN1469" s="59"/>
      <c r="EO1469" s="59"/>
      <c r="EP1469" s="59"/>
      <c r="EQ1469" s="59"/>
      <c r="ER1469" s="59"/>
      <c r="ES1469" s="59"/>
      <c r="ET1469" s="59"/>
      <c r="EU1469" s="59"/>
      <c r="EV1469" s="59"/>
      <c r="EW1469" s="59"/>
      <c r="EX1469" s="59"/>
      <c r="EY1469" s="59"/>
      <c r="EZ1469" s="59"/>
      <c r="FA1469" s="59"/>
      <c r="FB1469" s="59"/>
      <c r="FC1469" s="59"/>
      <c r="FD1469" s="59"/>
      <c r="FE1469" s="59"/>
      <c r="FF1469" s="59"/>
      <c r="FG1469" s="59"/>
      <c r="FH1469" s="59"/>
      <c r="FI1469" s="59"/>
      <c r="FJ1469" s="59"/>
      <c r="FK1469" s="59"/>
      <c r="FL1469" s="59"/>
      <c r="FM1469" s="59"/>
      <c r="FN1469" s="59"/>
      <c r="FO1469" s="59"/>
      <c r="FP1469" s="59"/>
      <c r="FQ1469" s="59"/>
      <c r="FR1469" s="59"/>
      <c r="FS1469" s="59"/>
      <c r="FT1469" s="59"/>
      <c r="FU1469" s="59"/>
      <c r="FV1469" s="59"/>
      <c r="FW1469" s="59"/>
      <c r="FX1469" s="59"/>
      <c r="FY1469" s="59"/>
      <c r="FZ1469" s="59"/>
      <c r="GA1469" s="59"/>
      <c r="GB1469" s="59"/>
      <c r="GC1469" s="59"/>
    </row>
    <row r="1470">
      <c r="A1470" s="59"/>
      <c r="B1470" s="59"/>
      <c r="C1470" s="59"/>
      <c r="D1470" s="59"/>
      <c r="E1470" s="59"/>
      <c r="F1470" s="59"/>
      <c r="G1470" s="59"/>
      <c r="H1470" s="59"/>
      <c r="I1470" s="59"/>
      <c r="J1470" s="59"/>
      <c r="K1470" s="59"/>
      <c r="L1470" s="59"/>
      <c r="M1470" s="59"/>
      <c r="N1470" s="59"/>
      <c r="O1470" s="59"/>
      <c r="P1470" s="59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59"/>
      <c r="AE1470" s="59"/>
      <c r="AF1470" s="59"/>
      <c r="AG1470" s="59"/>
      <c r="AH1470" s="59"/>
      <c r="AI1470" s="59"/>
      <c r="AJ1470" s="59"/>
      <c r="AK1470" s="59"/>
      <c r="AL1470" s="59"/>
      <c r="AM1470" s="59"/>
      <c r="AN1470" s="59"/>
      <c r="AO1470" s="59"/>
      <c r="AP1470" s="59"/>
      <c r="AQ1470" s="59"/>
      <c r="AR1470" s="59"/>
      <c r="AS1470" s="59"/>
      <c r="AT1470" s="59"/>
      <c r="AU1470" s="59"/>
      <c r="AV1470" s="59"/>
      <c r="AW1470" s="59"/>
      <c r="AX1470" s="59"/>
      <c r="AY1470" s="59"/>
      <c r="AZ1470" s="59"/>
      <c r="BA1470" s="59"/>
      <c r="BB1470" s="59"/>
      <c r="BC1470" s="59"/>
      <c r="BD1470" s="59"/>
      <c r="BE1470" s="59"/>
      <c r="BF1470" s="59"/>
      <c r="BG1470" s="59"/>
      <c r="BH1470" s="59"/>
      <c r="BI1470" s="59"/>
      <c r="BJ1470" s="59"/>
      <c r="BK1470" s="59"/>
      <c r="BL1470" s="59"/>
      <c r="BM1470" s="59"/>
      <c r="BN1470" s="59"/>
      <c r="BO1470" s="59"/>
      <c r="BP1470" s="59"/>
      <c r="BQ1470" s="59"/>
      <c r="BR1470" s="59"/>
      <c r="BS1470" s="59"/>
      <c r="BT1470" s="59"/>
      <c r="BU1470" s="59"/>
      <c r="BV1470" s="59"/>
      <c r="BW1470" s="59"/>
      <c r="BX1470" s="59"/>
      <c r="BY1470" s="59"/>
      <c r="BZ1470" s="59"/>
      <c r="CA1470" s="59"/>
      <c r="CB1470" s="59"/>
      <c r="CC1470" s="59"/>
      <c r="CD1470" s="59"/>
      <c r="CE1470" s="59"/>
      <c r="CF1470" s="59"/>
      <c r="CG1470" s="59"/>
      <c r="CH1470" s="59"/>
      <c r="CI1470" s="59"/>
      <c r="CJ1470" s="59"/>
      <c r="CK1470" s="59"/>
      <c r="CL1470" s="59"/>
      <c r="CM1470" s="59"/>
      <c r="CN1470" s="59"/>
      <c r="CO1470" s="59"/>
      <c r="CP1470" s="59"/>
      <c r="CQ1470" s="59"/>
      <c r="CR1470" s="59"/>
      <c r="CS1470" s="59"/>
      <c r="CT1470" s="59"/>
      <c r="CU1470" s="59"/>
      <c r="CV1470" s="59"/>
      <c r="CW1470" s="59"/>
      <c r="CX1470" s="59"/>
      <c r="CY1470" s="59"/>
      <c r="CZ1470" s="59"/>
      <c r="DA1470" s="59"/>
      <c r="DB1470" s="59"/>
      <c r="DC1470" s="59"/>
      <c r="DD1470" s="59"/>
      <c r="DE1470" s="59"/>
      <c r="DF1470" s="59"/>
      <c r="DG1470" s="59"/>
      <c r="DH1470" s="59"/>
      <c r="DI1470" s="59"/>
      <c r="DJ1470" s="59"/>
      <c r="DK1470" s="59"/>
      <c r="DL1470" s="59"/>
      <c r="DM1470" s="59"/>
      <c r="DN1470" s="59"/>
      <c r="DO1470" s="59"/>
      <c r="DP1470" s="59"/>
      <c r="DQ1470" s="59"/>
      <c r="DR1470" s="59"/>
      <c r="DS1470" s="59"/>
      <c r="DT1470" s="59"/>
      <c r="DU1470" s="59"/>
      <c r="DV1470" s="59"/>
      <c r="DW1470" s="59"/>
      <c r="DX1470" s="59"/>
      <c r="DY1470" s="59"/>
      <c r="DZ1470" s="59"/>
      <c r="EA1470" s="59"/>
      <c r="EB1470" s="59"/>
      <c r="EC1470" s="59"/>
      <c r="ED1470" s="59"/>
      <c r="EE1470" s="59"/>
      <c r="EF1470" s="59"/>
      <c r="EG1470" s="59"/>
      <c r="EH1470" s="59"/>
      <c r="EI1470" s="59"/>
      <c r="EJ1470" s="59"/>
      <c r="EK1470" s="59"/>
      <c r="EL1470" s="59"/>
      <c r="EM1470" s="59"/>
      <c r="EN1470" s="59"/>
      <c r="EO1470" s="59"/>
      <c r="EP1470" s="59"/>
      <c r="EQ1470" s="59"/>
      <c r="ER1470" s="59"/>
      <c r="ES1470" s="59"/>
      <c r="ET1470" s="59"/>
      <c r="EU1470" s="59"/>
      <c r="EV1470" s="59"/>
      <c r="EW1470" s="59"/>
      <c r="EX1470" s="59"/>
      <c r="EY1470" s="59"/>
      <c r="EZ1470" s="59"/>
      <c r="FA1470" s="59"/>
      <c r="FB1470" s="59"/>
      <c r="FC1470" s="59"/>
      <c r="FD1470" s="59"/>
      <c r="FE1470" s="59"/>
      <c r="FF1470" s="59"/>
      <c r="FG1470" s="59"/>
      <c r="FH1470" s="59"/>
      <c r="FI1470" s="59"/>
      <c r="FJ1470" s="59"/>
      <c r="FK1470" s="59"/>
      <c r="FL1470" s="59"/>
      <c r="FM1470" s="59"/>
      <c r="FN1470" s="59"/>
      <c r="FO1470" s="59"/>
      <c r="FP1470" s="59"/>
      <c r="FQ1470" s="59"/>
      <c r="FR1470" s="59"/>
      <c r="FS1470" s="59"/>
      <c r="FT1470" s="59"/>
      <c r="FU1470" s="59"/>
      <c r="FV1470" s="59"/>
      <c r="FW1470" s="59"/>
      <c r="FX1470" s="59"/>
      <c r="FY1470" s="59"/>
      <c r="FZ1470" s="59"/>
      <c r="GA1470" s="59"/>
      <c r="GB1470" s="59"/>
      <c r="GC1470" s="59"/>
    </row>
    <row r="1471">
      <c r="A1471" s="59"/>
      <c r="B1471" s="59"/>
      <c r="C1471" s="59"/>
      <c r="D1471" s="59"/>
      <c r="E1471" s="59"/>
      <c r="F1471" s="59"/>
      <c r="G1471" s="59"/>
      <c r="H1471" s="59"/>
      <c r="I1471" s="59"/>
      <c r="J1471" s="59"/>
      <c r="K1471" s="59"/>
      <c r="L1471" s="59"/>
      <c r="M1471" s="59"/>
      <c r="N1471" s="59"/>
      <c r="O1471" s="59"/>
      <c r="P1471" s="59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  <c r="AA1471" s="59"/>
      <c r="AB1471" s="59"/>
      <c r="AC1471" s="59"/>
      <c r="AD1471" s="59"/>
      <c r="AE1471" s="59"/>
      <c r="AF1471" s="59"/>
      <c r="AG1471" s="59"/>
      <c r="AH1471" s="59"/>
      <c r="AI1471" s="59"/>
      <c r="AJ1471" s="59"/>
      <c r="AK1471" s="59"/>
      <c r="AL1471" s="59"/>
      <c r="AM1471" s="59"/>
      <c r="AN1471" s="59"/>
      <c r="AO1471" s="59"/>
      <c r="AP1471" s="59"/>
      <c r="AQ1471" s="59"/>
      <c r="AR1471" s="59"/>
      <c r="AS1471" s="59"/>
      <c r="AT1471" s="59"/>
      <c r="AU1471" s="59"/>
      <c r="AV1471" s="59"/>
      <c r="AW1471" s="59"/>
      <c r="AX1471" s="59"/>
      <c r="AY1471" s="59"/>
      <c r="AZ1471" s="59"/>
      <c r="BA1471" s="59"/>
      <c r="BB1471" s="59"/>
      <c r="BC1471" s="59"/>
      <c r="BD1471" s="59"/>
      <c r="BE1471" s="59"/>
      <c r="BF1471" s="59"/>
      <c r="BG1471" s="59"/>
      <c r="BH1471" s="59"/>
      <c r="BI1471" s="59"/>
      <c r="BJ1471" s="59"/>
      <c r="BK1471" s="59"/>
      <c r="BL1471" s="59"/>
      <c r="BM1471" s="59"/>
      <c r="BN1471" s="59"/>
      <c r="BO1471" s="59"/>
      <c r="BP1471" s="59"/>
      <c r="BQ1471" s="59"/>
      <c r="BR1471" s="59"/>
      <c r="BS1471" s="59"/>
      <c r="BT1471" s="59"/>
      <c r="BU1471" s="59"/>
      <c r="BV1471" s="59"/>
      <c r="BW1471" s="59"/>
      <c r="BX1471" s="59"/>
      <c r="BY1471" s="59"/>
      <c r="BZ1471" s="59"/>
      <c r="CA1471" s="59"/>
      <c r="CB1471" s="59"/>
      <c r="CC1471" s="59"/>
      <c r="CD1471" s="59"/>
      <c r="CE1471" s="59"/>
      <c r="CF1471" s="59"/>
      <c r="CG1471" s="59"/>
      <c r="CH1471" s="59"/>
      <c r="CI1471" s="59"/>
      <c r="CJ1471" s="59"/>
      <c r="CK1471" s="59"/>
      <c r="CL1471" s="59"/>
      <c r="CM1471" s="59"/>
      <c r="CN1471" s="59"/>
      <c r="CO1471" s="59"/>
      <c r="CP1471" s="59"/>
      <c r="CQ1471" s="59"/>
      <c r="CR1471" s="59"/>
      <c r="CS1471" s="59"/>
      <c r="CT1471" s="59"/>
      <c r="CU1471" s="59"/>
      <c r="CV1471" s="59"/>
      <c r="CW1471" s="59"/>
      <c r="CX1471" s="59"/>
      <c r="CY1471" s="59"/>
      <c r="CZ1471" s="59"/>
      <c r="DA1471" s="59"/>
      <c r="DB1471" s="59"/>
      <c r="DC1471" s="59"/>
      <c r="DD1471" s="59"/>
      <c r="DE1471" s="59"/>
      <c r="DF1471" s="59"/>
      <c r="DG1471" s="59"/>
      <c r="DH1471" s="59"/>
      <c r="DI1471" s="59"/>
      <c r="DJ1471" s="59"/>
      <c r="DK1471" s="59"/>
      <c r="DL1471" s="59"/>
      <c r="DM1471" s="59"/>
      <c r="DN1471" s="59"/>
      <c r="DO1471" s="59"/>
      <c r="DP1471" s="59"/>
      <c r="DQ1471" s="59"/>
      <c r="DR1471" s="59"/>
      <c r="DS1471" s="59"/>
      <c r="DT1471" s="59"/>
      <c r="DU1471" s="59"/>
      <c r="DV1471" s="59"/>
      <c r="DW1471" s="59"/>
      <c r="DX1471" s="59"/>
      <c r="DY1471" s="59"/>
      <c r="DZ1471" s="59"/>
      <c r="EA1471" s="59"/>
      <c r="EB1471" s="59"/>
      <c r="EC1471" s="59"/>
      <c r="ED1471" s="59"/>
      <c r="EE1471" s="59"/>
      <c r="EF1471" s="59"/>
      <c r="EG1471" s="59"/>
      <c r="EH1471" s="59"/>
      <c r="EI1471" s="59"/>
      <c r="EJ1471" s="59"/>
      <c r="EK1471" s="59"/>
      <c r="EL1471" s="59"/>
      <c r="EM1471" s="59"/>
      <c r="EN1471" s="59"/>
      <c r="EO1471" s="59"/>
      <c r="EP1471" s="59"/>
      <c r="EQ1471" s="59"/>
      <c r="ER1471" s="59"/>
      <c r="ES1471" s="59"/>
      <c r="ET1471" s="59"/>
      <c r="EU1471" s="59"/>
      <c r="EV1471" s="59"/>
      <c r="EW1471" s="59"/>
      <c r="EX1471" s="59"/>
      <c r="EY1471" s="59"/>
      <c r="EZ1471" s="59"/>
      <c r="FA1471" s="59"/>
      <c r="FB1471" s="59"/>
      <c r="FC1471" s="59"/>
      <c r="FD1471" s="59"/>
      <c r="FE1471" s="59"/>
      <c r="FF1471" s="59"/>
      <c r="FG1471" s="59"/>
      <c r="FH1471" s="59"/>
      <c r="FI1471" s="59"/>
      <c r="FJ1471" s="59"/>
      <c r="FK1471" s="59"/>
      <c r="FL1471" s="59"/>
      <c r="FM1471" s="59"/>
      <c r="FN1471" s="59"/>
      <c r="FO1471" s="59"/>
      <c r="FP1471" s="59"/>
      <c r="FQ1471" s="59"/>
      <c r="FR1471" s="59"/>
      <c r="FS1471" s="59"/>
      <c r="FT1471" s="59"/>
      <c r="FU1471" s="59"/>
      <c r="FV1471" s="59"/>
      <c r="FW1471" s="59"/>
      <c r="FX1471" s="59"/>
      <c r="FY1471" s="59"/>
      <c r="FZ1471" s="59"/>
      <c r="GA1471" s="59"/>
      <c r="GB1471" s="59"/>
      <c r="GC1471" s="59"/>
    </row>
    <row r="1472">
      <c r="A1472" s="59"/>
      <c r="B1472" s="59"/>
      <c r="C1472" s="59"/>
      <c r="D1472" s="59"/>
      <c r="E1472" s="59"/>
      <c r="F1472" s="59"/>
      <c r="G1472" s="59"/>
      <c r="H1472" s="59"/>
      <c r="I1472" s="59"/>
      <c r="J1472" s="59"/>
      <c r="K1472" s="59"/>
      <c r="L1472" s="59"/>
      <c r="M1472" s="59"/>
      <c r="N1472" s="59"/>
      <c r="O1472" s="59"/>
      <c r="P1472" s="59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  <c r="AA1472" s="59"/>
      <c r="AB1472" s="59"/>
      <c r="AC1472" s="59"/>
      <c r="AD1472" s="59"/>
      <c r="AE1472" s="59"/>
      <c r="AF1472" s="59"/>
      <c r="AG1472" s="59"/>
      <c r="AH1472" s="59"/>
      <c r="AI1472" s="59"/>
      <c r="AJ1472" s="59"/>
      <c r="AK1472" s="59"/>
      <c r="AL1472" s="59"/>
      <c r="AM1472" s="59"/>
      <c r="AN1472" s="59"/>
      <c r="AO1472" s="59"/>
      <c r="AP1472" s="59"/>
      <c r="AQ1472" s="59"/>
      <c r="AR1472" s="59"/>
      <c r="AS1472" s="59"/>
      <c r="AT1472" s="59"/>
      <c r="AU1472" s="59"/>
      <c r="AV1472" s="59"/>
      <c r="AW1472" s="59"/>
      <c r="AX1472" s="59"/>
      <c r="AY1472" s="59"/>
      <c r="AZ1472" s="59"/>
      <c r="BA1472" s="59"/>
      <c r="BB1472" s="59"/>
      <c r="BC1472" s="59"/>
      <c r="BD1472" s="59"/>
      <c r="BE1472" s="59"/>
      <c r="BF1472" s="59"/>
      <c r="BG1472" s="59"/>
      <c r="BH1472" s="59"/>
      <c r="BI1472" s="59"/>
      <c r="BJ1472" s="59"/>
      <c r="BK1472" s="59"/>
      <c r="BL1472" s="59"/>
      <c r="BM1472" s="59"/>
      <c r="BN1472" s="59"/>
      <c r="BO1472" s="59"/>
      <c r="BP1472" s="59"/>
      <c r="BQ1472" s="59"/>
      <c r="BR1472" s="59"/>
      <c r="BS1472" s="59"/>
      <c r="BT1472" s="59"/>
      <c r="BU1472" s="59"/>
      <c r="BV1472" s="59"/>
      <c r="BW1472" s="59"/>
      <c r="BX1472" s="59"/>
      <c r="BY1472" s="59"/>
      <c r="BZ1472" s="59"/>
      <c r="CA1472" s="59"/>
      <c r="CB1472" s="59"/>
      <c r="CC1472" s="59"/>
      <c r="CD1472" s="59"/>
      <c r="CE1472" s="59"/>
      <c r="CF1472" s="59"/>
      <c r="CG1472" s="59"/>
      <c r="CH1472" s="59"/>
      <c r="CI1472" s="59"/>
      <c r="CJ1472" s="59"/>
      <c r="CK1472" s="59"/>
      <c r="CL1472" s="59"/>
      <c r="CM1472" s="59"/>
      <c r="CN1472" s="59"/>
      <c r="CO1472" s="59"/>
      <c r="CP1472" s="59"/>
      <c r="CQ1472" s="59"/>
      <c r="CR1472" s="59"/>
      <c r="CS1472" s="59"/>
      <c r="CT1472" s="59"/>
      <c r="CU1472" s="59"/>
      <c r="CV1472" s="59"/>
      <c r="CW1472" s="59"/>
      <c r="CX1472" s="59"/>
      <c r="CY1472" s="59"/>
      <c r="CZ1472" s="59"/>
      <c r="DA1472" s="59"/>
      <c r="DB1472" s="59"/>
      <c r="DC1472" s="59"/>
      <c r="DD1472" s="59"/>
      <c r="DE1472" s="59"/>
      <c r="DF1472" s="59"/>
      <c r="DG1472" s="59"/>
      <c r="DH1472" s="59"/>
      <c r="DI1472" s="59"/>
      <c r="DJ1472" s="59"/>
      <c r="DK1472" s="59"/>
      <c r="DL1472" s="59"/>
      <c r="DM1472" s="59"/>
      <c r="DN1472" s="59"/>
      <c r="DO1472" s="59"/>
      <c r="DP1472" s="59"/>
      <c r="DQ1472" s="59"/>
      <c r="DR1472" s="59"/>
      <c r="DS1472" s="59"/>
      <c r="DT1472" s="59"/>
      <c r="DU1472" s="59"/>
      <c r="DV1472" s="59"/>
      <c r="DW1472" s="59"/>
      <c r="DX1472" s="59"/>
      <c r="DY1472" s="59"/>
      <c r="DZ1472" s="59"/>
      <c r="EA1472" s="59"/>
      <c r="EB1472" s="59"/>
      <c r="EC1472" s="59"/>
      <c r="ED1472" s="59"/>
      <c r="EE1472" s="59"/>
      <c r="EF1472" s="59"/>
      <c r="EG1472" s="59"/>
      <c r="EH1472" s="59"/>
      <c r="EI1472" s="59"/>
      <c r="EJ1472" s="59"/>
      <c r="EK1472" s="59"/>
      <c r="EL1472" s="59"/>
      <c r="EM1472" s="59"/>
      <c r="EN1472" s="59"/>
      <c r="EO1472" s="59"/>
      <c r="EP1472" s="59"/>
      <c r="EQ1472" s="59"/>
      <c r="ER1472" s="59"/>
      <c r="ES1472" s="59"/>
      <c r="ET1472" s="59"/>
      <c r="EU1472" s="59"/>
      <c r="EV1472" s="59"/>
      <c r="EW1472" s="59"/>
      <c r="EX1472" s="59"/>
      <c r="EY1472" s="59"/>
      <c r="EZ1472" s="59"/>
      <c r="FA1472" s="59"/>
      <c r="FB1472" s="59"/>
      <c r="FC1472" s="59"/>
      <c r="FD1472" s="59"/>
      <c r="FE1472" s="59"/>
      <c r="FF1472" s="59"/>
      <c r="FG1472" s="59"/>
      <c r="FH1472" s="59"/>
      <c r="FI1472" s="59"/>
      <c r="FJ1472" s="59"/>
      <c r="FK1472" s="59"/>
      <c r="FL1472" s="59"/>
      <c r="FM1472" s="59"/>
      <c r="FN1472" s="59"/>
      <c r="FO1472" s="59"/>
      <c r="FP1472" s="59"/>
      <c r="FQ1472" s="59"/>
      <c r="FR1472" s="59"/>
      <c r="FS1472" s="59"/>
      <c r="FT1472" s="59"/>
      <c r="FU1472" s="59"/>
      <c r="FV1472" s="59"/>
      <c r="FW1472" s="59"/>
      <c r="FX1472" s="59"/>
      <c r="FY1472" s="59"/>
      <c r="FZ1472" s="59"/>
      <c r="GA1472" s="59"/>
      <c r="GB1472" s="59"/>
      <c r="GC1472" s="59"/>
    </row>
    <row r="1473">
      <c r="A1473" s="59"/>
      <c r="B1473" s="59"/>
      <c r="C1473" s="59"/>
      <c r="D1473" s="59"/>
      <c r="E1473" s="59"/>
      <c r="F1473" s="59"/>
      <c r="G1473" s="59"/>
      <c r="H1473" s="59"/>
      <c r="I1473" s="59"/>
      <c r="J1473" s="59"/>
      <c r="K1473" s="59"/>
      <c r="L1473" s="59"/>
      <c r="M1473" s="59"/>
      <c r="N1473" s="59"/>
      <c r="O1473" s="59"/>
      <c r="P1473" s="59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  <c r="AD1473" s="59"/>
      <c r="AE1473" s="59"/>
      <c r="AF1473" s="59"/>
      <c r="AG1473" s="59"/>
      <c r="AH1473" s="59"/>
      <c r="AI1473" s="59"/>
      <c r="AJ1473" s="59"/>
      <c r="AK1473" s="59"/>
      <c r="AL1473" s="59"/>
      <c r="AM1473" s="59"/>
      <c r="AN1473" s="59"/>
      <c r="AO1473" s="59"/>
      <c r="AP1473" s="59"/>
      <c r="AQ1473" s="59"/>
      <c r="AR1473" s="59"/>
      <c r="AS1473" s="59"/>
      <c r="AT1473" s="59"/>
      <c r="AU1473" s="59"/>
      <c r="AV1473" s="59"/>
      <c r="AW1473" s="59"/>
      <c r="AX1473" s="59"/>
      <c r="AY1473" s="59"/>
      <c r="AZ1473" s="59"/>
      <c r="BA1473" s="59"/>
      <c r="BB1473" s="59"/>
      <c r="BC1473" s="59"/>
      <c r="BD1473" s="59"/>
      <c r="BE1473" s="59"/>
      <c r="BF1473" s="59"/>
      <c r="BG1473" s="59"/>
      <c r="BH1473" s="59"/>
      <c r="BI1473" s="59"/>
      <c r="BJ1473" s="59"/>
      <c r="BK1473" s="59"/>
      <c r="BL1473" s="59"/>
      <c r="BM1473" s="59"/>
      <c r="BN1473" s="59"/>
      <c r="BO1473" s="59"/>
      <c r="BP1473" s="59"/>
      <c r="BQ1473" s="59"/>
      <c r="BR1473" s="59"/>
      <c r="BS1473" s="59"/>
      <c r="BT1473" s="59"/>
      <c r="BU1473" s="59"/>
      <c r="BV1473" s="59"/>
      <c r="BW1473" s="59"/>
      <c r="BX1473" s="59"/>
      <c r="BY1473" s="59"/>
      <c r="BZ1473" s="59"/>
      <c r="CA1473" s="59"/>
      <c r="CB1473" s="59"/>
      <c r="CC1473" s="59"/>
      <c r="CD1473" s="59"/>
      <c r="CE1473" s="59"/>
      <c r="CF1473" s="59"/>
      <c r="CG1473" s="59"/>
      <c r="CH1473" s="59"/>
      <c r="CI1473" s="59"/>
      <c r="CJ1473" s="59"/>
      <c r="CK1473" s="59"/>
      <c r="CL1473" s="59"/>
      <c r="CM1473" s="59"/>
      <c r="CN1473" s="59"/>
      <c r="CO1473" s="59"/>
      <c r="CP1473" s="59"/>
      <c r="CQ1473" s="59"/>
      <c r="CR1473" s="59"/>
      <c r="CS1473" s="59"/>
      <c r="CT1473" s="59"/>
      <c r="CU1473" s="59"/>
      <c r="CV1473" s="59"/>
      <c r="CW1473" s="59"/>
      <c r="CX1473" s="59"/>
      <c r="CY1473" s="59"/>
      <c r="CZ1473" s="59"/>
      <c r="DA1473" s="59"/>
      <c r="DB1473" s="59"/>
      <c r="DC1473" s="59"/>
      <c r="DD1473" s="59"/>
      <c r="DE1473" s="59"/>
      <c r="DF1473" s="59"/>
      <c r="DG1473" s="59"/>
      <c r="DH1473" s="59"/>
      <c r="DI1473" s="59"/>
      <c r="DJ1473" s="59"/>
      <c r="DK1473" s="59"/>
      <c r="DL1473" s="59"/>
      <c r="DM1473" s="59"/>
      <c r="DN1473" s="59"/>
      <c r="DO1473" s="59"/>
      <c r="DP1473" s="59"/>
      <c r="DQ1473" s="59"/>
      <c r="DR1473" s="59"/>
      <c r="DS1473" s="59"/>
      <c r="DT1473" s="59"/>
      <c r="DU1473" s="59"/>
      <c r="DV1473" s="59"/>
      <c r="DW1473" s="59"/>
      <c r="DX1473" s="59"/>
      <c r="DY1473" s="59"/>
      <c r="DZ1473" s="59"/>
      <c r="EA1473" s="59"/>
      <c r="EB1473" s="59"/>
      <c r="EC1473" s="59"/>
      <c r="ED1473" s="59"/>
      <c r="EE1473" s="59"/>
      <c r="EF1473" s="59"/>
      <c r="EG1473" s="59"/>
      <c r="EH1473" s="59"/>
      <c r="EI1473" s="59"/>
      <c r="EJ1473" s="59"/>
      <c r="EK1473" s="59"/>
      <c r="EL1473" s="59"/>
      <c r="EM1473" s="59"/>
      <c r="EN1473" s="59"/>
      <c r="EO1473" s="59"/>
      <c r="EP1473" s="59"/>
      <c r="EQ1473" s="59"/>
      <c r="ER1473" s="59"/>
      <c r="ES1473" s="59"/>
      <c r="ET1473" s="59"/>
      <c r="EU1473" s="59"/>
      <c r="EV1473" s="59"/>
      <c r="EW1473" s="59"/>
      <c r="EX1473" s="59"/>
      <c r="EY1473" s="59"/>
      <c r="EZ1473" s="59"/>
      <c r="FA1473" s="59"/>
      <c r="FB1473" s="59"/>
      <c r="FC1473" s="59"/>
      <c r="FD1473" s="59"/>
      <c r="FE1473" s="59"/>
      <c r="FF1473" s="59"/>
      <c r="FG1473" s="59"/>
      <c r="FH1473" s="59"/>
      <c r="FI1473" s="59"/>
      <c r="FJ1473" s="59"/>
      <c r="FK1473" s="59"/>
      <c r="FL1473" s="59"/>
      <c r="FM1473" s="59"/>
      <c r="FN1473" s="59"/>
      <c r="FO1473" s="59"/>
      <c r="FP1473" s="59"/>
      <c r="FQ1473" s="59"/>
      <c r="FR1473" s="59"/>
      <c r="FS1473" s="59"/>
      <c r="FT1473" s="59"/>
      <c r="FU1473" s="59"/>
      <c r="FV1473" s="59"/>
      <c r="FW1473" s="59"/>
      <c r="FX1473" s="59"/>
      <c r="FY1473" s="59"/>
      <c r="FZ1473" s="59"/>
      <c r="GA1473" s="59"/>
      <c r="GB1473" s="59"/>
      <c r="GC1473" s="59"/>
    </row>
    <row r="1474">
      <c r="A1474" s="59"/>
      <c r="B1474" s="59"/>
      <c r="C1474" s="59"/>
      <c r="D1474" s="59"/>
      <c r="E1474" s="59"/>
      <c r="F1474" s="59"/>
      <c r="G1474" s="59"/>
      <c r="H1474" s="59"/>
      <c r="I1474" s="59"/>
      <c r="J1474" s="59"/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59"/>
      <c r="AI1474" s="59"/>
      <c r="AJ1474" s="59"/>
      <c r="AK1474" s="59"/>
      <c r="AL1474" s="59"/>
      <c r="AM1474" s="59"/>
      <c r="AN1474" s="59"/>
      <c r="AO1474" s="59"/>
      <c r="AP1474" s="59"/>
      <c r="AQ1474" s="59"/>
      <c r="AR1474" s="59"/>
      <c r="AS1474" s="59"/>
      <c r="AT1474" s="59"/>
      <c r="AU1474" s="59"/>
      <c r="AV1474" s="59"/>
      <c r="AW1474" s="59"/>
      <c r="AX1474" s="59"/>
      <c r="AY1474" s="59"/>
      <c r="AZ1474" s="59"/>
      <c r="BA1474" s="59"/>
      <c r="BB1474" s="59"/>
      <c r="BC1474" s="59"/>
      <c r="BD1474" s="59"/>
      <c r="BE1474" s="59"/>
      <c r="BF1474" s="59"/>
      <c r="BG1474" s="59"/>
      <c r="BH1474" s="59"/>
      <c r="BI1474" s="59"/>
      <c r="BJ1474" s="59"/>
      <c r="BK1474" s="59"/>
      <c r="BL1474" s="59"/>
      <c r="BM1474" s="59"/>
      <c r="BN1474" s="59"/>
      <c r="BO1474" s="59"/>
      <c r="BP1474" s="59"/>
      <c r="BQ1474" s="59"/>
      <c r="BR1474" s="59"/>
      <c r="BS1474" s="59"/>
      <c r="BT1474" s="59"/>
      <c r="BU1474" s="59"/>
      <c r="BV1474" s="59"/>
      <c r="BW1474" s="59"/>
      <c r="BX1474" s="59"/>
      <c r="BY1474" s="59"/>
      <c r="BZ1474" s="59"/>
      <c r="CA1474" s="59"/>
      <c r="CB1474" s="59"/>
      <c r="CC1474" s="59"/>
      <c r="CD1474" s="59"/>
      <c r="CE1474" s="59"/>
      <c r="CF1474" s="59"/>
      <c r="CG1474" s="59"/>
      <c r="CH1474" s="59"/>
      <c r="CI1474" s="59"/>
      <c r="CJ1474" s="59"/>
      <c r="CK1474" s="59"/>
      <c r="CL1474" s="59"/>
      <c r="CM1474" s="59"/>
      <c r="CN1474" s="59"/>
      <c r="CO1474" s="59"/>
      <c r="CP1474" s="59"/>
      <c r="CQ1474" s="59"/>
      <c r="CR1474" s="59"/>
      <c r="CS1474" s="59"/>
      <c r="CT1474" s="59"/>
      <c r="CU1474" s="59"/>
      <c r="CV1474" s="59"/>
      <c r="CW1474" s="59"/>
      <c r="CX1474" s="59"/>
      <c r="CY1474" s="59"/>
      <c r="CZ1474" s="59"/>
      <c r="DA1474" s="59"/>
      <c r="DB1474" s="59"/>
      <c r="DC1474" s="59"/>
      <c r="DD1474" s="59"/>
      <c r="DE1474" s="59"/>
      <c r="DF1474" s="59"/>
      <c r="DG1474" s="59"/>
      <c r="DH1474" s="59"/>
      <c r="DI1474" s="59"/>
      <c r="DJ1474" s="59"/>
      <c r="DK1474" s="59"/>
      <c r="DL1474" s="59"/>
      <c r="DM1474" s="59"/>
      <c r="DN1474" s="59"/>
      <c r="DO1474" s="59"/>
      <c r="DP1474" s="59"/>
      <c r="DQ1474" s="59"/>
      <c r="DR1474" s="59"/>
      <c r="DS1474" s="59"/>
      <c r="DT1474" s="59"/>
      <c r="DU1474" s="59"/>
      <c r="DV1474" s="59"/>
      <c r="DW1474" s="59"/>
      <c r="DX1474" s="59"/>
      <c r="DY1474" s="59"/>
      <c r="DZ1474" s="59"/>
      <c r="EA1474" s="59"/>
      <c r="EB1474" s="59"/>
      <c r="EC1474" s="59"/>
      <c r="ED1474" s="59"/>
      <c r="EE1474" s="59"/>
      <c r="EF1474" s="59"/>
      <c r="EG1474" s="59"/>
      <c r="EH1474" s="59"/>
      <c r="EI1474" s="59"/>
      <c r="EJ1474" s="59"/>
      <c r="EK1474" s="59"/>
      <c r="EL1474" s="59"/>
      <c r="EM1474" s="59"/>
      <c r="EN1474" s="59"/>
      <c r="EO1474" s="59"/>
      <c r="EP1474" s="59"/>
      <c r="EQ1474" s="59"/>
      <c r="ER1474" s="59"/>
      <c r="ES1474" s="59"/>
      <c r="ET1474" s="59"/>
      <c r="EU1474" s="59"/>
      <c r="EV1474" s="59"/>
      <c r="EW1474" s="59"/>
      <c r="EX1474" s="59"/>
      <c r="EY1474" s="59"/>
      <c r="EZ1474" s="59"/>
      <c r="FA1474" s="59"/>
      <c r="FB1474" s="59"/>
      <c r="FC1474" s="59"/>
      <c r="FD1474" s="59"/>
      <c r="FE1474" s="59"/>
      <c r="FF1474" s="59"/>
      <c r="FG1474" s="59"/>
      <c r="FH1474" s="59"/>
      <c r="FI1474" s="59"/>
      <c r="FJ1474" s="59"/>
      <c r="FK1474" s="59"/>
      <c r="FL1474" s="59"/>
      <c r="FM1474" s="59"/>
      <c r="FN1474" s="59"/>
      <c r="FO1474" s="59"/>
      <c r="FP1474" s="59"/>
      <c r="FQ1474" s="59"/>
      <c r="FR1474" s="59"/>
      <c r="FS1474" s="59"/>
      <c r="FT1474" s="59"/>
      <c r="FU1474" s="59"/>
      <c r="FV1474" s="59"/>
      <c r="FW1474" s="59"/>
      <c r="FX1474" s="59"/>
      <c r="FY1474" s="59"/>
      <c r="FZ1474" s="59"/>
      <c r="GA1474" s="59"/>
      <c r="GB1474" s="59"/>
      <c r="GC1474" s="59"/>
    </row>
    <row r="1475">
      <c r="A1475" s="59"/>
      <c r="B1475" s="59"/>
      <c r="C1475" s="59"/>
      <c r="D1475" s="59"/>
      <c r="E1475" s="59"/>
      <c r="F1475" s="59"/>
      <c r="G1475" s="59"/>
      <c r="H1475" s="59"/>
      <c r="I1475" s="59"/>
      <c r="J1475" s="59"/>
      <c r="K1475" s="59"/>
      <c r="L1475" s="59"/>
      <c r="M1475" s="59"/>
      <c r="N1475" s="59"/>
      <c r="O1475" s="59"/>
      <c r="P1475" s="59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  <c r="AD1475" s="59"/>
      <c r="AE1475" s="59"/>
      <c r="AF1475" s="59"/>
      <c r="AG1475" s="59"/>
      <c r="AH1475" s="59"/>
      <c r="AI1475" s="59"/>
      <c r="AJ1475" s="59"/>
      <c r="AK1475" s="59"/>
      <c r="AL1475" s="59"/>
      <c r="AM1475" s="59"/>
      <c r="AN1475" s="59"/>
      <c r="AO1475" s="59"/>
      <c r="AP1475" s="59"/>
      <c r="AQ1475" s="59"/>
      <c r="AR1475" s="59"/>
      <c r="AS1475" s="59"/>
      <c r="AT1475" s="59"/>
      <c r="AU1475" s="59"/>
      <c r="AV1475" s="59"/>
      <c r="AW1475" s="59"/>
      <c r="AX1475" s="59"/>
      <c r="AY1475" s="59"/>
      <c r="AZ1475" s="59"/>
      <c r="BA1475" s="59"/>
      <c r="BB1475" s="59"/>
      <c r="BC1475" s="59"/>
      <c r="BD1475" s="59"/>
      <c r="BE1475" s="59"/>
      <c r="BF1475" s="59"/>
      <c r="BG1475" s="59"/>
      <c r="BH1475" s="59"/>
      <c r="BI1475" s="59"/>
      <c r="BJ1475" s="59"/>
      <c r="BK1475" s="59"/>
      <c r="BL1475" s="59"/>
      <c r="BM1475" s="59"/>
      <c r="BN1475" s="59"/>
      <c r="BO1475" s="59"/>
      <c r="BP1475" s="59"/>
      <c r="BQ1475" s="59"/>
      <c r="BR1475" s="59"/>
      <c r="BS1475" s="59"/>
      <c r="BT1475" s="59"/>
      <c r="BU1475" s="59"/>
      <c r="BV1475" s="59"/>
      <c r="BW1475" s="59"/>
      <c r="BX1475" s="59"/>
      <c r="BY1475" s="59"/>
      <c r="BZ1475" s="59"/>
      <c r="CA1475" s="59"/>
      <c r="CB1475" s="59"/>
      <c r="CC1475" s="59"/>
      <c r="CD1475" s="59"/>
      <c r="CE1475" s="59"/>
      <c r="CF1475" s="59"/>
      <c r="CG1475" s="59"/>
      <c r="CH1475" s="59"/>
      <c r="CI1475" s="59"/>
      <c r="CJ1475" s="59"/>
      <c r="CK1475" s="59"/>
      <c r="CL1475" s="59"/>
      <c r="CM1475" s="59"/>
      <c r="CN1475" s="59"/>
      <c r="CO1475" s="59"/>
      <c r="CP1475" s="59"/>
      <c r="CQ1475" s="59"/>
      <c r="CR1475" s="59"/>
      <c r="CS1475" s="59"/>
      <c r="CT1475" s="59"/>
      <c r="CU1475" s="59"/>
      <c r="CV1475" s="59"/>
      <c r="CW1475" s="59"/>
      <c r="CX1475" s="59"/>
      <c r="CY1475" s="59"/>
      <c r="CZ1475" s="59"/>
      <c r="DA1475" s="59"/>
      <c r="DB1475" s="59"/>
      <c r="DC1475" s="59"/>
      <c r="DD1475" s="59"/>
      <c r="DE1475" s="59"/>
      <c r="DF1475" s="59"/>
      <c r="DG1475" s="59"/>
      <c r="DH1475" s="59"/>
      <c r="DI1475" s="59"/>
      <c r="DJ1475" s="59"/>
      <c r="DK1475" s="59"/>
      <c r="DL1475" s="59"/>
      <c r="DM1475" s="59"/>
      <c r="DN1475" s="59"/>
      <c r="DO1475" s="59"/>
      <c r="DP1475" s="59"/>
      <c r="DQ1475" s="59"/>
      <c r="DR1475" s="59"/>
      <c r="DS1475" s="59"/>
      <c r="DT1475" s="59"/>
      <c r="DU1475" s="59"/>
      <c r="DV1475" s="59"/>
      <c r="DW1475" s="59"/>
      <c r="DX1475" s="59"/>
      <c r="DY1475" s="59"/>
      <c r="DZ1475" s="59"/>
      <c r="EA1475" s="59"/>
      <c r="EB1475" s="59"/>
      <c r="EC1475" s="59"/>
      <c r="ED1475" s="59"/>
      <c r="EE1475" s="59"/>
      <c r="EF1475" s="59"/>
      <c r="EG1475" s="59"/>
      <c r="EH1475" s="59"/>
      <c r="EI1475" s="59"/>
      <c r="EJ1475" s="59"/>
      <c r="EK1475" s="59"/>
      <c r="EL1475" s="59"/>
      <c r="EM1475" s="59"/>
      <c r="EN1475" s="59"/>
      <c r="EO1475" s="59"/>
      <c r="EP1475" s="59"/>
      <c r="EQ1475" s="59"/>
      <c r="ER1475" s="59"/>
      <c r="ES1475" s="59"/>
      <c r="ET1475" s="59"/>
      <c r="EU1475" s="59"/>
      <c r="EV1475" s="59"/>
      <c r="EW1475" s="59"/>
      <c r="EX1475" s="59"/>
      <c r="EY1475" s="59"/>
      <c r="EZ1475" s="59"/>
      <c r="FA1475" s="59"/>
      <c r="FB1475" s="59"/>
      <c r="FC1475" s="59"/>
      <c r="FD1475" s="59"/>
      <c r="FE1475" s="59"/>
      <c r="FF1475" s="59"/>
      <c r="FG1475" s="59"/>
      <c r="FH1475" s="59"/>
      <c r="FI1475" s="59"/>
      <c r="FJ1475" s="59"/>
      <c r="FK1475" s="59"/>
      <c r="FL1475" s="59"/>
      <c r="FM1475" s="59"/>
      <c r="FN1475" s="59"/>
      <c r="FO1475" s="59"/>
      <c r="FP1475" s="59"/>
      <c r="FQ1475" s="59"/>
      <c r="FR1475" s="59"/>
      <c r="FS1475" s="59"/>
      <c r="FT1475" s="59"/>
      <c r="FU1475" s="59"/>
      <c r="FV1475" s="59"/>
      <c r="FW1475" s="59"/>
      <c r="FX1475" s="59"/>
      <c r="FY1475" s="59"/>
      <c r="FZ1475" s="59"/>
      <c r="GA1475" s="59"/>
      <c r="GB1475" s="59"/>
      <c r="GC1475" s="59"/>
    </row>
    <row r="1476">
      <c r="A1476" s="59"/>
      <c r="B1476" s="59"/>
      <c r="C1476" s="59"/>
      <c r="D1476" s="59"/>
      <c r="E1476" s="59"/>
      <c r="F1476" s="59"/>
      <c r="G1476" s="59"/>
      <c r="H1476" s="59"/>
      <c r="I1476" s="59"/>
      <c r="J1476" s="59"/>
      <c r="K1476" s="59"/>
      <c r="L1476" s="59"/>
      <c r="M1476" s="59"/>
      <c r="N1476" s="59"/>
      <c r="O1476" s="59"/>
      <c r="P1476" s="59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  <c r="AA1476" s="59"/>
      <c r="AB1476" s="59"/>
      <c r="AC1476" s="59"/>
      <c r="AD1476" s="59"/>
      <c r="AE1476" s="59"/>
      <c r="AF1476" s="59"/>
      <c r="AG1476" s="59"/>
      <c r="AH1476" s="59"/>
      <c r="AI1476" s="59"/>
      <c r="AJ1476" s="59"/>
      <c r="AK1476" s="59"/>
      <c r="AL1476" s="59"/>
      <c r="AM1476" s="59"/>
      <c r="AN1476" s="59"/>
      <c r="AO1476" s="59"/>
      <c r="AP1476" s="59"/>
      <c r="AQ1476" s="59"/>
      <c r="AR1476" s="59"/>
      <c r="AS1476" s="59"/>
      <c r="AT1476" s="59"/>
      <c r="AU1476" s="59"/>
      <c r="AV1476" s="59"/>
      <c r="AW1476" s="59"/>
      <c r="AX1476" s="59"/>
      <c r="AY1476" s="59"/>
      <c r="AZ1476" s="59"/>
      <c r="BA1476" s="59"/>
      <c r="BB1476" s="59"/>
      <c r="BC1476" s="59"/>
      <c r="BD1476" s="59"/>
      <c r="BE1476" s="59"/>
      <c r="BF1476" s="59"/>
      <c r="BG1476" s="59"/>
      <c r="BH1476" s="59"/>
      <c r="BI1476" s="59"/>
      <c r="BJ1476" s="59"/>
      <c r="BK1476" s="59"/>
      <c r="BL1476" s="59"/>
      <c r="BM1476" s="59"/>
      <c r="BN1476" s="59"/>
      <c r="BO1476" s="59"/>
      <c r="BP1476" s="59"/>
      <c r="BQ1476" s="59"/>
      <c r="BR1476" s="59"/>
      <c r="BS1476" s="59"/>
      <c r="BT1476" s="59"/>
      <c r="BU1476" s="59"/>
      <c r="BV1476" s="59"/>
      <c r="BW1476" s="59"/>
      <c r="BX1476" s="59"/>
      <c r="BY1476" s="59"/>
      <c r="BZ1476" s="59"/>
      <c r="CA1476" s="59"/>
      <c r="CB1476" s="59"/>
      <c r="CC1476" s="59"/>
      <c r="CD1476" s="59"/>
      <c r="CE1476" s="59"/>
      <c r="CF1476" s="59"/>
      <c r="CG1476" s="59"/>
      <c r="CH1476" s="59"/>
      <c r="CI1476" s="59"/>
      <c r="CJ1476" s="59"/>
      <c r="CK1476" s="59"/>
      <c r="CL1476" s="59"/>
      <c r="CM1476" s="59"/>
      <c r="CN1476" s="59"/>
      <c r="CO1476" s="59"/>
      <c r="CP1476" s="59"/>
      <c r="CQ1476" s="59"/>
      <c r="CR1476" s="59"/>
      <c r="CS1476" s="59"/>
      <c r="CT1476" s="59"/>
      <c r="CU1476" s="59"/>
      <c r="CV1476" s="59"/>
      <c r="CW1476" s="59"/>
      <c r="CX1476" s="59"/>
      <c r="CY1476" s="59"/>
      <c r="CZ1476" s="59"/>
      <c r="DA1476" s="59"/>
      <c r="DB1476" s="59"/>
      <c r="DC1476" s="59"/>
      <c r="DD1476" s="59"/>
      <c r="DE1476" s="59"/>
      <c r="DF1476" s="59"/>
      <c r="DG1476" s="59"/>
      <c r="DH1476" s="59"/>
      <c r="DI1476" s="59"/>
      <c r="DJ1476" s="59"/>
      <c r="DK1476" s="59"/>
      <c r="DL1476" s="59"/>
      <c r="DM1476" s="59"/>
      <c r="DN1476" s="59"/>
      <c r="DO1476" s="59"/>
      <c r="DP1476" s="59"/>
      <c r="DQ1476" s="59"/>
      <c r="DR1476" s="59"/>
      <c r="DS1476" s="59"/>
      <c r="DT1476" s="59"/>
      <c r="DU1476" s="59"/>
      <c r="DV1476" s="59"/>
      <c r="DW1476" s="59"/>
      <c r="DX1476" s="59"/>
      <c r="DY1476" s="59"/>
      <c r="DZ1476" s="59"/>
      <c r="EA1476" s="59"/>
      <c r="EB1476" s="59"/>
      <c r="EC1476" s="59"/>
      <c r="ED1476" s="59"/>
      <c r="EE1476" s="59"/>
      <c r="EF1476" s="59"/>
      <c r="EG1476" s="59"/>
      <c r="EH1476" s="59"/>
      <c r="EI1476" s="59"/>
      <c r="EJ1476" s="59"/>
      <c r="EK1476" s="59"/>
      <c r="EL1476" s="59"/>
      <c r="EM1476" s="59"/>
      <c r="EN1476" s="59"/>
      <c r="EO1476" s="59"/>
      <c r="EP1476" s="59"/>
      <c r="EQ1476" s="59"/>
      <c r="ER1476" s="59"/>
      <c r="ES1476" s="59"/>
      <c r="ET1476" s="59"/>
      <c r="EU1476" s="59"/>
      <c r="EV1476" s="59"/>
      <c r="EW1476" s="59"/>
      <c r="EX1476" s="59"/>
      <c r="EY1476" s="59"/>
      <c r="EZ1476" s="59"/>
      <c r="FA1476" s="59"/>
      <c r="FB1476" s="59"/>
      <c r="FC1476" s="59"/>
      <c r="FD1476" s="59"/>
      <c r="FE1476" s="59"/>
      <c r="FF1476" s="59"/>
      <c r="FG1476" s="59"/>
      <c r="FH1476" s="59"/>
      <c r="FI1476" s="59"/>
      <c r="FJ1476" s="59"/>
      <c r="FK1476" s="59"/>
      <c r="FL1476" s="59"/>
      <c r="FM1476" s="59"/>
      <c r="FN1476" s="59"/>
      <c r="FO1476" s="59"/>
      <c r="FP1476" s="59"/>
      <c r="FQ1476" s="59"/>
      <c r="FR1476" s="59"/>
      <c r="FS1476" s="59"/>
      <c r="FT1476" s="59"/>
      <c r="FU1476" s="59"/>
      <c r="FV1476" s="59"/>
      <c r="FW1476" s="59"/>
      <c r="FX1476" s="59"/>
      <c r="FY1476" s="59"/>
      <c r="FZ1476" s="59"/>
      <c r="GA1476" s="59"/>
      <c r="GB1476" s="59"/>
      <c r="GC1476" s="59"/>
    </row>
    <row r="1477">
      <c r="A1477" s="59"/>
      <c r="B1477" s="59"/>
      <c r="C1477" s="59"/>
      <c r="D1477" s="59"/>
      <c r="E1477" s="59"/>
      <c r="F1477" s="59"/>
      <c r="G1477" s="59"/>
      <c r="H1477" s="59"/>
      <c r="I1477" s="59"/>
      <c r="J1477" s="59"/>
      <c r="K1477" s="59"/>
      <c r="L1477" s="59"/>
      <c r="M1477" s="59"/>
      <c r="N1477" s="59"/>
      <c r="O1477" s="59"/>
      <c r="P1477" s="59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  <c r="AA1477" s="59"/>
      <c r="AB1477" s="59"/>
      <c r="AC1477" s="59"/>
      <c r="AD1477" s="59"/>
      <c r="AE1477" s="59"/>
      <c r="AF1477" s="59"/>
      <c r="AG1477" s="59"/>
      <c r="AH1477" s="59"/>
      <c r="AI1477" s="59"/>
      <c r="AJ1477" s="59"/>
      <c r="AK1477" s="59"/>
      <c r="AL1477" s="59"/>
      <c r="AM1477" s="59"/>
      <c r="AN1477" s="59"/>
      <c r="AO1477" s="59"/>
      <c r="AP1477" s="59"/>
      <c r="AQ1477" s="59"/>
      <c r="AR1477" s="59"/>
      <c r="AS1477" s="59"/>
      <c r="AT1477" s="59"/>
      <c r="AU1477" s="59"/>
      <c r="AV1477" s="59"/>
      <c r="AW1477" s="59"/>
      <c r="AX1477" s="59"/>
      <c r="AY1477" s="59"/>
      <c r="AZ1477" s="59"/>
      <c r="BA1477" s="59"/>
      <c r="BB1477" s="59"/>
      <c r="BC1477" s="59"/>
      <c r="BD1477" s="59"/>
      <c r="BE1477" s="59"/>
      <c r="BF1477" s="59"/>
      <c r="BG1477" s="59"/>
      <c r="BH1477" s="59"/>
      <c r="BI1477" s="59"/>
      <c r="BJ1477" s="59"/>
      <c r="BK1477" s="59"/>
      <c r="BL1477" s="59"/>
      <c r="BM1477" s="59"/>
      <c r="BN1477" s="59"/>
      <c r="BO1477" s="59"/>
      <c r="BP1477" s="59"/>
      <c r="BQ1477" s="59"/>
      <c r="BR1477" s="59"/>
      <c r="BS1477" s="59"/>
      <c r="BT1477" s="59"/>
      <c r="BU1477" s="59"/>
      <c r="BV1477" s="59"/>
      <c r="BW1477" s="59"/>
      <c r="BX1477" s="59"/>
      <c r="BY1477" s="59"/>
      <c r="BZ1477" s="59"/>
      <c r="CA1477" s="59"/>
      <c r="CB1477" s="59"/>
      <c r="CC1477" s="59"/>
      <c r="CD1477" s="59"/>
      <c r="CE1477" s="59"/>
      <c r="CF1477" s="59"/>
      <c r="CG1477" s="59"/>
      <c r="CH1477" s="59"/>
      <c r="CI1477" s="59"/>
      <c r="CJ1477" s="59"/>
      <c r="CK1477" s="59"/>
      <c r="CL1477" s="59"/>
      <c r="CM1477" s="59"/>
      <c r="CN1477" s="59"/>
      <c r="CO1477" s="59"/>
      <c r="CP1477" s="59"/>
      <c r="CQ1477" s="59"/>
      <c r="CR1477" s="59"/>
      <c r="CS1477" s="59"/>
      <c r="CT1477" s="59"/>
      <c r="CU1477" s="59"/>
      <c r="CV1477" s="59"/>
      <c r="CW1477" s="59"/>
      <c r="CX1477" s="59"/>
      <c r="CY1477" s="59"/>
      <c r="CZ1477" s="59"/>
      <c r="DA1477" s="59"/>
      <c r="DB1477" s="59"/>
      <c r="DC1477" s="59"/>
      <c r="DD1477" s="59"/>
      <c r="DE1477" s="59"/>
      <c r="DF1477" s="59"/>
      <c r="DG1477" s="59"/>
      <c r="DH1477" s="59"/>
      <c r="DI1477" s="59"/>
      <c r="DJ1477" s="59"/>
      <c r="DK1477" s="59"/>
      <c r="DL1477" s="59"/>
      <c r="DM1477" s="59"/>
      <c r="DN1477" s="59"/>
      <c r="DO1477" s="59"/>
      <c r="DP1477" s="59"/>
      <c r="DQ1477" s="59"/>
      <c r="DR1477" s="59"/>
      <c r="DS1477" s="59"/>
      <c r="DT1477" s="59"/>
      <c r="DU1477" s="59"/>
      <c r="DV1477" s="59"/>
      <c r="DW1477" s="59"/>
      <c r="DX1477" s="59"/>
      <c r="DY1477" s="59"/>
      <c r="DZ1477" s="59"/>
      <c r="EA1477" s="59"/>
      <c r="EB1477" s="59"/>
      <c r="EC1477" s="59"/>
      <c r="ED1477" s="59"/>
      <c r="EE1477" s="59"/>
      <c r="EF1477" s="59"/>
      <c r="EG1477" s="59"/>
      <c r="EH1477" s="59"/>
      <c r="EI1477" s="59"/>
      <c r="EJ1477" s="59"/>
      <c r="EK1477" s="59"/>
      <c r="EL1477" s="59"/>
      <c r="EM1477" s="59"/>
      <c r="EN1477" s="59"/>
      <c r="EO1477" s="59"/>
      <c r="EP1477" s="59"/>
      <c r="EQ1477" s="59"/>
      <c r="ER1477" s="59"/>
      <c r="ES1477" s="59"/>
      <c r="ET1477" s="59"/>
      <c r="EU1477" s="59"/>
      <c r="EV1477" s="59"/>
      <c r="EW1477" s="59"/>
      <c r="EX1477" s="59"/>
      <c r="EY1477" s="59"/>
      <c r="EZ1477" s="59"/>
      <c r="FA1477" s="59"/>
      <c r="FB1477" s="59"/>
      <c r="FC1477" s="59"/>
      <c r="FD1477" s="59"/>
      <c r="FE1477" s="59"/>
      <c r="FF1477" s="59"/>
      <c r="FG1477" s="59"/>
      <c r="FH1477" s="59"/>
      <c r="FI1477" s="59"/>
      <c r="FJ1477" s="59"/>
      <c r="FK1477" s="59"/>
      <c r="FL1477" s="59"/>
      <c r="FM1477" s="59"/>
      <c r="FN1477" s="59"/>
      <c r="FO1477" s="59"/>
      <c r="FP1477" s="59"/>
      <c r="FQ1477" s="59"/>
      <c r="FR1477" s="59"/>
      <c r="FS1477" s="59"/>
      <c r="FT1477" s="59"/>
      <c r="FU1477" s="59"/>
      <c r="FV1477" s="59"/>
      <c r="FW1477" s="59"/>
      <c r="FX1477" s="59"/>
      <c r="FY1477" s="59"/>
      <c r="FZ1477" s="59"/>
      <c r="GA1477" s="59"/>
      <c r="GB1477" s="59"/>
      <c r="GC1477" s="59"/>
    </row>
    <row r="1478">
      <c r="A1478" s="59"/>
      <c r="B1478" s="59"/>
      <c r="C1478" s="59"/>
      <c r="D1478" s="59"/>
      <c r="E1478" s="59"/>
      <c r="F1478" s="59"/>
      <c r="G1478" s="59"/>
      <c r="H1478" s="59"/>
      <c r="I1478" s="59"/>
      <c r="J1478" s="59"/>
      <c r="K1478" s="59"/>
      <c r="L1478" s="59"/>
      <c r="M1478" s="59"/>
      <c r="N1478" s="59"/>
      <c r="O1478" s="59"/>
      <c r="P1478" s="59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  <c r="AA1478" s="59"/>
      <c r="AB1478" s="59"/>
      <c r="AC1478" s="59"/>
      <c r="AD1478" s="59"/>
      <c r="AE1478" s="59"/>
      <c r="AF1478" s="59"/>
      <c r="AG1478" s="59"/>
      <c r="AH1478" s="59"/>
      <c r="AI1478" s="59"/>
      <c r="AJ1478" s="59"/>
      <c r="AK1478" s="59"/>
      <c r="AL1478" s="59"/>
      <c r="AM1478" s="59"/>
      <c r="AN1478" s="59"/>
      <c r="AO1478" s="59"/>
      <c r="AP1478" s="59"/>
      <c r="AQ1478" s="59"/>
      <c r="AR1478" s="59"/>
      <c r="AS1478" s="59"/>
      <c r="AT1478" s="59"/>
      <c r="AU1478" s="59"/>
      <c r="AV1478" s="59"/>
      <c r="AW1478" s="59"/>
      <c r="AX1478" s="59"/>
      <c r="AY1478" s="59"/>
      <c r="AZ1478" s="59"/>
      <c r="BA1478" s="59"/>
      <c r="BB1478" s="59"/>
      <c r="BC1478" s="59"/>
      <c r="BD1478" s="59"/>
      <c r="BE1478" s="59"/>
      <c r="BF1478" s="59"/>
      <c r="BG1478" s="59"/>
      <c r="BH1478" s="59"/>
      <c r="BI1478" s="59"/>
      <c r="BJ1478" s="59"/>
      <c r="BK1478" s="59"/>
      <c r="BL1478" s="59"/>
      <c r="BM1478" s="59"/>
      <c r="BN1478" s="59"/>
      <c r="BO1478" s="59"/>
      <c r="BP1478" s="59"/>
      <c r="BQ1478" s="59"/>
      <c r="BR1478" s="59"/>
      <c r="BS1478" s="59"/>
      <c r="BT1478" s="59"/>
      <c r="BU1478" s="59"/>
      <c r="BV1478" s="59"/>
      <c r="BW1478" s="59"/>
      <c r="BX1478" s="59"/>
      <c r="BY1478" s="59"/>
      <c r="BZ1478" s="59"/>
      <c r="CA1478" s="59"/>
      <c r="CB1478" s="59"/>
      <c r="CC1478" s="59"/>
      <c r="CD1478" s="59"/>
      <c r="CE1478" s="59"/>
      <c r="CF1478" s="59"/>
      <c r="CG1478" s="59"/>
      <c r="CH1478" s="59"/>
      <c r="CI1478" s="59"/>
      <c r="CJ1478" s="59"/>
      <c r="CK1478" s="59"/>
      <c r="CL1478" s="59"/>
      <c r="CM1478" s="59"/>
      <c r="CN1478" s="59"/>
      <c r="CO1478" s="59"/>
      <c r="CP1478" s="59"/>
      <c r="CQ1478" s="59"/>
      <c r="CR1478" s="59"/>
      <c r="CS1478" s="59"/>
      <c r="CT1478" s="59"/>
      <c r="CU1478" s="59"/>
      <c r="CV1478" s="59"/>
      <c r="CW1478" s="59"/>
      <c r="CX1478" s="59"/>
      <c r="CY1478" s="59"/>
      <c r="CZ1478" s="59"/>
      <c r="DA1478" s="59"/>
      <c r="DB1478" s="59"/>
      <c r="DC1478" s="59"/>
      <c r="DD1478" s="59"/>
      <c r="DE1478" s="59"/>
      <c r="DF1478" s="59"/>
      <c r="DG1478" s="59"/>
      <c r="DH1478" s="59"/>
      <c r="DI1478" s="59"/>
      <c r="DJ1478" s="59"/>
      <c r="DK1478" s="59"/>
      <c r="DL1478" s="59"/>
      <c r="DM1478" s="59"/>
      <c r="DN1478" s="59"/>
      <c r="DO1478" s="59"/>
      <c r="DP1478" s="59"/>
      <c r="DQ1478" s="59"/>
      <c r="DR1478" s="59"/>
      <c r="DS1478" s="59"/>
      <c r="DT1478" s="59"/>
      <c r="DU1478" s="59"/>
      <c r="DV1478" s="59"/>
      <c r="DW1478" s="59"/>
      <c r="DX1478" s="59"/>
      <c r="DY1478" s="59"/>
      <c r="DZ1478" s="59"/>
      <c r="EA1478" s="59"/>
      <c r="EB1478" s="59"/>
      <c r="EC1478" s="59"/>
      <c r="ED1478" s="59"/>
      <c r="EE1478" s="59"/>
      <c r="EF1478" s="59"/>
      <c r="EG1478" s="59"/>
      <c r="EH1478" s="59"/>
      <c r="EI1478" s="59"/>
      <c r="EJ1478" s="59"/>
      <c r="EK1478" s="59"/>
      <c r="EL1478" s="59"/>
      <c r="EM1478" s="59"/>
      <c r="EN1478" s="59"/>
      <c r="EO1478" s="59"/>
      <c r="EP1478" s="59"/>
      <c r="EQ1478" s="59"/>
      <c r="ER1478" s="59"/>
      <c r="ES1478" s="59"/>
      <c r="ET1478" s="59"/>
      <c r="EU1478" s="59"/>
      <c r="EV1478" s="59"/>
      <c r="EW1478" s="59"/>
      <c r="EX1478" s="59"/>
      <c r="EY1478" s="59"/>
      <c r="EZ1478" s="59"/>
      <c r="FA1478" s="59"/>
      <c r="FB1478" s="59"/>
      <c r="FC1478" s="59"/>
      <c r="FD1478" s="59"/>
      <c r="FE1478" s="59"/>
      <c r="FF1478" s="59"/>
      <c r="FG1478" s="59"/>
      <c r="FH1478" s="59"/>
      <c r="FI1478" s="59"/>
      <c r="FJ1478" s="59"/>
      <c r="FK1478" s="59"/>
      <c r="FL1478" s="59"/>
      <c r="FM1478" s="59"/>
      <c r="FN1478" s="59"/>
      <c r="FO1478" s="59"/>
      <c r="FP1478" s="59"/>
      <c r="FQ1478" s="59"/>
      <c r="FR1478" s="59"/>
      <c r="FS1478" s="59"/>
      <c r="FT1478" s="59"/>
      <c r="FU1478" s="59"/>
      <c r="FV1478" s="59"/>
      <c r="FW1478" s="59"/>
      <c r="FX1478" s="59"/>
      <c r="FY1478" s="59"/>
      <c r="FZ1478" s="59"/>
      <c r="GA1478" s="59"/>
      <c r="GB1478" s="59"/>
      <c r="GC1478" s="59"/>
    </row>
    <row r="1479">
      <c r="A1479" s="59"/>
      <c r="B1479" s="59"/>
      <c r="C1479" s="59"/>
      <c r="D1479" s="59"/>
      <c r="E1479" s="59"/>
      <c r="F1479" s="59"/>
      <c r="G1479" s="59"/>
      <c r="H1479" s="59"/>
      <c r="I1479" s="59"/>
      <c r="J1479" s="59"/>
      <c r="K1479" s="59"/>
      <c r="L1479" s="59"/>
      <c r="M1479" s="59"/>
      <c r="N1479" s="59"/>
      <c r="O1479" s="59"/>
      <c r="P1479" s="59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  <c r="AA1479" s="59"/>
      <c r="AB1479" s="59"/>
      <c r="AC1479" s="59"/>
      <c r="AD1479" s="59"/>
      <c r="AE1479" s="59"/>
      <c r="AF1479" s="59"/>
      <c r="AG1479" s="59"/>
      <c r="AH1479" s="59"/>
      <c r="AI1479" s="59"/>
      <c r="AJ1479" s="59"/>
      <c r="AK1479" s="59"/>
      <c r="AL1479" s="59"/>
      <c r="AM1479" s="59"/>
      <c r="AN1479" s="59"/>
      <c r="AO1479" s="59"/>
      <c r="AP1479" s="59"/>
      <c r="AQ1479" s="59"/>
      <c r="AR1479" s="59"/>
      <c r="AS1479" s="59"/>
      <c r="AT1479" s="59"/>
      <c r="AU1479" s="59"/>
      <c r="AV1479" s="59"/>
      <c r="AW1479" s="59"/>
      <c r="AX1479" s="59"/>
      <c r="AY1479" s="59"/>
      <c r="AZ1479" s="59"/>
      <c r="BA1479" s="59"/>
      <c r="BB1479" s="59"/>
      <c r="BC1479" s="59"/>
      <c r="BD1479" s="59"/>
      <c r="BE1479" s="59"/>
      <c r="BF1479" s="59"/>
      <c r="BG1479" s="59"/>
      <c r="BH1479" s="59"/>
      <c r="BI1479" s="59"/>
      <c r="BJ1479" s="59"/>
      <c r="BK1479" s="59"/>
      <c r="BL1479" s="59"/>
      <c r="BM1479" s="59"/>
      <c r="BN1479" s="59"/>
      <c r="BO1479" s="59"/>
      <c r="BP1479" s="59"/>
      <c r="BQ1479" s="59"/>
      <c r="BR1479" s="59"/>
      <c r="BS1479" s="59"/>
      <c r="BT1479" s="59"/>
      <c r="BU1479" s="59"/>
      <c r="BV1479" s="59"/>
      <c r="BW1479" s="59"/>
      <c r="BX1479" s="59"/>
      <c r="BY1479" s="59"/>
      <c r="BZ1479" s="59"/>
      <c r="CA1479" s="59"/>
      <c r="CB1479" s="59"/>
      <c r="CC1479" s="59"/>
      <c r="CD1479" s="59"/>
      <c r="CE1479" s="59"/>
      <c r="CF1479" s="59"/>
      <c r="CG1479" s="59"/>
      <c r="CH1479" s="59"/>
      <c r="CI1479" s="59"/>
      <c r="CJ1479" s="59"/>
      <c r="CK1479" s="59"/>
      <c r="CL1479" s="59"/>
      <c r="CM1479" s="59"/>
      <c r="CN1479" s="59"/>
      <c r="CO1479" s="59"/>
      <c r="CP1479" s="59"/>
      <c r="CQ1479" s="59"/>
      <c r="CR1479" s="59"/>
      <c r="CS1479" s="59"/>
      <c r="CT1479" s="59"/>
      <c r="CU1479" s="59"/>
      <c r="CV1479" s="59"/>
      <c r="CW1479" s="59"/>
      <c r="CX1479" s="59"/>
      <c r="CY1479" s="59"/>
      <c r="CZ1479" s="59"/>
      <c r="DA1479" s="59"/>
      <c r="DB1479" s="59"/>
      <c r="DC1479" s="59"/>
      <c r="DD1479" s="59"/>
      <c r="DE1479" s="59"/>
      <c r="DF1479" s="59"/>
      <c r="DG1479" s="59"/>
      <c r="DH1479" s="59"/>
      <c r="DI1479" s="59"/>
      <c r="DJ1479" s="59"/>
      <c r="DK1479" s="59"/>
      <c r="DL1479" s="59"/>
      <c r="DM1479" s="59"/>
      <c r="DN1479" s="59"/>
      <c r="DO1479" s="59"/>
      <c r="DP1479" s="59"/>
      <c r="DQ1479" s="59"/>
      <c r="DR1479" s="59"/>
      <c r="DS1479" s="59"/>
      <c r="DT1479" s="59"/>
      <c r="DU1479" s="59"/>
      <c r="DV1479" s="59"/>
      <c r="DW1479" s="59"/>
      <c r="DX1479" s="59"/>
      <c r="DY1479" s="59"/>
      <c r="DZ1479" s="59"/>
      <c r="EA1479" s="59"/>
      <c r="EB1479" s="59"/>
      <c r="EC1479" s="59"/>
      <c r="ED1479" s="59"/>
      <c r="EE1479" s="59"/>
      <c r="EF1479" s="59"/>
      <c r="EG1479" s="59"/>
      <c r="EH1479" s="59"/>
      <c r="EI1479" s="59"/>
      <c r="EJ1479" s="59"/>
      <c r="EK1479" s="59"/>
      <c r="EL1479" s="59"/>
      <c r="EM1479" s="59"/>
      <c r="EN1479" s="59"/>
      <c r="EO1479" s="59"/>
      <c r="EP1479" s="59"/>
      <c r="EQ1479" s="59"/>
      <c r="ER1479" s="59"/>
      <c r="ES1479" s="59"/>
      <c r="ET1479" s="59"/>
      <c r="EU1479" s="59"/>
      <c r="EV1479" s="59"/>
      <c r="EW1479" s="59"/>
      <c r="EX1479" s="59"/>
      <c r="EY1479" s="59"/>
      <c r="EZ1479" s="59"/>
      <c r="FA1479" s="59"/>
      <c r="FB1479" s="59"/>
      <c r="FC1479" s="59"/>
      <c r="FD1479" s="59"/>
      <c r="FE1479" s="59"/>
      <c r="FF1479" s="59"/>
      <c r="FG1479" s="59"/>
      <c r="FH1479" s="59"/>
      <c r="FI1479" s="59"/>
      <c r="FJ1479" s="59"/>
      <c r="FK1479" s="59"/>
      <c r="FL1479" s="59"/>
      <c r="FM1479" s="59"/>
      <c r="FN1479" s="59"/>
      <c r="FO1479" s="59"/>
      <c r="FP1479" s="59"/>
      <c r="FQ1479" s="59"/>
      <c r="FR1479" s="59"/>
      <c r="FS1479" s="59"/>
      <c r="FT1479" s="59"/>
      <c r="FU1479" s="59"/>
      <c r="FV1479" s="59"/>
      <c r="FW1479" s="59"/>
      <c r="FX1479" s="59"/>
      <c r="FY1479" s="59"/>
      <c r="FZ1479" s="59"/>
      <c r="GA1479" s="59"/>
      <c r="GB1479" s="59"/>
      <c r="GC1479" s="59"/>
    </row>
    <row r="1480">
      <c r="A1480" s="59"/>
      <c r="B1480" s="59"/>
      <c r="C1480" s="59"/>
      <c r="D1480" s="59"/>
      <c r="E1480" s="59"/>
      <c r="F1480" s="59"/>
      <c r="G1480" s="59"/>
      <c r="H1480" s="59"/>
      <c r="I1480" s="59"/>
      <c r="J1480" s="59"/>
      <c r="K1480" s="59"/>
      <c r="L1480" s="59"/>
      <c r="M1480" s="59"/>
      <c r="N1480" s="59"/>
      <c r="O1480" s="59"/>
      <c r="P1480" s="59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  <c r="AA1480" s="59"/>
      <c r="AB1480" s="59"/>
      <c r="AC1480" s="59"/>
      <c r="AD1480" s="59"/>
      <c r="AE1480" s="59"/>
      <c r="AF1480" s="59"/>
      <c r="AG1480" s="59"/>
      <c r="AH1480" s="59"/>
      <c r="AI1480" s="59"/>
      <c r="AJ1480" s="59"/>
      <c r="AK1480" s="59"/>
      <c r="AL1480" s="59"/>
      <c r="AM1480" s="59"/>
      <c r="AN1480" s="59"/>
      <c r="AO1480" s="59"/>
      <c r="AP1480" s="59"/>
      <c r="AQ1480" s="59"/>
      <c r="AR1480" s="59"/>
      <c r="AS1480" s="59"/>
      <c r="AT1480" s="59"/>
      <c r="AU1480" s="59"/>
      <c r="AV1480" s="59"/>
      <c r="AW1480" s="59"/>
      <c r="AX1480" s="59"/>
      <c r="AY1480" s="59"/>
      <c r="AZ1480" s="59"/>
      <c r="BA1480" s="59"/>
      <c r="BB1480" s="59"/>
      <c r="BC1480" s="59"/>
      <c r="BD1480" s="59"/>
      <c r="BE1480" s="59"/>
      <c r="BF1480" s="59"/>
      <c r="BG1480" s="59"/>
      <c r="BH1480" s="59"/>
      <c r="BI1480" s="59"/>
      <c r="BJ1480" s="59"/>
      <c r="BK1480" s="59"/>
      <c r="BL1480" s="59"/>
      <c r="BM1480" s="59"/>
      <c r="BN1480" s="59"/>
      <c r="BO1480" s="59"/>
      <c r="BP1480" s="59"/>
      <c r="BQ1480" s="59"/>
      <c r="BR1480" s="59"/>
      <c r="BS1480" s="59"/>
      <c r="BT1480" s="59"/>
      <c r="BU1480" s="59"/>
      <c r="BV1480" s="59"/>
      <c r="BW1480" s="59"/>
      <c r="BX1480" s="59"/>
      <c r="BY1480" s="59"/>
      <c r="BZ1480" s="59"/>
      <c r="CA1480" s="59"/>
      <c r="CB1480" s="59"/>
      <c r="CC1480" s="59"/>
      <c r="CD1480" s="59"/>
      <c r="CE1480" s="59"/>
      <c r="CF1480" s="59"/>
      <c r="CG1480" s="59"/>
      <c r="CH1480" s="59"/>
      <c r="CI1480" s="59"/>
      <c r="CJ1480" s="59"/>
      <c r="CK1480" s="59"/>
      <c r="CL1480" s="59"/>
      <c r="CM1480" s="59"/>
      <c r="CN1480" s="59"/>
      <c r="CO1480" s="59"/>
      <c r="CP1480" s="59"/>
      <c r="CQ1480" s="59"/>
      <c r="CR1480" s="59"/>
      <c r="CS1480" s="59"/>
      <c r="CT1480" s="59"/>
      <c r="CU1480" s="59"/>
      <c r="CV1480" s="59"/>
      <c r="CW1480" s="59"/>
      <c r="CX1480" s="59"/>
      <c r="CY1480" s="59"/>
      <c r="CZ1480" s="59"/>
      <c r="DA1480" s="59"/>
      <c r="DB1480" s="59"/>
      <c r="DC1480" s="59"/>
      <c r="DD1480" s="59"/>
      <c r="DE1480" s="59"/>
      <c r="DF1480" s="59"/>
      <c r="DG1480" s="59"/>
      <c r="DH1480" s="59"/>
      <c r="DI1480" s="59"/>
      <c r="DJ1480" s="59"/>
      <c r="DK1480" s="59"/>
      <c r="DL1480" s="59"/>
      <c r="DM1480" s="59"/>
      <c r="DN1480" s="59"/>
      <c r="DO1480" s="59"/>
      <c r="DP1480" s="59"/>
      <c r="DQ1480" s="59"/>
      <c r="DR1480" s="59"/>
      <c r="DS1480" s="59"/>
      <c r="DT1480" s="59"/>
      <c r="DU1480" s="59"/>
      <c r="DV1480" s="59"/>
      <c r="DW1480" s="59"/>
      <c r="DX1480" s="59"/>
      <c r="DY1480" s="59"/>
      <c r="DZ1480" s="59"/>
      <c r="EA1480" s="59"/>
      <c r="EB1480" s="59"/>
      <c r="EC1480" s="59"/>
      <c r="ED1480" s="59"/>
      <c r="EE1480" s="59"/>
      <c r="EF1480" s="59"/>
      <c r="EG1480" s="59"/>
      <c r="EH1480" s="59"/>
      <c r="EI1480" s="59"/>
      <c r="EJ1480" s="59"/>
      <c r="EK1480" s="59"/>
      <c r="EL1480" s="59"/>
      <c r="EM1480" s="59"/>
      <c r="EN1480" s="59"/>
      <c r="EO1480" s="59"/>
      <c r="EP1480" s="59"/>
      <c r="EQ1480" s="59"/>
      <c r="ER1480" s="59"/>
      <c r="ES1480" s="59"/>
      <c r="ET1480" s="59"/>
      <c r="EU1480" s="59"/>
      <c r="EV1480" s="59"/>
      <c r="EW1480" s="59"/>
      <c r="EX1480" s="59"/>
      <c r="EY1480" s="59"/>
      <c r="EZ1480" s="59"/>
      <c r="FA1480" s="59"/>
      <c r="FB1480" s="59"/>
      <c r="FC1480" s="59"/>
      <c r="FD1480" s="59"/>
      <c r="FE1480" s="59"/>
      <c r="FF1480" s="59"/>
      <c r="FG1480" s="59"/>
      <c r="FH1480" s="59"/>
      <c r="FI1480" s="59"/>
      <c r="FJ1480" s="59"/>
      <c r="FK1480" s="59"/>
      <c r="FL1480" s="59"/>
      <c r="FM1480" s="59"/>
      <c r="FN1480" s="59"/>
      <c r="FO1480" s="59"/>
      <c r="FP1480" s="59"/>
      <c r="FQ1480" s="59"/>
      <c r="FR1480" s="59"/>
      <c r="FS1480" s="59"/>
      <c r="FT1480" s="59"/>
      <c r="FU1480" s="59"/>
      <c r="FV1480" s="59"/>
      <c r="FW1480" s="59"/>
      <c r="FX1480" s="59"/>
      <c r="FY1480" s="59"/>
      <c r="FZ1480" s="59"/>
      <c r="GA1480" s="59"/>
      <c r="GB1480" s="59"/>
      <c r="GC1480" s="59"/>
    </row>
    <row r="1481">
      <c r="A1481" s="59"/>
      <c r="B1481" s="59"/>
      <c r="C1481" s="59"/>
      <c r="D1481" s="59"/>
      <c r="E1481" s="59"/>
      <c r="F1481" s="59"/>
      <c r="G1481" s="59"/>
      <c r="H1481" s="59"/>
      <c r="I1481" s="59"/>
      <c r="J1481" s="59"/>
      <c r="K1481" s="59"/>
      <c r="L1481" s="59"/>
      <c r="M1481" s="59"/>
      <c r="N1481" s="59"/>
      <c r="O1481" s="59"/>
      <c r="P1481" s="59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  <c r="AA1481" s="59"/>
      <c r="AB1481" s="59"/>
      <c r="AC1481" s="59"/>
      <c r="AD1481" s="59"/>
      <c r="AE1481" s="59"/>
      <c r="AF1481" s="59"/>
      <c r="AG1481" s="59"/>
      <c r="AH1481" s="59"/>
      <c r="AI1481" s="59"/>
      <c r="AJ1481" s="59"/>
      <c r="AK1481" s="59"/>
      <c r="AL1481" s="59"/>
      <c r="AM1481" s="59"/>
      <c r="AN1481" s="59"/>
      <c r="AO1481" s="59"/>
      <c r="AP1481" s="59"/>
      <c r="AQ1481" s="59"/>
      <c r="AR1481" s="59"/>
      <c r="AS1481" s="59"/>
      <c r="AT1481" s="59"/>
      <c r="AU1481" s="59"/>
      <c r="AV1481" s="59"/>
      <c r="AW1481" s="59"/>
      <c r="AX1481" s="59"/>
      <c r="AY1481" s="59"/>
      <c r="AZ1481" s="59"/>
      <c r="BA1481" s="59"/>
      <c r="BB1481" s="59"/>
      <c r="BC1481" s="59"/>
      <c r="BD1481" s="59"/>
      <c r="BE1481" s="59"/>
      <c r="BF1481" s="59"/>
      <c r="BG1481" s="59"/>
      <c r="BH1481" s="59"/>
      <c r="BI1481" s="59"/>
      <c r="BJ1481" s="59"/>
      <c r="BK1481" s="59"/>
      <c r="BL1481" s="59"/>
      <c r="BM1481" s="59"/>
      <c r="BN1481" s="59"/>
      <c r="BO1481" s="59"/>
      <c r="BP1481" s="59"/>
      <c r="BQ1481" s="59"/>
      <c r="BR1481" s="59"/>
      <c r="BS1481" s="59"/>
      <c r="BT1481" s="59"/>
      <c r="BU1481" s="59"/>
      <c r="BV1481" s="59"/>
      <c r="BW1481" s="59"/>
      <c r="BX1481" s="59"/>
      <c r="BY1481" s="59"/>
      <c r="BZ1481" s="59"/>
      <c r="CA1481" s="59"/>
      <c r="CB1481" s="59"/>
      <c r="CC1481" s="59"/>
      <c r="CD1481" s="59"/>
      <c r="CE1481" s="59"/>
      <c r="CF1481" s="59"/>
      <c r="CG1481" s="59"/>
      <c r="CH1481" s="59"/>
      <c r="CI1481" s="59"/>
      <c r="CJ1481" s="59"/>
      <c r="CK1481" s="59"/>
      <c r="CL1481" s="59"/>
      <c r="CM1481" s="59"/>
      <c r="CN1481" s="59"/>
      <c r="CO1481" s="59"/>
      <c r="CP1481" s="59"/>
      <c r="CQ1481" s="59"/>
      <c r="CR1481" s="59"/>
      <c r="CS1481" s="59"/>
      <c r="CT1481" s="59"/>
      <c r="CU1481" s="59"/>
      <c r="CV1481" s="59"/>
      <c r="CW1481" s="59"/>
      <c r="CX1481" s="59"/>
      <c r="CY1481" s="59"/>
      <c r="CZ1481" s="59"/>
      <c r="DA1481" s="59"/>
      <c r="DB1481" s="59"/>
      <c r="DC1481" s="59"/>
      <c r="DD1481" s="59"/>
      <c r="DE1481" s="59"/>
      <c r="DF1481" s="59"/>
      <c r="DG1481" s="59"/>
      <c r="DH1481" s="59"/>
      <c r="DI1481" s="59"/>
      <c r="DJ1481" s="59"/>
      <c r="DK1481" s="59"/>
      <c r="DL1481" s="59"/>
      <c r="DM1481" s="59"/>
      <c r="DN1481" s="59"/>
      <c r="DO1481" s="59"/>
      <c r="DP1481" s="59"/>
      <c r="DQ1481" s="59"/>
      <c r="DR1481" s="59"/>
      <c r="DS1481" s="59"/>
      <c r="DT1481" s="59"/>
      <c r="DU1481" s="59"/>
      <c r="DV1481" s="59"/>
      <c r="DW1481" s="59"/>
      <c r="DX1481" s="59"/>
      <c r="DY1481" s="59"/>
      <c r="DZ1481" s="59"/>
      <c r="EA1481" s="59"/>
      <c r="EB1481" s="59"/>
      <c r="EC1481" s="59"/>
      <c r="ED1481" s="59"/>
      <c r="EE1481" s="59"/>
      <c r="EF1481" s="59"/>
      <c r="EG1481" s="59"/>
      <c r="EH1481" s="59"/>
      <c r="EI1481" s="59"/>
      <c r="EJ1481" s="59"/>
      <c r="EK1481" s="59"/>
      <c r="EL1481" s="59"/>
      <c r="EM1481" s="59"/>
      <c r="EN1481" s="59"/>
      <c r="EO1481" s="59"/>
      <c r="EP1481" s="59"/>
      <c r="EQ1481" s="59"/>
      <c r="ER1481" s="59"/>
      <c r="ES1481" s="59"/>
      <c r="ET1481" s="59"/>
      <c r="EU1481" s="59"/>
      <c r="EV1481" s="59"/>
      <c r="EW1481" s="59"/>
      <c r="EX1481" s="59"/>
      <c r="EY1481" s="59"/>
      <c r="EZ1481" s="59"/>
      <c r="FA1481" s="59"/>
      <c r="FB1481" s="59"/>
      <c r="FC1481" s="59"/>
      <c r="FD1481" s="59"/>
      <c r="FE1481" s="59"/>
      <c r="FF1481" s="59"/>
      <c r="FG1481" s="59"/>
      <c r="FH1481" s="59"/>
      <c r="FI1481" s="59"/>
      <c r="FJ1481" s="59"/>
      <c r="FK1481" s="59"/>
      <c r="FL1481" s="59"/>
      <c r="FM1481" s="59"/>
      <c r="FN1481" s="59"/>
      <c r="FO1481" s="59"/>
      <c r="FP1481" s="59"/>
      <c r="FQ1481" s="59"/>
      <c r="FR1481" s="59"/>
      <c r="FS1481" s="59"/>
      <c r="FT1481" s="59"/>
      <c r="FU1481" s="59"/>
      <c r="FV1481" s="59"/>
      <c r="FW1481" s="59"/>
      <c r="FX1481" s="59"/>
      <c r="FY1481" s="59"/>
      <c r="FZ1481" s="59"/>
      <c r="GA1481" s="59"/>
      <c r="GB1481" s="59"/>
      <c r="GC1481" s="59"/>
    </row>
    <row r="1482">
      <c r="A1482" s="59"/>
      <c r="B1482" s="59"/>
      <c r="C1482" s="59"/>
      <c r="D1482" s="59"/>
      <c r="E1482" s="59"/>
      <c r="F1482" s="59"/>
      <c r="G1482" s="59"/>
      <c r="H1482" s="59"/>
      <c r="I1482" s="59"/>
      <c r="J1482" s="59"/>
      <c r="K1482" s="59"/>
      <c r="L1482" s="59"/>
      <c r="M1482" s="59"/>
      <c r="N1482" s="59"/>
      <c r="O1482" s="59"/>
      <c r="P1482" s="59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  <c r="AA1482" s="59"/>
      <c r="AB1482" s="59"/>
      <c r="AC1482" s="59"/>
      <c r="AD1482" s="59"/>
      <c r="AE1482" s="59"/>
      <c r="AF1482" s="59"/>
      <c r="AG1482" s="59"/>
      <c r="AH1482" s="59"/>
      <c r="AI1482" s="59"/>
      <c r="AJ1482" s="59"/>
      <c r="AK1482" s="59"/>
      <c r="AL1482" s="59"/>
      <c r="AM1482" s="59"/>
      <c r="AN1482" s="59"/>
      <c r="AO1482" s="59"/>
      <c r="AP1482" s="59"/>
      <c r="AQ1482" s="59"/>
      <c r="AR1482" s="59"/>
      <c r="AS1482" s="59"/>
      <c r="AT1482" s="59"/>
      <c r="AU1482" s="59"/>
      <c r="AV1482" s="59"/>
      <c r="AW1482" s="59"/>
      <c r="AX1482" s="59"/>
      <c r="AY1482" s="59"/>
      <c r="AZ1482" s="59"/>
      <c r="BA1482" s="59"/>
      <c r="BB1482" s="59"/>
      <c r="BC1482" s="59"/>
      <c r="BD1482" s="59"/>
      <c r="BE1482" s="59"/>
      <c r="BF1482" s="59"/>
      <c r="BG1482" s="59"/>
      <c r="BH1482" s="59"/>
      <c r="BI1482" s="59"/>
      <c r="BJ1482" s="59"/>
      <c r="BK1482" s="59"/>
      <c r="BL1482" s="59"/>
      <c r="BM1482" s="59"/>
      <c r="BN1482" s="59"/>
      <c r="BO1482" s="59"/>
      <c r="BP1482" s="59"/>
      <c r="BQ1482" s="59"/>
      <c r="BR1482" s="59"/>
      <c r="BS1482" s="59"/>
      <c r="BT1482" s="59"/>
      <c r="BU1482" s="59"/>
      <c r="BV1482" s="59"/>
      <c r="BW1482" s="59"/>
      <c r="BX1482" s="59"/>
      <c r="BY1482" s="59"/>
      <c r="BZ1482" s="59"/>
      <c r="CA1482" s="59"/>
      <c r="CB1482" s="59"/>
      <c r="CC1482" s="59"/>
      <c r="CD1482" s="59"/>
      <c r="CE1482" s="59"/>
      <c r="CF1482" s="59"/>
      <c r="CG1482" s="59"/>
      <c r="CH1482" s="59"/>
      <c r="CI1482" s="59"/>
      <c r="CJ1482" s="59"/>
      <c r="CK1482" s="59"/>
      <c r="CL1482" s="59"/>
      <c r="CM1482" s="59"/>
      <c r="CN1482" s="59"/>
      <c r="CO1482" s="59"/>
      <c r="CP1482" s="59"/>
      <c r="CQ1482" s="59"/>
      <c r="CR1482" s="59"/>
      <c r="CS1482" s="59"/>
      <c r="CT1482" s="59"/>
      <c r="CU1482" s="59"/>
      <c r="CV1482" s="59"/>
      <c r="CW1482" s="59"/>
      <c r="CX1482" s="59"/>
      <c r="CY1482" s="59"/>
      <c r="CZ1482" s="59"/>
      <c r="DA1482" s="59"/>
      <c r="DB1482" s="59"/>
      <c r="DC1482" s="59"/>
      <c r="DD1482" s="59"/>
      <c r="DE1482" s="59"/>
      <c r="DF1482" s="59"/>
      <c r="DG1482" s="59"/>
      <c r="DH1482" s="59"/>
      <c r="DI1482" s="59"/>
      <c r="DJ1482" s="59"/>
      <c r="DK1482" s="59"/>
      <c r="DL1482" s="59"/>
      <c r="DM1482" s="59"/>
      <c r="DN1482" s="59"/>
      <c r="DO1482" s="59"/>
      <c r="DP1482" s="59"/>
      <c r="DQ1482" s="59"/>
      <c r="DR1482" s="59"/>
      <c r="DS1482" s="59"/>
      <c r="DT1482" s="59"/>
      <c r="DU1482" s="59"/>
      <c r="DV1482" s="59"/>
      <c r="DW1482" s="59"/>
      <c r="DX1482" s="59"/>
      <c r="DY1482" s="59"/>
      <c r="DZ1482" s="59"/>
      <c r="EA1482" s="59"/>
      <c r="EB1482" s="59"/>
      <c r="EC1482" s="59"/>
      <c r="ED1482" s="59"/>
      <c r="EE1482" s="59"/>
      <c r="EF1482" s="59"/>
      <c r="EG1482" s="59"/>
      <c r="EH1482" s="59"/>
      <c r="EI1482" s="59"/>
      <c r="EJ1482" s="59"/>
      <c r="EK1482" s="59"/>
      <c r="EL1482" s="59"/>
      <c r="EM1482" s="59"/>
      <c r="EN1482" s="59"/>
      <c r="EO1482" s="59"/>
      <c r="EP1482" s="59"/>
      <c r="EQ1482" s="59"/>
      <c r="ER1482" s="59"/>
      <c r="ES1482" s="59"/>
      <c r="ET1482" s="59"/>
      <c r="EU1482" s="59"/>
      <c r="EV1482" s="59"/>
      <c r="EW1482" s="59"/>
      <c r="EX1482" s="59"/>
      <c r="EY1482" s="59"/>
      <c r="EZ1482" s="59"/>
      <c r="FA1482" s="59"/>
      <c r="FB1482" s="59"/>
      <c r="FC1482" s="59"/>
      <c r="FD1482" s="59"/>
      <c r="FE1482" s="59"/>
      <c r="FF1482" s="59"/>
      <c r="FG1482" s="59"/>
      <c r="FH1482" s="59"/>
      <c r="FI1482" s="59"/>
      <c r="FJ1482" s="59"/>
      <c r="FK1482" s="59"/>
      <c r="FL1482" s="59"/>
      <c r="FM1482" s="59"/>
      <c r="FN1482" s="59"/>
      <c r="FO1482" s="59"/>
      <c r="FP1482" s="59"/>
      <c r="FQ1482" s="59"/>
      <c r="FR1482" s="59"/>
      <c r="FS1482" s="59"/>
      <c r="FT1482" s="59"/>
      <c r="FU1482" s="59"/>
      <c r="FV1482" s="59"/>
      <c r="FW1482" s="59"/>
      <c r="FX1482" s="59"/>
      <c r="FY1482" s="59"/>
      <c r="FZ1482" s="59"/>
      <c r="GA1482" s="59"/>
      <c r="GB1482" s="59"/>
      <c r="GC1482" s="59"/>
    </row>
    <row r="1483">
      <c r="A1483" s="59"/>
      <c r="B1483" s="59"/>
      <c r="C1483" s="59"/>
      <c r="D1483" s="59"/>
      <c r="E1483" s="59"/>
      <c r="F1483" s="59"/>
      <c r="G1483" s="59"/>
      <c r="H1483" s="59"/>
      <c r="I1483" s="59"/>
      <c r="J1483" s="59"/>
      <c r="K1483" s="59"/>
      <c r="L1483" s="59"/>
      <c r="M1483" s="59"/>
      <c r="N1483" s="59"/>
      <c r="O1483" s="59"/>
      <c r="P1483" s="59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  <c r="AA1483" s="59"/>
      <c r="AB1483" s="59"/>
      <c r="AC1483" s="59"/>
      <c r="AD1483" s="59"/>
      <c r="AE1483" s="59"/>
      <c r="AF1483" s="59"/>
      <c r="AG1483" s="59"/>
      <c r="AH1483" s="59"/>
      <c r="AI1483" s="59"/>
      <c r="AJ1483" s="59"/>
      <c r="AK1483" s="59"/>
      <c r="AL1483" s="59"/>
      <c r="AM1483" s="59"/>
      <c r="AN1483" s="59"/>
      <c r="AO1483" s="59"/>
      <c r="AP1483" s="59"/>
      <c r="AQ1483" s="59"/>
      <c r="AR1483" s="59"/>
      <c r="AS1483" s="59"/>
      <c r="AT1483" s="59"/>
      <c r="AU1483" s="59"/>
      <c r="AV1483" s="59"/>
      <c r="AW1483" s="59"/>
      <c r="AX1483" s="59"/>
      <c r="AY1483" s="59"/>
      <c r="AZ1483" s="59"/>
      <c r="BA1483" s="59"/>
      <c r="BB1483" s="59"/>
      <c r="BC1483" s="59"/>
      <c r="BD1483" s="59"/>
      <c r="BE1483" s="59"/>
      <c r="BF1483" s="59"/>
      <c r="BG1483" s="59"/>
      <c r="BH1483" s="59"/>
      <c r="BI1483" s="59"/>
      <c r="BJ1483" s="59"/>
      <c r="BK1483" s="59"/>
      <c r="BL1483" s="59"/>
      <c r="BM1483" s="59"/>
      <c r="BN1483" s="59"/>
      <c r="BO1483" s="59"/>
      <c r="BP1483" s="59"/>
      <c r="BQ1483" s="59"/>
      <c r="BR1483" s="59"/>
      <c r="BS1483" s="59"/>
      <c r="BT1483" s="59"/>
      <c r="BU1483" s="59"/>
      <c r="BV1483" s="59"/>
      <c r="BW1483" s="59"/>
      <c r="BX1483" s="59"/>
      <c r="BY1483" s="59"/>
      <c r="BZ1483" s="59"/>
      <c r="CA1483" s="59"/>
      <c r="CB1483" s="59"/>
      <c r="CC1483" s="59"/>
      <c r="CD1483" s="59"/>
      <c r="CE1483" s="59"/>
      <c r="CF1483" s="59"/>
      <c r="CG1483" s="59"/>
      <c r="CH1483" s="59"/>
      <c r="CI1483" s="59"/>
      <c r="CJ1483" s="59"/>
      <c r="CK1483" s="59"/>
      <c r="CL1483" s="59"/>
      <c r="CM1483" s="59"/>
      <c r="CN1483" s="59"/>
      <c r="CO1483" s="59"/>
      <c r="CP1483" s="59"/>
      <c r="CQ1483" s="59"/>
      <c r="CR1483" s="59"/>
      <c r="CS1483" s="59"/>
      <c r="CT1483" s="59"/>
      <c r="CU1483" s="59"/>
      <c r="CV1483" s="59"/>
      <c r="CW1483" s="59"/>
      <c r="CX1483" s="59"/>
      <c r="CY1483" s="59"/>
      <c r="CZ1483" s="59"/>
      <c r="DA1483" s="59"/>
      <c r="DB1483" s="59"/>
      <c r="DC1483" s="59"/>
      <c r="DD1483" s="59"/>
      <c r="DE1483" s="59"/>
      <c r="DF1483" s="59"/>
      <c r="DG1483" s="59"/>
      <c r="DH1483" s="59"/>
      <c r="DI1483" s="59"/>
      <c r="DJ1483" s="59"/>
      <c r="DK1483" s="59"/>
      <c r="DL1483" s="59"/>
      <c r="DM1483" s="59"/>
      <c r="DN1483" s="59"/>
      <c r="DO1483" s="59"/>
      <c r="DP1483" s="59"/>
      <c r="DQ1483" s="59"/>
      <c r="DR1483" s="59"/>
      <c r="DS1483" s="59"/>
      <c r="DT1483" s="59"/>
      <c r="DU1483" s="59"/>
      <c r="DV1483" s="59"/>
      <c r="DW1483" s="59"/>
      <c r="DX1483" s="59"/>
      <c r="DY1483" s="59"/>
      <c r="DZ1483" s="59"/>
      <c r="EA1483" s="59"/>
      <c r="EB1483" s="59"/>
      <c r="EC1483" s="59"/>
      <c r="ED1483" s="59"/>
      <c r="EE1483" s="59"/>
      <c r="EF1483" s="59"/>
      <c r="EG1483" s="59"/>
      <c r="EH1483" s="59"/>
      <c r="EI1483" s="59"/>
      <c r="EJ1483" s="59"/>
      <c r="EK1483" s="59"/>
      <c r="EL1483" s="59"/>
      <c r="EM1483" s="59"/>
      <c r="EN1483" s="59"/>
      <c r="EO1483" s="59"/>
      <c r="EP1483" s="59"/>
      <c r="EQ1483" s="59"/>
      <c r="ER1483" s="59"/>
      <c r="ES1483" s="59"/>
      <c r="ET1483" s="59"/>
      <c r="EU1483" s="59"/>
      <c r="EV1483" s="59"/>
      <c r="EW1483" s="59"/>
      <c r="EX1483" s="59"/>
      <c r="EY1483" s="59"/>
      <c r="EZ1483" s="59"/>
      <c r="FA1483" s="59"/>
      <c r="FB1483" s="59"/>
      <c r="FC1483" s="59"/>
      <c r="FD1483" s="59"/>
      <c r="FE1483" s="59"/>
      <c r="FF1483" s="59"/>
      <c r="FG1483" s="59"/>
      <c r="FH1483" s="59"/>
      <c r="FI1483" s="59"/>
      <c r="FJ1483" s="59"/>
      <c r="FK1483" s="59"/>
      <c r="FL1483" s="59"/>
      <c r="FM1483" s="59"/>
      <c r="FN1483" s="59"/>
      <c r="FO1483" s="59"/>
      <c r="FP1483" s="59"/>
      <c r="FQ1483" s="59"/>
      <c r="FR1483" s="59"/>
      <c r="FS1483" s="59"/>
      <c r="FT1483" s="59"/>
      <c r="FU1483" s="59"/>
      <c r="FV1483" s="59"/>
      <c r="FW1483" s="59"/>
      <c r="FX1483" s="59"/>
      <c r="FY1483" s="59"/>
      <c r="FZ1483" s="59"/>
      <c r="GA1483" s="59"/>
      <c r="GB1483" s="59"/>
      <c r="GC1483" s="59"/>
    </row>
    <row r="1484">
      <c r="A1484" s="59"/>
      <c r="B1484" s="59"/>
      <c r="C1484" s="59"/>
      <c r="D1484" s="59"/>
      <c r="E1484" s="59"/>
      <c r="F1484" s="59"/>
      <c r="G1484" s="59"/>
      <c r="H1484" s="59"/>
      <c r="I1484" s="59"/>
      <c r="J1484" s="59"/>
      <c r="K1484" s="59"/>
      <c r="L1484" s="59"/>
      <c r="M1484" s="59"/>
      <c r="N1484" s="59"/>
      <c r="O1484" s="59"/>
      <c r="P1484" s="59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59"/>
      <c r="AG1484" s="59"/>
      <c r="AH1484" s="59"/>
      <c r="AI1484" s="59"/>
      <c r="AJ1484" s="59"/>
      <c r="AK1484" s="59"/>
      <c r="AL1484" s="59"/>
      <c r="AM1484" s="59"/>
      <c r="AN1484" s="59"/>
      <c r="AO1484" s="59"/>
      <c r="AP1484" s="59"/>
      <c r="AQ1484" s="59"/>
      <c r="AR1484" s="59"/>
      <c r="AS1484" s="59"/>
      <c r="AT1484" s="59"/>
      <c r="AU1484" s="59"/>
      <c r="AV1484" s="59"/>
      <c r="AW1484" s="59"/>
      <c r="AX1484" s="59"/>
      <c r="AY1484" s="59"/>
      <c r="AZ1484" s="59"/>
      <c r="BA1484" s="59"/>
      <c r="BB1484" s="59"/>
      <c r="BC1484" s="59"/>
      <c r="BD1484" s="59"/>
      <c r="BE1484" s="59"/>
      <c r="BF1484" s="59"/>
      <c r="BG1484" s="59"/>
      <c r="BH1484" s="59"/>
      <c r="BI1484" s="59"/>
      <c r="BJ1484" s="59"/>
      <c r="BK1484" s="59"/>
      <c r="BL1484" s="59"/>
      <c r="BM1484" s="59"/>
      <c r="BN1484" s="59"/>
      <c r="BO1484" s="59"/>
      <c r="BP1484" s="59"/>
      <c r="BQ1484" s="59"/>
      <c r="BR1484" s="59"/>
      <c r="BS1484" s="59"/>
      <c r="BT1484" s="59"/>
      <c r="BU1484" s="59"/>
      <c r="BV1484" s="59"/>
      <c r="BW1484" s="59"/>
      <c r="BX1484" s="59"/>
      <c r="BY1484" s="59"/>
      <c r="BZ1484" s="59"/>
      <c r="CA1484" s="59"/>
      <c r="CB1484" s="59"/>
      <c r="CC1484" s="59"/>
      <c r="CD1484" s="59"/>
      <c r="CE1484" s="59"/>
      <c r="CF1484" s="59"/>
      <c r="CG1484" s="59"/>
      <c r="CH1484" s="59"/>
      <c r="CI1484" s="59"/>
      <c r="CJ1484" s="59"/>
      <c r="CK1484" s="59"/>
      <c r="CL1484" s="59"/>
      <c r="CM1484" s="59"/>
      <c r="CN1484" s="59"/>
      <c r="CO1484" s="59"/>
      <c r="CP1484" s="59"/>
      <c r="CQ1484" s="59"/>
      <c r="CR1484" s="59"/>
      <c r="CS1484" s="59"/>
      <c r="CT1484" s="59"/>
      <c r="CU1484" s="59"/>
      <c r="CV1484" s="59"/>
      <c r="CW1484" s="59"/>
      <c r="CX1484" s="59"/>
      <c r="CY1484" s="59"/>
      <c r="CZ1484" s="59"/>
      <c r="DA1484" s="59"/>
      <c r="DB1484" s="59"/>
      <c r="DC1484" s="59"/>
      <c r="DD1484" s="59"/>
      <c r="DE1484" s="59"/>
      <c r="DF1484" s="59"/>
      <c r="DG1484" s="59"/>
      <c r="DH1484" s="59"/>
      <c r="DI1484" s="59"/>
      <c r="DJ1484" s="59"/>
      <c r="DK1484" s="59"/>
      <c r="DL1484" s="59"/>
      <c r="DM1484" s="59"/>
      <c r="DN1484" s="59"/>
      <c r="DO1484" s="59"/>
      <c r="DP1484" s="59"/>
      <c r="DQ1484" s="59"/>
      <c r="DR1484" s="59"/>
      <c r="DS1484" s="59"/>
      <c r="DT1484" s="59"/>
      <c r="DU1484" s="59"/>
      <c r="DV1484" s="59"/>
      <c r="DW1484" s="59"/>
      <c r="DX1484" s="59"/>
      <c r="DY1484" s="59"/>
      <c r="DZ1484" s="59"/>
      <c r="EA1484" s="59"/>
      <c r="EB1484" s="59"/>
      <c r="EC1484" s="59"/>
      <c r="ED1484" s="59"/>
      <c r="EE1484" s="59"/>
      <c r="EF1484" s="59"/>
      <c r="EG1484" s="59"/>
      <c r="EH1484" s="59"/>
      <c r="EI1484" s="59"/>
      <c r="EJ1484" s="59"/>
      <c r="EK1484" s="59"/>
      <c r="EL1484" s="59"/>
      <c r="EM1484" s="59"/>
      <c r="EN1484" s="59"/>
      <c r="EO1484" s="59"/>
      <c r="EP1484" s="59"/>
      <c r="EQ1484" s="59"/>
      <c r="ER1484" s="59"/>
      <c r="ES1484" s="59"/>
      <c r="ET1484" s="59"/>
      <c r="EU1484" s="59"/>
      <c r="EV1484" s="59"/>
      <c r="EW1484" s="59"/>
      <c r="EX1484" s="59"/>
      <c r="EY1484" s="59"/>
      <c r="EZ1484" s="59"/>
      <c r="FA1484" s="59"/>
      <c r="FB1484" s="59"/>
      <c r="FC1484" s="59"/>
      <c r="FD1484" s="59"/>
      <c r="FE1484" s="59"/>
      <c r="FF1484" s="59"/>
      <c r="FG1484" s="59"/>
      <c r="FH1484" s="59"/>
      <c r="FI1484" s="59"/>
      <c r="FJ1484" s="59"/>
      <c r="FK1484" s="59"/>
      <c r="FL1484" s="59"/>
      <c r="FM1484" s="59"/>
      <c r="FN1484" s="59"/>
      <c r="FO1484" s="59"/>
      <c r="FP1484" s="59"/>
      <c r="FQ1484" s="59"/>
      <c r="FR1484" s="59"/>
      <c r="FS1484" s="59"/>
      <c r="FT1484" s="59"/>
      <c r="FU1484" s="59"/>
      <c r="FV1484" s="59"/>
      <c r="FW1484" s="59"/>
      <c r="FX1484" s="59"/>
      <c r="FY1484" s="59"/>
      <c r="FZ1484" s="59"/>
      <c r="GA1484" s="59"/>
      <c r="GB1484" s="59"/>
      <c r="GC1484" s="59"/>
    </row>
    <row r="1485">
      <c r="A1485" s="59"/>
      <c r="B1485" s="59"/>
      <c r="C1485" s="59"/>
      <c r="D1485" s="59"/>
      <c r="E1485" s="59"/>
      <c r="F1485" s="59"/>
      <c r="G1485" s="59"/>
      <c r="H1485" s="59"/>
      <c r="I1485" s="59"/>
      <c r="J1485" s="59"/>
      <c r="K1485" s="59"/>
      <c r="L1485" s="59"/>
      <c r="M1485" s="59"/>
      <c r="N1485" s="59"/>
      <c r="O1485" s="59"/>
      <c r="P1485" s="59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  <c r="AA1485" s="59"/>
      <c r="AB1485" s="59"/>
      <c r="AC1485" s="59"/>
      <c r="AD1485" s="59"/>
      <c r="AE1485" s="59"/>
      <c r="AF1485" s="59"/>
      <c r="AG1485" s="59"/>
      <c r="AH1485" s="59"/>
      <c r="AI1485" s="59"/>
      <c r="AJ1485" s="59"/>
      <c r="AK1485" s="59"/>
      <c r="AL1485" s="59"/>
      <c r="AM1485" s="59"/>
      <c r="AN1485" s="59"/>
      <c r="AO1485" s="59"/>
      <c r="AP1485" s="59"/>
      <c r="AQ1485" s="59"/>
      <c r="AR1485" s="59"/>
      <c r="AS1485" s="59"/>
      <c r="AT1485" s="59"/>
      <c r="AU1485" s="59"/>
      <c r="AV1485" s="59"/>
      <c r="AW1485" s="59"/>
      <c r="AX1485" s="59"/>
      <c r="AY1485" s="59"/>
      <c r="AZ1485" s="59"/>
      <c r="BA1485" s="59"/>
      <c r="BB1485" s="59"/>
      <c r="BC1485" s="59"/>
      <c r="BD1485" s="59"/>
      <c r="BE1485" s="59"/>
      <c r="BF1485" s="59"/>
      <c r="BG1485" s="59"/>
      <c r="BH1485" s="59"/>
      <c r="BI1485" s="59"/>
      <c r="BJ1485" s="59"/>
      <c r="BK1485" s="59"/>
      <c r="BL1485" s="59"/>
      <c r="BM1485" s="59"/>
      <c r="BN1485" s="59"/>
      <c r="BO1485" s="59"/>
      <c r="BP1485" s="59"/>
      <c r="BQ1485" s="59"/>
      <c r="BR1485" s="59"/>
      <c r="BS1485" s="59"/>
      <c r="BT1485" s="59"/>
      <c r="BU1485" s="59"/>
      <c r="BV1485" s="59"/>
      <c r="BW1485" s="59"/>
      <c r="BX1485" s="59"/>
      <c r="BY1485" s="59"/>
      <c r="BZ1485" s="59"/>
      <c r="CA1485" s="59"/>
      <c r="CB1485" s="59"/>
      <c r="CC1485" s="59"/>
      <c r="CD1485" s="59"/>
      <c r="CE1485" s="59"/>
      <c r="CF1485" s="59"/>
      <c r="CG1485" s="59"/>
      <c r="CH1485" s="59"/>
      <c r="CI1485" s="59"/>
      <c r="CJ1485" s="59"/>
      <c r="CK1485" s="59"/>
      <c r="CL1485" s="59"/>
      <c r="CM1485" s="59"/>
      <c r="CN1485" s="59"/>
      <c r="CO1485" s="59"/>
      <c r="CP1485" s="59"/>
      <c r="CQ1485" s="59"/>
      <c r="CR1485" s="59"/>
      <c r="CS1485" s="59"/>
      <c r="CT1485" s="59"/>
      <c r="CU1485" s="59"/>
      <c r="CV1485" s="59"/>
      <c r="CW1485" s="59"/>
      <c r="CX1485" s="59"/>
      <c r="CY1485" s="59"/>
      <c r="CZ1485" s="59"/>
      <c r="DA1485" s="59"/>
      <c r="DB1485" s="59"/>
      <c r="DC1485" s="59"/>
      <c r="DD1485" s="59"/>
      <c r="DE1485" s="59"/>
      <c r="DF1485" s="59"/>
      <c r="DG1485" s="59"/>
      <c r="DH1485" s="59"/>
      <c r="DI1485" s="59"/>
      <c r="DJ1485" s="59"/>
      <c r="DK1485" s="59"/>
      <c r="DL1485" s="59"/>
      <c r="DM1485" s="59"/>
      <c r="DN1485" s="59"/>
      <c r="DO1485" s="59"/>
      <c r="DP1485" s="59"/>
      <c r="DQ1485" s="59"/>
      <c r="DR1485" s="59"/>
      <c r="DS1485" s="59"/>
      <c r="DT1485" s="59"/>
      <c r="DU1485" s="59"/>
      <c r="DV1485" s="59"/>
      <c r="DW1485" s="59"/>
      <c r="DX1485" s="59"/>
      <c r="DY1485" s="59"/>
      <c r="DZ1485" s="59"/>
      <c r="EA1485" s="59"/>
      <c r="EB1485" s="59"/>
      <c r="EC1485" s="59"/>
      <c r="ED1485" s="59"/>
      <c r="EE1485" s="59"/>
      <c r="EF1485" s="59"/>
      <c r="EG1485" s="59"/>
      <c r="EH1485" s="59"/>
      <c r="EI1485" s="59"/>
      <c r="EJ1485" s="59"/>
      <c r="EK1485" s="59"/>
      <c r="EL1485" s="59"/>
      <c r="EM1485" s="59"/>
      <c r="EN1485" s="59"/>
      <c r="EO1485" s="59"/>
      <c r="EP1485" s="59"/>
      <c r="EQ1485" s="59"/>
      <c r="ER1485" s="59"/>
      <c r="ES1485" s="59"/>
      <c r="ET1485" s="59"/>
      <c r="EU1485" s="59"/>
      <c r="EV1485" s="59"/>
      <c r="EW1485" s="59"/>
      <c r="EX1485" s="59"/>
      <c r="EY1485" s="59"/>
      <c r="EZ1485" s="59"/>
      <c r="FA1485" s="59"/>
      <c r="FB1485" s="59"/>
      <c r="FC1485" s="59"/>
      <c r="FD1485" s="59"/>
      <c r="FE1485" s="59"/>
      <c r="FF1485" s="59"/>
      <c r="FG1485" s="59"/>
      <c r="FH1485" s="59"/>
      <c r="FI1485" s="59"/>
      <c r="FJ1485" s="59"/>
      <c r="FK1485" s="59"/>
      <c r="FL1485" s="59"/>
      <c r="FM1485" s="59"/>
      <c r="FN1485" s="59"/>
      <c r="FO1485" s="59"/>
      <c r="FP1485" s="59"/>
      <c r="FQ1485" s="59"/>
      <c r="FR1485" s="59"/>
      <c r="FS1485" s="59"/>
      <c r="FT1485" s="59"/>
      <c r="FU1485" s="59"/>
      <c r="FV1485" s="59"/>
      <c r="FW1485" s="59"/>
      <c r="FX1485" s="59"/>
      <c r="FY1485" s="59"/>
      <c r="FZ1485" s="59"/>
      <c r="GA1485" s="59"/>
      <c r="GB1485" s="59"/>
      <c r="GC1485" s="59"/>
    </row>
    <row r="1486">
      <c r="A1486" s="59"/>
      <c r="B1486" s="59"/>
      <c r="C1486" s="59"/>
      <c r="D1486" s="59"/>
      <c r="E1486" s="59"/>
      <c r="F1486" s="59"/>
      <c r="G1486" s="59"/>
      <c r="H1486" s="59"/>
      <c r="I1486" s="59"/>
      <c r="J1486" s="59"/>
      <c r="K1486" s="59"/>
      <c r="L1486" s="59"/>
      <c r="M1486" s="59"/>
      <c r="N1486" s="59"/>
      <c r="O1486" s="59"/>
      <c r="P1486" s="59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  <c r="AA1486" s="59"/>
      <c r="AB1486" s="59"/>
      <c r="AC1486" s="59"/>
      <c r="AD1486" s="59"/>
      <c r="AE1486" s="59"/>
      <c r="AF1486" s="59"/>
      <c r="AG1486" s="59"/>
      <c r="AH1486" s="59"/>
      <c r="AI1486" s="59"/>
      <c r="AJ1486" s="59"/>
      <c r="AK1486" s="59"/>
      <c r="AL1486" s="59"/>
      <c r="AM1486" s="59"/>
      <c r="AN1486" s="59"/>
      <c r="AO1486" s="59"/>
      <c r="AP1486" s="59"/>
      <c r="AQ1486" s="59"/>
      <c r="AR1486" s="59"/>
      <c r="AS1486" s="59"/>
      <c r="AT1486" s="59"/>
      <c r="AU1486" s="59"/>
      <c r="AV1486" s="59"/>
      <c r="AW1486" s="59"/>
      <c r="AX1486" s="59"/>
      <c r="AY1486" s="59"/>
      <c r="AZ1486" s="59"/>
      <c r="BA1486" s="59"/>
      <c r="BB1486" s="59"/>
      <c r="BC1486" s="59"/>
      <c r="BD1486" s="59"/>
      <c r="BE1486" s="59"/>
      <c r="BF1486" s="59"/>
      <c r="BG1486" s="59"/>
      <c r="BH1486" s="59"/>
      <c r="BI1486" s="59"/>
      <c r="BJ1486" s="59"/>
      <c r="BK1486" s="59"/>
      <c r="BL1486" s="59"/>
      <c r="BM1486" s="59"/>
      <c r="BN1486" s="59"/>
      <c r="BO1486" s="59"/>
      <c r="BP1486" s="59"/>
      <c r="BQ1486" s="59"/>
      <c r="BR1486" s="59"/>
      <c r="BS1486" s="59"/>
      <c r="BT1486" s="59"/>
      <c r="BU1486" s="59"/>
      <c r="BV1486" s="59"/>
      <c r="BW1486" s="59"/>
      <c r="BX1486" s="59"/>
      <c r="BY1486" s="59"/>
      <c r="BZ1486" s="59"/>
      <c r="CA1486" s="59"/>
      <c r="CB1486" s="59"/>
      <c r="CC1486" s="59"/>
      <c r="CD1486" s="59"/>
      <c r="CE1486" s="59"/>
      <c r="CF1486" s="59"/>
      <c r="CG1486" s="59"/>
      <c r="CH1486" s="59"/>
      <c r="CI1486" s="59"/>
      <c r="CJ1486" s="59"/>
      <c r="CK1486" s="59"/>
      <c r="CL1486" s="59"/>
      <c r="CM1486" s="59"/>
      <c r="CN1486" s="59"/>
      <c r="CO1486" s="59"/>
      <c r="CP1486" s="59"/>
      <c r="CQ1486" s="59"/>
      <c r="CR1486" s="59"/>
      <c r="CS1486" s="59"/>
      <c r="CT1486" s="59"/>
      <c r="CU1486" s="59"/>
      <c r="CV1486" s="59"/>
      <c r="CW1486" s="59"/>
      <c r="CX1486" s="59"/>
      <c r="CY1486" s="59"/>
      <c r="CZ1486" s="59"/>
      <c r="DA1486" s="59"/>
      <c r="DB1486" s="59"/>
      <c r="DC1486" s="59"/>
      <c r="DD1486" s="59"/>
      <c r="DE1486" s="59"/>
      <c r="DF1486" s="59"/>
      <c r="DG1486" s="59"/>
      <c r="DH1486" s="59"/>
      <c r="DI1486" s="59"/>
      <c r="DJ1486" s="59"/>
      <c r="DK1486" s="59"/>
      <c r="DL1486" s="59"/>
      <c r="DM1486" s="59"/>
      <c r="DN1486" s="59"/>
      <c r="DO1486" s="59"/>
      <c r="DP1486" s="59"/>
      <c r="DQ1486" s="59"/>
      <c r="DR1486" s="59"/>
      <c r="DS1486" s="59"/>
      <c r="DT1486" s="59"/>
      <c r="DU1486" s="59"/>
      <c r="DV1486" s="59"/>
      <c r="DW1486" s="59"/>
      <c r="DX1486" s="59"/>
      <c r="DY1486" s="59"/>
      <c r="DZ1486" s="59"/>
      <c r="EA1486" s="59"/>
      <c r="EB1486" s="59"/>
      <c r="EC1486" s="59"/>
      <c r="ED1486" s="59"/>
      <c r="EE1486" s="59"/>
      <c r="EF1486" s="59"/>
      <c r="EG1486" s="59"/>
      <c r="EH1486" s="59"/>
      <c r="EI1486" s="59"/>
      <c r="EJ1486" s="59"/>
      <c r="EK1486" s="59"/>
      <c r="EL1486" s="59"/>
      <c r="EM1486" s="59"/>
      <c r="EN1486" s="59"/>
      <c r="EO1486" s="59"/>
      <c r="EP1486" s="59"/>
      <c r="EQ1486" s="59"/>
      <c r="ER1486" s="59"/>
      <c r="ES1486" s="59"/>
      <c r="ET1486" s="59"/>
      <c r="EU1486" s="59"/>
      <c r="EV1486" s="59"/>
      <c r="EW1486" s="59"/>
      <c r="EX1486" s="59"/>
      <c r="EY1486" s="59"/>
      <c r="EZ1486" s="59"/>
      <c r="FA1486" s="59"/>
      <c r="FB1486" s="59"/>
      <c r="FC1486" s="59"/>
      <c r="FD1486" s="59"/>
      <c r="FE1486" s="59"/>
      <c r="FF1486" s="59"/>
      <c r="FG1486" s="59"/>
      <c r="FH1486" s="59"/>
      <c r="FI1486" s="59"/>
      <c r="FJ1486" s="59"/>
      <c r="FK1486" s="59"/>
      <c r="FL1486" s="59"/>
      <c r="FM1486" s="59"/>
      <c r="FN1486" s="59"/>
      <c r="FO1486" s="59"/>
      <c r="FP1486" s="59"/>
      <c r="FQ1486" s="59"/>
      <c r="FR1486" s="59"/>
      <c r="FS1486" s="59"/>
      <c r="FT1486" s="59"/>
      <c r="FU1486" s="59"/>
      <c r="FV1486" s="59"/>
      <c r="FW1486" s="59"/>
      <c r="FX1486" s="59"/>
      <c r="FY1486" s="59"/>
      <c r="FZ1486" s="59"/>
      <c r="GA1486" s="59"/>
      <c r="GB1486" s="59"/>
      <c r="GC1486" s="59"/>
    </row>
    <row r="1487">
      <c r="A1487" s="59"/>
      <c r="B1487" s="59"/>
      <c r="C1487" s="59"/>
      <c r="D1487" s="59"/>
      <c r="E1487" s="59"/>
      <c r="F1487" s="59"/>
      <c r="G1487" s="59"/>
      <c r="H1487" s="59"/>
      <c r="I1487" s="59"/>
      <c r="J1487" s="59"/>
      <c r="K1487" s="59"/>
      <c r="L1487" s="59"/>
      <c r="M1487" s="59"/>
      <c r="N1487" s="59"/>
      <c r="O1487" s="59"/>
      <c r="P1487" s="59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  <c r="AA1487" s="59"/>
      <c r="AB1487" s="59"/>
      <c r="AC1487" s="59"/>
      <c r="AD1487" s="59"/>
      <c r="AE1487" s="59"/>
      <c r="AF1487" s="59"/>
      <c r="AG1487" s="59"/>
      <c r="AH1487" s="59"/>
      <c r="AI1487" s="59"/>
      <c r="AJ1487" s="59"/>
      <c r="AK1487" s="59"/>
      <c r="AL1487" s="59"/>
      <c r="AM1487" s="59"/>
      <c r="AN1487" s="59"/>
      <c r="AO1487" s="59"/>
      <c r="AP1487" s="59"/>
      <c r="AQ1487" s="59"/>
      <c r="AR1487" s="59"/>
      <c r="AS1487" s="59"/>
      <c r="AT1487" s="59"/>
      <c r="AU1487" s="59"/>
      <c r="AV1487" s="59"/>
      <c r="AW1487" s="59"/>
      <c r="AX1487" s="59"/>
      <c r="AY1487" s="59"/>
      <c r="AZ1487" s="59"/>
      <c r="BA1487" s="59"/>
      <c r="BB1487" s="59"/>
      <c r="BC1487" s="59"/>
      <c r="BD1487" s="59"/>
      <c r="BE1487" s="59"/>
      <c r="BF1487" s="59"/>
      <c r="BG1487" s="59"/>
      <c r="BH1487" s="59"/>
      <c r="BI1487" s="59"/>
      <c r="BJ1487" s="59"/>
      <c r="BK1487" s="59"/>
      <c r="BL1487" s="59"/>
      <c r="BM1487" s="59"/>
      <c r="BN1487" s="59"/>
      <c r="BO1487" s="59"/>
      <c r="BP1487" s="59"/>
      <c r="BQ1487" s="59"/>
      <c r="BR1487" s="59"/>
      <c r="BS1487" s="59"/>
      <c r="BT1487" s="59"/>
      <c r="BU1487" s="59"/>
      <c r="BV1487" s="59"/>
      <c r="BW1487" s="59"/>
      <c r="BX1487" s="59"/>
      <c r="BY1487" s="59"/>
      <c r="BZ1487" s="59"/>
      <c r="CA1487" s="59"/>
      <c r="CB1487" s="59"/>
      <c r="CC1487" s="59"/>
      <c r="CD1487" s="59"/>
      <c r="CE1487" s="59"/>
      <c r="CF1487" s="59"/>
      <c r="CG1487" s="59"/>
      <c r="CH1487" s="59"/>
      <c r="CI1487" s="59"/>
      <c r="CJ1487" s="59"/>
      <c r="CK1487" s="59"/>
      <c r="CL1487" s="59"/>
      <c r="CM1487" s="59"/>
      <c r="CN1487" s="59"/>
      <c r="CO1487" s="59"/>
      <c r="CP1487" s="59"/>
      <c r="CQ1487" s="59"/>
      <c r="CR1487" s="59"/>
      <c r="CS1487" s="59"/>
      <c r="CT1487" s="59"/>
      <c r="CU1487" s="59"/>
      <c r="CV1487" s="59"/>
      <c r="CW1487" s="59"/>
      <c r="CX1487" s="59"/>
      <c r="CY1487" s="59"/>
      <c r="CZ1487" s="59"/>
      <c r="DA1487" s="59"/>
      <c r="DB1487" s="59"/>
      <c r="DC1487" s="59"/>
      <c r="DD1487" s="59"/>
      <c r="DE1487" s="59"/>
      <c r="DF1487" s="59"/>
      <c r="DG1487" s="59"/>
      <c r="DH1487" s="59"/>
      <c r="DI1487" s="59"/>
      <c r="DJ1487" s="59"/>
      <c r="DK1487" s="59"/>
      <c r="DL1487" s="59"/>
      <c r="DM1487" s="59"/>
      <c r="DN1487" s="59"/>
      <c r="DO1487" s="59"/>
      <c r="DP1487" s="59"/>
      <c r="DQ1487" s="59"/>
      <c r="DR1487" s="59"/>
      <c r="DS1487" s="59"/>
      <c r="DT1487" s="59"/>
      <c r="DU1487" s="59"/>
      <c r="DV1487" s="59"/>
      <c r="DW1487" s="59"/>
      <c r="DX1487" s="59"/>
      <c r="DY1487" s="59"/>
      <c r="DZ1487" s="59"/>
      <c r="EA1487" s="59"/>
      <c r="EB1487" s="59"/>
      <c r="EC1487" s="59"/>
      <c r="ED1487" s="59"/>
      <c r="EE1487" s="59"/>
      <c r="EF1487" s="59"/>
      <c r="EG1487" s="59"/>
      <c r="EH1487" s="59"/>
      <c r="EI1487" s="59"/>
      <c r="EJ1487" s="59"/>
      <c r="EK1487" s="59"/>
      <c r="EL1487" s="59"/>
      <c r="EM1487" s="59"/>
      <c r="EN1487" s="59"/>
      <c r="EO1487" s="59"/>
      <c r="EP1487" s="59"/>
      <c r="EQ1487" s="59"/>
      <c r="ER1487" s="59"/>
      <c r="ES1487" s="59"/>
      <c r="ET1487" s="59"/>
      <c r="EU1487" s="59"/>
      <c r="EV1487" s="59"/>
      <c r="EW1487" s="59"/>
      <c r="EX1487" s="59"/>
      <c r="EY1487" s="59"/>
      <c r="EZ1487" s="59"/>
      <c r="FA1487" s="59"/>
      <c r="FB1487" s="59"/>
      <c r="FC1487" s="59"/>
      <c r="FD1487" s="59"/>
      <c r="FE1487" s="59"/>
      <c r="FF1487" s="59"/>
      <c r="FG1487" s="59"/>
      <c r="FH1487" s="59"/>
      <c r="FI1487" s="59"/>
      <c r="FJ1487" s="59"/>
      <c r="FK1487" s="59"/>
      <c r="FL1487" s="59"/>
      <c r="FM1487" s="59"/>
      <c r="FN1487" s="59"/>
      <c r="FO1487" s="59"/>
      <c r="FP1487" s="59"/>
      <c r="FQ1487" s="59"/>
      <c r="FR1487" s="59"/>
      <c r="FS1487" s="59"/>
      <c r="FT1487" s="59"/>
      <c r="FU1487" s="59"/>
      <c r="FV1487" s="59"/>
      <c r="FW1487" s="59"/>
      <c r="FX1487" s="59"/>
      <c r="FY1487" s="59"/>
      <c r="FZ1487" s="59"/>
      <c r="GA1487" s="59"/>
      <c r="GB1487" s="59"/>
      <c r="GC1487" s="59"/>
    </row>
    <row r="1488">
      <c r="A1488" s="59"/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59"/>
      <c r="AG1488" s="59"/>
      <c r="AH1488" s="59"/>
      <c r="AI1488" s="59"/>
      <c r="AJ1488" s="59"/>
      <c r="AK1488" s="59"/>
      <c r="AL1488" s="59"/>
      <c r="AM1488" s="59"/>
      <c r="AN1488" s="59"/>
      <c r="AO1488" s="59"/>
      <c r="AP1488" s="59"/>
      <c r="AQ1488" s="59"/>
      <c r="AR1488" s="59"/>
      <c r="AS1488" s="59"/>
      <c r="AT1488" s="59"/>
      <c r="AU1488" s="59"/>
      <c r="AV1488" s="59"/>
      <c r="AW1488" s="59"/>
      <c r="AX1488" s="59"/>
      <c r="AY1488" s="59"/>
      <c r="AZ1488" s="59"/>
      <c r="BA1488" s="59"/>
      <c r="BB1488" s="59"/>
      <c r="BC1488" s="59"/>
      <c r="BD1488" s="59"/>
      <c r="BE1488" s="59"/>
      <c r="BF1488" s="59"/>
      <c r="BG1488" s="59"/>
      <c r="BH1488" s="59"/>
      <c r="BI1488" s="59"/>
      <c r="BJ1488" s="59"/>
      <c r="BK1488" s="59"/>
      <c r="BL1488" s="59"/>
      <c r="BM1488" s="59"/>
      <c r="BN1488" s="59"/>
      <c r="BO1488" s="59"/>
      <c r="BP1488" s="59"/>
      <c r="BQ1488" s="59"/>
      <c r="BR1488" s="59"/>
      <c r="BS1488" s="59"/>
      <c r="BT1488" s="59"/>
      <c r="BU1488" s="59"/>
      <c r="BV1488" s="59"/>
      <c r="BW1488" s="59"/>
      <c r="BX1488" s="59"/>
      <c r="BY1488" s="59"/>
      <c r="BZ1488" s="59"/>
      <c r="CA1488" s="59"/>
      <c r="CB1488" s="59"/>
      <c r="CC1488" s="59"/>
      <c r="CD1488" s="59"/>
      <c r="CE1488" s="59"/>
      <c r="CF1488" s="59"/>
      <c r="CG1488" s="59"/>
      <c r="CH1488" s="59"/>
      <c r="CI1488" s="59"/>
      <c r="CJ1488" s="59"/>
      <c r="CK1488" s="59"/>
      <c r="CL1488" s="59"/>
      <c r="CM1488" s="59"/>
      <c r="CN1488" s="59"/>
      <c r="CO1488" s="59"/>
      <c r="CP1488" s="59"/>
      <c r="CQ1488" s="59"/>
      <c r="CR1488" s="59"/>
      <c r="CS1488" s="59"/>
      <c r="CT1488" s="59"/>
      <c r="CU1488" s="59"/>
      <c r="CV1488" s="59"/>
      <c r="CW1488" s="59"/>
      <c r="CX1488" s="59"/>
      <c r="CY1488" s="59"/>
      <c r="CZ1488" s="59"/>
      <c r="DA1488" s="59"/>
      <c r="DB1488" s="59"/>
      <c r="DC1488" s="59"/>
      <c r="DD1488" s="59"/>
      <c r="DE1488" s="59"/>
      <c r="DF1488" s="59"/>
      <c r="DG1488" s="59"/>
      <c r="DH1488" s="59"/>
      <c r="DI1488" s="59"/>
      <c r="DJ1488" s="59"/>
      <c r="DK1488" s="59"/>
      <c r="DL1488" s="59"/>
      <c r="DM1488" s="59"/>
      <c r="DN1488" s="59"/>
      <c r="DO1488" s="59"/>
      <c r="DP1488" s="59"/>
      <c r="DQ1488" s="59"/>
      <c r="DR1488" s="59"/>
      <c r="DS1488" s="59"/>
      <c r="DT1488" s="59"/>
      <c r="DU1488" s="59"/>
      <c r="DV1488" s="59"/>
      <c r="DW1488" s="59"/>
      <c r="DX1488" s="59"/>
      <c r="DY1488" s="59"/>
      <c r="DZ1488" s="59"/>
      <c r="EA1488" s="59"/>
      <c r="EB1488" s="59"/>
      <c r="EC1488" s="59"/>
      <c r="ED1488" s="59"/>
      <c r="EE1488" s="59"/>
      <c r="EF1488" s="59"/>
      <c r="EG1488" s="59"/>
      <c r="EH1488" s="59"/>
      <c r="EI1488" s="59"/>
      <c r="EJ1488" s="59"/>
      <c r="EK1488" s="59"/>
      <c r="EL1488" s="59"/>
      <c r="EM1488" s="59"/>
      <c r="EN1488" s="59"/>
      <c r="EO1488" s="59"/>
      <c r="EP1488" s="59"/>
      <c r="EQ1488" s="59"/>
      <c r="ER1488" s="59"/>
      <c r="ES1488" s="59"/>
      <c r="ET1488" s="59"/>
      <c r="EU1488" s="59"/>
      <c r="EV1488" s="59"/>
      <c r="EW1488" s="59"/>
      <c r="EX1488" s="59"/>
      <c r="EY1488" s="59"/>
      <c r="EZ1488" s="59"/>
      <c r="FA1488" s="59"/>
      <c r="FB1488" s="59"/>
      <c r="FC1488" s="59"/>
      <c r="FD1488" s="59"/>
      <c r="FE1488" s="59"/>
      <c r="FF1488" s="59"/>
      <c r="FG1488" s="59"/>
      <c r="FH1488" s="59"/>
      <c r="FI1488" s="59"/>
      <c r="FJ1488" s="59"/>
      <c r="FK1488" s="59"/>
      <c r="FL1488" s="59"/>
      <c r="FM1488" s="59"/>
      <c r="FN1488" s="59"/>
      <c r="FO1488" s="59"/>
      <c r="FP1488" s="59"/>
      <c r="FQ1488" s="59"/>
      <c r="FR1488" s="59"/>
      <c r="FS1488" s="59"/>
      <c r="FT1488" s="59"/>
      <c r="FU1488" s="59"/>
      <c r="FV1488" s="59"/>
      <c r="FW1488" s="59"/>
      <c r="FX1488" s="59"/>
      <c r="FY1488" s="59"/>
      <c r="FZ1488" s="59"/>
      <c r="GA1488" s="59"/>
      <c r="GB1488" s="59"/>
      <c r="GC1488" s="59"/>
    </row>
    <row r="1489">
      <c r="A1489" s="59"/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  <c r="AA1489" s="59"/>
      <c r="AB1489" s="59"/>
      <c r="AC1489" s="59"/>
      <c r="AD1489" s="59"/>
      <c r="AE1489" s="59"/>
      <c r="AF1489" s="59"/>
      <c r="AG1489" s="59"/>
      <c r="AH1489" s="59"/>
      <c r="AI1489" s="59"/>
      <c r="AJ1489" s="59"/>
      <c r="AK1489" s="59"/>
      <c r="AL1489" s="59"/>
      <c r="AM1489" s="59"/>
      <c r="AN1489" s="59"/>
      <c r="AO1489" s="59"/>
      <c r="AP1489" s="59"/>
      <c r="AQ1489" s="59"/>
      <c r="AR1489" s="59"/>
      <c r="AS1489" s="59"/>
      <c r="AT1489" s="59"/>
      <c r="AU1489" s="59"/>
      <c r="AV1489" s="59"/>
      <c r="AW1489" s="59"/>
      <c r="AX1489" s="59"/>
      <c r="AY1489" s="59"/>
      <c r="AZ1489" s="59"/>
      <c r="BA1489" s="59"/>
      <c r="BB1489" s="59"/>
      <c r="BC1489" s="59"/>
      <c r="BD1489" s="59"/>
      <c r="BE1489" s="59"/>
      <c r="BF1489" s="59"/>
      <c r="BG1489" s="59"/>
      <c r="BH1489" s="59"/>
      <c r="BI1489" s="59"/>
      <c r="BJ1489" s="59"/>
      <c r="BK1489" s="59"/>
      <c r="BL1489" s="59"/>
      <c r="BM1489" s="59"/>
      <c r="BN1489" s="59"/>
      <c r="BO1489" s="59"/>
      <c r="BP1489" s="59"/>
      <c r="BQ1489" s="59"/>
      <c r="BR1489" s="59"/>
      <c r="BS1489" s="59"/>
      <c r="BT1489" s="59"/>
      <c r="BU1489" s="59"/>
      <c r="BV1489" s="59"/>
      <c r="BW1489" s="59"/>
      <c r="BX1489" s="59"/>
      <c r="BY1489" s="59"/>
      <c r="BZ1489" s="59"/>
      <c r="CA1489" s="59"/>
      <c r="CB1489" s="59"/>
      <c r="CC1489" s="59"/>
      <c r="CD1489" s="59"/>
      <c r="CE1489" s="59"/>
      <c r="CF1489" s="59"/>
      <c r="CG1489" s="59"/>
      <c r="CH1489" s="59"/>
      <c r="CI1489" s="59"/>
      <c r="CJ1489" s="59"/>
      <c r="CK1489" s="59"/>
      <c r="CL1489" s="59"/>
      <c r="CM1489" s="59"/>
      <c r="CN1489" s="59"/>
      <c r="CO1489" s="59"/>
      <c r="CP1489" s="59"/>
      <c r="CQ1489" s="59"/>
      <c r="CR1489" s="59"/>
      <c r="CS1489" s="59"/>
      <c r="CT1489" s="59"/>
      <c r="CU1489" s="59"/>
      <c r="CV1489" s="59"/>
      <c r="CW1489" s="59"/>
      <c r="CX1489" s="59"/>
      <c r="CY1489" s="59"/>
      <c r="CZ1489" s="59"/>
      <c r="DA1489" s="59"/>
      <c r="DB1489" s="59"/>
      <c r="DC1489" s="59"/>
      <c r="DD1489" s="59"/>
      <c r="DE1489" s="59"/>
      <c r="DF1489" s="59"/>
      <c r="DG1489" s="59"/>
      <c r="DH1489" s="59"/>
      <c r="DI1489" s="59"/>
      <c r="DJ1489" s="59"/>
      <c r="DK1489" s="59"/>
      <c r="DL1489" s="59"/>
      <c r="DM1489" s="59"/>
      <c r="DN1489" s="59"/>
      <c r="DO1489" s="59"/>
      <c r="DP1489" s="59"/>
      <c r="DQ1489" s="59"/>
      <c r="DR1489" s="59"/>
      <c r="DS1489" s="59"/>
      <c r="DT1489" s="59"/>
      <c r="DU1489" s="59"/>
      <c r="DV1489" s="59"/>
      <c r="DW1489" s="59"/>
      <c r="DX1489" s="59"/>
      <c r="DY1489" s="59"/>
      <c r="DZ1489" s="59"/>
      <c r="EA1489" s="59"/>
      <c r="EB1489" s="59"/>
      <c r="EC1489" s="59"/>
      <c r="ED1489" s="59"/>
      <c r="EE1489" s="59"/>
      <c r="EF1489" s="59"/>
      <c r="EG1489" s="59"/>
      <c r="EH1489" s="59"/>
      <c r="EI1489" s="59"/>
      <c r="EJ1489" s="59"/>
      <c r="EK1489" s="59"/>
      <c r="EL1489" s="59"/>
      <c r="EM1489" s="59"/>
      <c r="EN1489" s="59"/>
      <c r="EO1489" s="59"/>
      <c r="EP1489" s="59"/>
      <c r="EQ1489" s="59"/>
      <c r="ER1489" s="59"/>
      <c r="ES1489" s="59"/>
      <c r="ET1489" s="59"/>
      <c r="EU1489" s="59"/>
      <c r="EV1489" s="59"/>
      <c r="EW1489" s="59"/>
      <c r="EX1489" s="59"/>
      <c r="EY1489" s="59"/>
      <c r="EZ1489" s="59"/>
      <c r="FA1489" s="59"/>
      <c r="FB1489" s="59"/>
      <c r="FC1489" s="59"/>
      <c r="FD1489" s="59"/>
      <c r="FE1489" s="59"/>
      <c r="FF1489" s="59"/>
      <c r="FG1489" s="59"/>
      <c r="FH1489" s="59"/>
      <c r="FI1489" s="59"/>
      <c r="FJ1489" s="59"/>
      <c r="FK1489" s="59"/>
      <c r="FL1489" s="59"/>
      <c r="FM1489" s="59"/>
      <c r="FN1489" s="59"/>
      <c r="FO1489" s="59"/>
      <c r="FP1489" s="59"/>
      <c r="FQ1489" s="59"/>
      <c r="FR1489" s="59"/>
      <c r="FS1489" s="59"/>
      <c r="FT1489" s="59"/>
      <c r="FU1489" s="59"/>
      <c r="FV1489" s="59"/>
      <c r="FW1489" s="59"/>
      <c r="FX1489" s="59"/>
      <c r="FY1489" s="59"/>
      <c r="FZ1489" s="59"/>
      <c r="GA1489" s="59"/>
      <c r="GB1489" s="59"/>
      <c r="GC1489" s="59"/>
    </row>
    <row r="1490">
      <c r="A1490" s="59"/>
      <c r="B1490" s="59"/>
      <c r="C1490" s="59"/>
      <c r="D1490" s="59"/>
      <c r="E1490" s="59"/>
      <c r="F1490" s="59"/>
      <c r="G1490" s="59"/>
      <c r="H1490" s="59"/>
      <c r="I1490" s="59"/>
      <c r="J1490" s="59"/>
      <c r="K1490" s="59"/>
      <c r="L1490" s="59"/>
      <c r="M1490" s="59"/>
      <c r="N1490" s="59"/>
      <c r="O1490" s="59"/>
      <c r="P1490" s="59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  <c r="AA1490" s="59"/>
      <c r="AB1490" s="59"/>
      <c r="AC1490" s="59"/>
      <c r="AD1490" s="59"/>
      <c r="AE1490" s="59"/>
      <c r="AF1490" s="59"/>
      <c r="AG1490" s="59"/>
      <c r="AH1490" s="59"/>
      <c r="AI1490" s="59"/>
      <c r="AJ1490" s="59"/>
      <c r="AK1490" s="59"/>
      <c r="AL1490" s="59"/>
      <c r="AM1490" s="59"/>
      <c r="AN1490" s="59"/>
      <c r="AO1490" s="59"/>
      <c r="AP1490" s="59"/>
      <c r="AQ1490" s="59"/>
      <c r="AR1490" s="59"/>
      <c r="AS1490" s="59"/>
      <c r="AT1490" s="59"/>
      <c r="AU1490" s="59"/>
      <c r="AV1490" s="59"/>
      <c r="AW1490" s="59"/>
      <c r="AX1490" s="59"/>
      <c r="AY1490" s="59"/>
      <c r="AZ1490" s="59"/>
      <c r="BA1490" s="59"/>
      <c r="BB1490" s="59"/>
      <c r="BC1490" s="59"/>
      <c r="BD1490" s="59"/>
      <c r="BE1490" s="59"/>
      <c r="BF1490" s="59"/>
      <c r="BG1490" s="59"/>
      <c r="BH1490" s="59"/>
      <c r="BI1490" s="59"/>
      <c r="BJ1490" s="59"/>
      <c r="BK1490" s="59"/>
      <c r="BL1490" s="59"/>
      <c r="BM1490" s="59"/>
      <c r="BN1490" s="59"/>
      <c r="BO1490" s="59"/>
      <c r="BP1490" s="59"/>
      <c r="BQ1490" s="59"/>
      <c r="BR1490" s="59"/>
      <c r="BS1490" s="59"/>
      <c r="BT1490" s="59"/>
      <c r="BU1490" s="59"/>
      <c r="BV1490" s="59"/>
      <c r="BW1490" s="59"/>
      <c r="BX1490" s="59"/>
      <c r="BY1490" s="59"/>
      <c r="BZ1490" s="59"/>
      <c r="CA1490" s="59"/>
      <c r="CB1490" s="59"/>
      <c r="CC1490" s="59"/>
      <c r="CD1490" s="59"/>
      <c r="CE1490" s="59"/>
      <c r="CF1490" s="59"/>
      <c r="CG1490" s="59"/>
      <c r="CH1490" s="59"/>
      <c r="CI1490" s="59"/>
      <c r="CJ1490" s="59"/>
      <c r="CK1490" s="59"/>
      <c r="CL1490" s="59"/>
      <c r="CM1490" s="59"/>
      <c r="CN1490" s="59"/>
      <c r="CO1490" s="59"/>
      <c r="CP1490" s="59"/>
      <c r="CQ1490" s="59"/>
      <c r="CR1490" s="59"/>
      <c r="CS1490" s="59"/>
      <c r="CT1490" s="59"/>
      <c r="CU1490" s="59"/>
      <c r="CV1490" s="59"/>
      <c r="CW1490" s="59"/>
      <c r="CX1490" s="59"/>
      <c r="CY1490" s="59"/>
      <c r="CZ1490" s="59"/>
      <c r="DA1490" s="59"/>
      <c r="DB1490" s="59"/>
      <c r="DC1490" s="59"/>
      <c r="DD1490" s="59"/>
      <c r="DE1490" s="59"/>
      <c r="DF1490" s="59"/>
      <c r="DG1490" s="59"/>
      <c r="DH1490" s="59"/>
      <c r="DI1490" s="59"/>
      <c r="DJ1490" s="59"/>
      <c r="DK1490" s="59"/>
      <c r="DL1490" s="59"/>
      <c r="DM1490" s="59"/>
      <c r="DN1490" s="59"/>
      <c r="DO1490" s="59"/>
      <c r="DP1490" s="59"/>
      <c r="DQ1490" s="59"/>
      <c r="DR1490" s="59"/>
      <c r="DS1490" s="59"/>
      <c r="DT1490" s="59"/>
      <c r="DU1490" s="59"/>
      <c r="DV1490" s="59"/>
      <c r="DW1490" s="59"/>
      <c r="DX1490" s="59"/>
      <c r="DY1490" s="59"/>
      <c r="DZ1490" s="59"/>
      <c r="EA1490" s="59"/>
      <c r="EB1490" s="59"/>
      <c r="EC1490" s="59"/>
      <c r="ED1490" s="59"/>
      <c r="EE1490" s="59"/>
      <c r="EF1490" s="59"/>
      <c r="EG1490" s="59"/>
      <c r="EH1490" s="59"/>
      <c r="EI1490" s="59"/>
      <c r="EJ1490" s="59"/>
      <c r="EK1490" s="59"/>
      <c r="EL1490" s="59"/>
      <c r="EM1490" s="59"/>
      <c r="EN1490" s="59"/>
      <c r="EO1490" s="59"/>
      <c r="EP1490" s="59"/>
      <c r="EQ1490" s="59"/>
      <c r="ER1490" s="59"/>
      <c r="ES1490" s="59"/>
      <c r="ET1490" s="59"/>
      <c r="EU1490" s="59"/>
      <c r="EV1490" s="59"/>
      <c r="EW1490" s="59"/>
      <c r="EX1490" s="59"/>
      <c r="EY1490" s="59"/>
      <c r="EZ1490" s="59"/>
      <c r="FA1490" s="59"/>
      <c r="FB1490" s="59"/>
      <c r="FC1490" s="59"/>
      <c r="FD1490" s="59"/>
      <c r="FE1490" s="59"/>
      <c r="FF1490" s="59"/>
      <c r="FG1490" s="59"/>
      <c r="FH1490" s="59"/>
      <c r="FI1490" s="59"/>
      <c r="FJ1490" s="59"/>
      <c r="FK1490" s="59"/>
      <c r="FL1490" s="59"/>
      <c r="FM1490" s="59"/>
      <c r="FN1490" s="59"/>
      <c r="FO1490" s="59"/>
      <c r="FP1490" s="59"/>
      <c r="FQ1490" s="59"/>
      <c r="FR1490" s="59"/>
      <c r="FS1490" s="59"/>
      <c r="FT1490" s="59"/>
      <c r="FU1490" s="59"/>
      <c r="FV1490" s="59"/>
      <c r="FW1490" s="59"/>
      <c r="FX1490" s="59"/>
      <c r="FY1490" s="59"/>
      <c r="FZ1490" s="59"/>
      <c r="GA1490" s="59"/>
      <c r="GB1490" s="59"/>
      <c r="GC1490" s="59"/>
    </row>
    <row r="1491">
      <c r="A1491" s="59"/>
      <c r="B1491" s="59"/>
      <c r="C1491" s="59"/>
      <c r="D1491" s="59"/>
      <c r="E1491" s="59"/>
      <c r="F1491" s="59"/>
      <c r="G1491" s="59"/>
      <c r="H1491" s="59"/>
      <c r="I1491" s="59"/>
      <c r="J1491" s="59"/>
      <c r="K1491" s="59"/>
      <c r="L1491" s="59"/>
      <c r="M1491" s="59"/>
      <c r="N1491" s="59"/>
      <c r="O1491" s="59"/>
      <c r="P1491" s="59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  <c r="AA1491" s="59"/>
      <c r="AB1491" s="59"/>
      <c r="AC1491" s="59"/>
      <c r="AD1491" s="59"/>
      <c r="AE1491" s="59"/>
      <c r="AF1491" s="59"/>
      <c r="AG1491" s="59"/>
      <c r="AH1491" s="59"/>
      <c r="AI1491" s="59"/>
      <c r="AJ1491" s="59"/>
      <c r="AK1491" s="59"/>
      <c r="AL1491" s="59"/>
      <c r="AM1491" s="59"/>
      <c r="AN1491" s="59"/>
      <c r="AO1491" s="59"/>
      <c r="AP1491" s="59"/>
      <c r="AQ1491" s="59"/>
      <c r="AR1491" s="59"/>
      <c r="AS1491" s="59"/>
      <c r="AT1491" s="59"/>
      <c r="AU1491" s="59"/>
      <c r="AV1491" s="59"/>
      <c r="AW1491" s="59"/>
      <c r="AX1491" s="59"/>
      <c r="AY1491" s="59"/>
      <c r="AZ1491" s="59"/>
      <c r="BA1491" s="59"/>
      <c r="BB1491" s="59"/>
      <c r="BC1491" s="59"/>
      <c r="BD1491" s="59"/>
      <c r="BE1491" s="59"/>
      <c r="BF1491" s="59"/>
      <c r="BG1491" s="59"/>
      <c r="BH1491" s="59"/>
      <c r="BI1491" s="59"/>
      <c r="BJ1491" s="59"/>
      <c r="BK1491" s="59"/>
      <c r="BL1491" s="59"/>
      <c r="BM1491" s="59"/>
      <c r="BN1491" s="59"/>
      <c r="BO1491" s="59"/>
      <c r="BP1491" s="59"/>
      <c r="BQ1491" s="59"/>
      <c r="BR1491" s="59"/>
      <c r="BS1491" s="59"/>
      <c r="BT1491" s="59"/>
      <c r="BU1491" s="59"/>
      <c r="BV1491" s="59"/>
      <c r="BW1491" s="59"/>
      <c r="BX1491" s="59"/>
      <c r="BY1491" s="59"/>
      <c r="BZ1491" s="59"/>
      <c r="CA1491" s="59"/>
      <c r="CB1491" s="59"/>
      <c r="CC1491" s="59"/>
      <c r="CD1491" s="59"/>
      <c r="CE1491" s="59"/>
      <c r="CF1491" s="59"/>
      <c r="CG1491" s="59"/>
      <c r="CH1491" s="59"/>
      <c r="CI1491" s="59"/>
      <c r="CJ1491" s="59"/>
      <c r="CK1491" s="59"/>
      <c r="CL1491" s="59"/>
      <c r="CM1491" s="59"/>
      <c r="CN1491" s="59"/>
      <c r="CO1491" s="59"/>
      <c r="CP1491" s="59"/>
      <c r="CQ1491" s="59"/>
      <c r="CR1491" s="59"/>
      <c r="CS1491" s="59"/>
      <c r="CT1491" s="59"/>
      <c r="CU1491" s="59"/>
      <c r="CV1491" s="59"/>
      <c r="CW1491" s="59"/>
      <c r="CX1491" s="59"/>
      <c r="CY1491" s="59"/>
      <c r="CZ1491" s="59"/>
      <c r="DA1491" s="59"/>
      <c r="DB1491" s="59"/>
      <c r="DC1491" s="59"/>
      <c r="DD1491" s="59"/>
      <c r="DE1491" s="59"/>
      <c r="DF1491" s="59"/>
      <c r="DG1491" s="59"/>
      <c r="DH1491" s="59"/>
      <c r="DI1491" s="59"/>
      <c r="DJ1491" s="59"/>
      <c r="DK1491" s="59"/>
      <c r="DL1491" s="59"/>
      <c r="DM1491" s="59"/>
      <c r="DN1491" s="59"/>
      <c r="DO1491" s="59"/>
      <c r="DP1491" s="59"/>
      <c r="DQ1491" s="59"/>
      <c r="DR1491" s="59"/>
      <c r="DS1491" s="59"/>
      <c r="DT1491" s="59"/>
      <c r="DU1491" s="59"/>
      <c r="DV1491" s="59"/>
      <c r="DW1491" s="59"/>
      <c r="DX1491" s="59"/>
      <c r="DY1491" s="59"/>
      <c r="DZ1491" s="59"/>
      <c r="EA1491" s="59"/>
      <c r="EB1491" s="59"/>
      <c r="EC1491" s="59"/>
      <c r="ED1491" s="59"/>
      <c r="EE1491" s="59"/>
      <c r="EF1491" s="59"/>
      <c r="EG1491" s="59"/>
      <c r="EH1491" s="59"/>
      <c r="EI1491" s="59"/>
      <c r="EJ1491" s="59"/>
      <c r="EK1491" s="59"/>
      <c r="EL1491" s="59"/>
      <c r="EM1491" s="59"/>
      <c r="EN1491" s="59"/>
      <c r="EO1491" s="59"/>
      <c r="EP1491" s="59"/>
      <c r="EQ1491" s="59"/>
      <c r="ER1491" s="59"/>
      <c r="ES1491" s="59"/>
      <c r="ET1491" s="59"/>
      <c r="EU1491" s="59"/>
      <c r="EV1491" s="59"/>
      <c r="EW1491" s="59"/>
      <c r="EX1491" s="59"/>
      <c r="EY1491" s="59"/>
      <c r="EZ1491" s="59"/>
      <c r="FA1491" s="59"/>
      <c r="FB1491" s="59"/>
      <c r="FC1491" s="59"/>
      <c r="FD1491" s="59"/>
      <c r="FE1491" s="59"/>
      <c r="FF1491" s="59"/>
      <c r="FG1491" s="59"/>
      <c r="FH1491" s="59"/>
      <c r="FI1491" s="59"/>
      <c r="FJ1491" s="59"/>
      <c r="FK1491" s="59"/>
      <c r="FL1491" s="59"/>
      <c r="FM1491" s="59"/>
      <c r="FN1491" s="59"/>
      <c r="FO1491" s="59"/>
      <c r="FP1491" s="59"/>
      <c r="FQ1491" s="59"/>
      <c r="FR1491" s="59"/>
      <c r="FS1491" s="59"/>
      <c r="FT1491" s="59"/>
      <c r="FU1491" s="59"/>
      <c r="FV1491" s="59"/>
      <c r="FW1491" s="59"/>
      <c r="FX1491" s="59"/>
      <c r="FY1491" s="59"/>
      <c r="FZ1491" s="59"/>
      <c r="GA1491" s="59"/>
      <c r="GB1491" s="59"/>
      <c r="GC1491" s="59"/>
    </row>
    <row r="1492">
      <c r="A1492" s="59"/>
      <c r="B1492" s="59"/>
      <c r="C1492" s="59"/>
      <c r="D1492" s="59"/>
      <c r="E1492" s="59"/>
      <c r="F1492" s="59"/>
      <c r="G1492" s="59"/>
      <c r="H1492" s="59"/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59"/>
      <c r="AU1492" s="59"/>
      <c r="AV1492" s="59"/>
      <c r="AW1492" s="59"/>
      <c r="AX1492" s="59"/>
      <c r="AY1492" s="59"/>
      <c r="AZ1492" s="59"/>
      <c r="BA1492" s="59"/>
      <c r="BB1492" s="59"/>
      <c r="BC1492" s="59"/>
      <c r="BD1492" s="59"/>
      <c r="BE1492" s="59"/>
      <c r="BF1492" s="59"/>
      <c r="BG1492" s="59"/>
      <c r="BH1492" s="59"/>
      <c r="BI1492" s="59"/>
      <c r="BJ1492" s="59"/>
      <c r="BK1492" s="59"/>
      <c r="BL1492" s="59"/>
      <c r="BM1492" s="59"/>
      <c r="BN1492" s="59"/>
      <c r="BO1492" s="59"/>
      <c r="BP1492" s="59"/>
      <c r="BQ1492" s="59"/>
      <c r="BR1492" s="59"/>
      <c r="BS1492" s="59"/>
      <c r="BT1492" s="59"/>
      <c r="BU1492" s="59"/>
      <c r="BV1492" s="59"/>
      <c r="BW1492" s="59"/>
      <c r="BX1492" s="59"/>
      <c r="BY1492" s="59"/>
      <c r="BZ1492" s="59"/>
      <c r="CA1492" s="59"/>
      <c r="CB1492" s="59"/>
      <c r="CC1492" s="59"/>
      <c r="CD1492" s="59"/>
      <c r="CE1492" s="59"/>
      <c r="CF1492" s="59"/>
      <c r="CG1492" s="59"/>
      <c r="CH1492" s="59"/>
      <c r="CI1492" s="59"/>
      <c r="CJ1492" s="59"/>
      <c r="CK1492" s="59"/>
      <c r="CL1492" s="59"/>
      <c r="CM1492" s="59"/>
      <c r="CN1492" s="59"/>
      <c r="CO1492" s="59"/>
      <c r="CP1492" s="59"/>
      <c r="CQ1492" s="59"/>
      <c r="CR1492" s="59"/>
      <c r="CS1492" s="59"/>
      <c r="CT1492" s="59"/>
      <c r="CU1492" s="59"/>
      <c r="CV1492" s="59"/>
      <c r="CW1492" s="59"/>
      <c r="CX1492" s="59"/>
      <c r="CY1492" s="59"/>
      <c r="CZ1492" s="59"/>
      <c r="DA1492" s="59"/>
      <c r="DB1492" s="59"/>
      <c r="DC1492" s="59"/>
      <c r="DD1492" s="59"/>
      <c r="DE1492" s="59"/>
      <c r="DF1492" s="59"/>
      <c r="DG1492" s="59"/>
      <c r="DH1492" s="59"/>
      <c r="DI1492" s="59"/>
      <c r="DJ1492" s="59"/>
      <c r="DK1492" s="59"/>
      <c r="DL1492" s="59"/>
      <c r="DM1492" s="59"/>
      <c r="DN1492" s="59"/>
      <c r="DO1492" s="59"/>
      <c r="DP1492" s="59"/>
      <c r="DQ1492" s="59"/>
      <c r="DR1492" s="59"/>
      <c r="DS1492" s="59"/>
      <c r="DT1492" s="59"/>
      <c r="DU1492" s="59"/>
      <c r="DV1492" s="59"/>
      <c r="DW1492" s="59"/>
      <c r="DX1492" s="59"/>
      <c r="DY1492" s="59"/>
      <c r="DZ1492" s="59"/>
      <c r="EA1492" s="59"/>
      <c r="EB1492" s="59"/>
      <c r="EC1492" s="59"/>
      <c r="ED1492" s="59"/>
      <c r="EE1492" s="59"/>
      <c r="EF1492" s="59"/>
      <c r="EG1492" s="59"/>
      <c r="EH1492" s="59"/>
      <c r="EI1492" s="59"/>
      <c r="EJ1492" s="59"/>
      <c r="EK1492" s="59"/>
      <c r="EL1492" s="59"/>
      <c r="EM1492" s="59"/>
      <c r="EN1492" s="59"/>
      <c r="EO1492" s="59"/>
      <c r="EP1492" s="59"/>
      <c r="EQ1492" s="59"/>
      <c r="ER1492" s="59"/>
      <c r="ES1492" s="59"/>
      <c r="ET1492" s="59"/>
      <c r="EU1492" s="59"/>
      <c r="EV1492" s="59"/>
      <c r="EW1492" s="59"/>
      <c r="EX1492" s="59"/>
      <c r="EY1492" s="59"/>
      <c r="EZ1492" s="59"/>
      <c r="FA1492" s="59"/>
      <c r="FB1492" s="59"/>
      <c r="FC1492" s="59"/>
      <c r="FD1492" s="59"/>
      <c r="FE1492" s="59"/>
      <c r="FF1492" s="59"/>
      <c r="FG1492" s="59"/>
      <c r="FH1492" s="59"/>
      <c r="FI1492" s="59"/>
      <c r="FJ1492" s="59"/>
      <c r="FK1492" s="59"/>
      <c r="FL1492" s="59"/>
      <c r="FM1492" s="59"/>
      <c r="FN1492" s="59"/>
      <c r="FO1492" s="59"/>
      <c r="FP1492" s="59"/>
      <c r="FQ1492" s="59"/>
      <c r="FR1492" s="59"/>
      <c r="FS1492" s="59"/>
      <c r="FT1492" s="59"/>
      <c r="FU1492" s="59"/>
      <c r="FV1492" s="59"/>
      <c r="FW1492" s="59"/>
      <c r="FX1492" s="59"/>
      <c r="FY1492" s="59"/>
      <c r="FZ1492" s="59"/>
      <c r="GA1492" s="59"/>
      <c r="GB1492" s="59"/>
      <c r="GC1492" s="59"/>
    </row>
    <row r="1493">
      <c r="A1493" s="59"/>
      <c r="B1493" s="59"/>
      <c r="C1493" s="59"/>
      <c r="D1493" s="59"/>
      <c r="E1493" s="59"/>
      <c r="F1493" s="59"/>
      <c r="G1493" s="59"/>
      <c r="H1493" s="59"/>
      <c r="I1493" s="59"/>
      <c r="J1493" s="59"/>
      <c r="K1493" s="59"/>
      <c r="L1493" s="59"/>
      <c r="M1493" s="59"/>
      <c r="N1493" s="59"/>
      <c r="O1493" s="59"/>
      <c r="P1493" s="59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  <c r="AA1493" s="59"/>
      <c r="AB1493" s="59"/>
      <c r="AC1493" s="59"/>
      <c r="AD1493" s="59"/>
      <c r="AE1493" s="59"/>
      <c r="AF1493" s="59"/>
      <c r="AG1493" s="59"/>
      <c r="AH1493" s="59"/>
      <c r="AI1493" s="59"/>
      <c r="AJ1493" s="59"/>
      <c r="AK1493" s="59"/>
      <c r="AL1493" s="59"/>
      <c r="AM1493" s="59"/>
      <c r="AN1493" s="59"/>
      <c r="AO1493" s="59"/>
      <c r="AP1493" s="59"/>
      <c r="AQ1493" s="59"/>
      <c r="AR1493" s="59"/>
      <c r="AS1493" s="59"/>
      <c r="AT1493" s="59"/>
      <c r="AU1493" s="59"/>
      <c r="AV1493" s="59"/>
      <c r="AW1493" s="59"/>
      <c r="AX1493" s="59"/>
      <c r="AY1493" s="59"/>
      <c r="AZ1493" s="59"/>
      <c r="BA1493" s="59"/>
      <c r="BB1493" s="59"/>
      <c r="BC1493" s="59"/>
      <c r="BD1493" s="59"/>
      <c r="BE1493" s="59"/>
      <c r="BF1493" s="59"/>
      <c r="BG1493" s="59"/>
      <c r="BH1493" s="59"/>
      <c r="BI1493" s="59"/>
      <c r="BJ1493" s="59"/>
      <c r="BK1493" s="59"/>
      <c r="BL1493" s="59"/>
      <c r="BM1493" s="59"/>
      <c r="BN1493" s="59"/>
      <c r="BO1493" s="59"/>
      <c r="BP1493" s="59"/>
      <c r="BQ1493" s="59"/>
      <c r="BR1493" s="59"/>
      <c r="BS1493" s="59"/>
      <c r="BT1493" s="59"/>
      <c r="BU1493" s="59"/>
      <c r="BV1493" s="59"/>
      <c r="BW1493" s="59"/>
      <c r="BX1493" s="59"/>
      <c r="BY1493" s="59"/>
      <c r="BZ1493" s="59"/>
      <c r="CA1493" s="59"/>
      <c r="CB1493" s="59"/>
      <c r="CC1493" s="59"/>
      <c r="CD1493" s="59"/>
      <c r="CE1493" s="59"/>
      <c r="CF1493" s="59"/>
      <c r="CG1493" s="59"/>
      <c r="CH1493" s="59"/>
      <c r="CI1493" s="59"/>
      <c r="CJ1493" s="59"/>
      <c r="CK1493" s="59"/>
      <c r="CL1493" s="59"/>
      <c r="CM1493" s="59"/>
      <c r="CN1493" s="59"/>
      <c r="CO1493" s="59"/>
      <c r="CP1493" s="59"/>
      <c r="CQ1493" s="59"/>
      <c r="CR1493" s="59"/>
      <c r="CS1493" s="59"/>
      <c r="CT1493" s="59"/>
      <c r="CU1493" s="59"/>
      <c r="CV1493" s="59"/>
      <c r="CW1493" s="59"/>
      <c r="CX1493" s="59"/>
      <c r="CY1493" s="59"/>
      <c r="CZ1493" s="59"/>
      <c r="DA1493" s="59"/>
      <c r="DB1493" s="59"/>
      <c r="DC1493" s="59"/>
      <c r="DD1493" s="59"/>
      <c r="DE1493" s="59"/>
      <c r="DF1493" s="59"/>
      <c r="DG1493" s="59"/>
      <c r="DH1493" s="59"/>
      <c r="DI1493" s="59"/>
      <c r="DJ1493" s="59"/>
      <c r="DK1493" s="59"/>
      <c r="DL1493" s="59"/>
      <c r="DM1493" s="59"/>
      <c r="DN1493" s="59"/>
      <c r="DO1493" s="59"/>
      <c r="DP1493" s="59"/>
      <c r="DQ1493" s="59"/>
      <c r="DR1493" s="59"/>
      <c r="DS1493" s="59"/>
      <c r="DT1493" s="59"/>
      <c r="DU1493" s="59"/>
      <c r="DV1493" s="59"/>
      <c r="DW1493" s="59"/>
      <c r="DX1493" s="59"/>
      <c r="DY1493" s="59"/>
      <c r="DZ1493" s="59"/>
      <c r="EA1493" s="59"/>
      <c r="EB1493" s="59"/>
      <c r="EC1493" s="59"/>
      <c r="ED1493" s="59"/>
      <c r="EE1493" s="59"/>
      <c r="EF1493" s="59"/>
      <c r="EG1493" s="59"/>
      <c r="EH1493" s="59"/>
      <c r="EI1493" s="59"/>
      <c r="EJ1493" s="59"/>
      <c r="EK1493" s="59"/>
      <c r="EL1493" s="59"/>
      <c r="EM1493" s="59"/>
      <c r="EN1493" s="59"/>
      <c r="EO1493" s="59"/>
      <c r="EP1493" s="59"/>
      <c r="EQ1493" s="59"/>
      <c r="ER1493" s="59"/>
      <c r="ES1493" s="59"/>
      <c r="ET1493" s="59"/>
      <c r="EU1493" s="59"/>
      <c r="EV1493" s="59"/>
      <c r="EW1493" s="59"/>
      <c r="EX1493" s="59"/>
      <c r="EY1493" s="59"/>
      <c r="EZ1493" s="59"/>
      <c r="FA1493" s="59"/>
      <c r="FB1493" s="59"/>
      <c r="FC1493" s="59"/>
      <c r="FD1493" s="59"/>
      <c r="FE1493" s="59"/>
      <c r="FF1493" s="59"/>
      <c r="FG1493" s="59"/>
      <c r="FH1493" s="59"/>
      <c r="FI1493" s="59"/>
      <c r="FJ1493" s="59"/>
      <c r="FK1493" s="59"/>
      <c r="FL1493" s="59"/>
      <c r="FM1493" s="59"/>
      <c r="FN1493" s="59"/>
      <c r="FO1493" s="59"/>
      <c r="FP1493" s="59"/>
      <c r="FQ1493" s="59"/>
      <c r="FR1493" s="59"/>
      <c r="FS1493" s="59"/>
      <c r="FT1493" s="59"/>
      <c r="FU1493" s="59"/>
      <c r="FV1493" s="59"/>
      <c r="FW1493" s="59"/>
      <c r="FX1493" s="59"/>
      <c r="FY1493" s="59"/>
      <c r="FZ1493" s="59"/>
      <c r="GA1493" s="59"/>
      <c r="GB1493" s="59"/>
      <c r="GC1493" s="59"/>
    </row>
    <row r="1494">
      <c r="A1494" s="59"/>
      <c r="B1494" s="59"/>
      <c r="C1494" s="59"/>
      <c r="D1494" s="59"/>
      <c r="E1494" s="59"/>
      <c r="F1494" s="59"/>
      <c r="G1494" s="59"/>
      <c r="H1494" s="59"/>
      <c r="I1494" s="59"/>
      <c r="J1494" s="59"/>
      <c r="K1494" s="59"/>
      <c r="L1494" s="59"/>
      <c r="M1494" s="59"/>
      <c r="N1494" s="59"/>
      <c r="O1494" s="59"/>
      <c r="P1494" s="59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59"/>
      <c r="AU1494" s="59"/>
      <c r="AV1494" s="59"/>
      <c r="AW1494" s="59"/>
      <c r="AX1494" s="59"/>
      <c r="AY1494" s="59"/>
      <c r="AZ1494" s="59"/>
      <c r="BA1494" s="59"/>
      <c r="BB1494" s="59"/>
      <c r="BC1494" s="59"/>
      <c r="BD1494" s="59"/>
      <c r="BE1494" s="59"/>
      <c r="BF1494" s="59"/>
      <c r="BG1494" s="59"/>
      <c r="BH1494" s="59"/>
      <c r="BI1494" s="59"/>
      <c r="BJ1494" s="59"/>
      <c r="BK1494" s="59"/>
      <c r="BL1494" s="59"/>
      <c r="BM1494" s="59"/>
      <c r="BN1494" s="59"/>
      <c r="BO1494" s="59"/>
      <c r="BP1494" s="59"/>
      <c r="BQ1494" s="59"/>
      <c r="BR1494" s="59"/>
      <c r="BS1494" s="59"/>
      <c r="BT1494" s="59"/>
      <c r="BU1494" s="59"/>
      <c r="BV1494" s="59"/>
      <c r="BW1494" s="59"/>
      <c r="BX1494" s="59"/>
      <c r="BY1494" s="59"/>
      <c r="BZ1494" s="59"/>
      <c r="CA1494" s="59"/>
      <c r="CB1494" s="59"/>
      <c r="CC1494" s="59"/>
      <c r="CD1494" s="59"/>
      <c r="CE1494" s="59"/>
      <c r="CF1494" s="59"/>
      <c r="CG1494" s="59"/>
      <c r="CH1494" s="59"/>
      <c r="CI1494" s="59"/>
      <c r="CJ1494" s="59"/>
      <c r="CK1494" s="59"/>
      <c r="CL1494" s="59"/>
      <c r="CM1494" s="59"/>
      <c r="CN1494" s="59"/>
      <c r="CO1494" s="59"/>
      <c r="CP1494" s="59"/>
      <c r="CQ1494" s="59"/>
      <c r="CR1494" s="59"/>
      <c r="CS1494" s="59"/>
      <c r="CT1494" s="59"/>
      <c r="CU1494" s="59"/>
      <c r="CV1494" s="59"/>
      <c r="CW1494" s="59"/>
      <c r="CX1494" s="59"/>
      <c r="CY1494" s="59"/>
      <c r="CZ1494" s="59"/>
      <c r="DA1494" s="59"/>
      <c r="DB1494" s="59"/>
      <c r="DC1494" s="59"/>
      <c r="DD1494" s="59"/>
      <c r="DE1494" s="59"/>
      <c r="DF1494" s="59"/>
      <c r="DG1494" s="59"/>
      <c r="DH1494" s="59"/>
      <c r="DI1494" s="59"/>
      <c r="DJ1494" s="59"/>
      <c r="DK1494" s="59"/>
      <c r="DL1494" s="59"/>
      <c r="DM1494" s="59"/>
      <c r="DN1494" s="59"/>
      <c r="DO1494" s="59"/>
      <c r="DP1494" s="59"/>
      <c r="DQ1494" s="59"/>
      <c r="DR1494" s="59"/>
      <c r="DS1494" s="59"/>
      <c r="DT1494" s="59"/>
      <c r="DU1494" s="59"/>
      <c r="DV1494" s="59"/>
      <c r="DW1494" s="59"/>
      <c r="DX1494" s="59"/>
      <c r="DY1494" s="59"/>
      <c r="DZ1494" s="59"/>
      <c r="EA1494" s="59"/>
      <c r="EB1494" s="59"/>
      <c r="EC1494" s="59"/>
      <c r="ED1494" s="59"/>
      <c r="EE1494" s="59"/>
      <c r="EF1494" s="59"/>
      <c r="EG1494" s="59"/>
      <c r="EH1494" s="59"/>
      <c r="EI1494" s="59"/>
      <c r="EJ1494" s="59"/>
      <c r="EK1494" s="59"/>
      <c r="EL1494" s="59"/>
      <c r="EM1494" s="59"/>
      <c r="EN1494" s="59"/>
      <c r="EO1494" s="59"/>
      <c r="EP1494" s="59"/>
      <c r="EQ1494" s="59"/>
      <c r="ER1494" s="59"/>
      <c r="ES1494" s="59"/>
      <c r="ET1494" s="59"/>
      <c r="EU1494" s="59"/>
      <c r="EV1494" s="59"/>
      <c r="EW1494" s="59"/>
      <c r="EX1494" s="59"/>
      <c r="EY1494" s="59"/>
      <c r="EZ1494" s="59"/>
      <c r="FA1494" s="59"/>
      <c r="FB1494" s="59"/>
      <c r="FC1494" s="59"/>
      <c r="FD1494" s="59"/>
      <c r="FE1494" s="59"/>
      <c r="FF1494" s="59"/>
      <c r="FG1494" s="59"/>
      <c r="FH1494" s="59"/>
      <c r="FI1494" s="59"/>
      <c r="FJ1494" s="59"/>
      <c r="FK1494" s="59"/>
      <c r="FL1494" s="59"/>
      <c r="FM1494" s="59"/>
      <c r="FN1494" s="59"/>
      <c r="FO1494" s="59"/>
      <c r="FP1494" s="59"/>
      <c r="FQ1494" s="59"/>
      <c r="FR1494" s="59"/>
      <c r="FS1494" s="59"/>
      <c r="FT1494" s="59"/>
      <c r="FU1494" s="59"/>
      <c r="FV1494" s="59"/>
      <c r="FW1494" s="59"/>
      <c r="FX1494" s="59"/>
      <c r="FY1494" s="59"/>
      <c r="FZ1494" s="59"/>
      <c r="GA1494" s="59"/>
      <c r="GB1494" s="59"/>
      <c r="GC1494" s="59"/>
    </row>
    <row r="1495">
      <c r="A1495" s="59"/>
      <c r="B1495" s="59"/>
      <c r="C1495" s="59"/>
      <c r="D1495" s="59"/>
      <c r="E1495" s="59"/>
      <c r="F1495" s="59"/>
      <c r="G1495" s="59"/>
      <c r="H1495" s="59"/>
      <c r="I1495" s="59"/>
      <c r="J1495" s="59"/>
      <c r="K1495" s="59"/>
      <c r="L1495" s="59"/>
      <c r="M1495" s="59"/>
      <c r="N1495" s="59"/>
      <c r="O1495" s="59"/>
      <c r="P1495" s="59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  <c r="AA1495" s="59"/>
      <c r="AB1495" s="59"/>
      <c r="AC1495" s="59"/>
      <c r="AD1495" s="59"/>
      <c r="AE1495" s="59"/>
      <c r="AF1495" s="59"/>
      <c r="AG1495" s="59"/>
      <c r="AH1495" s="59"/>
      <c r="AI1495" s="59"/>
      <c r="AJ1495" s="59"/>
      <c r="AK1495" s="59"/>
      <c r="AL1495" s="59"/>
      <c r="AM1495" s="59"/>
      <c r="AN1495" s="59"/>
      <c r="AO1495" s="59"/>
      <c r="AP1495" s="59"/>
      <c r="AQ1495" s="59"/>
      <c r="AR1495" s="59"/>
      <c r="AS1495" s="59"/>
      <c r="AT1495" s="59"/>
      <c r="AU1495" s="59"/>
      <c r="AV1495" s="59"/>
      <c r="AW1495" s="59"/>
      <c r="AX1495" s="59"/>
      <c r="AY1495" s="59"/>
      <c r="AZ1495" s="59"/>
      <c r="BA1495" s="59"/>
      <c r="BB1495" s="59"/>
      <c r="BC1495" s="59"/>
      <c r="BD1495" s="59"/>
      <c r="BE1495" s="59"/>
      <c r="BF1495" s="59"/>
      <c r="BG1495" s="59"/>
      <c r="BH1495" s="59"/>
      <c r="BI1495" s="59"/>
      <c r="BJ1495" s="59"/>
      <c r="BK1495" s="59"/>
      <c r="BL1495" s="59"/>
      <c r="BM1495" s="59"/>
      <c r="BN1495" s="59"/>
      <c r="BO1495" s="59"/>
      <c r="BP1495" s="59"/>
      <c r="BQ1495" s="59"/>
      <c r="BR1495" s="59"/>
      <c r="BS1495" s="59"/>
      <c r="BT1495" s="59"/>
      <c r="BU1495" s="59"/>
      <c r="BV1495" s="59"/>
      <c r="BW1495" s="59"/>
      <c r="BX1495" s="59"/>
      <c r="BY1495" s="59"/>
      <c r="BZ1495" s="59"/>
      <c r="CA1495" s="59"/>
      <c r="CB1495" s="59"/>
      <c r="CC1495" s="59"/>
      <c r="CD1495" s="59"/>
      <c r="CE1495" s="59"/>
      <c r="CF1495" s="59"/>
      <c r="CG1495" s="59"/>
      <c r="CH1495" s="59"/>
      <c r="CI1495" s="59"/>
      <c r="CJ1495" s="59"/>
      <c r="CK1495" s="59"/>
      <c r="CL1495" s="59"/>
      <c r="CM1495" s="59"/>
      <c r="CN1495" s="59"/>
      <c r="CO1495" s="59"/>
      <c r="CP1495" s="59"/>
      <c r="CQ1495" s="59"/>
      <c r="CR1495" s="59"/>
      <c r="CS1495" s="59"/>
      <c r="CT1495" s="59"/>
      <c r="CU1495" s="59"/>
      <c r="CV1495" s="59"/>
      <c r="CW1495" s="59"/>
      <c r="CX1495" s="59"/>
      <c r="CY1495" s="59"/>
      <c r="CZ1495" s="59"/>
      <c r="DA1495" s="59"/>
      <c r="DB1495" s="59"/>
      <c r="DC1495" s="59"/>
      <c r="DD1495" s="59"/>
      <c r="DE1495" s="59"/>
      <c r="DF1495" s="59"/>
      <c r="DG1495" s="59"/>
      <c r="DH1495" s="59"/>
      <c r="DI1495" s="59"/>
      <c r="DJ1495" s="59"/>
      <c r="DK1495" s="59"/>
      <c r="DL1495" s="59"/>
      <c r="DM1495" s="59"/>
      <c r="DN1495" s="59"/>
      <c r="DO1495" s="59"/>
      <c r="DP1495" s="59"/>
      <c r="DQ1495" s="59"/>
      <c r="DR1495" s="59"/>
      <c r="DS1495" s="59"/>
      <c r="DT1495" s="59"/>
      <c r="DU1495" s="59"/>
      <c r="DV1495" s="59"/>
      <c r="DW1495" s="59"/>
      <c r="DX1495" s="59"/>
      <c r="DY1495" s="59"/>
      <c r="DZ1495" s="59"/>
      <c r="EA1495" s="59"/>
      <c r="EB1495" s="59"/>
      <c r="EC1495" s="59"/>
      <c r="ED1495" s="59"/>
      <c r="EE1495" s="59"/>
      <c r="EF1495" s="59"/>
      <c r="EG1495" s="59"/>
      <c r="EH1495" s="59"/>
      <c r="EI1495" s="59"/>
      <c r="EJ1495" s="59"/>
      <c r="EK1495" s="59"/>
      <c r="EL1495" s="59"/>
      <c r="EM1495" s="59"/>
      <c r="EN1495" s="59"/>
      <c r="EO1495" s="59"/>
      <c r="EP1495" s="59"/>
      <c r="EQ1495" s="59"/>
      <c r="ER1495" s="59"/>
      <c r="ES1495" s="59"/>
      <c r="ET1495" s="59"/>
      <c r="EU1495" s="59"/>
      <c r="EV1495" s="59"/>
      <c r="EW1495" s="59"/>
      <c r="EX1495" s="59"/>
      <c r="EY1495" s="59"/>
      <c r="EZ1495" s="59"/>
      <c r="FA1495" s="59"/>
      <c r="FB1495" s="59"/>
      <c r="FC1495" s="59"/>
      <c r="FD1495" s="59"/>
      <c r="FE1495" s="59"/>
      <c r="FF1495" s="59"/>
      <c r="FG1495" s="59"/>
      <c r="FH1495" s="59"/>
      <c r="FI1495" s="59"/>
      <c r="FJ1495" s="59"/>
      <c r="FK1495" s="59"/>
      <c r="FL1495" s="59"/>
      <c r="FM1495" s="59"/>
      <c r="FN1495" s="59"/>
      <c r="FO1495" s="59"/>
      <c r="FP1495" s="59"/>
      <c r="FQ1495" s="59"/>
      <c r="FR1495" s="59"/>
      <c r="FS1495" s="59"/>
      <c r="FT1495" s="59"/>
      <c r="FU1495" s="59"/>
      <c r="FV1495" s="59"/>
      <c r="FW1495" s="59"/>
      <c r="FX1495" s="59"/>
      <c r="FY1495" s="59"/>
      <c r="FZ1495" s="59"/>
      <c r="GA1495" s="59"/>
      <c r="GB1495" s="59"/>
      <c r="GC1495" s="59"/>
    </row>
    <row r="1496">
      <c r="A1496" s="59"/>
      <c r="B1496" s="59"/>
      <c r="C1496" s="59"/>
      <c r="D1496" s="59"/>
      <c r="E1496" s="59"/>
      <c r="F1496" s="59"/>
      <c r="G1496" s="59"/>
      <c r="H1496" s="59"/>
      <c r="I1496" s="59"/>
      <c r="J1496" s="59"/>
      <c r="K1496" s="59"/>
      <c r="L1496" s="59"/>
      <c r="M1496" s="59"/>
      <c r="N1496" s="59"/>
      <c r="O1496" s="59"/>
      <c r="P1496" s="59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  <c r="AA1496" s="59"/>
      <c r="AB1496" s="59"/>
      <c r="AC1496" s="59"/>
      <c r="AD1496" s="59"/>
      <c r="AE1496" s="59"/>
      <c r="AF1496" s="59"/>
      <c r="AG1496" s="59"/>
      <c r="AH1496" s="59"/>
      <c r="AI1496" s="59"/>
      <c r="AJ1496" s="59"/>
      <c r="AK1496" s="59"/>
      <c r="AL1496" s="59"/>
      <c r="AM1496" s="59"/>
      <c r="AN1496" s="59"/>
      <c r="AO1496" s="59"/>
      <c r="AP1496" s="59"/>
      <c r="AQ1496" s="59"/>
      <c r="AR1496" s="59"/>
      <c r="AS1496" s="59"/>
      <c r="AT1496" s="59"/>
      <c r="AU1496" s="59"/>
      <c r="AV1496" s="59"/>
      <c r="AW1496" s="59"/>
      <c r="AX1496" s="59"/>
      <c r="AY1496" s="59"/>
      <c r="AZ1496" s="59"/>
      <c r="BA1496" s="59"/>
      <c r="BB1496" s="59"/>
      <c r="BC1496" s="59"/>
      <c r="BD1496" s="59"/>
      <c r="BE1496" s="59"/>
      <c r="BF1496" s="59"/>
      <c r="BG1496" s="59"/>
      <c r="BH1496" s="59"/>
      <c r="BI1496" s="59"/>
      <c r="BJ1496" s="59"/>
      <c r="BK1496" s="59"/>
      <c r="BL1496" s="59"/>
      <c r="BM1496" s="59"/>
      <c r="BN1496" s="59"/>
      <c r="BO1496" s="59"/>
      <c r="BP1496" s="59"/>
      <c r="BQ1496" s="59"/>
      <c r="BR1496" s="59"/>
      <c r="BS1496" s="59"/>
      <c r="BT1496" s="59"/>
      <c r="BU1496" s="59"/>
      <c r="BV1496" s="59"/>
      <c r="BW1496" s="59"/>
      <c r="BX1496" s="59"/>
      <c r="BY1496" s="59"/>
      <c r="BZ1496" s="59"/>
      <c r="CA1496" s="59"/>
      <c r="CB1496" s="59"/>
      <c r="CC1496" s="59"/>
      <c r="CD1496" s="59"/>
      <c r="CE1496" s="59"/>
      <c r="CF1496" s="59"/>
      <c r="CG1496" s="59"/>
      <c r="CH1496" s="59"/>
      <c r="CI1496" s="59"/>
      <c r="CJ1496" s="59"/>
      <c r="CK1496" s="59"/>
      <c r="CL1496" s="59"/>
      <c r="CM1496" s="59"/>
      <c r="CN1496" s="59"/>
      <c r="CO1496" s="59"/>
      <c r="CP1496" s="59"/>
      <c r="CQ1496" s="59"/>
      <c r="CR1496" s="59"/>
      <c r="CS1496" s="59"/>
      <c r="CT1496" s="59"/>
      <c r="CU1496" s="59"/>
      <c r="CV1496" s="59"/>
      <c r="CW1496" s="59"/>
      <c r="CX1496" s="59"/>
      <c r="CY1496" s="59"/>
      <c r="CZ1496" s="59"/>
      <c r="DA1496" s="59"/>
      <c r="DB1496" s="59"/>
      <c r="DC1496" s="59"/>
      <c r="DD1496" s="59"/>
      <c r="DE1496" s="59"/>
      <c r="DF1496" s="59"/>
      <c r="DG1496" s="59"/>
      <c r="DH1496" s="59"/>
      <c r="DI1496" s="59"/>
      <c r="DJ1496" s="59"/>
      <c r="DK1496" s="59"/>
      <c r="DL1496" s="59"/>
      <c r="DM1496" s="59"/>
      <c r="DN1496" s="59"/>
      <c r="DO1496" s="59"/>
      <c r="DP1496" s="59"/>
      <c r="DQ1496" s="59"/>
      <c r="DR1496" s="59"/>
      <c r="DS1496" s="59"/>
      <c r="DT1496" s="59"/>
      <c r="DU1496" s="59"/>
      <c r="DV1496" s="59"/>
      <c r="DW1496" s="59"/>
      <c r="DX1496" s="59"/>
      <c r="DY1496" s="59"/>
      <c r="DZ1496" s="59"/>
      <c r="EA1496" s="59"/>
      <c r="EB1496" s="59"/>
      <c r="EC1496" s="59"/>
      <c r="ED1496" s="59"/>
      <c r="EE1496" s="59"/>
      <c r="EF1496" s="59"/>
      <c r="EG1496" s="59"/>
      <c r="EH1496" s="59"/>
      <c r="EI1496" s="59"/>
      <c r="EJ1496" s="59"/>
      <c r="EK1496" s="59"/>
      <c r="EL1496" s="59"/>
      <c r="EM1496" s="59"/>
      <c r="EN1496" s="59"/>
      <c r="EO1496" s="59"/>
      <c r="EP1496" s="59"/>
      <c r="EQ1496" s="59"/>
      <c r="ER1496" s="59"/>
      <c r="ES1496" s="59"/>
      <c r="ET1496" s="59"/>
      <c r="EU1496" s="59"/>
      <c r="EV1496" s="59"/>
      <c r="EW1496" s="59"/>
      <c r="EX1496" s="59"/>
      <c r="EY1496" s="59"/>
      <c r="EZ1496" s="59"/>
      <c r="FA1496" s="59"/>
      <c r="FB1496" s="59"/>
      <c r="FC1496" s="59"/>
      <c r="FD1496" s="59"/>
      <c r="FE1496" s="59"/>
      <c r="FF1496" s="59"/>
      <c r="FG1496" s="59"/>
      <c r="FH1496" s="59"/>
      <c r="FI1496" s="59"/>
      <c r="FJ1496" s="59"/>
      <c r="FK1496" s="59"/>
      <c r="FL1496" s="59"/>
      <c r="FM1496" s="59"/>
      <c r="FN1496" s="59"/>
      <c r="FO1496" s="59"/>
      <c r="FP1496" s="59"/>
      <c r="FQ1496" s="59"/>
      <c r="FR1496" s="59"/>
      <c r="FS1496" s="59"/>
      <c r="FT1496" s="59"/>
      <c r="FU1496" s="59"/>
      <c r="FV1496" s="59"/>
      <c r="FW1496" s="59"/>
      <c r="FX1496" s="59"/>
      <c r="FY1496" s="59"/>
      <c r="FZ1496" s="59"/>
      <c r="GA1496" s="59"/>
      <c r="GB1496" s="59"/>
      <c r="GC1496" s="59"/>
    </row>
    <row r="1497">
      <c r="A1497" s="59"/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59"/>
      <c r="N1497" s="59"/>
      <c r="O1497" s="59"/>
      <c r="P1497" s="59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59"/>
      <c r="AF1497" s="59"/>
      <c r="AG1497" s="59"/>
      <c r="AH1497" s="59"/>
      <c r="AI1497" s="59"/>
      <c r="AJ1497" s="59"/>
      <c r="AK1497" s="59"/>
      <c r="AL1497" s="59"/>
      <c r="AM1497" s="59"/>
      <c r="AN1497" s="59"/>
      <c r="AO1497" s="59"/>
      <c r="AP1497" s="59"/>
      <c r="AQ1497" s="59"/>
      <c r="AR1497" s="59"/>
      <c r="AS1497" s="59"/>
      <c r="AT1497" s="59"/>
      <c r="AU1497" s="59"/>
      <c r="AV1497" s="59"/>
      <c r="AW1497" s="59"/>
      <c r="AX1497" s="59"/>
      <c r="AY1497" s="59"/>
      <c r="AZ1497" s="59"/>
      <c r="BA1497" s="59"/>
      <c r="BB1497" s="59"/>
      <c r="BC1497" s="59"/>
      <c r="BD1497" s="59"/>
      <c r="BE1497" s="59"/>
      <c r="BF1497" s="59"/>
      <c r="BG1497" s="59"/>
      <c r="BH1497" s="59"/>
      <c r="BI1497" s="59"/>
      <c r="BJ1497" s="59"/>
      <c r="BK1497" s="59"/>
      <c r="BL1497" s="59"/>
      <c r="BM1497" s="59"/>
      <c r="BN1497" s="59"/>
      <c r="BO1497" s="59"/>
      <c r="BP1497" s="59"/>
      <c r="BQ1497" s="59"/>
      <c r="BR1497" s="59"/>
      <c r="BS1497" s="59"/>
      <c r="BT1497" s="59"/>
      <c r="BU1497" s="59"/>
      <c r="BV1497" s="59"/>
      <c r="BW1497" s="59"/>
      <c r="BX1497" s="59"/>
      <c r="BY1497" s="59"/>
      <c r="BZ1497" s="59"/>
      <c r="CA1497" s="59"/>
      <c r="CB1497" s="59"/>
      <c r="CC1497" s="59"/>
      <c r="CD1497" s="59"/>
      <c r="CE1497" s="59"/>
      <c r="CF1497" s="59"/>
      <c r="CG1497" s="59"/>
      <c r="CH1497" s="59"/>
      <c r="CI1497" s="59"/>
      <c r="CJ1497" s="59"/>
      <c r="CK1497" s="59"/>
      <c r="CL1497" s="59"/>
      <c r="CM1497" s="59"/>
      <c r="CN1497" s="59"/>
      <c r="CO1497" s="59"/>
      <c r="CP1497" s="59"/>
      <c r="CQ1497" s="59"/>
      <c r="CR1497" s="59"/>
      <c r="CS1497" s="59"/>
      <c r="CT1497" s="59"/>
      <c r="CU1497" s="59"/>
      <c r="CV1497" s="59"/>
      <c r="CW1497" s="59"/>
      <c r="CX1497" s="59"/>
      <c r="CY1497" s="59"/>
      <c r="CZ1497" s="59"/>
      <c r="DA1497" s="59"/>
      <c r="DB1497" s="59"/>
      <c r="DC1497" s="59"/>
      <c r="DD1497" s="59"/>
      <c r="DE1497" s="59"/>
      <c r="DF1497" s="59"/>
      <c r="DG1497" s="59"/>
      <c r="DH1497" s="59"/>
      <c r="DI1497" s="59"/>
      <c r="DJ1497" s="59"/>
      <c r="DK1497" s="59"/>
      <c r="DL1497" s="59"/>
      <c r="DM1497" s="59"/>
      <c r="DN1497" s="59"/>
      <c r="DO1497" s="59"/>
      <c r="DP1497" s="59"/>
      <c r="DQ1497" s="59"/>
      <c r="DR1497" s="59"/>
      <c r="DS1497" s="59"/>
      <c r="DT1497" s="59"/>
      <c r="DU1497" s="59"/>
      <c r="DV1497" s="59"/>
      <c r="DW1497" s="59"/>
      <c r="DX1497" s="59"/>
      <c r="DY1497" s="59"/>
      <c r="DZ1497" s="59"/>
      <c r="EA1497" s="59"/>
      <c r="EB1497" s="59"/>
      <c r="EC1497" s="59"/>
      <c r="ED1497" s="59"/>
      <c r="EE1497" s="59"/>
      <c r="EF1497" s="59"/>
      <c r="EG1497" s="59"/>
      <c r="EH1497" s="59"/>
      <c r="EI1497" s="59"/>
      <c r="EJ1497" s="59"/>
      <c r="EK1497" s="59"/>
      <c r="EL1497" s="59"/>
      <c r="EM1497" s="59"/>
      <c r="EN1497" s="59"/>
      <c r="EO1497" s="59"/>
      <c r="EP1497" s="59"/>
      <c r="EQ1497" s="59"/>
      <c r="ER1497" s="59"/>
      <c r="ES1497" s="59"/>
      <c r="ET1497" s="59"/>
      <c r="EU1497" s="59"/>
      <c r="EV1497" s="59"/>
      <c r="EW1497" s="59"/>
      <c r="EX1497" s="59"/>
      <c r="EY1497" s="59"/>
      <c r="EZ1497" s="59"/>
      <c r="FA1497" s="59"/>
      <c r="FB1497" s="59"/>
      <c r="FC1497" s="59"/>
      <c r="FD1497" s="59"/>
      <c r="FE1497" s="59"/>
      <c r="FF1497" s="59"/>
      <c r="FG1497" s="59"/>
      <c r="FH1497" s="59"/>
      <c r="FI1497" s="59"/>
      <c r="FJ1497" s="59"/>
      <c r="FK1497" s="59"/>
      <c r="FL1497" s="59"/>
      <c r="FM1497" s="59"/>
      <c r="FN1497" s="59"/>
      <c r="FO1497" s="59"/>
      <c r="FP1497" s="59"/>
      <c r="FQ1497" s="59"/>
      <c r="FR1497" s="59"/>
      <c r="FS1497" s="59"/>
      <c r="FT1497" s="59"/>
      <c r="FU1497" s="59"/>
      <c r="FV1497" s="59"/>
      <c r="FW1497" s="59"/>
      <c r="FX1497" s="59"/>
      <c r="FY1497" s="59"/>
      <c r="FZ1497" s="59"/>
      <c r="GA1497" s="59"/>
      <c r="GB1497" s="59"/>
      <c r="GC1497" s="59"/>
    </row>
    <row r="1498">
      <c r="A1498" s="59"/>
      <c r="B1498" s="59"/>
      <c r="C1498" s="59"/>
      <c r="D1498" s="59"/>
      <c r="E1498" s="59"/>
      <c r="F1498" s="59"/>
      <c r="G1498" s="59"/>
      <c r="H1498" s="59"/>
      <c r="I1498" s="59"/>
      <c r="J1498" s="59"/>
      <c r="K1498" s="59"/>
      <c r="L1498" s="59"/>
      <c r="M1498" s="59"/>
      <c r="N1498" s="59"/>
      <c r="O1498" s="59"/>
      <c r="P1498" s="59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  <c r="AA1498" s="59"/>
      <c r="AB1498" s="59"/>
      <c r="AC1498" s="59"/>
      <c r="AD1498" s="59"/>
      <c r="AE1498" s="59"/>
      <c r="AF1498" s="59"/>
      <c r="AG1498" s="59"/>
      <c r="AH1498" s="59"/>
      <c r="AI1498" s="59"/>
      <c r="AJ1498" s="59"/>
      <c r="AK1498" s="59"/>
      <c r="AL1498" s="59"/>
      <c r="AM1498" s="59"/>
      <c r="AN1498" s="59"/>
      <c r="AO1498" s="59"/>
      <c r="AP1498" s="59"/>
      <c r="AQ1498" s="59"/>
      <c r="AR1498" s="59"/>
      <c r="AS1498" s="59"/>
      <c r="AT1498" s="59"/>
      <c r="AU1498" s="59"/>
      <c r="AV1498" s="59"/>
      <c r="AW1498" s="59"/>
      <c r="AX1498" s="59"/>
      <c r="AY1498" s="59"/>
      <c r="AZ1498" s="59"/>
      <c r="BA1498" s="59"/>
      <c r="BB1498" s="59"/>
      <c r="BC1498" s="59"/>
      <c r="BD1498" s="59"/>
      <c r="BE1498" s="59"/>
      <c r="BF1498" s="59"/>
      <c r="BG1498" s="59"/>
      <c r="BH1498" s="59"/>
      <c r="BI1498" s="59"/>
      <c r="BJ1498" s="59"/>
      <c r="BK1498" s="59"/>
      <c r="BL1498" s="59"/>
      <c r="BM1498" s="59"/>
      <c r="BN1498" s="59"/>
      <c r="BO1498" s="59"/>
      <c r="BP1498" s="59"/>
      <c r="BQ1498" s="59"/>
      <c r="BR1498" s="59"/>
      <c r="BS1498" s="59"/>
      <c r="BT1498" s="59"/>
      <c r="BU1498" s="59"/>
      <c r="BV1498" s="59"/>
      <c r="BW1498" s="59"/>
      <c r="BX1498" s="59"/>
      <c r="BY1498" s="59"/>
      <c r="BZ1498" s="59"/>
      <c r="CA1498" s="59"/>
      <c r="CB1498" s="59"/>
      <c r="CC1498" s="59"/>
      <c r="CD1498" s="59"/>
      <c r="CE1498" s="59"/>
      <c r="CF1498" s="59"/>
      <c r="CG1498" s="59"/>
      <c r="CH1498" s="59"/>
      <c r="CI1498" s="59"/>
      <c r="CJ1498" s="59"/>
      <c r="CK1498" s="59"/>
      <c r="CL1498" s="59"/>
      <c r="CM1498" s="59"/>
      <c r="CN1498" s="59"/>
      <c r="CO1498" s="59"/>
      <c r="CP1498" s="59"/>
      <c r="CQ1498" s="59"/>
      <c r="CR1498" s="59"/>
      <c r="CS1498" s="59"/>
      <c r="CT1498" s="59"/>
      <c r="CU1498" s="59"/>
      <c r="CV1498" s="59"/>
      <c r="CW1498" s="59"/>
      <c r="CX1498" s="59"/>
      <c r="CY1498" s="59"/>
      <c r="CZ1498" s="59"/>
      <c r="DA1498" s="59"/>
      <c r="DB1498" s="59"/>
      <c r="DC1498" s="59"/>
      <c r="DD1498" s="59"/>
      <c r="DE1498" s="59"/>
      <c r="DF1498" s="59"/>
      <c r="DG1498" s="59"/>
      <c r="DH1498" s="59"/>
      <c r="DI1498" s="59"/>
      <c r="DJ1498" s="59"/>
      <c r="DK1498" s="59"/>
      <c r="DL1498" s="59"/>
      <c r="DM1498" s="59"/>
      <c r="DN1498" s="59"/>
      <c r="DO1498" s="59"/>
      <c r="DP1498" s="59"/>
      <c r="DQ1498" s="59"/>
      <c r="DR1498" s="59"/>
      <c r="DS1498" s="59"/>
      <c r="DT1498" s="59"/>
      <c r="DU1498" s="59"/>
      <c r="DV1498" s="59"/>
      <c r="DW1498" s="59"/>
      <c r="DX1498" s="59"/>
      <c r="DY1498" s="59"/>
      <c r="DZ1498" s="59"/>
      <c r="EA1498" s="59"/>
      <c r="EB1498" s="59"/>
      <c r="EC1498" s="59"/>
      <c r="ED1498" s="59"/>
      <c r="EE1498" s="59"/>
      <c r="EF1498" s="59"/>
      <c r="EG1498" s="59"/>
      <c r="EH1498" s="59"/>
      <c r="EI1498" s="59"/>
      <c r="EJ1498" s="59"/>
      <c r="EK1498" s="59"/>
      <c r="EL1498" s="59"/>
      <c r="EM1498" s="59"/>
      <c r="EN1498" s="59"/>
      <c r="EO1498" s="59"/>
      <c r="EP1498" s="59"/>
      <c r="EQ1498" s="59"/>
      <c r="ER1498" s="59"/>
      <c r="ES1498" s="59"/>
      <c r="ET1498" s="59"/>
      <c r="EU1498" s="59"/>
      <c r="EV1498" s="59"/>
      <c r="EW1498" s="59"/>
      <c r="EX1498" s="59"/>
      <c r="EY1498" s="59"/>
      <c r="EZ1498" s="59"/>
      <c r="FA1498" s="59"/>
      <c r="FB1498" s="59"/>
      <c r="FC1498" s="59"/>
      <c r="FD1498" s="59"/>
      <c r="FE1498" s="59"/>
      <c r="FF1498" s="59"/>
      <c r="FG1498" s="59"/>
      <c r="FH1498" s="59"/>
      <c r="FI1498" s="59"/>
      <c r="FJ1498" s="59"/>
      <c r="FK1498" s="59"/>
      <c r="FL1498" s="59"/>
      <c r="FM1498" s="59"/>
      <c r="FN1498" s="59"/>
      <c r="FO1498" s="59"/>
      <c r="FP1498" s="59"/>
      <c r="FQ1498" s="59"/>
      <c r="FR1498" s="59"/>
      <c r="FS1498" s="59"/>
      <c r="FT1498" s="59"/>
      <c r="FU1498" s="59"/>
      <c r="FV1498" s="59"/>
      <c r="FW1498" s="59"/>
      <c r="FX1498" s="59"/>
      <c r="FY1498" s="59"/>
      <c r="FZ1498" s="59"/>
      <c r="GA1498" s="59"/>
      <c r="GB1498" s="59"/>
      <c r="GC1498" s="59"/>
    </row>
    <row r="1499">
      <c r="A1499" s="59"/>
      <c r="B1499" s="59"/>
      <c r="C1499" s="59"/>
      <c r="D1499" s="59"/>
      <c r="E1499" s="59"/>
      <c r="F1499" s="59"/>
      <c r="G1499" s="59"/>
      <c r="H1499" s="59"/>
      <c r="I1499" s="59"/>
      <c r="J1499" s="59"/>
      <c r="K1499" s="59"/>
      <c r="L1499" s="59"/>
      <c r="M1499" s="59"/>
      <c r="N1499" s="59"/>
      <c r="O1499" s="59"/>
      <c r="P1499" s="59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  <c r="AA1499" s="59"/>
      <c r="AB1499" s="59"/>
      <c r="AC1499" s="59"/>
      <c r="AD1499" s="59"/>
      <c r="AE1499" s="59"/>
      <c r="AF1499" s="59"/>
      <c r="AG1499" s="59"/>
      <c r="AH1499" s="59"/>
      <c r="AI1499" s="59"/>
      <c r="AJ1499" s="59"/>
      <c r="AK1499" s="59"/>
      <c r="AL1499" s="59"/>
      <c r="AM1499" s="59"/>
      <c r="AN1499" s="59"/>
      <c r="AO1499" s="59"/>
      <c r="AP1499" s="59"/>
      <c r="AQ1499" s="59"/>
      <c r="AR1499" s="59"/>
      <c r="AS1499" s="59"/>
      <c r="AT1499" s="59"/>
      <c r="AU1499" s="59"/>
      <c r="AV1499" s="59"/>
      <c r="AW1499" s="59"/>
      <c r="AX1499" s="59"/>
      <c r="AY1499" s="59"/>
      <c r="AZ1499" s="59"/>
      <c r="BA1499" s="59"/>
      <c r="BB1499" s="59"/>
      <c r="BC1499" s="59"/>
      <c r="BD1499" s="59"/>
      <c r="BE1499" s="59"/>
      <c r="BF1499" s="59"/>
      <c r="BG1499" s="59"/>
      <c r="BH1499" s="59"/>
      <c r="BI1499" s="59"/>
      <c r="BJ1499" s="59"/>
      <c r="BK1499" s="59"/>
      <c r="BL1499" s="59"/>
      <c r="BM1499" s="59"/>
      <c r="BN1499" s="59"/>
      <c r="BO1499" s="59"/>
      <c r="BP1499" s="59"/>
      <c r="BQ1499" s="59"/>
      <c r="BR1499" s="59"/>
      <c r="BS1499" s="59"/>
      <c r="BT1499" s="59"/>
      <c r="BU1499" s="59"/>
      <c r="BV1499" s="59"/>
      <c r="BW1499" s="59"/>
      <c r="BX1499" s="59"/>
      <c r="BY1499" s="59"/>
      <c r="BZ1499" s="59"/>
      <c r="CA1499" s="59"/>
      <c r="CB1499" s="59"/>
      <c r="CC1499" s="59"/>
      <c r="CD1499" s="59"/>
      <c r="CE1499" s="59"/>
      <c r="CF1499" s="59"/>
      <c r="CG1499" s="59"/>
      <c r="CH1499" s="59"/>
      <c r="CI1499" s="59"/>
      <c r="CJ1499" s="59"/>
      <c r="CK1499" s="59"/>
      <c r="CL1499" s="59"/>
      <c r="CM1499" s="59"/>
      <c r="CN1499" s="59"/>
      <c r="CO1499" s="59"/>
      <c r="CP1499" s="59"/>
      <c r="CQ1499" s="59"/>
      <c r="CR1499" s="59"/>
      <c r="CS1499" s="59"/>
      <c r="CT1499" s="59"/>
      <c r="CU1499" s="59"/>
      <c r="CV1499" s="59"/>
      <c r="CW1499" s="59"/>
      <c r="CX1499" s="59"/>
      <c r="CY1499" s="59"/>
      <c r="CZ1499" s="59"/>
      <c r="DA1499" s="59"/>
      <c r="DB1499" s="59"/>
      <c r="DC1499" s="59"/>
      <c r="DD1499" s="59"/>
      <c r="DE1499" s="59"/>
      <c r="DF1499" s="59"/>
      <c r="DG1499" s="59"/>
      <c r="DH1499" s="59"/>
      <c r="DI1499" s="59"/>
      <c r="DJ1499" s="59"/>
      <c r="DK1499" s="59"/>
      <c r="DL1499" s="59"/>
      <c r="DM1499" s="59"/>
      <c r="DN1499" s="59"/>
      <c r="DO1499" s="59"/>
      <c r="DP1499" s="59"/>
      <c r="DQ1499" s="59"/>
      <c r="DR1499" s="59"/>
      <c r="DS1499" s="59"/>
      <c r="DT1499" s="59"/>
      <c r="DU1499" s="59"/>
      <c r="DV1499" s="59"/>
      <c r="DW1499" s="59"/>
      <c r="DX1499" s="59"/>
      <c r="DY1499" s="59"/>
      <c r="DZ1499" s="59"/>
      <c r="EA1499" s="59"/>
      <c r="EB1499" s="59"/>
      <c r="EC1499" s="59"/>
      <c r="ED1499" s="59"/>
      <c r="EE1499" s="59"/>
      <c r="EF1499" s="59"/>
      <c r="EG1499" s="59"/>
      <c r="EH1499" s="59"/>
      <c r="EI1499" s="59"/>
      <c r="EJ1499" s="59"/>
      <c r="EK1499" s="59"/>
      <c r="EL1499" s="59"/>
      <c r="EM1499" s="59"/>
      <c r="EN1499" s="59"/>
      <c r="EO1499" s="59"/>
      <c r="EP1499" s="59"/>
      <c r="EQ1499" s="59"/>
      <c r="ER1499" s="59"/>
      <c r="ES1499" s="59"/>
      <c r="ET1499" s="59"/>
      <c r="EU1499" s="59"/>
      <c r="EV1499" s="59"/>
      <c r="EW1499" s="59"/>
      <c r="EX1499" s="59"/>
      <c r="EY1499" s="59"/>
      <c r="EZ1499" s="59"/>
      <c r="FA1499" s="59"/>
      <c r="FB1499" s="59"/>
      <c r="FC1499" s="59"/>
      <c r="FD1499" s="59"/>
      <c r="FE1499" s="59"/>
      <c r="FF1499" s="59"/>
      <c r="FG1499" s="59"/>
      <c r="FH1499" s="59"/>
      <c r="FI1499" s="59"/>
      <c r="FJ1499" s="59"/>
      <c r="FK1499" s="59"/>
      <c r="FL1499" s="59"/>
      <c r="FM1499" s="59"/>
      <c r="FN1499" s="59"/>
      <c r="FO1499" s="59"/>
      <c r="FP1499" s="59"/>
      <c r="FQ1499" s="59"/>
      <c r="FR1499" s="59"/>
      <c r="FS1499" s="59"/>
      <c r="FT1499" s="59"/>
      <c r="FU1499" s="59"/>
      <c r="FV1499" s="59"/>
      <c r="FW1499" s="59"/>
      <c r="FX1499" s="59"/>
      <c r="FY1499" s="59"/>
      <c r="FZ1499" s="59"/>
      <c r="GA1499" s="59"/>
      <c r="GB1499" s="59"/>
      <c r="GC1499" s="59"/>
    </row>
    <row r="1500">
      <c r="A1500" s="59"/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59"/>
      <c r="P1500" s="59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  <c r="AA1500" s="59"/>
      <c r="AB1500" s="59"/>
      <c r="AC1500" s="59"/>
      <c r="AD1500" s="59"/>
      <c r="AE1500" s="59"/>
      <c r="AF1500" s="59"/>
      <c r="AG1500" s="59"/>
      <c r="AH1500" s="59"/>
      <c r="AI1500" s="59"/>
      <c r="AJ1500" s="59"/>
      <c r="AK1500" s="59"/>
      <c r="AL1500" s="59"/>
      <c r="AM1500" s="59"/>
      <c r="AN1500" s="59"/>
      <c r="AO1500" s="59"/>
      <c r="AP1500" s="59"/>
      <c r="AQ1500" s="59"/>
      <c r="AR1500" s="59"/>
      <c r="AS1500" s="59"/>
      <c r="AT1500" s="59"/>
      <c r="AU1500" s="59"/>
      <c r="AV1500" s="59"/>
      <c r="AW1500" s="59"/>
      <c r="AX1500" s="59"/>
      <c r="AY1500" s="59"/>
      <c r="AZ1500" s="59"/>
      <c r="BA1500" s="59"/>
      <c r="BB1500" s="59"/>
      <c r="BC1500" s="59"/>
      <c r="BD1500" s="59"/>
      <c r="BE1500" s="59"/>
      <c r="BF1500" s="59"/>
      <c r="BG1500" s="59"/>
      <c r="BH1500" s="59"/>
      <c r="BI1500" s="59"/>
      <c r="BJ1500" s="59"/>
      <c r="BK1500" s="59"/>
      <c r="BL1500" s="59"/>
      <c r="BM1500" s="59"/>
      <c r="BN1500" s="59"/>
      <c r="BO1500" s="59"/>
      <c r="BP1500" s="59"/>
      <c r="BQ1500" s="59"/>
      <c r="BR1500" s="59"/>
      <c r="BS1500" s="59"/>
      <c r="BT1500" s="59"/>
      <c r="BU1500" s="59"/>
      <c r="BV1500" s="59"/>
      <c r="BW1500" s="59"/>
      <c r="BX1500" s="59"/>
      <c r="BY1500" s="59"/>
      <c r="BZ1500" s="59"/>
      <c r="CA1500" s="59"/>
      <c r="CB1500" s="59"/>
      <c r="CC1500" s="59"/>
      <c r="CD1500" s="59"/>
      <c r="CE1500" s="59"/>
      <c r="CF1500" s="59"/>
      <c r="CG1500" s="59"/>
      <c r="CH1500" s="59"/>
      <c r="CI1500" s="59"/>
      <c r="CJ1500" s="59"/>
      <c r="CK1500" s="59"/>
      <c r="CL1500" s="59"/>
      <c r="CM1500" s="59"/>
      <c r="CN1500" s="59"/>
      <c r="CO1500" s="59"/>
      <c r="CP1500" s="59"/>
      <c r="CQ1500" s="59"/>
      <c r="CR1500" s="59"/>
      <c r="CS1500" s="59"/>
      <c r="CT1500" s="59"/>
      <c r="CU1500" s="59"/>
      <c r="CV1500" s="59"/>
      <c r="CW1500" s="59"/>
      <c r="CX1500" s="59"/>
      <c r="CY1500" s="59"/>
      <c r="CZ1500" s="59"/>
      <c r="DA1500" s="59"/>
      <c r="DB1500" s="59"/>
      <c r="DC1500" s="59"/>
      <c r="DD1500" s="59"/>
      <c r="DE1500" s="59"/>
      <c r="DF1500" s="59"/>
      <c r="DG1500" s="59"/>
      <c r="DH1500" s="59"/>
      <c r="DI1500" s="59"/>
      <c r="DJ1500" s="59"/>
      <c r="DK1500" s="59"/>
      <c r="DL1500" s="59"/>
      <c r="DM1500" s="59"/>
      <c r="DN1500" s="59"/>
      <c r="DO1500" s="59"/>
      <c r="DP1500" s="59"/>
      <c r="DQ1500" s="59"/>
      <c r="DR1500" s="59"/>
      <c r="DS1500" s="59"/>
      <c r="DT1500" s="59"/>
      <c r="DU1500" s="59"/>
      <c r="DV1500" s="59"/>
      <c r="DW1500" s="59"/>
      <c r="DX1500" s="59"/>
      <c r="DY1500" s="59"/>
      <c r="DZ1500" s="59"/>
      <c r="EA1500" s="59"/>
      <c r="EB1500" s="59"/>
      <c r="EC1500" s="59"/>
      <c r="ED1500" s="59"/>
      <c r="EE1500" s="59"/>
      <c r="EF1500" s="59"/>
      <c r="EG1500" s="59"/>
      <c r="EH1500" s="59"/>
      <c r="EI1500" s="59"/>
      <c r="EJ1500" s="59"/>
      <c r="EK1500" s="59"/>
      <c r="EL1500" s="59"/>
      <c r="EM1500" s="59"/>
      <c r="EN1500" s="59"/>
      <c r="EO1500" s="59"/>
      <c r="EP1500" s="59"/>
      <c r="EQ1500" s="59"/>
      <c r="ER1500" s="59"/>
      <c r="ES1500" s="59"/>
      <c r="ET1500" s="59"/>
      <c r="EU1500" s="59"/>
      <c r="EV1500" s="59"/>
      <c r="EW1500" s="59"/>
      <c r="EX1500" s="59"/>
      <c r="EY1500" s="59"/>
      <c r="EZ1500" s="59"/>
      <c r="FA1500" s="59"/>
      <c r="FB1500" s="59"/>
      <c r="FC1500" s="59"/>
      <c r="FD1500" s="59"/>
      <c r="FE1500" s="59"/>
      <c r="FF1500" s="59"/>
      <c r="FG1500" s="59"/>
      <c r="FH1500" s="59"/>
      <c r="FI1500" s="59"/>
      <c r="FJ1500" s="59"/>
      <c r="FK1500" s="59"/>
      <c r="FL1500" s="59"/>
      <c r="FM1500" s="59"/>
      <c r="FN1500" s="59"/>
      <c r="FO1500" s="59"/>
      <c r="FP1500" s="59"/>
      <c r="FQ1500" s="59"/>
      <c r="FR1500" s="59"/>
      <c r="FS1500" s="59"/>
      <c r="FT1500" s="59"/>
      <c r="FU1500" s="59"/>
      <c r="FV1500" s="59"/>
      <c r="FW1500" s="59"/>
      <c r="FX1500" s="59"/>
      <c r="FY1500" s="59"/>
      <c r="FZ1500" s="59"/>
      <c r="GA1500" s="59"/>
      <c r="GB1500" s="59"/>
      <c r="GC1500" s="59"/>
    </row>
    <row r="1501">
      <c r="A1501" s="59"/>
      <c r="B1501" s="59"/>
      <c r="C1501" s="59"/>
      <c r="D1501" s="59"/>
      <c r="E1501" s="59"/>
      <c r="F1501" s="59"/>
      <c r="G1501" s="59"/>
      <c r="H1501" s="59"/>
      <c r="I1501" s="59"/>
      <c r="J1501" s="59"/>
      <c r="K1501" s="59"/>
      <c r="L1501" s="59"/>
      <c r="M1501" s="59"/>
      <c r="N1501" s="59"/>
      <c r="O1501" s="59"/>
      <c r="P1501" s="59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  <c r="AA1501" s="59"/>
      <c r="AB1501" s="59"/>
      <c r="AC1501" s="59"/>
      <c r="AD1501" s="59"/>
      <c r="AE1501" s="59"/>
      <c r="AF1501" s="59"/>
      <c r="AG1501" s="59"/>
      <c r="AH1501" s="59"/>
      <c r="AI1501" s="59"/>
      <c r="AJ1501" s="59"/>
      <c r="AK1501" s="59"/>
      <c r="AL1501" s="59"/>
      <c r="AM1501" s="59"/>
      <c r="AN1501" s="59"/>
      <c r="AO1501" s="59"/>
      <c r="AP1501" s="59"/>
      <c r="AQ1501" s="59"/>
      <c r="AR1501" s="59"/>
      <c r="AS1501" s="59"/>
      <c r="AT1501" s="59"/>
      <c r="AU1501" s="59"/>
      <c r="AV1501" s="59"/>
      <c r="AW1501" s="59"/>
      <c r="AX1501" s="59"/>
      <c r="AY1501" s="59"/>
      <c r="AZ1501" s="59"/>
      <c r="BA1501" s="59"/>
      <c r="BB1501" s="59"/>
      <c r="BC1501" s="59"/>
      <c r="BD1501" s="59"/>
      <c r="BE1501" s="59"/>
      <c r="BF1501" s="59"/>
      <c r="BG1501" s="59"/>
      <c r="BH1501" s="59"/>
      <c r="BI1501" s="59"/>
      <c r="BJ1501" s="59"/>
      <c r="BK1501" s="59"/>
      <c r="BL1501" s="59"/>
      <c r="BM1501" s="59"/>
      <c r="BN1501" s="59"/>
      <c r="BO1501" s="59"/>
      <c r="BP1501" s="59"/>
      <c r="BQ1501" s="59"/>
      <c r="BR1501" s="59"/>
      <c r="BS1501" s="59"/>
      <c r="BT1501" s="59"/>
      <c r="BU1501" s="59"/>
      <c r="BV1501" s="59"/>
      <c r="BW1501" s="59"/>
      <c r="BX1501" s="59"/>
      <c r="BY1501" s="59"/>
      <c r="BZ1501" s="59"/>
      <c r="CA1501" s="59"/>
      <c r="CB1501" s="59"/>
      <c r="CC1501" s="59"/>
      <c r="CD1501" s="59"/>
      <c r="CE1501" s="59"/>
      <c r="CF1501" s="59"/>
      <c r="CG1501" s="59"/>
      <c r="CH1501" s="59"/>
      <c r="CI1501" s="59"/>
      <c r="CJ1501" s="59"/>
      <c r="CK1501" s="59"/>
      <c r="CL1501" s="59"/>
      <c r="CM1501" s="59"/>
      <c r="CN1501" s="59"/>
      <c r="CO1501" s="59"/>
      <c r="CP1501" s="59"/>
      <c r="CQ1501" s="59"/>
      <c r="CR1501" s="59"/>
      <c r="CS1501" s="59"/>
      <c r="CT1501" s="59"/>
      <c r="CU1501" s="59"/>
      <c r="CV1501" s="59"/>
      <c r="CW1501" s="59"/>
      <c r="CX1501" s="59"/>
      <c r="CY1501" s="59"/>
      <c r="CZ1501" s="59"/>
      <c r="DA1501" s="59"/>
      <c r="DB1501" s="59"/>
      <c r="DC1501" s="59"/>
      <c r="DD1501" s="59"/>
      <c r="DE1501" s="59"/>
      <c r="DF1501" s="59"/>
      <c r="DG1501" s="59"/>
      <c r="DH1501" s="59"/>
      <c r="DI1501" s="59"/>
      <c r="DJ1501" s="59"/>
      <c r="DK1501" s="59"/>
      <c r="DL1501" s="59"/>
      <c r="DM1501" s="59"/>
      <c r="DN1501" s="59"/>
      <c r="DO1501" s="59"/>
      <c r="DP1501" s="59"/>
      <c r="DQ1501" s="59"/>
      <c r="DR1501" s="59"/>
      <c r="DS1501" s="59"/>
      <c r="DT1501" s="59"/>
      <c r="DU1501" s="59"/>
      <c r="DV1501" s="59"/>
      <c r="DW1501" s="59"/>
      <c r="DX1501" s="59"/>
      <c r="DY1501" s="59"/>
      <c r="DZ1501" s="59"/>
      <c r="EA1501" s="59"/>
      <c r="EB1501" s="59"/>
      <c r="EC1501" s="59"/>
      <c r="ED1501" s="59"/>
      <c r="EE1501" s="59"/>
      <c r="EF1501" s="59"/>
      <c r="EG1501" s="59"/>
      <c r="EH1501" s="59"/>
      <c r="EI1501" s="59"/>
      <c r="EJ1501" s="59"/>
      <c r="EK1501" s="59"/>
      <c r="EL1501" s="59"/>
      <c r="EM1501" s="59"/>
      <c r="EN1501" s="59"/>
      <c r="EO1501" s="59"/>
      <c r="EP1501" s="59"/>
      <c r="EQ1501" s="59"/>
      <c r="ER1501" s="59"/>
      <c r="ES1501" s="59"/>
      <c r="ET1501" s="59"/>
      <c r="EU1501" s="59"/>
      <c r="EV1501" s="59"/>
      <c r="EW1501" s="59"/>
      <c r="EX1501" s="59"/>
      <c r="EY1501" s="59"/>
      <c r="EZ1501" s="59"/>
      <c r="FA1501" s="59"/>
      <c r="FB1501" s="59"/>
      <c r="FC1501" s="59"/>
      <c r="FD1501" s="59"/>
      <c r="FE1501" s="59"/>
      <c r="FF1501" s="59"/>
      <c r="FG1501" s="59"/>
      <c r="FH1501" s="59"/>
      <c r="FI1501" s="59"/>
      <c r="FJ1501" s="59"/>
      <c r="FK1501" s="59"/>
      <c r="FL1501" s="59"/>
      <c r="FM1501" s="59"/>
      <c r="FN1501" s="59"/>
      <c r="FO1501" s="59"/>
      <c r="FP1501" s="59"/>
      <c r="FQ1501" s="59"/>
      <c r="FR1501" s="59"/>
      <c r="FS1501" s="59"/>
      <c r="FT1501" s="59"/>
      <c r="FU1501" s="59"/>
      <c r="FV1501" s="59"/>
      <c r="FW1501" s="59"/>
      <c r="FX1501" s="59"/>
      <c r="FY1501" s="59"/>
      <c r="FZ1501" s="59"/>
      <c r="GA1501" s="59"/>
      <c r="GB1501" s="59"/>
      <c r="GC1501" s="59"/>
    </row>
    <row r="1502">
      <c r="A1502" s="59"/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  <c r="AH1502" s="59"/>
      <c r="AI1502" s="59"/>
      <c r="AJ1502" s="59"/>
      <c r="AK1502" s="59"/>
      <c r="AL1502" s="59"/>
      <c r="AM1502" s="59"/>
      <c r="AN1502" s="59"/>
      <c r="AO1502" s="59"/>
      <c r="AP1502" s="59"/>
      <c r="AQ1502" s="59"/>
      <c r="AR1502" s="59"/>
      <c r="AS1502" s="59"/>
      <c r="AT1502" s="59"/>
      <c r="AU1502" s="59"/>
      <c r="AV1502" s="59"/>
      <c r="AW1502" s="59"/>
      <c r="AX1502" s="59"/>
      <c r="AY1502" s="59"/>
      <c r="AZ1502" s="59"/>
      <c r="BA1502" s="59"/>
      <c r="BB1502" s="59"/>
      <c r="BC1502" s="59"/>
      <c r="BD1502" s="59"/>
      <c r="BE1502" s="59"/>
      <c r="BF1502" s="59"/>
      <c r="BG1502" s="59"/>
      <c r="BH1502" s="59"/>
      <c r="BI1502" s="59"/>
      <c r="BJ1502" s="59"/>
      <c r="BK1502" s="59"/>
      <c r="BL1502" s="59"/>
      <c r="BM1502" s="59"/>
      <c r="BN1502" s="59"/>
      <c r="BO1502" s="59"/>
      <c r="BP1502" s="59"/>
      <c r="BQ1502" s="59"/>
      <c r="BR1502" s="59"/>
      <c r="BS1502" s="59"/>
      <c r="BT1502" s="59"/>
      <c r="BU1502" s="59"/>
      <c r="BV1502" s="59"/>
      <c r="BW1502" s="59"/>
      <c r="BX1502" s="59"/>
      <c r="BY1502" s="59"/>
      <c r="BZ1502" s="59"/>
      <c r="CA1502" s="59"/>
      <c r="CB1502" s="59"/>
      <c r="CC1502" s="59"/>
      <c r="CD1502" s="59"/>
      <c r="CE1502" s="59"/>
      <c r="CF1502" s="59"/>
      <c r="CG1502" s="59"/>
      <c r="CH1502" s="59"/>
      <c r="CI1502" s="59"/>
      <c r="CJ1502" s="59"/>
      <c r="CK1502" s="59"/>
      <c r="CL1502" s="59"/>
      <c r="CM1502" s="59"/>
      <c r="CN1502" s="59"/>
      <c r="CO1502" s="59"/>
      <c r="CP1502" s="59"/>
      <c r="CQ1502" s="59"/>
      <c r="CR1502" s="59"/>
      <c r="CS1502" s="59"/>
      <c r="CT1502" s="59"/>
      <c r="CU1502" s="59"/>
      <c r="CV1502" s="59"/>
      <c r="CW1502" s="59"/>
      <c r="CX1502" s="59"/>
      <c r="CY1502" s="59"/>
      <c r="CZ1502" s="59"/>
      <c r="DA1502" s="59"/>
      <c r="DB1502" s="59"/>
      <c r="DC1502" s="59"/>
      <c r="DD1502" s="59"/>
      <c r="DE1502" s="59"/>
      <c r="DF1502" s="59"/>
      <c r="DG1502" s="59"/>
      <c r="DH1502" s="59"/>
      <c r="DI1502" s="59"/>
      <c r="DJ1502" s="59"/>
      <c r="DK1502" s="59"/>
      <c r="DL1502" s="59"/>
      <c r="DM1502" s="59"/>
      <c r="DN1502" s="59"/>
      <c r="DO1502" s="59"/>
      <c r="DP1502" s="59"/>
      <c r="DQ1502" s="59"/>
      <c r="DR1502" s="59"/>
      <c r="DS1502" s="59"/>
      <c r="DT1502" s="59"/>
      <c r="DU1502" s="59"/>
      <c r="DV1502" s="59"/>
      <c r="DW1502" s="59"/>
      <c r="DX1502" s="59"/>
      <c r="DY1502" s="59"/>
      <c r="DZ1502" s="59"/>
      <c r="EA1502" s="59"/>
      <c r="EB1502" s="59"/>
      <c r="EC1502" s="59"/>
      <c r="ED1502" s="59"/>
      <c r="EE1502" s="59"/>
      <c r="EF1502" s="59"/>
      <c r="EG1502" s="59"/>
      <c r="EH1502" s="59"/>
      <c r="EI1502" s="59"/>
      <c r="EJ1502" s="59"/>
      <c r="EK1502" s="59"/>
      <c r="EL1502" s="59"/>
      <c r="EM1502" s="59"/>
      <c r="EN1502" s="59"/>
      <c r="EO1502" s="59"/>
      <c r="EP1502" s="59"/>
      <c r="EQ1502" s="59"/>
      <c r="ER1502" s="59"/>
      <c r="ES1502" s="59"/>
      <c r="ET1502" s="59"/>
      <c r="EU1502" s="59"/>
      <c r="EV1502" s="59"/>
      <c r="EW1502" s="59"/>
      <c r="EX1502" s="59"/>
      <c r="EY1502" s="59"/>
      <c r="EZ1502" s="59"/>
      <c r="FA1502" s="59"/>
      <c r="FB1502" s="59"/>
      <c r="FC1502" s="59"/>
      <c r="FD1502" s="59"/>
      <c r="FE1502" s="59"/>
      <c r="FF1502" s="59"/>
      <c r="FG1502" s="59"/>
      <c r="FH1502" s="59"/>
      <c r="FI1502" s="59"/>
      <c r="FJ1502" s="59"/>
      <c r="FK1502" s="59"/>
      <c r="FL1502" s="59"/>
      <c r="FM1502" s="59"/>
      <c r="FN1502" s="59"/>
      <c r="FO1502" s="59"/>
      <c r="FP1502" s="59"/>
      <c r="FQ1502" s="59"/>
      <c r="FR1502" s="59"/>
      <c r="FS1502" s="59"/>
      <c r="FT1502" s="59"/>
      <c r="FU1502" s="59"/>
      <c r="FV1502" s="59"/>
      <c r="FW1502" s="59"/>
      <c r="FX1502" s="59"/>
      <c r="FY1502" s="59"/>
      <c r="FZ1502" s="59"/>
      <c r="GA1502" s="59"/>
      <c r="GB1502" s="59"/>
      <c r="GC1502" s="59"/>
    </row>
    <row r="1503">
      <c r="A1503" s="59"/>
      <c r="B1503" s="59"/>
      <c r="C1503" s="59"/>
      <c r="D1503" s="59"/>
      <c r="E1503" s="59"/>
      <c r="F1503" s="59"/>
      <c r="G1503" s="59"/>
      <c r="H1503" s="59"/>
      <c r="I1503" s="59"/>
      <c r="J1503" s="59"/>
      <c r="K1503" s="59"/>
      <c r="L1503" s="59"/>
      <c r="M1503" s="59"/>
      <c r="N1503" s="59"/>
      <c r="O1503" s="59"/>
      <c r="P1503" s="59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  <c r="AA1503" s="59"/>
      <c r="AB1503" s="59"/>
      <c r="AC1503" s="59"/>
      <c r="AD1503" s="59"/>
      <c r="AE1503" s="59"/>
      <c r="AF1503" s="59"/>
      <c r="AG1503" s="59"/>
      <c r="AH1503" s="59"/>
      <c r="AI1503" s="59"/>
      <c r="AJ1503" s="59"/>
      <c r="AK1503" s="59"/>
      <c r="AL1503" s="59"/>
      <c r="AM1503" s="59"/>
      <c r="AN1503" s="59"/>
      <c r="AO1503" s="59"/>
      <c r="AP1503" s="59"/>
      <c r="AQ1503" s="59"/>
      <c r="AR1503" s="59"/>
      <c r="AS1503" s="59"/>
      <c r="AT1503" s="59"/>
      <c r="AU1503" s="59"/>
      <c r="AV1503" s="59"/>
      <c r="AW1503" s="59"/>
      <c r="AX1503" s="59"/>
      <c r="AY1503" s="59"/>
      <c r="AZ1503" s="59"/>
      <c r="BA1503" s="59"/>
      <c r="BB1503" s="59"/>
      <c r="BC1503" s="59"/>
      <c r="BD1503" s="59"/>
      <c r="BE1503" s="59"/>
      <c r="BF1503" s="59"/>
      <c r="BG1503" s="59"/>
      <c r="BH1503" s="59"/>
      <c r="BI1503" s="59"/>
      <c r="BJ1503" s="59"/>
      <c r="BK1503" s="59"/>
      <c r="BL1503" s="59"/>
      <c r="BM1503" s="59"/>
      <c r="BN1503" s="59"/>
      <c r="BO1503" s="59"/>
      <c r="BP1503" s="59"/>
      <c r="BQ1503" s="59"/>
      <c r="BR1503" s="59"/>
      <c r="BS1503" s="59"/>
      <c r="BT1503" s="59"/>
      <c r="BU1503" s="59"/>
      <c r="BV1503" s="59"/>
      <c r="BW1503" s="59"/>
      <c r="BX1503" s="59"/>
      <c r="BY1503" s="59"/>
      <c r="BZ1503" s="59"/>
      <c r="CA1503" s="59"/>
      <c r="CB1503" s="59"/>
      <c r="CC1503" s="59"/>
      <c r="CD1503" s="59"/>
      <c r="CE1503" s="59"/>
      <c r="CF1503" s="59"/>
      <c r="CG1503" s="59"/>
      <c r="CH1503" s="59"/>
      <c r="CI1503" s="59"/>
      <c r="CJ1503" s="59"/>
      <c r="CK1503" s="59"/>
      <c r="CL1503" s="59"/>
      <c r="CM1503" s="59"/>
      <c r="CN1503" s="59"/>
      <c r="CO1503" s="59"/>
      <c r="CP1503" s="59"/>
      <c r="CQ1503" s="59"/>
      <c r="CR1503" s="59"/>
      <c r="CS1503" s="59"/>
      <c r="CT1503" s="59"/>
      <c r="CU1503" s="59"/>
      <c r="CV1503" s="59"/>
      <c r="CW1503" s="59"/>
      <c r="CX1503" s="59"/>
      <c r="CY1503" s="59"/>
      <c r="CZ1503" s="59"/>
      <c r="DA1503" s="59"/>
      <c r="DB1503" s="59"/>
      <c r="DC1503" s="59"/>
      <c r="DD1503" s="59"/>
      <c r="DE1503" s="59"/>
      <c r="DF1503" s="59"/>
      <c r="DG1503" s="59"/>
      <c r="DH1503" s="59"/>
      <c r="DI1503" s="59"/>
      <c r="DJ1503" s="59"/>
      <c r="DK1503" s="59"/>
      <c r="DL1503" s="59"/>
      <c r="DM1503" s="59"/>
      <c r="DN1503" s="59"/>
      <c r="DO1503" s="59"/>
      <c r="DP1503" s="59"/>
      <c r="DQ1503" s="59"/>
      <c r="DR1503" s="59"/>
      <c r="DS1503" s="59"/>
      <c r="DT1503" s="59"/>
      <c r="DU1503" s="59"/>
      <c r="DV1503" s="59"/>
      <c r="DW1503" s="59"/>
      <c r="DX1503" s="59"/>
      <c r="DY1503" s="59"/>
      <c r="DZ1503" s="59"/>
      <c r="EA1503" s="59"/>
      <c r="EB1503" s="59"/>
      <c r="EC1503" s="59"/>
      <c r="ED1503" s="59"/>
      <c r="EE1503" s="59"/>
      <c r="EF1503" s="59"/>
      <c r="EG1503" s="59"/>
      <c r="EH1503" s="59"/>
      <c r="EI1503" s="59"/>
      <c r="EJ1503" s="59"/>
      <c r="EK1503" s="59"/>
      <c r="EL1503" s="59"/>
      <c r="EM1503" s="59"/>
      <c r="EN1503" s="59"/>
      <c r="EO1503" s="59"/>
      <c r="EP1503" s="59"/>
      <c r="EQ1503" s="59"/>
      <c r="ER1503" s="59"/>
      <c r="ES1503" s="59"/>
      <c r="ET1503" s="59"/>
      <c r="EU1503" s="59"/>
      <c r="EV1503" s="59"/>
      <c r="EW1503" s="59"/>
      <c r="EX1503" s="59"/>
      <c r="EY1503" s="59"/>
      <c r="EZ1503" s="59"/>
      <c r="FA1503" s="59"/>
      <c r="FB1503" s="59"/>
      <c r="FC1503" s="59"/>
      <c r="FD1503" s="59"/>
      <c r="FE1503" s="59"/>
      <c r="FF1503" s="59"/>
      <c r="FG1503" s="59"/>
      <c r="FH1503" s="59"/>
      <c r="FI1503" s="59"/>
      <c r="FJ1503" s="59"/>
      <c r="FK1503" s="59"/>
      <c r="FL1503" s="59"/>
      <c r="FM1503" s="59"/>
      <c r="FN1503" s="59"/>
      <c r="FO1503" s="59"/>
      <c r="FP1503" s="59"/>
      <c r="FQ1503" s="59"/>
      <c r="FR1503" s="59"/>
      <c r="FS1503" s="59"/>
      <c r="FT1503" s="59"/>
      <c r="FU1503" s="59"/>
      <c r="FV1503" s="59"/>
      <c r="FW1503" s="59"/>
      <c r="FX1503" s="59"/>
      <c r="FY1503" s="59"/>
      <c r="FZ1503" s="59"/>
      <c r="GA1503" s="59"/>
      <c r="GB1503" s="59"/>
      <c r="GC1503" s="59"/>
    </row>
    <row r="1504">
      <c r="A1504" s="59"/>
      <c r="B1504" s="59"/>
      <c r="C1504" s="59"/>
      <c r="D1504" s="59"/>
      <c r="E1504" s="59"/>
      <c r="F1504" s="59"/>
      <c r="G1504" s="59"/>
      <c r="H1504" s="59"/>
      <c r="I1504" s="59"/>
      <c r="J1504" s="59"/>
      <c r="K1504" s="59"/>
      <c r="L1504" s="59"/>
      <c r="M1504" s="59"/>
      <c r="N1504" s="59"/>
      <c r="O1504" s="59"/>
      <c r="P1504" s="59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  <c r="AA1504" s="59"/>
      <c r="AB1504" s="59"/>
      <c r="AC1504" s="59"/>
      <c r="AD1504" s="59"/>
      <c r="AE1504" s="59"/>
      <c r="AF1504" s="59"/>
      <c r="AG1504" s="59"/>
      <c r="AH1504" s="59"/>
      <c r="AI1504" s="59"/>
      <c r="AJ1504" s="59"/>
      <c r="AK1504" s="59"/>
      <c r="AL1504" s="59"/>
      <c r="AM1504" s="59"/>
      <c r="AN1504" s="59"/>
      <c r="AO1504" s="59"/>
      <c r="AP1504" s="59"/>
      <c r="AQ1504" s="59"/>
      <c r="AR1504" s="59"/>
      <c r="AS1504" s="59"/>
      <c r="AT1504" s="59"/>
      <c r="AU1504" s="59"/>
      <c r="AV1504" s="59"/>
      <c r="AW1504" s="59"/>
      <c r="AX1504" s="59"/>
      <c r="AY1504" s="59"/>
      <c r="AZ1504" s="59"/>
      <c r="BA1504" s="59"/>
      <c r="BB1504" s="59"/>
      <c r="BC1504" s="59"/>
      <c r="BD1504" s="59"/>
      <c r="BE1504" s="59"/>
      <c r="BF1504" s="59"/>
      <c r="BG1504" s="59"/>
      <c r="BH1504" s="59"/>
      <c r="BI1504" s="59"/>
      <c r="BJ1504" s="59"/>
      <c r="BK1504" s="59"/>
      <c r="BL1504" s="59"/>
      <c r="BM1504" s="59"/>
      <c r="BN1504" s="59"/>
      <c r="BO1504" s="59"/>
      <c r="BP1504" s="59"/>
      <c r="BQ1504" s="59"/>
      <c r="BR1504" s="59"/>
      <c r="BS1504" s="59"/>
      <c r="BT1504" s="59"/>
      <c r="BU1504" s="59"/>
      <c r="BV1504" s="59"/>
      <c r="BW1504" s="59"/>
      <c r="BX1504" s="59"/>
      <c r="BY1504" s="59"/>
      <c r="BZ1504" s="59"/>
      <c r="CA1504" s="59"/>
      <c r="CB1504" s="59"/>
      <c r="CC1504" s="59"/>
      <c r="CD1504" s="59"/>
      <c r="CE1504" s="59"/>
      <c r="CF1504" s="59"/>
      <c r="CG1504" s="59"/>
      <c r="CH1504" s="59"/>
      <c r="CI1504" s="59"/>
      <c r="CJ1504" s="59"/>
      <c r="CK1504" s="59"/>
      <c r="CL1504" s="59"/>
      <c r="CM1504" s="59"/>
      <c r="CN1504" s="59"/>
      <c r="CO1504" s="59"/>
      <c r="CP1504" s="59"/>
      <c r="CQ1504" s="59"/>
      <c r="CR1504" s="59"/>
      <c r="CS1504" s="59"/>
      <c r="CT1504" s="59"/>
      <c r="CU1504" s="59"/>
      <c r="CV1504" s="59"/>
      <c r="CW1504" s="59"/>
      <c r="CX1504" s="59"/>
      <c r="CY1504" s="59"/>
      <c r="CZ1504" s="59"/>
      <c r="DA1504" s="59"/>
      <c r="DB1504" s="59"/>
      <c r="DC1504" s="59"/>
      <c r="DD1504" s="59"/>
      <c r="DE1504" s="59"/>
      <c r="DF1504" s="59"/>
      <c r="DG1504" s="59"/>
      <c r="DH1504" s="59"/>
      <c r="DI1504" s="59"/>
      <c r="DJ1504" s="59"/>
      <c r="DK1504" s="59"/>
      <c r="DL1504" s="59"/>
      <c r="DM1504" s="59"/>
      <c r="DN1504" s="59"/>
      <c r="DO1504" s="59"/>
      <c r="DP1504" s="59"/>
      <c r="DQ1504" s="59"/>
      <c r="DR1504" s="59"/>
      <c r="DS1504" s="59"/>
      <c r="DT1504" s="59"/>
      <c r="DU1504" s="59"/>
      <c r="DV1504" s="59"/>
      <c r="DW1504" s="59"/>
      <c r="DX1504" s="59"/>
      <c r="DY1504" s="59"/>
      <c r="DZ1504" s="59"/>
      <c r="EA1504" s="59"/>
      <c r="EB1504" s="59"/>
      <c r="EC1504" s="59"/>
      <c r="ED1504" s="59"/>
      <c r="EE1504" s="59"/>
      <c r="EF1504" s="59"/>
      <c r="EG1504" s="59"/>
      <c r="EH1504" s="59"/>
      <c r="EI1504" s="59"/>
      <c r="EJ1504" s="59"/>
      <c r="EK1504" s="59"/>
      <c r="EL1504" s="59"/>
      <c r="EM1504" s="59"/>
      <c r="EN1504" s="59"/>
      <c r="EO1504" s="59"/>
      <c r="EP1504" s="59"/>
      <c r="EQ1504" s="59"/>
      <c r="ER1504" s="59"/>
      <c r="ES1504" s="59"/>
      <c r="ET1504" s="59"/>
      <c r="EU1504" s="59"/>
      <c r="EV1504" s="59"/>
      <c r="EW1504" s="59"/>
      <c r="EX1504" s="59"/>
      <c r="EY1504" s="59"/>
      <c r="EZ1504" s="59"/>
      <c r="FA1504" s="59"/>
      <c r="FB1504" s="59"/>
      <c r="FC1504" s="59"/>
      <c r="FD1504" s="59"/>
      <c r="FE1504" s="59"/>
      <c r="FF1504" s="59"/>
      <c r="FG1504" s="59"/>
      <c r="FH1504" s="59"/>
      <c r="FI1504" s="59"/>
      <c r="FJ1504" s="59"/>
      <c r="FK1504" s="59"/>
      <c r="FL1504" s="59"/>
      <c r="FM1504" s="59"/>
      <c r="FN1504" s="59"/>
      <c r="FO1504" s="59"/>
      <c r="FP1504" s="59"/>
      <c r="FQ1504" s="59"/>
      <c r="FR1504" s="59"/>
      <c r="FS1504" s="59"/>
      <c r="FT1504" s="59"/>
      <c r="FU1504" s="59"/>
      <c r="FV1504" s="59"/>
      <c r="FW1504" s="59"/>
      <c r="FX1504" s="59"/>
      <c r="FY1504" s="59"/>
      <c r="FZ1504" s="59"/>
      <c r="GA1504" s="59"/>
      <c r="GB1504" s="59"/>
      <c r="GC1504" s="59"/>
    </row>
    <row r="1505">
      <c r="A1505" s="59"/>
      <c r="B1505" s="59"/>
      <c r="C1505" s="59"/>
      <c r="D1505" s="59"/>
      <c r="E1505" s="59"/>
      <c r="F1505" s="59"/>
      <c r="G1505" s="59"/>
      <c r="H1505" s="59"/>
      <c r="I1505" s="59"/>
      <c r="J1505" s="59"/>
      <c r="K1505" s="59"/>
      <c r="L1505" s="59"/>
      <c r="M1505" s="59"/>
      <c r="N1505" s="59"/>
      <c r="O1505" s="59"/>
      <c r="P1505" s="59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  <c r="AA1505" s="59"/>
      <c r="AB1505" s="59"/>
      <c r="AC1505" s="59"/>
      <c r="AD1505" s="59"/>
      <c r="AE1505" s="59"/>
      <c r="AF1505" s="59"/>
      <c r="AG1505" s="59"/>
      <c r="AH1505" s="59"/>
      <c r="AI1505" s="59"/>
      <c r="AJ1505" s="59"/>
      <c r="AK1505" s="59"/>
      <c r="AL1505" s="59"/>
      <c r="AM1505" s="59"/>
      <c r="AN1505" s="59"/>
      <c r="AO1505" s="59"/>
      <c r="AP1505" s="59"/>
      <c r="AQ1505" s="59"/>
      <c r="AR1505" s="59"/>
      <c r="AS1505" s="59"/>
      <c r="AT1505" s="59"/>
      <c r="AU1505" s="59"/>
      <c r="AV1505" s="59"/>
      <c r="AW1505" s="59"/>
      <c r="AX1505" s="59"/>
      <c r="AY1505" s="59"/>
      <c r="AZ1505" s="59"/>
      <c r="BA1505" s="59"/>
      <c r="BB1505" s="59"/>
      <c r="BC1505" s="59"/>
      <c r="BD1505" s="59"/>
      <c r="BE1505" s="59"/>
      <c r="BF1505" s="59"/>
      <c r="BG1505" s="59"/>
      <c r="BH1505" s="59"/>
      <c r="BI1505" s="59"/>
      <c r="BJ1505" s="59"/>
      <c r="BK1505" s="59"/>
      <c r="BL1505" s="59"/>
      <c r="BM1505" s="59"/>
      <c r="BN1505" s="59"/>
      <c r="BO1505" s="59"/>
      <c r="BP1505" s="59"/>
      <c r="BQ1505" s="59"/>
      <c r="BR1505" s="59"/>
      <c r="BS1505" s="59"/>
      <c r="BT1505" s="59"/>
      <c r="BU1505" s="59"/>
      <c r="BV1505" s="59"/>
      <c r="BW1505" s="59"/>
      <c r="BX1505" s="59"/>
      <c r="BY1505" s="59"/>
      <c r="BZ1505" s="59"/>
      <c r="CA1505" s="59"/>
      <c r="CB1505" s="59"/>
      <c r="CC1505" s="59"/>
      <c r="CD1505" s="59"/>
      <c r="CE1505" s="59"/>
      <c r="CF1505" s="59"/>
      <c r="CG1505" s="59"/>
      <c r="CH1505" s="59"/>
      <c r="CI1505" s="59"/>
      <c r="CJ1505" s="59"/>
      <c r="CK1505" s="59"/>
      <c r="CL1505" s="59"/>
      <c r="CM1505" s="59"/>
      <c r="CN1505" s="59"/>
      <c r="CO1505" s="59"/>
      <c r="CP1505" s="59"/>
      <c r="CQ1505" s="59"/>
      <c r="CR1505" s="59"/>
      <c r="CS1505" s="59"/>
      <c r="CT1505" s="59"/>
      <c r="CU1505" s="59"/>
      <c r="CV1505" s="59"/>
      <c r="CW1505" s="59"/>
      <c r="CX1505" s="59"/>
      <c r="CY1505" s="59"/>
      <c r="CZ1505" s="59"/>
      <c r="DA1505" s="59"/>
      <c r="DB1505" s="59"/>
      <c r="DC1505" s="59"/>
      <c r="DD1505" s="59"/>
      <c r="DE1505" s="59"/>
      <c r="DF1505" s="59"/>
      <c r="DG1505" s="59"/>
      <c r="DH1505" s="59"/>
      <c r="DI1505" s="59"/>
      <c r="DJ1505" s="59"/>
      <c r="DK1505" s="59"/>
      <c r="DL1505" s="59"/>
      <c r="DM1505" s="59"/>
      <c r="DN1505" s="59"/>
      <c r="DO1505" s="59"/>
      <c r="DP1505" s="59"/>
      <c r="DQ1505" s="59"/>
      <c r="DR1505" s="59"/>
      <c r="DS1505" s="59"/>
      <c r="DT1505" s="59"/>
      <c r="DU1505" s="59"/>
      <c r="DV1505" s="59"/>
      <c r="DW1505" s="59"/>
      <c r="DX1505" s="59"/>
      <c r="DY1505" s="59"/>
      <c r="DZ1505" s="59"/>
      <c r="EA1505" s="59"/>
      <c r="EB1505" s="59"/>
      <c r="EC1505" s="59"/>
      <c r="ED1505" s="59"/>
      <c r="EE1505" s="59"/>
      <c r="EF1505" s="59"/>
      <c r="EG1505" s="59"/>
      <c r="EH1505" s="59"/>
      <c r="EI1505" s="59"/>
      <c r="EJ1505" s="59"/>
      <c r="EK1505" s="59"/>
      <c r="EL1505" s="59"/>
      <c r="EM1505" s="59"/>
      <c r="EN1505" s="59"/>
      <c r="EO1505" s="59"/>
      <c r="EP1505" s="59"/>
      <c r="EQ1505" s="59"/>
      <c r="ER1505" s="59"/>
      <c r="ES1505" s="59"/>
      <c r="ET1505" s="59"/>
      <c r="EU1505" s="59"/>
      <c r="EV1505" s="59"/>
      <c r="EW1505" s="59"/>
      <c r="EX1505" s="59"/>
      <c r="EY1505" s="59"/>
      <c r="EZ1505" s="59"/>
      <c r="FA1505" s="59"/>
      <c r="FB1505" s="59"/>
      <c r="FC1505" s="59"/>
      <c r="FD1505" s="59"/>
      <c r="FE1505" s="59"/>
      <c r="FF1505" s="59"/>
      <c r="FG1505" s="59"/>
      <c r="FH1505" s="59"/>
      <c r="FI1505" s="59"/>
      <c r="FJ1505" s="59"/>
      <c r="FK1505" s="59"/>
      <c r="FL1505" s="59"/>
      <c r="FM1505" s="59"/>
      <c r="FN1505" s="59"/>
      <c r="FO1505" s="59"/>
      <c r="FP1505" s="59"/>
      <c r="FQ1505" s="59"/>
      <c r="FR1505" s="59"/>
      <c r="FS1505" s="59"/>
      <c r="FT1505" s="59"/>
      <c r="FU1505" s="59"/>
      <c r="FV1505" s="59"/>
      <c r="FW1505" s="59"/>
      <c r="FX1505" s="59"/>
      <c r="FY1505" s="59"/>
      <c r="FZ1505" s="59"/>
      <c r="GA1505" s="59"/>
      <c r="GB1505" s="59"/>
      <c r="GC1505" s="59"/>
    </row>
    <row r="1506">
      <c r="A1506" s="59"/>
      <c r="B1506" s="59"/>
      <c r="C1506" s="59"/>
      <c r="D1506" s="59"/>
      <c r="E1506" s="59"/>
      <c r="F1506" s="59"/>
      <c r="G1506" s="59"/>
      <c r="H1506" s="59"/>
      <c r="I1506" s="59"/>
      <c r="J1506" s="59"/>
      <c r="K1506" s="59"/>
      <c r="L1506" s="59"/>
      <c r="M1506" s="59"/>
      <c r="N1506" s="59"/>
      <c r="O1506" s="59"/>
      <c r="P1506" s="59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  <c r="AA1506" s="59"/>
      <c r="AB1506" s="59"/>
      <c r="AC1506" s="59"/>
      <c r="AD1506" s="59"/>
      <c r="AE1506" s="59"/>
      <c r="AF1506" s="59"/>
      <c r="AG1506" s="59"/>
      <c r="AH1506" s="59"/>
      <c r="AI1506" s="59"/>
      <c r="AJ1506" s="59"/>
      <c r="AK1506" s="59"/>
      <c r="AL1506" s="59"/>
      <c r="AM1506" s="59"/>
      <c r="AN1506" s="59"/>
      <c r="AO1506" s="59"/>
      <c r="AP1506" s="59"/>
      <c r="AQ1506" s="59"/>
      <c r="AR1506" s="59"/>
      <c r="AS1506" s="59"/>
      <c r="AT1506" s="59"/>
      <c r="AU1506" s="59"/>
      <c r="AV1506" s="59"/>
      <c r="AW1506" s="59"/>
      <c r="AX1506" s="59"/>
      <c r="AY1506" s="59"/>
      <c r="AZ1506" s="59"/>
      <c r="BA1506" s="59"/>
      <c r="BB1506" s="59"/>
      <c r="BC1506" s="59"/>
      <c r="BD1506" s="59"/>
      <c r="BE1506" s="59"/>
      <c r="BF1506" s="59"/>
      <c r="BG1506" s="59"/>
      <c r="BH1506" s="59"/>
      <c r="BI1506" s="59"/>
      <c r="BJ1506" s="59"/>
      <c r="BK1506" s="59"/>
      <c r="BL1506" s="59"/>
      <c r="BM1506" s="59"/>
      <c r="BN1506" s="59"/>
      <c r="BO1506" s="59"/>
      <c r="BP1506" s="59"/>
      <c r="BQ1506" s="59"/>
      <c r="BR1506" s="59"/>
      <c r="BS1506" s="59"/>
      <c r="BT1506" s="59"/>
      <c r="BU1506" s="59"/>
      <c r="BV1506" s="59"/>
      <c r="BW1506" s="59"/>
      <c r="BX1506" s="59"/>
      <c r="BY1506" s="59"/>
      <c r="BZ1506" s="59"/>
      <c r="CA1506" s="59"/>
      <c r="CB1506" s="59"/>
      <c r="CC1506" s="59"/>
      <c r="CD1506" s="59"/>
      <c r="CE1506" s="59"/>
      <c r="CF1506" s="59"/>
      <c r="CG1506" s="59"/>
      <c r="CH1506" s="59"/>
      <c r="CI1506" s="59"/>
      <c r="CJ1506" s="59"/>
      <c r="CK1506" s="59"/>
      <c r="CL1506" s="59"/>
      <c r="CM1506" s="59"/>
      <c r="CN1506" s="59"/>
      <c r="CO1506" s="59"/>
      <c r="CP1506" s="59"/>
      <c r="CQ1506" s="59"/>
      <c r="CR1506" s="59"/>
      <c r="CS1506" s="59"/>
      <c r="CT1506" s="59"/>
      <c r="CU1506" s="59"/>
      <c r="CV1506" s="59"/>
      <c r="CW1506" s="59"/>
      <c r="CX1506" s="59"/>
      <c r="CY1506" s="59"/>
      <c r="CZ1506" s="59"/>
      <c r="DA1506" s="59"/>
      <c r="DB1506" s="59"/>
      <c r="DC1506" s="59"/>
      <c r="DD1506" s="59"/>
      <c r="DE1506" s="59"/>
      <c r="DF1506" s="59"/>
      <c r="DG1506" s="59"/>
      <c r="DH1506" s="59"/>
      <c r="DI1506" s="59"/>
      <c r="DJ1506" s="59"/>
      <c r="DK1506" s="59"/>
      <c r="DL1506" s="59"/>
      <c r="DM1506" s="59"/>
      <c r="DN1506" s="59"/>
      <c r="DO1506" s="59"/>
      <c r="DP1506" s="59"/>
      <c r="DQ1506" s="59"/>
      <c r="DR1506" s="59"/>
      <c r="DS1506" s="59"/>
      <c r="DT1506" s="59"/>
      <c r="DU1506" s="59"/>
      <c r="DV1506" s="59"/>
      <c r="DW1506" s="59"/>
      <c r="DX1506" s="59"/>
      <c r="DY1506" s="59"/>
      <c r="DZ1506" s="59"/>
      <c r="EA1506" s="59"/>
      <c r="EB1506" s="59"/>
      <c r="EC1506" s="59"/>
      <c r="ED1506" s="59"/>
      <c r="EE1506" s="59"/>
      <c r="EF1506" s="59"/>
      <c r="EG1506" s="59"/>
      <c r="EH1506" s="59"/>
      <c r="EI1506" s="59"/>
      <c r="EJ1506" s="59"/>
      <c r="EK1506" s="59"/>
      <c r="EL1506" s="59"/>
      <c r="EM1506" s="59"/>
      <c r="EN1506" s="59"/>
      <c r="EO1506" s="59"/>
      <c r="EP1506" s="59"/>
      <c r="EQ1506" s="59"/>
      <c r="ER1506" s="59"/>
      <c r="ES1506" s="59"/>
      <c r="ET1506" s="59"/>
      <c r="EU1506" s="59"/>
      <c r="EV1506" s="59"/>
      <c r="EW1506" s="59"/>
      <c r="EX1506" s="59"/>
      <c r="EY1506" s="59"/>
      <c r="EZ1506" s="59"/>
      <c r="FA1506" s="59"/>
      <c r="FB1506" s="59"/>
      <c r="FC1506" s="59"/>
      <c r="FD1506" s="59"/>
      <c r="FE1506" s="59"/>
      <c r="FF1506" s="59"/>
      <c r="FG1506" s="59"/>
      <c r="FH1506" s="59"/>
      <c r="FI1506" s="59"/>
      <c r="FJ1506" s="59"/>
      <c r="FK1506" s="59"/>
      <c r="FL1506" s="59"/>
      <c r="FM1506" s="59"/>
      <c r="FN1506" s="59"/>
      <c r="FO1506" s="59"/>
      <c r="FP1506" s="59"/>
      <c r="FQ1506" s="59"/>
      <c r="FR1506" s="59"/>
      <c r="FS1506" s="59"/>
      <c r="FT1506" s="59"/>
      <c r="FU1506" s="59"/>
      <c r="FV1506" s="59"/>
      <c r="FW1506" s="59"/>
      <c r="FX1506" s="59"/>
      <c r="FY1506" s="59"/>
      <c r="FZ1506" s="59"/>
      <c r="GA1506" s="59"/>
      <c r="GB1506" s="59"/>
      <c r="GC1506" s="59"/>
    </row>
    <row r="1507">
      <c r="A1507" s="59"/>
      <c r="B1507" s="59"/>
      <c r="C1507" s="59"/>
      <c r="D1507" s="59"/>
      <c r="E1507" s="59"/>
      <c r="F1507" s="59"/>
      <c r="G1507" s="59"/>
      <c r="H1507" s="59"/>
      <c r="I1507" s="59"/>
      <c r="J1507" s="59"/>
      <c r="K1507" s="59"/>
      <c r="L1507" s="59"/>
      <c r="M1507" s="59"/>
      <c r="N1507" s="59"/>
      <c r="O1507" s="59"/>
      <c r="P1507" s="59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  <c r="AA1507" s="59"/>
      <c r="AB1507" s="59"/>
      <c r="AC1507" s="59"/>
      <c r="AD1507" s="59"/>
      <c r="AE1507" s="59"/>
      <c r="AF1507" s="59"/>
      <c r="AG1507" s="59"/>
      <c r="AH1507" s="59"/>
      <c r="AI1507" s="59"/>
      <c r="AJ1507" s="59"/>
      <c r="AK1507" s="59"/>
      <c r="AL1507" s="59"/>
      <c r="AM1507" s="59"/>
      <c r="AN1507" s="59"/>
      <c r="AO1507" s="59"/>
      <c r="AP1507" s="59"/>
      <c r="AQ1507" s="59"/>
      <c r="AR1507" s="59"/>
      <c r="AS1507" s="59"/>
      <c r="AT1507" s="59"/>
      <c r="AU1507" s="59"/>
      <c r="AV1507" s="59"/>
      <c r="AW1507" s="59"/>
      <c r="AX1507" s="59"/>
      <c r="AY1507" s="59"/>
      <c r="AZ1507" s="59"/>
      <c r="BA1507" s="59"/>
      <c r="BB1507" s="59"/>
      <c r="BC1507" s="59"/>
      <c r="BD1507" s="59"/>
      <c r="BE1507" s="59"/>
      <c r="BF1507" s="59"/>
      <c r="BG1507" s="59"/>
      <c r="BH1507" s="59"/>
      <c r="BI1507" s="59"/>
      <c r="BJ1507" s="59"/>
      <c r="BK1507" s="59"/>
      <c r="BL1507" s="59"/>
      <c r="BM1507" s="59"/>
      <c r="BN1507" s="59"/>
      <c r="BO1507" s="59"/>
      <c r="BP1507" s="59"/>
      <c r="BQ1507" s="59"/>
      <c r="BR1507" s="59"/>
      <c r="BS1507" s="59"/>
      <c r="BT1507" s="59"/>
      <c r="BU1507" s="59"/>
      <c r="BV1507" s="59"/>
      <c r="BW1507" s="59"/>
      <c r="BX1507" s="59"/>
      <c r="BY1507" s="59"/>
      <c r="BZ1507" s="59"/>
      <c r="CA1507" s="59"/>
      <c r="CB1507" s="59"/>
      <c r="CC1507" s="59"/>
      <c r="CD1507" s="59"/>
      <c r="CE1507" s="59"/>
      <c r="CF1507" s="59"/>
      <c r="CG1507" s="59"/>
      <c r="CH1507" s="59"/>
      <c r="CI1507" s="59"/>
      <c r="CJ1507" s="59"/>
      <c r="CK1507" s="59"/>
      <c r="CL1507" s="59"/>
      <c r="CM1507" s="59"/>
      <c r="CN1507" s="59"/>
      <c r="CO1507" s="59"/>
      <c r="CP1507" s="59"/>
      <c r="CQ1507" s="59"/>
      <c r="CR1507" s="59"/>
      <c r="CS1507" s="59"/>
      <c r="CT1507" s="59"/>
      <c r="CU1507" s="59"/>
      <c r="CV1507" s="59"/>
      <c r="CW1507" s="59"/>
      <c r="CX1507" s="59"/>
      <c r="CY1507" s="59"/>
      <c r="CZ1507" s="59"/>
      <c r="DA1507" s="59"/>
      <c r="DB1507" s="59"/>
      <c r="DC1507" s="59"/>
      <c r="DD1507" s="59"/>
      <c r="DE1507" s="59"/>
      <c r="DF1507" s="59"/>
      <c r="DG1507" s="59"/>
      <c r="DH1507" s="59"/>
      <c r="DI1507" s="59"/>
      <c r="DJ1507" s="59"/>
      <c r="DK1507" s="59"/>
      <c r="DL1507" s="59"/>
      <c r="DM1507" s="59"/>
      <c r="DN1507" s="59"/>
      <c r="DO1507" s="59"/>
      <c r="DP1507" s="59"/>
      <c r="DQ1507" s="59"/>
      <c r="DR1507" s="59"/>
      <c r="DS1507" s="59"/>
      <c r="DT1507" s="59"/>
      <c r="DU1507" s="59"/>
      <c r="DV1507" s="59"/>
      <c r="DW1507" s="59"/>
      <c r="DX1507" s="59"/>
      <c r="DY1507" s="59"/>
      <c r="DZ1507" s="59"/>
      <c r="EA1507" s="59"/>
      <c r="EB1507" s="59"/>
      <c r="EC1507" s="59"/>
      <c r="ED1507" s="59"/>
      <c r="EE1507" s="59"/>
      <c r="EF1507" s="59"/>
      <c r="EG1507" s="59"/>
      <c r="EH1507" s="59"/>
      <c r="EI1507" s="59"/>
      <c r="EJ1507" s="59"/>
      <c r="EK1507" s="59"/>
      <c r="EL1507" s="59"/>
      <c r="EM1507" s="59"/>
      <c r="EN1507" s="59"/>
      <c r="EO1507" s="59"/>
      <c r="EP1507" s="59"/>
      <c r="EQ1507" s="59"/>
      <c r="ER1507" s="59"/>
      <c r="ES1507" s="59"/>
      <c r="ET1507" s="59"/>
      <c r="EU1507" s="59"/>
      <c r="EV1507" s="59"/>
      <c r="EW1507" s="59"/>
      <c r="EX1507" s="59"/>
      <c r="EY1507" s="59"/>
      <c r="EZ1507" s="59"/>
      <c r="FA1507" s="59"/>
      <c r="FB1507" s="59"/>
      <c r="FC1507" s="59"/>
      <c r="FD1507" s="59"/>
      <c r="FE1507" s="59"/>
      <c r="FF1507" s="59"/>
      <c r="FG1507" s="59"/>
      <c r="FH1507" s="59"/>
      <c r="FI1507" s="59"/>
      <c r="FJ1507" s="59"/>
      <c r="FK1507" s="59"/>
      <c r="FL1507" s="59"/>
      <c r="FM1507" s="59"/>
      <c r="FN1507" s="59"/>
      <c r="FO1507" s="59"/>
      <c r="FP1507" s="59"/>
      <c r="FQ1507" s="59"/>
      <c r="FR1507" s="59"/>
      <c r="FS1507" s="59"/>
      <c r="FT1507" s="59"/>
      <c r="FU1507" s="59"/>
      <c r="FV1507" s="59"/>
      <c r="FW1507" s="59"/>
      <c r="FX1507" s="59"/>
      <c r="FY1507" s="59"/>
      <c r="FZ1507" s="59"/>
      <c r="GA1507" s="59"/>
      <c r="GB1507" s="59"/>
      <c r="GC1507" s="59"/>
    </row>
    <row r="1508">
      <c r="A1508" s="59"/>
      <c r="B1508" s="59"/>
      <c r="C1508" s="59"/>
      <c r="D1508" s="59"/>
      <c r="E1508" s="59"/>
      <c r="F1508" s="59"/>
      <c r="G1508" s="59"/>
      <c r="H1508" s="59"/>
      <c r="I1508" s="59"/>
      <c r="J1508" s="59"/>
      <c r="K1508" s="59"/>
      <c r="L1508" s="59"/>
      <c r="M1508" s="59"/>
      <c r="N1508" s="59"/>
      <c r="O1508" s="59"/>
      <c r="P1508" s="59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59"/>
      <c r="AG1508" s="59"/>
      <c r="AH1508" s="59"/>
      <c r="AI1508" s="59"/>
      <c r="AJ1508" s="59"/>
      <c r="AK1508" s="59"/>
      <c r="AL1508" s="59"/>
      <c r="AM1508" s="59"/>
      <c r="AN1508" s="59"/>
      <c r="AO1508" s="59"/>
      <c r="AP1508" s="59"/>
      <c r="AQ1508" s="59"/>
      <c r="AR1508" s="59"/>
      <c r="AS1508" s="59"/>
      <c r="AT1508" s="59"/>
      <c r="AU1508" s="59"/>
      <c r="AV1508" s="59"/>
      <c r="AW1508" s="59"/>
      <c r="AX1508" s="59"/>
      <c r="AY1508" s="59"/>
      <c r="AZ1508" s="59"/>
      <c r="BA1508" s="59"/>
      <c r="BB1508" s="59"/>
      <c r="BC1508" s="59"/>
      <c r="BD1508" s="59"/>
      <c r="BE1508" s="59"/>
      <c r="BF1508" s="59"/>
      <c r="BG1508" s="59"/>
      <c r="BH1508" s="59"/>
      <c r="BI1508" s="59"/>
      <c r="BJ1508" s="59"/>
      <c r="BK1508" s="59"/>
      <c r="BL1508" s="59"/>
      <c r="BM1508" s="59"/>
      <c r="BN1508" s="59"/>
      <c r="BO1508" s="59"/>
      <c r="BP1508" s="59"/>
      <c r="BQ1508" s="59"/>
      <c r="BR1508" s="59"/>
      <c r="BS1508" s="59"/>
      <c r="BT1508" s="59"/>
      <c r="BU1508" s="59"/>
      <c r="BV1508" s="59"/>
      <c r="BW1508" s="59"/>
      <c r="BX1508" s="59"/>
      <c r="BY1508" s="59"/>
      <c r="BZ1508" s="59"/>
      <c r="CA1508" s="59"/>
      <c r="CB1508" s="59"/>
      <c r="CC1508" s="59"/>
      <c r="CD1508" s="59"/>
      <c r="CE1508" s="59"/>
      <c r="CF1508" s="59"/>
      <c r="CG1508" s="59"/>
      <c r="CH1508" s="59"/>
      <c r="CI1508" s="59"/>
      <c r="CJ1508" s="59"/>
      <c r="CK1508" s="59"/>
      <c r="CL1508" s="59"/>
      <c r="CM1508" s="59"/>
      <c r="CN1508" s="59"/>
      <c r="CO1508" s="59"/>
      <c r="CP1508" s="59"/>
      <c r="CQ1508" s="59"/>
      <c r="CR1508" s="59"/>
      <c r="CS1508" s="59"/>
      <c r="CT1508" s="59"/>
      <c r="CU1508" s="59"/>
      <c r="CV1508" s="59"/>
      <c r="CW1508" s="59"/>
      <c r="CX1508" s="59"/>
      <c r="CY1508" s="59"/>
      <c r="CZ1508" s="59"/>
      <c r="DA1508" s="59"/>
      <c r="DB1508" s="59"/>
      <c r="DC1508" s="59"/>
      <c r="DD1508" s="59"/>
      <c r="DE1508" s="59"/>
      <c r="DF1508" s="59"/>
      <c r="DG1508" s="59"/>
      <c r="DH1508" s="59"/>
      <c r="DI1508" s="59"/>
      <c r="DJ1508" s="59"/>
      <c r="DK1508" s="59"/>
      <c r="DL1508" s="59"/>
      <c r="DM1508" s="59"/>
      <c r="DN1508" s="59"/>
      <c r="DO1508" s="59"/>
      <c r="DP1508" s="59"/>
      <c r="DQ1508" s="59"/>
      <c r="DR1508" s="59"/>
      <c r="DS1508" s="59"/>
      <c r="DT1508" s="59"/>
      <c r="DU1508" s="59"/>
      <c r="DV1508" s="59"/>
      <c r="DW1508" s="59"/>
      <c r="DX1508" s="59"/>
      <c r="DY1508" s="59"/>
      <c r="DZ1508" s="59"/>
      <c r="EA1508" s="59"/>
      <c r="EB1508" s="59"/>
      <c r="EC1508" s="59"/>
      <c r="ED1508" s="59"/>
      <c r="EE1508" s="59"/>
      <c r="EF1508" s="59"/>
      <c r="EG1508" s="59"/>
      <c r="EH1508" s="59"/>
      <c r="EI1508" s="59"/>
      <c r="EJ1508" s="59"/>
      <c r="EK1508" s="59"/>
      <c r="EL1508" s="59"/>
      <c r="EM1508" s="59"/>
      <c r="EN1508" s="59"/>
      <c r="EO1508" s="59"/>
      <c r="EP1508" s="59"/>
      <c r="EQ1508" s="59"/>
      <c r="ER1508" s="59"/>
      <c r="ES1508" s="59"/>
      <c r="ET1508" s="59"/>
      <c r="EU1508" s="59"/>
      <c r="EV1508" s="59"/>
      <c r="EW1508" s="59"/>
      <c r="EX1508" s="59"/>
      <c r="EY1508" s="59"/>
      <c r="EZ1508" s="59"/>
      <c r="FA1508" s="59"/>
      <c r="FB1508" s="59"/>
      <c r="FC1508" s="59"/>
      <c r="FD1508" s="59"/>
      <c r="FE1508" s="59"/>
      <c r="FF1508" s="59"/>
      <c r="FG1508" s="59"/>
      <c r="FH1508" s="59"/>
      <c r="FI1508" s="59"/>
      <c r="FJ1508" s="59"/>
      <c r="FK1508" s="59"/>
      <c r="FL1508" s="59"/>
      <c r="FM1508" s="59"/>
      <c r="FN1508" s="59"/>
      <c r="FO1508" s="59"/>
      <c r="FP1508" s="59"/>
      <c r="FQ1508" s="59"/>
      <c r="FR1508" s="59"/>
      <c r="FS1508" s="59"/>
      <c r="FT1508" s="59"/>
      <c r="FU1508" s="59"/>
      <c r="FV1508" s="59"/>
      <c r="FW1508" s="59"/>
      <c r="FX1508" s="59"/>
      <c r="FY1508" s="59"/>
      <c r="FZ1508" s="59"/>
      <c r="GA1508" s="59"/>
      <c r="GB1508" s="59"/>
      <c r="GC1508" s="59"/>
    </row>
    <row r="1509">
      <c r="A1509" s="59"/>
      <c r="B1509" s="59"/>
      <c r="C1509" s="59"/>
      <c r="D1509" s="59"/>
      <c r="E1509" s="59"/>
      <c r="F1509" s="59"/>
      <c r="G1509" s="59"/>
      <c r="H1509" s="59"/>
      <c r="I1509" s="59"/>
      <c r="J1509" s="59"/>
      <c r="K1509" s="59"/>
      <c r="L1509" s="59"/>
      <c r="M1509" s="59"/>
      <c r="N1509" s="59"/>
      <c r="O1509" s="59"/>
      <c r="P1509" s="59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  <c r="AA1509" s="59"/>
      <c r="AB1509" s="59"/>
      <c r="AC1509" s="59"/>
      <c r="AD1509" s="59"/>
      <c r="AE1509" s="59"/>
      <c r="AF1509" s="59"/>
      <c r="AG1509" s="59"/>
      <c r="AH1509" s="59"/>
      <c r="AI1509" s="59"/>
      <c r="AJ1509" s="59"/>
      <c r="AK1509" s="59"/>
      <c r="AL1509" s="59"/>
      <c r="AM1509" s="59"/>
      <c r="AN1509" s="59"/>
      <c r="AO1509" s="59"/>
      <c r="AP1509" s="59"/>
      <c r="AQ1509" s="59"/>
      <c r="AR1509" s="59"/>
      <c r="AS1509" s="59"/>
      <c r="AT1509" s="59"/>
      <c r="AU1509" s="59"/>
      <c r="AV1509" s="59"/>
      <c r="AW1509" s="59"/>
      <c r="AX1509" s="59"/>
      <c r="AY1509" s="59"/>
      <c r="AZ1509" s="59"/>
      <c r="BA1509" s="59"/>
      <c r="BB1509" s="59"/>
      <c r="BC1509" s="59"/>
      <c r="BD1509" s="59"/>
      <c r="BE1509" s="59"/>
      <c r="BF1509" s="59"/>
      <c r="BG1509" s="59"/>
      <c r="BH1509" s="59"/>
      <c r="BI1509" s="59"/>
      <c r="BJ1509" s="59"/>
      <c r="BK1509" s="59"/>
      <c r="BL1509" s="59"/>
      <c r="BM1509" s="59"/>
      <c r="BN1509" s="59"/>
      <c r="BO1509" s="59"/>
      <c r="BP1509" s="59"/>
      <c r="BQ1509" s="59"/>
      <c r="BR1509" s="59"/>
      <c r="BS1509" s="59"/>
      <c r="BT1509" s="59"/>
      <c r="BU1509" s="59"/>
      <c r="BV1509" s="59"/>
      <c r="BW1509" s="59"/>
      <c r="BX1509" s="59"/>
      <c r="BY1509" s="59"/>
      <c r="BZ1509" s="59"/>
      <c r="CA1509" s="59"/>
      <c r="CB1509" s="59"/>
      <c r="CC1509" s="59"/>
      <c r="CD1509" s="59"/>
      <c r="CE1509" s="59"/>
      <c r="CF1509" s="59"/>
      <c r="CG1509" s="59"/>
      <c r="CH1509" s="59"/>
      <c r="CI1509" s="59"/>
      <c r="CJ1509" s="59"/>
      <c r="CK1509" s="59"/>
      <c r="CL1509" s="59"/>
      <c r="CM1509" s="59"/>
      <c r="CN1509" s="59"/>
      <c r="CO1509" s="59"/>
      <c r="CP1509" s="59"/>
      <c r="CQ1509" s="59"/>
      <c r="CR1509" s="59"/>
      <c r="CS1509" s="59"/>
      <c r="CT1509" s="59"/>
      <c r="CU1509" s="59"/>
      <c r="CV1509" s="59"/>
      <c r="CW1509" s="59"/>
      <c r="CX1509" s="59"/>
      <c r="CY1509" s="59"/>
      <c r="CZ1509" s="59"/>
      <c r="DA1509" s="59"/>
      <c r="DB1509" s="59"/>
      <c r="DC1509" s="59"/>
      <c r="DD1509" s="59"/>
      <c r="DE1509" s="59"/>
      <c r="DF1509" s="59"/>
      <c r="DG1509" s="59"/>
      <c r="DH1509" s="59"/>
      <c r="DI1509" s="59"/>
      <c r="DJ1509" s="59"/>
      <c r="DK1509" s="59"/>
      <c r="DL1509" s="59"/>
      <c r="DM1509" s="59"/>
      <c r="DN1509" s="59"/>
      <c r="DO1509" s="59"/>
      <c r="DP1509" s="59"/>
      <c r="DQ1509" s="59"/>
      <c r="DR1509" s="59"/>
      <c r="DS1509" s="59"/>
      <c r="DT1509" s="59"/>
      <c r="DU1509" s="59"/>
      <c r="DV1509" s="59"/>
      <c r="DW1509" s="59"/>
      <c r="DX1509" s="59"/>
      <c r="DY1509" s="59"/>
      <c r="DZ1509" s="59"/>
      <c r="EA1509" s="59"/>
      <c r="EB1509" s="59"/>
      <c r="EC1509" s="59"/>
      <c r="ED1509" s="59"/>
      <c r="EE1509" s="59"/>
      <c r="EF1509" s="59"/>
      <c r="EG1509" s="59"/>
      <c r="EH1509" s="59"/>
      <c r="EI1509" s="59"/>
      <c r="EJ1509" s="59"/>
      <c r="EK1509" s="59"/>
      <c r="EL1509" s="59"/>
      <c r="EM1509" s="59"/>
      <c r="EN1509" s="59"/>
      <c r="EO1509" s="59"/>
      <c r="EP1509" s="59"/>
      <c r="EQ1509" s="59"/>
      <c r="ER1509" s="59"/>
      <c r="ES1509" s="59"/>
      <c r="ET1509" s="59"/>
      <c r="EU1509" s="59"/>
      <c r="EV1509" s="59"/>
      <c r="EW1509" s="59"/>
      <c r="EX1509" s="59"/>
      <c r="EY1509" s="59"/>
      <c r="EZ1509" s="59"/>
      <c r="FA1509" s="59"/>
      <c r="FB1509" s="59"/>
      <c r="FC1509" s="59"/>
      <c r="FD1509" s="59"/>
      <c r="FE1509" s="59"/>
      <c r="FF1509" s="59"/>
      <c r="FG1509" s="59"/>
      <c r="FH1509" s="59"/>
      <c r="FI1509" s="59"/>
      <c r="FJ1509" s="59"/>
      <c r="FK1509" s="59"/>
      <c r="FL1509" s="59"/>
      <c r="FM1509" s="59"/>
      <c r="FN1509" s="59"/>
      <c r="FO1509" s="59"/>
      <c r="FP1509" s="59"/>
      <c r="FQ1509" s="59"/>
      <c r="FR1509" s="59"/>
      <c r="FS1509" s="59"/>
      <c r="FT1509" s="59"/>
      <c r="FU1509" s="59"/>
      <c r="FV1509" s="59"/>
      <c r="FW1509" s="59"/>
      <c r="FX1509" s="59"/>
      <c r="FY1509" s="59"/>
      <c r="FZ1509" s="59"/>
      <c r="GA1509" s="59"/>
      <c r="GB1509" s="59"/>
      <c r="GC1509" s="59"/>
    </row>
    <row r="1510">
      <c r="A1510" s="59"/>
      <c r="B1510" s="59"/>
      <c r="C1510" s="59"/>
      <c r="D1510" s="59"/>
      <c r="E1510" s="59"/>
      <c r="F1510" s="59"/>
      <c r="G1510" s="59"/>
      <c r="H1510" s="59"/>
      <c r="I1510" s="59"/>
      <c r="J1510" s="59"/>
      <c r="K1510" s="59"/>
      <c r="L1510" s="59"/>
      <c r="M1510" s="59"/>
      <c r="N1510" s="59"/>
      <c r="O1510" s="59"/>
      <c r="P1510" s="59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59"/>
      <c r="AG1510" s="59"/>
      <c r="AH1510" s="59"/>
      <c r="AI1510" s="59"/>
      <c r="AJ1510" s="59"/>
      <c r="AK1510" s="59"/>
      <c r="AL1510" s="59"/>
      <c r="AM1510" s="59"/>
      <c r="AN1510" s="59"/>
      <c r="AO1510" s="59"/>
      <c r="AP1510" s="59"/>
      <c r="AQ1510" s="59"/>
      <c r="AR1510" s="59"/>
      <c r="AS1510" s="59"/>
      <c r="AT1510" s="59"/>
      <c r="AU1510" s="59"/>
      <c r="AV1510" s="59"/>
      <c r="AW1510" s="59"/>
      <c r="AX1510" s="59"/>
      <c r="AY1510" s="59"/>
      <c r="AZ1510" s="59"/>
      <c r="BA1510" s="59"/>
      <c r="BB1510" s="59"/>
      <c r="BC1510" s="59"/>
      <c r="BD1510" s="59"/>
      <c r="BE1510" s="59"/>
      <c r="BF1510" s="59"/>
      <c r="BG1510" s="59"/>
      <c r="BH1510" s="59"/>
      <c r="BI1510" s="59"/>
      <c r="BJ1510" s="59"/>
      <c r="BK1510" s="59"/>
      <c r="BL1510" s="59"/>
      <c r="BM1510" s="59"/>
      <c r="BN1510" s="59"/>
      <c r="BO1510" s="59"/>
      <c r="BP1510" s="59"/>
      <c r="BQ1510" s="59"/>
      <c r="BR1510" s="59"/>
      <c r="BS1510" s="59"/>
      <c r="BT1510" s="59"/>
      <c r="BU1510" s="59"/>
      <c r="BV1510" s="59"/>
      <c r="BW1510" s="59"/>
      <c r="BX1510" s="59"/>
      <c r="BY1510" s="59"/>
      <c r="BZ1510" s="59"/>
      <c r="CA1510" s="59"/>
      <c r="CB1510" s="59"/>
      <c r="CC1510" s="59"/>
      <c r="CD1510" s="59"/>
      <c r="CE1510" s="59"/>
      <c r="CF1510" s="59"/>
      <c r="CG1510" s="59"/>
      <c r="CH1510" s="59"/>
      <c r="CI1510" s="59"/>
      <c r="CJ1510" s="59"/>
      <c r="CK1510" s="59"/>
      <c r="CL1510" s="59"/>
      <c r="CM1510" s="59"/>
      <c r="CN1510" s="59"/>
      <c r="CO1510" s="59"/>
      <c r="CP1510" s="59"/>
      <c r="CQ1510" s="59"/>
      <c r="CR1510" s="59"/>
      <c r="CS1510" s="59"/>
      <c r="CT1510" s="59"/>
      <c r="CU1510" s="59"/>
      <c r="CV1510" s="59"/>
      <c r="CW1510" s="59"/>
      <c r="CX1510" s="59"/>
      <c r="CY1510" s="59"/>
      <c r="CZ1510" s="59"/>
      <c r="DA1510" s="59"/>
      <c r="DB1510" s="59"/>
      <c r="DC1510" s="59"/>
      <c r="DD1510" s="59"/>
      <c r="DE1510" s="59"/>
      <c r="DF1510" s="59"/>
      <c r="DG1510" s="59"/>
      <c r="DH1510" s="59"/>
      <c r="DI1510" s="59"/>
      <c r="DJ1510" s="59"/>
      <c r="DK1510" s="59"/>
      <c r="DL1510" s="59"/>
      <c r="DM1510" s="59"/>
      <c r="DN1510" s="59"/>
      <c r="DO1510" s="59"/>
      <c r="DP1510" s="59"/>
      <c r="DQ1510" s="59"/>
      <c r="DR1510" s="59"/>
      <c r="DS1510" s="59"/>
      <c r="DT1510" s="59"/>
      <c r="DU1510" s="59"/>
      <c r="DV1510" s="59"/>
      <c r="DW1510" s="59"/>
      <c r="DX1510" s="59"/>
      <c r="DY1510" s="59"/>
      <c r="DZ1510" s="59"/>
      <c r="EA1510" s="59"/>
      <c r="EB1510" s="59"/>
      <c r="EC1510" s="59"/>
      <c r="ED1510" s="59"/>
      <c r="EE1510" s="59"/>
      <c r="EF1510" s="59"/>
      <c r="EG1510" s="59"/>
      <c r="EH1510" s="59"/>
      <c r="EI1510" s="59"/>
      <c r="EJ1510" s="59"/>
      <c r="EK1510" s="59"/>
      <c r="EL1510" s="59"/>
      <c r="EM1510" s="59"/>
      <c r="EN1510" s="59"/>
      <c r="EO1510" s="59"/>
      <c r="EP1510" s="59"/>
      <c r="EQ1510" s="59"/>
      <c r="ER1510" s="59"/>
      <c r="ES1510" s="59"/>
      <c r="ET1510" s="59"/>
      <c r="EU1510" s="59"/>
      <c r="EV1510" s="59"/>
      <c r="EW1510" s="59"/>
      <c r="EX1510" s="59"/>
      <c r="EY1510" s="59"/>
      <c r="EZ1510" s="59"/>
      <c r="FA1510" s="59"/>
      <c r="FB1510" s="59"/>
      <c r="FC1510" s="59"/>
      <c r="FD1510" s="59"/>
      <c r="FE1510" s="59"/>
      <c r="FF1510" s="59"/>
      <c r="FG1510" s="59"/>
      <c r="FH1510" s="59"/>
      <c r="FI1510" s="59"/>
      <c r="FJ1510" s="59"/>
      <c r="FK1510" s="59"/>
      <c r="FL1510" s="59"/>
      <c r="FM1510" s="59"/>
      <c r="FN1510" s="59"/>
      <c r="FO1510" s="59"/>
      <c r="FP1510" s="59"/>
      <c r="FQ1510" s="59"/>
      <c r="FR1510" s="59"/>
      <c r="FS1510" s="59"/>
      <c r="FT1510" s="59"/>
      <c r="FU1510" s="59"/>
      <c r="FV1510" s="59"/>
      <c r="FW1510" s="59"/>
      <c r="FX1510" s="59"/>
      <c r="FY1510" s="59"/>
      <c r="FZ1510" s="59"/>
      <c r="GA1510" s="59"/>
      <c r="GB1510" s="59"/>
      <c r="GC1510" s="59"/>
    </row>
    <row r="1511">
      <c r="A1511" s="59"/>
      <c r="B1511" s="59"/>
      <c r="C1511" s="59"/>
      <c r="D1511" s="59"/>
      <c r="E1511" s="59"/>
      <c r="F1511" s="59"/>
      <c r="G1511" s="59"/>
      <c r="H1511" s="59"/>
      <c r="I1511" s="59"/>
      <c r="J1511" s="59"/>
      <c r="K1511" s="59"/>
      <c r="L1511" s="59"/>
      <c r="M1511" s="59"/>
      <c r="N1511" s="59"/>
      <c r="O1511" s="59"/>
      <c r="P1511" s="59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  <c r="AA1511" s="59"/>
      <c r="AB1511" s="59"/>
      <c r="AC1511" s="59"/>
      <c r="AD1511" s="59"/>
      <c r="AE1511" s="59"/>
      <c r="AF1511" s="59"/>
      <c r="AG1511" s="59"/>
      <c r="AH1511" s="59"/>
      <c r="AI1511" s="59"/>
      <c r="AJ1511" s="59"/>
      <c r="AK1511" s="59"/>
      <c r="AL1511" s="59"/>
      <c r="AM1511" s="59"/>
      <c r="AN1511" s="59"/>
      <c r="AO1511" s="59"/>
      <c r="AP1511" s="59"/>
      <c r="AQ1511" s="59"/>
      <c r="AR1511" s="59"/>
      <c r="AS1511" s="59"/>
      <c r="AT1511" s="59"/>
      <c r="AU1511" s="59"/>
      <c r="AV1511" s="59"/>
      <c r="AW1511" s="59"/>
      <c r="AX1511" s="59"/>
      <c r="AY1511" s="59"/>
      <c r="AZ1511" s="59"/>
      <c r="BA1511" s="59"/>
      <c r="BB1511" s="59"/>
      <c r="BC1511" s="59"/>
      <c r="BD1511" s="59"/>
      <c r="BE1511" s="59"/>
      <c r="BF1511" s="59"/>
      <c r="BG1511" s="59"/>
      <c r="BH1511" s="59"/>
      <c r="BI1511" s="59"/>
      <c r="BJ1511" s="59"/>
      <c r="BK1511" s="59"/>
      <c r="BL1511" s="59"/>
      <c r="BM1511" s="59"/>
      <c r="BN1511" s="59"/>
      <c r="BO1511" s="59"/>
      <c r="BP1511" s="59"/>
      <c r="BQ1511" s="59"/>
      <c r="BR1511" s="59"/>
      <c r="BS1511" s="59"/>
      <c r="BT1511" s="59"/>
      <c r="BU1511" s="59"/>
      <c r="BV1511" s="59"/>
      <c r="BW1511" s="59"/>
      <c r="BX1511" s="59"/>
      <c r="BY1511" s="59"/>
      <c r="BZ1511" s="59"/>
      <c r="CA1511" s="59"/>
      <c r="CB1511" s="59"/>
      <c r="CC1511" s="59"/>
      <c r="CD1511" s="59"/>
      <c r="CE1511" s="59"/>
      <c r="CF1511" s="59"/>
      <c r="CG1511" s="59"/>
      <c r="CH1511" s="59"/>
      <c r="CI1511" s="59"/>
      <c r="CJ1511" s="59"/>
      <c r="CK1511" s="59"/>
      <c r="CL1511" s="59"/>
      <c r="CM1511" s="59"/>
      <c r="CN1511" s="59"/>
      <c r="CO1511" s="59"/>
      <c r="CP1511" s="59"/>
      <c r="CQ1511" s="59"/>
      <c r="CR1511" s="59"/>
      <c r="CS1511" s="59"/>
      <c r="CT1511" s="59"/>
      <c r="CU1511" s="59"/>
      <c r="CV1511" s="59"/>
      <c r="CW1511" s="59"/>
      <c r="CX1511" s="59"/>
      <c r="CY1511" s="59"/>
      <c r="CZ1511" s="59"/>
      <c r="DA1511" s="59"/>
      <c r="DB1511" s="59"/>
      <c r="DC1511" s="59"/>
      <c r="DD1511" s="59"/>
      <c r="DE1511" s="59"/>
      <c r="DF1511" s="59"/>
      <c r="DG1511" s="59"/>
      <c r="DH1511" s="59"/>
      <c r="DI1511" s="59"/>
      <c r="DJ1511" s="59"/>
      <c r="DK1511" s="59"/>
      <c r="DL1511" s="59"/>
      <c r="DM1511" s="59"/>
      <c r="DN1511" s="59"/>
      <c r="DO1511" s="59"/>
      <c r="DP1511" s="59"/>
      <c r="DQ1511" s="59"/>
      <c r="DR1511" s="59"/>
      <c r="DS1511" s="59"/>
      <c r="DT1511" s="59"/>
      <c r="DU1511" s="59"/>
      <c r="DV1511" s="59"/>
      <c r="DW1511" s="59"/>
      <c r="DX1511" s="59"/>
      <c r="DY1511" s="59"/>
      <c r="DZ1511" s="59"/>
      <c r="EA1511" s="59"/>
      <c r="EB1511" s="59"/>
      <c r="EC1511" s="59"/>
      <c r="ED1511" s="59"/>
      <c r="EE1511" s="59"/>
      <c r="EF1511" s="59"/>
      <c r="EG1511" s="59"/>
      <c r="EH1511" s="59"/>
      <c r="EI1511" s="59"/>
      <c r="EJ1511" s="59"/>
      <c r="EK1511" s="59"/>
      <c r="EL1511" s="59"/>
      <c r="EM1511" s="59"/>
      <c r="EN1511" s="59"/>
      <c r="EO1511" s="59"/>
      <c r="EP1511" s="59"/>
      <c r="EQ1511" s="59"/>
      <c r="ER1511" s="59"/>
      <c r="ES1511" s="59"/>
      <c r="ET1511" s="59"/>
      <c r="EU1511" s="59"/>
      <c r="EV1511" s="59"/>
      <c r="EW1511" s="59"/>
      <c r="EX1511" s="59"/>
      <c r="EY1511" s="59"/>
      <c r="EZ1511" s="59"/>
      <c r="FA1511" s="59"/>
      <c r="FB1511" s="59"/>
      <c r="FC1511" s="59"/>
      <c r="FD1511" s="59"/>
      <c r="FE1511" s="59"/>
      <c r="FF1511" s="59"/>
      <c r="FG1511" s="59"/>
      <c r="FH1511" s="59"/>
      <c r="FI1511" s="59"/>
      <c r="FJ1511" s="59"/>
      <c r="FK1511" s="59"/>
      <c r="FL1511" s="59"/>
      <c r="FM1511" s="59"/>
      <c r="FN1511" s="59"/>
      <c r="FO1511" s="59"/>
      <c r="FP1511" s="59"/>
      <c r="FQ1511" s="59"/>
      <c r="FR1511" s="59"/>
      <c r="FS1511" s="59"/>
      <c r="FT1511" s="59"/>
      <c r="FU1511" s="59"/>
      <c r="FV1511" s="59"/>
      <c r="FW1511" s="59"/>
      <c r="FX1511" s="59"/>
      <c r="FY1511" s="59"/>
      <c r="FZ1511" s="59"/>
      <c r="GA1511" s="59"/>
      <c r="GB1511" s="59"/>
      <c r="GC1511" s="59"/>
    </row>
    <row r="1512">
      <c r="A1512" s="59"/>
      <c r="B1512" s="59"/>
      <c r="C1512" s="59"/>
      <c r="D1512" s="59"/>
      <c r="E1512" s="59"/>
      <c r="F1512" s="59"/>
      <c r="G1512" s="59"/>
      <c r="H1512" s="59"/>
      <c r="I1512" s="59"/>
      <c r="J1512" s="59"/>
      <c r="K1512" s="59"/>
      <c r="L1512" s="59"/>
      <c r="M1512" s="59"/>
      <c r="N1512" s="59"/>
      <c r="O1512" s="59"/>
      <c r="P1512" s="59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  <c r="AA1512" s="59"/>
      <c r="AB1512" s="59"/>
      <c r="AC1512" s="59"/>
      <c r="AD1512" s="59"/>
      <c r="AE1512" s="59"/>
      <c r="AF1512" s="59"/>
      <c r="AG1512" s="59"/>
      <c r="AH1512" s="59"/>
      <c r="AI1512" s="59"/>
      <c r="AJ1512" s="59"/>
      <c r="AK1512" s="59"/>
      <c r="AL1512" s="59"/>
      <c r="AM1512" s="59"/>
      <c r="AN1512" s="59"/>
      <c r="AO1512" s="59"/>
      <c r="AP1512" s="59"/>
      <c r="AQ1512" s="59"/>
      <c r="AR1512" s="59"/>
      <c r="AS1512" s="59"/>
      <c r="AT1512" s="59"/>
      <c r="AU1512" s="59"/>
      <c r="AV1512" s="59"/>
      <c r="AW1512" s="59"/>
      <c r="AX1512" s="59"/>
      <c r="AY1512" s="59"/>
      <c r="AZ1512" s="59"/>
      <c r="BA1512" s="59"/>
      <c r="BB1512" s="59"/>
      <c r="BC1512" s="59"/>
      <c r="BD1512" s="59"/>
      <c r="BE1512" s="59"/>
      <c r="BF1512" s="59"/>
      <c r="BG1512" s="59"/>
      <c r="BH1512" s="59"/>
      <c r="BI1512" s="59"/>
      <c r="BJ1512" s="59"/>
      <c r="BK1512" s="59"/>
      <c r="BL1512" s="59"/>
      <c r="BM1512" s="59"/>
      <c r="BN1512" s="59"/>
      <c r="BO1512" s="59"/>
      <c r="BP1512" s="59"/>
      <c r="BQ1512" s="59"/>
      <c r="BR1512" s="59"/>
      <c r="BS1512" s="59"/>
      <c r="BT1512" s="59"/>
      <c r="BU1512" s="59"/>
      <c r="BV1512" s="59"/>
      <c r="BW1512" s="59"/>
      <c r="BX1512" s="59"/>
      <c r="BY1512" s="59"/>
      <c r="BZ1512" s="59"/>
      <c r="CA1512" s="59"/>
      <c r="CB1512" s="59"/>
      <c r="CC1512" s="59"/>
      <c r="CD1512" s="59"/>
      <c r="CE1512" s="59"/>
      <c r="CF1512" s="59"/>
      <c r="CG1512" s="59"/>
      <c r="CH1512" s="59"/>
      <c r="CI1512" s="59"/>
      <c r="CJ1512" s="59"/>
      <c r="CK1512" s="59"/>
      <c r="CL1512" s="59"/>
      <c r="CM1512" s="59"/>
      <c r="CN1512" s="59"/>
      <c r="CO1512" s="59"/>
      <c r="CP1512" s="59"/>
      <c r="CQ1512" s="59"/>
      <c r="CR1512" s="59"/>
      <c r="CS1512" s="59"/>
      <c r="CT1512" s="59"/>
      <c r="CU1512" s="59"/>
      <c r="CV1512" s="59"/>
      <c r="CW1512" s="59"/>
      <c r="CX1512" s="59"/>
      <c r="CY1512" s="59"/>
      <c r="CZ1512" s="59"/>
      <c r="DA1512" s="59"/>
      <c r="DB1512" s="59"/>
      <c r="DC1512" s="59"/>
      <c r="DD1512" s="59"/>
      <c r="DE1512" s="59"/>
      <c r="DF1512" s="59"/>
      <c r="DG1512" s="59"/>
      <c r="DH1512" s="59"/>
      <c r="DI1512" s="59"/>
      <c r="DJ1512" s="59"/>
      <c r="DK1512" s="59"/>
      <c r="DL1512" s="59"/>
      <c r="DM1512" s="59"/>
      <c r="DN1512" s="59"/>
      <c r="DO1512" s="59"/>
      <c r="DP1512" s="59"/>
      <c r="DQ1512" s="59"/>
      <c r="DR1512" s="59"/>
      <c r="DS1512" s="59"/>
      <c r="DT1512" s="59"/>
      <c r="DU1512" s="59"/>
      <c r="DV1512" s="59"/>
      <c r="DW1512" s="59"/>
      <c r="DX1512" s="59"/>
      <c r="DY1512" s="59"/>
      <c r="DZ1512" s="59"/>
      <c r="EA1512" s="59"/>
      <c r="EB1512" s="59"/>
      <c r="EC1512" s="59"/>
      <c r="ED1512" s="59"/>
      <c r="EE1512" s="59"/>
      <c r="EF1512" s="59"/>
      <c r="EG1512" s="59"/>
      <c r="EH1512" s="59"/>
      <c r="EI1512" s="59"/>
      <c r="EJ1512" s="59"/>
      <c r="EK1512" s="59"/>
      <c r="EL1512" s="59"/>
      <c r="EM1512" s="59"/>
      <c r="EN1512" s="59"/>
      <c r="EO1512" s="59"/>
      <c r="EP1512" s="59"/>
      <c r="EQ1512" s="59"/>
      <c r="ER1512" s="59"/>
      <c r="ES1512" s="59"/>
      <c r="ET1512" s="59"/>
      <c r="EU1512" s="59"/>
      <c r="EV1512" s="59"/>
      <c r="EW1512" s="59"/>
      <c r="EX1512" s="59"/>
      <c r="EY1512" s="59"/>
      <c r="EZ1512" s="59"/>
      <c r="FA1512" s="59"/>
      <c r="FB1512" s="59"/>
      <c r="FC1512" s="59"/>
      <c r="FD1512" s="59"/>
      <c r="FE1512" s="59"/>
      <c r="FF1512" s="59"/>
      <c r="FG1512" s="59"/>
      <c r="FH1512" s="59"/>
      <c r="FI1512" s="59"/>
      <c r="FJ1512" s="59"/>
      <c r="FK1512" s="59"/>
      <c r="FL1512" s="59"/>
      <c r="FM1512" s="59"/>
      <c r="FN1512" s="59"/>
      <c r="FO1512" s="59"/>
      <c r="FP1512" s="59"/>
      <c r="FQ1512" s="59"/>
      <c r="FR1512" s="59"/>
      <c r="FS1512" s="59"/>
      <c r="FT1512" s="59"/>
      <c r="FU1512" s="59"/>
      <c r="FV1512" s="59"/>
      <c r="FW1512" s="59"/>
      <c r="FX1512" s="59"/>
      <c r="FY1512" s="59"/>
      <c r="FZ1512" s="59"/>
      <c r="GA1512" s="59"/>
      <c r="GB1512" s="59"/>
      <c r="GC1512" s="59"/>
    </row>
    <row r="1513">
      <c r="A1513" s="59"/>
      <c r="B1513" s="59"/>
      <c r="C1513" s="59"/>
      <c r="D1513" s="59"/>
      <c r="E1513" s="59"/>
      <c r="F1513" s="59"/>
      <c r="G1513" s="59"/>
      <c r="H1513" s="59"/>
      <c r="I1513" s="59"/>
      <c r="J1513" s="59"/>
      <c r="K1513" s="59"/>
      <c r="L1513" s="59"/>
      <c r="M1513" s="59"/>
      <c r="N1513" s="59"/>
      <c r="O1513" s="59"/>
      <c r="P1513" s="59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  <c r="AA1513" s="59"/>
      <c r="AB1513" s="59"/>
      <c r="AC1513" s="59"/>
      <c r="AD1513" s="59"/>
      <c r="AE1513" s="59"/>
      <c r="AF1513" s="59"/>
      <c r="AG1513" s="59"/>
      <c r="AH1513" s="59"/>
      <c r="AI1513" s="59"/>
      <c r="AJ1513" s="59"/>
      <c r="AK1513" s="59"/>
      <c r="AL1513" s="59"/>
      <c r="AM1513" s="59"/>
      <c r="AN1513" s="59"/>
      <c r="AO1513" s="59"/>
      <c r="AP1513" s="59"/>
      <c r="AQ1513" s="59"/>
      <c r="AR1513" s="59"/>
      <c r="AS1513" s="59"/>
      <c r="AT1513" s="59"/>
      <c r="AU1513" s="59"/>
      <c r="AV1513" s="59"/>
      <c r="AW1513" s="59"/>
      <c r="AX1513" s="59"/>
      <c r="AY1513" s="59"/>
      <c r="AZ1513" s="59"/>
      <c r="BA1513" s="59"/>
      <c r="BB1513" s="59"/>
      <c r="BC1513" s="59"/>
      <c r="BD1513" s="59"/>
      <c r="BE1513" s="59"/>
      <c r="BF1513" s="59"/>
      <c r="BG1513" s="59"/>
      <c r="BH1513" s="59"/>
      <c r="BI1513" s="59"/>
      <c r="BJ1513" s="59"/>
      <c r="BK1513" s="59"/>
      <c r="BL1513" s="59"/>
      <c r="BM1513" s="59"/>
      <c r="BN1513" s="59"/>
      <c r="BO1513" s="59"/>
      <c r="BP1513" s="59"/>
      <c r="BQ1513" s="59"/>
      <c r="BR1513" s="59"/>
      <c r="BS1513" s="59"/>
      <c r="BT1513" s="59"/>
      <c r="BU1513" s="59"/>
      <c r="BV1513" s="59"/>
      <c r="BW1513" s="59"/>
      <c r="BX1513" s="59"/>
      <c r="BY1513" s="59"/>
      <c r="BZ1513" s="59"/>
      <c r="CA1513" s="59"/>
      <c r="CB1513" s="59"/>
      <c r="CC1513" s="59"/>
      <c r="CD1513" s="59"/>
      <c r="CE1513" s="59"/>
      <c r="CF1513" s="59"/>
      <c r="CG1513" s="59"/>
      <c r="CH1513" s="59"/>
      <c r="CI1513" s="59"/>
      <c r="CJ1513" s="59"/>
      <c r="CK1513" s="59"/>
      <c r="CL1513" s="59"/>
      <c r="CM1513" s="59"/>
      <c r="CN1513" s="59"/>
      <c r="CO1513" s="59"/>
      <c r="CP1513" s="59"/>
      <c r="CQ1513" s="59"/>
      <c r="CR1513" s="59"/>
      <c r="CS1513" s="59"/>
      <c r="CT1513" s="59"/>
      <c r="CU1513" s="59"/>
      <c r="CV1513" s="59"/>
      <c r="CW1513" s="59"/>
      <c r="CX1513" s="59"/>
      <c r="CY1513" s="59"/>
      <c r="CZ1513" s="59"/>
      <c r="DA1513" s="59"/>
      <c r="DB1513" s="59"/>
      <c r="DC1513" s="59"/>
      <c r="DD1513" s="59"/>
      <c r="DE1513" s="59"/>
      <c r="DF1513" s="59"/>
      <c r="DG1513" s="59"/>
      <c r="DH1513" s="59"/>
      <c r="DI1513" s="59"/>
      <c r="DJ1513" s="59"/>
      <c r="DK1513" s="59"/>
      <c r="DL1513" s="59"/>
      <c r="DM1513" s="59"/>
      <c r="DN1513" s="59"/>
      <c r="DO1513" s="59"/>
      <c r="DP1513" s="59"/>
      <c r="DQ1513" s="59"/>
      <c r="DR1513" s="59"/>
      <c r="DS1513" s="59"/>
      <c r="DT1513" s="59"/>
      <c r="DU1513" s="59"/>
      <c r="DV1513" s="59"/>
      <c r="DW1513" s="59"/>
      <c r="DX1513" s="59"/>
      <c r="DY1513" s="59"/>
      <c r="DZ1513" s="59"/>
      <c r="EA1513" s="59"/>
      <c r="EB1513" s="59"/>
      <c r="EC1513" s="59"/>
      <c r="ED1513" s="59"/>
      <c r="EE1513" s="59"/>
      <c r="EF1513" s="59"/>
      <c r="EG1513" s="59"/>
      <c r="EH1513" s="59"/>
      <c r="EI1513" s="59"/>
      <c r="EJ1513" s="59"/>
      <c r="EK1513" s="59"/>
      <c r="EL1513" s="59"/>
      <c r="EM1513" s="59"/>
      <c r="EN1513" s="59"/>
      <c r="EO1513" s="59"/>
      <c r="EP1513" s="59"/>
      <c r="EQ1513" s="59"/>
      <c r="ER1513" s="59"/>
      <c r="ES1513" s="59"/>
      <c r="ET1513" s="59"/>
      <c r="EU1513" s="59"/>
      <c r="EV1513" s="59"/>
      <c r="EW1513" s="59"/>
      <c r="EX1513" s="59"/>
      <c r="EY1513" s="59"/>
      <c r="EZ1513" s="59"/>
      <c r="FA1513" s="59"/>
      <c r="FB1513" s="59"/>
      <c r="FC1513" s="59"/>
      <c r="FD1513" s="59"/>
      <c r="FE1513" s="59"/>
      <c r="FF1513" s="59"/>
      <c r="FG1513" s="59"/>
      <c r="FH1513" s="59"/>
      <c r="FI1513" s="59"/>
      <c r="FJ1513" s="59"/>
      <c r="FK1513" s="59"/>
      <c r="FL1513" s="59"/>
      <c r="FM1513" s="59"/>
      <c r="FN1513" s="59"/>
      <c r="FO1513" s="59"/>
      <c r="FP1513" s="59"/>
      <c r="FQ1513" s="59"/>
      <c r="FR1513" s="59"/>
      <c r="FS1513" s="59"/>
      <c r="FT1513" s="59"/>
      <c r="FU1513" s="59"/>
      <c r="FV1513" s="59"/>
      <c r="FW1513" s="59"/>
      <c r="FX1513" s="59"/>
      <c r="FY1513" s="59"/>
      <c r="FZ1513" s="59"/>
      <c r="GA1513" s="59"/>
      <c r="GB1513" s="59"/>
      <c r="GC1513" s="59"/>
    </row>
    <row r="1514">
      <c r="A1514" s="59"/>
      <c r="B1514" s="59"/>
      <c r="C1514" s="59"/>
      <c r="D1514" s="59"/>
      <c r="E1514" s="59"/>
      <c r="F1514" s="59"/>
      <c r="G1514" s="59"/>
      <c r="H1514" s="59"/>
      <c r="I1514" s="59"/>
      <c r="J1514" s="59"/>
      <c r="K1514" s="59"/>
      <c r="L1514" s="59"/>
      <c r="M1514" s="59"/>
      <c r="N1514" s="59"/>
      <c r="O1514" s="59"/>
      <c r="P1514" s="59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  <c r="AA1514" s="59"/>
      <c r="AB1514" s="59"/>
      <c r="AC1514" s="59"/>
      <c r="AD1514" s="59"/>
      <c r="AE1514" s="59"/>
      <c r="AF1514" s="59"/>
      <c r="AG1514" s="59"/>
      <c r="AH1514" s="59"/>
      <c r="AI1514" s="59"/>
      <c r="AJ1514" s="59"/>
      <c r="AK1514" s="59"/>
      <c r="AL1514" s="59"/>
      <c r="AM1514" s="59"/>
      <c r="AN1514" s="59"/>
      <c r="AO1514" s="59"/>
      <c r="AP1514" s="59"/>
      <c r="AQ1514" s="59"/>
      <c r="AR1514" s="59"/>
      <c r="AS1514" s="59"/>
      <c r="AT1514" s="59"/>
      <c r="AU1514" s="59"/>
      <c r="AV1514" s="59"/>
      <c r="AW1514" s="59"/>
      <c r="AX1514" s="59"/>
      <c r="AY1514" s="59"/>
      <c r="AZ1514" s="59"/>
      <c r="BA1514" s="59"/>
      <c r="BB1514" s="59"/>
      <c r="BC1514" s="59"/>
      <c r="BD1514" s="59"/>
      <c r="BE1514" s="59"/>
      <c r="BF1514" s="59"/>
      <c r="BG1514" s="59"/>
      <c r="BH1514" s="59"/>
      <c r="BI1514" s="59"/>
      <c r="BJ1514" s="59"/>
      <c r="BK1514" s="59"/>
      <c r="BL1514" s="59"/>
      <c r="BM1514" s="59"/>
      <c r="BN1514" s="59"/>
      <c r="BO1514" s="59"/>
      <c r="BP1514" s="59"/>
      <c r="BQ1514" s="59"/>
      <c r="BR1514" s="59"/>
      <c r="BS1514" s="59"/>
      <c r="BT1514" s="59"/>
      <c r="BU1514" s="59"/>
      <c r="BV1514" s="59"/>
      <c r="BW1514" s="59"/>
      <c r="BX1514" s="59"/>
      <c r="BY1514" s="59"/>
      <c r="BZ1514" s="59"/>
      <c r="CA1514" s="59"/>
      <c r="CB1514" s="59"/>
      <c r="CC1514" s="59"/>
      <c r="CD1514" s="59"/>
      <c r="CE1514" s="59"/>
      <c r="CF1514" s="59"/>
      <c r="CG1514" s="59"/>
      <c r="CH1514" s="59"/>
      <c r="CI1514" s="59"/>
      <c r="CJ1514" s="59"/>
      <c r="CK1514" s="59"/>
      <c r="CL1514" s="59"/>
      <c r="CM1514" s="59"/>
      <c r="CN1514" s="59"/>
      <c r="CO1514" s="59"/>
      <c r="CP1514" s="59"/>
      <c r="CQ1514" s="59"/>
      <c r="CR1514" s="59"/>
      <c r="CS1514" s="59"/>
      <c r="CT1514" s="59"/>
      <c r="CU1514" s="59"/>
      <c r="CV1514" s="59"/>
      <c r="CW1514" s="59"/>
      <c r="CX1514" s="59"/>
      <c r="CY1514" s="59"/>
      <c r="CZ1514" s="59"/>
      <c r="DA1514" s="59"/>
      <c r="DB1514" s="59"/>
      <c r="DC1514" s="59"/>
      <c r="DD1514" s="59"/>
      <c r="DE1514" s="59"/>
      <c r="DF1514" s="59"/>
      <c r="DG1514" s="59"/>
      <c r="DH1514" s="59"/>
      <c r="DI1514" s="59"/>
      <c r="DJ1514" s="59"/>
      <c r="DK1514" s="59"/>
      <c r="DL1514" s="59"/>
      <c r="DM1514" s="59"/>
      <c r="DN1514" s="59"/>
      <c r="DO1514" s="59"/>
      <c r="DP1514" s="59"/>
      <c r="DQ1514" s="59"/>
      <c r="DR1514" s="59"/>
      <c r="DS1514" s="59"/>
      <c r="DT1514" s="59"/>
      <c r="DU1514" s="59"/>
      <c r="DV1514" s="59"/>
      <c r="DW1514" s="59"/>
      <c r="DX1514" s="59"/>
      <c r="DY1514" s="59"/>
      <c r="DZ1514" s="59"/>
      <c r="EA1514" s="59"/>
      <c r="EB1514" s="59"/>
      <c r="EC1514" s="59"/>
      <c r="ED1514" s="59"/>
      <c r="EE1514" s="59"/>
      <c r="EF1514" s="59"/>
      <c r="EG1514" s="59"/>
      <c r="EH1514" s="59"/>
      <c r="EI1514" s="59"/>
      <c r="EJ1514" s="59"/>
      <c r="EK1514" s="59"/>
      <c r="EL1514" s="59"/>
      <c r="EM1514" s="59"/>
      <c r="EN1514" s="59"/>
      <c r="EO1514" s="59"/>
      <c r="EP1514" s="59"/>
      <c r="EQ1514" s="59"/>
      <c r="ER1514" s="59"/>
      <c r="ES1514" s="59"/>
      <c r="ET1514" s="59"/>
      <c r="EU1514" s="59"/>
      <c r="EV1514" s="59"/>
      <c r="EW1514" s="59"/>
      <c r="EX1514" s="59"/>
      <c r="EY1514" s="59"/>
      <c r="EZ1514" s="59"/>
      <c r="FA1514" s="59"/>
      <c r="FB1514" s="59"/>
      <c r="FC1514" s="59"/>
      <c r="FD1514" s="59"/>
      <c r="FE1514" s="59"/>
      <c r="FF1514" s="59"/>
      <c r="FG1514" s="59"/>
      <c r="FH1514" s="59"/>
      <c r="FI1514" s="59"/>
      <c r="FJ1514" s="59"/>
      <c r="FK1514" s="59"/>
      <c r="FL1514" s="59"/>
      <c r="FM1514" s="59"/>
      <c r="FN1514" s="59"/>
      <c r="FO1514" s="59"/>
      <c r="FP1514" s="59"/>
      <c r="FQ1514" s="59"/>
      <c r="FR1514" s="59"/>
      <c r="FS1514" s="59"/>
      <c r="FT1514" s="59"/>
      <c r="FU1514" s="59"/>
      <c r="FV1514" s="59"/>
      <c r="FW1514" s="59"/>
      <c r="FX1514" s="59"/>
      <c r="FY1514" s="59"/>
      <c r="FZ1514" s="59"/>
      <c r="GA1514" s="59"/>
      <c r="GB1514" s="59"/>
      <c r="GC1514" s="59"/>
    </row>
    <row r="1515">
      <c r="A1515" s="59"/>
      <c r="B1515" s="59"/>
      <c r="C1515" s="59"/>
      <c r="D1515" s="59"/>
      <c r="E1515" s="59"/>
      <c r="F1515" s="59"/>
      <c r="G1515" s="59"/>
      <c r="H1515" s="59"/>
      <c r="I1515" s="59"/>
      <c r="J1515" s="59"/>
      <c r="K1515" s="59"/>
      <c r="L1515" s="59"/>
      <c r="M1515" s="59"/>
      <c r="N1515" s="59"/>
      <c r="O1515" s="59"/>
      <c r="P1515" s="59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  <c r="AA1515" s="59"/>
      <c r="AB1515" s="59"/>
      <c r="AC1515" s="59"/>
      <c r="AD1515" s="59"/>
      <c r="AE1515" s="59"/>
      <c r="AF1515" s="59"/>
      <c r="AG1515" s="59"/>
      <c r="AH1515" s="59"/>
      <c r="AI1515" s="59"/>
      <c r="AJ1515" s="59"/>
      <c r="AK1515" s="59"/>
      <c r="AL1515" s="59"/>
      <c r="AM1515" s="59"/>
      <c r="AN1515" s="59"/>
      <c r="AO1515" s="59"/>
      <c r="AP1515" s="59"/>
      <c r="AQ1515" s="59"/>
      <c r="AR1515" s="59"/>
      <c r="AS1515" s="59"/>
      <c r="AT1515" s="59"/>
      <c r="AU1515" s="59"/>
      <c r="AV1515" s="59"/>
      <c r="AW1515" s="59"/>
      <c r="AX1515" s="59"/>
      <c r="AY1515" s="59"/>
      <c r="AZ1515" s="59"/>
      <c r="BA1515" s="59"/>
      <c r="BB1515" s="59"/>
      <c r="BC1515" s="59"/>
      <c r="BD1515" s="59"/>
      <c r="BE1515" s="59"/>
      <c r="BF1515" s="59"/>
      <c r="BG1515" s="59"/>
      <c r="BH1515" s="59"/>
      <c r="BI1515" s="59"/>
      <c r="BJ1515" s="59"/>
      <c r="BK1515" s="59"/>
      <c r="BL1515" s="59"/>
      <c r="BM1515" s="59"/>
      <c r="BN1515" s="59"/>
      <c r="BO1515" s="59"/>
      <c r="BP1515" s="59"/>
      <c r="BQ1515" s="59"/>
      <c r="BR1515" s="59"/>
      <c r="BS1515" s="59"/>
      <c r="BT1515" s="59"/>
      <c r="BU1515" s="59"/>
      <c r="BV1515" s="59"/>
      <c r="BW1515" s="59"/>
      <c r="BX1515" s="59"/>
      <c r="BY1515" s="59"/>
      <c r="BZ1515" s="59"/>
      <c r="CA1515" s="59"/>
      <c r="CB1515" s="59"/>
      <c r="CC1515" s="59"/>
      <c r="CD1515" s="59"/>
      <c r="CE1515" s="59"/>
      <c r="CF1515" s="59"/>
      <c r="CG1515" s="59"/>
      <c r="CH1515" s="59"/>
      <c r="CI1515" s="59"/>
      <c r="CJ1515" s="59"/>
      <c r="CK1515" s="59"/>
      <c r="CL1515" s="59"/>
      <c r="CM1515" s="59"/>
      <c r="CN1515" s="59"/>
      <c r="CO1515" s="59"/>
      <c r="CP1515" s="59"/>
      <c r="CQ1515" s="59"/>
      <c r="CR1515" s="59"/>
      <c r="CS1515" s="59"/>
      <c r="CT1515" s="59"/>
      <c r="CU1515" s="59"/>
      <c r="CV1515" s="59"/>
      <c r="CW1515" s="59"/>
      <c r="CX1515" s="59"/>
      <c r="CY1515" s="59"/>
      <c r="CZ1515" s="59"/>
      <c r="DA1515" s="59"/>
      <c r="DB1515" s="59"/>
      <c r="DC1515" s="59"/>
      <c r="DD1515" s="59"/>
      <c r="DE1515" s="59"/>
      <c r="DF1515" s="59"/>
      <c r="DG1515" s="59"/>
      <c r="DH1515" s="59"/>
      <c r="DI1515" s="59"/>
      <c r="DJ1515" s="59"/>
      <c r="DK1515" s="59"/>
      <c r="DL1515" s="59"/>
      <c r="DM1515" s="59"/>
      <c r="DN1515" s="59"/>
      <c r="DO1515" s="59"/>
      <c r="DP1515" s="59"/>
      <c r="DQ1515" s="59"/>
      <c r="DR1515" s="59"/>
      <c r="DS1515" s="59"/>
      <c r="DT1515" s="59"/>
      <c r="DU1515" s="59"/>
      <c r="DV1515" s="59"/>
      <c r="DW1515" s="59"/>
      <c r="DX1515" s="59"/>
      <c r="DY1515" s="59"/>
      <c r="DZ1515" s="59"/>
      <c r="EA1515" s="59"/>
      <c r="EB1515" s="59"/>
      <c r="EC1515" s="59"/>
      <c r="ED1515" s="59"/>
      <c r="EE1515" s="59"/>
      <c r="EF1515" s="59"/>
      <c r="EG1515" s="59"/>
      <c r="EH1515" s="59"/>
      <c r="EI1515" s="59"/>
      <c r="EJ1515" s="59"/>
      <c r="EK1515" s="59"/>
      <c r="EL1515" s="59"/>
      <c r="EM1515" s="59"/>
      <c r="EN1515" s="59"/>
      <c r="EO1515" s="59"/>
      <c r="EP1515" s="59"/>
      <c r="EQ1515" s="59"/>
      <c r="ER1515" s="59"/>
      <c r="ES1515" s="59"/>
      <c r="ET1515" s="59"/>
      <c r="EU1515" s="59"/>
      <c r="EV1515" s="59"/>
      <c r="EW1515" s="59"/>
      <c r="EX1515" s="59"/>
      <c r="EY1515" s="59"/>
      <c r="EZ1515" s="59"/>
      <c r="FA1515" s="59"/>
      <c r="FB1515" s="59"/>
      <c r="FC1515" s="59"/>
      <c r="FD1515" s="59"/>
      <c r="FE1515" s="59"/>
      <c r="FF1515" s="59"/>
      <c r="FG1515" s="59"/>
      <c r="FH1515" s="59"/>
      <c r="FI1515" s="59"/>
      <c r="FJ1515" s="59"/>
      <c r="FK1515" s="59"/>
      <c r="FL1515" s="59"/>
      <c r="FM1515" s="59"/>
      <c r="FN1515" s="59"/>
      <c r="FO1515" s="59"/>
      <c r="FP1515" s="59"/>
      <c r="FQ1515" s="59"/>
      <c r="FR1515" s="59"/>
      <c r="FS1515" s="59"/>
      <c r="FT1515" s="59"/>
      <c r="FU1515" s="59"/>
      <c r="FV1515" s="59"/>
      <c r="FW1515" s="59"/>
      <c r="FX1515" s="59"/>
      <c r="FY1515" s="59"/>
      <c r="FZ1515" s="59"/>
      <c r="GA1515" s="59"/>
      <c r="GB1515" s="59"/>
      <c r="GC1515" s="59"/>
    </row>
    <row r="1516">
      <c r="A1516" s="59"/>
      <c r="B1516" s="59"/>
      <c r="C1516" s="59"/>
      <c r="D1516" s="59"/>
      <c r="E1516" s="59"/>
      <c r="F1516" s="59"/>
      <c r="G1516" s="59"/>
      <c r="H1516" s="59"/>
      <c r="I1516" s="59"/>
      <c r="J1516" s="59"/>
      <c r="K1516" s="59"/>
      <c r="L1516" s="59"/>
      <c r="M1516" s="59"/>
      <c r="N1516" s="59"/>
      <c r="O1516" s="59"/>
      <c r="P1516" s="59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  <c r="AA1516" s="59"/>
      <c r="AB1516" s="59"/>
      <c r="AC1516" s="59"/>
      <c r="AD1516" s="59"/>
      <c r="AE1516" s="59"/>
      <c r="AF1516" s="59"/>
      <c r="AG1516" s="59"/>
      <c r="AH1516" s="59"/>
      <c r="AI1516" s="59"/>
      <c r="AJ1516" s="59"/>
      <c r="AK1516" s="59"/>
      <c r="AL1516" s="59"/>
      <c r="AM1516" s="59"/>
      <c r="AN1516" s="59"/>
      <c r="AO1516" s="59"/>
      <c r="AP1516" s="59"/>
      <c r="AQ1516" s="59"/>
      <c r="AR1516" s="59"/>
      <c r="AS1516" s="59"/>
      <c r="AT1516" s="59"/>
      <c r="AU1516" s="59"/>
      <c r="AV1516" s="59"/>
      <c r="AW1516" s="59"/>
      <c r="AX1516" s="59"/>
      <c r="AY1516" s="59"/>
      <c r="AZ1516" s="59"/>
      <c r="BA1516" s="59"/>
      <c r="BB1516" s="59"/>
      <c r="BC1516" s="59"/>
      <c r="BD1516" s="59"/>
      <c r="BE1516" s="59"/>
      <c r="BF1516" s="59"/>
      <c r="BG1516" s="59"/>
      <c r="BH1516" s="59"/>
      <c r="BI1516" s="59"/>
      <c r="BJ1516" s="59"/>
      <c r="BK1516" s="59"/>
      <c r="BL1516" s="59"/>
      <c r="BM1516" s="59"/>
      <c r="BN1516" s="59"/>
      <c r="BO1516" s="59"/>
      <c r="BP1516" s="59"/>
      <c r="BQ1516" s="59"/>
      <c r="BR1516" s="59"/>
      <c r="BS1516" s="59"/>
      <c r="BT1516" s="59"/>
      <c r="BU1516" s="59"/>
      <c r="BV1516" s="59"/>
      <c r="BW1516" s="59"/>
      <c r="BX1516" s="59"/>
      <c r="BY1516" s="59"/>
      <c r="BZ1516" s="59"/>
      <c r="CA1516" s="59"/>
      <c r="CB1516" s="59"/>
      <c r="CC1516" s="59"/>
      <c r="CD1516" s="59"/>
      <c r="CE1516" s="59"/>
      <c r="CF1516" s="59"/>
      <c r="CG1516" s="59"/>
      <c r="CH1516" s="59"/>
      <c r="CI1516" s="59"/>
      <c r="CJ1516" s="59"/>
      <c r="CK1516" s="59"/>
      <c r="CL1516" s="59"/>
      <c r="CM1516" s="59"/>
      <c r="CN1516" s="59"/>
      <c r="CO1516" s="59"/>
      <c r="CP1516" s="59"/>
      <c r="CQ1516" s="59"/>
      <c r="CR1516" s="59"/>
      <c r="CS1516" s="59"/>
      <c r="CT1516" s="59"/>
      <c r="CU1516" s="59"/>
      <c r="CV1516" s="59"/>
      <c r="CW1516" s="59"/>
      <c r="CX1516" s="59"/>
      <c r="CY1516" s="59"/>
      <c r="CZ1516" s="59"/>
      <c r="DA1516" s="59"/>
      <c r="DB1516" s="59"/>
      <c r="DC1516" s="59"/>
      <c r="DD1516" s="59"/>
      <c r="DE1516" s="59"/>
      <c r="DF1516" s="59"/>
      <c r="DG1516" s="59"/>
      <c r="DH1516" s="59"/>
      <c r="DI1516" s="59"/>
      <c r="DJ1516" s="59"/>
      <c r="DK1516" s="59"/>
      <c r="DL1516" s="59"/>
      <c r="DM1516" s="59"/>
      <c r="DN1516" s="59"/>
      <c r="DO1516" s="59"/>
      <c r="DP1516" s="59"/>
      <c r="DQ1516" s="59"/>
      <c r="DR1516" s="59"/>
      <c r="DS1516" s="59"/>
      <c r="DT1516" s="59"/>
      <c r="DU1516" s="59"/>
      <c r="DV1516" s="59"/>
      <c r="DW1516" s="59"/>
      <c r="DX1516" s="59"/>
      <c r="DY1516" s="59"/>
      <c r="DZ1516" s="59"/>
      <c r="EA1516" s="59"/>
      <c r="EB1516" s="59"/>
      <c r="EC1516" s="59"/>
      <c r="ED1516" s="59"/>
      <c r="EE1516" s="59"/>
      <c r="EF1516" s="59"/>
      <c r="EG1516" s="59"/>
      <c r="EH1516" s="59"/>
      <c r="EI1516" s="59"/>
      <c r="EJ1516" s="59"/>
      <c r="EK1516" s="59"/>
      <c r="EL1516" s="59"/>
      <c r="EM1516" s="59"/>
      <c r="EN1516" s="59"/>
      <c r="EO1516" s="59"/>
      <c r="EP1516" s="59"/>
      <c r="EQ1516" s="59"/>
      <c r="ER1516" s="59"/>
      <c r="ES1516" s="59"/>
      <c r="ET1516" s="59"/>
      <c r="EU1516" s="59"/>
      <c r="EV1516" s="59"/>
      <c r="EW1516" s="59"/>
      <c r="EX1516" s="59"/>
      <c r="EY1516" s="59"/>
      <c r="EZ1516" s="59"/>
      <c r="FA1516" s="59"/>
      <c r="FB1516" s="59"/>
      <c r="FC1516" s="59"/>
      <c r="FD1516" s="59"/>
      <c r="FE1516" s="59"/>
      <c r="FF1516" s="59"/>
      <c r="FG1516" s="59"/>
      <c r="FH1516" s="59"/>
      <c r="FI1516" s="59"/>
      <c r="FJ1516" s="59"/>
      <c r="FK1516" s="59"/>
      <c r="FL1516" s="59"/>
      <c r="FM1516" s="59"/>
      <c r="FN1516" s="59"/>
      <c r="FO1516" s="59"/>
      <c r="FP1516" s="59"/>
      <c r="FQ1516" s="59"/>
      <c r="FR1516" s="59"/>
      <c r="FS1516" s="59"/>
      <c r="FT1516" s="59"/>
      <c r="FU1516" s="59"/>
      <c r="FV1516" s="59"/>
      <c r="FW1516" s="59"/>
      <c r="FX1516" s="59"/>
      <c r="FY1516" s="59"/>
      <c r="FZ1516" s="59"/>
      <c r="GA1516" s="59"/>
      <c r="GB1516" s="59"/>
      <c r="GC1516" s="59"/>
    </row>
    <row r="1517">
      <c r="A1517" s="59"/>
      <c r="B1517" s="59"/>
      <c r="C1517" s="59"/>
      <c r="D1517" s="59"/>
      <c r="E1517" s="59"/>
      <c r="F1517" s="59"/>
      <c r="G1517" s="59"/>
      <c r="H1517" s="59"/>
      <c r="I1517" s="59"/>
      <c r="J1517" s="59"/>
      <c r="K1517" s="59"/>
      <c r="L1517" s="59"/>
      <c r="M1517" s="59"/>
      <c r="N1517" s="59"/>
      <c r="O1517" s="59"/>
      <c r="P1517" s="59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59"/>
      <c r="AG1517" s="59"/>
      <c r="AH1517" s="59"/>
      <c r="AI1517" s="59"/>
      <c r="AJ1517" s="59"/>
      <c r="AK1517" s="59"/>
      <c r="AL1517" s="59"/>
      <c r="AM1517" s="59"/>
      <c r="AN1517" s="59"/>
      <c r="AO1517" s="59"/>
      <c r="AP1517" s="59"/>
      <c r="AQ1517" s="59"/>
      <c r="AR1517" s="59"/>
      <c r="AS1517" s="59"/>
      <c r="AT1517" s="59"/>
      <c r="AU1517" s="59"/>
      <c r="AV1517" s="59"/>
      <c r="AW1517" s="59"/>
      <c r="AX1517" s="59"/>
      <c r="AY1517" s="59"/>
      <c r="AZ1517" s="59"/>
      <c r="BA1517" s="59"/>
      <c r="BB1517" s="59"/>
      <c r="BC1517" s="59"/>
      <c r="BD1517" s="59"/>
      <c r="BE1517" s="59"/>
      <c r="BF1517" s="59"/>
      <c r="BG1517" s="59"/>
      <c r="BH1517" s="59"/>
      <c r="BI1517" s="59"/>
      <c r="BJ1517" s="59"/>
      <c r="BK1517" s="59"/>
      <c r="BL1517" s="59"/>
      <c r="BM1517" s="59"/>
      <c r="BN1517" s="59"/>
      <c r="BO1517" s="59"/>
      <c r="BP1517" s="59"/>
      <c r="BQ1517" s="59"/>
      <c r="BR1517" s="59"/>
      <c r="BS1517" s="59"/>
      <c r="BT1517" s="59"/>
      <c r="BU1517" s="59"/>
      <c r="BV1517" s="59"/>
      <c r="BW1517" s="59"/>
      <c r="BX1517" s="59"/>
      <c r="BY1517" s="59"/>
      <c r="BZ1517" s="59"/>
      <c r="CA1517" s="59"/>
      <c r="CB1517" s="59"/>
      <c r="CC1517" s="59"/>
      <c r="CD1517" s="59"/>
      <c r="CE1517" s="59"/>
      <c r="CF1517" s="59"/>
      <c r="CG1517" s="59"/>
      <c r="CH1517" s="59"/>
      <c r="CI1517" s="59"/>
      <c r="CJ1517" s="59"/>
      <c r="CK1517" s="59"/>
      <c r="CL1517" s="59"/>
      <c r="CM1517" s="59"/>
      <c r="CN1517" s="59"/>
      <c r="CO1517" s="59"/>
      <c r="CP1517" s="59"/>
      <c r="CQ1517" s="59"/>
      <c r="CR1517" s="59"/>
      <c r="CS1517" s="59"/>
      <c r="CT1517" s="59"/>
      <c r="CU1517" s="59"/>
      <c r="CV1517" s="59"/>
      <c r="CW1517" s="59"/>
      <c r="CX1517" s="59"/>
      <c r="CY1517" s="59"/>
      <c r="CZ1517" s="59"/>
      <c r="DA1517" s="59"/>
      <c r="DB1517" s="59"/>
      <c r="DC1517" s="59"/>
      <c r="DD1517" s="59"/>
      <c r="DE1517" s="59"/>
      <c r="DF1517" s="59"/>
      <c r="DG1517" s="59"/>
      <c r="DH1517" s="59"/>
      <c r="DI1517" s="59"/>
      <c r="DJ1517" s="59"/>
      <c r="DK1517" s="59"/>
      <c r="DL1517" s="59"/>
      <c r="DM1517" s="59"/>
      <c r="DN1517" s="59"/>
      <c r="DO1517" s="59"/>
      <c r="DP1517" s="59"/>
      <c r="DQ1517" s="59"/>
      <c r="DR1517" s="59"/>
      <c r="DS1517" s="59"/>
      <c r="DT1517" s="59"/>
      <c r="DU1517" s="59"/>
      <c r="DV1517" s="59"/>
      <c r="DW1517" s="59"/>
      <c r="DX1517" s="59"/>
      <c r="DY1517" s="59"/>
      <c r="DZ1517" s="59"/>
      <c r="EA1517" s="59"/>
      <c r="EB1517" s="59"/>
      <c r="EC1517" s="59"/>
      <c r="ED1517" s="59"/>
      <c r="EE1517" s="59"/>
      <c r="EF1517" s="59"/>
      <c r="EG1517" s="59"/>
      <c r="EH1517" s="59"/>
      <c r="EI1517" s="59"/>
      <c r="EJ1517" s="59"/>
      <c r="EK1517" s="59"/>
      <c r="EL1517" s="59"/>
      <c r="EM1517" s="59"/>
      <c r="EN1517" s="59"/>
      <c r="EO1517" s="59"/>
      <c r="EP1517" s="59"/>
      <c r="EQ1517" s="59"/>
      <c r="ER1517" s="59"/>
      <c r="ES1517" s="59"/>
      <c r="ET1517" s="59"/>
      <c r="EU1517" s="59"/>
      <c r="EV1517" s="59"/>
      <c r="EW1517" s="59"/>
      <c r="EX1517" s="59"/>
      <c r="EY1517" s="59"/>
      <c r="EZ1517" s="59"/>
      <c r="FA1517" s="59"/>
      <c r="FB1517" s="59"/>
      <c r="FC1517" s="59"/>
      <c r="FD1517" s="59"/>
      <c r="FE1517" s="59"/>
      <c r="FF1517" s="59"/>
      <c r="FG1517" s="59"/>
      <c r="FH1517" s="59"/>
      <c r="FI1517" s="59"/>
      <c r="FJ1517" s="59"/>
      <c r="FK1517" s="59"/>
      <c r="FL1517" s="59"/>
      <c r="FM1517" s="59"/>
      <c r="FN1517" s="59"/>
      <c r="FO1517" s="59"/>
      <c r="FP1517" s="59"/>
      <c r="FQ1517" s="59"/>
      <c r="FR1517" s="59"/>
      <c r="FS1517" s="59"/>
      <c r="FT1517" s="59"/>
      <c r="FU1517" s="59"/>
      <c r="FV1517" s="59"/>
      <c r="FW1517" s="59"/>
      <c r="FX1517" s="59"/>
      <c r="FY1517" s="59"/>
      <c r="FZ1517" s="59"/>
      <c r="GA1517" s="59"/>
      <c r="GB1517" s="59"/>
      <c r="GC1517" s="59"/>
    </row>
    <row r="1518">
      <c r="A1518" s="59"/>
      <c r="B1518" s="59"/>
      <c r="C1518" s="59"/>
      <c r="D1518" s="59"/>
      <c r="E1518" s="59"/>
      <c r="F1518" s="59"/>
      <c r="G1518" s="59"/>
      <c r="H1518" s="59"/>
      <c r="I1518" s="59"/>
      <c r="J1518" s="59"/>
      <c r="K1518" s="59"/>
      <c r="L1518" s="59"/>
      <c r="M1518" s="59"/>
      <c r="N1518" s="59"/>
      <c r="O1518" s="59"/>
      <c r="P1518" s="59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  <c r="AA1518" s="59"/>
      <c r="AB1518" s="59"/>
      <c r="AC1518" s="59"/>
      <c r="AD1518" s="59"/>
      <c r="AE1518" s="59"/>
      <c r="AF1518" s="59"/>
      <c r="AG1518" s="59"/>
      <c r="AH1518" s="59"/>
      <c r="AI1518" s="59"/>
      <c r="AJ1518" s="59"/>
      <c r="AK1518" s="59"/>
      <c r="AL1518" s="59"/>
      <c r="AM1518" s="59"/>
      <c r="AN1518" s="59"/>
      <c r="AO1518" s="59"/>
      <c r="AP1518" s="59"/>
      <c r="AQ1518" s="59"/>
      <c r="AR1518" s="59"/>
      <c r="AS1518" s="59"/>
      <c r="AT1518" s="59"/>
      <c r="AU1518" s="59"/>
      <c r="AV1518" s="59"/>
      <c r="AW1518" s="59"/>
      <c r="AX1518" s="59"/>
      <c r="AY1518" s="59"/>
      <c r="AZ1518" s="59"/>
      <c r="BA1518" s="59"/>
      <c r="BB1518" s="59"/>
      <c r="BC1518" s="59"/>
      <c r="BD1518" s="59"/>
      <c r="BE1518" s="59"/>
      <c r="BF1518" s="59"/>
      <c r="BG1518" s="59"/>
      <c r="BH1518" s="59"/>
      <c r="BI1518" s="59"/>
      <c r="BJ1518" s="59"/>
      <c r="BK1518" s="59"/>
      <c r="BL1518" s="59"/>
      <c r="BM1518" s="59"/>
      <c r="BN1518" s="59"/>
      <c r="BO1518" s="59"/>
      <c r="BP1518" s="59"/>
      <c r="BQ1518" s="59"/>
      <c r="BR1518" s="59"/>
      <c r="BS1518" s="59"/>
      <c r="BT1518" s="59"/>
      <c r="BU1518" s="59"/>
      <c r="BV1518" s="59"/>
      <c r="BW1518" s="59"/>
      <c r="BX1518" s="59"/>
      <c r="BY1518" s="59"/>
      <c r="BZ1518" s="59"/>
      <c r="CA1518" s="59"/>
      <c r="CB1518" s="59"/>
      <c r="CC1518" s="59"/>
      <c r="CD1518" s="59"/>
      <c r="CE1518" s="59"/>
      <c r="CF1518" s="59"/>
      <c r="CG1518" s="59"/>
      <c r="CH1518" s="59"/>
      <c r="CI1518" s="59"/>
      <c r="CJ1518" s="59"/>
      <c r="CK1518" s="59"/>
      <c r="CL1518" s="59"/>
      <c r="CM1518" s="59"/>
      <c r="CN1518" s="59"/>
      <c r="CO1518" s="59"/>
      <c r="CP1518" s="59"/>
      <c r="CQ1518" s="59"/>
      <c r="CR1518" s="59"/>
      <c r="CS1518" s="59"/>
      <c r="CT1518" s="59"/>
      <c r="CU1518" s="59"/>
      <c r="CV1518" s="59"/>
      <c r="CW1518" s="59"/>
      <c r="CX1518" s="59"/>
      <c r="CY1518" s="59"/>
      <c r="CZ1518" s="59"/>
      <c r="DA1518" s="59"/>
      <c r="DB1518" s="59"/>
      <c r="DC1518" s="59"/>
      <c r="DD1518" s="59"/>
      <c r="DE1518" s="59"/>
      <c r="DF1518" s="59"/>
      <c r="DG1518" s="59"/>
      <c r="DH1518" s="59"/>
      <c r="DI1518" s="59"/>
      <c r="DJ1518" s="59"/>
      <c r="DK1518" s="59"/>
      <c r="DL1518" s="59"/>
      <c r="DM1518" s="59"/>
      <c r="DN1518" s="59"/>
      <c r="DO1518" s="59"/>
      <c r="DP1518" s="59"/>
      <c r="DQ1518" s="59"/>
      <c r="DR1518" s="59"/>
      <c r="DS1518" s="59"/>
      <c r="DT1518" s="59"/>
      <c r="DU1518" s="59"/>
      <c r="DV1518" s="59"/>
      <c r="DW1518" s="59"/>
      <c r="DX1518" s="59"/>
      <c r="DY1518" s="59"/>
      <c r="DZ1518" s="59"/>
      <c r="EA1518" s="59"/>
      <c r="EB1518" s="59"/>
      <c r="EC1518" s="59"/>
      <c r="ED1518" s="59"/>
      <c r="EE1518" s="59"/>
      <c r="EF1518" s="59"/>
      <c r="EG1518" s="59"/>
      <c r="EH1518" s="59"/>
      <c r="EI1518" s="59"/>
      <c r="EJ1518" s="59"/>
      <c r="EK1518" s="59"/>
      <c r="EL1518" s="59"/>
      <c r="EM1518" s="59"/>
      <c r="EN1518" s="59"/>
      <c r="EO1518" s="59"/>
      <c r="EP1518" s="59"/>
      <c r="EQ1518" s="59"/>
      <c r="ER1518" s="59"/>
      <c r="ES1518" s="59"/>
      <c r="ET1518" s="59"/>
      <c r="EU1518" s="59"/>
      <c r="EV1518" s="59"/>
      <c r="EW1518" s="59"/>
      <c r="EX1518" s="59"/>
      <c r="EY1518" s="59"/>
      <c r="EZ1518" s="59"/>
      <c r="FA1518" s="59"/>
      <c r="FB1518" s="59"/>
      <c r="FC1518" s="59"/>
      <c r="FD1518" s="59"/>
      <c r="FE1518" s="59"/>
      <c r="FF1518" s="59"/>
      <c r="FG1518" s="59"/>
      <c r="FH1518" s="59"/>
      <c r="FI1518" s="59"/>
      <c r="FJ1518" s="59"/>
      <c r="FK1518" s="59"/>
      <c r="FL1518" s="59"/>
      <c r="FM1518" s="59"/>
      <c r="FN1518" s="59"/>
      <c r="FO1518" s="59"/>
      <c r="FP1518" s="59"/>
      <c r="FQ1518" s="59"/>
      <c r="FR1518" s="59"/>
      <c r="FS1518" s="59"/>
      <c r="FT1518" s="59"/>
      <c r="FU1518" s="59"/>
      <c r="FV1518" s="59"/>
      <c r="FW1518" s="59"/>
      <c r="FX1518" s="59"/>
      <c r="FY1518" s="59"/>
      <c r="FZ1518" s="59"/>
      <c r="GA1518" s="59"/>
      <c r="GB1518" s="59"/>
      <c r="GC1518" s="59"/>
    </row>
    <row r="1519">
      <c r="A1519" s="59"/>
      <c r="B1519" s="59"/>
      <c r="C1519" s="59"/>
      <c r="D1519" s="59"/>
      <c r="E1519" s="59"/>
      <c r="F1519" s="59"/>
      <c r="G1519" s="59"/>
      <c r="H1519" s="59"/>
      <c r="I1519" s="59"/>
      <c r="J1519" s="59"/>
      <c r="K1519" s="59"/>
      <c r="L1519" s="59"/>
      <c r="M1519" s="59"/>
      <c r="N1519" s="59"/>
      <c r="O1519" s="59"/>
      <c r="P1519" s="59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  <c r="AA1519" s="59"/>
      <c r="AB1519" s="59"/>
      <c r="AC1519" s="59"/>
      <c r="AD1519" s="59"/>
      <c r="AE1519" s="59"/>
      <c r="AF1519" s="59"/>
      <c r="AG1519" s="59"/>
      <c r="AH1519" s="59"/>
      <c r="AI1519" s="59"/>
      <c r="AJ1519" s="59"/>
      <c r="AK1519" s="59"/>
      <c r="AL1519" s="59"/>
      <c r="AM1519" s="59"/>
      <c r="AN1519" s="59"/>
      <c r="AO1519" s="59"/>
      <c r="AP1519" s="59"/>
      <c r="AQ1519" s="59"/>
      <c r="AR1519" s="59"/>
      <c r="AS1519" s="59"/>
      <c r="AT1519" s="59"/>
      <c r="AU1519" s="59"/>
      <c r="AV1519" s="59"/>
      <c r="AW1519" s="59"/>
      <c r="AX1519" s="59"/>
      <c r="AY1519" s="59"/>
      <c r="AZ1519" s="59"/>
      <c r="BA1519" s="59"/>
      <c r="BB1519" s="59"/>
      <c r="BC1519" s="59"/>
      <c r="BD1519" s="59"/>
      <c r="BE1519" s="59"/>
      <c r="BF1519" s="59"/>
      <c r="BG1519" s="59"/>
      <c r="BH1519" s="59"/>
      <c r="BI1519" s="59"/>
      <c r="BJ1519" s="59"/>
      <c r="BK1519" s="59"/>
      <c r="BL1519" s="59"/>
      <c r="BM1519" s="59"/>
      <c r="BN1519" s="59"/>
      <c r="BO1519" s="59"/>
      <c r="BP1519" s="59"/>
      <c r="BQ1519" s="59"/>
      <c r="BR1519" s="59"/>
      <c r="BS1519" s="59"/>
      <c r="BT1519" s="59"/>
      <c r="BU1519" s="59"/>
      <c r="BV1519" s="59"/>
      <c r="BW1519" s="59"/>
      <c r="BX1519" s="59"/>
      <c r="BY1519" s="59"/>
      <c r="BZ1519" s="59"/>
      <c r="CA1519" s="59"/>
      <c r="CB1519" s="59"/>
      <c r="CC1519" s="59"/>
      <c r="CD1519" s="59"/>
      <c r="CE1519" s="59"/>
      <c r="CF1519" s="59"/>
      <c r="CG1519" s="59"/>
      <c r="CH1519" s="59"/>
      <c r="CI1519" s="59"/>
      <c r="CJ1519" s="59"/>
      <c r="CK1519" s="59"/>
      <c r="CL1519" s="59"/>
      <c r="CM1519" s="59"/>
      <c r="CN1519" s="59"/>
      <c r="CO1519" s="59"/>
      <c r="CP1519" s="59"/>
      <c r="CQ1519" s="59"/>
      <c r="CR1519" s="59"/>
      <c r="CS1519" s="59"/>
      <c r="CT1519" s="59"/>
      <c r="CU1519" s="59"/>
      <c r="CV1519" s="59"/>
      <c r="CW1519" s="59"/>
      <c r="CX1519" s="59"/>
      <c r="CY1519" s="59"/>
      <c r="CZ1519" s="59"/>
      <c r="DA1519" s="59"/>
      <c r="DB1519" s="59"/>
      <c r="DC1519" s="59"/>
      <c r="DD1519" s="59"/>
      <c r="DE1519" s="59"/>
      <c r="DF1519" s="59"/>
      <c r="DG1519" s="59"/>
      <c r="DH1519" s="59"/>
      <c r="DI1519" s="59"/>
      <c r="DJ1519" s="59"/>
      <c r="DK1519" s="59"/>
      <c r="DL1519" s="59"/>
      <c r="DM1519" s="59"/>
      <c r="DN1519" s="59"/>
      <c r="DO1519" s="59"/>
      <c r="DP1519" s="59"/>
      <c r="DQ1519" s="59"/>
      <c r="DR1519" s="59"/>
      <c r="DS1519" s="59"/>
      <c r="DT1519" s="59"/>
      <c r="DU1519" s="59"/>
      <c r="DV1519" s="59"/>
      <c r="DW1519" s="59"/>
      <c r="DX1519" s="59"/>
      <c r="DY1519" s="59"/>
      <c r="DZ1519" s="59"/>
      <c r="EA1519" s="59"/>
      <c r="EB1519" s="59"/>
      <c r="EC1519" s="59"/>
      <c r="ED1519" s="59"/>
      <c r="EE1519" s="59"/>
      <c r="EF1519" s="59"/>
      <c r="EG1519" s="59"/>
      <c r="EH1519" s="59"/>
      <c r="EI1519" s="59"/>
      <c r="EJ1519" s="59"/>
      <c r="EK1519" s="59"/>
      <c r="EL1519" s="59"/>
      <c r="EM1519" s="59"/>
      <c r="EN1519" s="59"/>
      <c r="EO1519" s="59"/>
      <c r="EP1519" s="59"/>
      <c r="EQ1519" s="59"/>
      <c r="ER1519" s="59"/>
      <c r="ES1519" s="59"/>
      <c r="ET1519" s="59"/>
      <c r="EU1519" s="59"/>
      <c r="EV1519" s="59"/>
      <c r="EW1519" s="59"/>
      <c r="EX1519" s="59"/>
      <c r="EY1519" s="59"/>
      <c r="EZ1519" s="59"/>
      <c r="FA1519" s="59"/>
      <c r="FB1519" s="59"/>
      <c r="FC1519" s="59"/>
      <c r="FD1519" s="59"/>
      <c r="FE1519" s="59"/>
      <c r="FF1519" s="59"/>
      <c r="FG1519" s="59"/>
      <c r="FH1519" s="59"/>
      <c r="FI1519" s="59"/>
      <c r="FJ1519" s="59"/>
      <c r="FK1519" s="59"/>
      <c r="FL1519" s="59"/>
      <c r="FM1519" s="59"/>
      <c r="FN1519" s="59"/>
      <c r="FO1519" s="59"/>
      <c r="FP1519" s="59"/>
      <c r="FQ1519" s="59"/>
      <c r="FR1519" s="59"/>
      <c r="FS1519" s="59"/>
      <c r="FT1519" s="59"/>
      <c r="FU1519" s="59"/>
      <c r="FV1519" s="59"/>
      <c r="FW1519" s="59"/>
      <c r="FX1519" s="59"/>
      <c r="FY1519" s="59"/>
      <c r="FZ1519" s="59"/>
      <c r="GA1519" s="59"/>
      <c r="GB1519" s="59"/>
      <c r="GC1519" s="59"/>
    </row>
    <row r="1520">
      <c r="A1520" s="59"/>
      <c r="B1520" s="59"/>
      <c r="C1520" s="59"/>
      <c r="D1520" s="59"/>
      <c r="E1520" s="59"/>
      <c r="F1520" s="59"/>
      <c r="G1520" s="59"/>
      <c r="H1520" s="59"/>
      <c r="I1520" s="59"/>
      <c r="J1520" s="59"/>
      <c r="K1520" s="59"/>
      <c r="L1520" s="59"/>
      <c r="M1520" s="59"/>
      <c r="N1520" s="59"/>
      <c r="O1520" s="59"/>
      <c r="P1520" s="59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  <c r="AA1520" s="59"/>
      <c r="AB1520" s="59"/>
      <c r="AC1520" s="59"/>
      <c r="AD1520" s="59"/>
      <c r="AE1520" s="59"/>
      <c r="AF1520" s="59"/>
      <c r="AG1520" s="59"/>
      <c r="AH1520" s="59"/>
      <c r="AI1520" s="59"/>
      <c r="AJ1520" s="59"/>
      <c r="AK1520" s="59"/>
      <c r="AL1520" s="59"/>
      <c r="AM1520" s="59"/>
      <c r="AN1520" s="59"/>
      <c r="AO1520" s="59"/>
      <c r="AP1520" s="59"/>
      <c r="AQ1520" s="59"/>
      <c r="AR1520" s="59"/>
      <c r="AS1520" s="59"/>
      <c r="AT1520" s="59"/>
      <c r="AU1520" s="59"/>
      <c r="AV1520" s="59"/>
      <c r="AW1520" s="59"/>
      <c r="AX1520" s="59"/>
      <c r="AY1520" s="59"/>
      <c r="AZ1520" s="59"/>
      <c r="BA1520" s="59"/>
      <c r="BB1520" s="59"/>
      <c r="BC1520" s="59"/>
      <c r="BD1520" s="59"/>
      <c r="BE1520" s="59"/>
      <c r="BF1520" s="59"/>
      <c r="BG1520" s="59"/>
      <c r="BH1520" s="59"/>
      <c r="BI1520" s="59"/>
      <c r="BJ1520" s="59"/>
      <c r="BK1520" s="59"/>
      <c r="BL1520" s="59"/>
      <c r="BM1520" s="59"/>
      <c r="BN1520" s="59"/>
      <c r="BO1520" s="59"/>
      <c r="BP1520" s="59"/>
      <c r="BQ1520" s="59"/>
      <c r="BR1520" s="59"/>
      <c r="BS1520" s="59"/>
      <c r="BT1520" s="59"/>
      <c r="BU1520" s="59"/>
      <c r="BV1520" s="59"/>
      <c r="BW1520" s="59"/>
      <c r="BX1520" s="59"/>
      <c r="BY1520" s="59"/>
      <c r="BZ1520" s="59"/>
      <c r="CA1520" s="59"/>
      <c r="CB1520" s="59"/>
      <c r="CC1520" s="59"/>
      <c r="CD1520" s="59"/>
      <c r="CE1520" s="59"/>
      <c r="CF1520" s="59"/>
      <c r="CG1520" s="59"/>
      <c r="CH1520" s="59"/>
      <c r="CI1520" s="59"/>
      <c r="CJ1520" s="59"/>
      <c r="CK1520" s="59"/>
      <c r="CL1520" s="59"/>
      <c r="CM1520" s="59"/>
      <c r="CN1520" s="59"/>
      <c r="CO1520" s="59"/>
      <c r="CP1520" s="59"/>
      <c r="CQ1520" s="59"/>
      <c r="CR1520" s="59"/>
      <c r="CS1520" s="59"/>
      <c r="CT1520" s="59"/>
      <c r="CU1520" s="59"/>
      <c r="CV1520" s="59"/>
      <c r="CW1520" s="59"/>
      <c r="CX1520" s="59"/>
      <c r="CY1520" s="59"/>
      <c r="CZ1520" s="59"/>
      <c r="DA1520" s="59"/>
      <c r="DB1520" s="59"/>
      <c r="DC1520" s="59"/>
      <c r="DD1520" s="59"/>
      <c r="DE1520" s="59"/>
      <c r="DF1520" s="59"/>
      <c r="DG1520" s="59"/>
      <c r="DH1520" s="59"/>
      <c r="DI1520" s="59"/>
      <c r="DJ1520" s="59"/>
      <c r="DK1520" s="59"/>
      <c r="DL1520" s="59"/>
      <c r="DM1520" s="59"/>
      <c r="DN1520" s="59"/>
      <c r="DO1520" s="59"/>
      <c r="DP1520" s="59"/>
      <c r="DQ1520" s="59"/>
      <c r="DR1520" s="59"/>
      <c r="DS1520" s="59"/>
      <c r="DT1520" s="59"/>
      <c r="DU1520" s="59"/>
      <c r="DV1520" s="59"/>
      <c r="DW1520" s="59"/>
      <c r="DX1520" s="59"/>
      <c r="DY1520" s="59"/>
      <c r="DZ1520" s="59"/>
      <c r="EA1520" s="59"/>
      <c r="EB1520" s="59"/>
      <c r="EC1520" s="59"/>
      <c r="ED1520" s="59"/>
      <c r="EE1520" s="59"/>
      <c r="EF1520" s="59"/>
      <c r="EG1520" s="59"/>
      <c r="EH1520" s="59"/>
      <c r="EI1520" s="59"/>
      <c r="EJ1520" s="59"/>
      <c r="EK1520" s="59"/>
      <c r="EL1520" s="59"/>
      <c r="EM1520" s="59"/>
      <c r="EN1520" s="59"/>
      <c r="EO1520" s="59"/>
      <c r="EP1520" s="59"/>
      <c r="EQ1520" s="59"/>
      <c r="ER1520" s="59"/>
      <c r="ES1520" s="59"/>
      <c r="ET1520" s="59"/>
      <c r="EU1520" s="59"/>
      <c r="EV1520" s="59"/>
      <c r="EW1520" s="59"/>
      <c r="EX1520" s="59"/>
      <c r="EY1520" s="59"/>
      <c r="EZ1520" s="59"/>
      <c r="FA1520" s="59"/>
      <c r="FB1520" s="59"/>
      <c r="FC1520" s="59"/>
      <c r="FD1520" s="59"/>
      <c r="FE1520" s="59"/>
      <c r="FF1520" s="59"/>
      <c r="FG1520" s="59"/>
      <c r="FH1520" s="59"/>
      <c r="FI1520" s="59"/>
      <c r="FJ1520" s="59"/>
      <c r="FK1520" s="59"/>
      <c r="FL1520" s="59"/>
      <c r="FM1520" s="59"/>
      <c r="FN1520" s="59"/>
      <c r="FO1520" s="59"/>
      <c r="FP1520" s="59"/>
      <c r="FQ1520" s="59"/>
      <c r="FR1520" s="59"/>
      <c r="FS1520" s="59"/>
      <c r="FT1520" s="59"/>
      <c r="FU1520" s="59"/>
      <c r="FV1520" s="59"/>
      <c r="FW1520" s="59"/>
      <c r="FX1520" s="59"/>
      <c r="FY1520" s="59"/>
      <c r="FZ1520" s="59"/>
      <c r="GA1520" s="59"/>
      <c r="GB1520" s="59"/>
      <c r="GC1520" s="59"/>
    </row>
    <row r="1521">
      <c r="A1521" s="59"/>
      <c r="B1521" s="59"/>
      <c r="C1521" s="59"/>
      <c r="D1521" s="59"/>
      <c r="E1521" s="59"/>
      <c r="F1521" s="59"/>
      <c r="G1521" s="59"/>
      <c r="H1521" s="59"/>
      <c r="I1521" s="59"/>
      <c r="J1521" s="59"/>
      <c r="K1521" s="59"/>
      <c r="L1521" s="59"/>
      <c r="M1521" s="59"/>
      <c r="N1521" s="59"/>
      <c r="O1521" s="59"/>
      <c r="P1521" s="59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  <c r="AA1521" s="59"/>
      <c r="AB1521" s="59"/>
      <c r="AC1521" s="59"/>
      <c r="AD1521" s="59"/>
      <c r="AE1521" s="59"/>
      <c r="AF1521" s="59"/>
      <c r="AG1521" s="59"/>
      <c r="AH1521" s="59"/>
      <c r="AI1521" s="59"/>
      <c r="AJ1521" s="59"/>
      <c r="AK1521" s="59"/>
      <c r="AL1521" s="59"/>
      <c r="AM1521" s="59"/>
      <c r="AN1521" s="59"/>
      <c r="AO1521" s="59"/>
      <c r="AP1521" s="59"/>
      <c r="AQ1521" s="59"/>
      <c r="AR1521" s="59"/>
      <c r="AS1521" s="59"/>
      <c r="AT1521" s="59"/>
      <c r="AU1521" s="59"/>
      <c r="AV1521" s="59"/>
      <c r="AW1521" s="59"/>
      <c r="AX1521" s="59"/>
      <c r="AY1521" s="59"/>
      <c r="AZ1521" s="59"/>
      <c r="BA1521" s="59"/>
      <c r="BB1521" s="59"/>
      <c r="BC1521" s="59"/>
      <c r="BD1521" s="59"/>
      <c r="BE1521" s="59"/>
      <c r="BF1521" s="59"/>
      <c r="BG1521" s="59"/>
      <c r="BH1521" s="59"/>
      <c r="BI1521" s="59"/>
      <c r="BJ1521" s="59"/>
      <c r="BK1521" s="59"/>
      <c r="BL1521" s="59"/>
      <c r="BM1521" s="59"/>
      <c r="BN1521" s="59"/>
      <c r="BO1521" s="59"/>
      <c r="BP1521" s="59"/>
      <c r="BQ1521" s="59"/>
      <c r="BR1521" s="59"/>
      <c r="BS1521" s="59"/>
      <c r="BT1521" s="59"/>
      <c r="BU1521" s="59"/>
      <c r="BV1521" s="59"/>
      <c r="BW1521" s="59"/>
      <c r="BX1521" s="59"/>
      <c r="BY1521" s="59"/>
      <c r="BZ1521" s="59"/>
      <c r="CA1521" s="59"/>
      <c r="CB1521" s="59"/>
      <c r="CC1521" s="59"/>
      <c r="CD1521" s="59"/>
      <c r="CE1521" s="59"/>
      <c r="CF1521" s="59"/>
      <c r="CG1521" s="59"/>
      <c r="CH1521" s="59"/>
      <c r="CI1521" s="59"/>
      <c r="CJ1521" s="59"/>
      <c r="CK1521" s="59"/>
      <c r="CL1521" s="59"/>
      <c r="CM1521" s="59"/>
      <c r="CN1521" s="59"/>
      <c r="CO1521" s="59"/>
      <c r="CP1521" s="59"/>
      <c r="CQ1521" s="59"/>
      <c r="CR1521" s="59"/>
      <c r="CS1521" s="59"/>
      <c r="CT1521" s="59"/>
      <c r="CU1521" s="59"/>
      <c r="CV1521" s="59"/>
      <c r="CW1521" s="59"/>
      <c r="CX1521" s="59"/>
      <c r="CY1521" s="59"/>
      <c r="CZ1521" s="59"/>
      <c r="DA1521" s="59"/>
      <c r="DB1521" s="59"/>
      <c r="DC1521" s="59"/>
      <c r="DD1521" s="59"/>
      <c r="DE1521" s="59"/>
      <c r="DF1521" s="59"/>
      <c r="DG1521" s="59"/>
      <c r="DH1521" s="59"/>
      <c r="DI1521" s="59"/>
      <c r="DJ1521" s="59"/>
      <c r="DK1521" s="59"/>
      <c r="DL1521" s="59"/>
      <c r="DM1521" s="59"/>
      <c r="DN1521" s="59"/>
      <c r="DO1521" s="59"/>
      <c r="DP1521" s="59"/>
      <c r="DQ1521" s="59"/>
      <c r="DR1521" s="59"/>
      <c r="DS1521" s="59"/>
      <c r="DT1521" s="59"/>
      <c r="DU1521" s="59"/>
      <c r="DV1521" s="59"/>
      <c r="DW1521" s="59"/>
      <c r="DX1521" s="59"/>
      <c r="DY1521" s="59"/>
      <c r="DZ1521" s="59"/>
      <c r="EA1521" s="59"/>
      <c r="EB1521" s="59"/>
      <c r="EC1521" s="59"/>
      <c r="ED1521" s="59"/>
      <c r="EE1521" s="59"/>
      <c r="EF1521" s="59"/>
      <c r="EG1521" s="59"/>
      <c r="EH1521" s="59"/>
      <c r="EI1521" s="59"/>
      <c r="EJ1521" s="59"/>
      <c r="EK1521" s="59"/>
      <c r="EL1521" s="59"/>
      <c r="EM1521" s="59"/>
      <c r="EN1521" s="59"/>
      <c r="EO1521" s="59"/>
      <c r="EP1521" s="59"/>
      <c r="EQ1521" s="59"/>
      <c r="ER1521" s="59"/>
      <c r="ES1521" s="59"/>
      <c r="ET1521" s="59"/>
      <c r="EU1521" s="59"/>
      <c r="EV1521" s="59"/>
      <c r="EW1521" s="59"/>
      <c r="EX1521" s="59"/>
      <c r="EY1521" s="59"/>
      <c r="EZ1521" s="59"/>
      <c r="FA1521" s="59"/>
      <c r="FB1521" s="59"/>
      <c r="FC1521" s="59"/>
      <c r="FD1521" s="59"/>
      <c r="FE1521" s="59"/>
      <c r="FF1521" s="59"/>
      <c r="FG1521" s="59"/>
      <c r="FH1521" s="59"/>
      <c r="FI1521" s="59"/>
      <c r="FJ1521" s="59"/>
      <c r="FK1521" s="59"/>
      <c r="FL1521" s="59"/>
      <c r="FM1521" s="59"/>
      <c r="FN1521" s="59"/>
      <c r="FO1521" s="59"/>
      <c r="FP1521" s="59"/>
      <c r="FQ1521" s="59"/>
      <c r="FR1521" s="59"/>
      <c r="FS1521" s="59"/>
      <c r="FT1521" s="59"/>
      <c r="FU1521" s="59"/>
      <c r="FV1521" s="59"/>
      <c r="FW1521" s="59"/>
      <c r="FX1521" s="59"/>
      <c r="FY1521" s="59"/>
      <c r="FZ1521" s="59"/>
      <c r="GA1521" s="59"/>
      <c r="GB1521" s="59"/>
      <c r="GC1521" s="59"/>
    </row>
    <row r="1522">
      <c r="A1522" s="59"/>
      <c r="B1522" s="59"/>
      <c r="C1522" s="59"/>
      <c r="D1522" s="59"/>
      <c r="E1522" s="59"/>
      <c r="F1522" s="59"/>
      <c r="G1522" s="59"/>
      <c r="H1522" s="59"/>
      <c r="I1522" s="59"/>
      <c r="J1522" s="59"/>
      <c r="K1522" s="59"/>
      <c r="L1522" s="59"/>
      <c r="M1522" s="59"/>
      <c r="N1522" s="59"/>
      <c r="O1522" s="59"/>
      <c r="P1522" s="59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  <c r="AA1522" s="59"/>
      <c r="AB1522" s="59"/>
      <c r="AC1522" s="59"/>
      <c r="AD1522" s="59"/>
      <c r="AE1522" s="59"/>
      <c r="AF1522" s="59"/>
      <c r="AG1522" s="59"/>
      <c r="AH1522" s="59"/>
      <c r="AI1522" s="59"/>
      <c r="AJ1522" s="59"/>
      <c r="AK1522" s="59"/>
      <c r="AL1522" s="59"/>
      <c r="AM1522" s="59"/>
      <c r="AN1522" s="59"/>
      <c r="AO1522" s="59"/>
      <c r="AP1522" s="59"/>
      <c r="AQ1522" s="59"/>
      <c r="AR1522" s="59"/>
      <c r="AS1522" s="59"/>
      <c r="AT1522" s="59"/>
      <c r="AU1522" s="59"/>
      <c r="AV1522" s="59"/>
      <c r="AW1522" s="59"/>
      <c r="AX1522" s="59"/>
      <c r="AY1522" s="59"/>
      <c r="AZ1522" s="59"/>
      <c r="BA1522" s="59"/>
      <c r="BB1522" s="59"/>
      <c r="BC1522" s="59"/>
      <c r="BD1522" s="59"/>
      <c r="BE1522" s="59"/>
      <c r="BF1522" s="59"/>
      <c r="BG1522" s="59"/>
      <c r="BH1522" s="59"/>
      <c r="BI1522" s="59"/>
      <c r="BJ1522" s="59"/>
      <c r="BK1522" s="59"/>
      <c r="BL1522" s="59"/>
      <c r="BM1522" s="59"/>
      <c r="BN1522" s="59"/>
      <c r="BO1522" s="59"/>
      <c r="BP1522" s="59"/>
      <c r="BQ1522" s="59"/>
      <c r="BR1522" s="59"/>
      <c r="BS1522" s="59"/>
      <c r="BT1522" s="59"/>
      <c r="BU1522" s="59"/>
      <c r="BV1522" s="59"/>
      <c r="BW1522" s="59"/>
      <c r="BX1522" s="59"/>
      <c r="BY1522" s="59"/>
      <c r="BZ1522" s="59"/>
      <c r="CA1522" s="59"/>
      <c r="CB1522" s="59"/>
      <c r="CC1522" s="59"/>
      <c r="CD1522" s="59"/>
      <c r="CE1522" s="59"/>
      <c r="CF1522" s="59"/>
      <c r="CG1522" s="59"/>
      <c r="CH1522" s="59"/>
      <c r="CI1522" s="59"/>
      <c r="CJ1522" s="59"/>
      <c r="CK1522" s="59"/>
      <c r="CL1522" s="59"/>
      <c r="CM1522" s="59"/>
      <c r="CN1522" s="59"/>
      <c r="CO1522" s="59"/>
      <c r="CP1522" s="59"/>
      <c r="CQ1522" s="59"/>
      <c r="CR1522" s="59"/>
      <c r="CS1522" s="59"/>
      <c r="CT1522" s="59"/>
      <c r="CU1522" s="59"/>
      <c r="CV1522" s="59"/>
      <c r="CW1522" s="59"/>
      <c r="CX1522" s="59"/>
      <c r="CY1522" s="59"/>
      <c r="CZ1522" s="59"/>
      <c r="DA1522" s="59"/>
      <c r="DB1522" s="59"/>
      <c r="DC1522" s="59"/>
      <c r="DD1522" s="59"/>
      <c r="DE1522" s="59"/>
      <c r="DF1522" s="59"/>
      <c r="DG1522" s="59"/>
      <c r="DH1522" s="59"/>
      <c r="DI1522" s="59"/>
      <c r="DJ1522" s="59"/>
      <c r="DK1522" s="59"/>
      <c r="DL1522" s="59"/>
      <c r="DM1522" s="59"/>
      <c r="DN1522" s="59"/>
      <c r="DO1522" s="59"/>
      <c r="DP1522" s="59"/>
      <c r="DQ1522" s="59"/>
      <c r="DR1522" s="59"/>
      <c r="DS1522" s="59"/>
      <c r="DT1522" s="59"/>
      <c r="DU1522" s="59"/>
      <c r="DV1522" s="59"/>
      <c r="DW1522" s="59"/>
      <c r="DX1522" s="59"/>
      <c r="DY1522" s="59"/>
      <c r="DZ1522" s="59"/>
      <c r="EA1522" s="59"/>
      <c r="EB1522" s="59"/>
      <c r="EC1522" s="59"/>
      <c r="ED1522" s="59"/>
      <c r="EE1522" s="59"/>
      <c r="EF1522" s="59"/>
      <c r="EG1522" s="59"/>
      <c r="EH1522" s="59"/>
      <c r="EI1522" s="59"/>
      <c r="EJ1522" s="59"/>
      <c r="EK1522" s="59"/>
      <c r="EL1522" s="59"/>
      <c r="EM1522" s="59"/>
      <c r="EN1522" s="59"/>
      <c r="EO1522" s="59"/>
      <c r="EP1522" s="59"/>
      <c r="EQ1522" s="59"/>
      <c r="ER1522" s="59"/>
      <c r="ES1522" s="59"/>
      <c r="ET1522" s="59"/>
      <c r="EU1522" s="59"/>
      <c r="EV1522" s="59"/>
      <c r="EW1522" s="59"/>
      <c r="EX1522" s="59"/>
      <c r="EY1522" s="59"/>
      <c r="EZ1522" s="59"/>
      <c r="FA1522" s="59"/>
      <c r="FB1522" s="59"/>
      <c r="FC1522" s="59"/>
      <c r="FD1522" s="59"/>
      <c r="FE1522" s="59"/>
      <c r="FF1522" s="59"/>
      <c r="FG1522" s="59"/>
      <c r="FH1522" s="59"/>
      <c r="FI1522" s="59"/>
      <c r="FJ1522" s="59"/>
      <c r="FK1522" s="59"/>
      <c r="FL1522" s="59"/>
      <c r="FM1522" s="59"/>
      <c r="FN1522" s="59"/>
      <c r="FO1522" s="59"/>
      <c r="FP1522" s="59"/>
      <c r="FQ1522" s="59"/>
      <c r="FR1522" s="59"/>
      <c r="FS1522" s="59"/>
      <c r="FT1522" s="59"/>
      <c r="FU1522" s="59"/>
      <c r="FV1522" s="59"/>
      <c r="FW1522" s="59"/>
      <c r="FX1522" s="59"/>
      <c r="FY1522" s="59"/>
      <c r="FZ1522" s="59"/>
      <c r="GA1522" s="59"/>
      <c r="GB1522" s="59"/>
      <c r="GC1522" s="59"/>
    </row>
    <row r="1523">
      <c r="A1523" s="59"/>
      <c r="B1523" s="59"/>
      <c r="C1523" s="59"/>
      <c r="D1523" s="59"/>
      <c r="E1523" s="59"/>
      <c r="F1523" s="59"/>
      <c r="G1523" s="59"/>
      <c r="H1523" s="59"/>
      <c r="I1523" s="59"/>
      <c r="J1523" s="59"/>
      <c r="K1523" s="59"/>
      <c r="L1523" s="59"/>
      <c r="M1523" s="59"/>
      <c r="N1523" s="59"/>
      <c r="O1523" s="59"/>
      <c r="P1523" s="59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59"/>
      <c r="AE1523" s="59"/>
      <c r="AF1523" s="59"/>
      <c r="AG1523" s="59"/>
      <c r="AH1523" s="59"/>
      <c r="AI1523" s="59"/>
      <c r="AJ1523" s="59"/>
      <c r="AK1523" s="59"/>
      <c r="AL1523" s="59"/>
      <c r="AM1523" s="59"/>
      <c r="AN1523" s="59"/>
      <c r="AO1523" s="59"/>
      <c r="AP1523" s="59"/>
      <c r="AQ1523" s="59"/>
      <c r="AR1523" s="59"/>
      <c r="AS1523" s="59"/>
      <c r="AT1523" s="59"/>
      <c r="AU1523" s="59"/>
      <c r="AV1523" s="59"/>
      <c r="AW1523" s="59"/>
      <c r="AX1523" s="59"/>
      <c r="AY1523" s="59"/>
      <c r="AZ1523" s="59"/>
      <c r="BA1523" s="59"/>
      <c r="BB1523" s="59"/>
      <c r="BC1523" s="59"/>
      <c r="BD1523" s="59"/>
      <c r="BE1523" s="59"/>
      <c r="BF1523" s="59"/>
      <c r="BG1523" s="59"/>
      <c r="BH1523" s="59"/>
      <c r="BI1523" s="59"/>
      <c r="BJ1523" s="59"/>
      <c r="BK1523" s="59"/>
      <c r="BL1523" s="59"/>
      <c r="BM1523" s="59"/>
      <c r="BN1523" s="59"/>
      <c r="BO1523" s="59"/>
      <c r="BP1523" s="59"/>
      <c r="BQ1523" s="59"/>
      <c r="BR1523" s="59"/>
      <c r="BS1523" s="59"/>
      <c r="BT1523" s="59"/>
      <c r="BU1523" s="59"/>
      <c r="BV1523" s="59"/>
      <c r="BW1523" s="59"/>
      <c r="BX1523" s="59"/>
      <c r="BY1523" s="59"/>
      <c r="BZ1523" s="59"/>
      <c r="CA1523" s="59"/>
      <c r="CB1523" s="59"/>
      <c r="CC1523" s="59"/>
      <c r="CD1523" s="59"/>
      <c r="CE1523" s="59"/>
      <c r="CF1523" s="59"/>
      <c r="CG1523" s="59"/>
      <c r="CH1523" s="59"/>
      <c r="CI1523" s="59"/>
      <c r="CJ1523" s="59"/>
      <c r="CK1523" s="59"/>
      <c r="CL1523" s="59"/>
      <c r="CM1523" s="59"/>
      <c r="CN1523" s="59"/>
      <c r="CO1523" s="59"/>
      <c r="CP1523" s="59"/>
      <c r="CQ1523" s="59"/>
      <c r="CR1523" s="59"/>
      <c r="CS1523" s="59"/>
      <c r="CT1523" s="59"/>
      <c r="CU1523" s="59"/>
      <c r="CV1523" s="59"/>
      <c r="CW1523" s="59"/>
      <c r="CX1523" s="59"/>
      <c r="CY1523" s="59"/>
      <c r="CZ1523" s="59"/>
      <c r="DA1523" s="59"/>
      <c r="DB1523" s="59"/>
      <c r="DC1523" s="59"/>
      <c r="DD1523" s="59"/>
      <c r="DE1523" s="59"/>
      <c r="DF1523" s="59"/>
      <c r="DG1523" s="59"/>
      <c r="DH1523" s="59"/>
      <c r="DI1523" s="59"/>
      <c r="DJ1523" s="59"/>
      <c r="DK1523" s="59"/>
      <c r="DL1523" s="59"/>
      <c r="DM1523" s="59"/>
      <c r="DN1523" s="59"/>
      <c r="DO1523" s="59"/>
      <c r="DP1523" s="59"/>
      <c r="DQ1523" s="59"/>
      <c r="DR1523" s="59"/>
      <c r="DS1523" s="59"/>
      <c r="DT1523" s="59"/>
      <c r="DU1523" s="59"/>
      <c r="DV1523" s="59"/>
      <c r="DW1523" s="59"/>
      <c r="DX1523" s="59"/>
      <c r="DY1523" s="59"/>
      <c r="DZ1523" s="59"/>
      <c r="EA1523" s="59"/>
      <c r="EB1523" s="59"/>
      <c r="EC1523" s="59"/>
      <c r="ED1523" s="59"/>
      <c r="EE1523" s="59"/>
      <c r="EF1523" s="59"/>
      <c r="EG1523" s="59"/>
      <c r="EH1523" s="59"/>
      <c r="EI1523" s="59"/>
      <c r="EJ1523" s="59"/>
      <c r="EK1523" s="59"/>
      <c r="EL1523" s="59"/>
      <c r="EM1523" s="59"/>
      <c r="EN1523" s="59"/>
      <c r="EO1523" s="59"/>
      <c r="EP1523" s="59"/>
      <c r="EQ1523" s="59"/>
      <c r="ER1523" s="59"/>
      <c r="ES1523" s="59"/>
      <c r="ET1523" s="59"/>
      <c r="EU1523" s="59"/>
      <c r="EV1523" s="59"/>
      <c r="EW1523" s="59"/>
      <c r="EX1523" s="59"/>
      <c r="EY1523" s="59"/>
      <c r="EZ1523" s="59"/>
      <c r="FA1523" s="59"/>
      <c r="FB1523" s="59"/>
      <c r="FC1523" s="59"/>
      <c r="FD1523" s="59"/>
      <c r="FE1523" s="59"/>
      <c r="FF1523" s="59"/>
      <c r="FG1523" s="59"/>
      <c r="FH1523" s="59"/>
      <c r="FI1523" s="59"/>
      <c r="FJ1523" s="59"/>
      <c r="FK1523" s="59"/>
      <c r="FL1523" s="59"/>
      <c r="FM1523" s="59"/>
      <c r="FN1523" s="59"/>
      <c r="FO1523" s="59"/>
      <c r="FP1523" s="59"/>
      <c r="FQ1523" s="59"/>
      <c r="FR1523" s="59"/>
      <c r="FS1523" s="59"/>
      <c r="FT1523" s="59"/>
      <c r="FU1523" s="59"/>
      <c r="FV1523" s="59"/>
      <c r="FW1523" s="59"/>
      <c r="FX1523" s="59"/>
      <c r="FY1523" s="59"/>
      <c r="FZ1523" s="59"/>
      <c r="GA1523" s="59"/>
      <c r="GB1523" s="59"/>
      <c r="GC1523" s="59"/>
    </row>
    <row r="1524">
      <c r="A1524" s="59"/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59"/>
      <c r="N1524" s="59"/>
      <c r="O1524" s="59"/>
      <c r="P1524" s="59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59"/>
      <c r="AF1524" s="59"/>
      <c r="AG1524" s="59"/>
      <c r="AH1524" s="59"/>
      <c r="AI1524" s="59"/>
      <c r="AJ1524" s="59"/>
      <c r="AK1524" s="59"/>
      <c r="AL1524" s="59"/>
      <c r="AM1524" s="59"/>
      <c r="AN1524" s="59"/>
      <c r="AO1524" s="59"/>
      <c r="AP1524" s="59"/>
      <c r="AQ1524" s="59"/>
      <c r="AR1524" s="59"/>
      <c r="AS1524" s="59"/>
      <c r="AT1524" s="59"/>
      <c r="AU1524" s="59"/>
      <c r="AV1524" s="59"/>
      <c r="AW1524" s="59"/>
      <c r="AX1524" s="59"/>
      <c r="AY1524" s="59"/>
      <c r="AZ1524" s="59"/>
      <c r="BA1524" s="59"/>
      <c r="BB1524" s="59"/>
      <c r="BC1524" s="59"/>
      <c r="BD1524" s="59"/>
      <c r="BE1524" s="59"/>
      <c r="BF1524" s="59"/>
      <c r="BG1524" s="59"/>
      <c r="BH1524" s="59"/>
      <c r="BI1524" s="59"/>
      <c r="BJ1524" s="59"/>
      <c r="BK1524" s="59"/>
      <c r="BL1524" s="59"/>
      <c r="BM1524" s="59"/>
      <c r="BN1524" s="59"/>
      <c r="BO1524" s="59"/>
      <c r="BP1524" s="59"/>
      <c r="BQ1524" s="59"/>
      <c r="BR1524" s="59"/>
      <c r="BS1524" s="59"/>
      <c r="BT1524" s="59"/>
      <c r="BU1524" s="59"/>
      <c r="BV1524" s="59"/>
      <c r="BW1524" s="59"/>
      <c r="BX1524" s="59"/>
      <c r="BY1524" s="59"/>
      <c r="BZ1524" s="59"/>
      <c r="CA1524" s="59"/>
      <c r="CB1524" s="59"/>
      <c r="CC1524" s="59"/>
      <c r="CD1524" s="59"/>
      <c r="CE1524" s="59"/>
      <c r="CF1524" s="59"/>
      <c r="CG1524" s="59"/>
      <c r="CH1524" s="59"/>
      <c r="CI1524" s="59"/>
      <c r="CJ1524" s="59"/>
      <c r="CK1524" s="59"/>
      <c r="CL1524" s="59"/>
      <c r="CM1524" s="59"/>
      <c r="CN1524" s="59"/>
      <c r="CO1524" s="59"/>
      <c r="CP1524" s="59"/>
      <c r="CQ1524" s="59"/>
      <c r="CR1524" s="59"/>
      <c r="CS1524" s="59"/>
      <c r="CT1524" s="59"/>
      <c r="CU1524" s="59"/>
      <c r="CV1524" s="59"/>
      <c r="CW1524" s="59"/>
      <c r="CX1524" s="59"/>
      <c r="CY1524" s="59"/>
      <c r="CZ1524" s="59"/>
      <c r="DA1524" s="59"/>
      <c r="DB1524" s="59"/>
      <c r="DC1524" s="59"/>
      <c r="DD1524" s="59"/>
      <c r="DE1524" s="59"/>
      <c r="DF1524" s="59"/>
      <c r="DG1524" s="59"/>
      <c r="DH1524" s="59"/>
      <c r="DI1524" s="59"/>
      <c r="DJ1524" s="59"/>
      <c r="DK1524" s="59"/>
      <c r="DL1524" s="59"/>
      <c r="DM1524" s="59"/>
      <c r="DN1524" s="59"/>
      <c r="DO1524" s="59"/>
      <c r="DP1524" s="59"/>
      <c r="DQ1524" s="59"/>
      <c r="DR1524" s="59"/>
      <c r="DS1524" s="59"/>
      <c r="DT1524" s="59"/>
      <c r="DU1524" s="59"/>
      <c r="DV1524" s="59"/>
      <c r="DW1524" s="59"/>
      <c r="DX1524" s="59"/>
      <c r="DY1524" s="59"/>
      <c r="DZ1524" s="59"/>
      <c r="EA1524" s="59"/>
      <c r="EB1524" s="59"/>
      <c r="EC1524" s="59"/>
      <c r="ED1524" s="59"/>
      <c r="EE1524" s="59"/>
      <c r="EF1524" s="59"/>
      <c r="EG1524" s="59"/>
      <c r="EH1524" s="59"/>
      <c r="EI1524" s="59"/>
      <c r="EJ1524" s="59"/>
      <c r="EK1524" s="59"/>
      <c r="EL1524" s="59"/>
      <c r="EM1524" s="59"/>
      <c r="EN1524" s="59"/>
      <c r="EO1524" s="59"/>
      <c r="EP1524" s="59"/>
      <c r="EQ1524" s="59"/>
      <c r="ER1524" s="59"/>
      <c r="ES1524" s="59"/>
      <c r="ET1524" s="59"/>
      <c r="EU1524" s="59"/>
      <c r="EV1524" s="59"/>
      <c r="EW1524" s="59"/>
      <c r="EX1524" s="59"/>
      <c r="EY1524" s="59"/>
      <c r="EZ1524" s="59"/>
      <c r="FA1524" s="59"/>
      <c r="FB1524" s="59"/>
      <c r="FC1524" s="59"/>
      <c r="FD1524" s="59"/>
      <c r="FE1524" s="59"/>
      <c r="FF1524" s="59"/>
      <c r="FG1524" s="59"/>
      <c r="FH1524" s="59"/>
      <c r="FI1524" s="59"/>
      <c r="FJ1524" s="59"/>
      <c r="FK1524" s="59"/>
      <c r="FL1524" s="59"/>
      <c r="FM1524" s="59"/>
      <c r="FN1524" s="59"/>
      <c r="FO1524" s="59"/>
      <c r="FP1524" s="59"/>
      <c r="FQ1524" s="59"/>
      <c r="FR1524" s="59"/>
      <c r="FS1524" s="59"/>
      <c r="FT1524" s="59"/>
      <c r="FU1524" s="59"/>
      <c r="FV1524" s="59"/>
      <c r="FW1524" s="59"/>
      <c r="FX1524" s="59"/>
      <c r="FY1524" s="59"/>
      <c r="FZ1524" s="59"/>
      <c r="GA1524" s="59"/>
      <c r="GB1524" s="59"/>
      <c r="GC1524" s="59"/>
    </row>
    <row r="1525">
      <c r="A1525" s="59"/>
      <c r="B1525" s="59"/>
      <c r="C1525" s="59"/>
      <c r="D1525" s="59"/>
      <c r="E1525" s="59"/>
      <c r="F1525" s="59"/>
      <c r="G1525" s="59"/>
      <c r="H1525" s="59"/>
      <c r="I1525" s="59"/>
      <c r="J1525" s="59"/>
      <c r="K1525" s="59"/>
      <c r="L1525" s="59"/>
      <c r="M1525" s="59"/>
      <c r="N1525" s="59"/>
      <c r="O1525" s="59"/>
      <c r="P1525" s="59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  <c r="AA1525" s="59"/>
      <c r="AB1525" s="59"/>
      <c r="AC1525" s="59"/>
      <c r="AD1525" s="59"/>
      <c r="AE1525" s="59"/>
      <c r="AF1525" s="59"/>
      <c r="AG1525" s="59"/>
      <c r="AH1525" s="59"/>
      <c r="AI1525" s="59"/>
      <c r="AJ1525" s="59"/>
      <c r="AK1525" s="59"/>
      <c r="AL1525" s="59"/>
      <c r="AM1525" s="59"/>
      <c r="AN1525" s="59"/>
      <c r="AO1525" s="59"/>
      <c r="AP1525" s="59"/>
      <c r="AQ1525" s="59"/>
      <c r="AR1525" s="59"/>
      <c r="AS1525" s="59"/>
      <c r="AT1525" s="59"/>
      <c r="AU1525" s="59"/>
      <c r="AV1525" s="59"/>
      <c r="AW1525" s="59"/>
      <c r="AX1525" s="59"/>
      <c r="AY1525" s="59"/>
      <c r="AZ1525" s="59"/>
      <c r="BA1525" s="59"/>
      <c r="BB1525" s="59"/>
      <c r="BC1525" s="59"/>
      <c r="BD1525" s="59"/>
      <c r="BE1525" s="59"/>
      <c r="BF1525" s="59"/>
      <c r="BG1525" s="59"/>
      <c r="BH1525" s="59"/>
      <c r="BI1525" s="59"/>
      <c r="BJ1525" s="59"/>
      <c r="BK1525" s="59"/>
      <c r="BL1525" s="59"/>
      <c r="BM1525" s="59"/>
      <c r="BN1525" s="59"/>
      <c r="BO1525" s="59"/>
      <c r="BP1525" s="59"/>
      <c r="BQ1525" s="59"/>
      <c r="BR1525" s="59"/>
      <c r="BS1525" s="59"/>
      <c r="BT1525" s="59"/>
      <c r="BU1525" s="59"/>
      <c r="BV1525" s="59"/>
      <c r="BW1525" s="59"/>
      <c r="BX1525" s="59"/>
      <c r="BY1525" s="59"/>
      <c r="BZ1525" s="59"/>
      <c r="CA1525" s="59"/>
      <c r="CB1525" s="59"/>
      <c r="CC1525" s="59"/>
      <c r="CD1525" s="59"/>
      <c r="CE1525" s="59"/>
      <c r="CF1525" s="59"/>
      <c r="CG1525" s="59"/>
      <c r="CH1525" s="59"/>
      <c r="CI1525" s="59"/>
      <c r="CJ1525" s="59"/>
      <c r="CK1525" s="59"/>
      <c r="CL1525" s="59"/>
      <c r="CM1525" s="59"/>
      <c r="CN1525" s="59"/>
      <c r="CO1525" s="59"/>
      <c r="CP1525" s="59"/>
      <c r="CQ1525" s="59"/>
      <c r="CR1525" s="59"/>
      <c r="CS1525" s="59"/>
      <c r="CT1525" s="59"/>
      <c r="CU1525" s="59"/>
      <c r="CV1525" s="59"/>
      <c r="CW1525" s="59"/>
      <c r="CX1525" s="59"/>
      <c r="CY1525" s="59"/>
      <c r="CZ1525" s="59"/>
      <c r="DA1525" s="59"/>
      <c r="DB1525" s="59"/>
      <c r="DC1525" s="59"/>
      <c r="DD1525" s="59"/>
      <c r="DE1525" s="59"/>
      <c r="DF1525" s="59"/>
      <c r="DG1525" s="59"/>
      <c r="DH1525" s="59"/>
      <c r="DI1525" s="59"/>
      <c r="DJ1525" s="59"/>
      <c r="DK1525" s="59"/>
      <c r="DL1525" s="59"/>
      <c r="DM1525" s="59"/>
      <c r="DN1525" s="59"/>
      <c r="DO1525" s="59"/>
      <c r="DP1525" s="59"/>
      <c r="DQ1525" s="59"/>
      <c r="DR1525" s="59"/>
      <c r="DS1525" s="59"/>
      <c r="DT1525" s="59"/>
      <c r="DU1525" s="59"/>
      <c r="DV1525" s="59"/>
      <c r="DW1525" s="59"/>
      <c r="DX1525" s="59"/>
      <c r="DY1525" s="59"/>
      <c r="DZ1525" s="59"/>
      <c r="EA1525" s="59"/>
      <c r="EB1525" s="59"/>
      <c r="EC1525" s="59"/>
      <c r="ED1525" s="59"/>
      <c r="EE1525" s="59"/>
      <c r="EF1525" s="59"/>
      <c r="EG1525" s="59"/>
      <c r="EH1525" s="59"/>
      <c r="EI1525" s="59"/>
      <c r="EJ1525" s="59"/>
      <c r="EK1525" s="59"/>
      <c r="EL1525" s="59"/>
      <c r="EM1525" s="59"/>
      <c r="EN1525" s="59"/>
      <c r="EO1525" s="59"/>
      <c r="EP1525" s="59"/>
      <c r="EQ1525" s="59"/>
      <c r="ER1525" s="59"/>
      <c r="ES1525" s="59"/>
      <c r="ET1525" s="59"/>
      <c r="EU1525" s="59"/>
      <c r="EV1525" s="59"/>
      <c r="EW1525" s="59"/>
      <c r="EX1525" s="59"/>
      <c r="EY1525" s="59"/>
      <c r="EZ1525" s="59"/>
      <c r="FA1525" s="59"/>
      <c r="FB1525" s="59"/>
      <c r="FC1525" s="59"/>
      <c r="FD1525" s="59"/>
      <c r="FE1525" s="59"/>
      <c r="FF1525" s="59"/>
      <c r="FG1525" s="59"/>
      <c r="FH1525" s="59"/>
      <c r="FI1525" s="59"/>
      <c r="FJ1525" s="59"/>
      <c r="FK1525" s="59"/>
      <c r="FL1525" s="59"/>
      <c r="FM1525" s="59"/>
      <c r="FN1525" s="59"/>
      <c r="FO1525" s="59"/>
      <c r="FP1525" s="59"/>
      <c r="FQ1525" s="59"/>
      <c r="FR1525" s="59"/>
      <c r="FS1525" s="59"/>
      <c r="FT1525" s="59"/>
      <c r="FU1525" s="59"/>
      <c r="FV1525" s="59"/>
      <c r="FW1525" s="59"/>
      <c r="FX1525" s="59"/>
      <c r="FY1525" s="59"/>
      <c r="FZ1525" s="59"/>
      <c r="GA1525" s="59"/>
      <c r="GB1525" s="59"/>
      <c r="GC1525" s="59"/>
    </row>
    <row r="1526">
      <c r="A1526" s="59"/>
      <c r="B1526" s="59"/>
      <c r="C1526" s="59"/>
      <c r="D1526" s="59"/>
      <c r="E1526" s="59"/>
      <c r="F1526" s="59"/>
      <c r="G1526" s="59"/>
      <c r="H1526" s="59"/>
      <c r="I1526" s="59"/>
      <c r="J1526" s="59"/>
      <c r="K1526" s="59"/>
      <c r="L1526" s="59"/>
      <c r="M1526" s="59"/>
      <c r="N1526" s="59"/>
      <c r="O1526" s="59"/>
      <c r="P1526" s="59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59"/>
      <c r="AG1526" s="59"/>
      <c r="AH1526" s="59"/>
      <c r="AI1526" s="59"/>
      <c r="AJ1526" s="59"/>
      <c r="AK1526" s="59"/>
      <c r="AL1526" s="59"/>
      <c r="AM1526" s="59"/>
      <c r="AN1526" s="59"/>
      <c r="AO1526" s="59"/>
      <c r="AP1526" s="59"/>
      <c r="AQ1526" s="59"/>
      <c r="AR1526" s="59"/>
      <c r="AS1526" s="59"/>
      <c r="AT1526" s="59"/>
      <c r="AU1526" s="59"/>
      <c r="AV1526" s="59"/>
      <c r="AW1526" s="59"/>
      <c r="AX1526" s="59"/>
      <c r="AY1526" s="59"/>
      <c r="AZ1526" s="59"/>
      <c r="BA1526" s="59"/>
      <c r="BB1526" s="59"/>
      <c r="BC1526" s="59"/>
      <c r="BD1526" s="59"/>
      <c r="BE1526" s="59"/>
      <c r="BF1526" s="59"/>
      <c r="BG1526" s="59"/>
      <c r="BH1526" s="59"/>
      <c r="BI1526" s="59"/>
      <c r="BJ1526" s="59"/>
      <c r="BK1526" s="59"/>
      <c r="BL1526" s="59"/>
      <c r="BM1526" s="59"/>
      <c r="BN1526" s="59"/>
      <c r="BO1526" s="59"/>
      <c r="BP1526" s="59"/>
      <c r="BQ1526" s="59"/>
      <c r="BR1526" s="59"/>
      <c r="BS1526" s="59"/>
      <c r="BT1526" s="59"/>
      <c r="BU1526" s="59"/>
      <c r="BV1526" s="59"/>
      <c r="BW1526" s="59"/>
      <c r="BX1526" s="59"/>
      <c r="BY1526" s="59"/>
      <c r="BZ1526" s="59"/>
      <c r="CA1526" s="59"/>
      <c r="CB1526" s="59"/>
      <c r="CC1526" s="59"/>
      <c r="CD1526" s="59"/>
      <c r="CE1526" s="59"/>
      <c r="CF1526" s="59"/>
      <c r="CG1526" s="59"/>
      <c r="CH1526" s="59"/>
      <c r="CI1526" s="59"/>
      <c r="CJ1526" s="59"/>
      <c r="CK1526" s="59"/>
      <c r="CL1526" s="59"/>
      <c r="CM1526" s="59"/>
      <c r="CN1526" s="59"/>
      <c r="CO1526" s="59"/>
      <c r="CP1526" s="59"/>
      <c r="CQ1526" s="59"/>
      <c r="CR1526" s="59"/>
      <c r="CS1526" s="59"/>
      <c r="CT1526" s="59"/>
      <c r="CU1526" s="59"/>
      <c r="CV1526" s="59"/>
      <c r="CW1526" s="59"/>
      <c r="CX1526" s="59"/>
      <c r="CY1526" s="59"/>
      <c r="CZ1526" s="59"/>
      <c r="DA1526" s="59"/>
      <c r="DB1526" s="59"/>
      <c r="DC1526" s="59"/>
      <c r="DD1526" s="59"/>
      <c r="DE1526" s="59"/>
      <c r="DF1526" s="59"/>
      <c r="DG1526" s="59"/>
      <c r="DH1526" s="59"/>
      <c r="DI1526" s="59"/>
      <c r="DJ1526" s="59"/>
      <c r="DK1526" s="59"/>
      <c r="DL1526" s="59"/>
      <c r="DM1526" s="59"/>
      <c r="DN1526" s="59"/>
      <c r="DO1526" s="59"/>
      <c r="DP1526" s="59"/>
      <c r="DQ1526" s="59"/>
      <c r="DR1526" s="59"/>
      <c r="DS1526" s="59"/>
      <c r="DT1526" s="59"/>
      <c r="DU1526" s="59"/>
      <c r="DV1526" s="59"/>
      <c r="DW1526" s="59"/>
      <c r="DX1526" s="59"/>
      <c r="DY1526" s="59"/>
      <c r="DZ1526" s="59"/>
      <c r="EA1526" s="59"/>
      <c r="EB1526" s="59"/>
      <c r="EC1526" s="59"/>
      <c r="ED1526" s="59"/>
      <c r="EE1526" s="59"/>
      <c r="EF1526" s="59"/>
      <c r="EG1526" s="59"/>
      <c r="EH1526" s="59"/>
      <c r="EI1526" s="59"/>
      <c r="EJ1526" s="59"/>
      <c r="EK1526" s="59"/>
      <c r="EL1526" s="59"/>
      <c r="EM1526" s="59"/>
      <c r="EN1526" s="59"/>
      <c r="EO1526" s="59"/>
      <c r="EP1526" s="59"/>
      <c r="EQ1526" s="59"/>
      <c r="ER1526" s="59"/>
      <c r="ES1526" s="59"/>
      <c r="ET1526" s="59"/>
      <c r="EU1526" s="59"/>
      <c r="EV1526" s="59"/>
      <c r="EW1526" s="59"/>
      <c r="EX1526" s="59"/>
      <c r="EY1526" s="59"/>
      <c r="EZ1526" s="59"/>
      <c r="FA1526" s="59"/>
      <c r="FB1526" s="59"/>
      <c r="FC1526" s="59"/>
      <c r="FD1526" s="59"/>
      <c r="FE1526" s="59"/>
      <c r="FF1526" s="59"/>
      <c r="FG1526" s="59"/>
      <c r="FH1526" s="59"/>
      <c r="FI1526" s="59"/>
      <c r="FJ1526" s="59"/>
      <c r="FK1526" s="59"/>
      <c r="FL1526" s="59"/>
      <c r="FM1526" s="59"/>
      <c r="FN1526" s="59"/>
      <c r="FO1526" s="59"/>
      <c r="FP1526" s="59"/>
      <c r="FQ1526" s="59"/>
      <c r="FR1526" s="59"/>
      <c r="FS1526" s="59"/>
      <c r="FT1526" s="59"/>
      <c r="FU1526" s="59"/>
      <c r="FV1526" s="59"/>
      <c r="FW1526" s="59"/>
      <c r="FX1526" s="59"/>
      <c r="FY1526" s="59"/>
      <c r="FZ1526" s="59"/>
      <c r="GA1526" s="59"/>
      <c r="GB1526" s="59"/>
      <c r="GC1526" s="59"/>
    </row>
    <row r="1527">
      <c r="A1527" s="59"/>
      <c r="B1527" s="59"/>
      <c r="C1527" s="59"/>
      <c r="D1527" s="59"/>
      <c r="E1527" s="59"/>
      <c r="F1527" s="59"/>
      <c r="G1527" s="59"/>
      <c r="H1527" s="59"/>
      <c r="I1527" s="59"/>
      <c r="J1527" s="59"/>
      <c r="K1527" s="59"/>
      <c r="L1527" s="59"/>
      <c r="M1527" s="59"/>
      <c r="N1527" s="59"/>
      <c r="O1527" s="59"/>
      <c r="P1527" s="59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59"/>
      <c r="AG1527" s="59"/>
      <c r="AH1527" s="59"/>
      <c r="AI1527" s="59"/>
      <c r="AJ1527" s="59"/>
      <c r="AK1527" s="59"/>
      <c r="AL1527" s="59"/>
      <c r="AM1527" s="59"/>
      <c r="AN1527" s="59"/>
      <c r="AO1527" s="59"/>
      <c r="AP1527" s="59"/>
      <c r="AQ1527" s="59"/>
      <c r="AR1527" s="59"/>
      <c r="AS1527" s="59"/>
      <c r="AT1527" s="59"/>
      <c r="AU1527" s="59"/>
      <c r="AV1527" s="59"/>
      <c r="AW1527" s="59"/>
      <c r="AX1527" s="59"/>
      <c r="AY1527" s="59"/>
      <c r="AZ1527" s="59"/>
      <c r="BA1527" s="59"/>
      <c r="BB1527" s="59"/>
      <c r="BC1527" s="59"/>
      <c r="BD1527" s="59"/>
      <c r="BE1527" s="59"/>
      <c r="BF1527" s="59"/>
      <c r="BG1527" s="59"/>
      <c r="BH1527" s="59"/>
      <c r="BI1527" s="59"/>
      <c r="BJ1527" s="59"/>
      <c r="BK1527" s="59"/>
      <c r="BL1527" s="59"/>
      <c r="BM1527" s="59"/>
      <c r="BN1527" s="59"/>
      <c r="BO1527" s="59"/>
      <c r="BP1527" s="59"/>
      <c r="BQ1527" s="59"/>
      <c r="BR1527" s="59"/>
      <c r="BS1527" s="59"/>
      <c r="BT1527" s="59"/>
      <c r="BU1527" s="59"/>
      <c r="BV1527" s="59"/>
      <c r="BW1527" s="59"/>
      <c r="BX1527" s="59"/>
      <c r="BY1527" s="59"/>
      <c r="BZ1527" s="59"/>
      <c r="CA1527" s="59"/>
      <c r="CB1527" s="59"/>
      <c r="CC1527" s="59"/>
      <c r="CD1527" s="59"/>
      <c r="CE1527" s="59"/>
      <c r="CF1527" s="59"/>
      <c r="CG1527" s="59"/>
      <c r="CH1527" s="59"/>
      <c r="CI1527" s="59"/>
      <c r="CJ1527" s="59"/>
      <c r="CK1527" s="59"/>
      <c r="CL1527" s="59"/>
      <c r="CM1527" s="59"/>
      <c r="CN1527" s="59"/>
      <c r="CO1527" s="59"/>
      <c r="CP1527" s="59"/>
      <c r="CQ1527" s="59"/>
      <c r="CR1527" s="59"/>
      <c r="CS1527" s="59"/>
      <c r="CT1527" s="59"/>
      <c r="CU1527" s="59"/>
      <c r="CV1527" s="59"/>
      <c r="CW1527" s="59"/>
      <c r="CX1527" s="59"/>
      <c r="CY1527" s="59"/>
      <c r="CZ1527" s="59"/>
      <c r="DA1527" s="59"/>
      <c r="DB1527" s="59"/>
      <c r="DC1527" s="59"/>
      <c r="DD1527" s="59"/>
      <c r="DE1527" s="59"/>
      <c r="DF1527" s="59"/>
      <c r="DG1527" s="59"/>
      <c r="DH1527" s="59"/>
      <c r="DI1527" s="59"/>
      <c r="DJ1527" s="59"/>
      <c r="DK1527" s="59"/>
      <c r="DL1527" s="59"/>
      <c r="DM1527" s="59"/>
      <c r="DN1527" s="59"/>
      <c r="DO1527" s="59"/>
      <c r="DP1527" s="59"/>
      <c r="DQ1527" s="59"/>
      <c r="DR1527" s="59"/>
      <c r="DS1527" s="59"/>
      <c r="DT1527" s="59"/>
      <c r="DU1527" s="59"/>
      <c r="DV1527" s="59"/>
      <c r="DW1527" s="59"/>
      <c r="DX1527" s="59"/>
      <c r="DY1527" s="59"/>
      <c r="DZ1527" s="59"/>
      <c r="EA1527" s="59"/>
      <c r="EB1527" s="59"/>
      <c r="EC1527" s="59"/>
      <c r="ED1527" s="59"/>
      <c r="EE1527" s="59"/>
      <c r="EF1527" s="59"/>
      <c r="EG1527" s="59"/>
      <c r="EH1527" s="59"/>
      <c r="EI1527" s="59"/>
      <c r="EJ1527" s="59"/>
      <c r="EK1527" s="59"/>
      <c r="EL1527" s="59"/>
      <c r="EM1527" s="59"/>
      <c r="EN1527" s="59"/>
      <c r="EO1527" s="59"/>
      <c r="EP1527" s="59"/>
      <c r="EQ1527" s="59"/>
      <c r="ER1527" s="59"/>
      <c r="ES1527" s="59"/>
      <c r="ET1527" s="59"/>
      <c r="EU1527" s="59"/>
      <c r="EV1527" s="59"/>
      <c r="EW1527" s="59"/>
      <c r="EX1527" s="59"/>
      <c r="EY1527" s="59"/>
      <c r="EZ1527" s="59"/>
      <c r="FA1527" s="59"/>
      <c r="FB1527" s="59"/>
      <c r="FC1527" s="59"/>
      <c r="FD1527" s="59"/>
      <c r="FE1527" s="59"/>
      <c r="FF1527" s="59"/>
      <c r="FG1527" s="59"/>
      <c r="FH1527" s="59"/>
      <c r="FI1527" s="59"/>
      <c r="FJ1527" s="59"/>
      <c r="FK1527" s="59"/>
      <c r="FL1527" s="59"/>
      <c r="FM1527" s="59"/>
      <c r="FN1527" s="59"/>
      <c r="FO1527" s="59"/>
      <c r="FP1527" s="59"/>
      <c r="FQ1527" s="59"/>
      <c r="FR1527" s="59"/>
      <c r="FS1527" s="59"/>
      <c r="FT1527" s="59"/>
      <c r="FU1527" s="59"/>
      <c r="FV1527" s="59"/>
      <c r="FW1527" s="59"/>
      <c r="FX1527" s="59"/>
      <c r="FY1527" s="59"/>
      <c r="FZ1527" s="59"/>
      <c r="GA1527" s="59"/>
      <c r="GB1527" s="59"/>
      <c r="GC1527" s="59"/>
    </row>
    <row r="1528">
      <c r="A1528" s="59"/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59"/>
      <c r="AG1528" s="59"/>
      <c r="AH1528" s="59"/>
      <c r="AI1528" s="59"/>
      <c r="AJ1528" s="59"/>
      <c r="AK1528" s="59"/>
      <c r="AL1528" s="59"/>
      <c r="AM1528" s="59"/>
      <c r="AN1528" s="59"/>
      <c r="AO1528" s="59"/>
      <c r="AP1528" s="59"/>
      <c r="AQ1528" s="59"/>
      <c r="AR1528" s="59"/>
      <c r="AS1528" s="59"/>
      <c r="AT1528" s="59"/>
      <c r="AU1528" s="59"/>
      <c r="AV1528" s="59"/>
      <c r="AW1528" s="59"/>
      <c r="AX1528" s="59"/>
      <c r="AY1528" s="59"/>
      <c r="AZ1528" s="59"/>
      <c r="BA1528" s="59"/>
      <c r="BB1528" s="59"/>
      <c r="BC1528" s="59"/>
      <c r="BD1528" s="59"/>
      <c r="BE1528" s="59"/>
      <c r="BF1528" s="59"/>
      <c r="BG1528" s="59"/>
      <c r="BH1528" s="59"/>
      <c r="BI1528" s="59"/>
      <c r="BJ1528" s="59"/>
      <c r="BK1528" s="59"/>
      <c r="BL1528" s="59"/>
      <c r="BM1528" s="59"/>
      <c r="BN1528" s="59"/>
      <c r="BO1528" s="59"/>
      <c r="BP1528" s="59"/>
      <c r="BQ1528" s="59"/>
      <c r="BR1528" s="59"/>
      <c r="BS1528" s="59"/>
      <c r="BT1528" s="59"/>
      <c r="BU1528" s="59"/>
      <c r="BV1528" s="59"/>
      <c r="BW1528" s="59"/>
      <c r="BX1528" s="59"/>
      <c r="BY1528" s="59"/>
      <c r="BZ1528" s="59"/>
      <c r="CA1528" s="59"/>
      <c r="CB1528" s="59"/>
      <c r="CC1528" s="59"/>
      <c r="CD1528" s="59"/>
      <c r="CE1528" s="59"/>
      <c r="CF1528" s="59"/>
      <c r="CG1528" s="59"/>
      <c r="CH1528" s="59"/>
      <c r="CI1528" s="59"/>
      <c r="CJ1528" s="59"/>
      <c r="CK1528" s="59"/>
      <c r="CL1528" s="59"/>
      <c r="CM1528" s="59"/>
      <c r="CN1528" s="59"/>
      <c r="CO1528" s="59"/>
      <c r="CP1528" s="59"/>
      <c r="CQ1528" s="59"/>
      <c r="CR1528" s="59"/>
      <c r="CS1528" s="59"/>
      <c r="CT1528" s="59"/>
      <c r="CU1528" s="59"/>
      <c r="CV1528" s="59"/>
      <c r="CW1528" s="59"/>
      <c r="CX1528" s="59"/>
      <c r="CY1528" s="59"/>
      <c r="CZ1528" s="59"/>
      <c r="DA1528" s="59"/>
      <c r="DB1528" s="59"/>
      <c r="DC1528" s="59"/>
      <c r="DD1528" s="59"/>
      <c r="DE1528" s="59"/>
      <c r="DF1528" s="59"/>
      <c r="DG1528" s="59"/>
      <c r="DH1528" s="59"/>
      <c r="DI1528" s="59"/>
      <c r="DJ1528" s="59"/>
      <c r="DK1528" s="59"/>
      <c r="DL1528" s="59"/>
      <c r="DM1528" s="59"/>
      <c r="DN1528" s="59"/>
      <c r="DO1528" s="59"/>
      <c r="DP1528" s="59"/>
      <c r="DQ1528" s="59"/>
      <c r="DR1528" s="59"/>
      <c r="DS1528" s="59"/>
      <c r="DT1528" s="59"/>
      <c r="DU1528" s="59"/>
      <c r="DV1528" s="59"/>
      <c r="DW1528" s="59"/>
      <c r="DX1528" s="59"/>
      <c r="DY1528" s="59"/>
      <c r="DZ1528" s="59"/>
      <c r="EA1528" s="59"/>
      <c r="EB1528" s="59"/>
      <c r="EC1528" s="59"/>
      <c r="ED1528" s="59"/>
      <c r="EE1528" s="59"/>
      <c r="EF1528" s="59"/>
      <c r="EG1528" s="59"/>
      <c r="EH1528" s="59"/>
      <c r="EI1528" s="59"/>
      <c r="EJ1528" s="59"/>
      <c r="EK1528" s="59"/>
      <c r="EL1528" s="59"/>
      <c r="EM1528" s="59"/>
      <c r="EN1528" s="59"/>
      <c r="EO1528" s="59"/>
      <c r="EP1528" s="59"/>
      <c r="EQ1528" s="59"/>
      <c r="ER1528" s="59"/>
      <c r="ES1528" s="59"/>
      <c r="ET1528" s="59"/>
      <c r="EU1528" s="59"/>
      <c r="EV1528" s="59"/>
      <c r="EW1528" s="59"/>
      <c r="EX1528" s="59"/>
      <c r="EY1528" s="59"/>
      <c r="EZ1528" s="59"/>
      <c r="FA1528" s="59"/>
      <c r="FB1528" s="59"/>
      <c r="FC1528" s="59"/>
      <c r="FD1528" s="59"/>
      <c r="FE1528" s="59"/>
      <c r="FF1528" s="59"/>
      <c r="FG1528" s="59"/>
      <c r="FH1528" s="59"/>
      <c r="FI1528" s="59"/>
      <c r="FJ1528" s="59"/>
      <c r="FK1528" s="59"/>
      <c r="FL1528" s="59"/>
      <c r="FM1528" s="59"/>
      <c r="FN1528" s="59"/>
      <c r="FO1528" s="59"/>
      <c r="FP1528" s="59"/>
      <c r="FQ1528" s="59"/>
      <c r="FR1528" s="59"/>
      <c r="FS1528" s="59"/>
      <c r="FT1528" s="59"/>
      <c r="FU1528" s="59"/>
      <c r="FV1528" s="59"/>
      <c r="FW1528" s="59"/>
      <c r="FX1528" s="59"/>
      <c r="FY1528" s="59"/>
      <c r="FZ1528" s="59"/>
      <c r="GA1528" s="59"/>
      <c r="GB1528" s="59"/>
      <c r="GC1528" s="59"/>
    </row>
    <row r="1529">
      <c r="A1529" s="59"/>
      <c r="B1529" s="59"/>
      <c r="C1529" s="59"/>
      <c r="D1529" s="59"/>
      <c r="E1529" s="59"/>
      <c r="F1529" s="59"/>
      <c r="G1529" s="59"/>
      <c r="H1529" s="59"/>
      <c r="I1529" s="59"/>
      <c r="J1529" s="59"/>
      <c r="K1529" s="59"/>
      <c r="L1529" s="59"/>
      <c r="M1529" s="59"/>
      <c r="N1529" s="59"/>
      <c r="O1529" s="59"/>
      <c r="P1529" s="59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59"/>
      <c r="AG1529" s="59"/>
      <c r="AH1529" s="59"/>
      <c r="AI1529" s="59"/>
      <c r="AJ1529" s="59"/>
      <c r="AK1529" s="59"/>
      <c r="AL1529" s="59"/>
      <c r="AM1529" s="59"/>
      <c r="AN1529" s="59"/>
      <c r="AO1529" s="59"/>
      <c r="AP1529" s="59"/>
      <c r="AQ1529" s="59"/>
      <c r="AR1529" s="59"/>
      <c r="AS1529" s="59"/>
      <c r="AT1529" s="59"/>
      <c r="AU1529" s="59"/>
      <c r="AV1529" s="59"/>
      <c r="AW1529" s="59"/>
      <c r="AX1529" s="59"/>
      <c r="AY1529" s="59"/>
      <c r="AZ1529" s="59"/>
      <c r="BA1529" s="59"/>
      <c r="BB1529" s="59"/>
      <c r="BC1529" s="59"/>
      <c r="BD1529" s="59"/>
      <c r="BE1529" s="59"/>
      <c r="BF1529" s="59"/>
      <c r="BG1529" s="59"/>
      <c r="BH1529" s="59"/>
      <c r="BI1529" s="59"/>
      <c r="BJ1529" s="59"/>
      <c r="BK1529" s="59"/>
      <c r="BL1529" s="59"/>
      <c r="BM1529" s="59"/>
      <c r="BN1529" s="59"/>
      <c r="BO1529" s="59"/>
      <c r="BP1529" s="59"/>
      <c r="BQ1529" s="59"/>
      <c r="BR1529" s="59"/>
      <c r="BS1529" s="59"/>
      <c r="BT1529" s="59"/>
      <c r="BU1529" s="59"/>
      <c r="BV1529" s="59"/>
      <c r="BW1529" s="59"/>
      <c r="BX1529" s="59"/>
      <c r="BY1529" s="59"/>
      <c r="BZ1529" s="59"/>
      <c r="CA1529" s="59"/>
      <c r="CB1529" s="59"/>
      <c r="CC1529" s="59"/>
      <c r="CD1529" s="59"/>
      <c r="CE1529" s="59"/>
      <c r="CF1529" s="59"/>
      <c r="CG1529" s="59"/>
      <c r="CH1529" s="59"/>
      <c r="CI1529" s="59"/>
      <c r="CJ1529" s="59"/>
      <c r="CK1529" s="59"/>
      <c r="CL1529" s="59"/>
      <c r="CM1529" s="59"/>
      <c r="CN1529" s="59"/>
      <c r="CO1529" s="59"/>
      <c r="CP1529" s="59"/>
      <c r="CQ1529" s="59"/>
      <c r="CR1529" s="59"/>
      <c r="CS1529" s="59"/>
      <c r="CT1529" s="59"/>
      <c r="CU1529" s="59"/>
      <c r="CV1529" s="59"/>
      <c r="CW1529" s="59"/>
      <c r="CX1529" s="59"/>
      <c r="CY1529" s="59"/>
      <c r="CZ1529" s="59"/>
      <c r="DA1529" s="59"/>
      <c r="DB1529" s="59"/>
      <c r="DC1529" s="59"/>
      <c r="DD1529" s="59"/>
      <c r="DE1529" s="59"/>
      <c r="DF1529" s="59"/>
      <c r="DG1529" s="59"/>
      <c r="DH1529" s="59"/>
      <c r="DI1529" s="59"/>
      <c r="DJ1529" s="59"/>
      <c r="DK1529" s="59"/>
      <c r="DL1529" s="59"/>
      <c r="DM1529" s="59"/>
      <c r="DN1529" s="59"/>
      <c r="DO1529" s="59"/>
      <c r="DP1529" s="59"/>
      <c r="DQ1529" s="59"/>
      <c r="DR1529" s="59"/>
      <c r="DS1529" s="59"/>
      <c r="DT1529" s="59"/>
      <c r="DU1529" s="59"/>
      <c r="DV1529" s="59"/>
      <c r="DW1529" s="59"/>
      <c r="DX1529" s="59"/>
      <c r="DY1529" s="59"/>
      <c r="DZ1529" s="59"/>
      <c r="EA1529" s="59"/>
      <c r="EB1529" s="59"/>
      <c r="EC1529" s="59"/>
      <c r="ED1529" s="59"/>
      <c r="EE1529" s="59"/>
      <c r="EF1529" s="59"/>
      <c r="EG1529" s="59"/>
      <c r="EH1529" s="59"/>
      <c r="EI1529" s="59"/>
      <c r="EJ1529" s="59"/>
      <c r="EK1529" s="59"/>
      <c r="EL1529" s="59"/>
      <c r="EM1529" s="59"/>
      <c r="EN1529" s="59"/>
      <c r="EO1529" s="59"/>
      <c r="EP1529" s="59"/>
      <c r="EQ1529" s="59"/>
      <c r="ER1529" s="59"/>
      <c r="ES1529" s="59"/>
      <c r="ET1529" s="59"/>
      <c r="EU1529" s="59"/>
      <c r="EV1529" s="59"/>
      <c r="EW1529" s="59"/>
      <c r="EX1529" s="59"/>
      <c r="EY1529" s="59"/>
      <c r="EZ1529" s="59"/>
      <c r="FA1529" s="59"/>
      <c r="FB1529" s="59"/>
      <c r="FC1529" s="59"/>
      <c r="FD1529" s="59"/>
      <c r="FE1529" s="59"/>
      <c r="FF1529" s="59"/>
      <c r="FG1529" s="59"/>
      <c r="FH1529" s="59"/>
      <c r="FI1529" s="59"/>
      <c r="FJ1529" s="59"/>
      <c r="FK1529" s="59"/>
      <c r="FL1529" s="59"/>
      <c r="FM1529" s="59"/>
      <c r="FN1529" s="59"/>
      <c r="FO1529" s="59"/>
      <c r="FP1529" s="59"/>
      <c r="FQ1529" s="59"/>
      <c r="FR1529" s="59"/>
      <c r="FS1529" s="59"/>
      <c r="FT1529" s="59"/>
      <c r="FU1529" s="59"/>
      <c r="FV1529" s="59"/>
      <c r="FW1529" s="59"/>
      <c r="FX1529" s="59"/>
      <c r="FY1529" s="59"/>
      <c r="FZ1529" s="59"/>
      <c r="GA1529" s="59"/>
      <c r="GB1529" s="59"/>
      <c r="GC1529" s="59"/>
    </row>
    <row r="1530">
      <c r="A1530" s="59"/>
      <c r="B1530" s="59"/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  <c r="AG1530" s="59"/>
      <c r="AH1530" s="59"/>
      <c r="AI1530" s="59"/>
      <c r="AJ1530" s="59"/>
      <c r="AK1530" s="59"/>
      <c r="AL1530" s="59"/>
      <c r="AM1530" s="59"/>
      <c r="AN1530" s="59"/>
      <c r="AO1530" s="59"/>
      <c r="AP1530" s="59"/>
      <c r="AQ1530" s="59"/>
      <c r="AR1530" s="59"/>
      <c r="AS1530" s="59"/>
      <c r="AT1530" s="59"/>
      <c r="AU1530" s="59"/>
      <c r="AV1530" s="59"/>
      <c r="AW1530" s="59"/>
      <c r="AX1530" s="59"/>
      <c r="AY1530" s="59"/>
      <c r="AZ1530" s="59"/>
      <c r="BA1530" s="59"/>
      <c r="BB1530" s="59"/>
      <c r="BC1530" s="59"/>
      <c r="BD1530" s="59"/>
      <c r="BE1530" s="59"/>
      <c r="BF1530" s="59"/>
      <c r="BG1530" s="59"/>
      <c r="BH1530" s="59"/>
      <c r="BI1530" s="59"/>
      <c r="BJ1530" s="59"/>
      <c r="BK1530" s="59"/>
      <c r="BL1530" s="59"/>
      <c r="BM1530" s="59"/>
      <c r="BN1530" s="59"/>
      <c r="BO1530" s="59"/>
      <c r="BP1530" s="59"/>
      <c r="BQ1530" s="59"/>
      <c r="BR1530" s="59"/>
      <c r="BS1530" s="59"/>
      <c r="BT1530" s="59"/>
      <c r="BU1530" s="59"/>
      <c r="BV1530" s="59"/>
      <c r="BW1530" s="59"/>
      <c r="BX1530" s="59"/>
      <c r="BY1530" s="59"/>
      <c r="BZ1530" s="59"/>
      <c r="CA1530" s="59"/>
      <c r="CB1530" s="59"/>
      <c r="CC1530" s="59"/>
      <c r="CD1530" s="59"/>
      <c r="CE1530" s="59"/>
      <c r="CF1530" s="59"/>
      <c r="CG1530" s="59"/>
      <c r="CH1530" s="59"/>
      <c r="CI1530" s="59"/>
      <c r="CJ1530" s="59"/>
      <c r="CK1530" s="59"/>
      <c r="CL1530" s="59"/>
      <c r="CM1530" s="59"/>
      <c r="CN1530" s="59"/>
      <c r="CO1530" s="59"/>
      <c r="CP1530" s="59"/>
      <c r="CQ1530" s="59"/>
      <c r="CR1530" s="59"/>
      <c r="CS1530" s="59"/>
      <c r="CT1530" s="59"/>
      <c r="CU1530" s="59"/>
      <c r="CV1530" s="59"/>
      <c r="CW1530" s="59"/>
      <c r="CX1530" s="59"/>
      <c r="CY1530" s="59"/>
      <c r="CZ1530" s="59"/>
      <c r="DA1530" s="59"/>
      <c r="DB1530" s="59"/>
      <c r="DC1530" s="59"/>
      <c r="DD1530" s="59"/>
      <c r="DE1530" s="59"/>
      <c r="DF1530" s="59"/>
      <c r="DG1530" s="59"/>
      <c r="DH1530" s="59"/>
      <c r="DI1530" s="59"/>
      <c r="DJ1530" s="59"/>
      <c r="DK1530" s="59"/>
      <c r="DL1530" s="59"/>
      <c r="DM1530" s="59"/>
      <c r="DN1530" s="59"/>
      <c r="DO1530" s="59"/>
      <c r="DP1530" s="59"/>
      <c r="DQ1530" s="59"/>
      <c r="DR1530" s="59"/>
      <c r="DS1530" s="59"/>
      <c r="DT1530" s="59"/>
      <c r="DU1530" s="59"/>
      <c r="DV1530" s="59"/>
      <c r="DW1530" s="59"/>
      <c r="DX1530" s="59"/>
      <c r="DY1530" s="59"/>
      <c r="DZ1530" s="59"/>
      <c r="EA1530" s="59"/>
      <c r="EB1530" s="59"/>
      <c r="EC1530" s="59"/>
      <c r="ED1530" s="59"/>
      <c r="EE1530" s="59"/>
      <c r="EF1530" s="59"/>
      <c r="EG1530" s="59"/>
      <c r="EH1530" s="59"/>
      <c r="EI1530" s="59"/>
      <c r="EJ1530" s="59"/>
      <c r="EK1530" s="59"/>
      <c r="EL1530" s="59"/>
      <c r="EM1530" s="59"/>
      <c r="EN1530" s="59"/>
      <c r="EO1530" s="59"/>
      <c r="EP1530" s="59"/>
      <c r="EQ1530" s="59"/>
      <c r="ER1530" s="59"/>
      <c r="ES1530" s="59"/>
      <c r="ET1530" s="59"/>
      <c r="EU1530" s="59"/>
      <c r="EV1530" s="59"/>
      <c r="EW1530" s="59"/>
      <c r="EX1530" s="59"/>
      <c r="EY1530" s="59"/>
      <c r="EZ1530" s="59"/>
      <c r="FA1530" s="59"/>
      <c r="FB1530" s="59"/>
      <c r="FC1530" s="59"/>
      <c r="FD1530" s="59"/>
      <c r="FE1530" s="59"/>
      <c r="FF1530" s="59"/>
      <c r="FG1530" s="59"/>
      <c r="FH1530" s="59"/>
      <c r="FI1530" s="59"/>
      <c r="FJ1530" s="59"/>
      <c r="FK1530" s="59"/>
      <c r="FL1530" s="59"/>
      <c r="FM1530" s="59"/>
      <c r="FN1530" s="59"/>
      <c r="FO1530" s="59"/>
      <c r="FP1530" s="59"/>
      <c r="FQ1530" s="59"/>
      <c r="FR1530" s="59"/>
      <c r="FS1530" s="59"/>
      <c r="FT1530" s="59"/>
      <c r="FU1530" s="59"/>
      <c r="FV1530" s="59"/>
      <c r="FW1530" s="59"/>
      <c r="FX1530" s="59"/>
      <c r="FY1530" s="59"/>
      <c r="FZ1530" s="59"/>
      <c r="GA1530" s="59"/>
      <c r="GB1530" s="59"/>
      <c r="GC1530" s="59"/>
    </row>
    <row r="1531">
      <c r="A1531" s="59"/>
      <c r="B1531" s="59"/>
      <c r="C1531" s="59"/>
      <c r="D1531" s="59"/>
      <c r="E1531" s="59"/>
      <c r="F1531" s="59"/>
      <c r="G1531" s="59"/>
      <c r="H1531" s="59"/>
      <c r="I1531" s="59"/>
      <c r="J1531" s="59"/>
      <c r="K1531" s="59"/>
      <c r="L1531" s="59"/>
      <c r="M1531" s="59"/>
      <c r="N1531" s="59"/>
      <c r="O1531" s="59"/>
      <c r="P1531" s="59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59"/>
      <c r="AG1531" s="59"/>
      <c r="AH1531" s="59"/>
      <c r="AI1531" s="59"/>
      <c r="AJ1531" s="59"/>
      <c r="AK1531" s="59"/>
      <c r="AL1531" s="59"/>
      <c r="AM1531" s="59"/>
      <c r="AN1531" s="59"/>
      <c r="AO1531" s="59"/>
      <c r="AP1531" s="59"/>
      <c r="AQ1531" s="59"/>
      <c r="AR1531" s="59"/>
      <c r="AS1531" s="59"/>
      <c r="AT1531" s="59"/>
      <c r="AU1531" s="59"/>
      <c r="AV1531" s="59"/>
      <c r="AW1531" s="59"/>
      <c r="AX1531" s="59"/>
      <c r="AY1531" s="59"/>
      <c r="AZ1531" s="59"/>
      <c r="BA1531" s="59"/>
      <c r="BB1531" s="59"/>
      <c r="BC1531" s="59"/>
      <c r="BD1531" s="59"/>
      <c r="BE1531" s="59"/>
      <c r="BF1531" s="59"/>
      <c r="BG1531" s="59"/>
      <c r="BH1531" s="59"/>
      <c r="BI1531" s="59"/>
      <c r="BJ1531" s="59"/>
      <c r="BK1531" s="59"/>
      <c r="BL1531" s="59"/>
      <c r="BM1531" s="59"/>
      <c r="BN1531" s="59"/>
      <c r="BO1531" s="59"/>
      <c r="BP1531" s="59"/>
      <c r="BQ1531" s="59"/>
      <c r="BR1531" s="59"/>
      <c r="BS1531" s="59"/>
      <c r="BT1531" s="59"/>
      <c r="BU1531" s="59"/>
      <c r="BV1531" s="59"/>
      <c r="BW1531" s="59"/>
      <c r="BX1531" s="59"/>
      <c r="BY1531" s="59"/>
      <c r="BZ1531" s="59"/>
      <c r="CA1531" s="59"/>
      <c r="CB1531" s="59"/>
      <c r="CC1531" s="59"/>
      <c r="CD1531" s="59"/>
      <c r="CE1531" s="59"/>
      <c r="CF1531" s="59"/>
      <c r="CG1531" s="59"/>
      <c r="CH1531" s="59"/>
      <c r="CI1531" s="59"/>
      <c r="CJ1531" s="59"/>
      <c r="CK1531" s="59"/>
      <c r="CL1531" s="59"/>
      <c r="CM1531" s="59"/>
      <c r="CN1531" s="59"/>
      <c r="CO1531" s="59"/>
      <c r="CP1531" s="59"/>
      <c r="CQ1531" s="59"/>
      <c r="CR1531" s="59"/>
      <c r="CS1531" s="59"/>
      <c r="CT1531" s="59"/>
      <c r="CU1531" s="59"/>
      <c r="CV1531" s="59"/>
      <c r="CW1531" s="59"/>
      <c r="CX1531" s="59"/>
      <c r="CY1531" s="59"/>
      <c r="CZ1531" s="59"/>
      <c r="DA1531" s="59"/>
      <c r="DB1531" s="59"/>
      <c r="DC1531" s="59"/>
      <c r="DD1531" s="59"/>
      <c r="DE1531" s="59"/>
      <c r="DF1531" s="59"/>
      <c r="DG1531" s="59"/>
      <c r="DH1531" s="59"/>
      <c r="DI1531" s="59"/>
      <c r="DJ1531" s="59"/>
      <c r="DK1531" s="59"/>
      <c r="DL1531" s="59"/>
      <c r="DM1531" s="59"/>
      <c r="DN1531" s="59"/>
      <c r="DO1531" s="59"/>
      <c r="DP1531" s="59"/>
      <c r="DQ1531" s="59"/>
      <c r="DR1531" s="59"/>
      <c r="DS1531" s="59"/>
      <c r="DT1531" s="59"/>
      <c r="DU1531" s="59"/>
      <c r="DV1531" s="59"/>
      <c r="DW1531" s="59"/>
      <c r="DX1531" s="59"/>
      <c r="DY1531" s="59"/>
      <c r="DZ1531" s="59"/>
      <c r="EA1531" s="59"/>
      <c r="EB1531" s="59"/>
      <c r="EC1531" s="59"/>
      <c r="ED1531" s="59"/>
      <c r="EE1531" s="59"/>
      <c r="EF1531" s="59"/>
      <c r="EG1531" s="59"/>
      <c r="EH1531" s="59"/>
      <c r="EI1531" s="59"/>
      <c r="EJ1531" s="59"/>
      <c r="EK1531" s="59"/>
      <c r="EL1531" s="59"/>
      <c r="EM1531" s="59"/>
      <c r="EN1531" s="59"/>
      <c r="EO1531" s="59"/>
      <c r="EP1531" s="59"/>
      <c r="EQ1531" s="59"/>
      <c r="ER1531" s="59"/>
      <c r="ES1531" s="59"/>
      <c r="ET1531" s="59"/>
      <c r="EU1531" s="59"/>
      <c r="EV1531" s="59"/>
      <c r="EW1531" s="59"/>
      <c r="EX1531" s="59"/>
      <c r="EY1531" s="59"/>
      <c r="EZ1531" s="59"/>
      <c r="FA1531" s="59"/>
      <c r="FB1531" s="59"/>
      <c r="FC1531" s="59"/>
      <c r="FD1531" s="59"/>
      <c r="FE1531" s="59"/>
      <c r="FF1531" s="59"/>
      <c r="FG1531" s="59"/>
      <c r="FH1531" s="59"/>
      <c r="FI1531" s="59"/>
      <c r="FJ1531" s="59"/>
      <c r="FK1531" s="59"/>
      <c r="FL1531" s="59"/>
      <c r="FM1531" s="59"/>
      <c r="FN1531" s="59"/>
      <c r="FO1531" s="59"/>
      <c r="FP1531" s="59"/>
      <c r="FQ1531" s="59"/>
      <c r="FR1531" s="59"/>
      <c r="FS1531" s="59"/>
      <c r="FT1531" s="59"/>
      <c r="FU1531" s="59"/>
      <c r="FV1531" s="59"/>
      <c r="FW1531" s="59"/>
      <c r="FX1531" s="59"/>
      <c r="FY1531" s="59"/>
      <c r="FZ1531" s="59"/>
      <c r="GA1531" s="59"/>
      <c r="GB1531" s="59"/>
      <c r="GC1531" s="59"/>
    </row>
    <row r="1532">
      <c r="A1532" s="59"/>
      <c r="B1532" s="59"/>
      <c r="C1532" s="59"/>
      <c r="D1532" s="59"/>
      <c r="E1532" s="59"/>
      <c r="F1532" s="59"/>
      <c r="G1532" s="59"/>
      <c r="H1532" s="59"/>
      <c r="I1532" s="59"/>
      <c r="J1532" s="59"/>
      <c r="K1532" s="59"/>
      <c r="L1532" s="59"/>
      <c r="M1532" s="59"/>
      <c r="N1532" s="59"/>
      <c r="O1532" s="59"/>
      <c r="P1532" s="59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59"/>
      <c r="AG1532" s="59"/>
      <c r="AH1532" s="59"/>
      <c r="AI1532" s="59"/>
      <c r="AJ1532" s="59"/>
      <c r="AK1532" s="59"/>
      <c r="AL1532" s="59"/>
      <c r="AM1532" s="59"/>
      <c r="AN1532" s="59"/>
      <c r="AO1532" s="59"/>
      <c r="AP1532" s="59"/>
      <c r="AQ1532" s="59"/>
      <c r="AR1532" s="59"/>
      <c r="AS1532" s="59"/>
      <c r="AT1532" s="59"/>
      <c r="AU1532" s="59"/>
      <c r="AV1532" s="59"/>
      <c r="AW1532" s="59"/>
      <c r="AX1532" s="59"/>
      <c r="AY1532" s="59"/>
      <c r="AZ1532" s="59"/>
      <c r="BA1532" s="59"/>
      <c r="BB1532" s="59"/>
      <c r="BC1532" s="59"/>
      <c r="BD1532" s="59"/>
      <c r="BE1532" s="59"/>
      <c r="BF1532" s="59"/>
      <c r="BG1532" s="59"/>
      <c r="BH1532" s="59"/>
      <c r="BI1532" s="59"/>
      <c r="BJ1532" s="59"/>
      <c r="BK1532" s="59"/>
      <c r="BL1532" s="59"/>
      <c r="BM1532" s="59"/>
      <c r="BN1532" s="59"/>
      <c r="BO1532" s="59"/>
      <c r="BP1532" s="59"/>
      <c r="BQ1532" s="59"/>
      <c r="BR1532" s="59"/>
      <c r="BS1532" s="59"/>
      <c r="BT1532" s="59"/>
      <c r="BU1532" s="59"/>
      <c r="BV1532" s="59"/>
      <c r="BW1532" s="59"/>
      <c r="BX1532" s="59"/>
      <c r="BY1532" s="59"/>
      <c r="BZ1532" s="59"/>
      <c r="CA1532" s="59"/>
      <c r="CB1532" s="59"/>
      <c r="CC1532" s="59"/>
      <c r="CD1532" s="59"/>
      <c r="CE1532" s="59"/>
      <c r="CF1532" s="59"/>
      <c r="CG1532" s="59"/>
      <c r="CH1532" s="59"/>
      <c r="CI1532" s="59"/>
      <c r="CJ1532" s="59"/>
      <c r="CK1532" s="59"/>
      <c r="CL1532" s="59"/>
      <c r="CM1532" s="59"/>
      <c r="CN1532" s="59"/>
      <c r="CO1532" s="59"/>
      <c r="CP1532" s="59"/>
      <c r="CQ1532" s="59"/>
      <c r="CR1532" s="59"/>
      <c r="CS1532" s="59"/>
      <c r="CT1532" s="59"/>
      <c r="CU1532" s="59"/>
      <c r="CV1532" s="59"/>
      <c r="CW1532" s="59"/>
      <c r="CX1532" s="59"/>
      <c r="CY1532" s="59"/>
      <c r="CZ1532" s="59"/>
      <c r="DA1532" s="59"/>
      <c r="DB1532" s="59"/>
      <c r="DC1532" s="59"/>
      <c r="DD1532" s="59"/>
      <c r="DE1532" s="59"/>
      <c r="DF1532" s="59"/>
      <c r="DG1532" s="59"/>
      <c r="DH1532" s="59"/>
      <c r="DI1532" s="59"/>
      <c r="DJ1532" s="59"/>
      <c r="DK1532" s="59"/>
      <c r="DL1532" s="59"/>
      <c r="DM1532" s="59"/>
      <c r="DN1532" s="59"/>
      <c r="DO1532" s="59"/>
      <c r="DP1532" s="59"/>
      <c r="DQ1532" s="59"/>
      <c r="DR1532" s="59"/>
      <c r="DS1532" s="59"/>
      <c r="DT1532" s="59"/>
      <c r="DU1532" s="59"/>
      <c r="DV1532" s="59"/>
      <c r="DW1532" s="59"/>
      <c r="DX1532" s="59"/>
      <c r="DY1532" s="59"/>
      <c r="DZ1532" s="59"/>
      <c r="EA1532" s="59"/>
      <c r="EB1532" s="59"/>
      <c r="EC1532" s="59"/>
      <c r="ED1532" s="59"/>
      <c r="EE1532" s="59"/>
      <c r="EF1532" s="59"/>
      <c r="EG1532" s="59"/>
      <c r="EH1532" s="59"/>
      <c r="EI1532" s="59"/>
      <c r="EJ1532" s="59"/>
      <c r="EK1532" s="59"/>
      <c r="EL1532" s="59"/>
      <c r="EM1532" s="59"/>
      <c r="EN1532" s="59"/>
      <c r="EO1532" s="59"/>
      <c r="EP1532" s="59"/>
      <c r="EQ1532" s="59"/>
      <c r="ER1532" s="59"/>
      <c r="ES1532" s="59"/>
      <c r="ET1532" s="59"/>
      <c r="EU1532" s="59"/>
      <c r="EV1532" s="59"/>
      <c r="EW1532" s="59"/>
      <c r="EX1532" s="59"/>
      <c r="EY1532" s="59"/>
      <c r="EZ1532" s="59"/>
      <c r="FA1532" s="59"/>
      <c r="FB1532" s="59"/>
      <c r="FC1532" s="59"/>
      <c r="FD1532" s="59"/>
      <c r="FE1532" s="59"/>
      <c r="FF1532" s="59"/>
      <c r="FG1532" s="59"/>
      <c r="FH1532" s="59"/>
      <c r="FI1532" s="59"/>
      <c r="FJ1532" s="59"/>
      <c r="FK1532" s="59"/>
      <c r="FL1532" s="59"/>
      <c r="FM1532" s="59"/>
      <c r="FN1532" s="59"/>
      <c r="FO1532" s="59"/>
      <c r="FP1532" s="59"/>
      <c r="FQ1532" s="59"/>
      <c r="FR1532" s="59"/>
      <c r="FS1532" s="59"/>
      <c r="FT1532" s="59"/>
      <c r="FU1532" s="59"/>
      <c r="FV1532" s="59"/>
      <c r="FW1532" s="59"/>
      <c r="FX1532" s="59"/>
      <c r="FY1532" s="59"/>
      <c r="FZ1532" s="59"/>
      <c r="GA1532" s="59"/>
      <c r="GB1532" s="59"/>
      <c r="GC1532" s="59"/>
    </row>
    <row r="1533">
      <c r="A1533" s="59"/>
      <c r="B1533" s="59"/>
      <c r="C1533" s="59"/>
      <c r="D1533" s="59"/>
      <c r="E1533" s="59"/>
      <c r="F1533" s="59"/>
      <c r="G1533" s="59"/>
      <c r="H1533" s="59"/>
      <c r="I1533" s="59"/>
      <c r="J1533" s="59"/>
      <c r="K1533" s="59"/>
      <c r="L1533" s="59"/>
      <c r="M1533" s="59"/>
      <c r="N1533" s="59"/>
      <c r="O1533" s="59"/>
      <c r="P1533" s="59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59"/>
      <c r="AG1533" s="59"/>
      <c r="AH1533" s="59"/>
      <c r="AI1533" s="59"/>
      <c r="AJ1533" s="59"/>
      <c r="AK1533" s="59"/>
      <c r="AL1533" s="59"/>
      <c r="AM1533" s="59"/>
      <c r="AN1533" s="59"/>
      <c r="AO1533" s="59"/>
      <c r="AP1533" s="59"/>
      <c r="AQ1533" s="59"/>
      <c r="AR1533" s="59"/>
      <c r="AS1533" s="59"/>
      <c r="AT1533" s="59"/>
      <c r="AU1533" s="59"/>
      <c r="AV1533" s="59"/>
      <c r="AW1533" s="59"/>
      <c r="AX1533" s="59"/>
      <c r="AY1533" s="59"/>
      <c r="AZ1533" s="59"/>
      <c r="BA1533" s="59"/>
      <c r="BB1533" s="59"/>
      <c r="BC1533" s="59"/>
      <c r="BD1533" s="59"/>
      <c r="BE1533" s="59"/>
      <c r="BF1533" s="59"/>
      <c r="BG1533" s="59"/>
      <c r="BH1533" s="59"/>
      <c r="BI1533" s="59"/>
      <c r="BJ1533" s="59"/>
      <c r="BK1533" s="59"/>
      <c r="BL1533" s="59"/>
      <c r="BM1533" s="59"/>
      <c r="BN1533" s="59"/>
      <c r="BO1533" s="59"/>
      <c r="BP1533" s="59"/>
      <c r="BQ1533" s="59"/>
      <c r="BR1533" s="59"/>
      <c r="BS1533" s="59"/>
      <c r="BT1533" s="59"/>
      <c r="BU1533" s="59"/>
      <c r="BV1533" s="59"/>
      <c r="BW1533" s="59"/>
      <c r="BX1533" s="59"/>
      <c r="BY1533" s="59"/>
      <c r="BZ1533" s="59"/>
      <c r="CA1533" s="59"/>
      <c r="CB1533" s="59"/>
      <c r="CC1533" s="59"/>
      <c r="CD1533" s="59"/>
      <c r="CE1533" s="59"/>
      <c r="CF1533" s="59"/>
      <c r="CG1533" s="59"/>
      <c r="CH1533" s="59"/>
      <c r="CI1533" s="59"/>
      <c r="CJ1533" s="59"/>
      <c r="CK1533" s="59"/>
      <c r="CL1533" s="59"/>
      <c r="CM1533" s="59"/>
      <c r="CN1533" s="59"/>
      <c r="CO1533" s="59"/>
      <c r="CP1533" s="59"/>
      <c r="CQ1533" s="59"/>
      <c r="CR1533" s="59"/>
      <c r="CS1533" s="59"/>
      <c r="CT1533" s="59"/>
      <c r="CU1533" s="59"/>
      <c r="CV1533" s="59"/>
      <c r="CW1533" s="59"/>
      <c r="CX1533" s="59"/>
      <c r="CY1533" s="59"/>
      <c r="CZ1533" s="59"/>
      <c r="DA1533" s="59"/>
      <c r="DB1533" s="59"/>
      <c r="DC1533" s="59"/>
      <c r="DD1533" s="59"/>
      <c r="DE1533" s="59"/>
      <c r="DF1533" s="59"/>
      <c r="DG1533" s="59"/>
      <c r="DH1533" s="59"/>
      <c r="DI1533" s="59"/>
      <c r="DJ1533" s="59"/>
      <c r="DK1533" s="59"/>
      <c r="DL1533" s="59"/>
      <c r="DM1533" s="59"/>
      <c r="DN1533" s="59"/>
      <c r="DO1533" s="59"/>
      <c r="DP1533" s="59"/>
      <c r="DQ1533" s="59"/>
      <c r="DR1533" s="59"/>
      <c r="DS1533" s="59"/>
      <c r="DT1533" s="59"/>
      <c r="DU1533" s="59"/>
      <c r="DV1533" s="59"/>
      <c r="DW1533" s="59"/>
      <c r="DX1533" s="59"/>
      <c r="DY1533" s="59"/>
      <c r="DZ1533" s="59"/>
      <c r="EA1533" s="59"/>
      <c r="EB1533" s="59"/>
      <c r="EC1533" s="59"/>
      <c r="ED1533" s="59"/>
      <c r="EE1533" s="59"/>
      <c r="EF1533" s="59"/>
      <c r="EG1533" s="59"/>
      <c r="EH1533" s="59"/>
      <c r="EI1533" s="59"/>
      <c r="EJ1533" s="59"/>
      <c r="EK1533" s="59"/>
      <c r="EL1533" s="59"/>
      <c r="EM1533" s="59"/>
      <c r="EN1533" s="59"/>
      <c r="EO1533" s="59"/>
      <c r="EP1533" s="59"/>
      <c r="EQ1533" s="59"/>
      <c r="ER1533" s="59"/>
      <c r="ES1533" s="59"/>
      <c r="ET1533" s="59"/>
      <c r="EU1533" s="59"/>
      <c r="EV1533" s="59"/>
      <c r="EW1533" s="59"/>
      <c r="EX1533" s="59"/>
      <c r="EY1533" s="59"/>
      <c r="EZ1533" s="59"/>
      <c r="FA1533" s="59"/>
      <c r="FB1533" s="59"/>
      <c r="FC1533" s="59"/>
      <c r="FD1533" s="59"/>
      <c r="FE1533" s="59"/>
      <c r="FF1533" s="59"/>
      <c r="FG1533" s="59"/>
      <c r="FH1533" s="59"/>
      <c r="FI1533" s="59"/>
      <c r="FJ1533" s="59"/>
      <c r="FK1533" s="59"/>
      <c r="FL1533" s="59"/>
      <c r="FM1533" s="59"/>
      <c r="FN1533" s="59"/>
      <c r="FO1533" s="59"/>
      <c r="FP1533" s="59"/>
      <c r="FQ1533" s="59"/>
      <c r="FR1533" s="59"/>
      <c r="FS1533" s="59"/>
      <c r="FT1533" s="59"/>
      <c r="FU1533" s="59"/>
      <c r="FV1533" s="59"/>
      <c r="FW1533" s="59"/>
      <c r="FX1533" s="59"/>
      <c r="FY1533" s="59"/>
      <c r="FZ1533" s="59"/>
      <c r="GA1533" s="59"/>
      <c r="GB1533" s="59"/>
      <c r="GC1533" s="59"/>
    </row>
    <row r="1534">
      <c r="A1534" s="59"/>
      <c r="B1534" s="59"/>
      <c r="C1534" s="59"/>
      <c r="D1534" s="59"/>
      <c r="E1534" s="59"/>
      <c r="F1534" s="59"/>
      <c r="G1534" s="59"/>
      <c r="H1534" s="59"/>
      <c r="I1534" s="59"/>
      <c r="J1534" s="59"/>
      <c r="K1534" s="59"/>
      <c r="L1534" s="59"/>
      <c r="M1534" s="59"/>
      <c r="N1534" s="59"/>
      <c r="O1534" s="59"/>
      <c r="P1534" s="59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59"/>
      <c r="AG1534" s="59"/>
      <c r="AH1534" s="59"/>
      <c r="AI1534" s="59"/>
      <c r="AJ1534" s="59"/>
      <c r="AK1534" s="59"/>
      <c r="AL1534" s="59"/>
      <c r="AM1534" s="59"/>
      <c r="AN1534" s="59"/>
      <c r="AO1534" s="59"/>
      <c r="AP1534" s="59"/>
      <c r="AQ1534" s="59"/>
      <c r="AR1534" s="59"/>
      <c r="AS1534" s="59"/>
      <c r="AT1534" s="59"/>
      <c r="AU1534" s="59"/>
      <c r="AV1534" s="59"/>
      <c r="AW1534" s="59"/>
      <c r="AX1534" s="59"/>
      <c r="AY1534" s="59"/>
      <c r="AZ1534" s="59"/>
      <c r="BA1534" s="59"/>
      <c r="BB1534" s="59"/>
      <c r="BC1534" s="59"/>
      <c r="BD1534" s="59"/>
      <c r="BE1534" s="59"/>
      <c r="BF1534" s="59"/>
      <c r="BG1534" s="59"/>
      <c r="BH1534" s="59"/>
      <c r="BI1534" s="59"/>
      <c r="BJ1534" s="59"/>
      <c r="BK1534" s="59"/>
      <c r="BL1534" s="59"/>
      <c r="BM1534" s="59"/>
      <c r="BN1534" s="59"/>
      <c r="BO1534" s="59"/>
      <c r="BP1534" s="59"/>
      <c r="BQ1534" s="59"/>
      <c r="BR1534" s="59"/>
      <c r="BS1534" s="59"/>
      <c r="BT1534" s="59"/>
      <c r="BU1534" s="59"/>
      <c r="BV1534" s="59"/>
      <c r="BW1534" s="59"/>
      <c r="BX1534" s="59"/>
      <c r="BY1534" s="59"/>
      <c r="BZ1534" s="59"/>
      <c r="CA1534" s="59"/>
      <c r="CB1534" s="59"/>
      <c r="CC1534" s="59"/>
      <c r="CD1534" s="59"/>
      <c r="CE1534" s="59"/>
      <c r="CF1534" s="59"/>
      <c r="CG1534" s="59"/>
      <c r="CH1534" s="59"/>
      <c r="CI1534" s="59"/>
      <c r="CJ1534" s="59"/>
      <c r="CK1534" s="59"/>
      <c r="CL1534" s="59"/>
      <c r="CM1534" s="59"/>
      <c r="CN1534" s="59"/>
      <c r="CO1534" s="59"/>
      <c r="CP1534" s="59"/>
      <c r="CQ1534" s="59"/>
      <c r="CR1534" s="59"/>
      <c r="CS1534" s="59"/>
      <c r="CT1534" s="59"/>
      <c r="CU1534" s="59"/>
      <c r="CV1534" s="59"/>
      <c r="CW1534" s="59"/>
      <c r="CX1534" s="59"/>
      <c r="CY1534" s="59"/>
      <c r="CZ1534" s="59"/>
      <c r="DA1534" s="59"/>
      <c r="DB1534" s="59"/>
      <c r="DC1534" s="59"/>
      <c r="DD1534" s="59"/>
      <c r="DE1534" s="59"/>
      <c r="DF1534" s="59"/>
      <c r="DG1534" s="59"/>
      <c r="DH1534" s="59"/>
      <c r="DI1534" s="59"/>
      <c r="DJ1534" s="59"/>
      <c r="DK1534" s="59"/>
      <c r="DL1534" s="59"/>
      <c r="DM1534" s="59"/>
      <c r="DN1534" s="59"/>
      <c r="DO1534" s="59"/>
      <c r="DP1534" s="59"/>
      <c r="DQ1534" s="59"/>
      <c r="DR1534" s="59"/>
      <c r="DS1534" s="59"/>
      <c r="DT1534" s="59"/>
      <c r="DU1534" s="59"/>
      <c r="DV1534" s="59"/>
      <c r="DW1534" s="59"/>
      <c r="DX1534" s="59"/>
      <c r="DY1534" s="59"/>
      <c r="DZ1534" s="59"/>
      <c r="EA1534" s="59"/>
      <c r="EB1534" s="59"/>
      <c r="EC1534" s="59"/>
      <c r="ED1534" s="59"/>
      <c r="EE1534" s="59"/>
      <c r="EF1534" s="59"/>
      <c r="EG1534" s="59"/>
      <c r="EH1534" s="59"/>
      <c r="EI1534" s="59"/>
      <c r="EJ1534" s="59"/>
      <c r="EK1534" s="59"/>
      <c r="EL1534" s="59"/>
      <c r="EM1534" s="59"/>
      <c r="EN1534" s="59"/>
      <c r="EO1534" s="59"/>
      <c r="EP1534" s="59"/>
      <c r="EQ1534" s="59"/>
      <c r="ER1534" s="59"/>
      <c r="ES1534" s="59"/>
      <c r="ET1534" s="59"/>
      <c r="EU1534" s="59"/>
      <c r="EV1534" s="59"/>
      <c r="EW1534" s="59"/>
      <c r="EX1534" s="59"/>
      <c r="EY1534" s="59"/>
      <c r="EZ1534" s="59"/>
      <c r="FA1534" s="59"/>
      <c r="FB1534" s="59"/>
      <c r="FC1534" s="59"/>
      <c r="FD1534" s="59"/>
      <c r="FE1534" s="59"/>
      <c r="FF1534" s="59"/>
      <c r="FG1534" s="59"/>
      <c r="FH1534" s="59"/>
      <c r="FI1534" s="59"/>
      <c r="FJ1534" s="59"/>
      <c r="FK1534" s="59"/>
      <c r="FL1534" s="59"/>
      <c r="FM1534" s="59"/>
      <c r="FN1534" s="59"/>
      <c r="FO1534" s="59"/>
      <c r="FP1534" s="59"/>
      <c r="FQ1534" s="59"/>
      <c r="FR1534" s="59"/>
      <c r="FS1534" s="59"/>
      <c r="FT1534" s="59"/>
      <c r="FU1534" s="59"/>
      <c r="FV1534" s="59"/>
      <c r="FW1534" s="59"/>
      <c r="FX1534" s="59"/>
      <c r="FY1534" s="59"/>
      <c r="FZ1534" s="59"/>
      <c r="GA1534" s="59"/>
      <c r="GB1534" s="59"/>
      <c r="GC1534" s="59"/>
    </row>
    <row r="1535">
      <c r="A1535" s="59"/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  <c r="AG1535" s="59"/>
      <c r="AH1535" s="59"/>
      <c r="AI1535" s="59"/>
      <c r="AJ1535" s="59"/>
      <c r="AK1535" s="59"/>
      <c r="AL1535" s="59"/>
      <c r="AM1535" s="59"/>
      <c r="AN1535" s="59"/>
      <c r="AO1535" s="59"/>
      <c r="AP1535" s="59"/>
      <c r="AQ1535" s="59"/>
      <c r="AR1535" s="59"/>
      <c r="AS1535" s="59"/>
      <c r="AT1535" s="59"/>
      <c r="AU1535" s="59"/>
      <c r="AV1535" s="59"/>
      <c r="AW1535" s="59"/>
      <c r="AX1535" s="59"/>
      <c r="AY1535" s="59"/>
      <c r="AZ1535" s="59"/>
      <c r="BA1535" s="59"/>
      <c r="BB1535" s="59"/>
      <c r="BC1535" s="59"/>
      <c r="BD1535" s="59"/>
      <c r="BE1535" s="59"/>
      <c r="BF1535" s="59"/>
      <c r="BG1535" s="59"/>
      <c r="BH1535" s="59"/>
      <c r="BI1535" s="59"/>
      <c r="BJ1535" s="59"/>
      <c r="BK1535" s="59"/>
      <c r="BL1535" s="59"/>
      <c r="BM1535" s="59"/>
      <c r="BN1535" s="59"/>
      <c r="BO1535" s="59"/>
      <c r="BP1535" s="59"/>
      <c r="BQ1535" s="59"/>
      <c r="BR1535" s="59"/>
      <c r="BS1535" s="59"/>
      <c r="BT1535" s="59"/>
      <c r="BU1535" s="59"/>
      <c r="BV1535" s="59"/>
      <c r="BW1535" s="59"/>
      <c r="BX1535" s="59"/>
      <c r="BY1535" s="59"/>
      <c r="BZ1535" s="59"/>
      <c r="CA1535" s="59"/>
      <c r="CB1535" s="59"/>
      <c r="CC1535" s="59"/>
      <c r="CD1535" s="59"/>
      <c r="CE1535" s="59"/>
      <c r="CF1535" s="59"/>
      <c r="CG1535" s="59"/>
      <c r="CH1535" s="59"/>
      <c r="CI1535" s="59"/>
      <c r="CJ1535" s="59"/>
      <c r="CK1535" s="59"/>
      <c r="CL1535" s="59"/>
      <c r="CM1535" s="59"/>
      <c r="CN1535" s="59"/>
      <c r="CO1535" s="59"/>
      <c r="CP1535" s="59"/>
      <c r="CQ1535" s="59"/>
      <c r="CR1535" s="59"/>
      <c r="CS1535" s="59"/>
      <c r="CT1535" s="59"/>
      <c r="CU1535" s="59"/>
      <c r="CV1535" s="59"/>
      <c r="CW1535" s="59"/>
      <c r="CX1535" s="59"/>
      <c r="CY1535" s="59"/>
      <c r="CZ1535" s="59"/>
      <c r="DA1535" s="59"/>
      <c r="DB1535" s="59"/>
      <c r="DC1535" s="59"/>
      <c r="DD1535" s="59"/>
      <c r="DE1535" s="59"/>
      <c r="DF1535" s="59"/>
      <c r="DG1535" s="59"/>
      <c r="DH1535" s="59"/>
      <c r="DI1535" s="59"/>
      <c r="DJ1535" s="59"/>
      <c r="DK1535" s="59"/>
      <c r="DL1535" s="59"/>
      <c r="DM1535" s="59"/>
      <c r="DN1535" s="59"/>
      <c r="DO1535" s="59"/>
      <c r="DP1535" s="59"/>
      <c r="DQ1535" s="59"/>
      <c r="DR1535" s="59"/>
      <c r="DS1535" s="59"/>
      <c r="DT1535" s="59"/>
      <c r="DU1535" s="59"/>
      <c r="DV1535" s="59"/>
      <c r="DW1535" s="59"/>
      <c r="DX1535" s="59"/>
      <c r="DY1535" s="59"/>
      <c r="DZ1535" s="59"/>
      <c r="EA1535" s="59"/>
      <c r="EB1535" s="59"/>
      <c r="EC1535" s="59"/>
      <c r="ED1535" s="59"/>
      <c r="EE1535" s="59"/>
      <c r="EF1535" s="59"/>
      <c r="EG1535" s="59"/>
      <c r="EH1535" s="59"/>
      <c r="EI1535" s="59"/>
      <c r="EJ1535" s="59"/>
      <c r="EK1535" s="59"/>
      <c r="EL1535" s="59"/>
      <c r="EM1535" s="59"/>
      <c r="EN1535" s="59"/>
      <c r="EO1535" s="59"/>
      <c r="EP1535" s="59"/>
      <c r="EQ1535" s="59"/>
      <c r="ER1535" s="59"/>
      <c r="ES1535" s="59"/>
      <c r="ET1535" s="59"/>
      <c r="EU1535" s="59"/>
      <c r="EV1535" s="59"/>
      <c r="EW1535" s="59"/>
      <c r="EX1535" s="59"/>
      <c r="EY1535" s="59"/>
      <c r="EZ1535" s="59"/>
      <c r="FA1535" s="59"/>
      <c r="FB1535" s="59"/>
      <c r="FC1535" s="59"/>
      <c r="FD1535" s="59"/>
      <c r="FE1535" s="59"/>
      <c r="FF1535" s="59"/>
      <c r="FG1535" s="59"/>
      <c r="FH1535" s="59"/>
      <c r="FI1535" s="59"/>
      <c r="FJ1535" s="59"/>
      <c r="FK1535" s="59"/>
      <c r="FL1535" s="59"/>
      <c r="FM1535" s="59"/>
      <c r="FN1535" s="59"/>
      <c r="FO1535" s="59"/>
      <c r="FP1535" s="59"/>
      <c r="FQ1535" s="59"/>
      <c r="FR1535" s="59"/>
      <c r="FS1535" s="59"/>
      <c r="FT1535" s="59"/>
      <c r="FU1535" s="59"/>
      <c r="FV1535" s="59"/>
      <c r="FW1535" s="59"/>
      <c r="FX1535" s="59"/>
      <c r="FY1535" s="59"/>
      <c r="FZ1535" s="59"/>
      <c r="GA1535" s="59"/>
      <c r="GB1535" s="59"/>
      <c r="GC1535" s="59"/>
    </row>
    <row r="1536">
      <c r="A1536" s="59"/>
      <c r="B1536" s="59"/>
      <c r="C1536" s="59"/>
      <c r="D1536" s="59"/>
      <c r="E1536" s="59"/>
      <c r="F1536" s="59"/>
      <c r="G1536" s="59"/>
      <c r="H1536" s="59"/>
      <c r="I1536" s="59"/>
      <c r="J1536" s="59"/>
      <c r="K1536" s="59"/>
      <c r="L1536" s="59"/>
      <c r="M1536" s="59"/>
      <c r="N1536" s="59"/>
      <c r="O1536" s="59"/>
      <c r="P1536" s="59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59"/>
      <c r="AG1536" s="59"/>
      <c r="AH1536" s="59"/>
      <c r="AI1536" s="59"/>
      <c r="AJ1536" s="59"/>
      <c r="AK1536" s="59"/>
      <c r="AL1536" s="59"/>
      <c r="AM1536" s="59"/>
      <c r="AN1536" s="59"/>
      <c r="AO1536" s="59"/>
      <c r="AP1536" s="59"/>
      <c r="AQ1536" s="59"/>
      <c r="AR1536" s="59"/>
      <c r="AS1536" s="59"/>
      <c r="AT1536" s="59"/>
      <c r="AU1536" s="59"/>
      <c r="AV1536" s="59"/>
      <c r="AW1536" s="59"/>
      <c r="AX1536" s="59"/>
      <c r="AY1536" s="59"/>
      <c r="AZ1536" s="59"/>
      <c r="BA1536" s="59"/>
      <c r="BB1536" s="59"/>
      <c r="BC1536" s="59"/>
      <c r="BD1536" s="59"/>
      <c r="BE1536" s="59"/>
      <c r="BF1536" s="59"/>
      <c r="BG1536" s="59"/>
      <c r="BH1536" s="59"/>
      <c r="BI1536" s="59"/>
      <c r="BJ1536" s="59"/>
      <c r="BK1536" s="59"/>
      <c r="BL1536" s="59"/>
      <c r="BM1536" s="59"/>
      <c r="BN1536" s="59"/>
      <c r="BO1536" s="59"/>
      <c r="BP1536" s="59"/>
      <c r="BQ1536" s="59"/>
      <c r="BR1536" s="59"/>
      <c r="BS1536" s="59"/>
      <c r="BT1536" s="59"/>
      <c r="BU1536" s="59"/>
      <c r="BV1536" s="59"/>
      <c r="BW1536" s="59"/>
      <c r="BX1536" s="59"/>
      <c r="BY1536" s="59"/>
      <c r="BZ1536" s="59"/>
      <c r="CA1536" s="59"/>
      <c r="CB1536" s="59"/>
      <c r="CC1536" s="59"/>
      <c r="CD1536" s="59"/>
      <c r="CE1536" s="59"/>
      <c r="CF1536" s="59"/>
      <c r="CG1536" s="59"/>
      <c r="CH1536" s="59"/>
      <c r="CI1536" s="59"/>
      <c r="CJ1536" s="59"/>
      <c r="CK1536" s="59"/>
      <c r="CL1536" s="59"/>
      <c r="CM1536" s="59"/>
      <c r="CN1536" s="59"/>
      <c r="CO1536" s="59"/>
      <c r="CP1536" s="59"/>
      <c r="CQ1536" s="59"/>
      <c r="CR1536" s="59"/>
      <c r="CS1536" s="59"/>
      <c r="CT1536" s="59"/>
      <c r="CU1536" s="59"/>
      <c r="CV1536" s="59"/>
      <c r="CW1536" s="59"/>
      <c r="CX1536" s="59"/>
      <c r="CY1536" s="59"/>
      <c r="CZ1536" s="59"/>
      <c r="DA1536" s="59"/>
      <c r="DB1536" s="59"/>
      <c r="DC1536" s="59"/>
      <c r="DD1536" s="59"/>
      <c r="DE1536" s="59"/>
      <c r="DF1536" s="59"/>
      <c r="DG1536" s="59"/>
      <c r="DH1536" s="59"/>
      <c r="DI1536" s="59"/>
      <c r="DJ1536" s="59"/>
      <c r="DK1536" s="59"/>
      <c r="DL1536" s="59"/>
      <c r="DM1536" s="59"/>
      <c r="DN1536" s="59"/>
      <c r="DO1536" s="59"/>
      <c r="DP1536" s="59"/>
      <c r="DQ1536" s="59"/>
      <c r="DR1536" s="59"/>
      <c r="DS1536" s="59"/>
      <c r="DT1536" s="59"/>
      <c r="DU1536" s="59"/>
      <c r="DV1536" s="59"/>
      <c r="DW1536" s="59"/>
      <c r="DX1536" s="59"/>
      <c r="DY1536" s="59"/>
      <c r="DZ1536" s="59"/>
      <c r="EA1536" s="59"/>
      <c r="EB1536" s="59"/>
      <c r="EC1536" s="59"/>
      <c r="ED1536" s="59"/>
      <c r="EE1536" s="59"/>
      <c r="EF1536" s="59"/>
      <c r="EG1536" s="59"/>
      <c r="EH1536" s="59"/>
      <c r="EI1536" s="59"/>
      <c r="EJ1536" s="59"/>
      <c r="EK1536" s="59"/>
      <c r="EL1536" s="59"/>
      <c r="EM1536" s="59"/>
      <c r="EN1536" s="59"/>
      <c r="EO1536" s="59"/>
      <c r="EP1536" s="59"/>
      <c r="EQ1536" s="59"/>
      <c r="ER1536" s="59"/>
      <c r="ES1536" s="59"/>
      <c r="ET1536" s="59"/>
      <c r="EU1536" s="59"/>
      <c r="EV1536" s="59"/>
      <c r="EW1536" s="59"/>
      <c r="EX1536" s="59"/>
      <c r="EY1536" s="59"/>
      <c r="EZ1536" s="59"/>
      <c r="FA1536" s="59"/>
      <c r="FB1536" s="59"/>
      <c r="FC1536" s="59"/>
      <c r="FD1536" s="59"/>
      <c r="FE1536" s="59"/>
      <c r="FF1536" s="59"/>
      <c r="FG1536" s="59"/>
      <c r="FH1536" s="59"/>
      <c r="FI1536" s="59"/>
      <c r="FJ1536" s="59"/>
      <c r="FK1536" s="59"/>
      <c r="FL1536" s="59"/>
      <c r="FM1536" s="59"/>
      <c r="FN1536" s="59"/>
      <c r="FO1536" s="59"/>
      <c r="FP1536" s="59"/>
      <c r="FQ1536" s="59"/>
      <c r="FR1536" s="59"/>
      <c r="FS1536" s="59"/>
      <c r="FT1536" s="59"/>
      <c r="FU1536" s="59"/>
      <c r="FV1536" s="59"/>
      <c r="FW1536" s="59"/>
      <c r="FX1536" s="59"/>
      <c r="FY1536" s="59"/>
      <c r="FZ1536" s="59"/>
      <c r="GA1536" s="59"/>
      <c r="GB1536" s="59"/>
      <c r="GC1536" s="59"/>
    </row>
    <row r="1537">
      <c r="A1537" s="59"/>
      <c r="B1537" s="59"/>
      <c r="C1537" s="59"/>
      <c r="D1537" s="59"/>
      <c r="E1537" s="59"/>
      <c r="F1537" s="59"/>
      <c r="G1537" s="59"/>
      <c r="H1537" s="59"/>
      <c r="I1537" s="59"/>
      <c r="J1537" s="59"/>
      <c r="K1537" s="59"/>
      <c r="L1537" s="59"/>
      <c r="M1537" s="59"/>
      <c r="N1537" s="59"/>
      <c r="O1537" s="59"/>
      <c r="P1537" s="59"/>
      <c r="Q1537" s="59"/>
      <c r="R1537" s="59"/>
      <c r="S1537" s="59"/>
      <c r="T1537" s="59"/>
      <c r="U1537" s="59"/>
      <c r="V1537" s="59"/>
      <c r="W1537" s="59"/>
      <c r="X1537" s="59"/>
      <c r="Y1537" s="59"/>
      <c r="Z1537" s="59"/>
      <c r="AA1537" s="59"/>
      <c r="AB1537" s="59"/>
      <c r="AC1537" s="59"/>
      <c r="AD1537" s="59"/>
      <c r="AE1537" s="59"/>
      <c r="AF1537" s="59"/>
      <c r="AG1537" s="59"/>
      <c r="AH1537" s="59"/>
      <c r="AI1537" s="59"/>
      <c r="AJ1537" s="59"/>
      <c r="AK1537" s="59"/>
      <c r="AL1537" s="59"/>
      <c r="AM1537" s="59"/>
      <c r="AN1537" s="59"/>
      <c r="AO1537" s="59"/>
      <c r="AP1537" s="59"/>
      <c r="AQ1537" s="59"/>
      <c r="AR1537" s="59"/>
      <c r="AS1537" s="59"/>
      <c r="AT1537" s="59"/>
      <c r="AU1537" s="59"/>
      <c r="AV1537" s="59"/>
      <c r="AW1537" s="59"/>
      <c r="AX1537" s="59"/>
      <c r="AY1537" s="59"/>
      <c r="AZ1537" s="59"/>
      <c r="BA1537" s="59"/>
      <c r="BB1537" s="59"/>
      <c r="BC1537" s="59"/>
      <c r="BD1537" s="59"/>
      <c r="BE1537" s="59"/>
      <c r="BF1537" s="59"/>
      <c r="BG1537" s="59"/>
      <c r="BH1537" s="59"/>
      <c r="BI1537" s="59"/>
      <c r="BJ1537" s="59"/>
      <c r="BK1537" s="59"/>
      <c r="BL1537" s="59"/>
      <c r="BM1537" s="59"/>
      <c r="BN1537" s="59"/>
      <c r="BO1537" s="59"/>
      <c r="BP1537" s="59"/>
      <c r="BQ1537" s="59"/>
      <c r="BR1537" s="59"/>
      <c r="BS1537" s="59"/>
      <c r="BT1537" s="59"/>
      <c r="BU1537" s="59"/>
      <c r="BV1537" s="59"/>
      <c r="BW1537" s="59"/>
      <c r="BX1537" s="59"/>
      <c r="BY1537" s="59"/>
      <c r="BZ1537" s="59"/>
      <c r="CA1537" s="59"/>
      <c r="CB1537" s="59"/>
      <c r="CC1537" s="59"/>
      <c r="CD1537" s="59"/>
      <c r="CE1537" s="59"/>
      <c r="CF1537" s="59"/>
      <c r="CG1537" s="59"/>
      <c r="CH1537" s="59"/>
      <c r="CI1537" s="59"/>
      <c r="CJ1537" s="59"/>
      <c r="CK1537" s="59"/>
      <c r="CL1537" s="59"/>
      <c r="CM1537" s="59"/>
      <c r="CN1537" s="59"/>
      <c r="CO1537" s="59"/>
      <c r="CP1537" s="59"/>
      <c r="CQ1537" s="59"/>
      <c r="CR1537" s="59"/>
      <c r="CS1537" s="59"/>
      <c r="CT1537" s="59"/>
      <c r="CU1537" s="59"/>
      <c r="CV1537" s="59"/>
      <c r="CW1537" s="59"/>
      <c r="CX1537" s="59"/>
      <c r="CY1537" s="59"/>
      <c r="CZ1537" s="59"/>
      <c r="DA1537" s="59"/>
      <c r="DB1537" s="59"/>
      <c r="DC1537" s="59"/>
      <c r="DD1537" s="59"/>
      <c r="DE1537" s="59"/>
      <c r="DF1537" s="59"/>
      <c r="DG1537" s="59"/>
      <c r="DH1537" s="59"/>
      <c r="DI1537" s="59"/>
      <c r="DJ1537" s="59"/>
      <c r="DK1537" s="59"/>
      <c r="DL1537" s="59"/>
      <c r="DM1537" s="59"/>
      <c r="DN1537" s="59"/>
      <c r="DO1537" s="59"/>
      <c r="DP1537" s="59"/>
      <c r="DQ1537" s="59"/>
      <c r="DR1537" s="59"/>
      <c r="DS1537" s="59"/>
      <c r="DT1537" s="59"/>
      <c r="DU1537" s="59"/>
      <c r="DV1537" s="59"/>
      <c r="DW1537" s="59"/>
      <c r="DX1537" s="59"/>
      <c r="DY1537" s="59"/>
      <c r="DZ1537" s="59"/>
      <c r="EA1537" s="59"/>
      <c r="EB1537" s="59"/>
      <c r="EC1537" s="59"/>
      <c r="ED1537" s="59"/>
      <c r="EE1537" s="59"/>
      <c r="EF1537" s="59"/>
      <c r="EG1537" s="59"/>
      <c r="EH1537" s="59"/>
      <c r="EI1537" s="59"/>
      <c r="EJ1537" s="59"/>
      <c r="EK1537" s="59"/>
      <c r="EL1537" s="59"/>
      <c r="EM1537" s="59"/>
      <c r="EN1537" s="59"/>
      <c r="EO1537" s="59"/>
      <c r="EP1537" s="59"/>
      <c r="EQ1537" s="59"/>
      <c r="ER1537" s="59"/>
      <c r="ES1537" s="59"/>
      <c r="ET1537" s="59"/>
      <c r="EU1537" s="59"/>
      <c r="EV1537" s="59"/>
      <c r="EW1537" s="59"/>
      <c r="EX1537" s="59"/>
      <c r="EY1537" s="59"/>
      <c r="EZ1537" s="59"/>
      <c r="FA1537" s="59"/>
      <c r="FB1537" s="59"/>
      <c r="FC1537" s="59"/>
      <c r="FD1537" s="59"/>
      <c r="FE1537" s="59"/>
      <c r="FF1537" s="59"/>
      <c r="FG1537" s="59"/>
      <c r="FH1537" s="59"/>
      <c r="FI1537" s="59"/>
      <c r="FJ1537" s="59"/>
      <c r="FK1537" s="59"/>
      <c r="FL1537" s="59"/>
      <c r="FM1537" s="59"/>
      <c r="FN1537" s="59"/>
      <c r="FO1537" s="59"/>
      <c r="FP1537" s="59"/>
      <c r="FQ1537" s="59"/>
      <c r="FR1537" s="59"/>
      <c r="FS1537" s="59"/>
      <c r="FT1537" s="59"/>
      <c r="FU1537" s="59"/>
      <c r="FV1537" s="59"/>
      <c r="FW1537" s="59"/>
      <c r="FX1537" s="59"/>
      <c r="FY1537" s="59"/>
      <c r="FZ1537" s="59"/>
      <c r="GA1537" s="59"/>
      <c r="GB1537" s="59"/>
      <c r="GC1537" s="59"/>
    </row>
    <row r="1538">
      <c r="A1538" s="59"/>
      <c r="B1538" s="59"/>
      <c r="C1538" s="59"/>
      <c r="D1538" s="59"/>
      <c r="E1538" s="59"/>
      <c r="F1538" s="59"/>
      <c r="G1538" s="59"/>
      <c r="H1538" s="59"/>
      <c r="I1538" s="59"/>
      <c r="J1538" s="59"/>
      <c r="K1538" s="59"/>
      <c r="L1538" s="59"/>
      <c r="M1538" s="59"/>
      <c r="N1538" s="59"/>
      <c r="O1538" s="59"/>
      <c r="P1538" s="59"/>
      <c r="Q1538" s="59"/>
      <c r="R1538" s="59"/>
      <c r="S1538" s="59"/>
      <c r="T1538" s="59"/>
      <c r="U1538" s="59"/>
      <c r="V1538" s="59"/>
      <c r="W1538" s="59"/>
      <c r="X1538" s="59"/>
      <c r="Y1538" s="59"/>
      <c r="Z1538" s="59"/>
      <c r="AA1538" s="59"/>
      <c r="AB1538" s="59"/>
      <c r="AC1538" s="59"/>
      <c r="AD1538" s="59"/>
      <c r="AE1538" s="59"/>
      <c r="AF1538" s="59"/>
      <c r="AG1538" s="59"/>
      <c r="AH1538" s="59"/>
      <c r="AI1538" s="59"/>
      <c r="AJ1538" s="59"/>
      <c r="AK1538" s="59"/>
      <c r="AL1538" s="59"/>
      <c r="AM1538" s="59"/>
      <c r="AN1538" s="59"/>
      <c r="AO1538" s="59"/>
      <c r="AP1538" s="59"/>
      <c r="AQ1538" s="59"/>
      <c r="AR1538" s="59"/>
      <c r="AS1538" s="59"/>
      <c r="AT1538" s="59"/>
      <c r="AU1538" s="59"/>
      <c r="AV1538" s="59"/>
      <c r="AW1538" s="59"/>
      <c r="AX1538" s="59"/>
      <c r="AY1538" s="59"/>
      <c r="AZ1538" s="59"/>
      <c r="BA1538" s="59"/>
      <c r="BB1538" s="59"/>
      <c r="BC1538" s="59"/>
      <c r="BD1538" s="59"/>
      <c r="BE1538" s="59"/>
      <c r="BF1538" s="59"/>
      <c r="BG1538" s="59"/>
      <c r="BH1538" s="59"/>
      <c r="BI1538" s="59"/>
      <c r="BJ1538" s="59"/>
      <c r="BK1538" s="59"/>
      <c r="BL1538" s="59"/>
      <c r="BM1538" s="59"/>
      <c r="BN1538" s="59"/>
      <c r="BO1538" s="59"/>
      <c r="BP1538" s="59"/>
      <c r="BQ1538" s="59"/>
      <c r="BR1538" s="59"/>
      <c r="BS1538" s="59"/>
      <c r="BT1538" s="59"/>
      <c r="BU1538" s="59"/>
      <c r="BV1538" s="59"/>
      <c r="BW1538" s="59"/>
      <c r="BX1538" s="59"/>
      <c r="BY1538" s="59"/>
      <c r="BZ1538" s="59"/>
      <c r="CA1538" s="59"/>
      <c r="CB1538" s="59"/>
      <c r="CC1538" s="59"/>
      <c r="CD1538" s="59"/>
      <c r="CE1538" s="59"/>
      <c r="CF1538" s="59"/>
      <c r="CG1538" s="59"/>
      <c r="CH1538" s="59"/>
      <c r="CI1538" s="59"/>
      <c r="CJ1538" s="59"/>
      <c r="CK1538" s="59"/>
      <c r="CL1538" s="59"/>
      <c r="CM1538" s="59"/>
      <c r="CN1538" s="59"/>
      <c r="CO1538" s="59"/>
      <c r="CP1538" s="59"/>
      <c r="CQ1538" s="59"/>
      <c r="CR1538" s="59"/>
      <c r="CS1538" s="59"/>
      <c r="CT1538" s="59"/>
      <c r="CU1538" s="59"/>
      <c r="CV1538" s="59"/>
      <c r="CW1538" s="59"/>
      <c r="CX1538" s="59"/>
      <c r="CY1538" s="59"/>
      <c r="CZ1538" s="59"/>
      <c r="DA1538" s="59"/>
      <c r="DB1538" s="59"/>
      <c r="DC1538" s="59"/>
      <c r="DD1538" s="59"/>
      <c r="DE1538" s="59"/>
      <c r="DF1538" s="59"/>
      <c r="DG1538" s="59"/>
      <c r="DH1538" s="59"/>
      <c r="DI1538" s="59"/>
      <c r="DJ1538" s="59"/>
      <c r="DK1538" s="59"/>
      <c r="DL1538" s="59"/>
      <c r="DM1538" s="59"/>
      <c r="DN1538" s="59"/>
      <c r="DO1538" s="59"/>
      <c r="DP1538" s="59"/>
      <c r="DQ1538" s="59"/>
      <c r="DR1538" s="59"/>
      <c r="DS1538" s="59"/>
      <c r="DT1538" s="59"/>
      <c r="DU1538" s="59"/>
      <c r="DV1538" s="59"/>
      <c r="DW1538" s="59"/>
      <c r="DX1538" s="59"/>
      <c r="DY1538" s="59"/>
      <c r="DZ1538" s="59"/>
      <c r="EA1538" s="59"/>
      <c r="EB1538" s="59"/>
      <c r="EC1538" s="59"/>
      <c r="ED1538" s="59"/>
      <c r="EE1538" s="59"/>
      <c r="EF1538" s="59"/>
      <c r="EG1538" s="59"/>
      <c r="EH1538" s="59"/>
      <c r="EI1538" s="59"/>
      <c r="EJ1538" s="59"/>
      <c r="EK1538" s="59"/>
      <c r="EL1538" s="59"/>
      <c r="EM1538" s="59"/>
      <c r="EN1538" s="59"/>
      <c r="EO1538" s="59"/>
      <c r="EP1538" s="59"/>
      <c r="EQ1538" s="59"/>
      <c r="ER1538" s="59"/>
      <c r="ES1538" s="59"/>
      <c r="ET1538" s="59"/>
      <c r="EU1538" s="59"/>
      <c r="EV1538" s="59"/>
      <c r="EW1538" s="59"/>
      <c r="EX1538" s="59"/>
      <c r="EY1538" s="59"/>
      <c r="EZ1538" s="59"/>
      <c r="FA1538" s="59"/>
      <c r="FB1538" s="59"/>
      <c r="FC1538" s="59"/>
      <c r="FD1538" s="59"/>
      <c r="FE1538" s="59"/>
      <c r="FF1538" s="59"/>
      <c r="FG1538" s="59"/>
      <c r="FH1538" s="59"/>
      <c r="FI1538" s="59"/>
      <c r="FJ1538" s="59"/>
      <c r="FK1538" s="59"/>
      <c r="FL1538" s="59"/>
      <c r="FM1538" s="59"/>
      <c r="FN1538" s="59"/>
      <c r="FO1538" s="59"/>
      <c r="FP1538" s="59"/>
      <c r="FQ1538" s="59"/>
      <c r="FR1538" s="59"/>
      <c r="FS1538" s="59"/>
      <c r="FT1538" s="59"/>
      <c r="FU1538" s="59"/>
      <c r="FV1538" s="59"/>
      <c r="FW1538" s="59"/>
      <c r="FX1538" s="59"/>
      <c r="FY1538" s="59"/>
      <c r="FZ1538" s="59"/>
      <c r="GA1538" s="59"/>
      <c r="GB1538" s="59"/>
      <c r="GC1538" s="59"/>
    </row>
    <row r="1539">
      <c r="A1539" s="59"/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  <c r="U1539" s="59"/>
      <c r="V1539" s="59"/>
      <c r="W1539" s="59"/>
      <c r="X1539" s="59"/>
      <c r="Y1539" s="59"/>
      <c r="Z1539" s="59"/>
      <c r="AA1539" s="59"/>
      <c r="AB1539" s="59"/>
      <c r="AC1539" s="59"/>
      <c r="AD1539" s="59"/>
      <c r="AE1539" s="59"/>
      <c r="AF1539" s="59"/>
      <c r="AG1539" s="59"/>
      <c r="AH1539" s="59"/>
      <c r="AI1539" s="59"/>
      <c r="AJ1539" s="59"/>
      <c r="AK1539" s="59"/>
      <c r="AL1539" s="59"/>
      <c r="AM1539" s="59"/>
      <c r="AN1539" s="59"/>
      <c r="AO1539" s="59"/>
      <c r="AP1539" s="59"/>
      <c r="AQ1539" s="59"/>
      <c r="AR1539" s="59"/>
      <c r="AS1539" s="59"/>
      <c r="AT1539" s="59"/>
      <c r="AU1539" s="59"/>
      <c r="AV1539" s="59"/>
      <c r="AW1539" s="59"/>
      <c r="AX1539" s="59"/>
      <c r="AY1539" s="59"/>
      <c r="AZ1539" s="59"/>
      <c r="BA1539" s="59"/>
      <c r="BB1539" s="59"/>
      <c r="BC1539" s="59"/>
      <c r="BD1539" s="59"/>
      <c r="BE1539" s="59"/>
      <c r="BF1539" s="59"/>
      <c r="BG1539" s="59"/>
      <c r="BH1539" s="59"/>
      <c r="BI1539" s="59"/>
      <c r="BJ1539" s="59"/>
      <c r="BK1539" s="59"/>
      <c r="BL1539" s="59"/>
      <c r="BM1539" s="59"/>
      <c r="BN1539" s="59"/>
      <c r="BO1539" s="59"/>
      <c r="BP1539" s="59"/>
      <c r="BQ1539" s="59"/>
      <c r="BR1539" s="59"/>
      <c r="BS1539" s="59"/>
      <c r="BT1539" s="59"/>
      <c r="BU1539" s="59"/>
      <c r="BV1539" s="59"/>
      <c r="BW1539" s="59"/>
      <c r="BX1539" s="59"/>
      <c r="BY1539" s="59"/>
      <c r="BZ1539" s="59"/>
      <c r="CA1539" s="59"/>
      <c r="CB1539" s="59"/>
      <c r="CC1539" s="59"/>
      <c r="CD1539" s="59"/>
      <c r="CE1539" s="59"/>
      <c r="CF1539" s="59"/>
      <c r="CG1539" s="59"/>
      <c r="CH1539" s="59"/>
      <c r="CI1539" s="59"/>
      <c r="CJ1539" s="59"/>
      <c r="CK1539" s="59"/>
      <c r="CL1539" s="59"/>
      <c r="CM1539" s="59"/>
      <c r="CN1539" s="59"/>
      <c r="CO1539" s="59"/>
      <c r="CP1539" s="59"/>
      <c r="CQ1539" s="59"/>
      <c r="CR1539" s="59"/>
      <c r="CS1539" s="59"/>
      <c r="CT1539" s="59"/>
      <c r="CU1539" s="59"/>
      <c r="CV1539" s="59"/>
      <c r="CW1539" s="59"/>
      <c r="CX1539" s="59"/>
      <c r="CY1539" s="59"/>
      <c r="CZ1539" s="59"/>
      <c r="DA1539" s="59"/>
      <c r="DB1539" s="59"/>
      <c r="DC1539" s="59"/>
      <c r="DD1539" s="59"/>
      <c r="DE1539" s="59"/>
      <c r="DF1539" s="59"/>
      <c r="DG1539" s="59"/>
      <c r="DH1539" s="59"/>
      <c r="DI1539" s="59"/>
      <c r="DJ1539" s="59"/>
      <c r="DK1539" s="59"/>
      <c r="DL1539" s="59"/>
      <c r="DM1539" s="59"/>
      <c r="DN1539" s="59"/>
      <c r="DO1539" s="59"/>
      <c r="DP1539" s="59"/>
      <c r="DQ1539" s="59"/>
      <c r="DR1539" s="59"/>
      <c r="DS1539" s="59"/>
      <c r="DT1539" s="59"/>
      <c r="DU1539" s="59"/>
      <c r="DV1539" s="59"/>
      <c r="DW1539" s="59"/>
      <c r="DX1539" s="59"/>
      <c r="DY1539" s="59"/>
      <c r="DZ1539" s="59"/>
      <c r="EA1539" s="59"/>
      <c r="EB1539" s="59"/>
      <c r="EC1539" s="59"/>
      <c r="ED1539" s="59"/>
      <c r="EE1539" s="59"/>
      <c r="EF1539" s="59"/>
      <c r="EG1539" s="59"/>
      <c r="EH1539" s="59"/>
      <c r="EI1539" s="59"/>
      <c r="EJ1539" s="59"/>
      <c r="EK1539" s="59"/>
      <c r="EL1539" s="59"/>
      <c r="EM1539" s="59"/>
      <c r="EN1539" s="59"/>
      <c r="EO1539" s="59"/>
      <c r="EP1539" s="59"/>
      <c r="EQ1539" s="59"/>
      <c r="ER1539" s="59"/>
      <c r="ES1539" s="59"/>
      <c r="ET1539" s="59"/>
      <c r="EU1539" s="59"/>
      <c r="EV1539" s="59"/>
      <c r="EW1539" s="59"/>
      <c r="EX1539" s="59"/>
      <c r="EY1539" s="59"/>
      <c r="EZ1539" s="59"/>
      <c r="FA1539" s="59"/>
      <c r="FB1539" s="59"/>
      <c r="FC1539" s="59"/>
      <c r="FD1539" s="59"/>
      <c r="FE1539" s="59"/>
      <c r="FF1539" s="59"/>
      <c r="FG1539" s="59"/>
      <c r="FH1539" s="59"/>
      <c r="FI1539" s="59"/>
      <c r="FJ1539" s="59"/>
      <c r="FK1539" s="59"/>
      <c r="FL1539" s="59"/>
      <c r="FM1539" s="59"/>
      <c r="FN1539" s="59"/>
      <c r="FO1539" s="59"/>
      <c r="FP1539" s="59"/>
      <c r="FQ1539" s="59"/>
      <c r="FR1539" s="59"/>
      <c r="FS1539" s="59"/>
      <c r="FT1539" s="59"/>
      <c r="FU1539" s="59"/>
      <c r="FV1539" s="59"/>
      <c r="FW1539" s="59"/>
      <c r="FX1539" s="59"/>
      <c r="FY1539" s="59"/>
      <c r="FZ1539" s="59"/>
      <c r="GA1539" s="59"/>
      <c r="GB1539" s="59"/>
      <c r="GC1539" s="59"/>
    </row>
    <row r="1540">
      <c r="A1540" s="59"/>
      <c r="B1540" s="59"/>
      <c r="C1540" s="59"/>
      <c r="D1540" s="59"/>
      <c r="E1540" s="59"/>
      <c r="F1540" s="59"/>
      <c r="G1540" s="59"/>
      <c r="H1540" s="59"/>
      <c r="I1540" s="59"/>
      <c r="J1540" s="59"/>
      <c r="K1540" s="59"/>
      <c r="L1540" s="59"/>
      <c r="M1540" s="59"/>
      <c r="N1540" s="59"/>
      <c r="O1540" s="59"/>
      <c r="P1540" s="59"/>
      <c r="Q1540" s="59"/>
      <c r="R1540" s="59"/>
      <c r="S1540" s="59"/>
      <c r="T1540" s="59"/>
      <c r="U1540" s="59"/>
      <c r="V1540" s="59"/>
      <c r="W1540" s="59"/>
      <c r="X1540" s="59"/>
      <c r="Y1540" s="59"/>
      <c r="Z1540" s="59"/>
      <c r="AA1540" s="59"/>
      <c r="AB1540" s="59"/>
      <c r="AC1540" s="59"/>
      <c r="AD1540" s="59"/>
      <c r="AE1540" s="59"/>
      <c r="AF1540" s="59"/>
      <c r="AG1540" s="59"/>
      <c r="AH1540" s="59"/>
      <c r="AI1540" s="59"/>
      <c r="AJ1540" s="59"/>
      <c r="AK1540" s="59"/>
      <c r="AL1540" s="59"/>
      <c r="AM1540" s="59"/>
      <c r="AN1540" s="59"/>
      <c r="AO1540" s="59"/>
      <c r="AP1540" s="59"/>
      <c r="AQ1540" s="59"/>
      <c r="AR1540" s="59"/>
      <c r="AS1540" s="59"/>
      <c r="AT1540" s="59"/>
      <c r="AU1540" s="59"/>
      <c r="AV1540" s="59"/>
      <c r="AW1540" s="59"/>
      <c r="AX1540" s="59"/>
      <c r="AY1540" s="59"/>
      <c r="AZ1540" s="59"/>
      <c r="BA1540" s="59"/>
      <c r="BB1540" s="59"/>
      <c r="BC1540" s="59"/>
      <c r="BD1540" s="59"/>
      <c r="BE1540" s="59"/>
      <c r="BF1540" s="59"/>
      <c r="BG1540" s="59"/>
      <c r="BH1540" s="59"/>
      <c r="BI1540" s="59"/>
      <c r="BJ1540" s="59"/>
      <c r="BK1540" s="59"/>
      <c r="BL1540" s="59"/>
      <c r="BM1540" s="59"/>
      <c r="BN1540" s="59"/>
      <c r="BO1540" s="59"/>
      <c r="BP1540" s="59"/>
      <c r="BQ1540" s="59"/>
      <c r="BR1540" s="59"/>
      <c r="BS1540" s="59"/>
      <c r="BT1540" s="59"/>
      <c r="BU1540" s="59"/>
      <c r="BV1540" s="59"/>
      <c r="BW1540" s="59"/>
      <c r="BX1540" s="59"/>
      <c r="BY1540" s="59"/>
      <c r="BZ1540" s="59"/>
      <c r="CA1540" s="59"/>
      <c r="CB1540" s="59"/>
      <c r="CC1540" s="59"/>
      <c r="CD1540" s="59"/>
      <c r="CE1540" s="59"/>
      <c r="CF1540" s="59"/>
      <c r="CG1540" s="59"/>
      <c r="CH1540" s="59"/>
      <c r="CI1540" s="59"/>
      <c r="CJ1540" s="59"/>
      <c r="CK1540" s="59"/>
      <c r="CL1540" s="59"/>
      <c r="CM1540" s="59"/>
      <c r="CN1540" s="59"/>
      <c r="CO1540" s="59"/>
      <c r="CP1540" s="59"/>
      <c r="CQ1540" s="59"/>
      <c r="CR1540" s="59"/>
      <c r="CS1540" s="59"/>
      <c r="CT1540" s="59"/>
      <c r="CU1540" s="59"/>
      <c r="CV1540" s="59"/>
      <c r="CW1540" s="59"/>
      <c r="CX1540" s="59"/>
      <c r="CY1540" s="59"/>
      <c r="CZ1540" s="59"/>
      <c r="DA1540" s="59"/>
      <c r="DB1540" s="59"/>
      <c r="DC1540" s="59"/>
      <c r="DD1540" s="59"/>
      <c r="DE1540" s="59"/>
      <c r="DF1540" s="59"/>
      <c r="DG1540" s="59"/>
      <c r="DH1540" s="59"/>
      <c r="DI1540" s="59"/>
      <c r="DJ1540" s="59"/>
      <c r="DK1540" s="59"/>
      <c r="DL1540" s="59"/>
      <c r="DM1540" s="59"/>
      <c r="DN1540" s="59"/>
      <c r="DO1540" s="59"/>
      <c r="DP1540" s="59"/>
      <c r="DQ1540" s="59"/>
      <c r="DR1540" s="59"/>
      <c r="DS1540" s="59"/>
      <c r="DT1540" s="59"/>
      <c r="DU1540" s="59"/>
      <c r="DV1540" s="59"/>
      <c r="DW1540" s="59"/>
      <c r="DX1540" s="59"/>
      <c r="DY1540" s="59"/>
      <c r="DZ1540" s="59"/>
      <c r="EA1540" s="59"/>
      <c r="EB1540" s="59"/>
      <c r="EC1540" s="59"/>
      <c r="ED1540" s="59"/>
      <c r="EE1540" s="59"/>
      <c r="EF1540" s="59"/>
      <c r="EG1540" s="59"/>
      <c r="EH1540" s="59"/>
      <c r="EI1540" s="59"/>
      <c r="EJ1540" s="59"/>
      <c r="EK1540" s="59"/>
      <c r="EL1540" s="59"/>
      <c r="EM1540" s="59"/>
      <c r="EN1540" s="59"/>
      <c r="EO1540" s="59"/>
      <c r="EP1540" s="59"/>
      <c r="EQ1540" s="59"/>
      <c r="ER1540" s="59"/>
      <c r="ES1540" s="59"/>
      <c r="ET1540" s="59"/>
      <c r="EU1540" s="59"/>
      <c r="EV1540" s="59"/>
      <c r="EW1540" s="59"/>
      <c r="EX1540" s="59"/>
      <c r="EY1540" s="59"/>
      <c r="EZ1540" s="59"/>
      <c r="FA1540" s="59"/>
      <c r="FB1540" s="59"/>
      <c r="FC1540" s="59"/>
      <c r="FD1540" s="59"/>
      <c r="FE1540" s="59"/>
      <c r="FF1540" s="59"/>
      <c r="FG1540" s="59"/>
      <c r="FH1540" s="59"/>
      <c r="FI1540" s="59"/>
      <c r="FJ1540" s="59"/>
      <c r="FK1540" s="59"/>
      <c r="FL1540" s="59"/>
      <c r="FM1540" s="59"/>
      <c r="FN1540" s="59"/>
      <c r="FO1540" s="59"/>
      <c r="FP1540" s="59"/>
      <c r="FQ1540" s="59"/>
      <c r="FR1540" s="59"/>
      <c r="FS1540" s="59"/>
      <c r="FT1540" s="59"/>
      <c r="FU1540" s="59"/>
      <c r="FV1540" s="59"/>
      <c r="FW1540" s="59"/>
      <c r="FX1540" s="59"/>
      <c r="FY1540" s="59"/>
      <c r="FZ1540" s="59"/>
      <c r="GA1540" s="59"/>
      <c r="GB1540" s="59"/>
      <c r="GC1540" s="59"/>
    </row>
    <row r="1541">
      <c r="A1541" s="59"/>
      <c r="B1541" s="59"/>
      <c r="C1541" s="59"/>
      <c r="D1541" s="59"/>
      <c r="E1541" s="59"/>
      <c r="F1541" s="59"/>
      <c r="G1541" s="59"/>
      <c r="H1541" s="59"/>
      <c r="I1541" s="59"/>
      <c r="J1541" s="59"/>
      <c r="K1541" s="59"/>
      <c r="L1541" s="59"/>
      <c r="M1541" s="59"/>
      <c r="N1541" s="59"/>
      <c r="O1541" s="59"/>
      <c r="P1541" s="59"/>
      <c r="Q1541" s="59"/>
      <c r="R1541" s="59"/>
      <c r="S1541" s="59"/>
      <c r="T1541" s="59"/>
      <c r="U1541" s="59"/>
      <c r="V1541" s="59"/>
      <c r="W1541" s="59"/>
      <c r="X1541" s="59"/>
      <c r="Y1541" s="59"/>
      <c r="Z1541" s="59"/>
      <c r="AA1541" s="59"/>
      <c r="AB1541" s="59"/>
      <c r="AC1541" s="59"/>
      <c r="AD1541" s="59"/>
      <c r="AE1541" s="59"/>
      <c r="AF1541" s="59"/>
      <c r="AG1541" s="59"/>
      <c r="AH1541" s="59"/>
      <c r="AI1541" s="59"/>
      <c r="AJ1541" s="59"/>
      <c r="AK1541" s="59"/>
      <c r="AL1541" s="59"/>
      <c r="AM1541" s="59"/>
      <c r="AN1541" s="59"/>
      <c r="AO1541" s="59"/>
      <c r="AP1541" s="59"/>
      <c r="AQ1541" s="59"/>
      <c r="AR1541" s="59"/>
      <c r="AS1541" s="59"/>
      <c r="AT1541" s="59"/>
      <c r="AU1541" s="59"/>
      <c r="AV1541" s="59"/>
      <c r="AW1541" s="59"/>
      <c r="AX1541" s="59"/>
      <c r="AY1541" s="59"/>
      <c r="AZ1541" s="59"/>
      <c r="BA1541" s="59"/>
      <c r="BB1541" s="59"/>
      <c r="BC1541" s="59"/>
      <c r="BD1541" s="59"/>
      <c r="BE1541" s="59"/>
      <c r="BF1541" s="59"/>
      <c r="BG1541" s="59"/>
      <c r="BH1541" s="59"/>
      <c r="BI1541" s="59"/>
      <c r="BJ1541" s="59"/>
      <c r="BK1541" s="59"/>
      <c r="BL1541" s="59"/>
      <c r="BM1541" s="59"/>
      <c r="BN1541" s="59"/>
      <c r="BO1541" s="59"/>
      <c r="BP1541" s="59"/>
      <c r="BQ1541" s="59"/>
      <c r="BR1541" s="59"/>
      <c r="BS1541" s="59"/>
      <c r="BT1541" s="59"/>
      <c r="BU1541" s="59"/>
      <c r="BV1541" s="59"/>
      <c r="BW1541" s="59"/>
      <c r="BX1541" s="59"/>
      <c r="BY1541" s="59"/>
      <c r="BZ1541" s="59"/>
      <c r="CA1541" s="59"/>
      <c r="CB1541" s="59"/>
      <c r="CC1541" s="59"/>
      <c r="CD1541" s="59"/>
      <c r="CE1541" s="59"/>
      <c r="CF1541" s="59"/>
      <c r="CG1541" s="59"/>
      <c r="CH1541" s="59"/>
      <c r="CI1541" s="59"/>
      <c r="CJ1541" s="59"/>
      <c r="CK1541" s="59"/>
      <c r="CL1541" s="59"/>
      <c r="CM1541" s="59"/>
      <c r="CN1541" s="59"/>
      <c r="CO1541" s="59"/>
      <c r="CP1541" s="59"/>
      <c r="CQ1541" s="59"/>
      <c r="CR1541" s="59"/>
      <c r="CS1541" s="59"/>
      <c r="CT1541" s="59"/>
      <c r="CU1541" s="59"/>
      <c r="CV1541" s="59"/>
      <c r="CW1541" s="59"/>
      <c r="CX1541" s="59"/>
      <c r="CY1541" s="59"/>
      <c r="CZ1541" s="59"/>
      <c r="DA1541" s="59"/>
      <c r="DB1541" s="59"/>
      <c r="DC1541" s="59"/>
      <c r="DD1541" s="59"/>
      <c r="DE1541" s="59"/>
      <c r="DF1541" s="59"/>
      <c r="DG1541" s="59"/>
      <c r="DH1541" s="59"/>
      <c r="DI1541" s="59"/>
      <c r="DJ1541" s="59"/>
      <c r="DK1541" s="59"/>
      <c r="DL1541" s="59"/>
      <c r="DM1541" s="59"/>
      <c r="DN1541" s="59"/>
      <c r="DO1541" s="59"/>
      <c r="DP1541" s="59"/>
      <c r="DQ1541" s="59"/>
      <c r="DR1541" s="59"/>
      <c r="DS1541" s="59"/>
      <c r="DT1541" s="59"/>
      <c r="DU1541" s="59"/>
      <c r="DV1541" s="59"/>
      <c r="DW1541" s="59"/>
      <c r="DX1541" s="59"/>
      <c r="DY1541" s="59"/>
      <c r="DZ1541" s="59"/>
      <c r="EA1541" s="59"/>
      <c r="EB1541" s="59"/>
      <c r="EC1541" s="59"/>
      <c r="ED1541" s="59"/>
      <c r="EE1541" s="59"/>
      <c r="EF1541" s="59"/>
      <c r="EG1541" s="59"/>
      <c r="EH1541" s="59"/>
      <c r="EI1541" s="59"/>
      <c r="EJ1541" s="59"/>
      <c r="EK1541" s="59"/>
      <c r="EL1541" s="59"/>
      <c r="EM1541" s="59"/>
      <c r="EN1541" s="59"/>
      <c r="EO1541" s="59"/>
      <c r="EP1541" s="59"/>
      <c r="EQ1541" s="59"/>
      <c r="ER1541" s="59"/>
      <c r="ES1541" s="59"/>
      <c r="ET1541" s="59"/>
      <c r="EU1541" s="59"/>
      <c r="EV1541" s="59"/>
      <c r="EW1541" s="59"/>
      <c r="EX1541" s="59"/>
      <c r="EY1541" s="59"/>
      <c r="EZ1541" s="59"/>
      <c r="FA1541" s="59"/>
      <c r="FB1541" s="59"/>
      <c r="FC1541" s="59"/>
      <c r="FD1541" s="59"/>
      <c r="FE1541" s="59"/>
      <c r="FF1541" s="59"/>
      <c r="FG1541" s="59"/>
      <c r="FH1541" s="59"/>
      <c r="FI1541" s="59"/>
      <c r="FJ1541" s="59"/>
      <c r="FK1541" s="59"/>
      <c r="FL1541" s="59"/>
      <c r="FM1541" s="59"/>
      <c r="FN1541" s="59"/>
      <c r="FO1541" s="59"/>
      <c r="FP1541" s="59"/>
      <c r="FQ1541" s="59"/>
      <c r="FR1541" s="59"/>
      <c r="FS1541" s="59"/>
      <c r="FT1541" s="59"/>
      <c r="FU1541" s="59"/>
      <c r="FV1541" s="59"/>
      <c r="FW1541" s="59"/>
      <c r="FX1541" s="59"/>
      <c r="FY1541" s="59"/>
      <c r="FZ1541" s="59"/>
      <c r="GA1541" s="59"/>
      <c r="GB1541" s="59"/>
      <c r="GC1541" s="59"/>
    </row>
    <row r="1542">
      <c r="A1542" s="59"/>
      <c r="B1542" s="59"/>
      <c r="C1542" s="59"/>
      <c r="D1542" s="59"/>
      <c r="E1542" s="59"/>
      <c r="F1542" s="59"/>
      <c r="G1542" s="59"/>
      <c r="H1542" s="59"/>
      <c r="I1542" s="59"/>
      <c r="J1542" s="59"/>
      <c r="K1542" s="59"/>
      <c r="L1542" s="59"/>
      <c r="M1542" s="59"/>
      <c r="N1542" s="59"/>
      <c r="O1542" s="59"/>
      <c r="P1542" s="59"/>
      <c r="Q1542" s="59"/>
      <c r="R1542" s="59"/>
      <c r="S1542" s="59"/>
      <c r="T1542" s="59"/>
      <c r="U1542" s="59"/>
      <c r="V1542" s="59"/>
      <c r="W1542" s="59"/>
      <c r="X1542" s="59"/>
      <c r="Y1542" s="59"/>
      <c r="Z1542" s="59"/>
      <c r="AA1542" s="59"/>
      <c r="AB1542" s="59"/>
      <c r="AC1542" s="59"/>
      <c r="AD1542" s="59"/>
      <c r="AE1542" s="59"/>
      <c r="AF1542" s="59"/>
      <c r="AG1542" s="59"/>
      <c r="AH1542" s="59"/>
      <c r="AI1542" s="59"/>
      <c r="AJ1542" s="59"/>
      <c r="AK1542" s="59"/>
      <c r="AL1542" s="59"/>
      <c r="AM1542" s="59"/>
      <c r="AN1542" s="59"/>
      <c r="AO1542" s="59"/>
      <c r="AP1542" s="59"/>
      <c r="AQ1542" s="59"/>
      <c r="AR1542" s="59"/>
      <c r="AS1542" s="59"/>
      <c r="AT1542" s="59"/>
      <c r="AU1542" s="59"/>
      <c r="AV1542" s="59"/>
      <c r="AW1542" s="59"/>
      <c r="AX1542" s="59"/>
      <c r="AY1542" s="59"/>
      <c r="AZ1542" s="59"/>
      <c r="BA1542" s="59"/>
      <c r="BB1542" s="59"/>
      <c r="BC1542" s="59"/>
      <c r="BD1542" s="59"/>
      <c r="BE1542" s="59"/>
      <c r="BF1542" s="59"/>
      <c r="BG1542" s="59"/>
      <c r="BH1542" s="59"/>
      <c r="BI1542" s="59"/>
      <c r="BJ1542" s="59"/>
      <c r="BK1542" s="59"/>
      <c r="BL1542" s="59"/>
      <c r="BM1542" s="59"/>
      <c r="BN1542" s="59"/>
      <c r="BO1542" s="59"/>
      <c r="BP1542" s="59"/>
      <c r="BQ1542" s="59"/>
      <c r="BR1542" s="59"/>
      <c r="BS1542" s="59"/>
      <c r="BT1542" s="59"/>
      <c r="BU1542" s="59"/>
      <c r="BV1542" s="59"/>
      <c r="BW1542" s="59"/>
      <c r="BX1542" s="59"/>
      <c r="BY1542" s="59"/>
      <c r="BZ1542" s="59"/>
      <c r="CA1542" s="59"/>
      <c r="CB1542" s="59"/>
      <c r="CC1542" s="59"/>
      <c r="CD1542" s="59"/>
      <c r="CE1542" s="59"/>
      <c r="CF1542" s="59"/>
      <c r="CG1542" s="59"/>
      <c r="CH1542" s="59"/>
      <c r="CI1542" s="59"/>
      <c r="CJ1542" s="59"/>
      <c r="CK1542" s="59"/>
      <c r="CL1542" s="59"/>
      <c r="CM1542" s="59"/>
      <c r="CN1542" s="59"/>
      <c r="CO1542" s="59"/>
      <c r="CP1542" s="59"/>
      <c r="CQ1542" s="59"/>
      <c r="CR1542" s="59"/>
      <c r="CS1542" s="59"/>
      <c r="CT1542" s="59"/>
      <c r="CU1542" s="59"/>
      <c r="CV1542" s="59"/>
      <c r="CW1542" s="59"/>
      <c r="CX1542" s="59"/>
      <c r="CY1542" s="59"/>
      <c r="CZ1542" s="59"/>
      <c r="DA1542" s="59"/>
      <c r="DB1542" s="59"/>
      <c r="DC1542" s="59"/>
      <c r="DD1542" s="59"/>
      <c r="DE1542" s="59"/>
      <c r="DF1542" s="59"/>
      <c r="DG1542" s="59"/>
      <c r="DH1542" s="59"/>
      <c r="DI1542" s="59"/>
      <c r="DJ1542" s="59"/>
      <c r="DK1542" s="59"/>
      <c r="DL1542" s="59"/>
      <c r="DM1542" s="59"/>
      <c r="DN1542" s="59"/>
      <c r="DO1542" s="59"/>
      <c r="DP1542" s="59"/>
      <c r="DQ1542" s="59"/>
      <c r="DR1542" s="59"/>
      <c r="DS1542" s="59"/>
      <c r="DT1542" s="59"/>
      <c r="DU1542" s="59"/>
      <c r="DV1542" s="59"/>
      <c r="DW1542" s="59"/>
      <c r="DX1542" s="59"/>
      <c r="DY1542" s="59"/>
      <c r="DZ1542" s="59"/>
      <c r="EA1542" s="59"/>
      <c r="EB1542" s="59"/>
      <c r="EC1542" s="59"/>
      <c r="ED1542" s="59"/>
      <c r="EE1542" s="59"/>
      <c r="EF1542" s="59"/>
      <c r="EG1542" s="59"/>
      <c r="EH1542" s="59"/>
      <c r="EI1542" s="59"/>
      <c r="EJ1542" s="59"/>
      <c r="EK1542" s="59"/>
      <c r="EL1542" s="59"/>
      <c r="EM1542" s="59"/>
      <c r="EN1542" s="59"/>
      <c r="EO1542" s="59"/>
      <c r="EP1542" s="59"/>
      <c r="EQ1542" s="59"/>
      <c r="ER1542" s="59"/>
      <c r="ES1542" s="59"/>
      <c r="ET1542" s="59"/>
      <c r="EU1542" s="59"/>
      <c r="EV1542" s="59"/>
      <c r="EW1542" s="59"/>
      <c r="EX1542" s="59"/>
      <c r="EY1542" s="59"/>
      <c r="EZ1542" s="59"/>
      <c r="FA1542" s="59"/>
      <c r="FB1542" s="59"/>
      <c r="FC1542" s="59"/>
      <c r="FD1542" s="59"/>
      <c r="FE1542" s="59"/>
      <c r="FF1542" s="59"/>
      <c r="FG1542" s="59"/>
      <c r="FH1542" s="59"/>
      <c r="FI1542" s="59"/>
      <c r="FJ1542" s="59"/>
      <c r="FK1542" s="59"/>
      <c r="FL1542" s="59"/>
      <c r="FM1542" s="59"/>
      <c r="FN1542" s="59"/>
      <c r="FO1542" s="59"/>
      <c r="FP1542" s="59"/>
      <c r="FQ1542" s="59"/>
      <c r="FR1542" s="59"/>
      <c r="FS1542" s="59"/>
      <c r="FT1542" s="59"/>
      <c r="FU1542" s="59"/>
      <c r="FV1542" s="59"/>
      <c r="FW1542" s="59"/>
      <c r="FX1542" s="59"/>
      <c r="FY1542" s="59"/>
      <c r="FZ1542" s="59"/>
      <c r="GA1542" s="59"/>
      <c r="GB1542" s="59"/>
      <c r="GC1542" s="59"/>
    </row>
    <row r="1543">
      <c r="A1543" s="59"/>
      <c r="B1543" s="59"/>
      <c r="C1543" s="59"/>
      <c r="D1543" s="59"/>
      <c r="E1543" s="59"/>
      <c r="F1543" s="59"/>
      <c r="G1543" s="59"/>
      <c r="H1543" s="59"/>
      <c r="I1543" s="59"/>
      <c r="J1543" s="59"/>
      <c r="K1543" s="59"/>
      <c r="L1543" s="59"/>
      <c r="M1543" s="59"/>
      <c r="N1543" s="59"/>
      <c r="O1543" s="59"/>
      <c r="P1543" s="59"/>
      <c r="Q1543" s="59"/>
      <c r="R1543" s="59"/>
      <c r="S1543" s="59"/>
      <c r="T1543" s="59"/>
      <c r="U1543" s="59"/>
      <c r="V1543" s="59"/>
      <c r="W1543" s="59"/>
      <c r="X1543" s="59"/>
      <c r="Y1543" s="59"/>
      <c r="Z1543" s="59"/>
      <c r="AA1543" s="59"/>
      <c r="AB1543" s="59"/>
      <c r="AC1543" s="59"/>
      <c r="AD1543" s="59"/>
      <c r="AE1543" s="59"/>
      <c r="AF1543" s="59"/>
      <c r="AG1543" s="59"/>
      <c r="AH1543" s="59"/>
      <c r="AI1543" s="59"/>
      <c r="AJ1543" s="59"/>
      <c r="AK1543" s="59"/>
      <c r="AL1543" s="59"/>
      <c r="AM1543" s="59"/>
      <c r="AN1543" s="59"/>
      <c r="AO1543" s="59"/>
      <c r="AP1543" s="59"/>
      <c r="AQ1543" s="59"/>
      <c r="AR1543" s="59"/>
      <c r="AS1543" s="59"/>
      <c r="AT1543" s="59"/>
      <c r="AU1543" s="59"/>
      <c r="AV1543" s="59"/>
      <c r="AW1543" s="59"/>
      <c r="AX1543" s="59"/>
      <c r="AY1543" s="59"/>
      <c r="AZ1543" s="59"/>
      <c r="BA1543" s="59"/>
      <c r="BB1543" s="59"/>
      <c r="BC1543" s="59"/>
      <c r="BD1543" s="59"/>
      <c r="BE1543" s="59"/>
      <c r="BF1543" s="59"/>
      <c r="BG1543" s="59"/>
      <c r="BH1543" s="59"/>
      <c r="BI1543" s="59"/>
      <c r="BJ1543" s="59"/>
      <c r="BK1543" s="59"/>
      <c r="BL1543" s="59"/>
      <c r="BM1543" s="59"/>
      <c r="BN1543" s="59"/>
      <c r="BO1543" s="59"/>
      <c r="BP1543" s="59"/>
      <c r="BQ1543" s="59"/>
      <c r="BR1543" s="59"/>
      <c r="BS1543" s="59"/>
      <c r="BT1543" s="59"/>
      <c r="BU1543" s="59"/>
      <c r="BV1543" s="59"/>
      <c r="BW1543" s="59"/>
      <c r="BX1543" s="59"/>
      <c r="BY1543" s="59"/>
      <c r="BZ1543" s="59"/>
      <c r="CA1543" s="59"/>
      <c r="CB1543" s="59"/>
      <c r="CC1543" s="59"/>
      <c r="CD1543" s="59"/>
      <c r="CE1543" s="59"/>
      <c r="CF1543" s="59"/>
      <c r="CG1543" s="59"/>
      <c r="CH1543" s="59"/>
      <c r="CI1543" s="59"/>
      <c r="CJ1543" s="59"/>
      <c r="CK1543" s="59"/>
      <c r="CL1543" s="59"/>
      <c r="CM1543" s="59"/>
      <c r="CN1543" s="59"/>
      <c r="CO1543" s="59"/>
      <c r="CP1543" s="59"/>
      <c r="CQ1543" s="59"/>
      <c r="CR1543" s="59"/>
      <c r="CS1543" s="59"/>
      <c r="CT1543" s="59"/>
      <c r="CU1543" s="59"/>
      <c r="CV1543" s="59"/>
      <c r="CW1543" s="59"/>
      <c r="CX1543" s="59"/>
      <c r="CY1543" s="59"/>
      <c r="CZ1543" s="59"/>
      <c r="DA1543" s="59"/>
      <c r="DB1543" s="59"/>
      <c r="DC1543" s="59"/>
      <c r="DD1543" s="59"/>
      <c r="DE1543" s="59"/>
      <c r="DF1543" s="59"/>
      <c r="DG1543" s="59"/>
      <c r="DH1543" s="59"/>
      <c r="DI1543" s="59"/>
      <c r="DJ1543" s="59"/>
      <c r="DK1543" s="59"/>
      <c r="DL1543" s="59"/>
      <c r="DM1543" s="59"/>
      <c r="DN1543" s="59"/>
      <c r="DO1543" s="59"/>
      <c r="DP1543" s="59"/>
      <c r="DQ1543" s="59"/>
      <c r="DR1543" s="59"/>
      <c r="DS1543" s="59"/>
      <c r="DT1543" s="59"/>
      <c r="DU1543" s="59"/>
      <c r="DV1543" s="59"/>
      <c r="DW1543" s="59"/>
      <c r="DX1543" s="59"/>
      <c r="DY1543" s="59"/>
      <c r="DZ1543" s="59"/>
      <c r="EA1543" s="59"/>
      <c r="EB1543" s="59"/>
      <c r="EC1543" s="59"/>
      <c r="ED1543" s="59"/>
      <c r="EE1543" s="59"/>
      <c r="EF1543" s="59"/>
      <c r="EG1543" s="59"/>
      <c r="EH1543" s="59"/>
      <c r="EI1543" s="59"/>
      <c r="EJ1543" s="59"/>
      <c r="EK1543" s="59"/>
      <c r="EL1543" s="59"/>
      <c r="EM1543" s="59"/>
      <c r="EN1543" s="59"/>
      <c r="EO1543" s="59"/>
      <c r="EP1543" s="59"/>
      <c r="EQ1543" s="59"/>
      <c r="ER1543" s="59"/>
      <c r="ES1543" s="59"/>
      <c r="ET1543" s="59"/>
      <c r="EU1543" s="59"/>
      <c r="EV1543" s="59"/>
      <c r="EW1543" s="59"/>
      <c r="EX1543" s="59"/>
      <c r="EY1543" s="59"/>
      <c r="EZ1543" s="59"/>
      <c r="FA1543" s="59"/>
      <c r="FB1543" s="59"/>
      <c r="FC1543" s="59"/>
      <c r="FD1543" s="59"/>
      <c r="FE1543" s="59"/>
      <c r="FF1543" s="59"/>
      <c r="FG1543" s="59"/>
      <c r="FH1543" s="59"/>
      <c r="FI1543" s="59"/>
      <c r="FJ1543" s="59"/>
      <c r="FK1543" s="59"/>
      <c r="FL1543" s="59"/>
      <c r="FM1543" s="59"/>
      <c r="FN1543" s="59"/>
      <c r="FO1543" s="59"/>
      <c r="FP1543" s="59"/>
      <c r="FQ1543" s="59"/>
      <c r="FR1543" s="59"/>
      <c r="FS1543" s="59"/>
      <c r="FT1543" s="59"/>
      <c r="FU1543" s="59"/>
      <c r="FV1543" s="59"/>
      <c r="FW1543" s="59"/>
      <c r="FX1543" s="59"/>
      <c r="FY1543" s="59"/>
      <c r="FZ1543" s="59"/>
      <c r="GA1543" s="59"/>
      <c r="GB1543" s="59"/>
      <c r="GC1543" s="59"/>
    </row>
    <row r="1544">
      <c r="A1544" s="59"/>
      <c r="B1544" s="59"/>
      <c r="C1544" s="59"/>
      <c r="D1544" s="59"/>
      <c r="E1544" s="59"/>
      <c r="F1544" s="59"/>
      <c r="G1544" s="59"/>
      <c r="H1544" s="59"/>
      <c r="I1544" s="59"/>
      <c r="J1544" s="59"/>
      <c r="K1544" s="59"/>
      <c r="L1544" s="59"/>
      <c r="M1544" s="59"/>
      <c r="N1544" s="59"/>
      <c r="O1544" s="59"/>
      <c r="P1544" s="59"/>
      <c r="Q1544" s="59"/>
      <c r="R1544" s="59"/>
      <c r="S1544" s="59"/>
      <c r="T1544" s="59"/>
      <c r="U1544" s="59"/>
      <c r="V1544" s="59"/>
      <c r="W1544" s="59"/>
      <c r="X1544" s="59"/>
      <c r="Y1544" s="59"/>
      <c r="Z1544" s="59"/>
      <c r="AA1544" s="59"/>
      <c r="AB1544" s="59"/>
      <c r="AC1544" s="59"/>
      <c r="AD1544" s="59"/>
      <c r="AE1544" s="59"/>
      <c r="AF1544" s="59"/>
      <c r="AG1544" s="59"/>
      <c r="AH1544" s="59"/>
      <c r="AI1544" s="59"/>
      <c r="AJ1544" s="59"/>
      <c r="AK1544" s="59"/>
      <c r="AL1544" s="59"/>
      <c r="AM1544" s="59"/>
      <c r="AN1544" s="59"/>
      <c r="AO1544" s="59"/>
      <c r="AP1544" s="59"/>
      <c r="AQ1544" s="59"/>
      <c r="AR1544" s="59"/>
      <c r="AS1544" s="59"/>
      <c r="AT1544" s="59"/>
      <c r="AU1544" s="59"/>
      <c r="AV1544" s="59"/>
      <c r="AW1544" s="59"/>
      <c r="AX1544" s="59"/>
      <c r="AY1544" s="59"/>
      <c r="AZ1544" s="59"/>
      <c r="BA1544" s="59"/>
      <c r="BB1544" s="59"/>
      <c r="BC1544" s="59"/>
      <c r="BD1544" s="59"/>
      <c r="BE1544" s="59"/>
      <c r="BF1544" s="59"/>
      <c r="BG1544" s="59"/>
      <c r="BH1544" s="59"/>
      <c r="BI1544" s="59"/>
      <c r="BJ1544" s="59"/>
      <c r="BK1544" s="59"/>
      <c r="BL1544" s="59"/>
      <c r="BM1544" s="59"/>
      <c r="BN1544" s="59"/>
      <c r="BO1544" s="59"/>
      <c r="BP1544" s="59"/>
      <c r="BQ1544" s="59"/>
      <c r="BR1544" s="59"/>
      <c r="BS1544" s="59"/>
      <c r="BT1544" s="59"/>
      <c r="BU1544" s="59"/>
      <c r="BV1544" s="59"/>
      <c r="BW1544" s="59"/>
      <c r="BX1544" s="59"/>
      <c r="BY1544" s="59"/>
      <c r="BZ1544" s="59"/>
      <c r="CA1544" s="59"/>
      <c r="CB1544" s="59"/>
      <c r="CC1544" s="59"/>
      <c r="CD1544" s="59"/>
      <c r="CE1544" s="59"/>
      <c r="CF1544" s="59"/>
      <c r="CG1544" s="59"/>
      <c r="CH1544" s="59"/>
      <c r="CI1544" s="59"/>
      <c r="CJ1544" s="59"/>
      <c r="CK1544" s="59"/>
      <c r="CL1544" s="59"/>
      <c r="CM1544" s="59"/>
      <c r="CN1544" s="59"/>
      <c r="CO1544" s="59"/>
      <c r="CP1544" s="59"/>
      <c r="CQ1544" s="59"/>
      <c r="CR1544" s="59"/>
      <c r="CS1544" s="59"/>
      <c r="CT1544" s="59"/>
      <c r="CU1544" s="59"/>
      <c r="CV1544" s="59"/>
      <c r="CW1544" s="59"/>
      <c r="CX1544" s="59"/>
      <c r="CY1544" s="59"/>
      <c r="CZ1544" s="59"/>
      <c r="DA1544" s="59"/>
      <c r="DB1544" s="59"/>
      <c r="DC1544" s="59"/>
      <c r="DD1544" s="59"/>
      <c r="DE1544" s="59"/>
      <c r="DF1544" s="59"/>
      <c r="DG1544" s="59"/>
      <c r="DH1544" s="59"/>
      <c r="DI1544" s="59"/>
      <c r="DJ1544" s="59"/>
      <c r="DK1544" s="59"/>
      <c r="DL1544" s="59"/>
      <c r="DM1544" s="59"/>
      <c r="DN1544" s="59"/>
      <c r="DO1544" s="59"/>
      <c r="DP1544" s="59"/>
      <c r="DQ1544" s="59"/>
      <c r="DR1544" s="59"/>
      <c r="DS1544" s="59"/>
      <c r="DT1544" s="59"/>
      <c r="DU1544" s="59"/>
      <c r="DV1544" s="59"/>
      <c r="DW1544" s="59"/>
      <c r="DX1544" s="59"/>
      <c r="DY1544" s="59"/>
      <c r="DZ1544" s="59"/>
      <c r="EA1544" s="59"/>
      <c r="EB1544" s="59"/>
      <c r="EC1544" s="59"/>
      <c r="ED1544" s="59"/>
      <c r="EE1544" s="59"/>
      <c r="EF1544" s="59"/>
      <c r="EG1544" s="59"/>
      <c r="EH1544" s="59"/>
      <c r="EI1544" s="59"/>
      <c r="EJ1544" s="59"/>
      <c r="EK1544" s="59"/>
      <c r="EL1544" s="59"/>
      <c r="EM1544" s="59"/>
      <c r="EN1544" s="59"/>
      <c r="EO1544" s="59"/>
      <c r="EP1544" s="59"/>
      <c r="EQ1544" s="59"/>
      <c r="ER1544" s="59"/>
      <c r="ES1544" s="59"/>
      <c r="ET1544" s="59"/>
      <c r="EU1544" s="59"/>
      <c r="EV1544" s="59"/>
      <c r="EW1544" s="59"/>
      <c r="EX1544" s="59"/>
      <c r="EY1544" s="59"/>
      <c r="EZ1544" s="59"/>
      <c r="FA1544" s="59"/>
      <c r="FB1544" s="59"/>
      <c r="FC1544" s="59"/>
      <c r="FD1544" s="59"/>
      <c r="FE1544" s="59"/>
      <c r="FF1544" s="59"/>
      <c r="FG1544" s="59"/>
      <c r="FH1544" s="59"/>
      <c r="FI1544" s="59"/>
      <c r="FJ1544" s="59"/>
      <c r="FK1544" s="59"/>
      <c r="FL1544" s="59"/>
      <c r="FM1544" s="59"/>
      <c r="FN1544" s="59"/>
      <c r="FO1544" s="59"/>
      <c r="FP1544" s="59"/>
      <c r="FQ1544" s="59"/>
      <c r="FR1544" s="59"/>
      <c r="FS1544" s="59"/>
      <c r="FT1544" s="59"/>
      <c r="FU1544" s="59"/>
      <c r="FV1544" s="59"/>
      <c r="FW1544" s="59"/>
      <c r="FX1544" s="59"/>
      <c r="FY1544" s="59"/>
      <c r="FZ1544" s="59"/>
      <c r="GA1544" s="59"/>
      <c r="GB1544" s="59"/>
      <c r="GC1544" s="59"/>
    </row>
    <row r="1545">
      <c r="A1545" s="59"/>
      <c r="B1545" s="59"/>
      <c r="C1545" s="59"/>
      <c r="D1545" s="59"/>
      <c r="E1545" s="59"/>
      <c r="F1545" s="59"/>
      <c r="G1545" s="59"/>
      <c r="H1545" s="59"/>
      <c r="I1545" s="59"/>
      <c r="J1545" s="59"/>
      <c r="K1545" s="59"/>
      <c r="L1545" s="59"/>
      <c r="M1545" s="59"/>
      <c r="N1545" s="59"/>
      <c r="O1545" s="59"/>
      <c r="P1545" s="59"/>
      <c r="Q1545" s="59"/>
      <c r="R1545" s="59"/>
      <c r="S1545" s="59"/>
      <c r="T1545" s="59"/>
      <c r="U1545" s="59"/>
      <c r="V1545" s="59"/>
      <c r="W1545" s="59"/>
      <c r="X1545" s="59"/>
      <c r="Y1545" s="59"/>
      <c r="Z1545" s="59"/>
      <c r="AA1545" s="59"/>
      <c r="AB1545" s="59"/>
      <c r="AC1545" s="59"/>
      <c r="AD1545" s="59"/>
      <c r="AE1545" s="59"/>
      <c r="AF1545" s="59"/>
      <c r="AG1545" s="59"/>
      <c r="AH1545" s="59"/>
      <c r="AI1545" s="59"/>
      <c r="AJ1545" s="59"/>
      <c r="AK1545" s="59"/>
      <c r="AL1545" s="59"/>
      <c r="AM1545" s="59"/>
      <c r="AN1545" s="59"/>
      <c r="AO1545" s="59"/>
      <c r="AP1545" s="59"/>
      <c r="AQ1545" s="59"/>
      <c r="AR1545" s="59"/>
      <c r="AS1545" s="59"/>
      <c r="AT1545" s="59"/>
      <c r="AU1545" s="59"/>
      <c r="AV1545" s="59"/>
      <c r="AW1545" s="59"/>
      <c r="AX1545" s="59"/>
      <c r="AY1545" s="59"/>
      <c r="AZ1545" s="59"/>
      <c r="BA1545" s="59"/>
      <c r="BB1545" s="59"/>
      <c r="BC1545" s="59"/>
      <c r="BD1545" s="59"/>
      <c r="BE1545" s="59"/>
      <c r="BF1545" s="59"/>
      <c r="BG1545" s="59"/>
      <c r="BH1545" s="59"/>
      <c r="BI1545" s="59"/>
      <c r="BJ1545" s="59"/>
      <c r="BK1545" s="59"/>
      <c r="BL1545" s="59"/>
      <c r="BM1545" s="59"/>
      <c r="BN1545" s="59"/>
      <c r="BO1545" s="59"/>
      <c r="BP1545" s="59"/>
      <c r="BQ1545" s="59"/>
      <c r="BR1545" s="59"/>
      <c r="BS1545" s="59"/>
      <c r="BT1545" s="59"/>
      <c r="BU1545" s="59"/>
      <c r="BV1545" s="59"/>
      <c r="BW1545" s="59"/>
      <c r="BX1545" s="59"/>
      <c r="BY1545" s="59"/>
      <c r="BZ1545" s="59"/>
      <c r="CA1545" s="59"/>
      <c r="CB1545" s="59"/>
      <c r="CC1545" s="59"/>
      <c r="CD1545" s="59"/>
      <c r="CE1545" s="59"/>
      <c r="CF1545" s="59"/>
      <c r="CG1545" s="59"/>
      <c r="CH1545" s="59"/>
      <c r="CI1545" s="59"/>
      <c r="CJ1545" s="59"/>
      <c r="CK1545" s="59"/>
      <c r="CL1545" s="59"/>
      <c r="CM1545" s="59"/>
      <c r="CN1545" s="59"/>
      <c r="CO1545" s="59"/>
      <c r="CP1545" s="59"/>
      <c r="CQ1545" s="59"/>
      <c r="CR1545" s="59"/>
      <c r="CS1545" s="59"/>
      <c r="CT1545" s="59"/>
      <c r="CU1545" s="59"/>
      <c r="CV1545" s="59"/>
      <c r="CW1545" s="59"/>
      <c r="CX1545" s="59"/>
      <c r="CY1545" s="59"/>
      <c r="CZ1545" s="59"/>
      <c r="DA1545" s="59"/>
      <c r="DB1545" s="59"/>
      <c r="DC1545" s="59"/>
      <c r="DD1545" s="59"/>
      <c r="DE1545" s="59"/>
      <c r="DF1545" s="59"/>
      <c r="DG1545" s="59"/>
      <c r="DH1545" s="59"/>
      <c r="DI1545" s="59"/>
      <c r="DJ1545" s="59"/>
      <c r="DK1545" s="59"/>
      <c r="DL1545" s="59"/>
      <c r="DM1545" s="59"/>
      <c r="DN1545" s="59"/>
      <c r="DO1545" s="59"/>
      <c r="DP1545" s="59"/>
      <c r="DQ1545" s="59"/>
      <c r="DR1545" s="59"/>
      <c r="DS1545" s="59"/>
      <c r="DT1545" s="59"/>
      <c r="DU1545" s="59"/>
      <c r="DV1545" s="59"/>
      <c r="DW1545" s="59"/>
      <c r="DX1545" s="59"/>
      <c r="DY1545" s="59"/>
      <c r="DZ1545" s="59"/>
      <c r="EA1545" s="59"/>
      <c r="EB1545" s="59"/>
      <c r="EC1545" s="59"/>
      <c r="ED1545" s="59"/>
      <c r="EE1545" s="59"/>
      <c r="EF1545" s="59"/>
      <c r="EG1545" s="59"/>
      <c r="EH1545" s="59"/>
      <c r="EI1545" s="59"/>
      <c r="EJ1545" s="59"/>
      <c r="EK1545" s="59"/>
      <c r="EL1545" s="59"/>
      <c r="EM1545" s="59"/>
      <c r="EN1545" s="59"/>
      <c r="EO1545" s="59"/>
      <c r="EP1545" s="59"/>
      <c r="EQ1545" s="59"/>
      <c r="ER1545" s="59"/>
      <c r="ES1545" s="59"/>
      <c r="ET1545" s="59"/>
      <c r="EU1545" s="59"/>
      <c r="EV1545" s="59"/>
      <c r="EW1545" s="59"/>
      <c r="EX1545" s="59"/>
      <c r="EY1545" s="59"/>
      <c r="EZ1545" s="59"/>
      <c r="FA1545" s="59"/>
      <c r="FB1545" s="59"/>
      <c r="FC1545" s="59"/>
      <c r="FD1545" s="59"/>
      <c r="FE1545" s="59"/>
      <c r="FF1545" s="59"/>
      <c r="FG1545" s="59"/>
      <c r="FH1545" s="59"/>
      <c r="FI1545" s="59"/>
      <c r="FJ1545" s="59"/>
      <c r="FK1545" s="59"/>
      <c r="FL1545" s="59"/>
      <c r="FM1545" s="59"/>
      <c r="FN1545" s="59"/>
      <c r="FO1545" s="59"/>
      <c r="FP1545" s="59"/>
      <c r="FQ1545" s="59"/>
      <c r="FR1545" s="59"/>
      <c r="FS1545" s="59"/>
      <c r="FT1545" s="59"/>
      <c r="FU1545" s="59"/>
      <c r="FV1545" s="59"/>
      <c r="FW1545" s="59"/>
      <c r="FX1545" s="59"/>
      <c r="FY1545" s="59"/>
      <c r="FZ1545" s="59"/>
      <c r="GA1545" s="59"/>
      <c r="GB1545" s="59"/>
      <c r="GC1545" s="59"/>
    </row>
    <row r="1546">
      <c r="A1546" s="59"/>
      <c r="B1546" s="59"/>
      <c r="C1546" s="59"/>
      <c r="D1546" s="59"/>
      <c r="E1546" s="59"/>
      <c r="F1546" s="59"/>
      <c r="G1546" s="59"/>
      <c r="H1546" s="59"/>
      <c r="I1546" s="59"/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59"/>
      <c r="AG1546" s="59"/>
      <c r="AH1546" s="59"/>
      <c r="AI1546" s="59"/>
      <c r="AJ1546" s="59"/>
      <c r="AK1546" s="59"/>
      <c r="AL1546" s="59"/>
      <c r="AM1546" s="59"/>
      <c r="AN1546" s="59"/>
      <c r="AO1546" s="59"/>
      <c r="AP1546" s="59"/>
      <c r="AQ1546" s="59"/>
      <c r="AR1546" s="59"/>
      <c r="AS1546" s="59"/>
      <c r="AT1546" s="59"/>
      <c r="AU1546" s="59"/>
      <c r="AV1546" s="59"/>
      <c r="AW1546" s="59"/>
      <c r="AX1546" s="59"/>
      <c r="AY1546" s="59"/>
      <c r="AZ1546" s="59"/>
      <c r="BA1546" s="59"/>
      <c r="BB1546" s="59"/>
      <c r="BC1546" s="59"/>
      <c r="BD1546" s="59"/>
      <c r="BE1546" s="59"/>
      <c r="BF1546" s="59"/>
      <c r="BG1546" s="59"/>
      <c r="BH1546" s="59"/>
      <c r="BI1546" s="59"/>
      <c r="BJ1546" s="59"/>
      <c r="BK1546" s="59"/>
      <c r="BL1546" s="59"/>
      <c r="BM1546" s="59"/>
      <c r="BN1546" s="59"/>
      <c r="BO1546" s="59"/>
      <c r="BP1546" s="59"/>
      <c r="BQ1546" s="59"/>
      <c r="BR1546" s="59"/>
      <c r="BS1546" s="59"/>
      <c r="BT1546" s="59"/>
      <c r="BU1546" s="59"/>
      <c r="BV1546" s="59"/>
      <c r="BW1546" s="59"/>
      <c r="BX1546" s="59"/>
      <c r="BY1546" s="59"/>
      <c r="BZ1546" s="59"/>
      <c r="CA1546" s="59"/>
      <c r="CB1546" s="59"/>
      <c r="CC1546" s="59"/>
      <c r="CD1546" s="59"/>
      <c r="CE1546" s="59"/>
      <c r="CF1546" s="59"/>
      <c r="CG1546" s="59"/>
      <c r="CH1546" s="59"/>
      <c r="CI1546" s="59"/>
      <c r="CJ1546" s="59"/>
      <c r="CK1546" s="59"/>
      <c r="CL1546" s="59"/>
      <c r="CM1546" s="59"/>
      <c r="CN1546" s="59"/>
      <c r="CO1546" s="59"/>
      <c r="CP1546" s="59"/>
      <c r="CQ1546" s="59"/>
      <c r="CR1546" s="59"/>
      <c r="CS1546" s="59"/>
      <c r="CT1546" s="59"/>
      <c r="CU1546" s="59"/>
      <c r="CV1546" s="59"/>
      <c r="CW1546" s="59"/>
      <c r="CX1546" s="59"/>
      <c r="CY1546" s="59"/>
      <c r="CZ1546" s="59"/>
      <c r="DA1546" s="59"/>
      <c r="DB1546" s="59"/>
      <c r="DC1546" s="59"/>
      <c r="DD1546" s="59"/>
      <c r="DE1546" s="59"/>
      <c r="DF1546" s="59"/>
      <c r="DG1546" s="59"/>
      <c r="DH1546" s="59"/>
      <c r="DI1546" s="59"/>
      <c r="DJ1546" s="59"/>
      <c r="DK1546" s="59"/>
      <c r="DL1546" s="59"/>
      <c r="DM1546" s="59"/>
      <c r="DN1546" s="59"/>
      <c r="DO1546" s="59"/>
      <c r="DP1546" s="59"/>
      <c r="DQ1546" s="59"/>
      <c r="DR1546" s="59"/>
      <c r="DS1546" s="59"/>
      <c r="DT1546" s="59"/>
      <c r="DU1546" s="59"/>
      <c r="DV1546" s="59"/>
      <c r="DW1546" s="59"/>
      <c r="DX1546" s="59"/>
      <c r="DY1546" s="59"/>
      <c r="DZ1546" s="59"/>
      <c r="EA1546" s="59"/>
      <c r="EB1546" s="59"/>
      <c r="EC1546" s="59"/>
      <c r="ED1546" s="59"/>
      <c r="EE1546" s="59"/>
      <c r="EF1546" s="59"/>
      <c r="EG1546" s="59"/>
      <c r="EH1546" s="59"/>
      <c r="EI1546" s="59"/>
      <c r="EJ1546" s="59"/>
      <c r="EK1546" s="59"/>
      <c r="EL1546" s="59"/>
      <c r="EM1546" s="59"/>
      <c r="EN1546" s="59"/>
      <c r="EO1546" s="59"/>
      <c r="EP1546" s="59"/>
      <c r="EQ1546" s="59"/>
      <c r="ER1546" s="59"/>
      <c r="ES1546" s="59"/>
      <c r="ET1546" s="59"/>
      <c r="EU1546" s="59"/>
      <c r="EV1546" s="59"/>
      <c r="EW1546" s="59"/>
      <c r="EX1546" s="59"/>
      <c r="EY1546" s="59"/>
      <c r="EZ1546" s="59"/>
      <c r="FA1546" s="59"/>
      <c r="FB1546" s="59"/>
      <c r="FC1546" s="59"/>
      <c r="FD1546" s="59"/>
      <c r="FE1546" s="59"/>
      <c r="FF1546" s="59"/>
      <c r="FG1546" s="59"/>
      <c r="FH1546" s="59"/>
      <c r="FI1546" s="59"/>
      <c r="FJ1546" s="59"/>
      <c r="FK1546" s="59"/>
      <c r="FL1546" s="59"/>
      <c r="FM1546" s="59"/>
      <c r="FN1546" s="59"/>
      <c r="FO1546" s="59"/>
      <c r="FP1546" s="59"/>
      <c r="FQ1546" s="59"/>
      <c r="FR1546" s="59"/>
      <c r="FS1546" s="59"/>
      <c r="FT1546" s="59"/>
      <c r="FU1546" s="59"/>
      <c r="FV1546" s="59"/>
      <c r="FW1546" s="59"/>
      <c r="FX1546" s="59"/>
      <c r="FY1546" s="59"/>
      <c r="FZ1546" s="59"/>
      <c r="GA1546" s="59"/>
      <c r="GB1546" s="59"/>
      <c r="GC1546" s="59"/>
    </row>
    <row r="1547">
      <c r="A1547" s="59"/>
      <c r="B1547" s="59"/>
      <c r="C1547" s="59"/>
      <c r="D1547" s="59"/>
      <c r="E1547" s="59"/>
      <c r="F1547" s="59"/>
      <c r="G1547" s="59"/>
      <c r="H1547" s="59"/>
      <c r="I1547" s="59"/>
      <c r="J1547" s="59"/>
      <c r="K1547" s="59"/>
      <c r="L1547" s="59"/>
      <c r="M1547" s="59"/>
      <c r="N1547" s="59"/>
      <c r="O1547" s="59"/>
      <c r="P1547" s="59"/>
      <c r="Q1547" s="59"/>
      <c r="R1547" s="59"/>
      <c r="S1547" s="59"/>
      <c r="T1547" s="59"/>
      <c r="U1547" s="59"/>
      <c r="V1547" s="59"/>
      <c r="W1547" s="59"/>
      <c r="X1547" s="59"/>
      <c r="Y1547" s="59"/>
      <c r="Z1547" s="59"/>
      <c r="AA1547" s="59"/>
      <c r="AB1547" s="59"/>
      <c r="AC1547" s="59"/>
      <c r="AD1547" s="59"/>
      <c r="AE1547" s="59"/>
      <c r="AF1547" s="59"/>
      <c r="AG1547" s="59"/>
      <c r="AH1547" s="59"/>
      <c r="AI1547" s="59"/>
      <c r="AJ1547" s="59"/>
      <c r="AK1547" s="59"/>
      <c r="AL1547" s="59"/>
      <c r="AM1547" s="59"/>
      <c r="AN1547" s="59"/>
      <c r="AO1547" s="59"/>
      <c r="AP1547" s="59"/>
      <c r="AQ1547" s="59"/>
      <c r="AR1547" s="59"/>
      <c r="AS1547" s="59"/>
      <c r="AT1547" s="59"/>
      <c r="AU1547" s="59"/>
      <c r="AV1547" s="59"/>
      <c r="AW1547" s="59"/>
      <c r="AX1547" s="59"/>
      <c r="AY1547" s="59"/>
      <c r="AZ1547" s="59"/>
      <c r="BA1547" s="59"/>
      <c r="BB1547" s="59"/>
      <c r="BC1547" s="59"/>
      <c r="BD1547" s="59"/>
      <c r="BE1547" s="59"/>
      <c r="BF1547" s="59"/>
      <c r="BG1547" s="59"/>
      <c r="BH1547" s="59"/>
      <c r="BI1547" s="59"/>
      <c r="BJ1547" s="59"/>
      <c r="BK1547" s="59"/>
      <c r="BL1547" s="59"/>
      <c r="BM1547" s="59"/>
      <c r="BN1547" s="59"/>
      <c r="BO1547" s="59"/>
      <c r="BP1547" s="59"/>
      <c r="BQ1547" s="59"/>
      <c r="BR1547" s="59"/>
      <c r="BS1547" s="59"/>
      <c r="BT1547" s="59"/>
      <c r="BU1547" s="59"/>
      <c r="BV1547" s="59"/>
      <c r="BW1547" s="59"/>
      <c r="BX1547" s="59"/>
      <c r="BY1547" s="59"/>
      <c r="BZ1547" s="59"/>
      <c r="CA1547" s="59"/>
      <c r="CB1547" s="59"/>
      <c r="CC1547" s="59"/>
      <c r="CD1547" s="59"/>
      <c r="CE1547" s="59"/>
      <c r="CF1547" s="59"/>
      <c r="CG1547" s="59"/>
      <c r="CH1547" s="59"/>
      <c r="CI1547" s="59"/>
      <c r="CJ1547" s="59"/>
      <c r="CK1547" s="59"/>
      <c r="CL1547" s="59"/>
      <c r="CM1547" s="59"/>
      <c r="CN1547" s="59"/>
      <c r="CO1547" s="59"/>
      <c r="CP1547" s="59"/>
      <c r="CQ1547" s="59"/>
      <c r="CR1547" s="59"/>
      <c r="CS1547" s="59"/>
      <c r="CT1547" s="59"/>
      <c r="CU1547" s="59"/>
      <c r="CV1547" s="59"/>
      <c r="CW1547" s="59"/>
      <c r="CX1547" s="59"/>
      <c r="CY1547" s="59"/>
      <c r="CZ1547" s="59"/>
      <c r="DA1547" s="59"/>
      <c r="DB1547" s="59"/>
      <c r="DC1547" s="59"/>
      <c r="DD1547" s="59"/>
      <c r="DE1547" s="59"/>
      <c r="DF1547" s="59"/>
      <c r="DG1547" s="59"/>
      <c r="DH1547" s="59"/>
      <c r="DI1547" s="59"/>
      <c r="DJ1547" s="59"/>
      <c r="DK1547" s="59"/>
      <c r="DL1547" s="59"/>
      <c r="DM1547" s="59"/>
      <c r="DN1547" s="59"/>
      <c r="DO1547" s="59"/>
      <c r="DP1547" s="59"/>
      <c r="DQ1547" s="59"/>
      <c r="DR1547" s="59"/>
      <c r="DS1547" s="59"/>
      <c r="DT1547" s="59"/>
      <c r="DU1547" s="59"/>
      <c r="DV1547" s="59"/>
      <c r="DW1547" s="59"/>
      <c r="DX1547" s="59"/>
      <c r="DY1547" s="59"/>
      <c r="DZ1547" s="59"/>
      <c r="EA1547" s="59"/>
      <c r="EB1547" s="59"/>
      <c r="EC1547" s="59"/>
      <c r="ED1547" s="59"/>
      <c r="EE1547" s="59"/>
      <c r="EF1547" s="59"/>
      <c r="EG1547" s="59"/>
      <c r="EH1547" s="59"/>
      <c r="EI1547" s="59"/>
      <c r="EJ1547" s="59"/>
      <c r="EK1547" s="59"/>
      <c r="EL1547" s="59"/>
      <c r="EM1547" s="59"/>
      <c r="EN1547" s="59"/>
      <c r="EO1547" s="59"/>
      <c r="EP1547" s="59"/>
      <c r="EQ1547" s="59"/>
      <c r="ER1547" s="59"/>
      <c r="ES1547" s="59"/>
      <c r="ET1547" s="59"/>
      <c r="EU1547" s="59"/>
      <c r="EV1547" s="59"/>
      <c r="EW1547" s="59"/>
      <c r="EX1547" s="59"/>
      <c r="EY1547" s="59"/>
      <c r="EZ1547" s="59"/>
      <c r="FA1547" s="59"/>
      <c r="FB1547" s="59"/>
      <c r="FC1547" s="59"/>
      <c r="FD1547" s="59"/>
      <c r="FE1547" s="59"/>
      <c r="FF1547" s="59"/>
      <c r="FG1547" s="59"/>
      <c r="FH1547" s="59"/>
      <c r="FI1547" s="59"/>
      <c r="FJ1547" s="59"/>
      <c r="FK1547" s="59"/>
      <c r="FL1547" s="59"/>
      <c r="FM1547" s="59"/>
      <c r="FN1547" s="59"/>
      <c r="FO1547" s="59"/>
      <c r="FP1547" s="59"/>
      <c r="FQ1547" s="59"/>
      <c r="FR1547" s="59"/>
      <c r="FS1547" s="59"/>
      <c r="FT1547" s="59"/>
      <c r="FU1547" s="59"/>
      <c r="FV1547" s="59"/>
      <c r="FW1547" s="59"/>
      <c r="FX1547" s="59"/>
      <c r="FY1547" s="59"/>
      <c r="FZ1547" s="59"/>
      <c r="GA1547" s="59"/>
      <c r="GB1547" s="59"/>
      <c r="GC1547" s="59"/>
    </row>
    <row r="1548">
      <c r="A1548" s="59"/>
      <c r="B1548" s="59"/>
      <c r="C1548" s="59"/>
      <c r="D1548" s="59"/>
      <c r="E1548" s="59"/>
      <c r="F1548" s="59"/>
      <c r="G1548" s="59"/>
      <c r="H1548" s="59"/>
      <c r="I1548" s="59"/>
      <c r="J1548" s="59"/>
      <c r="K1548" s="59"/>
      <c r="L1548" s="59"/>
      <c r="M1548" s="59"/>
      <c r="N1548" s="59"/>
      <c r="O1548" s="59"/>
      <c r="P1548" s="59"/>
      <c r="Q1548" s="59"/>
      <c r="R1548" s="59"/>
      <c r="S1548" s="59"/>
      <c r="T1548" s="59"/>
      <c r="U1548" s="59"/>
      <c r="V1548" s="59"/>
      <c r="W1548" s="59"/>
      <c r="X1548" s="59"/>
      <c r="Y1548" s="59"/>
      <c r="Z1548" s="59"/>
      <c r="AA1548" s="59"/>
      <c r="AB1548" s="59"/>
      <c r="AC1548" s="59"/>
      <c r="AD1548" s="59"/>
      <c r="AE1548" s="59"/>
      <c r="AF1548" s="59"/>
      <c r="AG1548" s="59"/>
      <c r="AH1548" s="59"/>
      <c r="AI1548" s="59"/>
      <c r="AJ1548" s="59"/>
      <c r="AK1548" s="59"/>
      <c r="AL1548" s="59"/>
      <c r="AM1548" s="59"/>
      <c r="AN1548" s="59"/>
      <c r="AO1548" s="59"/>
      <c r="AP1548" s="59"/>
      <c r="AQ1548" s="59"/>
      <c r="AR1548" s="59"/>
      <c r="AS1548" s="59"/>
      <c r="AT1548" s="59"/>
      <c r="AU1548" s="59"/>
      <c r="AV1548" s="59"/>
      <c r="AW1548" s="59"/>
      <c r="AX1548" s="59"/>
      <c r="AY1548" s="59"/>
      <c r="AZ1548" s="59"/>
      <c r="BA1548" s="59"/>
      <c r="BB1548" s="59"/>
      <c r="BC1548" s="59"/>
      <c r="BD1548" s="59"/>
      <c r="BE1548" s="59"/>
      <c r="BF1548" s="59"/>
      <c r="BG1548" s="59"/>
      <c r="BH1548" s="59"/>
      <c r="BI1548" s="59"/>
      <c r="BJ1548" s="59"/>
      <c r="BK1548" s="59"/>
      <c r="BL1548" s="59"/>
      <c r="BM1548" s="59"/>
      <c r="BN1548" s="59"/>
      <c r="BO1548" s="59"/>
      <c r="BP1548" s="59"/>
      <c r="BQ1548" s="59"/>
      <c r="BR1548" s="59"/>
      <c r="BS1548" s="59"/>
      <c r="BT1548" s="59"/>
      <c r="BU1548" s="59"/>
      <c r="BV1548" s="59"/>
      <c r="BW1548" s="59"/>
      <c r="BX1548" s="59"/>
      <c r="BY1548" s="59"/>
      <c r="BZ1548" s="59"/>
      <c r="CA1548" s="59"/>
      <c r="CB1548" s="59"/>
      <c r="CC1548" s="59"/>
      <c r="CD1548" s="59"/>
      <c r="CE1548" s="59"/>
      <c r="CF1548" s="59"/>
      <c r="CG1548" s="59"/>
      <c r="CH1548" s="59"/>
      <c r="CI1548" s="59"/>
      <c r="CJ1548" s="59"/>
      <c r="CK1548" s="59"/>
      <c r="CL1548" s="59"/>
      <c r="CM1548" s="59"/>
      <c r="CN1548" s="59"/>
      <c r="CO1548" s="59"/>
      <c r="CP1548" s="59"/>
      <c r="CQ1548" s="59"/>
      <c r="CR1548" s="59"/>
      <c r="CS1548" s="59"/>
      <c r="CT1548" s="59"/>
      <c r="CU1548" s="59"/>
      <c r="CV1548" s="59"/>
      <c r="CW1548" s="59"/>
      <c r="CX1548" s="59"/>
      <c r="CY1548" s="59"/>
      <c r="CZ1548" s="59"/>
      <c r="DA1548" s="59"/>
      <c r="DB1548" s="59"/>
      <c r="DC1548" s="59"/>
      <c r="DD1548" s="59"/>
      <c r="DE1548" s="59"/>
      <c r="DF1548" s="59"/>
      <c r="DG1548" s="59"/>
      <c r="DH1548" s="59"/>
      <c r="DI1548" s="59"/>
      <c r="DJ1548" s="59"/>
      <c r="DK1548" s="59"/>
      <c r="DL1548" s="59"/>
      <c r="DM1548" s="59"/>
      <c r="DN1548" s="59"/>
      <c r="DO1548" s="59"/>
      <c r="DP1548" s="59"/>
      <c r="DQ1548" s="59"/>
      <c r="DR1548" s="59"/>
      <c r="DS1548" s="59"/>
      <c r="DT1548" s="59"/>
      <c r="DU1548" s="59"/>
      <c r="DV1548" s="59"/>
      <c r="DW1548" s="59"/>
      <c r="DX1548" s="59"/>
      <c r="DY1548" s="59"/>
      <c r="DZ1548" s="59"/>
      <c r="EA1548" s="59"/>
      <c r="EB1548" s="59"/>
      <c r="EC1548" s="59"/>
      <c r="ED1548" s="59"/>
      <c r="EE1548" s="59"/>
      <c r="EF1548" s="59"/>
      <c r="EG1548" s="59"/>
      <c r="EH1548" s="59"/>
      <c r="EI1548" s="59"/>
      <c r="EJ1548" s="59"/>
      <c r="EK1548" s="59"/>
      <c r="EL1548" s="59"/>
      <c r="EM1548" s="59"/>
      <c r="EN1548" s="59"/>
      <c r="EO1548" s="59"/>
      <c r="EP1548" s="59"/>
      <c r="EQ1548" s="59"/>
      <c r="ER1548" s="59"/>
      <c r="ES1548" s="59"/>
      <c r="ET1548" s="59"/>
      <c r="EU1548" s="59"/>
      <c r="EV1548" s="59"/>
      <c r="EW1548" s="59"/>
      <c r="EX1548" s="59"/>
      <c r="EY1548" s="59"/>
      <c r="EZ1548" s="59"/>
      <c r="FA1548" s="59"/>
      <c r="FB1548" s="59"/>
      <c r="FC1548" s="59"/>
      <c r="FD1548" s="59"/>
      <c r="FE1548" s="59"/>
      <c r="FF1548" s="59"/>
      <c r="FG1548" s="59"/>
      <c r="FH1548" s="59"/>
      <c r="FI1548" s="59"/>
      <c r="FJ1548" s="59"/>
      <c r="FK1548" s="59"/>
      <c r="FL1548" s="59"/>
      <c r="FM1548" s="59"/>
      <c r="FN1548" s="59"/>
      <c r="FO1548" s="59"/>
      <c r="FP1548" s="59"/>
      <c r="FQ1548" s="59"/>
      <c r="FR1548" s="59"/>
      <c r="FS1548" s="59"/>
      <c r="FT1548" s="59"/>
      <c r="FU1548" s="59"/>
      <c r="FV1548" s="59"/>
      <c r="FW1548" s="59"/>
      <c r="FX1548" s="59"/>
      <c r="FY1548" s="59"/>
      <c r="FZ1548" s="59"/>
      <c r="GA1548" s="59"/>
      <c r="GB1548" s="59"/>
      <c r="GC1548" s="59"/>
    </row>
    <row r="1549">
      <c r="A1549" s="59"/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59"/>
      <c r="N1549" s="59"/>
      <c r="O1549" s="59"/>
      <c r="P1549" s="59"/>
      <c r="Q1549" s="59"/>
      <c r="R1549" s="59"/>
      <c r="S1549" s="59"/>
      <c r="T1549" s="59"/>
      <c r="U1549" s="59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59"/>
      <c r="AG1549" s="59"/>
      <c r="AH1549" s="59"/>
      <c r="AI1549" s="59"/>
      <c r="AJ1549" s="59"/>
      <c r="AK1549" s="59"/>
      <c r="AL1549" s="59"/>
      <c r="AM1549" s="59"/>
      <c r="AN1549" s="59"/>
      <c r="AO1549" s="59"/>
      <c r="AP1549" s="59"/>
      <c r="AQ1549" s="59"/>
      <c r="AR1549" s="59"/>
      <c r="AS1549" s="59"/>
      <c r="AT1549" s="59"/>
      <c r="AU1549" s="59"/>
      <c r="AV1549" s="59"/>
      <c r="AW1549" s="59"/>
      <c r="AX1549" s="59"/>
      <c r="AY1549" s="59"/>
      <c r="AZ1549" s="59"/>
      <c r="BA1549" s="59"/>
      <c r="BB1549" s="59"/>
      <c r="BC1549" s="59"/>
      <c r="BD1549" s="59"/>
      <c r="BE1549" s="59"/>
      <c r="BF1549" s="59"/>
      <c r="BG1549" s="59"/>
      <c r="BH1549" s="59"/>
      <c r="BI1549" s="59"/>
      <c r="BJ1549" s="59"/>
      <c r="BK1549" s="59"/>
      <c r="BL1549" s="59"/>
      <c r="BM1549" s="59"/>
      <c r="BN1549" s="59"/>
      <c r="BO1549" s="59"/>
      <c r="BP1549" s="59"/>
      <c r="BQ1549" s="59"/>
      <c r="BR1549" s="59"/>
      <c r="BS1549" s="59"/>
      <c r="BT1549" s="59"/>
      <c r="BU1549" s="59"/>
      <c r="BV1549" s="59"/>
      <c r="BW1549" s="59"/>
      <c r="BX1549" s="59"/>
      <c r="BY1549" s="59"/>
      <c r="BZ1549" s="59"/>
      <c r="CA1549" s="59"/>
      <c r="CB1549" s="59"/>
      <c r="CC1549" s="59"/>
      <c r="CD1549" s="59"/>
      <c r="CE1549" s="59"/>
      <c r="CF1549" s="59"/>
      <c r="CG1549" s="59"/>
      <c r="CH1549" s="59"/>
      <c r="CI1549" s="59"/>
      <c r="CJ1549" s="59"/>
      <c r="CK1549" s="59"/>
      <c r="CL1549" s="59"/>
      <c r="CM1549" s="59"/>
      <c r="CN1549" s="59"/>
      <c r="CO1549" s="59"/>
      <c r="CP1549" s="59"/>
      <c r="CQ1549" s="59"/>
      <c r="CR1549" s="59"/>
      <c r="CS1549" s="59"/>
      <c r="CT1549" s="59"/>
      <c r="CU1549" s="59"/>
      <c r="CV1549" s="59"/>
      <c r="CW1549" s="59"/>
      <c r="CX1549" s="59"/>
      <c r="CY1549" s="59"/>
      <c r="CZ1549" s="59"/>
      <c r="DA1549" s="59"/>
      <c r="DB1549" s="59"/>
      <c r="DC1549" s="59"/>
      <c r="DD1549" s="59"/>
      <c r="DE1549" s="59"/>
      <c r="DF1549" s="59"/>
      <c r="DG1549" s="59"/>
      <c r="DH1549" s="59"/>
      <c r="DI1549" s="59"/>
      <c r="DJ1549" s="59"/>
      <c r="DK1549" s="59"/>
      <c r="DL1549" s="59"/>
      <c r="DM1549" s="59"/>
      <c r="DN1549" s="59"/>
      <c r="DO1549" s="59"/>
      <c r="DP1549" s="59"/>
      <c r="DQ1549" s="59"/>
      <c r="DR1549" s="59"/>
      <c r="DS1549" s="59"/>
      <c r="DT1549" s="59"/>
      <c r="DU1549" s="59"/>
      <c r="DV1549" s="59"/>
      <c r="DW1549" s="59"/>
      <c r="DX1549" s="59"/>
      <c r="DY1549" s="59"/>
      <c r="DZ1549" s="59"/>
      <c r="EA1549" s="59"/>
      <c r="EB1549" s="59"/>
      <c r="EC1549" s="59"/>
      <c r="ED1549" s="59"/>
      <c r="EE1549" s="59"/>
      <c r="EF1549" s="59"/>
      <c r="EG1549" s="59"/>
      <c r="EH1549" s="59"/>
      <c r="EI1549" s="59"/>
      <c r="EJ1549" s="59"/>
      <c r="EK1549" s="59"/>
      <c r="EL1549" s="59"/>
      <c r="EM1549" s="59"/>
      <c r="EN1549" s="59"/>
      <c r="EO1549" s="59"/>
      <c r="EP1549" s="59"/>
      <c r="EQ1549" s="59"/>
      <c r="ER1549" s="59"/>
      <c r="ES1549" s="59"/>
      <c r="ET1549" s="59"/>
      <c r="EU1549" s="59"/>
      <c r="EV1549" s="59"/>
      <c r="EW1549" s="59"/>
      <c r="EX1549" s="59"/>
      <c r="EY1549" s="59"/>
      <c r="EZ1549" s="59"/>
      <c r="FA1549" s="59"/>
      <c r="FB1549" s="59"/>
      <c r="FC1549" s="59"/>
      <c r="FD1549" s="59"/>
      <c r="FE1549" s="59"/>
      <c r="FF1549" s="59"/>
      <c r="FG1549" s="59"/>
      <c r="FH1549" s="59"/>
      <c r="FI1549" s="59"/>
      <c r="FJ1549" s="59"/>
      <c r="FK1549" s="59"/>
      <c r="FL1549" s="59"/>
      <c r="FM1549" s="59"/>
      <c r="FN1549" s="59"/>
      <c r="FO1549" s="59"/>
      <c r="FP1549" s="59"/>
      <c r="FQ1549" s="59"/>
      <c r="FR1549" s="59"/>
      <c r="FS1549" s="59"/>
      <c r="FT1549" s="59"/>
      <c r="FU1549" s="59"/>
      <c r="FV1549" s="59"/>
      <c r="FW1549" s="59"/>
      <c r="FX1549" s="59"/>
      <c r="FY1549" s="59"/>
      <c r="FZ1549" s="59"/>
      <c r="GA1549" s="59"/>
      <c r="GB1549" s="59"/>
      <c r="GC1549" s="59"/>
    </row>
    <row r="1550">
      <c r="A1550" s="59"/>
      <c r="B1550" s="59"/>
      <c r="C1550" s="59"/>
      <c r="D1550" s="59"/>
      <c r="E1550" s="59"/>
      <c r="F1550" s="59"/>
      <c r="G1550" s="59"/>
      <c r="H1550" s="59"/>
      <c r="I1550" s="59"/>
      <c r="J1550" s="59"/>
      <c r="K1550" s="59"/>
      <c r="L1550" s="59"/>
      <c r="M1550" s="59"/>
      <c r="N1550" s="59"/>
      <c r="O1550" s="59"/>
      <c r="P1550" s="59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59"/>
      <c r="AG1550" s="59"/>
      <c r="AH1550" s="59"/>
      <c r="AI1550" s="59"/>
      <c r="AJ1550" s="59"/>
      <c r="AK1550" s="59"/>
      <c r="AL1550" s="59"/>
      <c r="AM1550" s="59"/>
      <c r="AN1550" s="59"/>
      <c r="AO1550" s="59"/>
      <c r="AP1550" s="59"/>
      <c r="AQ1550" s="59"/>
      <c r="AR1550" s="59"/>
      <c r="AS1550" s="59"/>
      <c r="AT1550" s="59"/>
      <c r="AU1550" s="59"/>
      <c r="AV1550" s="59"/>
      <c r="AW1550" s="59"/>
      <c r="AX1550" s="59"/>
      <c r="AY1550" s="59"/>
      <c r="AZ1550" s="59"/>
      <c r="BA1550" s="59"/>
      <c r="BB1550" s="59"/>
      <c r="BC1550" s="59"/>
      <c r="BD1550" s="59"/>
      <c r="BE1550" s="59"/>
      <c r="BF1550" s="59"/>
      <c r="BG1550" s="59"/>
      <c r="BH1550" s="59"/>
      <c r="BI1550" s="59"/>
      <c r="BJ1550" s="59"/>
      <c r="BK1550" s="59"/>
      <c r="BL1550" s="59"/>
      <c r="BM1550" s="59"/>
      <c r="BN1550" s="59"/>
      <c r="BO1550" s="59"/>
      <c r="BP1550" s="59"/>
      <c r="BQ1550" s="59"/>
      <c r="BR1550" s="59"/>
      <c r="BS1550" s="59"/>
      <c r="BT1550" s="59"/>
      <c r="BU1550" s="59"/>
      <c r="BV1550" s="59"/>
      <c r="BW1550" s="59"/>
      <c r="BX1550" s="59"/>
      <c r="BY1550" s="59"/>
      <c r="BZ1550" s="59"/>
      <c r="CA1550" s="59"/>
      <c r="CB1550" s="59"/>
      <c r="CC1550" s="59"/>
      <c r="CD1550" s="59"/>
      <c r="CE1550" s="59"/>
      <c r="CF1550" s="59"/>
      <c r="CG1550" s="59"/>
      <c r="CH1550" s="59"/>
      <c r="CI1550" s="59"/>
      <c r="CJ1550" s="59"/>
      <c r="CK1550" s="59"/>
      <c r="CL1550" s="59"/>
      <c r="CM1550" s="59"/>
      <c r="CN1550" s="59"/>
      <c r="CO1550" s="59"/>
      <c r="CP1550" s="59"/>
      <c r="CQ1550" s="59"/>
      <c r="CR1550" s="59"/>
      <c r="CS1550" s="59"/>
      <c r="CT1550" s="59"/>
      <c r="CU1550" s="59"/>
      <c r="CV1550" s="59"/>
      <c r="CW1550" s="59"/>
      <c r="CX1550" s="59"/>
      <c r="CY1550" s="59"/>
      <c r="CZ1550" s="59"/>
      <c r="DA1550" s="59"/>
      <c r="DB1550" s="59"/>
      <c r="DC1550" s="59"/>
      <c r="DD1550" s="59"/>
      <c r="DE1550" s="59"/>
      <c r="DF1550" s="59"/>
      <c r="DG1550" s="59"/>
      <c r="DH1550" s="59"/>
      <c r="DI1550" s="59"/>
      <c r="DJ1550" s="59"/>
      <c r="DK1550" s="59"/>
      <c r="DL1550" s="59"/>
      <c r="DM1550" s="59"/>
      <c r="DN1550" s="59"/>
      <c r="DO1550" s="59"/>
      <c r="DP1550" s="59"/>
      <c r="DQ1550" s="59"/>
      <c r="DR1550" s="59"/>
      <c r="DS1550" s="59"/>
      <c r="DT1550" s="59"/>
      <c r="DU1550" s="59"/>
      <c r="DV1550" s="59"/>
      <c r="DW1550" s="59"/>
      <c r="DX1550" s="59"/>
      <c r="DY1550" s="59"/>
      <c r="DZ1550" s="59"/>
      <c r="EA1550" s="59"/>
      <c r="EB1550" s="59"/>
      <c r="EC1550" s="59"/>
      <c r="ED1550" s="59"/>
      <c r="EE1550" s="59"/>
      <c r="EF1550" s="59"/>
      <c r="EG1550" s="59"/>
      <c r="EH1550" s="59"/>
      <c r="EI1550" s="59"/>
      <c r="EJ1550" s="59"/>
      <c r="EK1550" s="59"/>
      <c r="EL1550" s="59"/>
      <c r="EM1550" s="59"/>
      <c r="EN1550" s="59"/>
      <c r="EO1550" s="59"/>
      <c r="EP1550" s="59"/>
      <c r="EQ1550" s="59"/>
      <c r="ER1550" s="59"/>
      <c r="ES1550" s="59"/>
      <c r="ET1550" s="59"/>
      <c r="EU1550" s="59"/>
      <c r="EV1550" s="59"/>
      <c r="EW1550" s="59"/>
      <c r="EX1550" s="59"/>
      <c r="EY1550" s="59"/>
      <c r="EZ1550" s="59"/>
      <c r="FA1550" s="59"/>
      <c r="FB1550" s="59"/>
      <c r="FC1550" s="59"/>
      <c r="FD1550" s="59"/>
      <c r="FE1550" s="59"/>
      <c r="FF1550" s="59"/>
      <c r="FG1550" s="59"/>
      <c r="FH1550" s="59"/>
      <c r="FI1550" s="59"/>
      <c r="FJ1550" s="59"/>
      <c r="FK1550" s="59"/>
      <c r="FL1550" s="59"/>
      <c r="FM1550" s="59"/>
      <c r="FN1550" s="59"/>
      <c r="FO1550" s="59"/>
      <c r="FP1550" s="59"/>
      <c r="FQ1550" s="59"/>
      <c r="FR1550" s="59"/>
      <c r="FS1550" s="59"/>
      <c r="FT1550" s="59"/>
      <c r="FU1550" s="59"/>
      <c r="FV1550" s="59"/>
      <c r="FW1550" s="59"/>
      <c r="FX1550" s="59"/>
      <c r="FY1550" s="59"/>
      <c r="FZ1550" s="59"/>
      <c r="GA1550" s="59"/>
      <c r="GB1550" s="59"/>
      <c r="GC1550" s="59"/>
    </row>
    <row r="1551">
      <c r="A1551" s="59"/>
      <c r="B1551" s="59"/>
      <c r="C1551" s="59"/>
      <c r="D1551" s="59"/>
      <c r="E1551" s="59"/>
      <c r="F1551" s="59"/>
      <c r="G1551" s="59"/>
      <c r="H1551" s="59"/>
      <c r="I1551" s="59"/>
      <c r="J1551" s="59"/>
      <c r="K1551" s="59"/>
      <c r="L1551" s="59"/>
      <c r="M1551" s="59"/>
      <c r="N1551" s="59"/>
      <c r="O1551" s="59"/>
      <c r="P1551" s="59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59"/>
      <c r="AG1551" s="59"/>
      <c r="AH1551" s="59"/>
      <c r="AI1551" s="59"/>
      <c r="AJ1551" s="59"/>
      <c r="AK1551" s="59"/>
      <c r="AL1551" s="59"/>
      <c r="AM1551" s="59"/>
      <c r="AN1551" s="59"/>
      <c r="AO1551" s="59"/>
      <c r="AP1551" s="59"/>
      <c r="AQ1551" s="59"/>
      <c r="AR1551" s="59"/>
      <c r="AS1551" s="59"/>
      <c r="AT1551" s="59"/>
      <c r="AU1551" s="59"/>
      <c r="AV1551" s="59"/>
      <c r="AW1551" s="59"/>
      <c r="AX1551" s="59"/>
      <c r="AY1551" s="59"/>
      <c r="AZ1551" s="59"/>
      <c r="BA1551" s="59"/>
      <c r="BB1551" s="59"/>
      <c r="BC1551" s="59"/>
      <c r="BD1551" s="59"/>
      <c r="BE1551" s="59"/>
      <c r="BF1551" s="59"/>
      <c r="BG1551" s="59"/>
      <c r="BH1551" s="59"/>
      <c r="BI1551" s="59"/>
      <c r="BJ1551" s="59"/>
      <c r="BK1551" s="59"/>
      <c r="BL1551" s="59"/>
      <c r="BM1551" s="59"/>
      <c r="BN1551" s="59"/>
      <c r="BO1551" s="59"/>
      <c r="BP1551" s="59"/>
      <c r="BQ1551" s="59"/>
      <c r="BR1551" s="59"/>
      <c r="BS1551" s="59"/>
      <c r="BT1551" s="59"/>
      <c r="BU1551" s="59"/>
      <c r="BV1551" s="59"/>
      <c r="BW1551" s="59"/>
      <c r="BX1551" s="59"/>
      <c r="BY1551" s="59"/>
      <c r="BZ1551" s="59"/>
      <c r="CA1551" s="59"/>
      <c r="CB1551" s="59"/>
      <c r="CC1551" s="59"/>
      <c r="CD1551" s="59"/>
      <c r="CE1551" s="59"/>
      <c r="CF1551" s="59"/>
      <c r="CG1551" s="59"/>
      <c r="CH1551" s="59"/>
      <c r="CI1551" s="59"/>
      <c r="CJ1551" s="59"/>
      <c r="CK1551" s="59"/>
      <c r="CL1551" s="59"/>
      <c r="CM1551" s="59"/>
      <c r="CN1551" s="59"/>
      <c r="CO1551" s="59"/>
      <c r="CP1551" s="59"/>
      <c r="CQ1551" s="59"/>
      <c r="CR1551" s="59"/>
      <c r="CS1551" s="59"/>
      <c r="CT1551" s="59"/>
      <c r="CU1551" s="59"/>
      <c r="CV1551" s="59"/>
      <c r="CW1551" s="59"/>
      <c r="CX1551" s="59"/>
      <c r="CY1551" s="59"/>
      <c r="CZ1551" s="59"/>
      <c r="DA1551" s="59"/>
      <c r="DB1551" s="59"/>
      <c r="DC1551" s="59"/>
      <c r="DD1551" s="59"/>
      <c r="DE1551" s="59"/>
      <c r="DF1551" s="59"/>
      <c r="DG1551" s="59"/>
      <c r="DH1551" s="59"/>
      <c r="DI1551" s="59"/>
      <c r="DJ1551" s="59"/>
      <c r="DK1551" s="59"/>
      <c r="DL1551" s="59"/>
      <c r="DM1551" s="59"/>
      <c r="DN1551" s="59"/>
      <c r="DO1551" s="59"/>
      <c r="DP1551" s="59"/>
      <c r="DQ1551" s="59"/>
      <c r="DR1551" s="59"/>
      <c r="DS1551" s="59"/>
      <c r="DT1551" s="59"/>
      <c r="DU1551" s="59"/>
      <c r="DV1551" s="59"/>
      <c r="DW1551" s="59"/>
      <c r="DX1551" s="59"/>
      <c r="DY1551" s="59"/>
      <c r="DZ1551" s="59"/>
      <c r="EA1551" s="59"/>
      <c r="EB1551" s="59"/>
      <c r="EC1551" s="59"/>
      <c r="ED1551" s="59"/>
      <c r="EE1551" s="59"/>
      <c r="EF1551" s="59"/>
      <c r="EG1551" s="59"/>
      <c r="EH1551" s="59"/>
      <c r="EI1551" s="59"/>
      <c r="EJ1551" s="59"/>
      <c r="EK1551" s="59"/>
      <c r="EL1551" s="59"/>
      <c r="EM1551" s="59"/>
      <c r="EN1551" s="59"/>
      <c r="EO1551" s="59"/>
      <c r="EP1551" s="59"/>
      <c r="EQ1551" s="59"/>
      <c r="ER1551" s="59"/>
      <c r="ES1551" s="59"/>
      <c r="ET1551" s="59"/>
      <c r="EU1551" s="59"/>
      <c r="EV1551" s="59"/>
      <c r="EW1551" s="59"/>
      <c r="EX1551" s="59"/>
      <c r="EY1551" s="59"/>
      <c r="EZ1551" s="59"/>
      <c r="FA1551" s="59"/>
      <c r="FB1551" s="59"/>
      <c r="FC1551" s="59"/>
      <c r="FD1551" s="59"/>
      <c r="FE1551" s="59"/>
      <c r="FF1551" s="59"/>
      <c r="FG1551" s="59"/>
      <c r="FH1551" s="59"/>
      <c r="FI1551" s="59"/>
      <c r="FJ1551" s="59"/>
      <c r="FK1551" s="59"/>
      <c r="FL1551" s="59"/>
      <c r="FM1551" s="59"/>
      <c r="FN1551" s="59"/>
      <c r="FO1551" s="59"/>
      <c r="FP1551" s="59"/>
      <c r="FQ1551" s="59"/>
      <c r="FR1551" s="59"/>
      <c r="FS1551" s="59"/>
      <c r="FT1551" s="59"/>
      <c r="FU1551" s="59"/>
      <c r="FV1551" s="59"/>
      <c r="FW1551" s="59"/>
      <c r="FX1551" s="59"/>
      <c r="FY1551" s="59"/>
      <c r="FZ1551" s="59"/>
      <c r="GA1551" s="59"/>
      <c r="GB1551" s="59"/>
      <c r="GC1551" s="59"/>
    </row>
    <row r="1552">
      <c r="A1552" s="59"/>
      <c r="B1552" s="59"/>
      <c r="C1552" s="59"/>
      <c r="D1552" s="59"/>
      <c r="E1552" s="59"/>
      <c r="F1552" s="59"/>
      <c r="G1552" s="59"/>
      <c r="H1552" s="59"/>
      <c r="I1552" s="59"/>
      <c r="J1552" s="59"/>
      <c r="K1552" s="59"/>
      <c r="L1552" s="59"/>
      <c r="M1552" s="59"/>
      <c r="N1552" s="59"/>
      <c r="O1552" s="59"/>
      <c r="P1552" s="59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59"/>
      <c r="AG1552" s="59"/>
      <c r="AH1552" s="59"/>
      <c r="AI1552" s="59"/>
      <c r="AJ1552" s="59"/>
      <c r="AK1552" s="59"/>
      <c r="AL1552" s="59"/>
      <c r="AM1552" s="59"/>
      <c r="AN1552" s="59"/>
      <c r="AO1552" s="59"/>
      <c r="AP1552" s="59"/>
      <c r="AQ1552" s="59"/>
      <c r="AR1552" s="59"/>
      <c r="AS1552" s="59"/>
      <c r="AT1552" s="59"/>
      <c r="AU1552" s="59"/>
      <c r="AV1552" s="59"/>
      <c r="AW1552" s="59"/>
      <c r="AX1552" s="59"/>
      <c r="AY1552" s="59"/>
      <c r="AZ1552" s="59"/>
      <c r="BA1552" s="59"/>
      <c r="BB1552" s="59"/>
      <c r="BC1552" s="59"/>
      <c r="BD1552" s="59"/>
      <c r="BE1552" s="59"/>
      <c r="BF1552" s="59"/>
      <c r="BG1552" s="59"/>
      <c r="BH1552" s="59"/>
      <c r="BI1552" s="59"/>
      <c r="BJ1552" s="59"/>
      <c r="BK1552" s="59"/>
      <c r="BL1552" s="59"/>
      <c r="BM1552" s="59"/>
      <c r="BN1552" s="59"/>
      <c r="BO1552" s="59"/>
      <c r="BP1552" s="59"/>
      <c r="BQ1552" s="59"/>
      <c r="BR1552" s="59"/>
      <c r="BS1552" s="59"/>
      <c r="BT1552" s="59"/>
      <c r="BU1552" s="59"/>
      <c r="BV1552" s="59"/>
      <c r="BW1552" s="59"/>
      <c r="BX1552" s="59"/>
      <c r="BY1552" s="59"/>
      <c r="BZ1552" s="59"/>
      <c r="CA1552" s="59"/>
      <c r="CB1552" s="59"/>
      <c r="CC1552" s="59"/>
      <c r="CD1552" s="59"/>
      <c r="CE1552" s="59"/>
      <c r="CF1552" s="59"/>
      <c r="CG1552" s="59"/>
      <c r="CH1552" s="59"/>
      <c r="CI1552" s="59"/>
      <c r="CJ1552" s="59"/>
      <c r="CK1552" s="59"/>
      <c r="CL1552" s="59"/>
      <c r="CM1552" s="59"/>
      <c r="CN1552" s="59"/>
      <c r="CO1552" s="59"/>
      <c r="CP1552" s="59"/>
      <c r="CQ1552" s="59"/>
      <c r="CR1552" s="59"/>
      <c r="CS1552" s="59"/>
      <c r="CT1552" s="59"/>
      <c r="CU1552" s="59"/>
      <c r="CV1552" s="59"/>
      <c r="CW1552" s="59"/>
      <c r="CX1552" s="59"/>
      <c r="CY1552" s="59"/>
      <c r="CZ1552" s="59"/>
      <c r="DA1552" s="59"/>
      <c r="DB1552" s="59"/>
      <c r="DC1552" s="59"/>
      <c r="DD1552" s="59"/>
      <c r="DE1552" s="59"/>
      <c r="DF1552" s="59"/>
      <c r="DG1552" s="59"/>
      <c r="DH1552" s="59"/>
      <c r="DI1552" s="59"/>
      <c r="DJ1552" s="59"/>
      <c r="DK1552" s="59"/>
      <c r="DL1552" s="59"/>
      <c r="DM1552" s="59"/>
      <c r="DN1552" s="59"/>
      <c r="DO1552" s="59"/>
      <c r="DP1552" s="59"/>
      <c r="DQ1552" s="59"/>
      <c r="DR1552" s="59"/>
      <c r="DS1552" s="59"/>
      <c r="DT1552" s="59"/>
      <c r="DU1552" s="59"/>
      <c r="DV1552" s="59"/>
      <c r="DW1552" s="59"/>
      <c r="DX1552" s="59"/>
      <c r="DY1552" s="59"/>
      <c r="DZ1552" s="59"/>
      <c r="EA1552" s="59"/>
      <c r="EB1552" s="59"/>
      <c r="EC1552" s="59"/>
      <c r="ED1552" s="59"/>
      <c r="EE1552" s="59"/>
      <c r="EF1552" s="59"/>
      <c r="EG1552" s="59"/>
      <c r="EH1552" s="59"/>
      <c r="EI1552" s="59"/>
      <c r="EJ1552" s="59"/>
      <c r="EK1552" s="59"/>
      <c r="EL1552" s="59"/>
      <c r="EM1552" s="59"/>
      <c r="EN1552" s="59"/>
      <c r="EO1552" s="59"/>
      <c r="EP1552" s="59"/>
      <c r="EQ1552" s="59"/>
      <c r="ER1552" s="59"/>
      <c r="ES1552" s="59"/>
      <c r="ET1552" s="59"/>
      <c r="EU1552" s="59"/>
      <c r="EV1552" s="59"/>
      <c r="EW1552" s="59"/>
      <c r="EX1552" s="59"/>
      <c r="EY1552" s="59"/>
      <c r="EZ1552" s="59"/>
      <c r="FA1552" s="59"/>
      <c r="FB1552" s="59"/>
      <c r="FC1552" s="59"/>
      <c r="FD1552" s="59"/>
      <c r="FE1552" s="59"/>
      <c r="FF1552" s="59"/>
      <c r="FG1552" s="59"/>
      <c r="FH1552" s="59"/>
      <c r="FI1552" s="59"/>
      <c r="FJ1552" s="59"/>
      <c r="FK1552" s="59"/>
      <c r="FL1552" s="59"/>
      <c r="FM1552" s="59"/>
      <c r="FN1552" s="59"/>
      <c r="FO1552" s="59"/>
      <c r="FP1552" s="59"/>
      <c r="FQ1552" s="59"/>
      <c r="FR1552" s="59"/>
      <c r="FS1552" s="59"/>
      <c r="FT1552" s="59"/>
      <c r="FU1552" s="59"/>
      <c r="FV1552" s="59"/>
      <c r="FW1552" s="59"/>
      <c r="FX1552" s="59"/>
      <c r="FY1552" s="59"/>
      <c r="FZ1552" s="59"/>
      <c r="GA1552" s="59"/>
      <c r="GB1552" s="59"/>
      <c r="GC1552" s="59"/>
    </row>
    <row r="1553">
      <c r="A1553" s="59"/>
      <c r="B1553" s="59"/>
      <c r="C1553" s="59"/>
      <c r="D1553" s="59"/>
      <c r="E1553" s="59"/>
      <c r="F1553" s="59"/>
      <c r="G1553" s="59"/>
      <c r="H1553" s="59"/>
      <c r="I1553" s="59"/>
      <c r="J1553" s="59"/>
      <c r="K1553" s="59"/>
      <c r="L1553" s="59"/>
      <c r="M1553" s="59"/>
      <c r="N1553" s="59"/>
      <c r="O1553" s="59"/>
      <c r="P1553" s="59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59"/>
      <c r="AG1553" s="59"/>
      <c r="AH1553" s="59"/>
      <c r="AI1553" s="59"/>
      <c r="AJ1553" s="59"/>
      <c r="AK1553" s="59"/>
      <c r="AL1553" s="59"/>
      <c r="AM1553" s="59"/>
      <c r="AN1553" s="59"/>
      <c r="AO1553" s="59"/>
      <c r="AP1553" s="59"/>
      <c r="AQ1553" s="59"/>
      <c r="AR1553" s="59"/>
      <c r="AS1553" s="59"/>
      <c r="AT1553" s="59"/>
      <c r="AU1553" s="59"/>
      <c r="AV1553" s="59"/>
      <c r="AW1553" s="59"/>
      <c r="AX1553" s="59"/>
      <c r="AY1553" s="59"/>
      <c r="AZ1553" s="59"/>
      <c r="BA1553" s="59"/>
      <c r="BB1553" s="59"/>
      <c r="BC1553" s="59"/>
      <c r="BD1553" s="59"/>
      <c r="BE1553" s="59"/>
      <c r="BF1553" s="59"/>
      <c r="BG1553" s="59"/>
      <c r="BH1553" s="59"/>
      <c r="BI1553" s="59"/>
      <c r="BJ1553" s="59"/>
      <c r="BK1553" s="59"/>
      <c r="BL1553" s="59"/>
      <c r="BM1553" s="59"/>
      <c r="BN1553" s="59"/>
      <c r="BO1553" s="59"/>
      <c r="BP1553" s="59"/>
      <c r="BQ1553" s="59"/>
      <c r="BR1553" s="59"/>
      <c r="BS1553" s="59"/>
      <c r="BT1553" s="59"/>
      <c r="BU1553" s="59"/>
      <c r="BV1553" s="59"/>
      <c r="BW1553" s="59"/>
      <c r="BX1553" s="59"/>
      <c r="BY1553" s="59"/>
      <c r="BZ1553" s="59"/>
      <c r="CA1553" s="59"/>
      <c r="CB1553" s="59"/>
      <c r="CC1553" s="59"/>
      <c r="CD1553" s="59"/>
      <c r="CE1553" s="59"/>
      <c r="CF1553" s="59"/>
      <c r="CG1553" s="59"/>
      <c r="CH1553" s="59"/>
      <c r="CI1553" s="59"/>
      <c r="CJ1553" s="59"/>
      <c r="CK1553" s="59"/>
      <c r="CL1553" s="59"/>
      <c r="CM1553" s="59"/>
      <c r="CN1553" s="59"/>
      <c r="CO1553" s="59"/>
      <c r="CP1553" s="59"/>
      <c r="CQ1553" s="59"/>
      <c r="CR1553" s="59"/>
      <c r="CS1553" s="59"/>
      <c r="CT1553" s="59"/>
      <c r="CU1553" s="59"/>
      <c r="CV1553" s="59"/>
      <c r="CW1553" s="59"/>
      <c r="CX1553" s="59"/>
      <c r="CY1553" s="59"/>
      <c r="CZ1553" s="59"/>
      <c r="DA1553" s="59"/>
      <c r="DB1553" s="59"/>
      <c r="DC1553" s="59"/>
      <c r="DD1553" s="59"/>
      <c r="DE1553" s="59"/>
      <c r="DF1553" s="59"/>
      <c r="DG1553" s="59"/>
      <c r="DH1553" s="59"/>
      <c r="DI1553" s="59"/>
      <c r="DJ1553" s="59"/>
      <c r="DK1553" s="59"/>
      <c r="DL1553" s="59"/>
      <c r="DM1553" s="59"/>
      <c r="DN1553" s="59"/>
      <c r="DO1553" s="59"/>
      <c r="DP1553" s="59"/>
      <c r="DQ1553" s="59"/>
      <c r="DR1553" s="59"/>
      <c r="DS1553" s="59"/>
      <c r="DT1553" s="59"/>
      <c r="DU1553" s="59"/>
      <c r="DV1553" s="59"/>
      <c r="DW1553" s="59"/>
      <c r="DX1553" s="59"/>
      <c r="DY1553" s="59"/>
      <c r="DZ1553" s="59"/>
      <c r="EA1553" s="59"/>
      <c r="EB1553" s="59"/>
      <c r="EC1553" s="59"/>
      <c r="ED1553" s="59"/>
      <c r="EE1553" s="59"/>
      <c r="EF1553" s="59"/>
      <c r="EG1553" s="59"/>
      <c r="EH1553" s="59"/>
      <c r="EI1553" s="59"/>
      <c r="EJ1553" s="59"/>
      <c r="EK1553" s="59"/>
      <c r="EL1553" s="59"/>
      <c r="EM1553" s="59"/>
      <c r="EN1553" s="59"/>
      <c r="EO1553" s="59"/>
      <c r="EP1553" s="59"/>
      <c r="EQ1553" s="59"/>
      <c r="ER1553" s="59"/>
      <c r="ES1553" s="59"/>
      <c r="ET1553" s="59"/>
      <c r="EU1553" s="59"/>
      <c r="EV1553" s="59"/>
      <c r="EW1553" s="59"/>
      <c r="EX1553" s="59"/>
      <c r="EY1553" s="59"/>
      <c r="EZ1553" s="59"/>
      <c r="FA1553" s="59"/>
      <c r="FB1553" s="59"/>
      <c r="FC1553" s="59"/>
      <c r="FD1553" s="59"/>
      <c r="FE1553" s="59"/>
      <c r="FF1553" s="59"/>
      <c r="FG1553" s="59"/>
      <c r="FH1553" s="59"/>
      <c r="FI1553" s="59"/>
      <c r="FJ1553" s="59"/>
      <c r="FK1553" s="59"/>
      <c r="FL1553" s="59"/>
      <c r="FM1553" s="59"/>
      <c r="FN1553" s="59"/>
      <c r="FO1553" s="59"/>
      <c r="FP1553" s="59"/>
      <c r="FQ1553" s="59"/>
      <c r="FR1553" s="59"/>
      <c r="FS1553" s="59"/>
      <c r="FT1553" s="59"/>
      <c r="FU1553" s="59"/>
      <c r="FV1553" s="59"/>
      <c r="FW1553" s="59"/>
      <c r="FX1553" s="59"/>
      <c r="FY1553" s="59"/>
      <c r="FZ1553" s="59"/>
      <c r="GA1553" s="59"/>
      <c r="GB1553" s="59"/>
      <c r="GC1553" s="59"/>
    </row>
    <row r="1554">
      <c r="A1554" s="59"/>
      <c r="B1554" s="59"/>
      <c r="C1554" s="59"/>
      <c r="D1554" s="59"/>
      <c r="E1554" s="59"/>
      <c r="F1554" s="59"/>
      <c r="G1554" s="59"/>
      <c r="H1554" s="59"/>
      <c r="I1554" s="59"/>
      <c r="J1554" s="59"/>
      <c r="K1554" s="59"/>
      <c r="L1554" s="59"/>
      <c r="M1554" s="59"/>
      <c r="N1554" s="59"/>
      <c r="O1554" s="59"/>
      <c r="P1554" s="59"/>
      <c r="Q1554" s="59"/>
      <c r="R1554" s="59"/>
      <c r="S1554" s="59"/>
      <c r="T1554" s="59"/>
      <c r="U1554" s="59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59"/>
      <c r="AG1554" s="59"/>
      <c r="AH1554" s="59"/>
      <c r="AI1554" s="59"/>
      <c r="AJ1554" s="59"/>
      <c r="AK1554" s="59"/>
      <c r="AL1554" s="59"/>
      <c r="AM1554" s="59"/>
      <c r="AN1554" s="59"/>
      <c r="AO1554" s="59"/>
      <c r="AP1554" s="59"/>
      <c r="AQ1554" s="59"/>
      <c r="AR1554" s="59"/>
      <c r="AS1554" s="59"/>
      <c r="AT1554" s="59"/>
      <c r="AU1554" s="59"/>
      <c r="AV1554" s="59"/>
      <c r="AW1554" s="59"/>
      <c r="AX1554" s="59"/>
      <c r="AY1554" s="59"/>
      <c r="AZ1554" s="59"/>
      <c r="BA1554" s="59"/>
      <c r="BB1554" s="59"/>
      <c r="BC1554" s="59"/>
      <c r="BD1554" s="59"/>
      <c r="BE1554" s="59"/>
      <c r="BF1554" s="59"/>
      <c r="BG1554" s="59"/>
      <c r="BH1554" s="59"/>
      <c r="BI1554" s="59"/>
      <c r="BJ1554" s="59"/>
      <c r="BK1554" s="59"/>
      <c r="BL1554" s="59"/>
      <c r="BM1554" s="59"/>
      <c r="BN1554" s="59"/>
      <c r="BO1554" s="59"/>
      <c r="BP1554" s="59"/>
      <c r="BQ1554" s="59"/>
      <c r="BR1554" s="59"/>
      <c r="BS1554" s="59"/>
      <c r="BT1554" s="59"/>
      <c r="BU1554" s="59"/>
      <c r="BV1554" s="59"/>
      <c r="BW1554" s="59"/>
      <c r="BX1554" s="59"/>
      <c r="BY1554" s="59"/>
      <c r="BZ1554" s="59"/>
      <c r="CA1554" s="59"/>
      <c r="CB1554" s="59"/>
      <c r="CC1554" s="59"/>
      <c r="CD1554" s="59"/>
      <c r="CE1554" s="59"/>
      <c r="CF1554" s="59"/>
      <c r="CG1554" s="59"/>
      <c r="CH1554" s="59"/>
      <c r="CI1554" s="59"/>
      <c r="CJ1554" s="59"/>
      <c r="CK1554" s="59"/>
      <c r="CL1554" s="59"/>
      <c r="CM1554" s="59"/>
      <c r="CN1554" s="59"/>
      <c r="CO1554" s="59"/>
      <c r="CP1554" s="59"/>
      <c r="CQ1554" s="59"/>
      <c r="CR1554" s="59"/>
      <c r="CS1554" s="59"/>
      <c r="CT1554" s="59"/>
      <c r="CU1554" s="59"/>
      <c r="CV1554" s="59"/>
      <c r="CW1554" s="59"/>
      <c r="CX1554" s="59"/>
      <c r="CY1554" s="59"/>
      <c r="CZ1554" s="59"/>
      <c r="DA1554" s="59"/>
      <c r="DB1554" s="59"/>
      <c r="DC1554" s="59"/>
      <c r="DD1554" s="59"/>
      <c r="DE1554" s="59"/>
      <c r="DF1554" s="59"/>
      <c r="DG1554" s="59"/>
      <c r="DH1554" s="59"/>
      <c r="DI1554" s="59"/>
      <c r="DJ1554" s="59"/>
      <c r="DK1554" s="59"/>
      <c r="DL1554" s="59"/>
      <c r="DM1554" s="59"/>
      <c r="DN1554" s="59"/>
      <c r="DO1554" s="59"/>
      <c r="DP1554" s="59"/>
      <c r="DQ1554" s="59"/>
      <c r="DR1554" s="59"/>
      <c r="DS1554" s="59"/>
      <c r="DT1554" s="59"/>
      <c r="DU1554" s="59"/>
      <c r="DV1554" s="59"/>
      <c r="DW1554" s="59"/>
      <c r="DX1554" s="59"/>
      <c r="DY1554" s="59"/>
      <c r="DZ1554" s="59"/>
      <c r="EA1554" s="59"/>
      <c r="EB1554" s="59"/>
      <c r="EC1554" s="59"/>
      <c r="ED1554" s="59"/>
      <c r="EE1554" s="59"/>
      <c r="EF1554" s="59"/>
      <c r="EG1554" s="59"/>
      <c r="EH1554" s="59"/>
      <c r="EI1554" s="59"/>
      <c r="EJ1554" s="59"/>
      <c r="EK1554" s="59"/>
      <c r="EL1554" s="59"/>
      <c r="EM1554" s="59"/>
      <c r="EN1554" s="59"/>
      <c r="EO1554" s="59"/>
      <c r="EP1554" s="59"/>
      <c r="EQ1554" s="59"/>
      <c r="ER1554" s="59"/>
      <c r="ES1554" s="59"/>
      <c r="ET1554" s="59"/>
      <c r="EU1554" s="59"/>
      <c r="EV1554" s="59"/>
      <c r="EW1554" s="59"/>
      <c r="EX1554" s="59"/>
      <c r="EY1554" s="59"/>
      <c r="EZ1554" s="59"/>
      <c r="FA1554" s="59"/>
      <c r="FB1554" s="59"/>
      <c r="FC1554" s="59"/>
      <c r="FD1554" s="59"/>
      <c r="FE1554" s="59"/>
      <c r="FF1554" s="59"/>
      <c r="FG1554" s="59"/>
      <c r="FH1554" s="59"/>
      <c r="FI1554" s="59"/>
      <c r="FJ1554" s="59"/>
      <c r="FK1554" s="59"/>
      <c r="FL1554" s="59"/>
      <c r="FM1554" s="59"/>
      <c r="FN1554" s="59"/>
      <c r="FO1554" s="59"/>
      <c r="FP1554" s="59"/>
      <c r="FQ1554" s="59"/>
      <c r="FR1554" s="59"/>
      <c r="FS1554" s="59"/>
      <c r="FT1554" s="59"/>
      <c r="FU1554" s="59"/>
      <c r="FV1554" s="59"/>
      <c r="FW1554" s="59"/>
      <c r="FX1554" s="59"/>
      <c r="FY1554" s="59"/>
      <c r="FZ1554" s="59"/>
      <c r="GA1554" s="59"/>
      <c r="GB1554" s="59"/>
      <c r="GC1554" s="59"/>
    </row>
    <row r="1555">
      <c r="A1555" s="59"/>
      <c r="B1555" s="59"/>
      <c r="C1555" s="59"/>
      <c r="D1555" s="59"/>
      <c r="E1555" s="59"/>
      <c r="F1555" s="59"/>
      <c r="G1555" s="59"/>
      <c r="H1555" s="59"/>
      <c r="I1555" s="59"/>
      <c r="J1555" s="59"/>
      <c r="K1555" s="59"/>
      <c r="L1555" s="59"/>
      <c r="M1555" s="59"/>
      <c r="N1555" s="59"/>
      <c r="O1555" s="59"/>
      <c r="P1555" s="59"/>
      <c r="Q1555" s="59"/>
      <c r="R1555" s="59"/>
      <c r="S1555" s="59"/>
      <c r="T1555" s="59"/>
      <c r="U1555" s="59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59"/>
      <c r="AG1555" s="59"/>
      <c r="AH1555" s="59"/>
      <c r="AI1555" s="59"/>
      <c r="AJ1555" s="59"/>
      <c r="AK1555" s="59"/>
      <c r="AL1555" s="59"/>
      <c r="AM1555" s="59"/>
      <c r="AN1555" s="59"/>
      <c r="AO1555" s="59"/>
      <c r="AP1555" s="59"/>
      <c r="AQ1555" s="59"/>
      <c r="AR1555" s="59"/>
      <c r="AS1555" s="59"/>
      <c r="AT1555" s="59"/>
      <c r="AU1555" s="59"/>
      <c r="AV1555" s="59"/>
      <c r="AW1555" s="59"/>
      <c r="AX1555" s="59"/>
      <c r="AY1555" s="59"/>
      <c r="AZ1555" s="59"/>
      <c r="BA1555" s="59"/>
      <c r="BB1555" s="59"/>
      <c r="BC1555" s="59"/>
      <c r="BD1555" s="59"/>
      <c r="BE1555" s="59"/>
      <c r="BF1555" s="59"/>
      <c r="BG1555" s="59"/>
      <c r="BH1555" s="59"/>
      <c r="BI1555" s="59"/>
      <c r="BJ1555" s="59"/>
      <c r="BK1555" s="59"/>
      <c r="BL1555" s="59"/>
      <c r="BM1555" s="59"/>
      <c r="BN1555" s="59"/>
      <c r="BO1555" s="59"/>
      <c r="BP1555" s="59"/>
      <c r="BQ1555" s="59"/>
      <c r="BR1555" s="59"/>
      <c r="BS1555" s="59"/>
      <c r="BT1555" s="59"/>
      <c r="BU1555" s="59"/>
      <c r="BV1555" s="59"/>
      <c r="BW1555" s="59"/>
      <c r="BX1555" s="59"/>
      <c r="BY1555" s="59"/>
      <c r="BZ1555" s="59"/>
      <c r="CA1555" s="59"/>
      <c r="CB1555" s="59"/>
      <c r="CC1555" s="59"/>
      <c r="CD1555" s="59"/>
      <c r="CE1555" s="59"/>
      <c r="CF1555" s="59"/>
      <c r="CG1555" s="59"/>
      <c r="CH1555" s="59"/>
      <c r="CI1555" s="59"/>
      <c r="CJ1555" s="59"/>
      <c r="CK1555" s="59"/>
      <c r="CL1555" s="59"/>
      <c r="CM1555" s="59"/>
      <c r="CN1555" s="59"/>
      <c r="CO1555" s="59"/>
      <c r="CP1555" s="59"/>
      <c r="CQ1555" s="59"/>
      <c r="CR1555" s="59"/>
      <c r="CS1555" s="59"/>
      <c r="CT1555" s="59"/>
      <c r="CU1555" s="59"/>
      <c r="CV1555" s="59"/>
      <c r="CW1555" s="59"/>
      <c r="CX1555" s="59"/>
      <c r="CY1555" s="59"/>
      <c r="CZ1555" s="59"/>
      <c r="DA1555" s="59"/>
      <c r="DB1555" s="59"/>
      <c r="DC1555" s="59"/>
      <c r="DD1555" s="59"/>
      <c r="DE1555" s="59"/>
      <c r="DF1555" s="59"/>
      <c r="DG1555" s="59"/>
      <c r="DH1555" s="59"/>
      <c r="DI1555" s="59"/>
      <c r="DJ1555" s="59"/>
      <c r="DK1555" s="59"/>
      <c r="DL1555" s="59"/>
      <c r="DM1555" s="59"/>
      <c r="DN1555" s="59"/>
      <c r="DO1555" s="59"/>
      <c r="DP1555" s="59"/>
      <c r="DQ1555" s="59"/>
      <c r="DR1555" s="59"/>
      <c r="DS1555" s="59"/>
      <c r="DT1555" s="59"/>
      <c r="DU1555" s="59"/>
      <c r="DV1555" s="59"/>
      <c r="DW1555" s="59"/>
      <c r="DX1555" s="59"/>
      <c r="DY1555" s="59"/>
      <c r="DZ1555" s="59"/>
      <c r="EA1555" s="59"/>
      <c r="EB1555" s="59"/>
      <c r="EC1555" s="59"/>
      <c r="ED1555" s="59"/>
      <c r="EE1555" s="59"/>
      <c r="EF1555" s="59"/>
      <c r="EG1555" s="59"/>
      <c r="EH1555" s="59"/>
      <c r="EI1555" s="59"/>
      <c r="EJ1555" s="59"/>
      <c r="EK1555" s="59"/>
      <c r="EL1555" s="59"/>
      <c r="EM1555" s="59"/>
      <c r="EN1555" s="59"/>
      <c r="EO1555" s="59"/>
      <c r="EP1555" s="59"/>
      <c r="EQ1555" s="59"/>
      <c r="ER1555" s="59"/>
      <c r="ES1555" s="59"/>
      <c r="ET1555" s="59"/>
      <c r="EU1555" s="59"/>
      <c r="EV1555" s="59"/>
      <c r="EW1555" s="59"/>
      <c r="EX1555" s="59"/>
      <c r="EY1555" s="59"/>
      <c r="EZ1555" s="59"/>
      <c r="FA1555" s="59"/>
      <c r="FB1555" s="59"/>
      <c r="FC1555" s="59"/>
      <c r="FD1555" s="59"/>
      <c r="FE1555" s="59"/>
      <c r="FF1555" s="59"/>
      <c r="FG1555" s="59"/>
      <c r="FH1555" s="59"/>
      <c r="FI1555" s="59"/>
      <c r="FJ1555" s="59"/>
      <c r="FK1555" s="59"/>
      <c r="FL1555" s="59"/>
      <c r="FM1555" s="59"/>
      <c r="FN1555" s="59"/>
      <c r="FO1555" s="59"/>
      <c r="FP1555" s="59"/>
      <c r="FQ1555" s="59"/>
      <c r="FR1555" s="59"/>
      <c r="FS1555" s="59"/>
      <c r="FT1555" s="59"/>
      <c r="FU1555" s="59"/>
      <c r="FV1555" s="59"/>
      <c r="FW1555" s="59"/>
      <c r="FX1555" s="59"/>
      <c r="FY1555" s="59"/>
      <c r="FZ1555" s="59"/>
      <c r="GA1555" s="59"/>
      <c r="GB1555" s="59"/>
      <c r="GC1555" s="59"/>
    </row>
    <row r="1556">
      <c r="A1556" s="59"/>
      <c r="B1556" s="59"/>
      <c r="C1556" s="59"/>
      <c r="D1556" s="59"/>
      <c r="E1556" s="59"/>
      <c r="F1556" s="59"/>
      <c r="G1556" s="59"/>
      <c r="H1556" s="59"/>
      <c r="I1556" s="59"/>
      <c r="J1556" s="59"/>
      <c r="K1556" s="59"/>
      <c r="L1556" s="59"/>
      <c r="M1556" s="59"/>
      <c r="N1556" s="59"/>
      <c r="O1556" s="59"/>
      <c r="P1556" s="59"/>
      <c r="Q1556" s="59"/>
      <c r="R1556" s="59"/>
      <c r="S1556" s="59"/>
      <c r="T1556" s="59"/>
      <c r="U1556" s="59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59"/>
      <c r="AG1556" s="59"/>
      <c r="AH1556" s="59"/>
      <c r="AI1556" s="59"/>
      <c r="AJ1556" s="59"/>
      <c r="AK1556" s="59"/>
      <c r="AL1556" s="59"/>
      <c r="AM1556" s="59"/>
      <c r="AN1556" s="59"/>
      <c r="AO1556" s="59"/>
      <c r="AP1556" s="59"/>
      <c r="AQ1556" s="59"/>
      <c r="AR1556" s="59"/>
      <c r="AS1556" s="59"/>
      <c r="AT1556" s="59"/>
      <c r="AU1556" s="59"/>
      <c r="AV1556" s="59"/>
      <c r="AW1556" s="59"/>
      <c r="AX1556" s="59"/>
      <c r="AY1556" s="59"/>
      <c r="AZ1556" s="59"/>
      <c r="BA1556" s="59"/>
      <c r="BB1556" s="59"/>
      <c r="BC1556" s="59"/>
      <c r="BD1556" s="59"/>
      <c r="BE1556" s="59"/>
      <c r="BF1556" s="59"/>
      <c r="BG1556" s="59"/>
      <c r="BH1556" s="59"/>
      <c r="BI1556" s="59"/>
      <c r="BJ1556" s="59"/>
      <c r="BK1556" s="59"/>
      <c r="BL1556" s="59"/>
      <c r="BM1556" s="59"/>
      <c r="BN1556" s="59"/>
      <c r="BO1556" s="59"/>
      <c r="BP1556" s="59"/>
      <c r="BQ1556" s="59"/>
      <c r="BR1556" s="59"/>
      <c r="BS1556" s="59"/>
      <c r="BT1556" s="59"/>
      <c r="BU1556" s="59"/>
      <c r="BV1556" s="59"/>
      <c r="BW1556" s="59"/>
      <c r="BX1556" s="59"/>
      <c r="BY1556" s="59"/>
      <c r="BZ1556" s="59"/>
      <c r="CA1556" s="59"/>
      <c r="CB1556" s="59"/>
      <c r="CC1556" s="59"/>
      <c r="CD1556" s="59"/>
      <c r="CE1556" s="59"/>
      <c r="CF1556" s="59"/>
      <c r="CG1556" s="59"/>
      <c r="CH1556" s="59"/>
      <c r="CI1556" s="59"/>
      <c r="CJ1556" s="59"/>
      <c r="CK1556" s="59"/>
      <c r="CL1556" s="59"/>
      <c r="CM1556" s="59"/>
      <c r="CN1556" s="59"/>
      <c r="CO1556" s="59"/>
      <c r="CP1556" s="59"/>
      <c r="CQ1556" s="59"/>
      <c r="CR1556" s="59"/>
      <c r="CS1556" s="59"/>
      <c r="CT1556" s="59"/>
      <c r="CU1556" s="59"/>
      <c r="CV1556" s="59"/>
      <c r="CW1556" s="59"/>
      <c r="CX1556" s="59"/>
      <c r="CY1556" s="59"/>
      <c r="CZ1556" s="59"/>
      <c r="DA1556" s="59"/>
      <c r="DB1556" s="59"/>
      <c r="DC1556" s="59"/>
      <c r="DD1556" s="59"/>
      <c r="DE1556" s="59"/>
      <c r="DF1556" s="59"/>
      <c r="DG1556" s="59"/>
      <c r="DH1556" s="59"/>
      <c r="DI1556" s="59"/>
      <c r="DJ1556" s="59"/>
      <c r="DK1556" s="59"/>
      <c r="DL1556" s="59"/>
      <c r="DM1556" s="59"/>
      <c r="DN1556" s="59"/>
      <c r="DO1556" s="59"/>
      <c r="DP1556" s="59"/>
      <c r="DQ1556" s="59"/>
      <c r="DR1556" s="59"/>
      <c r="DS1556" s="59"/>
      <c r="DT1556" s="59"/>
      <c r="DU1556" s="59"/>
      <c r="DV1556" s="59"/>
      <c r="DW1556" s="59"/>
      <c r="DX1556" s="59"/>
      <c r="DY1556" s="59"/>
      <c r="DZ1556" s="59"/>
      <c r="EA1556" s="59"/>
      <c r="EB1556" s="59"/>
      <c r="EC1556" s="59"/>
      <c r="ED1556" s="59"/>
      <c r="EE1556" s="59"/>
      <c r="EF1556" s="59"/>
      <c r="EG1556" s="59"/>
      <c r="EH1556" s="59"/>
      <c r="EI1556" s="59"/>
      <c r="EJ1556" s="59"/>
      <c r="EK1556" s="59"/>
      <c r="EL1556" s="59"/>
      <c r="EM1556" s="59"/>
      <c r="EN1556" s="59"/>
      <c r="EO1556" s="59"/>
      <c r="EP1556" s="59"/>
      <c r="EQ1556" s="59"/>
      <c r="ER1556" s="59"/>
      <c r="ES1556" s="59"/>
      <c r="ET1556" s="59"/>
      <c r="EU1556" s="59"/>
      <c r="EV1556" s="59"/>
      <c r="EW1556" s="59"/>
      <c r="EX1556" s="59"/>
      <c r="EY1556" s="59"/>
      <c r="EZ1556" s="59"/>
      <c r="FA1556" s="59"/>
      <c r="FB1556" s="59"/>
      <c r="FC1556" s="59"/>
      <c r="FD1556" s="59"/>
      <c r="FE1556" s="59"/>
      <c r="FF1556" s="59"/>
      <c r="FG1556" s="59"/>
      <c r="FH1556" s="59"/>
      <c r="FI1556" s="59"/>
      <c r="FJ1556" s="59"/>
      <c r="FK1556" s="59"/>
      <c r="FL1556" s="59"/>
      <c r="FM1556" s="59"/>
      <c r="FN1556" s="59"/>
      <c r="FO1556" s="59"/>
      <c r="FP1556" s="59"/>
      <c r="FQ1556" s="59"/>
      <c r="FR1556" s="59"/>
      <c r="FS1556" s="59"/>
      <c r="FT1556" s="59"/>
      <c r="FU1556" s="59"/>
      <c r="FV1556" s="59"/>
      <c r="FW1556" s="59"/>
      <c r="FX1556" s="59"/>
      <c r="FY1556" s="59"/>
      <c r="FZ1556" s="59"/>
      <c r="GA1556" s="59"/>
      <c r="GB1556" s="59"/>
      <c r="GC1556" s="59"/>
    </row>
    <row r="1557">
      <c r="A1557" s="59"/>
      <c r="B1557" s="59"/>
      <c r="C1557" s="59"/>
      <c r="D1557" s="59"/>
      <c r="E1557" s="59"/>
      <c r="F1557" s="59"/>
      <c r="G1557" s="59"/>
      <c r="H1557" s="59"/>
      <c r="I1557" s="59"/>
      <c r="J1557" s="59"/>
      <c r="K1557" s="59"/>
      <c r="L1557" s="59"/>
      <c r="M1557" s="59"/>
      <c r="N1557" s="59"/>
      <c r="O1557" s="59"/>
      <c r="P1557" s="59"/>
      <c r="Q1557" s="59"/>
      <c r="R1557" s="59"/>
      <c r="S1557" s="59"/>
      <c r="T1557" s="59"/>
      <c r="U1557" s="59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59"/>
      <c r="AG1557" s="59"/>
      <c r="AH1557" s="59"/>
      <c r="AI1557" s="59"/>
      <c r="AJ1557" s="59"/>
      <c r="AK1557" s="59"/>
      <c r="AL1557" s="59"/>
      <c r="AM1557" s="59"/>
      <c r="AN1557" s="59"/>
      <c r="AO1557" s="59"/>
      <c r="AP1557" s="59"/>
      <c r="AQ1557" s="59"/>
      <c r="AR1557" s="59"/>
      <c r="AS1557" s="59"/>
      <c r="AT1557" s="59"/>
      <c r="AU1557" s="59"/>
      <c r="AV1557" s="59"/>
      <c r="AW1557" s="59"/>
      <c r="AX1557" s="59"/>
      <c r="AY1557" s="59"/>
      <c r="AZ1557" s="59"/>
      <c r="BA1557" s="59"/>
      <c r="BB1557" s="59"/>
      <c r="BC1557" s="59"/>
      <c r="BD1557" s="59"/>
      <c r="BE1557" s="59"/>
      <c r="BF1557" s="59"/>
      <c r="BG1557" s="59"/>
      <c r="BH1557" s="59"/>
      <c r="BI1557" s="59"/>
      <c r="BJ1557" s="59"/>
      <c r="BK1557" s="59"/>
      <c r="BL1557" s="59"/>
      <c r="BM1557" s="59"/>
      <c r="BN1557" s="59"/>
      <c r="BO1557" s="59"/>
      <c r="BP1557" s="59"/>
      <c r="BQ1557" s="59"/>
      <c r="BR1557" s="59"/>
      <c r="BS1557" s="59"/>
      <c r="BT1557" s="59"/>
      <c r="BU1557" s="59"/>
      <c r="BV1557" s="59"/>
      <c r="BW1557" s="59"/>
      <c r="BX1557" s="59"/>
      <c r="BY1557" s="59"/>
      <c r="BZ1557" s="59"/>
      <c r="CA1557" s="59"/>
      <c r="CB1557" s="59"/>
      <c r="CC1557" s="59"/>
      <c r="CD1557" s="59"/>
      <c r="CE1557" s="59"/>
      <c r="CF1557" s="59"/>
      <c r="CG1557" s="59"/>
      <c r="CH1557" s="59"/>
      <c r="CI1557" s="59"/>
      <c r="CJ1557" s="59"/>
      <c r="CK1557" s="59"/>
      <c r="CL1557" s="59"/>
      <c r="CM1557" s="59"/>
      <c r="CN1557" s="59"/>
      <c r="CO1557" s="59"/>
      <c r="CP1557" s="59"/>
      <c r="CQ1557" s="59"/>
      <c r="CR1557" s="59"/>
      <c r="CS1557" s="59"/>
      <c r="CT1557" s="59"/>
      <c r="CU1557" s="59"/>
      <c r="CV1557" s="59"/>
      <c r="CW1557" s="59"/>
      <c r="CX1557" s="59"/>
      <c r="CY1557" s="59"/>
      <c r="CZ1557" s="59"/>
      <c r="DA1557" s="59"/>
      <c r="DB1557" s="59"/>
      <c r="DC1557" s="59"/>
      <c r="DD1557" s="59"/>
      <c r="DE1557" s="59"/>
      <c r="DF1557" s="59"/>
      <c r="DG1557" s="59"/>
      <c r="DH1557" s="59"/>
      <c r="DI1557" s="59"/>
      <c r="DJ1557" s="59"/>
      <c r="DK1557" s="59"/>
      <c r="DL1557" s="59"/>
      <c r="DM1557" s="59"/>
      <c r="DN1557" s="59"/>
      <c r="DO1557" s="59"/>
      <c r="DP1557" s="59"/>
      <c r="DQ1557" s="59"/>
      <c r="DR1557" s="59"/>
      <c r="DS1557" s="59"/>
      <c r="DT1557" s="59"/>
      <c r="DU1557" s="59"/>
      <c r="DV1557" s="59"/>
      <c r="DW1557" s="59"/>
      <c r="DX1557" s="59"/>
      <c r="DY1557" s="59"/>
      <c r="DZ1557" s="59"/>
      <c r="EA1557" s="59"/>
      <c r="EB1557" s="59"/>
      <c r="EC1557" s="59"/>
      <c r="ED1557" s="59"/>
      <c r="EE1557" s="59"/>
      <c r="EF1557" s="59"/>
      <c r="EG1557" s="59"/>
      <c r="EH1557" s="59"/>
      <c r="EI1557" s="59"/>
      <c r="EJ1557" s="59"/>
      <c r="EK1557" s="59"/>
      <c r="EL1557" s="59"/>
      <c r="EM1557" s="59"/>
      <c r="EN1557" s="59"/>
      <c r="EO1557" s="59"/>
      <c r="EP1557" s="59"/>
      <c r="EQ1557" s="59"/>
      <c r="ER1557" s="59"/>
      <c r="ES1557" s="59"/>
      <c r="ET1557" s="59"/>
      <c r="EU1557" s="59"/>
      <c r="EV1557" s="59"/>
      <c r="EW1557" s="59"/>
      <c r="EX1557" s="59"/>
      <c r="EY1557" s="59"/>
      <c r="EZ1557" s="59"/>
      <c r="FA1557" s="59"/>
      <c r="FB1557" s="59"/>
      <c r="FC1557" s="59"/>
      <c r="FD1557" s="59"/>
      <c r="FE1557" s="59"/>
      <c r="FF1557" s="59"/>
      <c r="FG1557" s="59"/>
      <c r="FH1557" s="59"/>
      <c r="FI1557" s="59"/>
      <c r="FJ1557" s="59"/>
      <c r="FK1557" s="59"/>
      <c r="FL1557" s="59"/>
      <c r="FM1557" s="59"/>
      <c r="FN1557" s="59"/>
      <c r="FO1557" s="59"/>
      <c r="FP1557" s="59"/>
      <c r="FQ1557" s="59"/>
      <c r="FR1557" s="59"/>
      <c r="FS1557" s="59"/>
      <c r="FT1557" s="59"/>
      <c r="FU1557" s="59"/>
      <c r="FV1557" s="59"/>
      <c r="FW1557" s="59"/>
      <c r="FX1557" s="59"/>
      <c r="FY1557" s="59"/>
      <c r="FZ1557" s="59"/>
      <c r="GA1557" s="59"/>
      <c r="GB1557" s="59"/>
      <c r="GC1557" s="59"/>
    </row>
    <row r="1558">
      <c r="A1558" s="59"/>
      <c r="B1558" s="59"/>
      <c r="C1558" s="59"/>
      <c r="D1558" s="59"/>
      <c r="E1558" s="59"/>
      <c r="F1558" s="59"/>
      <c r="G1558" s="59"/>
      <c r="H1558" s="59"/>
      <c r="I1558" s="59"/>
      <c r="J1558" s="59"/>
      <c r="K1558" s="59"/>
      <c r="L1558" s="59"/>
      <c r="M1558" s="59"/>
      <c r="N1558" s="59"/>
      <c r="O1558" s="59"/>
      <c r="P1558" s="59"/>
      <c r="Q1558" s="59"/>
      <c r="R1558" s="59"/>
      <c r="S1558" s="59"/>
      <c r="T1558" s="59"/>
      <c r="U1558" s="59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59"/>
      <c r="AG1558" s="59"/>
      <c r="AH1558" s="59"/>
      <c r="AI1558" s="59"/>
      <c r="AJ1558" s="59"/>
      <c r="AK1558" s="59"/>
      <c r="AL1558" s="59"/>
      <c r="AM1558" s="59"/>
      <c r="AN1558" s="59"/>
      <c r="AO1558" s="59"/>
      <c r="AP1558" s="59"/>
      <c r="AQ1558" s="59"/>
      <c r="AR1558" s="59"/>
      <c r="AS1558" s="59"/>
      <c r="AT1558" s="59"/>
      <c r="AU1558" s="59"/>
      <c r="AV1558" s="59"/>
      <c r="AW1558" s="59"/>
      <c r="AX1558" s="59"/>
      <c r="AY1558" s="59"/>
      <c r="AZ1558" s="59"/>
      <c r="BA1558" s="59"/>
      <c r="BB1558" s="59"/>
      <c r="BC1558" s="59"/>
      <c r="BD1558" s="59"/>
      <c r="BE1558" s="59"/>
      <c r="BF1558" s="59"/>
      <c r="BG1558" s="59"/>
      <c r="BH1558" s="59"/>
      <c r="BI1558" s="59"/>
      <c r="BJ1558" s="59"/>
      <c r="BK1558" s="59"/>
      <c r="BL1558" s="59"/>
      <c r="BM1558" s="59"/>
      <c r="BN1558" s="59"/>
      <c r="BO1558" s="59"/>
      <c r="BP1558" s="59"/>
      <c r="BQ1558" s="59"/>
      <c r="BR1558" s="59"/>
      <c r="BS1558" s="59"/>
      <c r="BT1558" s="59"/>
      <c r="BU1558" s="59"/>
      <c r="BV1558" s="59"/>
      <c r="BW1558" s="59"/>
      <c r="BX1558" s="59"/>
      <c r="BY1558" s="59"/>
      <c r="BZ1558" s="59"/>
      <c r="CA1558" s="59"/>
      <c r="CB1558" s="59"/>
      <c r="CC1558" s="59"/>
      <c r="CD1558" s="59"/>
      <c r="CE1558" s="59"/>
      <c r="CF1558" s="59"/>
      <c r="CG1558" s="59"/>
      <c r="CH1558" s="59"/>
      <c r="CI1558" s="59"/>
      <c r="CJ1558" s="59"/>
      <c r="CK1558" s="59"/>
      <c r="CL1558" s="59"/>
      <c r="CM1558" s="59"/>
      <c r="CN1558" s="59"/>
      <c r="CO1558" s="59"/>
      <c r="CP1558" s="59"/>
      <c r="CQ1558" s="59"/>
      <c r="CR1558" s="59"/>
      <c r="CS1558" s="59"/>
      <c r="CT1558" s="59"/>
      <c r="CU1558" s="59"/>
      <c r="CV1558" s="59"/>
      <c r="CW1558" s="59"/>
      <c r="CX1558" s="59"/>
      <c r="CY1558" s="59"/>
      <c r="CZ1558" s="59"/>
      <c r="DA1558" s="59"/>
      <c r="DB1558" s="59"/>
      <c r="DC1558" s="59"/>
      <c r="DD1558" s="59"/>
      <c r="DE1558" s="59"/>
      <c r="DF1558" s="59"/>
      <c r="DG1558" s="59"/>
      <c r="DH1558" s="59"/>
      <c r="DI1558" s="59"/>
      <c r="DJ1558" s="59"/>
      <c r="DK1558" s="59"/>
      <c r="DL1558" s="59"/>
      <c r="DM1558" s="59"/>
      <c r="DN1558" s="59"/>
      <c r="DO1558" s="59"/>
      <c r="DP1558" s="59"/>
      <c r="DQ1558" s="59"/>
      <c r="DR1558" s="59"/>
      <c r="DS1558" s="59"/>
      <c r="DT1558" s="59"/>
      <c r="DU1558" s="59"/>
      <c r="DV1558" s="59"/>
      <c r="DW1558" s="59"/>
      <c r="DX1558" s="59"/>
      <c r="DY1558" s="59"/>
      <c r="DZ1558" s="59"/>
      <c r="EA1558" s="59"/>
      <c r="EB1558" s="59"/>
      <c r="EC1558" s="59"/>
      <c r="ED1558" s="59"/>
      <c r="EE1558" s="59"/>
      <c r="EF1558" s="59"/>
      <c r="EG1558" s="59"/>
      <c r="EH1558" s="59"/>
      <c r="EI1558" s="59"/>
      <c r="EJ1558" s="59"/>
      <c r="EK1558" s="59"/>
      <c r="EL1558" s="59"/>
      <c r="EM1558" s="59"/>
      <c r="EN1558" s="59"/>
      <c r="EO1558" s="59"/>
      <c r="EP1558" s="59"/>
      <c r="EQ1558" s="59"/>
      <c r="ER1558" s="59"/>
      <c r="ES1558" s="59"/>
      <c r="ET1558" s="59"/>
      <c r="EU1558" s="59"/>
      <c r="EV1558" s="59"/>
      <c r="EW1558" s="59"/>
      <c r="EX1558" s="59"/>
      <c r="EY1558" s="59"/>
      <c r="EZ1558" s="59"/>
      <c r="FA1558" s="59"/>
      <c r="FB1558" s="59"/>
      <c r="FC1558" s="59"/>
      <c r="FD1558" s="59"/>
      <c r="FE1558" s="59"/>
      <c r="FF1558" s="59"/>
      <c r="FG1558" s="59"/>
      <c r="FH1558" s="59"/>
      <c r="FI1558" s="59"/>
      <c r="FJ1558" s="59"/>
      <c r="FK1558" s="59"/>
      <c r="FL1558" s="59"/>
      <c r="FM1558" s="59"/>
      <c r="FN1558" s="59"/>
      <c r="FO1558" s="59"/>
      <c r="FP1558" s="59"/>
      <c r="FQ1558" s="59"/>
      <c r="FR1558" s="59"/>
      <c r="FS1558" s="59"/>
      <c r="FT1558" s="59"/>
      <c r="FU1558" s="59"/>
      <c r="FV1558" s="59"/>
      <c r="FW1558" s="59"/>
      <c r="FX1558" s="59"/>
      <c r="FY1558" s="59"/>
      <c r="FZ1558" s="59"/>
      <c r="GA1558" s="59"/>
      <c r="GB1558" s="59"/>
      <c r="GC1558" s="59"/>
    </row>
    <row r="1559">
      <c r="A1559" s="59"/>
      <c r="B1559" s="59"/>
      <c r="C1559" s="59"/>
      <c r="D1559" s="59"/>
      <c r="E1559" s="59"/>
      <c r="F1559" s="59"/>
      <c r="G1559" s="59"/>
      <c r="H1559" s="59"/>
      <c r="I1559" s="59"/>
      <c r="J1559" s="59"/>
      <c r="K1559" s="59"/>
      <c r="L1559" s="59"/>
      <c r="M1559" s="59"/>
      <c r="N1559" s="59"/>
      <c r="O1559" s="59"/>
      <c r="P1559" s="59"/>
      <c r="Q1559" s="59"/>
      <c r="R1559" s="59"/>
      <c r="S1559" s="59"/>
      <c r="T1559" s="59"/>
      <c r="U1559" s="59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59"/>
      <c r="AG1559" s="59"/>
      <c r="AH1559" s="59"/>
      <c r="AI1559" s="59"/>
      <c r="AJ1559" s="59"/>
      <c r="AK1559" s="59"/>
      <c r="AL1559" s="59"/>
      <c r="AM1559" s="59"/>
      <c r="AN1559" s="59"/>
      <c r="AO1559" s="59"/>
      <c r="AP1559" s="59"/>
      <c r="AQ1559" s="59"/>
      <c r="AR1559" s="59"/>
      <c r="AS1559" s="59"/>
      <c r="AT1559" s="59"/>
      <c r="AU1559" s="59"/>
      <c r="AV1559" s="59"/>
      <c r="AW1559" s="59"/>
      <c r="AX1559" s="59"/>
      <c r="AY1559" s="59"/>
      <c r="AZ1559" s="59"/>
      <c r="BA1559" s="59"/>
      <c r="BB1559" s="59"/>
      <c r="BC1559" s="59"/>
      <c r="BD1559" s="59"/>
      <c r="BE1559" s="59"/>
      <c r="BF1559" s="59"/>
      <c r="BG1559" s="59"/>
      <c r="BH1559" s="59"/>
      <c r="BI1559" s="59"/>
      <c r="BJ1559" s="59"/>
      <c r="BK1559" s="59"/>
      <c r="BL1559" s="59"/>
      <c r="BM1559" s="59"/>
      <c r="BN1559" s="59"/>
      <c r="BO1559" s="59"/>
      <c r="BP1559" s="59"/>
      <c r="BQ1559" s="59"/>
      <c r="BR1559" s="59"/>
      <c r="BS1559" s="59"/>
      <c r="BT1559" s="59"/>
      <c r="BU1559" s="59"/>
      <c r="BV1559" s="59"/>
      <c r="BW1559" s="59"/>
      <c r="BX1559" s="59"/>
      <c r="BY1559" s="59"/>
      <c r="BZ1559" s="59"/>
      <c r="CA1559" s="59"/>
      <c r="CB1559" s="59"/>
      <c r="CC1559" s="59"/>
      <c r="CD1559" s="59"/>
      <c r="CE1559" s="59"/>
      <c r="CF1559" s="59"/>
      <c r="CG1559" s="59"/>
      <c r="CH1559" s="59"/>
      <c r="CI1559" s="59"/>
      <c r="CJ1559" s="59"/>
      <c r="CK1559" s="59"/>
      <c r="CL1559" s="59"/>
      <c r="CM1559" s="59"/>
      <c r="CN1559" s="59"/>
      <c r="CO1559" s="59"/>
      <c r="CP1559" s="59"/>
      <c r="CQ1559" s="59"/>
      <c r="CR1559" s="59"/>
      <c r="CS1559" s="59"/>
      <c r="CT1559" s="59"/>
      <c r="CU1559" s="59"/>
      <c r="CV1559" s="59"/>
      <c r="CW1559" s="59"/>
      <c r="CX1559" s="59"/>
      <c r="CY1559" s="59"/>
      <c r="CZ1559" s="59"/>
      <c r="DA1559" s="59"/>
      <c r="DB1559" s="59"/>
      <c r="DC1559" s="59"/>
      <c r="DD1559" s="59"/>
      <c r="DE1559" s="59"/>
      <c r="DF1559" s="59"/>
      <c r="DG1559" s="59"/>
      <c r="DH1559" s="59"/>
      <c r="DI1559" s="59"/>
      <c r="DJ1559" s="59"/>
      <c r="DK1559" s="59"/>
      <c r="DL1559" s="59"/>
      <c r="DM1559" s="59"/>
      <c r="DN1559" s="59"/>
      <c r="DO1559" s="59"/>
      <c r="DP1559" s="59"/>
      <c r="DQ1559" s="59"/>
      <c r="DR1559" s="59"/>
      <c r="DS1559" s="59"/>
      <c r="DT1559" s="59"/>
      <c r="DU1559" s="59"/>
      <c r="DV1559" s="59"/>
      <c r="DW1559" s="59"/>
      <c r="DX1559" s="59"/>
      <c r="DY1559" s="59"/>
      <c r="DZ1559" s="59"/>
      <c r="EA1559" s="59"/>
      <c r="EB1559" s="59"/>
      <c r="EC1559" s="59"/>
      <c r="ED1559" s="59"/>
      <c r="EE1559" s="59"/>
      <c r="EF1559" s="59"/>
      <c r="EG1559" s="59"/>
      <c r="EH1559" s="59"/>
      <c r="EI1559" s="59"/>
      <c r="EJ1559" s="59"/>
      <c r="EK1559" s="59"/>
      <c r="EL1559" s="59"/>
      <c r="EM1559" s="59"/>
      <c r="EN1559" s="59"/>
      <c r="EO1559" s="59"/>
      <c r="EP1559" s="59"/>
      <c r="EQ1559" s="59"/>
      <c r="ER1559" s="59"/>
      <c r="ES1559" s="59"/>
      <c r="ET1559" s="59"/>
      <c r="EU1559" s="59"/>
      <c r="EV1559" s="59"/>
      <c r="EW1559" s="59"/>
      <c r="EX1559" s="59"/>
      <c r="EY1559" s="59"/>
      <c r="EZ1559" s="59"/>
      <c r="FA1559" s="59"/>
      <c r="FB1559" s="59"/>
      <c r="FC1559" s="59"/>
      <c r="FD1559" s="59"/>
      <c r="FE1559" s="59"/>
      <c r="FF1559" s="59"/>
      <c r="FG1559" s="59"/>
      <c r="FH1559" s="59"/>
      <c r="FI1559" s="59"/>
      <c r="FJ1559" s="59"/>
      <c r="FK1559" s="59"/>
      <c r="FL1559" s="59"/>
      <c r="FM1559" s="59"/>
      <c r="FN1559" s="59"/>
      <c r="FO1559" s="59"/>
      <c r="FP1559" s="59"/>
      <c r="FQ1559" s="59"/>
      <c r="FR1559" s="59"/>
      <c r="FS1559" s="59"/>
      <c r="FT1559" s="59"/>
      <c r="FU1559" s="59"/>
      <c r="FV1559" s="59"/>
      <c r="FW1559" s="59"/>
      <c r="FX1559" s="59"/>
      <c r="FY1559" s="59"/>
      <c r="FZ1559" s="59"/>
      <c r="GA1559" s="59"/>
      <c r="GB1559" s="59"/>
      <c r="GC1559" s="59"/>
    </row>
    <row r="1560">
      <c r="A1560" s="59"/>
      <c r="B1560" s="59"/>
      <c r="C1560" s="59"/>
      <c r="D1560" s="59"/>
      <c r="E1560" s="59"/>
      <c r="F1560" s="59"/>
      <c r="G1560" s="59"/>
      <c r="H1560" s="59"/>
      <c r="I1560" s="59"/>
      <c r="J1560" s="59"/>
      <c r="K1560" s="59"/>
      <c r="L1560" s="59"/>
      <c r="M1560" s="59"/>
      <c r="N1560" s="59"/>
      <c r="O1560" s="59"/>
      <c r="P1560" s="59"/>
      <c r="Q1560" s="59"/>
      <c r="R1560" s="59"/>
      <c r="S1560" s="59"/>
      <c r="T1560" s="59"/>
      <c r="U1560" s="59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59"/>
      <c r="AG1560" s="59"/>
      <c r="AH1560" s="59"/>
      <c r="AI1560" s="59"/>
      <c r="AJ1560" s="59"/>
      <c r="AK1560" s="59"/>
      <c r="AL1560" s="59"/>
      <c r="AM1560" s="59"/>
      <c r="AN1560" s="59"/>
      <c r="AO1560" s="59"/>
      <c r="AP1560" s="59"/>
      <c r="AQ1560" s="59"/>
      <c r="AR1560" s="59"/>
      <c r="AS1560" s="59"/>
      <c r="AT1560" s="59"/>
      <c r="AU1560" s="59"/>
      <c r="AV1560" s="59"/>
      <c r="AW1560" s="59"/>
      <c r="AX1560" s="59"/>
      <c r="AY1560" s="59"/>
      <c r="AZ1560" s="59"/>
      <c r="BA1560" s="59"/>
      <c r="BB1560" s="59"/>
      <c r="BC1560" s="59"/>
      <c r="BD1560" s="59"/>
      <c r="BE1560" s="59"/>
      <c r="BF1560" s="59"/>
      <c r="BG1560" s="59"/>
      <c r="BH1560" s="59"/>
      <c r="BI1560" s="59"/>
      <c r="BJ1560" s="59"/>
      <c r="BK1560" s="59"/>
      <c r="BL1560" s="59"/>
      <c r="BM1560" s="59"/>
      <c r="BN1560" s="59"/>
      <c r="BO1560" s="59"/>
      <c r="BP1560" s="59"/>
      <c r="BQ1560" s="59"/>
      <c r="BR1560" s="59"/>
      <c r="BS1560" s="59"/>
      <c r="BT1560" s="59"/>
      <c r="BU1560" s="59"/>
      <c r="BV1560" s="59"/>
      <c r="BW1560" s="59"/>
      <c r="BX1560" s="59"/>
      <c r="BY1560" s="59"/>
      <c r="BZ1560" s="59"/>
      <c r="CA1560" s="59"/>
      <c r="CB1560" s="59"/>
      <c r="CC1560" s="59"/>
      <c r="CD1560" s="59"/>
      <c r="CE1560" s="59"/>
      <c r="CF1560" s="59"/>
      <c r="CG1560" s="59"/>
      <c r="CH1560" s="59"/>
      <c r="CI1560" s="59"/>
      <c r="CJ1560" s="59"/>
      <c r="CK1560" s="59"/>
      <c r="CL1560" s="59"/>
      <c r="CM1560" s="59"/>
      <c r="CN1560" s="59"/>
      <c r="CO1560" s="59"/>
      <c r="CP1560" s="59"/>
      <c r="CQ1560" s="59"/>
      <c r="CR1560" s="59"/>
      <c r="CS1560" s="59"/>
      <c r="CT1560" s="59"/>
      <c r="CU1560" s="59"/>
      <c r="CV1560" s="59"/>
      <c r="CW1560" s="59"/>
      <c r="CX1560" s="59"/>
      <c r="CY1560" s="59"/>
      <c r="CZ1560" s="59"/>
      <c r="DA1560" s="59"/>
      <c r="DB1560" s="59"/>
      <c r="DC1560" s="59"/>
      <c r="DD1560" s="59"/>
      <c r="DE1560" s="59"/>
      <c r="DF1560" s="59"/>
      <c r="DG1560" s="59"/>
      <c r="DH1560" s="59"/>
      <c r="DI1560" s="59"/>
      <c r="DJ1560" s="59"/>
      <c r="DK1560" s="59"/>
      <c r="DL1560" s="59"/>
      <c r="DM1560" s="59"/>
      <c r="DN1560" s="59"/>
      <c r="DO1560" s="59"/>
      <c r="DP1560" s="59"/>
      <c r="DQ1560" s="59"/>
      <c r="DR1560" s="59"/>
      <c r="DS1560" s="59"/>
      <c r="DT1560" s="59"/>
      <c r="DU1560" s="59"/>
      <c r="DV1560" s="59"/>
      <c r="DW1560" s="59"/>
      <c r="DX1560" s="59"/>
      <c r="DY1560" s="59"/>
      <c r="DZ1560" s="59"/>
      <c r="EA1560" s="59"/>
      <c r="EB1560" s="59"/>
      <c r="EC1560" s="59"/>
      <c r="ED1560" s="59"/>
      <c r="EE1560" s="59"/>
      <c r="EF1560" s="59"/>
      <c r="EG1560" s="59"/>
      <c r="EH1560" s="59"/>
      <c r="EI1560" s="59"/>
      <c r="EJ1560" s="59"/>
      <c r="EK1560" s="59"/>
      <c r="EL1560" s="59"/>
      <c r="EM1560" s="59"/>
      <c r="EN1560" s="59"/>
      <c r="EO1560" s="59"/>
      <c r="EP1560" s="59"/>
      <c r="EQ1560" s="59"/>
      <c r="ER1560" s="59"/>
      <c r="ES1560" s="59"/>
      <c r="ET1560" s="59"/>
      <c r="EU1560" s="59"/>
      <c r="EV1560" s="59"/>
      <c r="EW1560" s="59"/>
      <c r="EX1560" s="59"/>
      <c r="EY1560" s="59"/>
      <c r="EZ1560" s="59"/>
      <c r="FA1560" s="59"/>
      <c r="FB1560" s="59"/>
      <c r="FC1560" s="59"/>
      <c r="FD1560" s="59"/>
      <c r="FE1560" s="59"/>
      <c r="FF1560" s="59"/>
      <c r="FG1560" s="59"/>
      <c r="FH1560" s="59"/>
      <c r="FI1560" s="59"/>
      <c r="FJ1560" s="59"/>
      <c r="FK1560" s="59"/>
      <c r="FL1560" s="59"/>
      <c r="FM1560" s="59"/>
      <c r="FN1560" s="59"/>
      <c r="FO1560" s="59"/>
      <c r="FP1560" s="59"/>
      <c r="FQ1560" s="59"/>
      <c r="FR1560" s="59"/>
      <c r="FS1560" s="59"/>
      <c r="FT1560" s="59"/>
      <c r="FU1560" s="59"/>
      <c r="FV1560" s="59"/>
      <c r="FW1560" s="59"/>
      <c r="FX1560" s="59"/>
      <c r="FY1560" s="59"/>
      <c r="FZ1560" s="59"/>
      <c r="GA1560" s="59"/>
      <c r="GB1560" s="59"/>
      <c r="GC1560" s="59"/>
    </row>
    <row r="1561">
      <c r="A1561" s="59"/>
      <c r="B1561" s="59"/>
      <c r="C1561" s="59"/>
      <c r="D1561" s="59"/>
      <c r="E1561" s="59"/>
      <c r="F1561" s="59"/>
      <c r="G1561" s="59"/>
      <c r="H1561" s="59"/>
      <c r="I1561" s="59"/>
      <c r="J1561" s="59"/>
      <c r="K1561" s="59"/>
      <c r="L1561" s="59"/>
      <c r="M1561" s="59"/>
      <c r="N1561" s="59"/>
      <c r="O1561" s="59"/>
      <c r="P1561" s="59"/>
      <c r="Q1561" s="59"/>
      <c r="R1561" s="59"/>
      <c r="S1561" s="59"/>
      <c r="T1561" s="59"/>
      <c r="U1561" s="59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59"/>
      <c r="AG1561" s="59"/>
      <c r="AH1561" s="59"/>
      <c r="AI1561" s="59"/>
      <c r="AJ1561" s="59"/>
      <c r="AK1561" s="59"/>
      <c r="AL1561" s="59"/>
      <c r="AM1561" s="59"/>
      <c r="AN1561" s="59"/>
      <c r="AO1561" s="59"/>
      <c r="AP1561" s="59"/>
      <c r="AQ1561" s="59"/>
      <c r="AR1561" s="59"/>
      <c r="AS1561" s="59"/>
      <c r="AT1561" s="59"/>
      <c r="AU1561" s="59"/>
      <c r="AV1561" s="59"/>
      <c r="AW1561" s="59"/>
      <c r="AX1561" s="59"/>
      <c r="AY1561" s="59"/>
      <c r="AZ1561" s="59"/>
      <c r="BA1561" s="59"/>
      <c r="BB1561" s="59"/>
      <c r="BC1561" s="59"/>
      <c r="BD1561" s="59"/>
      <c r="BE1561" s="59"/>
      <c r="BF1561" s="59"/>
      <c r="BG1561" s="59"/>
      <c r="BH1561" s="59"/>
      <c r="BI1561" s="59"/>
      <c r="BJ1561" s="59"/>
      <c r="BK1561" s="59"/>
      <c r="BL1561" s="59"/>
      <c r="BM1561" s="59"/>
      <c r="BN1561" s="59"/>
      <c r="BO1561" s="59"/>
      <c r="BP1561" s="59"/>
      <c r="BQ1561" s="59"/>
      <c r="BR1561" s="59"/>
      <c r="BS1561" s="59"/>
      <c r="BT1561" s="59"/>
      <c r="BU1561" s="59"/>
      <c r="BV1561" s="59"/>
      <c r="BW1561" s="59"/>
      <c r="BX1561" s="59"/>
      <c r="BY1561" s="59"/>
      <c r="BZ1561" s="59"/>
      <c r="CA1561" s="59"/>
      <c r="CB1561" s="59"/>
      <c r="CC1561" s="59"/>
      <c r="CD1561" s="59"/>
      <c r="CE1561" s="59"/>
      <c r="CF1561" s="59"/>
      <c r="CG1561" s="59"/>
      <c r="CH1561" s="59"/>
      <c r="CI1561" s="59"/>
      <c r="CJ1561" s="59"/>
      <c r="CK1561" s="59"/>
      <c r="CL1561" s="59"/>
      <c r="CM1561" s="59"/>
      <c r="CN1561" s="59"/>
      <c r="CO1561" s="59"/>
      <c r="CP1561" s="59"/>
      <c r="CQ1561" s="59"/>
      <c r="CR1561" s="59"/>
      <c r="CS1561" s="59"/>
      <c r="CT1561" s="59"/>
      <c r="CU1561" s="59"/>
      <c r="CV1561" s="59"/>
      <c r="CW1561" s="59"/>
      <c r="CX1561" s="59"/>
      <c r="CY1561" s="59"/>
      <c r="CZ1561" s="59"/>
      <c r="DA1561" s="59"/>
      <c r="DB1561" s="59"/>
      <c r="DC1561" s="59"/>
      <c r="DD1561" s="59"/>
      <c r="DE1561" s="59"/>
      <c r="DF1561" s="59"/>
      <c r="DG1561" s="59"/>
      <c r="DH1561" s="59"/>
      <c r="DI1561" s="59"/>
      <c r="DJ1561" s="59"/>
      <c r="DK1561" s="59"/>
      <c r="DL1561" s="59"/>
      <c r="DM1561" s="59"/>
      <c r="DN1561" s="59"/>
      <c r="DO1561" s="59"/>
      <c r="DP1561" s="59"/>
      <c r="DQ1561" s="59"/>
      <c r="DR1561" s="59"/>
      <c r="DS1561" s="59"/>
      <c r="DT1561" s="59"/>
      <c r="DU1561" s="59"/>
      <c r="DV1561" s="59"/>
      <c r="DW1561" s="59"/>
      <c r="DX1561" s="59"/>
      <c r="DY1561" s="59"/>
      <c r="DZ1561" s="59"/>
      <c r="EA1561" s="59"/>
      <c r="EB1561" s="59"/>
      <c r="EC1561" s="59"/>
      <c r="ED1561" s="59"/>
      <c r="EE1561" s="59"/>
      <c r="EF1561" s="59"/>
      <c r="EG1561" s="59"/>
      <c r="EH1561" s="59"/>
      <c r="EI1561" s="59"/>
      <c r="EJ1561" s="59"/>
      <c r="EK1561" s="59"/>
      <c r="EL1561" s="59"/>
      <c r="EM1561" s="59"/>
      <c r="EN1561" s="59"/>
      <c r="EO1561" s="59"/>
      <c r="EP1561" s="59"/>
      <c r="EQ1561" s="59"/>
      <c r="ER1561" s="59"/>
      <c r="ES1561" s="59"/>
      <c r="ET1561" s="59"/>
      <c r="EU1561" s="59"/>
      <c r="EV1561" s="59"/>
      <c r="EW1561" s="59"/>
      <c r="EX1561" s="59"/>
      <c r="EY1561" s="59"/>
      <c r="EZ1561" s="59"/>
      <c r="FA1561" s="59"/>
      <c r="FB1561" s="59"/>
      <c r="FC1561" s="59"/>
      <c r="FD1561" s="59"/>
      <c r="FE1561" s="59"/>
      <c r="FF1561" s="59"/>
      <c r="FG1561" s="59"/>
      <c r="FH1561" s="59"/>
      <c r="FI1561" s="59"/>
      <c r="FJ1561" s="59"/>
      <c r="FK1561" s="59"/>
      <c r="FL1561" s="59"/>
      <c r="FM1561" s="59"/>
      <c r="FN1561" s="59"/>
      <c r="FO1561" s="59"/>
      <c r="FP1561" s="59"/>
      <c r="FQ1561" s="59"/>
      <c r="FR1561" s="59"/>
      <c r="FS1561" s="59"/>
      <c r="FT1561" s="59"/>
      <c r="FU1561" s="59"/>
      <c r="FV1561" s="59"/>
      <c r="FW1561" s="59"/>
      <c r="FX1561" s="59"/>
      <c r="FY1561" s="59"/>
      <c r="FZ1561" s="59"/>
      <c r="GA1561" s="59"/>
      <c r="GB1561" s="59"/>
      <c r="GC1561" s="59"/>
    </row>
    <row r="1562">
      <c r="A1562" s="59"/>
      <c r="B1562" s="59"/>
      <c r="C1562" s="59"/>
      <c r="D1562" s="59"/>
      <c r="E1562" s="59"/>
      <c r="F1562" s="59"/>
      <c r="G1562" s="59"/>
      <c r="H1562" s="59"/>
      <c r="I1562" s="59"/>
      <c r="J1562" s="59"/>
      <c r="K1562" s="59"/>
      <c r="L1562" s="59"/>
      <c r="M1562" s="59"/>
      <c r="N1562" s="59"/>
      <c r="O1562" s="59"/>
      <c r="P1562" s="59"/>
      <c r="Q1562" s="59"/>
      <c r="R1562" s="59"/>
      <c r="S1562" s="59"/>
      <c r="T1562" s="59"/>
      <c r="U1562" s="59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59"/>
      <c r="AG1562" s="59"/>
      <c r="AH1562" s="59"/>
      <c r="AI1562" s="59"/>
      <c r="AJ1562" s="59"/>
      <c r="AK1562" s="59"/>
      <c r="AL1562" s="59"/>
      <c r="AM1562" s="59"/>
      <c r="AN1562" s="59"/>
      <c r="AO1562" s="59"/>
      <c r="AP1562" s="59"/>
      <c r="AQ1562" s="59"/>
      <c r="AR1562" s="59"/>
      <c r="AS1562" s="59"/>
      <c r="AT1562" s="59"/>
      <c r="AU1562" s="59"/>
      <c r="AV1562" s="59"/>
      <c r="AW1562" s="59"/>
      <c r="AX1562" s="59"/>
      <c r="AY1562" s="59"/>
      <c r="AZ1562" s="59"/>
      <c r="BA1562" s="59"/>
      <c r="BB1562" s="59"/>
      <c r="BC1562" s="59"/>
      <c r="BD1562" s="59"/>
      <c r="BE1562" s="59"/>
      <c r="BF1562" s="59"/>
      <c r="BG1562" s="59"/>
      <c r="BH1562" s="59"/>
      <c r="BI1562" s="59"/>
      <c r="BJ1562" s="59"/>
      <c r="BK1562" s="59"/>
      <c r="BL1562" s="59"/>
      <c r="BM1562" s="59"/>
      <c r="BN1562" s="59"/>
      <c r="BO1562" s="59"/>
      <c r="BP1562" s="59"/>
      <c r="BQ1562" s="59"/>
      <c r="BR1562" s="59"/>
      <c r="BS1562" s="59"/>
      <c r="BT1562" s="59"/>
      <c r="BU1562" s="59"/>
      <c r="BV1562" s="59"/>
      <c r="BW1562" s="59"/>
      <c r="BX1562" s="59"/>
      <c r="BY1562" s="59"/>
      <c r="BZ1562" s="59"/>
      <c r="CA1562" s="59"/>
      <c r="CB1562" s="59"/>
      <c r="CC1562" s="59"/>
      <c r="CD1562" s="59"/>
      <c r="CE1562" s="59"/>
      <c r="CF1562" s="59"/>
      <c r="CG1562" s="59"/>
      <c r="CH1562" s="59"/>
      <c r="CI1562" s="59"/>
      <c r="CJ1562" s="59"/>
      <c r="CK1562" s="59"/>
      <c r="CL1562" s="59"/>
      <c r="CM1562" s="59"/>
      <c r="CN1562" s="59"/>
      <c r="CO1562" s="59"/>
      <c r="CP1562" s="59"/>
      <c r="CQ1562" s="59"/>
      <c r="CR1562" s="59"/>
      <c r="CS1562" s="59"/>
      <c r="CT1562" s="59"/>
      <c r="CU1562" s="59"/>
      <c r="CV1562" s="59"/>
      <c r="CW1562" s="59"/>
      <c r="CX1562" s="59"/>
      <c r="CY1562" s="59"/>
      <c r="CZ1562" s="59"/>
      <c r="DA1562" s="59"/>
      <c r="DB1562" s="59"/>
      <c r="DC1562" s="59"/>
      <c r="DD1562" s="59"/>
      <c r="DE1562" s="59"/>
      <c r="DF1562" s="59"/>
      <c r="DG1562" s="59"/>
      <c r="DH1562" s="59"/>
      <c r="DI1562" s="59"/>
      <c r="DJ1562" s="59"/>
      <c r="DK1562" s="59"/>
      <c r="DL1562" s="59"/>
      <c r="DM1562" s="59"/>
      <c r="DN1562" s="59"/>
      <c r="DO1562" s="59"/>
      <c r="DP1562" s="59"/>
      <c r="DQ1562" s="59"/>
      <c r="DR1562" s="59"/>
      <c r="DS1562" s="59"/>
      <c r="DT1562" s="59"/>
      <c r="DU1562" s="59"/>
      <c r="DV1562" s="59"/>
      <c r="DW1562" s="59"/>
      <c r="DX1562" s="59"/>
      <c r="DY1562" s="59"/>
      <c r="DZ1562" s="59"/>
      <c r="EA1562" s="59"/>
      <c r="EB1562" s="59"/>
      <c r="EC1562" s="59"/>
      <c r="ED1562" s="59"/>
      <c r="EE1562" s="59"/>
      <c r="EF1562" s="59"/>
      <c r="EG1562" s="59"/>
      <c r="EH1562" s="59"/>
      <c r="EI1562" s="59"/>
      <c r="EJ1562" s="59"/>
      <c r="EK1562" s="59"/>
      <c r="EL1562" s="59"/>
      <c r="EM1562" s="59"/>
      <c r="EN1562" s="59"/>
      <c r="EO1562" s="59"/>
      <c r="EP1562" s="59"/>
      <c r="EQ1562" s="59"/>
      <c r="ER1562" s="59"/>
      <c r="ES1562" s="59"/>
      <c r="ET1562" s="59"/>
      <c r="EU1562" s="59"/>
      <c r="EV1562" s="59"/>
      <c r="EW1562" s="59"/>
      <c r="EX1562" s="59"/>
      <c r="EY1562" s="59"/>
      <c r="EZ1562" s="59"/>
      <c r="FA1562" s="59"/>
      <c r="FB1562" s="59"/>
      <c r="FC1562" s="59"/>
      <c r="FD1562" s="59"/>
      <c r="FE1562" s="59"/>
      <c r="FF1562" s="59"/>
      <c r="FG1562" s="59"/>
      <c r="FH1562" s="59"/>
      <c r="FI1562" s="59"/>
      <c r="FJ1562" s="59"/>
      <c r="FK1562" s="59"/>
      <c r="FL1562" s="59"/>
      <c r="FM1562" s="59"/>
      <c r="FN1562" s="59"/>
      <c r="FO1562" s="59"/>
      <c r="FP1562" s="59"/>
      <c r="FQ1562" s="59"/>
      <c r="FR1562" s="59"/>
      <c r="FS1562" s="59"/>
      <c r="FT1562" s="59"/>
      <c r="FU1562" s="59"/>
      <c r="FV1562" s="59"/>
      <c r="FW1562" s="59"/>
      <c r="FX1562" s="59"/>
      <c r="FY1562" s="59"/>
      <c r="FZ1562" s="59"/>
      <c r="GA1562" s="59"/>
      <c r="GB1562" s="59"/>
      <c r="GC1562" s="59"/>
    </row>
    <row r="1563">
      <c r="A1563" s="59"/>
      <c r="B1563" s="59"/>
      <c r="C1563" s="59"/>
      <c r="D1563" s="59"/>
      <c r="E1563" s="59"/>
      <c r="F1563" s="59"/>
      <c r="G1563" s="59"/>
      <c r="H1563" s="59"/>
      <c r="I1563" s="59"/>
      <c r="J1563" s="59"/>
      <c r="K1563" s="59"/>
      <c r="L1563" s="59"/>
      <c r="M1563" s="59"/>
      <c r="N1563" s="59"/>
      <c r="O1563" s="59"/>
      <c r="P1563" s="59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59"/>
      <c r="AG1563" s="59"/>
      <c r="AH1563" s="59"/>
      <c r="AI1563" s="59"/>
      <c r="AJ1563" s="59"/>
      <c r="AK1563" s="59"/>
      <c r="AL1563" s="59"/>
      <c r="AM1563" s="59"/>
      <c r="AN1563" s="59"/>
      <c r="AO1563" s="59"/>
      <c r="AP1563" s="59"/>
      <c r="AQ1563" s="59"/>
      <c r="AR1563" s="59"/>
      <c r="AS1563" s="59"/>
      <c r="AT1563" s="59"/>
      <c r="AU1563" s="59"/>
      <c r="AV1563" s="59"/>
      <c r="AW1563" s="59"/>
      <c r="AX1563" s="59"/>
      <c r="AY1563" s="59"/>
      <c r="AZ1563" s="59"/>
      <c r="BA1563" s="59"/>
      <c r="BB1563" s="59"/>
      <c r="BC1563" s="59"/>
      <c r="BD1563" s="59"/>
      <c r="BE1563" s="59"/>
      <c r="BF1563" s="59"/>
      <c r="BG1563" s="59"/>
      <c r="BH1563" s="59"/>
      <c r="BI1563" s="59"/>
      <c r="BJ1563" s="59"/>
      <c r="BK1563" s="59"/>
      <c r="BL1563" s="59"/>
      <c r="BM1563" s="59"/>
      <c r="BN1563" s="59"/>
      <c r="BO1563" s="59"/>
      <c r="BP1563" s="59"/>
      <c r="BQ1563" s="59"/>
      <c r="BR1563" s="59"/>
      <c r="BS1563" s="59"/>
      <c r="BT1563" s="59"/>
      <c r="BU1563" s="59"/>
      <c r="BV1563" s="59"/>
      <c r="BW1563" s="59"/>
      <c r="BX1563" s="59"/>
      <c r="BY1563" s="59"/>
      <c r="BZ1563" s="59"/>
      <c r="CA1563" s="59"/>
      <c r="CB1563" s="59"/>
      <c r="CC1563" s="59"/>
      <c r="CD1563" s="59"/>
      <c r="CE1563" s="59"/>
      <c r="CF1563" s="59"/>
      <c r="CG1563" s="59"/>
      <c r="CH1563" s="59"/>
      <c r="CI1563" s="59"/>
      <c r="CJ1563" s="59"/>
      <c r="CK1563" s="59"/>
      <c r="CL1563" s="59"/>
      <c r="CM1563" s="59"/>
      <c r="CN1563" s="59"/>
      <c r="CO1563" s="59"/>
      <c r="CP1563" s="59"/>
      <c r="CQ1563" s="59"/>
      <c r="CR1563" s="59"/>
      <c r="CS1563" s="59"/>
      <c r="CT1563" s="59"/>
      <c r="CU1563" s="59"/>
      <c r="CV1563" s="59"/>
      <c r="CW1563" s="59"/>
      <c r="CX1563" s="59"/>
      <c r="CY1563" s="59"/>
      <c r="CZ1563" s="59"/>
      <c r="DA1563" s="59"/>
      <c r="DB1563" s="59"/>
      <c r="DC1563" s="59"/>
      <c r="DD1563" s="59"/>
      <c r="DE1563" s="59"/>
      <c r="DF1563" s="59"/>
      <c r="DG1563" s="59"/>
      <c r="DH1563" s="59"/>
      <c r="DI1563" s="59"/>
      <c r="DJ1563" s="59"/>
      <c r="DK1563" s="59"/>
      <c r="DL1563" s="59"/>
      <c r="DM1563" s="59"/>
      <c r="DN1563" s="59"/>
      <c r="DO1563" s="59"/>
      <c r="DP1563" s="59"/>
      <c r="DQ1563" s="59"/>
      <c r="DR1563" s="59"/>
      <c r="DS1563" s="59"/>
      <c r="DT1563" s="59"/>
      <c r="DU1563" s="59"/>
      <c r="DV1563" s="59"/>
      <c r="DW1563" s="59"/>
      <c r="DX1563" s="59"/>
      <c r="DY1563" s="59"/>
      <c r="DZ1563" s="59"/>
      <c r="EA1563" s="59"/>
      <c r="EB1563" s="59"/>
      <c r="EC1563" s="59"/>
      <c r="ED1563" s="59"/>
      <c r="EE1563" s="59"/>
      <c r="EF1563" s="59"/>
      <c r="EG1563" s="59"/>
      <c r="EH1563" s="59"/>
      <c r="EI1563" s="59"/>
      <c r="EJ1563" s="59"/>
      <c r="EK1563" s="59"/>
      <c r="EL1563" s="59"/>
      <c r="EM1563" s="59"/>
      <c r="EN1563" s="59"/>
      <c r="EO1563" s="59"/>
      <c r="EP1563" s="59"/>
      <c r="EQ1563" s="59"/>
      <c r="ER1563" s="59"/>
      <c r="ES1563" s="59"/>
      <c r="ET1563" s="59"/>
      <c r="EU1563" s="59"/>
      <c r="EV1563" s="59"/>
      <c r="EW1563" s="59"/>
      <c r="EX1563" s="59"/>
      <c r="EY1563" s="59"/>
      <c r="EZ1563" s="59"/>
      <c r="FA1563" s="59"/>
      <c r="FB1563" s="59"/>
      <c r="FC1563" s="59"/>
      <c r="FD1563" s="59"/>
      <c r="FE1563" s="59"/>
      <c r="FF1563" s="59"/>
      <c r="FG1563" s="59"/>
      <c r="FH1563" s="59"/>
      <c r="FI1563" s="59"/>
      <c r="FJ1563" s="59"/>
      <c r="FK1563" s="59"/>
      <c r="FL1563" s="59"/>
      <c r="FM1563" s="59"/>
      <c r="FN1563" s="59"/>
      <c r="FO1563" s="59"/>
      <c r="FP1563" s="59"/>
      <c r="FQ1563" s="59"/>
      <c r="FR1563" s="59"/>
      <c r="FS1563" s="59"/>
      <c r="FT1563" s="59"/>
      <c r="FU1563" s="59"/>
      <c r="FV1563" s="59"/>
      <c r="FW1563" s="59"/>
      <c r="FX1563" s="59"/>
      <c r="FY1563" s="59"/>
      <c r="FZ1563" s="59"/>
      <c r="GA1563" s="59"/>
      <c r="GB1563" s="59"/>
      <c r="GC1563" s="59"/>
    </row>
    <row r="1564">
      <c r="A1564" s="59"/>
      <c r="B1564" s="59"/>
      <c r="C1564" s="59"/>
      <c r="D1564" s="59"/>
      <c r="E1564" s="59"/>
      <c r="F1564" s="59"/>
      <c r="G1564" s="59"/>
      <c r="H1564" s="59"/>
      <c r="I1564" s="59"/>
      <c r="J1564" s="59"/>
      <c r="K1564" s="59"/>
      <c r="L1564" s="59"/>
      <c r="M1564" s="59"/>
      <c r="N1564" s="59"/>
      <c r="O1564" s="59"/>
      <c r="P1564" s="59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59"/>
      <c r="AI1564" s="59"/>
      <c r="AJ1564" s="59"/>
      <c r="AK1564" s="59"/>
      <c r="AL1564" s="59"/>
      <c r="AM1564" s="59"/>
      <c r="AN1564" s="59"/>
      <c r="AO1564" s="59"/>
      <c r="AP1564" s="59"/>
      <c r="AQ1564" s="59"/>
      <c r="AR1564" s="59"/>
      <c r="AS1564" s="59"/>
      <c r="AT1564" s="59"/>
      <c r="AU1564" s="59"/>
      <c r="AV1564" s="59"/>
      <c r="AW1564" s="59"/>
      <c r="AX1564" s="59"/>
      <c r="AY1564" s="59"/>
      <c r="AZ1564" s="59"/>
      <c r="BA1564" s="59"/>
      <c r="BB1564" s="59"/>
      <c r="BC1564" s="59"/>
      <c r="BD1564" s="59"/>
      <c r="BE1564" s="59"/>
      <c r="BF1564" s="59"/>
      <c r="BG1564" s="59"/>
      <c r="BH1564" s="59"/>
      <c r="BI1564" s="59"/>
      <c r="BJ1564" s="59"/>
      <c r="BK1564" s="59"/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59"/>
      <c r="CH1564" s="59"/>
      <c r="CI1564" s="59"/>
      <c r="CJ1564" s="59"/>
      <c r="CK1564" s="59"/>
      <c r="CL1564" s="59"/>
      <c r="CM1564" s="59"/>
      <c r="CN1564" s="59"/>
      <c r="CO1564" s="59"/>
      <c r="CP1564" s="59"/>
      <c r="CQ1564" s="59"/>
      <c r="CR1564" s="59"/>
      <c r="CS1564" s="59"/>
      <c r="CT1564" s="59"/>
      <c r="CU1564" s="59"/>
      <c r="CV1564" s="59"/>
      <c r="CW1564" s="59"/>
      <c r="CX1564" s="59"/>
      <c r="CY1564" s="59"/>
      <c r="CZ1564" s="59"/>
      <c r="DA1564" s="59"/>
      <c r="DB1564" s="59"/>
      <c r="DC1564" s="59"/>
      <c r="DD1564" s="59"/>
      <c r="DE1564" s="59"/>
      <c r="DF1564" s="59"/>
      <c r="DG1564" s="59"/>
      <c r="DH1564" s="59"/>
      <c r="DI1564" s="59"/>
      <c r="DJ1564" s="59"/>
      <c r="DK1564" s="59"/>
      <c r="DL1564" s="59"/>
      <c r="DM1564" s="59"/>
      <c r="DN1564" s="59"/>
      <c r="DO1564" s="59"/>
      <c r="DP1564" s="59"/>
      <c r="DQ1564" s="59"/>
      <c r="DR1564" s="59"/>
      <c r="DS1564" s="59"/>
      <c r="DT1564" s="59"/>
      <c r="DU1564" s="59"/>
      <c r="DV1564" s="59"/>
      <c r="DW1564" s="59"/>
      <c r="DX1564" s="59"/>
      <c r="DY1564" s="59"/>
      <c r="DZ1564" s="59"/>
      <c r="EA1564" s="59"/>
      <c r="EB1564" s="59"/>
      <c r="EC1564" s="59"/>
      <c r="ED1564" s="59"/>
      <c r="EE1564" s="59"/>
      <c r="EF1564" s="59"/>
      <c r="EG1564" s="59"/>
      <c r="EH1564" s="59"/>
      <c r="EI1564" s="59"/>
      <c r="EJ1564" s="59"/>
      <c r="EK1564" s="59"/>
      <c r="EL1564" s="59"/>
      <c r="EM1564" s="59"/>
      <c r="EN1564" s="59"/>
      <c r="EO1564" s="59"/>
      <c r="EP1564" s="59"/>
      <c r="EQ1564" s="59"/>
      <c r="ER1564" s="59"/>
      <c r="ES1564" s="59"/>
      <c r="ET1564" s="59"/>
      <c r="EU1564" s="59"/>
      <c r="EV1564" s="59"/>
      <c r="EW1564" s="59"/>
      <c r="EX1564" s="59"/>
      <c r="EY1564" s="59"/>
      <c r="EZ1564" s="59"/>
      <c r="FA1564" s="59"/>
      <c r="FB1564" s="59"/>
      <c r="FC1564" s="59"/>
      <c r="FD1564" s="59"/>
      <c r="FE1564" s="59"/>
      <c r="FF1564" s="59"/>
      <c r="FG1564" s="59"/>
      <c r="FH1564" s="59"/>
      <c r="FI1564" s="59"/>
      <c r="FJ1564" s="59"/>
      <c r="FK1564" s="59"/>
      <c r="FL1564" s="59"/>
      <c r="FM1564" s="59"/>
      <c r="FN1564" s="59"/>
      <c r="FO1564" s="59"/>
      <c r="FP1564" s="59"/>
      <c r="FQ1564" s="59"/>
      <c r="FR1564" s="59"/>
      <c r="FS1564" s="59"/>
      <c r="FT1564" s="59"/>
      <c r="FU1564" s="59"/>
      <c r="FV1564" s="59"/>
      <c r="FW1564" s="59"/>
      <c r="FX1564" s="59"/>
      <c r="FY1564" s="59"/>
      <c r="FZ1564" s="59"/>
      <c r="GA1564" s="59"/>
      <c r="GB1564" s="59"/>
      <c r="GC1564" s="59"/>
    </row>
    <row r="1565">
      <c r="A1565" s="59"/>
      <c r="B1565" s="59"/>
      <c r="C1565" s="59"/>
      <c r="D1565" s="59"/>
      <c r="E1565" s="59"/>
      <c r="F1565" s="59"/>
      <c r="G1565" s="59"/>
      <c r="H1565" s="59"/>
      <c r="I1565" s="59"/>
      <c r="J1565" s="59"/>
      <c r="K1565" s="59"/>
      <c r="L1565" s="59"/>
      <c r="M1565" s="59"/>
      <c r="N1565" s="59"/>
      <c r="O1565" s="59"/>
      <c r="P1565" s="59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59"/>
      <c r="AG1565" s="59"/>
      <c r="AH1565" s="59"/>
      <c r="AI1565" s="59"/>
      <c r="AJ1565" s="59"/>
      <c r="AK1565" s="59"/>
      <c r="AL1565" s="59"/>
      <c r="AM1565" s="59"/>
      <c r="AN1565" s="59"/>
      <c r="AO1565" s="59"/>
      <c r="AP1565" s="59"/>
      <c r="AQ1565" s="59"/>
      <c r="AR1565" s="59"/>
      <c r="AS1565" s="59"/>
      <c r="AT1565" s="59"/>
      <c r="AU1565" s="59"/>
      <c r="AV1565" s="59"/>
      <c r="AW1565" s="59"/>
      <c r="AX1565" s="59"/>
      <c r="AY1565" s="59"/>
      <c r="AZ1565" s="59"/>
      <c r="BA1565" s="59"/>
      <c r="BB1565" s="59"/>
      <c r="BC1565" s="59"/>
      <c r="BD1565" s="59"/>
      <c r="BE1565" s="59"/>
      <c r="BF1565" s="59"/>
      <c r="BG1565" s="59"/>
      <c r="BH1565" s="59"/>
      <c r="BI1565" s="59"/>
      <c r="BJ1565" s="59"/>
      <c r="BK1565" s="59"/>
      <c r="BL1565" s="59"/>
      <c r="BM1565" s="59"/>
      <c r="BN1565" s="59"/>
      <c r="BO1565" s="59"/>
      <c r="BP1565" s="59"/>
      <c r="BQ1565" s="59"/>
      <c r="BR1565" s="59"/>
      <c r="BS1565" s="59"/>
      <c r="BT1565" s="59"/>
      <c r="BU1565" s="59"/>
      <c r="BV1565" s="59"/>
      <c r="BW1565" s="59"/>
      <c r="BX1565" s="59"/>
      <c r="BY1565" s="59"/>
      <c r="BZ1565" s="59"/>
      <c r="CA1565" s="59"/>
      <c r="CB1565" s="59"/>
      <c r="CC1565" s="59"/>
      <c r="CD1565" s="59"/>
      <c r="CE1565" s="59"/>
      <c r="CF1565" s="59"/>
      <c r="CG1565" s="59"/>
      <c r="CH1565" s="59"/>
      <c r="CI1565" s="59"/>
      <c r="CJ1565" s="59"/>
      <c r="CK1565" s="59"/>
      <c r="CL1565" s="59"/>
      <c r="CM1565" s="59"/>
      <c r="CN1565" s="59"/>
      <c r="CO1565" s="59"/>
      <c r="CP1565" s="59"/>
      <c r="CQ1565" s="59"/>
      <c r="CR1565" s="59"/>
      <c r="CS1565" s="59"/>
      <c r="CT1565" s="59"/>
      <c r="CU1565" s="59"/>
      <c r="CV1565" s="59"/>
      <c r="CW1565" s="59"/>
      <c r="CX1565" s="59"/>
      <c r="CY1565" s="59"/>
      <c r="CZ1565" s="59"/>
      <c r="DA1565" s="59"/>
      <c r="DB1565" s="59"/>
      <c r="DC1565" s="59"/>
      <c r="DD1565" s="59"/>
      <c r="DE1565" s="59"/>
      <c r="DF1565" s="59"/>
      <c r="DG1565" s="59"/>
      <c r="DH1565" s="59"/>
      <c r="DI1565" s="59"/>
      <c r="DJ1565" s="59"/>
      <c r="DK1565" s="59"/>
      <c r="DL1565" s="59"/>
      <c r="DM1565" s="59"/>
      <c r="DN1565" s="59"/>
      <c r="DO1565" s="59"/>
      <c r="DP1565" s="59"/>
      <c r="DQ1565" s="59"/>
      <c r="DR1565" s="59"/>
      <c r="DS1565" s="59"/>
      <c r="DT1565" s="59"/>
      <c r="DU1565" s="59"/>
      <c r="DV1565" s="59"/>
      <c r="DW1565" s="59"/>
      <c r="DX1565" s="59"/>
      <c r="DY1565" s="59"/>
      <c r="DZ1565" s="59"/>
      <c r="EA1565" s="59"/>
      <c r="EB1565" s="59"/>
      <c r="EC1565" s="59"/>
      <c r="ED1565" s="59"/>
      <c r="EE1565" s="59"/>
      <c r="EF1565" s="59"/>
      <c r="EG1565" s="59"/>
      <c r="EH1565" s="59"/>
      <c r="EI1565" s="59"/>
      <c r="EJ1565" s="59"/>
      <c r="EK1565" s="59"/>
      <c r="EL1565" s="59"/>
      <c r="EM1565" s="59"/>
      <c r="EN1565" s="59"/>
      <c r="EO1565" s="59"/>
      <c r="EP1565" s="59"/>
      <c r="EQ1565" s="59"/>
      <c r="ER1565" s="59"/>
      <c r="ES1565" s="59"/>
      <c r="ET1565" s="59"/>
      <c r="EU1565" s="59"/>
      <c r="EV1565" s="59"/>
      <c r="EW1565" s="59"/>
      <c r="EX1565" s="59"/>
      <c r="EY1565" s="59"/>
      <c r="EZ1565" s="59"/>
      <c r="FA1565" s="59"/>
      <c r="FB1565" s="59"/>
      <c r="FC1565" s="59"/>
      <c r="FD1565" s="59"/>
      <c r="FE1565" s="59"/>
      <c r="FF1565" s="59"/>
      <c r="FG1565" s="59"/>
      <c r="FH1565" s="59"/>
      <c r="FI1565" s="59"/>
      <c r="FJ1565" s="59"/>
      <c r="FK1565" s="59"/>
      <c r="FL1565" s="59"/>
      <c r="FM1565" s="59"/>
      <c r="FN1565" s="59"/>
      <c r="FO1565" s="59"/>
      <c r="FP1565" s="59"/>
      <c r="FQ1565" s="59"/>
      <c r="FR1565" s="59"/>
      <c r="FS1565" s="59"/>
      <c r="FT1565" s="59"/>
      <c r="FU1565" s="59"/>
      <c r="FV1565" s="59"/>
      <c r="FW1565" s="59"/>
      <c r="FX1565" s="59"/>
      <c r="FY1565" s="59"/>
      <c r="FZ1565" s="59"/>
      <c r="GA1565" s="59"/>
      <c r="GB1565" s="59"/>
      <c r="GC1565" s="59"/>
    </row>
    <row r="1566">
      <c r="A1566" s="59"/>
      <c r="B1566" s="59"/>
      <c r="C1566" s="59"/>
      <c r="D1566" s="59"/>
      <c r="E1566" s="59"/>
      <c r="F1566" s="59"/>
      <c r="G1566" s="59"/>
      <c r="H1566" s="59"/>
      <c r="I1566" s="59"/>
      <c r="J1566" s="59"/>
      <c r="K1566" s="59"/>
      <c r="L1566" s="59"/>
      <c r="M1566" s="59"/>
      <c r="N1566" s="59"/>
      <c r="O1566" s="59"/>
      <c r="P1566" s="59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59"/>
      <c r="AG1566" s="59"/>
      <c r="AH1566" s="59"/>
      <c r="AI1566" s="59"/>
      <c r="AJ1566" s="59"/>
      <c r="AK1566" s="59"/>
      <c r="AL1566" s="59"/>
      <c r="AM1566" s="59"/>
      <c r="AN1566" s="59"/>
      <c r="AO1566" s="59"/>
      <c r="AP1566" s="59"/>
      <c r="AQ1566" s="59"/>
      <c r="AR1566" s="59"/>
      <c r="AS1566" s="59"/>
      <c r="AT1566" s="59"/>
      <c r="AU1566" s="59"/>
      <c r="AV1566" s="59"/>
      <c r="AW1566" s="59"/>
      <c r="AX1566" s="59"/>
      <c r="AY1566" s="59"/>
      <c r="AZ1566" s="59"/>
      <c r="BA1566" s="59"/>
      <c r="BB1566" s="59"/>
      <c r="BC1566" s="59"/>
      <c r="BD1566" s="59"/>
      <c r="BE1566" s="59"/>
      <c r="BF1566" s="59"/>
      <c r="BG1566" s="59"/>
      <c r="BH1566" s="59"/>
      <c r="BI1566" s="59"/>
      <c r="BJ1566" s="59"/>
      <c r="BK1566" s="59"/>
      <c r="BL1566" s="59"/>
      <c r="BM1566" s="59"/>
      <c r="BN1566" s="59"/>
      <c r="BO1566" s="59"/>
      <c r="BP1566" s="59"/>
      <c r="BQ1566" s="59"/>
      <c r="BR1566" s="59"/>
      <c r="BS1566" s="59"/>
      <c r="BT1566" s="59"/>
      <c r="BU1566" s="59"/>
      <c r="BV1566" s="59"/>
      <c r="BW1566" s="59"/>
      <c r="BX1566" s="59"/>
      <c r="BY1566" s="59"/>
      <c r="BZ1566" s="59"/>
      <c r="CA1566" s="59"/>
      <c r="CB1566" s="59"/>
      <c r="CC1566" s="59"/>
      <c r="CD1566" s="59"/>
      <c r="CE1566" s="59"/>
      <c r="CF1566" s="59"/>
      <c r="CG1566" s="59"/>
      <c r="CH1566" s="59"/>
      <c r="CI1566" s="59"/>
      <c r="CJ1566" s="59"/>
      <c r="CK1566" s="59"/>
      <c r="CL1566" s="59"/>
      <c r="CM1566" s="59"/>
      <c r="CN1566" s="59"/>
      <c r="CO1566" s="59"/>
      <c r="CP1566" s="59"/>
      <c r="CQ1566" s="59"/>
      <c r="CR1566" s="59"/>
      <c r="CS1566" s="59"/>
      <c r="CT1566" s="59"/>
      <c r="CU1566" s="59"/>
      <c r="CV1566" s="59"/>
      <c r="CW1566" s="59"/>
      <c r="CX1566" s="59"/>
      <c r="CY1566" s="59"/>
      <c r="CZ1566" s="59"/>
      <c r="DA1566" s="59"/>
      <c r="DB1566" s="59"/>
      <c r="DC1566" s="59"/>
      <c r="DD1566" s="59"/>
      <c r="DE1566" s="59"/>
      <c r="DF1566" s="59"/>
      <c r="DG1566" s="59"/>
      <c r="DH1566" s="59"/>
      <c r="DI1566" s="59"/>
      <c r="DJ1566" s="59"/>
      <c r="DK1566" s="59"/>
      <c r="DL1566" s="59"/>
      <c r="DM1566" s="59"/>
      <c r="DN1566" s="59"/>
      <c r="DO1566" s="59"/>
      <c r="DP1566" s="59"/>
      <c r="DQ1566" s="59"/>
      <c r="DR1566" s="59"/>
      <c r="DS1566" s="59"/>
      <c r="DT1566" s="59"/>
      <c r="DU1566" s="59"/>
      <c r="DV1566" s="59"/>
      <c r="DW1566" s="59"/>
      <c r="DX1566" s="59"/>
      <c r="DY1566" s="59"/>
      <c r="DZ1566" s="59"/>
      <c r="EA1566" s="59"/>
      <c r="EB1566" s="59"/>
      <c r="EC1566" s="59"/>
      <c r="ED1566" s="59"/>
      <c r="EE1566" s="59"/>
      <c r="EF1566" s="59"/>
      <c r="EG1566" s="59"/>
      <c r="EH1566" s="59"/>
      <c r="EI1566" s="59"/>
      <c r="EJ1566" s="59"/>
      <c r="EK1566" s="59"/>
      <c r="EL1566" s="59"/>
      <c r="EM1566" s="59"/>
      <c r="EN1566" s="59"/>
      <c r="EO1566" s="59"/>
      <c r="EP1566" s="59"/>
      <c r="EQ1566" s="59"/>
      <c r="ER1566" s="59"/>
      <c r="ES1566" s="59"/>
      <c r="ET1566" s="59"/>
      <c r="EU1566" s="59"/>
      <c r="EV1566" s="59"/>
      <c r="EW1566" s="59"/>
      <c r="EX1566" s="59"/>
      <c r="EY1566" s="59"/>
      <c r="EZ1566" s="59"/>
      <c r="FA1566" s="59"/>
      <c r="FB1566" s="59"/>
      <c r="FC1566" s="59"/>
      <c r="FD1566" s="59"/>
      <c r="FE1566" s="59"/>
      <c r="FF1566" s="59"/>
      <c r="FG1566" s="59"/>
      <c r="FH1566" s="59"/>
      <c r="FI1566" s="59"/>
      <c r="FJ1566" s="59"/>
      <c r="FK1566" s="59"/>
      <c r="FL1566" s="59"/>
      <c r="FM1566" s="59"/>
      <c r="FN1566" s="59"/>
      <c r="FO1566" s="59"/>
      <c r="FP1566" s="59"/>
      <c r="FQ1566" s="59"/>
      <c r="FR1566" s="59"/>
      <c r="FS1566" s="59"/>
      <c r="FT1566" s="59"/>
      <c r="FU1566" s="59"/>
      <c r="FV1566" s="59"/>
      <c r="FW1566" s="59"/>
      <c r="FX1566" s="59"/>
      <c r="FY1566" s="59"/>
      <c r="FZ1566" s="59"/>
      <c r="GA1566" s="59"/>
      <c r="GB1566" s="59"/>
      <c r="GC1566" s="59"/>
    </row>
    <row r="1567">
      <c r="A1567" s="59"/>
      <c r="B1567" s="59"/>
      <c r="C1567" s="59"/>
      <c r="D1567" s="59"/>
      <c r="E1567" s="59"/>
      <c r="F1567" s="59"/>
      <c r="G1567" s="59"/>
      <c r="H1567" s="59"/>
      <c r="I1567" s="59"/>
      <c r="J1567" s="59"/>
      <c r="K1567" s="59"/>
      <c r="L1567" s="59"/>
      <c r="M1567" s="59"/>
      <c r="N1567" s="59"/>
      <c r="O1567" s="59"/>
      <c r="P1567" s="59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59"/>
      <c r="AG1567" s="59"/>
      <c r="AH1567" s="59"/>
      <c r="AI1567" s="59"/>
      <c r="AJ1567" s="59"/>
      <c r="AK1567" s="59"/>
      <c r="AL1567" s="59"/>
      <c r="AM1567" s="59"/>
      <c r="AN1567" s="59"/>
      <c r="AO1567" s="59"/>
      <c r="AP1567" s="59"/>
      <c r="AQ1567" s="59"/>
      <c r="AR1567" s="59"/>
      <c r="AS1567" s="59"/>
      <c r="AT1567" s="59"/>
      <c r="AU1567" s="59"/>
      <c r="AV1567" s="59"/>
      <c r="AW1567" s="59"/>
      <c r="AX1567" s="59"/>
      <c r="AY1567" s="59"/>
      <c r="AZ1567" s="59"/>
      <c r="BA1567" s="59"/>
      <c r="BB1567" s="59"/>
      <c r="BC1567" s="59"/>
      <c r="BD1567" s="59"/>
      <c r="BE1567" s="59"/>
      <c r="BF1567" s="59"/>
      <c r="BG1567" s="59"/>
      <c r="BH1567" s="59"/>
      <c r="BI1567" s="59"/>
      <c r="BJ1567" s="59"/>
      <c r="BK1567" s="59"/>
      <c r="BL1567" s="59"/>
      <c r="BM1567" s="59"/>
      <c r="BN1567" s="59"/>
      <c r="BO1567" s="59"/>
      <c r="BP1567" s="59"/>
      <c r="BQ1567" s="59"/>
      <c r="BR1567" s="59"/>
      <c r="BS1567" s="59"/>
      <c r="BT1567" s="59"/>
      <c r="BU1567" s="59"/>
      <c r="BV1567" s="59"/>
      <c r="BW1567" s="59"/>
      <c r="BX1567" s="59"/>
      <c r="BY1567" s="59"/>
      <c r="BZ1567" s="59"/>
      <c r="CA1567" s="59"/>
      <c r="CB1567" s="59"/>
      <c r="CC1567" s="59"/>
      <c r="CD1567" s="59"/>
      <c r="CE1567" s="59"/>
      <c r="CF1567" s="59"/>
      <c r="CG1567" s="59"/>
      <c r="CH1567" s="59"/>
      <c r="CI1567" s="59"/>
      <c r="CJ1567" s="59"/>
      <c r="CK1567" s="59"/>
      <c r="CL1567" s="59"/>
      <c r="CM1567" s="59"/>
      <c r="CN1567" s="59"/>
      <c r="CO1567" s="59"/>
      <c r="CP1567" s="59"/>
      <c r="CQ1567" s="59"/>
      <c r="CR1567" s="59"/>
      <c r="CS1567" s="59"/>
      <c r="CT1567" s="59"/>
      <c r="CU1567" s="59"/>
      <c r="CV1567" s="59"/>
      <c r="CW1567" s="59"/>
      <c r="CX1567" s="59"/>
      <c r="CY1567" s="59"/>
      <c r="CZ1567" s="59"/>
      <c r="DA1567" s="59"/>
      <c r="DB1567" s="59"/>
      <c r="DC1567" s="59"/>
      <c r="DD1567" s="59"/>
      <c r="DE1567" s="59"/>
      <c r="DF1567" s="59"/>
      <c r="DG1567" s="59"/>
      <c r="DH1567" s="59"/>
      <c r="DI1567" s="59"/>
      <c r="DJ1567" s="59"/>
      <c r="DK1567" s="59"/>
      <c r="DL1567" s="59"/>
      <c r="DM1567" s="59"/>
      <c r="DN1567" s="59"/>
      <c r="DO1567" s="59"/>
      <c r="DP1567" s="59"/>
      <c r="DQ1567" s="59"/>
      <c r="DR1567" s="59"/>
      <c r="DS1567" s="59"/>
      <c r="DT1567" s="59"/>
      <c r="DU1567" s="59"/>
      <c r="DV1567" s="59"/>
      <c r="DW1567" s="59"/>
      <c r="DX1567" s="59"/>
      <c r="DY1567" s="59"/>
      <c r="DZ1567" s="59"/>
      <c r="EA1567" s="59"/>
      <c r="EB1567" s="59"/>
      <c r="EC1567" s="59"/>
      <c r="ED1567" s="59"/>
      <c r="EE1567" s="59"/>
      <c r="EF1567" s="59"/>
      <c r="EG1567" s="59"/>
      <c r="EH1567" s="59"/>
      <c r="EI1567" s="59"/>
      <c r="EJ1567" s="59"/>
      <c r="EK1567" s="59"/>
      <c r="EL1567" s="59"/>
      <c r="EM1567" s="59"/>
      <c r="EN1567" s="59"/>
      <c r="EO1567" s="59"/>
      <c r="EP1567" s="59"/>
      <c r="EQ1567" s="59"/>
      <c r="ER1567" s="59"/>
      <c r="ES1567" s="59"/>
      <c r="ET1567" s="59"/>
      <c r="EU1567" s="59"/>
      <c r="EV1567" s="59"/>
      <c r="EW1567" s="59"/>
      <c r="EX1567" s="59"/>
      <c r="EY1567" s="59"/>
      <c r="EZ1567" s="59"/>
      <c r="FA1567" s="59"/>
      <c r="FB1567" s="59"/>
      <c r="FC1567" s="59"/>
      <c r="FD1567" s="59"/>
      <c r="FE1567" s="59"/>
      <c r="FF1567" s="59"/>
      <c r="FG1567" s="59"/>
      <c r="FH1567" s="59"/>
      <c r="FI1567" s="59"/>
      <c r="FJ1567" s="59"/>
      <c r="FK1567" s="59"/>
      <c r="FL1567" s="59"/>
      <c r="FM1567" s="59"/>
      <c r="FN1567" s="59"/>
      <c r="FO1567" s="59"/>
      <c r="FP1567" s="59"/>
      <c r="FQ1567" s="59"/>
      <c r="FR1567" s="59"/>
      <c r="FS1567" s="59"/>
      <c r="FT1567" s="59"/>
      <c r="FU1567" s="59"/>
      <c r="FV1567" s="59"/>
      <c r="FW1567" s="59"/>
      <c r="FX1567" s="59"/>
      <c r="FY1567" s="59"/>
      <c r="FZ1567" s="59"/>
      <c r="GA1567" s="59"/>
      <c r="GB1567" s="59"/>
      <c r="GC1567" s="59"/>
    </row>
    <row r="1568">
      <c r="A1568" s="59"/>
      <c r="B1568" s="59"/>
      <c r="C1568" s="59"/>
      <c r="D1568" s="59"/>
      <c r="E1568" s="59"/>
      <c r="F1568" s="59"/>
      <c r="G1568" s="59"/>
      <c r="H1568" s="59"/>
      <c r="I1568" s="59"/>
      <c r="J1568" s="59"/>
      <c r="K1568" s="59"/>
      <c r="L1568" s="59"/>
      <c r="M1568" s="59"/>
      <c r="N1568" s="59"/>
      <c r="O1568" s="59"/>
      <c r="P1568" s="59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59"/>
      <c r="AG1568" s="59"/>
      <c r="AH1568" s="59"/>
      <c r="AI1568" s="59"/>
      <c r="AJ1568" s="59"/>
      <c r="AK1568" s="59"/>
      <c r="AL1568" s="59"/>
      <c r="AM1568" s="59"/>
      <c r="AN1568" s="59"/>
      <c r="AO1568" s="59"/>
      <c r="AP1568" s="59"/>
      <c r="AQ1568" s="59"/>
      <c r="AR1568" s="59"/>
      <c r="AS1568" s="59"/>
      <c r="AT1568" s="59"/>
      <c r="AU1568" s="59"/>
      <c r="AV1568" s="59"/>
      <c r="AW1568" s="59"/>
      <c r="AX1568" s="59"/>
      <c r="AY1568" s="59"/>
      <c r="AZ1568" s="59"/>
      <c r="BA1568" s="59"/>
      <c r="BB1568" s="59"/>
      <c r="BC1568" s="59"/>
      <c r="BD1568" s="59"/>
      <c r="BE1568" s="59"/>
      <c r="BF1568" s="59"/>
      <c r="BG1568" s="59"/>
      <c r="BH1568" s="59"/>
      <c r="BI1568" s="59"/>
      <c r="BJ1568" s="59"/>
      <c r="BK1568" s="59"/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59"/>
      <c r="CH1568" s="59"/>
      <c r="CI1568" s="59"/>
      <c r="CJ1568" s="59"/>
      <c r="CK1568" s="59"/>
      <c r="CL1568" s="59"/>
      <c r="CM1568" s="59"/>
      <c r="CN1568" s="59"/>
      <c r="CO1568" s="59"/>
      <c r="CP1568" s="59"/>
      <c r="CQ1568" s="59"/>
      <c r="CR1568" s="59"/>
      <c r="CS1568" s="59"/>
      <c r="CT1568" s="59"/>
      <c r="CU1568" s="59"/>
      <c r="CV1568" s="59"/>
      <c r="CW1568" s="59"/>
      <c r="CX1568" s="59"/>
      <c r="CY1568" s="59"/>
      <c r="CZ1568" s="59"/>
      <c r="DA1568" s="59"/>
      <c r="DB1568" s="59"/>
      <c r="DC1568" s="59"/>
      <c r="DD1568" s="59"/>
      <c r="DE1568" s="59"/>
      <c r="DF1568" s="59"/>
      <c r="DG1568" s="59"/>
      <c r="DH1568" s="59"/>
      <c r="DI1568" s="59"/>
      <c r="DJ1568" s="59"/>
      <c r="DK1568" s="59"/>
      <c r="DL1568" s="59"/>
      <c r="DM1568" s="59"/>
      <c r="DN1568" s="59"/>
      <c r="DO1568" s="59"/>
      <c r="DP1568" s="59"/>
      <c r="DQ1568" s="59"/>
      <c r="DR1568" s="59"/>
      <c r="DS1568" s="59"/>
      <c r="DT1568" s="59"/>
      <c r="DU1568" s="59"/>
      <c r="DV1568" s="59"/>
      <c r="DW1568" s="59"/>
      <c r="DX1568" s="59"/>
      <c r="DY1568" s="59"/>
      <c r="DZ1568" s="59"/>
      <c r="EA1568" s="59"/>
      <c r="EB1568" s="59"/>
      <c r="EC1568" s="59"/>
      <c r="ED1568" s="59"/>
      <c r="EE1568" s="59"/>
      <c r="EF1568" s="59"/>
      <c r="EG1568" s="59"/>
      <c r="EH1568" s="59"/>
      <c r="EI1568" s="59"/>
      <c r="EJ1568" s="59"/>
      <c r="EK1568" s="59"/>
      <c r="EL1568" s="59"/>
      <c r="EM1568" s="59"/>
      <c r="EN1568" s="59"/>
      <c r="EO1568" s="59"/>
      <c r="EP1568" s="59"/>
      <c r="EQ1568" s="59"/>
      <c r="ER1568" s="59"/>
      <c r="ES1568" s="59"/>
      <c r="ET1568" s="59"/>
      <c r="EU1568" s="59"/>
      <c r="EV1568" s="59"/>
      <c r="EW1568" s="59"/>
      <c r="EX1568" s="59"/>
      <c r="EY1568" s="59"/>
      <c r="EZ1568" s="59"/>
      <c r="FA1568" s="59"/>
      <c r="FB1568" s="59"/>
      <c r="FC1568" s="59"/>
      <c r="FD1568" s="59"/>
      <c r="FE1568" s="59"/>
      <c r="FF1568" s="59"/>
      <c r="FG1568" s="59"/>
      <c r="FH1568" s="59"/>
      <c r="FI1568" s="59"/>
      <c r="FJ1568" s="59"/>
      <c r="FK1568" s="59"/>
      <c r="FL1568" s="59"/>
      <c r="FM1568" s="59"/>
      <c r="FN1568" s="59"/>
      <c r="FO1568" s="59"/>
      <c r="FP1568" s="59"/>
      <c r="FQ1568" s="59"/>
      <c r="FR1568" s="59"/>
      <c r="FS1568" s="59"/>
      <c r="FT1568" s="59"/>
      <c r="FU1568" s="59"/>
      <c r="FV1568" s="59"/>
      <c r="FW1568" s="59"/>
      <c r="FX1568" s="59"/>
      <c r="FY1568" s="59"/>
      <c r="FZ1568" s="59"/>
      <c r="GA1568" s="59"/>
      <c r="GB1568" s="59"/>
      <c r="GC1568" s="59"/>
    </row>
    <row r="1569">
      <c r="A1569" s="59"/>
      <c r="B1569" s="59"/>
      <c r="C1569" s="59"/>
      <c r="D1569" s="59"/>
      <c r="E1569" s="59"/>
      <c r="F1569" s="59"/>
      <c r="G1569" s="59"/>
      <c r="H1569" s="59"/>
      <c r="I1569" s="59"/>
      <c r="J1569" s="59"/>
      <c r="K1569" s="59"/>
      <c r="L1569" s="59"/>
      <c r="M1569" s="59"/>
      <c r="N1569" s="59"/>
      <c r="O1569" s="59"/>
      <c r="P1569" s="59"/>
      <c r="Q1569" s="59"/>
      <c r="R1569" s="59"/>
      <c r="S1569" s="59"/>
      <c r="T1569" s="59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59"/>
      <c r="AG1569" s="59"/>
      <c r="AH1569" s="59"/>
      <c r="AI1569" s="59"/>
      <c r="AJ1569" s="59"/>
      <c r="AK1569" s="59"/>
      <c r="AL1569" s="59"/>
      <c r="AM1569" s="59"/>
      <c r="AN1569" s="59"/>
      <c r="AO1569" s="59"/>
      <c r="AP1569" s="59"/>
      <c r="AQ1569" s="59"/>
      <c r="AR1569" s="59"/>
      <c r="AS1569" s="59"/>
      <c r="AT1569" s="59"/>
      <c r="AU1569" s="59"/>
      <c r="AV1569" s="59"/>
      <c r="AW1569" s="59"/>
      <c r="AX1569" s="59"/>
      <c r="AY1569" s="59"/>
      <c r="AZ1569" s="59"/>
      <c r="BA1569" s="59"/>
      <c r="BB1569" s="59"/>
      <c r="BC1569" s="59"/>
      <c r="BD1569" s="59"/>
      <c r="BE1569" s="59"/>
      <c r="BF1569" s="59"/>
      <c r="BG1569" s="59"/>
      <c r="BH1569" s="59"/>
      <c r="BI1569" s="59"/>
      <c r="BJ1569" s="59"/>
      <c r="BK1569" s="59"/>
      <c r="BL1569" s="59"/>
      <c r="BM1569" s="59"/>
      <c r="BN1569" s="59"/>
      <c r="BO1569" s="59"/>
      <c r="BP1569" s="59"/>
      <c r="BQ1569" s="59"/>
      <c r="BR1569" s="59"/>
      <c r="BS1569" s="59"/>
      <c r="BT1569" s="59"/>
      <c r="BU1569" s="59"/>
      <c r="BV1569" s="59"/>
      <c r="BW1569" s="59"/>
      <c r="BX1569" s="59"/>
      <c r="BY1569" s="59"/>
      <c r="BZ1569" s="59"/>
      <c r="CA1569" s="59"/>
      <c r="CB1569" s="59"/>
      <c r="CC1569" s="59"/>
      <c r="CD1569" s="59"/>
      <c r="CE1569" s="59"/>
      <c r="CF1569" s="59"/>
      <c r="CG1569" s="59"/>
      <c r="CH1569" s="59"/>
      <c r="CI1569" s="59"/>
      <c r="CJ1569" s="59"/>
      <c r="CK1569" s="59"/>
      <c r="CL1569" s="59"/>
      <c r="CM1569" s="59"/>
      <c r="CN1569" s="59"/>
      <c r="CO1569" s="59"/>
      <c r="CP1569" s="59"/>
      <c r="CQ1569" s="59"/>
      <c r="CR1569" s="59"/>
      <c r="CS1569" s="59"/>
      <c r="CT1569" s="59"/>
      <c r="CU1569" s="59"/>
      <c r="CV1569" s="59"/>
      <c r="CW1569" s="59"/>
      <c r="CX1569" s="59"/>
      <c r="CY1569" s="59"/>
      <c r="CZ1569" s="59"/>
      <c r="DA1569" s="59"/>
      <c r="DB1569" s="59"/>
      <c r="DC1569" s="59"/>
      <c r="DD1569" s="59"/>
      <c r="DE1569" s="59"/>
      <c r="DF1569" s="59"/>
      <c r="DG1569" s="59"/>
      <c r="DH1569" s="59"/>
      <c r="DI1569" s="59"/>
      <c r="DJ1569" s="59"/>
      <c r="DK1569" s="59"/>
      <c r="DL1569" s="59"/>
      <c r="DM1569" s="59"/>
      <c r="DN1569" s="59"/>
      <c r="DO1569" s="59"/>
      <c r="DP1569" s="59"/>
      <c r="DQ1569" s="59"/>
      <c r="DR1569" s="59"/>
      <c r="DS1569" s="59"/>
      <c r="DT1569" s="59"/>
      <c r="DU1569" s="59"/>
      <c r="DV1569" s="59"/>
      <c r="DW1569" s="59"/>
      <c r="DX1569" s="59"/>
      <c r="DY1569" s="59"/>
      <c r="DZ1569" s="59"/>
      <c r="EA1569" s="59"/>
      <c r="EB1569" s="59"/>
      <c r="EC1569" s="59"/>
      <c r="ED1569" s="59"/>
      <c r="EE1569" s="59"/>
      <c r="EF1569" s="59"/>
      <c r="EG1569" s="59"/>
      <c r="EH1569" s="59"/>
      <c r="EI1569" s="59"/>
      <c r="EJ1569" s="59"/>
      <c r="EK1569" s="59"/>
      <c r="EL1569" s="59"/>
      <c r="EM1569" s="59"/>
      <c r="EN1569" s="59"/>
      <c r="EO1569" s="59"/>
      <c r="EP1569" s="59"/>
      <c r="EQ1569" s="59"/>
      <c r="ER1569" s="59"/>
      <c r="ES1569" s="59"/>
      <c r="ET1569" s="59"/>
      <c r="EU1569" s="59"/>
      <c r="EV1569" s="59"/>
      <c r="EW1569" s="59"/>
      <c r="EX1569" s="59"/>
      <c r="EY1569" s="59"/>
      <c r="EZ1569" s="59"/>
      <c r="FA1569" s="59"/>
      <c r="FB1569" s="59"/>
      <c r="FC1569" s="59"/>
      <c r="FD1569" s="59"/>
      <c r="FE1569" s="59"/>
      <c r="FF1569" s="59"/>
      <c r="FG1569" s="59"/>
      <c r="FH1569" s="59"/>
      <c r="FI1569" s="59"/>
      <c r="FJ1569" s="59"/>
      <c r="FK1569" s="59"/>
      <c r="FL1569" s="59"/>
      <c r="FM1569" s="59"/>
      <c r="FN1569" s="59"/>
      <c r="FO1569" s="59"/>
      <c r="FP1569" s="59"/>
      <c r="FQ1569" s="59"/>
      <c r="FR1569" s="59"/>
      <c r="FS1569" s="59"/>
      <c r="FT1569" s="59"/>
      <c r="FU1569" s="59"/>
      <c r="FV1569" s="59"/>
      <c r="FW1569" s="59"/>
      <c r="FX1569" s="59"/>
      <c r="FY1569" s="59"/>
      <c r="FZ1569" s="59"/>
      <c r="GA1569" s="59"/>
      <c r="GB1569" s="59"/>
      <c r="GC1569" s="59"/>
    </row>
    <row r="1570">
      <c r="A1570" s="59"/>
      <c r="B1570" s="59"/>
      <c r="C1570" s="59"/>
      <c r="D1570" s="59"/>
      <c r="E1570" s="59"/>
      <c r="F1570" s="59"/>
      <c r="G1570" s="59"/>
      <c r="H1570" s="59"/>
      <c r="I1570" s="59"/>
      <c r="J1570" s="59"/>
      <c r="K1570" s="59"/>
      <c r="L1570" s="59"/>
      <c r="M1570" s="59"/>
      <c r="N1570" s="59"/>
      <c r="O1570" s="59"/>
      <c r="P1570" s="59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59"/>
      <c r="AI1570" s="59"/>
      <c r="AJ1570" s="59"/>
      <c r="AK1570" s="59"/>
      <c r="AL1570" s="59"/>
      <c r="AM1570" s="59"/>
      <c r="AN1570" s="59"/>
      <c r="AO1570" s="59"/>
      <c r="AP1570" s="59"/>
      <c r="AQ1570" s="59"/>
      <c r="AR1570" s="59"/>
      <c r="AS1570" s="59"/>
      <c r="AT1570" s="59"/>
      <c r="AU1570" s="59"/>
      <c r="AV1570" s="59"/>
      <c r="AW1570" s="59"/>
      <c r="AX1570" s="59"/>
      <c r="AY1570" s="59"/>
      <c r="AZ1570" s="59"/>
      <c r="BA1570" s="59"/>
      <c r="BB1570" s="59"/>
      <c r="BC1570" s="59"/>
      <c r="BD1570" s="59"/>
      <c r="BE1570" s="59"/>
      <c r="BF1570" s="59"/>
      <c r="BG1570" s="59"/>
      <c r="BH1570" s="59"/>
      <c r="BI1570" s="59"/>
      <c r="BJ1570" s="59"/>
      <c r="BK1570" s="59"/>
      <c r="BL1570" s="59"/>
      <c r="BM1570" s="59"/>
      <c r="BN1570" s="59"/>
      <c r="BO1570" s="59"/>
      <c r="BP1570" s="59"/>
      <c r="BQ1570" s="59"/>
      <c r="BR1570" s="59"/>
      <c r="BS1570" s="59"/>
      <c r="BT1570" s="59"/>
      <c r="BU1570" s="59"/>
      <c r="BV1570" s="59"/>
      <c r="BW1570" s="59"/>
      <c r="BX1570" s="59"/>
      <c r="BY1570" s="59"/>
      <c r="BZ1570" s="59"/>
      <c r="CA1570" s="59"/>
      <c r="CB1570" s="59"/>
      <c r="CC1570" s="59"/>
      <c r="CD1570" s="59"/>
      <c r="CE1570" s="59"/>
      <c r="CF1570" s="59"/>
      <c r="CG1570" s="59"/>
      <c r="CH1570" s="59"/>
      <c r="CI1570" s="59"/>
      <c r="CJ1570" s="59"/>
      <c r="CK1570" s="59"/>
      <c r="CL1570" s="59"/>
      <c r="CM1570" s="59"/>
      <c r="CN1570" s="59"/>
      <c r="CO1570" s="59"/>
      <c r="CP1570" s="59"/>
      <c r="CQ1570" s="59"/>
      <c r="CR1570" s="59"/>
      <c r="CS1570" s="59"/>
      <c r="CT1570" s="59"/>
      <c r="CU1570" s="59"/>
      <c r="CV1570" s="59"/>
      <c r="CW1570" s="59"/>
      <c r="CX1570" s="59"/>
      <c r="CY1570" s="59"/>
      <c r="CZ1570" s="59"/>
      <c r="DA1570" s="59"/>
      <c r="DB1570" s="59"/>
      <c r="DC1570" s="59"/>
      <c r="DD1570" s="59"/>
      <c r="DE1570" s="59"/>
      <c r="DF1570" s="59"/>
      <c r="DG1570" s="59"/>
      <c r="DH1570" s="59"/>
      <c r="DI1570" s="59"/>
      <c r="DJ1570" s="59"/>
      <c r="DK1570" s="59"/>
      <c r="DL1570" s="59"/>
      <c r="DM1570" s="59"/>
      <c r="DN1570" s="59"/>
      <c r="DO1570" s="59"/>
      <c r="DP1570" s="59"/>
      <c r="DQ1570" s="59"/>
      <c r="DR1570" s="59"/>
      <c r="DS1570" s="59"/>
      <c r="DT1570" s="59"/>
      <c r="DU1570" s="59"/>
      <c r="DV1570" s="59"/>
      <c r="DW1570" s="59"/>
      <c r="DX1570" s="59"/>
      <c r="DY1570" s="59"/>
      <c r="DZ1570" s="59"/>
      <c r="EA1570" s="59"/>
      <c r="EB1570" s="59"/>
      <c r="EC1570" s="59"/>
      <c r="ED1570" s="59"/>
      <c r="EE1570" s="59"/>
      <c r="EF1570" s="59"/>
      <c r="EG1570" s="59"/>
      <c r="EH1570" s="59"/>
      <c r="EI1570" s="59"/>
      <c r="EJ1570" s="59"/>
      <c r="EK1570" s="59"/>
      <c r="EL1570" s="59"/>
      <c r="EM1570" s="59"/>
      <c r="EN1570" s="59"/>
      <c r="EO1570" s="59"/>
      <c r="EP1570" s="59"/>
      <c r="EQ1570" s="59"/>
      <c r="ER1570" s="59"/>
      <c r="ES1570" s="59"/>
      <c r="ET1570" s="59"/>
      <c r="EU1570" s="59"/>
      <c r="EV1570" s="59"/>
      <c r="EW1570" s="59"/>
      <c r="EX1570" s="59"/>
      <c r="EY1570" s="59"/>
      <c r="EZ1570" s="59"/>
      <c r="FA1570" s="59"/>
      <c r="FB1570" s="59"/>
      <c r="FC1570" s="59"/>
      <c r="FD1570" s="59"/>
      <c r="FE1570" s="59"/>
      <c r="FF1570" s="59"/>
      <c r="FG1570" s="59"/>
      <c r="FH1570" s="59"/>
      <c r="FI1570" s="59"/>
      <c r="FJ1570" s="59"/>
      <c r="FK1570" s="59"/>
      <c r="FL1570" s="59"/>
      <c r="FM1570" s="59"/>
      <c r="FN1570" s="59"/>
      <c r="FO1570" s="59"/>
      <c r="FP1570" s="59"/>
      <c r="FQ1570" s="59"/>
      <c r="FR1570" s="59"/>
      <c r="FS1570" s="59"/>
      <c r="FT1570" s="59"/>
      <c r="FU1570" s="59"/>
      <c r="FV1570" s="59"/>
      <c r="FW1570" s="59"/>
      <c r="FX1570" s="59"/>
      <c r="FY1570" s="59"/>
      <c r="FZ1570" s="59"/>
      <c r="GA1570" s="59"/>
      <c r="GB1570" s="59"/>
      <c r="GC1570" s="59"/>
    </row>
    <row r="1571">
      <c r="A1571" s="59"/>
      <c r="B1571" s="59"/>
      <c r="C1571" s="59"/>
      <c r="D1571" s="59"/>
      <c r="E1571" s="59"/>
      <c r="F1571" s="59"/>
      <c r="G1571" s="59"/>
      <c r="H1571" s="59"/>
      <c r="I1571" s="59"/>
      <c r="J1571" s="59"/>
      <c r="K1571" s="59"/>
      <c r="L1571" s="59"/>
      <c r="M1571" s="59"/>
      <c r="N1571" s="59"/>
      <c r="O1571" s="59"/>
      <c r="P1571" s="59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59"/>
      <c r="AG1571" s="59"/>
      <c r="AH1571" s="59"/>
      <c r="AI1571" s="59"/>
      <c r="AJ1571" s="59"/>
      <c r="AK1571" s="59"/>
      <c r="AL1571" s="59"/>
      <c r="AM1571" s="59"/>
      <c r="AN1571" s="59"/>
      <c r="AO1571" s="59"/>
      <c r="AP1571" s="59"/>
      <c r="AQ1571" s="59"/>
      <c r="AR1571" s="59"/>
      <c r="AS1571" s="59"/>
      <c r="AT1571" s="59"/>
      <c r="AU1571" s="59"/>
      <c r="AV1571" s="59"/>
      <c r="AW1571" s="59"/>
      <c r="AX1571" s="59"/>
      <c r="AY1571" s="59"/>
      <c r="AZ1571" s="59"/>
      <c r="BA1571" s="59"/>
      <c r="BB1571" s="59"/>
      <c r="BC1571" s="59"/>
      <c r="BD1571" s="59"/>
      <c r="BE1571" s="59"/>
      <c r="BF1571" s="59"/>
      <c r="BG1571" s="59"/>
      <c r="BH1571" s="59"/>
      <c r="BI1571" s="59"/>
      <c r="BJ1571" s="59"/>
      <c r="BK1571" s="59"/>
      <c r="BL1571" s="59"/>
      <c r="BM1571" s="59"/>
      <c r="BN1571" s="59"/>
      <c r="BO1571" s="59"/>
      <c r="BP1571" s="59"/>
      <c r="BQ1571" s="59"/>
      <c r="BR1571" s="59"/>
      <c r="BS1571" s="59"/>
      <c r="BT1571" s="59"/>
      <c r="BU1571" s="59"/>
      <c r="BV1571" s="59"/>
      <c r="BW1571" s="59"/>
      <c r="BX1571" s="59"/>
      <c r="BY1571" s="59"/>
      <c r="BZ1571" s="59"/>
      <c r="CA1571" s="59"/>
      <c r="CB1571" s="59"/>
      <c r="CC1571" s="59"/>
      <c r="CD1571" s="59"/>
      <c r="CE1571" s="59"/>
      <c r="CF1571" s="59"/>
      <c r="CG1571" s="59"/>
      <c r="CH1571" s="59"/>
      <c r="CI1571" s="59"/>
      <c r="CJ1571" s="59"/>
      <c r="CK1571" s="59"/>
      <c r="CL1571" s="59"/>
      <c r="CM1571" s="59"/>
      <c r="CN1571" s="59"/>
      <c r="CO1571" s="59"/>
      <c r="CP1571" s="59"/>
      <c r="CQ1571" s="59"/>
      <c r="CR1571" s="59"/>
      <c r="CS1571" s="59"/>
      <c r="CT1571" s="59"/>
      <c r="CU1571" s="59"/>
      <c r="CV1571" s="59"/>
      <c r="CW1571" s="59"/>
      <c r="CX1571" s="59"/>
      <c r="CY1571" s="59"/>
      <c r="CZ1571" s="59"/>
      <c r="DA1571" s="59"/>
      <c r="DB1571" s="59"/>
      <c r="DC1571" s="59"/>
      <c r="DD1571" s="59"/>
      <c r="DE1571" s="59"/>
      <c r="DF1571" s="59"/>
      <c r="DG1571" s="59"/>
      <c r="DH1571" s="59"/>
      <c r="DI1571" s="59"/>
      <c r="DJ1571" s="59"/>
      <c r="DK1571" s="59"/>
      <c r="DL1571" s="59"/>
      <c r="DM1571" s="59"/>
      <c r="DN1571" s="59"/>
      <c r="DO1571" s="59"/>
      <c r="DP1571" s="59"/>
      <c r="DQ1571" s="59"/>
      <c r="DR1571" s="59"/>
      <c r="DS1571" s="59"/>
      <c r="DT1571" s="59"/>
      <c r="DU1571" s="59"/>
      <c r="DV1571" s="59"/>
      <c r="DW1571" s="59"/>
      <c r="DX1571" s="59"/>
      <c r="DY1571" s="59"/>
      <c r="DZ1571" s="59"/>
      <c r="EA1571" s="59"/>
      <c r="EB1571" s="59"/>
      <c r="EC1571" s="59"/>
      <c r="ED1571" s="59"/>
      <c r="EE1571" s="59"/>
      <c r="EF1571" s="59"/>
      <c r="EG1571" s="59"/>
      <c r="EH1571" s="59"/>
      <c r="EI1571" s="59"/>
      <c r="EJ1571" s="59"/>
      <c r="EK1571" s="59"/>
      <c r="EL1571" s="59"/>
      <c r="EM1571" s="59"/>
      <c r="EN1571" s="59"/>
      <c r="EO1571" s="59"/>
      <c r="EP1571" s="59"/>
      <c r="EQ1571" s="59"/>
      <c r="ER1571" s="59"/>
      <c r="ES1571" s="59"/>
      <c r="ET1571" s="59"/>
      <c r="EU1571" s="59"/>
      <c r="EV1571" s="59"/>
      <c r="EW1571" s="59"/>
      <c r="EX1571" s="59"/>
      <c r="EY1571" s="59"/>
      <c r="EZ1571" s="59"/>
      <c r="FA1571" s="59"/>
      <c r="FB1571" s="59"/>
      <c r="FC1571" s="59"/>
      <c r="FD1571" s="59"/>
      <c r="FE1571" s="59"/>
      <c r="FF1571" s="59"/>
      <c r="FG1571" s="59"/>
      <c r="FH1571" s="59"/>
      <c r="FI1571" s="59"/>
      <c r="FJ1571" s="59"/>
      <c r="FK1571" s="59"/>
      <c r="FL1571" s="59"/>
      <c r="FM1571" s="59"/>
      <c r="FN1571" s="59"/>
      <c r="FO1571" s="59"/>
      <c r="FP1571" s="59"/>
      <c r="FQ1571" s="59"/>
      <c r="FR1571" s="59"/>
      <c r="FS1571" s="59"/>
      <c r="FT1571" s="59"/>
      <c r="FU1571" s="59"/>
      <c r="FV1571" s="59"/>
      <c r="FW1571" s="59"/>
      <c r="FX1571" s="59"/>
      <c r="FY1571" s="59"/>
      <c r="FZ1571" s="59"/>
      <c r="GA1571" s="59"/>
      <c r="GB1571" s="59"/>
      <c r="GC1571" s="59"/>
    </row>
    <row r="1572">
      <c r="A1572" s="59"/>
      <c r="B1572" s="59"/>
      <c r="C1572" s="59"/>
      <c r="D1572" s="59"/>
      <c r="E1572" s="59"/>
      <c r="F1572" s="59"/>
      <c r="G1572" s="59"/>
      <c r="H1572" s="59"/>
      <c r="I1572" s="59"/>
      <c r="J1572" s="59"/>
      <c r="K1572" s="59"/>
      <c r="L1572" s="59"/>
      <c r="M1572" s="59"/>
      <c r="N1572" s="59"/>
      <c r="O1572" s="59"/>
      <c r="P1572" s="59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59"/>
      <c r="AG1572" s="59"/>
      <c r="AH1572" s="59"/>
      <c r="AI1572" s="59"/>
      <c r="AJ1572" s="59"/>
      <c r="AK1572" s="59"/>
      <c r="AL1572" s="59"/>
      <c r="AM1572" s="59"/>
      <c r="AN1572" s="59"/>
      <c r="AO1572" s="59"/>
      <c r="AP1572" s="59"/>
      <c r="AQ1572" s="59"/>
      <c r="AR1572" s="59"/>
      <c r="AS1572" s="59"/>
      <c r="AT1572" s="59"/>
      <c r="AU1572" s="59"/>
      <c r="AV1572" s="59"/>
      <c r="AW1572" s="59"/>
      <c r="AX1572" s="59"/>
      <c r="AY1572" s="59"/>
      <c r="AZ1572" s="59"/>
      <c r="BA1572" s="59"/>
      <c r="BB1572" s="59"/>
      <c r="BC1572" s="59"/>
      <c r="BD1572" s="59"/>
      <c r="BE1572" s="59"/>
      <c r="BF1572" s="59"/>
      <c r="BG1572" s="59"/>
      <c r="BH1572" s="59"/>
      <c r="BI1572" s="59"/>
      <c r="BJ1572" s="59"/>
      <c r="BK1572" s="59"/>
      <c r="BL1572" s="59"/>
      <c r="BM1572" s="59"/>
      <c r="BN1572" s="59"/>
      <c r="BO1572" s="59"/>
      <c r="BP1572" s="59"/>
      <c r="BQ1572" s="59"/>
      <c r="BR1572" s="59"/>
      <c r="BS1572" s="59"/>
      <c r="BT1572" s="59"/>
      <c r="BU1572" s="59"/>
      <c r="BV1572" s="59"/>
      <c r="BW1572" s="59"/>
      <c r="BX1572" s="59"/>
      <c r="BY1572" s="59"/>
      <c r="BZ1572" s="59"/>
      <c r="CA1572" s="59"/>
      <c r="CB1572" s="59"/>
      <c r="CC1572" s="59"/>
      <c r="CD1572" s="59"/>
      <c r="CE1572" s="59"/>
      <c r="CF1572" s="59"/>
      <c r="CG1572" s="59"/>
      <c r="CH1572" s="59"/>
      <c r="CI1572" s="59"/>
      <c r="CJ1572" s="59"/>
      <c r="CK1572" s="59"/>
      <c r="CL1572" s="59"/>
      <c r="CM1572" s="59"/>
      <c r="CN1572" s="59"/>
      <c r="CO1572" s="59"/>
      <c r="CP1572" s="59"/>
      <c r="CQ1572" s="59"/>
      <c r="CR1572" s="59"/>
      <c r="CS1572" s="59"/>
      <c r="CT1572" s="59"/>
      <c r="CU1572" s="59"/>
      <c r="CV1572" s="59"/>
      <c r="CW1572" s="59"/>
      <c r="CX1572" s="59"/>
      <c r="CY1572" s="59"/>
      <c r="CZ1572" s="59"/>
      <c r="DA1572" s="59"/>
      <c r="DB1572" s="59"/>
      <c r="DC1572" s="59"/>
      <c r="DD1572" s="59"/>
      <c r="DE1572" s="59"/>
      <c r="DF1572" s="59"/>
      <c r="DG1572" s="59"/>
      <c r="DH1572" s="59"/>
      <c r="DI1572" s="59"/>
      <c r="DJ1572" s="59"/>
      <c r="DK1572" s="59"/>
      <c r="DL1572" s="59"/>
      <c r="DM1572" s="59"/>
      <c r="DN1572" s="59"/>
      <c r="DO1572" s="59"/>
      <c r="DP1572" s="59"/>
      <c r="DQ1572" s="59"/>
      <c r="DR1572" s="59"/>
      <c r="DS1572" s="59"/>
      <c r="DT1572" s="59"/>
      <c r="DU1572" s="59"/>
      <c r="DV1572" s="59"/>
      <c r="DW1572" s="59"/>
      <c r="DX1572" s="59"/>
      <c r="DY1572" s="59"/>
      <c r="DZ1572" s="59"/>
      <c r="EA1572" s="59"/>
      <c r="EB1572" s="59"/>
      <c r="EC1572" s="59"/>
      <c r="ED1572" s="59"/>
      <c r="EE1572" s="59"/>
      <c r="EF1572" s="59"/>
      <c r="EG1572" s="59"/>
      <c r="EH1572" s="59"/>
      <c r="EI1572" s="59"/>
      <c r="EJ1572" s="59"/>
      <c r="EK1572" s="59"/>
      <c r="EL1572" s="59"/>
      <c r="EM1572" s="59"/>
      <c r="EN1572" s="59"/>
      <c r="EO1572" s="59"/>
      <c r="EP1572" s="59"/>
      <c r="EQ1572" s="59"/>
      <c r="ER1572" s="59"/>
      <c r="ES1572" s="59"/>
      <c r="ET1572" s="59"/>
      <c r="EU1572" s="59"/>
      <c r="EV1572" s="59"/>
      <c r="EW1572" s="59"/>
      <c r="EX1572" s="59"/>
      <c r="EY1572" s="59"/>
      <c r="EZ1572" s="59"/>
      <c r="FA1572" s="59"/>
      <c r="FB1572" s="59"/>
      <c r="FC1572" s="59"/>
      <c r="FD1572" s="59"/>
      <c r="FE1572" s="59"/>
      <c r="FF1572" s="59"/>
      <c r="FG1572" s="59"/>
      <c r="FH1572" s="59"/>
      <c r="FI1572" s="59"/>
      <c r="FJ1572" s="59"/>
      <c r="FK1572" s="59"/>
      <c r="FL1572" s="59"/>
      <c r="FM1572" s="59"/>
      <c r="FN1572" s="59"/>
      <c r="FO1572" s="59"/>
      <c r="FP1572" s="59"/>
      <c r="FQ1572" s="59"/>
      <c r="FR1572" s="59"/>
      <c r="FS1572" s="59"/>
      <c r="FT1572" s="59"/>
      <c r="FU1572" s="59"/>
      <c r="FV1572" s="59"/>
      <c r="FW1572" s="59"/>
      <c r="FX1572" s="59"/>
      <c r="FY1572" s="59"/>
      <c r="FZ1572" s="59"/>
      <c r="GA1572" s="59"/>
      <c r="GB1572" s="59"/>
      <c r="GC1572" s="59"/>
    </row>
    <row r="1573">
      <c r="A1573" s="59"/>
      <c r="B1573" s="59"/>
      <c r="C1573" s="59"/>
      <c r="D1573" s="59"/>
      <c r="E1573" s="59"/>
      <c r="F1573" s="59"/>
      <c r="G1573" s="59"/>
      <c r="H1573" s="59"/>
      <c r="I1573" s="59"/>
      <c r="J1573" s="59"/>
      <c r="K1573" s="59"/>
      <c r="L1573" s="59"/>
      <c r="M1573" s="59"/>
      <c r="N1573" s="59"/>
      <c r="O1573" s="59"/>
      <c r="P1573" s="59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59"/>
      <c r="AG1573" s="59"/>
      <c r="AH1573" s="59"/>
      <c r="AI1573" s="59"/>
      <c r="AJ1573" s="59"/>
      <c r="AK1573" s="59"/>
      <c r="AL1573" s="59"/>
      <c r="AM1573" s="59"/>
      <c r="AN1573" s="59"/>
      <c r="AO1573" s="59"/>
      <c r="AP1573" s="59"/>
      <c r="AQ1573" s="59"/>
      <c r="AR1573" s="59"/>
      <c r="AS1573" s="59"/>
      <c r="AT1573" s="59"/>
      <c r="AU1573" s="59"/>
      <c r="AV1573" s="59"/>
      <c r="AW1573" s="59"/>
      <c r="AX1573" s="59"/>
      <c r="AY1573" s="59"/>
      <c r="AZ1573" s="59"/>
      <c r="BA1573" s="59"/>
      <c r="BB1573" s="59"/>
      <c r="BC1573" s="59"/>
      <c r="BD1573" s="59"/>
      <c r="BE1573" s="59"/>
      <c r="BF1573" s="59"/>
      <c r="BG1573" s="59"/>
      <c r="BH1573" s="59"/>
      <c r="BI1573" s="59"/>
      <c r="BJ1573" s="59"/>
      <c r="BK1573" s="59"/>
      <c r="BL1573" s="59"/>
      <c r="BM1573" s="59"/>
      <c r="BN1573" s="59"/>
      <c r="BO1573" s="59"/>
      <c r="BP1573" s="59"/>
      <c r="BQ1573" s="59"/>
      <c r="BR1573" s="59"/>
      <c r="BS1573" s="59"/>
      <c r="BT1573" s="59"/>
      <c r="BU1573" s="59"/>
      <c r="BV1573" s="59"/>
      <c r="BW1573" s="59"/>
      <c r="BX1573" s="59"/>
      <c r="BY1573" s="59"/>
      <c r="BZ1573" s="59"/>
      <c r="CA1573" s="59"/>
      <c r="CB1573" s="59"/>
      <c r="CC1573" s="59"/>
      <c r="CD1573" s="59"/>
      <c r="CE1573" s="59"/>
      <c r="CF1573" s="59"/>
      <c r="CG1573" s="59"/>
      <c r="CH1573" s="59"/>
      <c r="CI1573" s="59"/>
      <c r="CJ1573" s="59"/>
      <c r="CK1573" s="59"/>
      <c r="CL1573" s="59"/>
      <c r="CM1573" s="59"/>
      <c r="CN1573" s="59"/>
      <c r="CO1573" s="59"/>
      <c r="CP1573" s="59"/>
      <c r="CQ1573" s="59"/>
      <c r="CR1573" s="59"/>
      <c r="CS1573" s="59"/>
      <c r="CT1573" s="59"/>
      <c r="CU1573" s="59"/>
      <c r="CV1573" s="59"/>
      <c r="CW1573" s="59"/>
      <c r="CX1573" s="59"/>
      <c r="CY1573" s="59"/>
      <c r="CZ1573" s="59"/>
      <c r="DA1573" s="59"/>
      <c r="DB1573" s="59"/>
      <c r="DC1573" s="59"/>
      <c r="DD1573" s="59"/>
      <c r="DE1573" s="59"/>
      <c r="DF1573" s="59"/>
      <c r="DG1573" s="59"/>
      <c r="DH1573" s="59"/>
      <c r="DI1573" s="59"/>
      <c r="DJ1573" s="59"/>
      <c r="DK1573" s="59"/>
      <c r="DL1573" s="59"/>
      <c r="DM1573" s="59"/>
      <c r="DN1573" s="59"/>
      <c r="DO1573" s="59"/>
      <c r="DP1573" s="59"/>
      <c r="DQ1573" s="59"/>
      <c r="DR1573" s="59"/>
      <c r="DS1573" s="59"/>
      <c r="DT1573" s="59"/>
      <c r="DU1573" s="59"/>
      <c r="DV1573" s="59"/>
      <c r="DW1573" s="59"/>
      <c r="DX1573" s="59"/>
      <c r="DY1573" s="59"/>
      <c r="DZ1573" s="59"/>
      <c r="EA1573" s="59"/>
      <c r="EB1573" s="59"/>
      <c r="EC1573" s="59"/>
      <c r="ED1573" s="59"/>
      <c r="EE1573" s="59"/>
      <c r="EF1573" s="59"/>
      <c r="EG1573" s="59"/>
      <c r="EH1573" s="59"/>
      <c r="EI1573" s="59"/>
      <c r="EJ1573" s="59"/>
      <c r="EK1573" s="59"/>
      <c r="EL1573" s="59"/>
      <c r="EM1573" s="59"/>
      <c r="EN1573" s="59"/>
      <c r="EO1573" s="59"/>
      <c r="EP1573" s="59"/>
      <c r="EQ1573" s="59"/>
      <c r="ER1573" s="59"/>
      <c r="ES1573" s="59"/>
      <c r="ET1573" s="59"/>
      <c r="EU1573" s="59"/>
      <c r="EV1573" s="59"/>
      <c r="EW1573" s="59"/>
      <c r="EX1573" s="59"/>
      <c r="EY1573" s="59"/>
      <c r="EZ1573" s="59"/>
      <c r="FA1573" s="59"/>
      <c r="FB1573" s="59"/>
      <c r="FC1573" s="59"/>
      <c r="FD1573" s="59"/>
      <c r="FE1573" s="59"/>
      <c r="FF1573" s="59"/>
      <c r="FG1573" s="59"/>
      <c r="FH1573" s="59"/>
      <c r="FI1573" s="59"/>
      <c r="FJ1573" s="59"/>
      <c r="FK1573" s="59"/>
      <c r="FL1573" s="59"/>
      <c r="FM1573" s="59"/>
      <c r="FN1573" s="59"/>
      <c r="FO1573" s="59"/>
      <c r="FP1573" s="59"/>
      <c r="FQ1573" s="59"/>
      <c r="FR1573" s="59"/>
      <c r="FS1573" s="59"/>
      <c r="FT1573" s="59"/>
      <c r="FU1573" s="59"/>
      <c r="FV1573" s="59"/>
      <c r="FW1573" s="59"/>
      <c r="FX1573" s="59"/>
      <c r="FY1573" s="59"/>
      <c r="FZ1573" s="59"/>
      <c r="GA1573" s="59"/>
      <c r="GB1573" s="59"/>
      <c r="GC1573" s="59"/>
    </row>
    <row r="1574">
      <c r="A1574" s="59"/>
      <c r="B1574" s="59"/>
      <c r="C1574" s="59"/>
      <c r="D1574" s="59"/>
      <c r="E1574" s="59"/>
      <c r="F1574" s="59"/>
      <c r="G1574" s="59"/>
      <c r="H1574" s="59"/>
      <c r="I1574" s="59"/>
      <c r="J1574" s="59"/>
      <c r="K1574" s="59"/>
      <c r="L1574" s="59"/>
      <c r="M1574" s="59"/>
      <c r="N1574" s="59"/>
      <c r="O1574" s="59"/>
      <c r="P1574" s="59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59"/>
      <c r="AI1574" s="59"/>
      <c r="AJ1574" s="59"/>
      <c r="AK1574" s="59"/>
      <c r="AL1574" s="59"/>
      <c r="AM1574" s="59"/>
      <c r="AN1574" s="59"/>
      <c r="AO1574" s="59"/>
      <c r="AP1574" s="59"/>
      <c r="AQ1574" s="59"/>
      <c r="AR1574" s="59"/>
      <c r="AS1574" s="59"/>
      <c r="AT1574" s="59"/>
      <c r="AU1574" s="59"/>
      <c r="AV1574" s="59"/>
      <c r="AW1574" s="59"/>
      <c r="AX1574" s="59"/>
      <c r="AY1574" s="59"/>
      <c r="AZ1574" s="59"/>
      <c r="BA1574" s="59"/>
      <c r="BB1574" s="59"/>
      <c r="BC1574" s="59"/>
      <c r="BD1574" s="59"/>
      <c r="BE1574" s="59"/>
      <c r="BF1574" s="59"/>
      <c r="BG1574" s="59"/>
      <c r="BH1574" s="59"/>
      <c r="BI1574" s="59"/>
      <c r="BJ1574" s="59"/>
      <c r="BK1574" s="59"/>
      <c r="BL1574" s="59"/>
      <c r="BM1574" s="59"/>
      <c r="BN1574" s="59"/>
      <c r="BO1574" s="59"/>
      <c r="BP1574" s="59"/>
      <c r="BQ1574" s="59"/>
      <c r="BR1574" s="59"/>
      <c r="BS1574" s="59"/>
      <c r="BT1574" s="59"/>
      <c r="BU1574" s="59"/>
      <c r="BV1574" s="59"/>
      <c r="BW1574" s="59"/>
      <c r="BX1574" s="59"/>
      <c r="BY1574" s="59"/>
      <c r="BZ1574" s="59"/>
      <c r="CA1574" s="59"/>
      <c r="CB1574" s="59"/>
      <c r="CC1574" s="59"/>
      <c r="CD1574" s="59"/>
      <c r="CE1574" s="59"/>
      <c r="CF1574" s="59"/>
      <c r="CG1574" s="59"/>
      <c r="CH1574" s="59"/>
      <c r="CI1574" s="59"/>
      <c r="CJ1574" s="59"/>
      <c r="CK1574" s="59"/>
      <c r="CL1574" s="59"/>
      <c r="CM1574" s="59"/>
      <c r="CN1574" s="59"/>
      <c r="CO1574" s="59"/>
      <c r="CP1574" s="59"/>
      <c r="CQ1574" s="59"/>
      <c r="CR1574" s="59"/>
      <c r="CS1574" s="59"/>
      <c r="CT1574" s="59"/>
      <c r="CU1574" s="59"/>
      <c r="CV1574" s="59"/>
      <c r="CW1574" s="59"/>
      <c r="CX1574" s="59"/>
      <c r="CY1574" s="59"/>
      <c r="CZ1574" s="59"/>
      <c r="DA1574" s="59"/>
      <c r="DB1574" s="59"/>
      <c r="DC1574" s="59"/>
      <c r="DD1574" s="59"/>
      <c r="DE1574" s="59"/>
      <c r="DF1574" s="59"/>
      <c r="DG1574" s="59"/>
      <c r="DH1574" s="59"/>
      <c r="DI1574" s="59"/>
      <c r="DJ1574" s="59"/>
      <c r="DK1574" s="59"/>
      <c r="DL1574" s="59"/>
      <c r="DM1574" s="59"/>
      <c r="DN1574" s="59"/>
      <c r="DO1574" s="59"/>
      <c r="DP1574" s="59"/>
      <c r="DQ1574" s="59"/>
      <c r="DR1574" s="59"/>
      <c r="DS1574" s="59"/>
      <c r="DT1574" s="59"/>
      <c r="DU1574" s="59"/>
      <c r="DV1574" s="59"/>
      <c r="DW1574" s="59"/>
      <c r="DX1574" s="59"/>
      <c r="DY1574" s="59"/>
      <c r="DZ1574" s="59"/>
      <c r="EA1574" s="59"/>
      <c r="EB1574" s="59"/>
      <c r="EC1574" s="59"/>
      <c r="ED1574" s="59"/>
      <c r="EE1574" s="59"/>
      <c r="EF1574" s="59"/>
      <c r="EG1574" s="59"/>
      <c r="EH1574" s="59"/>
      <c r="EI1574" s="59"/>
      <c r="EJ1574" s="59"/>
      <c r="EK1574" s="59"/>
      <c r="EL1574" s="59"/>
      <c r="EM1574" s="59"/>
      <c r="EN1574" s="59"/>
      <c r="EO1574" s="59"/>
      <c r="EP1574" s="59"/>
      <c r="EQ1574" s="59"/>
      <c r="ER1574" s="59"/>
      <c r="ES1574" s="59"/>
      <c r="ET1574" s="59"/>
      <c r="EU1574" s="59"/>
      <c r="EV1574" s="59"/>
      <c r="EW1574" s="59"/>
      <c r="EX1574" s="59"/>
      <c r="EY1574" s="59"/>
      <c r="EZ1574" s="59"/>
      <c r="FA1574" s="59"/>
      <c r="FB1574" s="59"/>
      <c r="FC1574" s="59"/>
      <c r="FD1574" s="59"/>
      <c r="FE1574" s="59"/>
      <c r="FF1574" s="59"/>
      <c r="FG1574" s="59"/>
      <c r="FH1574" s="59"/>
      <c r="FI1574" s="59"/>
      <c r="FJ1574" s="59"/>
      <c r="FK1574" s="59"/>
      <c r="FL1574" s="59"/>
      <c r="FM1574" s="59"/>
      <c r="FN1574" s="59"/>
      <c r="FO1574" s="59"/>
      <c r="FP1574" s="59"/>
      <c r="FQ1574" s="59"/>
      <c r="FR1574" s="59"/>
      <c r="FS1574" s="59"/>
      <c r="FT1574" s="59"/>
      <c r="FU1574" s="59"/>
      <c r="FV1574" s="59"/>
      <c r="FW1574" s="59"/>
      <c r="FX1574" s="59"/>
      <c r="FY1574" s="59"/>
      <c r="FZ1574" s="59"/>
      <c r="GA1574" s="59"/>
      <c r="GB1574" s="59"/>
      <c r="GC1574" s="59"/>
    </row>
    <row r="1575">
      <c r="A1575" s="59"/>
      <c r="B1575" s="59"/>
      <c r="C1575" s="59"/>
      <c r="D1575" s="59"/>
      <c r="E1575" s="59"/>
      <c r="F1575" s="59"/>
      <c r="G1575" s="59"/>
      <c r="H1575" s="59"/>
      <c r="I1575" s="59"/>
      <c r="J1575" s="59"/>
      <c r="K1575" s="59"/>
      <c r="L1575" s="59"/>
      <c r="M1575" s="59"/>
      <c r="N1575" s="59"/>
      <c r="O1575" s="59"/>
      <c r="P1575" s="59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59"/>
      <c r="AG1575" s="59"/>
      <c r="AH1575" s="59"/>
      <c r="AI1575" s="59"/>
      <c r="AJ1575" s="59"/>
      <c r="AK1575" s="59"/>
      <c r="AL1575" s="59"/>
      <c r="AM1575" s="59"/>
      <c r="AN1575" s="59"/>
      <c r="AO1575" s="59"/>
      <c r="AP1575" s="59"/>
      <c r="AQ1575" s="59"/>
      <c r="AR1575" s="59"/>
      <c r="AS1575" s="59"/>
      <c r="AT1575" s="59"/>
      <c r="AU1575" s="59"/>
      <c r="AV1575" s="59"/>
      <c r="AW1575" s="59"/>
      <c r="AX1575" s="59"/>
      <c r="AY1575" s="59"/>
      <c r="AZ1575" s="59"/>
      <c r="BA1575" s="59"/>
      <c r="BB1575" s="59"/>
      <c r="BC1575" s="59"/>
      <c r="BD1575" s="59"/>
      <c r="BE1575" s="59"/>
      <c r="BF1575" s="59"/>
      <c r="BG1575" s="59"/>
      <c r="BH1575" s="59"/>
      <c r="BI1575" s="59"/>
      <c r="BJ1575" s="59"/>
      <c r="BK1575" s="59"/>
      <c r="BL1575" s="59"/>
      <c r="BM1575" s="59"/>
      <c r="BN1575" s="59"/>
      <c r="BO1575" s="59"/>
      <c r="BP1575" s="59"/>
      <c r="BQ1575" s="59"/>
      <c r="BR1575" s="59"/>
      <c r="BS1575" s="59"/>
      <c r="BT1575" s="59"/>
      <c r="BU1575" s="59"/>
      <c r="BV1575" s="59"/>
      <c r="BW1575" s="59"/>
      <c r="BX1575" s="59"/>
      <c r="BY1575" s="59"/>
      <c r="BZ1575" s="59"/>
      <c r="CA1575" s="59"/>
      <c r="CB1575" s="59"/>
      <c r="CC1575" s="59"/>
      <c r="CD1575" s="59"/>
      <c r="CE1575" s="59"/>
      <c r="CF1575" s="59"/>
      <c r="CG1575" s="59"/>
      <c r="CH1575" s="59"/>
      <c r="CI1575" s="59"/>
      <c r="CJ1575" s="59"/>
      <c r="CK1575" s="59"/>
      <c r="CL1575" s="59"/>
      <c r="CM1575" s="59"/>
      <c r="CN1575" s="59"/>
      <c r="CO1575" s="59"/>
      <c r="CP1575" s="59"/>
      <c r="CQ1575" s="59"/>
      <c r="CR1575" s="59"/>
      <c r="CS1575" s="59"/>
      <c r="CT1575" s="59"/>
      <c r="CU1575" s="59"/>
      <c r="CV1575" s="59"/>
      <c r="CW1575" s="59"/>
      <c r="CX1575" s="59"/>
      <c r="CY1575" s="59"/>
      <c r="CZ1575" s="59"/>
      <c r="DA1575" s="59"/>
      <c r="DB1575" s="59"/>
      <c r="DC1575" s="59"/>
      <c r="DD1575" s="59"/>
      <c r="DE1575" s="59"/>
      <c r="DF1575" s="59"/>
      <c r="DG1575" s="59"/>
      <c r="DH1575" s="59"/>
      <c r="DI1575" s="59"/>
      <c r="DJ1575" s="59"/>
      <c r="DK1575" s="59"/>
      <c r="DL1575" s="59"/>
      <c r="DM1575" s="59"/>
      <c r="DN1575" s="59"/>
      <c r="DO1575" s="59"/>
      <c r="DP1575" s="59"/>
      <c r="DQ1575" s="59"/>
      <c r="DR1575" s="59"/>
      <c r="DS1575" s="59"/>
      <c r="DT1575" s="59"/>
      <c r="DU1575" s="59"/>
      <c r="DV1575" s="59"/>
      <c r="DW1575" s="59"/>
      <c r="DX1575" s="59"/>
      <c r="DY1575" s="59"/>
      <c r="DZ1575" s="59"/>
      <c r="EA1575" s="59"/>
      <c r="EB1575" s="59"/>
      <c r="EC1575" s="59"/>
      <c r="ED1575" s="59"/>
      <c r="EE1575" s="59"/>
      <c r="EF1575" s="59"/>
      <c r="EG1575" s="59"/>
      <c r="EH1575" s="59"/>
      <c r="EI1575" s="59"/>
      <c r="EJ1575" s="59"/>
      <c r="EK1575" s="59"/>
      <c r="EL1575" s="59"/>
      <c r="EM1575" s="59"/>
      <c r="EN1575" s="59"/>
      <c r="EO1575" s="59"/>
      <c r="EP1575" s="59"/>
      <c r="EQ1575" s="59"/>
      <c r="ER1575" s="59"/>
      <c r="ES1575" s="59"/>
      <c r="ET1575" s="59"/>
      <c r="EU1575" s="59"/>
      <c r="EV1575" s="59"/>
      <c r="EW1575" s="59"/>
      <c r="EX1575" s="59"/>
      <c r="EY1575" s="59"/>
      <c r="EZ1575" s="59"/>
      <c r="FA1575" s="59"/>
      <c r="FB1575" s="59"/>
      <c r="FC1575" s="59"/>
      <c r="FD1575" s="59"/>
      <c r="FE1575" s="59"/>
      <c r="FF1575" s="59"/>
      <c r="FG1575" s="59"/>
      <c r="FH1575" s="59"/>
      <c r="FI1575" s="59"/>
      <c r="FJ1575" s="59"/>
      <c r="FK1575" s="59"/>
      <c r="FL1575" s="59"/>
      <c r="FM1575" s="59"/>
      <c r="FN1575" s="59"/>
      <c r="FO1575" s="59"/>
      <c r="FP1575" s="59"/>
      <c r="FQ1575" s="59"/>
      <c r="FR1575" s="59"/>
      <c r="FS1575" s="59"/>
      <c r="FT1575" s="59"/>
      <c r="FU1575" s="59"/>
      <c r="FV1575" s="59"/>
      <c r="FW1575" s="59"/>
      <c r="FX1575" s="59"/>
      <c r="FY1575" s="59"/>
      <c r="FZ1575" s="59"/>
      <c r="GA1575" s="59"/>
      <c r="GB1575" s="59"/>
      <c r="GC1575" s="59"/>
    </row>
    <row r="1576">
      <c r="A1576" s="59"/>
      <c r="B1576" s="59"/>
      <c r="C1576" s="59"/>
      <c r="D1576" s="59"/>
      <c r="E1576" s="59"/>
      <c r="F1576" s="59"/>
      <c r="G1576" s="59"/>
      <c r="H1576" s="59"/>
      <c r="I1576" s="59"/>
      <c r="J1576" s="59"/>
      <c r="K1576" s="59"/>
      <c r="L1576" s="59"/>
      <c r="M1576" s="59"/>
      <c r="N1576" s="59"/>
      <c r="O1576" s="59"/>
      <c r="P1576" s="59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59"/>
      <c r="AG1576" s="59"/>
      <c r="AH1576" s="59"/>
      <c r="AI1576" s="59"/>
      <c r="AJ1576" s="59"/>
      <c r="AK1576" s="59"/>
      <c r="AL1576" s="59"/>
      <c r="AM1576" s="59"/>
      <c r="AN1576" s="59"/>
      <c r="AO1576" s="59"/>
      <c r="AP1576" s="59"/>
      <c r="AQ1576" s="59"/>
      <c r="AR1576" s="59"/>
      <c r="AS1576" s="59"/>
      <c r="AT1576" s="59"/>
      <c r="AU1576" s="59"/>
      <c r="AV1576" s="59"/>
      <c r="AW1576" s="59"/>
      <c r="AX1576" s="59"/>
      <c r="AY1576" s="59"/>
      <c r="AZ1576" s="59"/>
      <c r="BA1576" s="59"/>
      <c r="BB1576" s="59"/>
      <c r="BC1576" s="59"/>
      <c r="BD1576" s="59"/>
      <c r="BE1576" s="59"/>
      <c r="BF1576" s="59"/>
      <c r="BG1576" s="59"/>
      <c r="BH1576" s="59"/>
      <c r="BI1576" s="59"/>
      <c r="BJ1576" s="59"/>
      <c r="BK1576" s="59"/>
      <c r="BL1576" s="59"/>
      <c r="BM1576" s="59"/>
      <c r="BN1576" s="59"/>
      <c r="BO1576" s="59"/>
      <c r="BP1576" s="59"/>
      <c r="BQ1576" s="59"/>
      <c r="BR1576" s="59"/>
      <c r="BS1576" s="59"/>
      <c r="BT1576" s="59"/>
      <c r="BU1576" s="59"/>
      <c r="BV1576" s="59"/>
      <c r="BW1576" s="59"/>
      <c r="BX1576" s="59"/>
      <c r="BY1576" s="59"/>
      <c r="BZ1576" s="59"/>
      <c r="CA1576" s="59"/>
      <c r="CB1576" s="59"/>
      <c r="CC1576" s="59"/>
      <c r="CD1576" s="59"/>
      <c r="CE1576" s="59"/>
      <c r="CF1576" s="59"/>
      <c r="CG1576" s="59"/>
      <c r="CH1576" s="59"/>
      <c r="CI1576" s="59"/>
      <c r="CJ1576" s="59"/>
      <c r="CK1576" s="59"/>
      <c r="CL1576" s="59"/>
      <c r="CM1576" s="59"/>
      <c r="CN1576" s="59"/>
      <c r="CO1576" s="59"/>
      <c r="CP1576" s="59"/>
      <c r="CQ1576" s="59"/>
      <c r="CR1576" s="59"/>
      <c r="CS1576" s="59"/>
      <c r="CT1576" s="59"/>
      <c r="CU1576" s="59"/>
      <c r="CV1576" s="59"/>
      <c r="CW1576" s="59"/>
      <c r="CX1576" s="59"/>
      <c r="CY1576" s="59"/>
      <c r="CZ1576" s="59"/>
      <c r="DA1576" s="59"/>
      <c r="DB1576" s="59"/>
      <c r="DC1576" s="59"/>
      <c r="DD1576" s="59"/>
      <c r="DE1576" s="59"/>
      <c r="DF1576" s="59"/>
      <c r="DG1576" s="59"/>
      <c r="DH1576" s="59"/>
      <c r="DI1576" s="59"/>
      <c r="DJ1576" s="59"/>
      <c r="DK1576" s="59"/>
      <c r="DL1576" s="59"/>
      <c r="DM1576" s="59"/>
      <c r="DN1576" s="59"/>
      <c r="DO1576" s="59"/>
      <c r="DP1576" s="59"/>
      <c r="DQ1576" s="59"/>
      <c r="DR1576" s="59"/>
      <c r="DS1576" s="59"/>
      <c r="DT1576" s="59"/>
      <c r="DU1576" s="59"/>
      <c r="DV1576" s="59"/>
      <c r="DW1576" s="59"/>
      <c r="DX1576" s="59"/>
      <c r="DY1576" s="59"/>
      <c r="DZ1576" s="59"/>
      <c r="EA1576" s="59"/>
      <c r="EB1576" s="59"/>
      <c r="EC1576" s="59"/>
      <c r="ED1576" s="59"/>
      <c r="EE1576" s="59"/>
      <c r="EF1576" s="59"/>
      <c r="EG1576" s="59"/>
      <c r="EH1576" s="59"/>
      <c r="EI1576" s="59"/>
      <c r="EJ1576" s="59"/>
      <c r="EK1576" s="59"/>
      <c r="EL1576" s="59"/>
      <c r="EM1576" s="59"/>
      <c r="EN1576" s="59"/>
      <c r="EO1576" s="59"/>
      <c r="EP1576" s="59"/>
      <c r="EQ1576" s="59"/>
      <c r="ER1576" s="59"/>
      <c r="ES1576" s="59"/>
      <c r="ET1576" s="59"/>
      <c r="EU1576" s="59"/>
      <c r="EV1576" s="59"/>
      <c r="EW1576" s="59"/>
      <c r="EX1576" s="59"/>
      <c r="EY1576" s="59"/>
      <c r="EZ1576" s="59"/>
      <c r="FA1576" s="59"/>
      <c r="FB1576" s="59"/>
      <c r="FC1576" s="59"/>
      <c r="FD1576" s="59"/>
      <c r="FE1576" s="59"/>
      <c r="FF1576" s="59"/>
      <c r="FG1576" s="59"/>
      <c r="FH1576" s="59"/>
      <c r="FI1576" s="59"/>
      <c r="FJ1576" s="59"/>
      <c r="FK1576" s="59"/>
      <c r="FL1576" s="59"/>
      <c r="FM1576" s="59"/>
      <c r="FN1576" s="59"/>
      <c r="FO1576" s="59"/>
      <c r="FP1576" s="59"/>
      <c r="FQ1576" s="59"/>
      <c r="FR1576" s="59"/>
      <c r="FS1576" s="59"/>
      <c r="FT1576" s="59"/>
      <c r="FU1576" s="59"/>
      <c r="FV1576" s="59"/>
      <c r="FW1576" s="59"/>
      <c r="FX1576" s="59"/>
      <c r="FY1576" s="59"/>
      <c r="FZ1576" s="59"/>
      <c r="GA1576" s="59"/>
      <c r="GB1576" s="59"/>
      <c r="GC1576" s="59"/>
    </row>
    <row r="1577">
      <c r="A1577" s="59"/>
      <c r="B1577" s="59"/>
      <c r="C1577" s="59"/>
      <c r="D1577" s="59"/>
      <c r="E1577" s="59"/>
      <c r="F1577" s="59"/>
      <c r="G1577" s="59"/>
      <c r="H1577" s="59"/>
      <c r="I1577" s="59"/>
      <c r="J1577" s="59"/>
      <c r="K1577" s="59"/>
      <c r="L1577" s="59"/>
      <c r="M1577" s="59"/>
      <c r="N1577" s="59"/>
      <c r="O1577" s="59"/>
      <c r="P1577" s="59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59"/>
      <c r="AG1577" s="59"/>
      <c r="AH1577" s="59"/>
      <c r="AI1577" s="59"/>
      <c r="AJ1577" s="59"/>
      <c r="AK1577" s="59"/>
      <c r="AL1577" s="59"/>
      <c r="AM1577" s="59"/>
      <c r="AN1577" s="59"/>
      <c r="AO1577" s="59"/>
      <c r="AP1577" s="59"/>
      <c r="AQ1577" s="59"/>
      <c r="AR1577" s="59"/>
      <c r="AS1577" s="59"/>
      <c r="AT1577" s="59"/>
      <c r="AU1577" s="59"/>
      <c r="AV1577" s="59"/>
      <c r="AW1577" s="59"/>
      <c r="AX1577" s="59"/>
      <c r="AY1577" s="59"/>
      <c r="AZ1577" s="59"/>
      <c r="BA1577" s="59"/>
      <c r="BB1577" s="59"/>
      <c r="BC1577" s="59"/>
      <c r="BD1577" s="59"/>
      <c r="BE1577" s="59"/>
      <c r="BF1577" s="59"/>
      <c r="BG1577" s="59"/>
      <c r="BH1577" s="59"/>
      <c r="BI1577" s="59"/>
      <c r="BJ1577" s="59"/>
      <c r="BK1577" s="59"/>
      <c r="BL1577" s="59"/>
      <c r="BM1577" s="59"/>
      <c r="BN1577" s="59"/>
      <c r="BO1577" s="59"/>
      <c r="BP1577" s="59"/>
      <c r="BQ1577" s="59"/>
      <c r="BR1577" s="59"/>
      <c r="BS1577" s="59"/>
      <c r="BT1577" s="59"/>
      <c r="BU1577" s="59"/>
      <c r="BV1577" s="59"/>
      <c r="BW1577" s="59"/>
      <c r="BX1577" s="59"/>
      <c r="BY1577" s="59"/>
      <c r="BZ1577" s="59"/>
      <c r="CA1577" s="59"/>
      <c r="CB1577" s="59"/>
      <c r="CC1577" s="59"/>
      <c r="CD1577" s="59"/>
      <c r="CE1577" s="59"/>
      <c r="CF1577" s="59"/>
      <c r="CG1577" s="59"/>
      <c r="CH1577" s="59"/>
      <c r="CI1577" s="59"/>
      <c r="CJ1577" s="59"/>
      <c r="CK1577" s="59"/>
      <c r="CL1577" s="59"/>
      <c r="CM1577" s="59"/>
      <c r="CN1577" s="59"/>
      <c r="CO1577" s="59"/>
      <c r="CP1577" s="59"/>
      <c r="CQ1577" s="59"/>
      <c r="CR1577" s="59"/>
      <c r="CS1577" s="59"/>
      <c r="CT1577" s="59"/>
      <c r="CU1577" s="59"/>
      <c r="CV1577" s="59"/>
      <c r="CW1577" s="59"/>
      <c r="CX1577" s="59"/>
      <c r="CY1577" s="59"/>
      <c r="CZ1577" s="59"/>
      <c r="DA1577" s="59"/>
      <c r="DB1577" s="59"/>
      <c r="DC1577" s="59"/>
      <c r="DD1577" s="59"/>
      <c r="DE1577" s="59"/>
      <c r="DF1577" s="59"/>
      <c r="DG1577" s="59"/>
      <c r="DH1577" s="59"/>
      <c r="DI1577" s="59"/>
      <c r="DJ1577" s="59"/>
      <c r="DK1577" s="59"/>
      <c r="DL1577" s="59"/>
      <c r="DM1577" s="59"/>
      <c r="DN1577" s="59"/>
      <c r="DO1577" s="59"/>
      <c r="DP1577" s="59"/>
      <c r="DQ1577" s="59"/>
      <c r="DR1577" s="59"/>
      <c r="DS1577" s="59"/>
      <c r="DT1577" s="59"/>
      <c r="DU1577" s="59"/>
      <c r="DV1577" s="59"/>
      <c r="DW1577" s="59"/>
      <c r="DX1577" s="59"/>
      <c r="DY1577" s="59"/>
      <c r="DZ1577" s="59"/>
      <c r="EA1577" s="59"/>
      <c r="EB1577" s="59"/>
      <c r="EC1577" s="59"/>
      <c r="ED1577" s="59"/>
      <c r="EE1577" s="59"/>
      <c r="EF1577" s="59"/>
      <c r="EG1577" s="59"/>
      <c r="EH1577" s="59"/>
      <c r="EI1577" s="59"/>
      <c r="EJ1577" s="59"/>
      <c r="EK1577" s="59"/>
      <c r="EL1577" s="59"/>
      <c r="EM1577" s="59"/>
      <c r="EN1577" s="59"/>
      <c r="EO1577" s="59"/>
      <c r="EP1577" s="59"/>
      <c r="EQ1577" s="59"/>
      <c r="ER1577" s="59"/>
      <c r="ES1577" s="59"/>
      <c r="ET1577" s="59"/>
      <c r="EU1577" s="59"/>
      <c r="EV1577" s="59"/>
      <c r="EW1577" s="59"/>
      <c r="EX1577" s="59"/>
      <c r="EY1577" s="59"/>
      <c r="EZ1577" s="59"/>
      <c r="FA1577" s="59"/>
      <c r="FB1577" s="59"/>
      <c r="FC1577" s="59"/>
      <c r="FD1577" s="59"/>
      <c r="FE1577" s="59"/>
      <c r="FF1577" s="59"/>
      <c r="FG1577" s="59"/>
      <c r="FH1577" s="59"/>
      <c r="FI1577" s="59"/>
      <c r="FJ1577" s="59"/>
      <c r="FK1577" s="59"/>
      <c r="FL1577" s="59"/>
      <c r="FM1577" s="59"/>
      <c r="FN1577" s="59"/>
      <c r="FO1577" s="59"/>
      <c r="FP1577" s="59"/>
      <c r="FQ1577" s="59"/>
      <c r="FR1577" s="59"/>
      <c r="FS1577" s="59"/>
      <c r="FT1577" s="59"/>
      <c r="FU1577" s="59"/>
      <c r="FV1577" s="59"/>
      <c r="FW1577" s="59"/>
      <c r="FX1577" s="59"/>
      <c r="FY1577" s="59"/>
      <c r="FZ1577" s="59"/>
      <c r="GA1577" s="59"/>
      <c r="GB1577" s="59"/>
      <c r="GC1577" s="59"/>
    </row>
    <row r="1578">
      <c r="A1578" s="59"/>
      <c r="B1578" s="59"/>
      <c r="C1578" s="59"/>
      <c r="D1578" s="59"/>
      <c r="E1578" s="59"/>
      <c r="F1578" s="59"/>
      <c r="G1578" s="59"/>
      <c r="H1578" s="59"/>
      <c r="I1578" s="59"/>
      <c r="J1578" s="59"/>
      <c r="K1578" s="59"/>
      <c r="L1578" s="59"/>
      <c r="M1578" s="59"/>
      <c r="N1578" s="59"/>
      <c r="O1578" s="59"/>
      <c r="P1578" s="59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59"/>
      <c r="AG1578" s="59"/>
      <c r="AH1578" s="59"/>
      <c r="AI1578" s="59"/>
      <c r="AJ1578" s="59"/>
      <c r="AK1578" s="59"/>
      <c r="AL1578" s="59"/>
      <c r="AM1578" s="59"/>
      <c r="AN1578" s="59"/>
      <c r="AO1578" s="59"/>
      <c r="AP1578" s="59"/>
      <c r="AQ1578" s="59"/>
      <c r="AR1578" s="59"/>
      <c r="AS1578" s="59"/>
      <c r="AT1578" s="59"/>
      <c r="AU1578" s="59"/>
      <c r="AV1578" s="59"/>
      <c r="AW1578" s="59"/>
      <c r="AX1578" s="59"/>
      <c r="AY1578" s="59"/>
      <c r="AZ1578" s="59"/>
      <c r="BA1578" s="59"/>
      <c r="BB1578" s="59"/>
      <c r="BC1578" s="59"/>
      <c r="BD1578" s="59"/>
      <c r="BE1578" s="59"/>
      <c r="BF1578" s="59"/>
      <c r="BG1578" s="59"/>
      <c r="BH1578" s="59"/>
      <c r="BI1578" s="59"/>
      <c r="BJ1578" s="59"/>
      <c r="BK1578" s="59"/>
      <c r="BL1578" s="59"/>
      <c r="BM1578" s="59"/>
      <c r="BN1578" s="59"/>
      <c r="BO1578" s="59"/>
      <c r="BP1578" s="59"/>
      <c r="BQ1578" s="59"/>
      <c r="BR1578" s="59"/>
      <c r="BS1578" s="59"/>
      <c r="BT1578" s="59"/>
      <c r="BU1578" s="59"/>
      <c r="BV1578" s="59"/>
      <c r="BW1578" s="59"/>
      <c r="BX1578" s="59"/>
      <c r="BY1578" s="59"/>
      <c r="BZ1578" s="59"/>
      <c r="CA1578" s="59"/>
      <c r="CB1578" s="59"/>
      <c r="CC1578" s="59"/>
      <c r="CD1578" s="59"/>
      <c r="CE1578" s="59"/>
      <c r="CF1578" s="59"/>
      <c r="CG1578" s="59"/>
      <c r="CH1578" s="59"/>
      <c r="CI1578" s="59"/>
      <c r="CJ1578" s="59"/>
      <c r="CK1578" s="59"/>
      <c r="CL1578" s="59"/>
      <c r="CM1578" s="59"/>
      <c r="CN1578" s="59"/>
      <c r="CO1578" s="59"/>
      <c r="CP1578" s="59"/>
      <c r="CQ1578" s="59"/>
      <c r="CR1578" s="59"/>
      <c r="CS1578" s="59"/>
      <c r="CT1578" s="59"/>
      <c r="CU1578" s="59"/>
      <c r="CV1578" s="59"/>
      <c r="CW1578" s="59"/>
      <c r="CX1578" s="59"/>
      <c r="CY1578" s="59"/>
      <c r="CZ1578" s="59"/>
      <c r="DA1578" s="59"/>
      <c r="DB1578" s="59"/>
      <c r="DC1578" s="59"/>
      <c r="DD1578" s="59"/>
      <c r="DE1578" s="59"/>
      <c r="DF1578" s="59"/>
      <c r="DG1578" s="59"/>
      <c r="DH1578" s="59"/>
      <c r="DI1578" s="59"/>
      <c r="DJ1578" s="59"/>
      <c r="DK1578" s="59"/>
      <c r="DL1578" s="59"/>
      <c r="DM1578" s="59"/>
      <c r="DN1578" s="59"/>
      <c r="DO1578" s="59"/>
      <c r="DP1578" s="59"/>
      <c r="DQ1578" s="59"/>
      <c r="DR1578" s="59"/>
      <c r="DS1578" s="59"/>
      <c r="DT1578" s="59"/>
      <c r="DU1578" s="59"/>
      <c r="DV1578" s="59"/>
      <c r="DW1578" s="59"/>
      <c r="DX1578" s="59"/>
      <c r="DY1578" s="59"/>
      <c r="DZ1578" s="59"/>
      <c r="EA1578" s="59"/>
      <c r="EB1578" s="59"/>
      <c r="EC1578" s="59"/>
      <c r="ED1578" s="59"/>
      <c r="EE1578" s="59"/>
      <c r="EF1578" s="59"/>
      <c r="EG1578" s="59"/>
      <c r="EH1578" s="59"/>
      <c r="EI1578" s="59"/>
      <c r="EJ1578" s="59"/>
      <c r="EK1578" s="59"/>
      <c r="EL1578" s="59"/>
      <c r="EM1578" s="59"/>
      <c r="EN1578" s="59"/>
      <c r="EO1578" s="59"/>
      <c r="EP1578" s="59"/>
      <c r="EQ1578" s="59"/>
      <c r="ER1578" s="59"/>
      <c r="ES1578" s="59"/>
      <c r="ET1578" s="59"/>
      <c r="EU1578" s="59"/>
      <c r="EV1578" s="59"/>
      <c r="EW1578" s="59"/>
      <c r="EX1578" s="59"/>
      <c r="EY1578" s="59"/>
      <c r="EZ1578" s="59"/>
      <c r="FA1578" s="59"/>
      <c r="FB1578" s="59"/>
      <c r="FC1578" s="59"/>
      <c r="FD1578" s="59"/>
      <c r="FE1578" s="59"/>
      <c r="FF1578" s="59"/>
      <c r="FG1578" s="59"/>
      <c r="FH1578" s="59"/>
      <c r="FI1578" s="59"/>
      <c r="FJ1578" s="59"/>
      <c r="FK1578" s="59"/>
      <c r="FL1578" s="59"/>
      <c r="FM1578" s="59"/>
      <c r="FN1578" s="59"/>
      <c r="FO1578" s="59"/>
      <c r="FP1578" s="59"/>
      <c r="FQ1578" s="59"/>
      <c r="FR1578" s="59"/>
      <c r="FS1578" s="59"/>
      <c r="FT1578" s="59"/>
      <c r="FU1578" s="59"/>
      <c r="FV1578" s="59"/>
      <c r="FW1578" s="59"/>
      <c r="FX1578" s="59"/>
      <c r="FY1578" s="59"/>
      <c r="FZ1578" s="59"/>
      <c r="GA1578" s="59"/>
      <c r="GB1578" s="59"/>
      <c r="GC1578" s="59"/>
    </row>
    <row r="1579">
      <c r="A1579" s="59"/>
      <c r="B1579" s="59"/>
      <c r="C1579" s="59"/>
      <c r="D1579" s="59"/>
      <c r="E1579" s="59"/>
      <c r="F1579" s="59"/>
      <c r="G1579" s="59"/>
      <c r="H1579" s="59"/>
      <c r="I1579" s="59"/>
      <c r="J1579" s="59"/>
      <c r="K1579" s="59"/>
      <c r="L1579" s="59"/>
      <c r="M1579" s="59"/>
      <c r="N1579" s="59"/>
      <c r="O1579" s="59"/>
      <c r="P1579" s="59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59"/>
      <c r="AG1579" s="59"/>
      <c r="AH1579" s="59"/>
      <c r="AI1579" s="59"/>
      <c r="AJ1579" s="59"/>
      <c r="AK1579" s="59"/>
      <c r="AL1579" s="59"/>
      <c r="AM1579" s="59"/>
      <c r="AN1579" s="59"/>
      <c r="AO1579" s="59"/>
      <c r="AP1579" s="59"/>
      <c r="AQ1579" s="59"/>
      <c r="AR1579" s="59"/>
      <c r="AS1579" s="59"/>
      <c r="AT1579" s="59"/>
      <c r="AU1579" s="59"/>
      <c r="AV1579" s="59"/>
      <c r="AW1579" s="59"/>
      <c r="AX1579" s="59"/>
      <c r="AY1579" s="59"/>
      <c r="AZ1579" s="59"/>
      <c r="BA1579" s="59"/>
      <c r="BB1579" s="59"/>
      <c r="BC1579" s="59"/>
      <c r="BD1579" s="59"/>
      <c r="BE1579" s="59"/>
      <c r="BF1579" s="59"/>
      <c r="BG1579" s="59"/>
      <c r="BH1579" s="59"/>
      <c r="BI1579" s="59"/>
      <c r="BJ1579" s="59"/>
      <c r="BK1579" s="59"/>
      <c r="BL1579" s="59"/>
      <c r="BM1579" s="59"/>
      <c r="BN1579" s="59"/>
      <c r="BO1579" s="59"/>
      <c r="BP1579" s="59"/>
      <c r="BQ1579" s="59"/>
      <c r="BR1579" s="59"/>
      <c r="BS1579" s="59"/>
      <c r="BT1579" s="59"/>
      <c r="BU1579" s="59"/>
      <c r="BV1579" s="59"/>
      <c r="BW1579" s="59"/>
      <c r="BX1579" s="59"/>
      <c r="BY1579" s="59"/>
      <c r="BZ1579" s="59"/>
      <c r="CA1579" s="59"/>
      <c r="CB1579" s="59"/>
      <c r="CC1579" s="59"/>
      <c r="CD1579" s="59"/>
      <c r="CE1579" s="59"/>
      <c r="CF1579" s="59"/>
      <c r="CG1579" s="59"/>
      <c r="CH1579" s="59"/>
      <c r="CI1579" s="59"/>
      <c r="CJ1579" s="59"/>
      <c r="CK1579" s="59"/>
      <c r="CL1579" s="59"/>
      <c r="CM1579" s="59"/>
      <c r="CN1579" s="59"/>
      <c r="CO1579" s="59"/>
      <c r="CP1579" s="59"/>
      <c r="CQ1579" s="59"/>
      <c r="CR1579" s="59"/>
      <c r="CS1579" s="59"/>
      <c r="CT1579" s="59"/>
      <c r="CU1579" s="59"/>
      <c r="CV1579" s="59"/>
      <c r="CW1579" s="59"/>
      <c r="CX1579" s="59"/>
      <c r="CY1579" s="59"/>
      <c r="CZ1579" s="59"/>
      <c r="DA1579" s="59"/>
      <c r="DB1579" s="59"/>
      <c r="DC1579" s="59"/>
      <c r="DD1579" s="59"/>
      <c r="DE1579" s="59"/>
      <c r="DF1579" s="59"/>
      <c r="DG1579" s="59"/>
      <c r="DH1579" s="59"/>
      <c r="DI1579" s="59"/>
      <c r="DJ1579" s="59"/>
      <c r="DK1579" s="59"/>
      <c r="DL1579" s="59"/>
      <c r="DM1579" s="59"/>
      <c r="DN1579" s="59"/>
      <c r="DO1579" s="59"/>
      <c r="DP1579" s="59"/>
      <c r="DQ1579" s="59"/>
      <c r="DR1579" s="59"/>
      <c r="DS1579" s="59"/>
      <c r="DT1579" s="59"/>
      <c r="DU1579" s="59"/>
      <c r="DV1579" s="59"/>
      <c r="DW1579" s="59"/>
      <c r="DX1579" s="59"/>
      <c r="DY1579" s="59"/>
      <c r="DZ1579" s="59"/>
      <c r="EA1579" s="59"/>
      <c r="EB1579" s="59"/>
      <c r="EC1579" s="59"/>
      <c r="ED1579" s="59"/>
      <c r="EE1579" s="59"/>
      <c r="EF1579" s="59"/>
      <c r="EG1579" s="59"/>
      <c r="EH1579" s="59"/>
      <c r="EI1579" s="59"/>
      <c r="EJ1579" s="59"/>
      <c r="EK1579" s="59"/>
      <c r="EL1579" s="59"/>
      <c r="EM1579" s="59"/>
      <c r="EN1579" s="59"/>
      <c r="EO1579" s="59"/>
      <c r="EP1579" s="59"/>
      <c r="EQ1579" s="59"/>
      <c r="ER1579" s="59"/>
      <c r="ES1579" s="59"/>
      <c r="ET1579" s="59"/>
      <c r="EU1579" s="59"/>
      <c r="EV1579" s="59"/>
      <c r="EW1579" s="59"/>
      <c r="EX1579" s="59"/>
      <c r="EY1579" s="59"/>
      <c r="EZ1579" s="59"/>
      <c r="FA1579" s="59"/>
      <c r="FB1579" s="59"/>
      <c r="FC1579" s="59"/>
      <c r="FD1579" s="59"/>
      <c r="FE1579" s="59"/>
      <c r="FF1579" s="59"/>
      <c r="FG1579" s="59"/>
      <c r="FH1579" s="59"/>
      <c r="FI1579" s="59"/>
      <c r="FJ1579" s="59"/>
      <c r="FK1579" s="59"/>
      <c r="FL1579" s="59"/>
      <c r="FM1579" s="59"/>
      <c r="FN1579" s="59"/>
      <c r="FO1579" s="59"/>
      <c r="FP1579" s="59"/>
      <c r="FQ1579" s="59"/>
      <c r="FR1579" s="59"/>
      <c r="FS1579" s="59"/>
      <c r="FT1579" s="59"/>
      <c r="FU1579" s="59"/>
      <c r="FV1579" s="59"/>
      <c r="FW1579" s="59"/>
      <c r="FX1579" s="59"/>
      <c r="FY1579" s="59"/>
      <c r="FZ1579" s="59"/>
      <c r="GA1579" s="59"/>
      <c r="GB1579" s="59"/>
      <c r="GC1579" s="59"/>
    </row>
    <row r="1580">
      <c r="A1580" s="59"/>
      <c r="B1580" s="59"/>
      <c r="C1580" s="59"/>
      <c r="D1580" s="59"/>
      <c r="E1580" s="59"/>
      <c r="F1580" s="59"/>
      <c r="G1580" s="59"/>
      <c r="H1580" s="59"/>
      <c r="I1580" s="59"/>
      <c r="J1580" s="59"/>
      <c r="K1580" s="59"/>
      <c r="L1580" s="59"/>
      <c r="M1580" s="59"/>
      <c r="N1580" s="59"/>
      <c r="O1580" s="59"/>
      <c r="P1580" s="59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59"/>
      <c r="AI1580" s="59"/>
      <c r="AJ1580" s="59"/>
      <c r="AK1580" s="59"/>
      <c r="AL1580" s="59"/>
      <c r="AM1580" s="59"/>
      <c r="AN1580" s="59"/>
      <c r="AO1580" s="59"/>
      <c r="AP1580" s="59"/>
      <c r="AQ1580" s="59"/>
      <c r="AR1580" s="59"/>
      <c r="AS1580" s="59"/>
      <c r="AT1580" s="59"/>
      <c r="AU1580" s="59"/>
      <c r="AV1580" s="59"/>
      <c r="AW1580" s="59"/>
      <c r="AX1580" s="59"/>
      <c r="AY1580" s="59"/>
      <c r="AZ1580" s="59"/>
      <c r="BA1580" s="59"/>
      <c r="BB1580" s="59"/>
      <c r="BC1580" s="59"/>
      <c r="BD1580" s="59"/>
      <c r="BE1580" s="59"/>
      <c r="BF1580" s="59"/>
      <c r="BG1580" s="59"/>
      <c r="BH1580" s="59"/>
      <c r="BI1580" s="59"/>
      <c r="BJ1580" s="59"/>
      <c r="BK1580" s="59"/>
      <c r="BL1580" s="59"/>
      <c r="BM1580" s="59"/>
      <c r="BN1580" s="59"/>
      <c r="BO1580" s="59"/>
      <c r="BP1580" s="59"/>
      <c r="BQ1580" s="59"/>
      <c r="BR1580" s="59"/>
      <c r="BS1580" s="59"/>
      <c r="BT1580" s="59"/>
      <c r="BU1580" s="59"/>
      <c r="BV1580" s="59"/>
      <c r="BW1580" s="59"/>
      <c r="BX1580" s="59"/>
      <c r="BY1580" s="59"/>
      <c r="BZ1580" s="59"/>
      <c r="CA1580" s="59"/>
      <c r="CB1580" s="59"/>
      <c r="CC1580" s="59"/>
      <c r="CD1580" s="59"/>
      <c r="CE1580" s="59"/>
      <c r="CF1580" s="59"/>
      <c r="CG1580" s="59"/>
      <c r="CH1580" s="59"/>
      <c r="CI1580" s="59"/>
      <c r="CJ1580" s="59"/>
      <c r="CK1580" s="59"/>
      <c r="CL1580" s="59"/>
      <c r="CM1580" s="59"/>
      <c r="CN1580" s="59"/>
      <c r="CO1580" s="59"/>
      <c r="CP1580" s="59"/>
      <c r="CQ1580" s="59"/>
      <c r="CR1580" s="59"/>
      <c r="CS1580" s="59"/>
      <c r="CT1580" s="59"/>
      <c r="CU1580" s="59"/>
      <c r="CV1580" s="59"/>
      <c r="CW1580" s="59"/>
      <c r="CX1580" s="59"/>
      <c r="CY1580" s="59"/>
      <c r="CZ1580" s="59"/>
      <c r="DA1580" s="59"/>
      <c r="DB1580" s="59"/>
      <c r="DC1580" s="59"/>
      <c r="DD1580" s="59"/>
      <c r="DE1580" s="59"/>
      <c r="DF1580" s="59"/>
      <c r="DG1580" s="59"/>
      <c r="DH1580" s="59"/>
      <c r="DI1580" s="59"/>
      <c r="DJ1580" s="59"/>
      <c r="DK1580" s="59"/>
      <c r="DL1580" s="59"/>
      <c r="DM1580" s="59"/>
      <c r="DN1580" s="59"/>
      <c r="DO1580" s="59"/>
      <c r="DP1580" s="59"/>
      <c r="DQ1580" s="59"/>
      <c r="DR1580" s="59"/>
      <c r="DS1580" s="59"/>
      <c r="DT1580" s="59"/>
      <c r="DU1580" s="59"/>
      <c r="DV1580" s="59"/>
      <c r="DW1580" s="59"/>
      <c r="DX1580" s="59"/>
      <c r="DY1580" s="59"/>
      <c r="DZ1580" s="59"/>
      <c r="EA1580" s="59"/>
      <c r="EB1580" s="59"/>
      <c r="EC1580" s="59"/>
      <c r="ED1580" s="59"/>
      <c r="EE1580" s="59"/>
      <c r="EF1580" s="59"/>
      <c r="EG1580" s="59"/>
      <c r="EH1580" s="59"/>
      <c r="EI1580" s="59"/>
      <c r="EJ1580" s="59"/>
      <c r="EK1580" s="59"/>
      <c r="EL1580" s="59"/>
      <c r="EM1580" s="59"/>
      <c r="EN1580" s="59"/>
      <c r="EO1580" s="59"/>
      <c r="EP1580" s="59"/>
      <c r="EQ1580" s="59"/>
      <c r="ER1580" s="59"/>
      <c r="ES1580" s="59"/>
      <c r="ET1580" s="59"/>
      <c r="EU1580" s="59"/>
      <c r="EV1580" s="59"/>
      <c r="EW1580" s="59"/>
      <c r="EX1580" s="59"/>
      <c r="EY1580" s="59"/>
      <c r="EZ1580" s="59"/>
      <c r="FA1580" s="59"/>
      <c r="FB1580" s="59"/>
      <c r="FC1580" s="59"/>
      <c r="FD1580" s="59"/>
      <c r="FE1580" s="59"/>
      <c r="FF1580" s="59"/>
      <c r="FG1580" s="59"/>
      <c r="FH1580" s="59"/>
      <c r="FI1580" s="59"/>
      <c r="FJ1580" s="59"/>
      <c r="FK1580" s="59"/>
      <c r="FL1580" s="59"/>
      <c r="FM1580" s="59"/>
      <c r="FN1580" s="59"/>
      <c r="FO1580" s="59"/>
      <c r="FP1580" s="59"/>
      <c r="FQ1580" s="59"/>
      <c r="FR1580" s="59"/>
      <c r="FS1580" s="59"/>
      <c r="FT1580" s="59"/>
      <c r="FU1580" s="59"/>
      <c r="FV1580" s="59"/>
      <c r="FW1580" s="59"/>
      <c r="FX1580" s="59"/>
      <c r="FY1580" s="59"/>
      <c r="FZ1580" s="59"/>
      <c r="GA1580" s="59"/>
      <c r="GB1580" s="59"/>
      <c r="GC1580" s="59"/>
    </row>
    <row r="1581">
      <c r="A1581" s="59"/>
      <c r="B1581" s="59"/>
      <c r="C1581" s="59"/>
      <c r="D1581" s="59"/>
      <c r="E1581" s="59"/>
      <c r="F1581" s="59"/>
      <c r="G1581" s="59"/>
      <c r="H1581" s="59"/>
      <c r="I1581" s="59"/>
      <c r="J1581" s="59"/>
      <c r="K1581" s="59"/>
      <c r="L1581" s="59"/>
      <c r="M1581" s="59"/>
      <c r="N1581" s="59"/>
      <c r="O1581" s="59"/>
      <c r="P1581" s="59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59"/>
      <c r="AG1581" s="59"/>
      <c r="AH1581" s="59"/>
      <c r="AI1581" s="59"/>
      <c r="AJ1581" s="59"/>
      <c r="AK1581" s="59"/>
      <c r="AL1581" s="59"/>
      <c r="AM1581" s="59"/>
      <c r="AN1581" s="59"/>
      <c r="AO1581" s="59"/>
      <c r="AP1581" s="59"/>
      <c r="AQ1581" s="59"/>
      <c r="AR1581" s="59"/>
      <c r="AS1581" s="59"/>
      <c r="AT1581" s="59"/>
      <c r="AU1581" s="59"/>
      <c r="AV1581" s="59"/>
      <c r="AW1581" s="59"/>
      <c r="AX1581" s="59"/>
      <c r="AY1581" s="59"/>
      <c r="AZ1581" s="59"/>
      <c r="BA1581" s="59"/>
      <c r="BB1581" s="59"/>
      <c r="BC1581" s="59"/>
      <c r="BD1581" s="59"/>
      <c r="BE1581" s="59"/>
      <c r="BF1581" s="59"/>
      <c r="BG1581" s="59"/>
      <c r="BH1581" s="59"/>
      <c r="BI1581" s="59"/>
      <c r="BJ1581" s="59"/>
      <c r="BK1581" s="59"/>
      <c r="BL1581" s="59"/>
      <c r="BM1581" s="59"/>
      <c r="BN1581" s="59"/>
      <c r="BO1581" s="59"/>
      <c r="BP1581" s="59"/>
      <c r="BQ1581" s="59"/>
      <c r="BR1581" s="59"/>
      <c r="BS1581" s="59"/>
      <c r="BT1581" s="59"/>
      <c r="BU1581" s="59"/>
      <c r="BV1581" s="59"/>
      <c r="BW1581" s="59"/>
      <c r="BX1581" s="59"/>
      <c r="BY1581" s="59"/>
      <c r="BZ1581" s="59"/>
      <c r="CA1581" s="59"/>
      <c r="CB1581" s="59"/>
      <c r="CC1581" s="59"/>
      <c r="CD1581" s="59"/>
      <c r="CE1581" s="59"/>
      <c r="CF1581" s="59"/>
      <c r="CG1581" s="59"/>
      <c r="CH1581" s="59"/>
      <c r="CI1581" s="59"/>
      <c r="CJ1581" s="59"/>
      <c r="CK1581" s="59"/>
      <c r="CL1581" s="59"/>
      <c r="CM1581" s="59"/>
      <c r="CN1581" s="59"/>
      <c r="CO1581" s="59"/>
      <c r="CP1581" s="59"/>
      <c r="CQ1581" s="59"/>
      <c r="CR1581" s="59"/>
      <c r="CS1581" s="59"/>
      <c r="CT1581" s="59"/>
      <c r="CU1581" s="59"/>
      <c r="CV1581" s="59"/>
      <c r="CW1581" s="59"/>
      <c r="CX1581" s="59"/>
      <c r="CY1581" s="59"/>
      <c r="CZ1581" s="59"/>
      <c r="DA1581" s="59"/>
      <c r="DB1581" s="59"/>
      <c r="DC1581" s="59"/>
      <c r="DD1581" s="59"/>
      <c r="DE1581" s="59"/>
      <c r="DF1581" s="59"/>
      <c r="DG1581" s="59"/>
      <c r="DH1581" s="59"/>
      <c r="DI1581" s="59"/>
      <c r="DJ1581" s="59"/>
      <c r="DK1581" s="59"/>
      <c r="DL1581" s="59"/>
      <c r="DM1581" s="59"/>
      <c r="DN1581" s="59"/>
      <c r="DO1581" s="59"/>
      <c r="DP1581" s="59"/>
      <c r="DQ1581" s="59"/>
      <c r="DR1581" s="59"/>
      <c r="DS1581" s="59"/>
      <c r="DT1581" s="59"/>
      <c r="DU1581" s="59"/>
      <c r="DV1581" s="59"/>
      <c r="DW1581" s="59"/>
      <c r="DX1581" s="59"/>
      <c r="DY1581" s="59"/>
      <c r="DZ1581" s="59"/>
      <c r="EA1581" s="59"/>
      <c r="EB1581" s="59"/>
      <c r="EC1581" s="59"/>
      <c r="ED1581" s="59"/>
      <c r="EE1581" s="59"/>
      <c r="EF1581" s="59"/>
      <c r="EG1581" s="59"/>
      <c r="EH1581" s="59"/>
      <c r="EI1581" s="59"/>
      <c r="EJ1581" s="59"/>
      <c r="EK1581" s="59"/>
      <c r="EL1581" s="59"/>
      <c r="EM1581" s="59"/>
      <c r="EN1581" s="59"/>
      <c r="EO1581" s="59"/>
      <c r="EP1581" s="59"/>
      <c r="EQ1581" s="59"/>
      <c r="ER1581" s="59"/>
      <c r="ES1581" s="59"/>
      <c r="ET1581" s="59"/>
      <c r="EU1581" s="59"/>
      <c r="EV1581" s="59"/>
      <c r="EW1581" s="59"/>
      <c r="EX1581" s="59"/>
      <c r="EY1581" s="59"/>
      <c r="EZ1581" s="59"/>
      <c r="FA1581" s="59"/>
      <c r="FB1581" s="59"/>
      <c r="FC1581" s="59"/>
      <c r="FD1581" s="59"/>
      <c r="FE1581" s="59"/>
      <c r="FF1581" s="59"/>
      <c r="FG1581" s="59"/>
      <c r="FH1581" s="59"/>
      <c r="FI1581" s="59"/>
      <c r="FJ1581" s="59"/>
      <c r="FK1581" s="59"/>
      <c r="FL1581" s="59"/>
      <c r="FM1581" s="59"/>
      <c r="FN1581" s="59"/>
      <c r="FO1581" s="59"/>
      <c r="FP1581" s="59"/>
      <c r="FQ1581" s="59"/>
      <c r="FR1581" s="59"/>
      <c r="FS1581" s="59"/>
      <c r="FT1581" s="59"/>
      <c r="FU1581" s="59"/>
      <c r="FV1581" s="59"/>
      <c r="FW1581" s="59"/>
      <c r="FX1581" s="59"/>
      <c r="FY1581" s="59"/>
      <c r="FZ1581" s="59"/>
      <c r="GA1581" s="59"/>
      <c r="GB1581" s="59"/>
      <c r="GC1581" s="59"/>
    </row>
    <row r="1582">
      <c r="A1582" s="59"/>
      <c r="B1582" s="59"/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  <c r="AR1582" s="59"/>
      <c r="AS1582" s="59"/>
      <c r="AT1582" s="59"/>
      <c r="AU1582" s="59"/>
      <c r="AV1582" s="59"/>
      <c r="AW1582" s="59"/>
      <c r="AX1582" s="59"/>
      <c r="AY1582" s="59"/>
      <c r="AZ1582" s="59"/>
      <c r="BA1582" s="59"/>
      <c r="BB1582" s="59"/>
      <c r="BC1582" s="59"/>
      <c r="BD1582" s="59"/>
      <c r="BE1582" s="59"/>
      <c r="BF1582" s="59"/>
      <c r="BG1582" s="59"/>
      <c r="BH1582" s="59"/>
      <c r="BI1582" s="59"/>
      <c r="BJ1582" s="59"/>
      <c r="BK1582" s="59"/>
      <c r="BL1582" s="59"/>
      <c r="BM1582" s="59"/>
      <c r="BN1582" s="59"/>
      <c r="BO1582" s="59"/>
      <c r="BP1582" s="59"/>
      <c r="BQ1582" s="59"/>
      <c r="BR1582" s="59"/>
      <c r="BS1582" s="59"/>
      <c r="BT1582" s="59"/>
      <c r="BU1582" s="59"/>
      <c r="BV1582" s="59"/>
      <c r="BW1582" s="59"/>
      <c r="BX1582" s="59"/>
      <c r="BY1582" s="59"/>
      <c r="BZ1582" s="59"/>
      <c r="CA1582" s="59"/>
      <c r="CB1582" s="59"/>
      <c r="CC1582" s="59"/>
      <c r="CD1582" s="59"/>
      <c r="CE1582" s="59"/>
      <c r="CF1582" s="59"/>
      <c r="CG1582" s="59"/>
      <c r="CH1582" s="59"/>
      <c r="CI1582" s="59"/>
      <c r="CJ1582" s="59"/>
      <c r="CK1582" s="59"/>
      <c r="CL1582" s="59"/>
      <c r="CM1582" s="59"/>
      <c r="CN1582" s="59"/>
      <c r="CO1582" s="59"/>
      <c r="CP1582" s="59"/>
      <c r="CQ1582" s="59"/>
      <c r="CR1582" s="59"/>
      <c r="CS1582" s="59"/>
      <c r="CT1582" s="59"/>
      <c r="CU1582" s="59"/>
      <c r="CV1582" s="59"/>
      <c r="CW1582" s="59"/>
      <c r="CX1582" s="59"/>
      <c r="CY1582" s="59"/>
      <c r="CZ1582" s="59"/>
      <c r="DA1582" s="59"/>
      <c r="DB1582" s="59"/>
      <c r="DC1582" s="59"/>
      <c r="DD1582" s="59"/>
      <c r="DE1582" s="59"/>
      <c r="DF1582" s="59"/>
      <c r="DG1582" s="59"/>
      <c r="DH1582" s="59"/>
      <c r="DI1582" s="59"/>
      <c r="DJ1582" s="59"/>
      <c r="DK1582" s="59"/>
      <c r="DL1582" s="59"/>
      <c r="DM1582" s="59"/>
      <c r="DN1582" s="59"/>
      <c r="DO1582" s="59"/>
      <c r="DP1582" s="59"/>
      <c r="DQ1582" s="59"/>
      <c r="DR1582" s="59"/>
      <c r="DS1582" s="59"/>
      <c r="DT1582" s="59"/>
      <c r="DU1582" s="59"/>
      <c r="DV1582" s="59"/>
      <c r="DW1582" s="59"/>
      <c r="DX1582" s="59"/>
      <c r="DY1582" s="59"/>
      <c r="DZ1582" s="59"/>
      <c r="EA1582" s="59"/>
      <c r="EB1582" s="59"/>
      <c r="EC1582" s="59"/>
      <c r="ED1582" s="59"/>
      <c r="EE1582" s="59"/>
      <c r="EF1582" s="59"/>
      <c r="EG1582" s="59"/>
      <c r="EH1582" s="59"/>
      <c r="EI1582" s="59"/>
      <c r="EJ1582" s="59"/>
      <c r="EK1582" s="59"/>
      <c r="EL1582" s="59"/>
      <c r="EM1582" s="59"/>
      <c r="EN1582" s="59"/>
      <c r="EO1582" s="59"/>
      <c r="EP1582" s="59"/>
      <c r="EQ1582" s="59"/>
      <c r="ER1582" s="59"/>
      <c r="ES1582" s="59"/>
      <c r="ET1582" s="59"/>
      <c r="EU1582" s="59"/>
      <c r="EV1582" s="59"/>
      <c r="EW1582" s="59"/>
      <c r="EX1582" s="59"/>
      <c r="EY1582" s="59"/>
      <c r="EZ1582" s="59"/>
      <c r="FA1582" s="59"/>
      <c r="FB1582" s="59"/>
      <c r="FC1582" s="59"/>
      <c r="FD1582" s="59"/>
      <c r="FE1582" s="59"/>
      <c r="FF1582" s="59"/>
      <c r="FG1582" s="59"/>
      <c r="FH1582" s="59"/>
      <c r="FI1582" s="59"/>
      <c r="FJ1582" s="59"/>
      <c r="FK1582" s="59"/>
      <c r="FL1582" s="59"/>
      <c r="FM1582" s="59"/>
      <c r="FN1582" s="59"/>
      <c r="FO1582" s="59"/>
      <c r="FP1582" s="59"/>
      <c r="FQ1582" s="59"/>
      <c r="FR1582" s="59"/>
      <c r="FS1582" s="59"/>
      <c r="FT1582" s="59"/>
      <c r="FU1582" s="59"/>
      <c r="FV1582" s="59"/>
      <c r="FW1582" s="59"/>
      <c r="FX1582" s="59"/>
      <c r="FY1582" s="59"/>
      <c r="FZ1582" s="59"/>
      <c r="GA1582" s="59"/>
      <c r="GB1582" s="59"/>
      <c r="GC1582" s="59"/>
    </row>
    <row r="1583">
      <c r="A1583" s="59"/>
      <c r="B1583" s="59"/>
      <c r="C1583" s="59"/>
      <c r="D1583" s="59"/>
      <c r="E1583" s="59"/>
      <c r="F1583" s="59"/>
      <c r="G1583" s="59"/>
      <c r="H1583" s="59"/>
      <c r="I1583" s="59"/>
      <c r="J1583" s="59"/>
      <c r="K1583" s="59"/>
      <c r="L1583" s="59"/>
      <c r="M1583" s="59"/>
      <c r="N1583" s="59"/>
      <c r="O1583" s="59"/>
      <c r="P1583" s="59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59"/>
      <c r="AG1583" s="59"/>
      <c r="AH1583" s="59"/>
      <c r="AI1583" s="59"/>
      <c r="AJ1583" s="59"/>
      <c r="AK1583" s="59"/>
      <c r="AL1583" s="59"/>
      <c r="AM1583" s="59"/>
      <c r="AN1583" s="59"/>
      <c r="AO1583" s="59"/>
      <c r="AP1583" s="59"/>
      <c r="AQ1583" s="59"/>
      <c r="AR1583" s="59"/>
      <c r="AS1583" s="59"/>
      <c r="AT1583" s="59"/>
      <c r="AU1583" s="59"/>
      <c r="AV1583" s="59"/>
      <c r="AW1583" s="59"/>
      <c r="AX1583" s="59"/>
      <c r="AY1583" s="59"/>
      <c r="AZ1583" s="59"/>
      <c r="BA1583" s="59"/>
      <c r="BB1583" s="59"/>
      <c r="BC1583" s="59"/>
      <c r="BD1583" s="59"/>
      <c r="BE1583" s="59"/>
      <c r="BF1583" s="59"/>
      <c r="BG1583" s="59"/>
      <c r="BH1583" s="59"/>
      <c r="BI1583" s="59"/>
      <c r="BJ1583" s="59"/>
      <c r="BK1583" s="59"/>
      <c r="BL1583" s="59"/>
      <c r="BM1583" s="59"/>
      <c r="BN1583" s="59"/>
      <c r="BO1583" s="59"/>
      <c r="BP1583" s="59"/>
      <c r="BQ1583" s="59"/>
      <c r="BR1583" s="59"/>
      <c r="BS1583" s="59"/>
      <c r="BT1583" s="59"/>
      <c r="BU1583" s="59"/>
      <c r="BV1583" s="59"/>
      <c r="BW1583" s="59"/>
      <c r="BX1583" s="59"/>
      <c r="BY1583" s="59"/>
      <c r="BZ1583" s="59"/>
      <c r="CA1583" s="59"/>
      <c r="CB1583" s="59"/>
      <c r="CC1583" s="59"/>
      <c r="CD1583" s="59"/>
      <c r="CE1583" s="59"/>
      <c r="CF1583" s="59"/>
      <c r="CG1583" s="59"/>
      <c r="CH1583" s="59"/>
      <c r="CI1583" s="59"/>
      <c r="CJ1583" s="59"/>
      <c r="CK1583" s="59"/>
      <c r="CL1583" s="59"/>
      <c r="CM1583" s="59"/>
      <c r="CN1583" s="59"/>
      <c r="CO1583" s="59"/>
      <c r="CP1583" s="59"/>
      <c r="CQ1583" s="59"/>
      <c r="CR1583" s="59"/>
      <c r="CS1583" s="59"/>
      <c r="CT1583" s="59"/>
      <c r="CU1583" s="59"/>
      <c r="CV1583" s="59"/>
      <c r="CW1583" s="59"/>
      <c r="CX1583" s="59"/>
      <c r="CY1583" s="59"/>
      <c r="CZ1583" s="59"/>
      <c r="DA1583" s="59"/>
      <c r="DB1583" s="59"/>
      <c r="DC1583" s="59"/>
      <c r="DD1583" s="59"/>
      <c r="DE1583" s="59"/>
      <c r="DF1583" s="59"/>
      <c r="DG1583" s="59"/>
      <c r="DH1583" s="59"/>
      <c r="DI1583" s="59"/>
      <c r="DJ1583" s="59"/>
      <c r="DK1583" s="59"/>
      <c r="DL1583" s="59"/>
      <c r="DM1583" s="59"/>
      <c r="DN1583" s="59"/>
      <c r="DO1583" s="59"/>
      <c r="DP1583" s="59"/>
      <c r="DQ1583" s="59"/>
      <c r="DR1583" s="59"/>
      <c r="DS1583" s="59"/>
      <c r="DT1583" s="59"/>
      <c r="DU1583" s="59"/>
      <c r="DV1583" s="59"/>
      <c r="DW1583" s="59"/>
      <c r="DX1583" s="59"/>
      <c r="DY1583" s="59"/>
      <c r="DZ1583" s="59"/>
      <c r="EA1583" s="59"/>
      <c r="EB1583" s="59"/>
      <c r="EC1583" s="59"/>
      <c r="ED1583" s="59"/>
      <c r="EE1583" s="59"/>
      <c r="EF1583" s="59"/>
      <c r="EG1583" s="59"/>
      <c r="EH1583" s="59"/>
      <c r="EI1583" s="59"/>
      <c r="EJ1583" s="59"/>
      <c r="EK1583" s="59"/>
      <c r="EL1583" s="59"/>
      <c r="EM1583" s="59"/>
      <c r="EN1583" s="59"/>
      <c r="EO1583" s="59"/>
      <c r="EP1583" s="59"/>
      <c r="EQ1583" s="59"/>
      <c r="ER1583" s="59"/>
      <c r="ES1583" s="59"/>
      <c r="ET1583" s="59"/>
      <c r="EU1583" s="59"/>
      <c r="EV1583" s="59"/>
      <c r="EW1583" s="59"/>
      <c r="EX1583" s="59"/>
      <c r="EY1583" s="59"/>
      <c r="EZ1583" s="59"/>
      <c r="FA1583" s="59"/>
      <c r="FB1583" s="59"/>
      <c r="FC1583" s="59"/>
      <c r="FD1583" s="59"/>
      <c r="FE1583" s="59"/>
      <c r="FF1583" s="59"/>
      <c r="FG1583" s="59"/>
      <c r="FH1583" s="59"/>
      <c r="FI1583" s="59"/>
      <c r="FJ1583" s="59"/>
      <c r="FK1583" s="59"/>
      <c r="FL1583" s="59"/>
      <c r="FM1583" s="59"/>
      <c r="FN1583" s="59"/>
      <c r="FO1583" s="59"/>
      <c r="FP1583" s="59"/>
      <c r="FQ1583" s="59"/>
      <c r="FR1583" s="59"/>
      <c r="FS1583" s="59"/>
      <c r="FT1583" s="59"/>
      <c r="FU1583" s="59"/>
      <c r="FV1583" s="59"/>
      <c r="FW1583" s="59"/>
      <c r="FX1583" s="59"/>
      <c r="FY1583" s="59"/>
      <c r="FZ1583" s="59"/>
      <c r="GA1583" s="59"/>
      <c r="GB1583" s="59"/>
      <c r="GC1583" s="59"/>
    </row>
    <row r="1584">
      <c r="A1584" s="59"/>
      <c r="B1584" s="59"/>
      <c r="C1584" s="59"/>
      <c r="D1584" s="59"/>
      <c r="E1584" s="59"/>
      <c r="F1584" s="59"/>
      <c r="G1584" s="59"/>
      <c r="H1584" s="59"/>
      <c r="I1584" s="59"/>
      <c r="J1584" s="59"/>
      <c r="K1584" s="59"/>
      <c r="L1584" s="59"/>
      <c r="M1584" s="59"/>
      <c r="N1584" s="59"/>
      <c r="O1584" s="59"/>
      <c r="P1584" s="59"/>
      <c r="Q1584" s="59"/>
      <c r="R1584" s="59"/>
      <c r="S1584" s="59"/>
      <c r="T1584" s="59"/>
      <c r="U1584" s="59"/>
      <c r="V1584" s="59"/>
      <c r="W1584" s="59"/>
      <c r="X1584" s="59"/>
      <c r="Y1584" s="59"/>
      <c r="Z1584" s="59"/>
      <c r="AA1584" s="59"/>
      <c r="AB1584" s="59"/>
      <c r="AC1584" s="59"/>
      <c r="AD1584" s="59"/>
      <c r="AE1584" s="59"/>
      <c r="AF1584" s="59"/>
      <c r="AG1584" s="59"/>
      <c r="AH1584" s="59"/>
      <c r="AI1584" s="59"/>
      <c r="AJ1584" s="59"/>
      <c r="AK1584" s="59"/>
      <c r="AL1584" s="59"/>
      <c r="AM1584" s="59"/>
      <c r="AN1584" s="59"/>
      <c r="AO1584" s="59"/>
      <c r="AP1584" s="59"/>
      <c r="AQ1584" s="59"/>
      <c r="AR1584" s="59"/>
      <c r="AS1584" s="59"/>
      <c r="AT1584" s="59"/>
      <c r="AU1584" s="59"/>
      <c r="AV1584" s="59"/>
      <c r="AW1584" s="59"/>
      <c r="AX1584" s="59"/>
      <c r="AY1584" s="59"/>
      <c r="AZ1584" s="59"/>
      <c r="BA1584" s="59"/>
      <c r="BB1584" s="59"/>
      <c r="BC1584" s="59"/>
      <c r="BD1584" s="59"/>
      <c r="BE1584" s="59"/>
      <c r="BF1584" s="59"/>
      <c r="BG1584" s="59"/>
      <c r="BH1584" s="59"/>
      <c r="BI1584" s="59"/>
      <c r="BJ1584" s="59"/>
      <c r="BK1584" s="59"/>
      <c r="BL1584" s="59"/>
      <c r="BM1584" s="59"/>
      <c r="BN1584" s="59"/>
      <c r="BO1584" s="59"/>
      <c r="BP1584" s="59"/>
      <c r="BQ1584" s="59"/>
      <c r="BR1584" s="59"/>
      <c r="BS1584" s="59"/>
      <c r="BT1584" s="59"/>
      <c r="BU1584" s="59"/>
      <c r="BV1584" s="59"/>
      <c r="BW1584" s="59"/>
      <c r="BX1584" s="59"/>
      <c r="BY1584" s="59"/>
      <c r="BZ1584" s="59"/>
      <c r="CA1584" s="59"/>
      <c r="CB1584" s="59"/>
      <c r="CC1584" s="59"/>
      <c r="CD1584" s="59"/>
      <c r="CE1584" s="59"/>
      <c r="CF1584" s="59"/>
      <c r="CG1584" s="59"/>
      <c r="CH1584" s="59"/>
      <c r="CI1584" s="59"/>
      <c r="CJ1584" s="59"/>
      <c r="CK1584" s="59"/>
      <c r="CL1584" s="59"/>
      <c r="CM1584" s="59"/>
      <c r="CN1584" s="59"/>
      <c r="CO1584" s="59"/>
      <c r="CP1584" s="59"/>
      <c r="CQ1584" s="59"/>
      <c r="CR1584" s="59"/>
      <c r="CS1584" s="59"/>
      <c r="CT1584" s="59"/>
      <c r="CU1584" s="59"/>
      <c r="CV1584" s="59"/>
      <c r="CW1584" s="59"/>
      <c r="CX1584" s="59"/>
      <c r="CY1584" s="59"/>
      <c r="CZ1584" s="59"/>
      <c r="DA1584" s="59"/>
      <c r="DB1584" s="59"/>
      <c r="DC1584" s="59"/>
      <c r="DD1584" s="59"/>
      <c r="DE1584" s="59"/>
      <c r="DF1584" s="59"/>
      <c r="DG1584" s="59"/>
      <c r="DH1584" s="59"/>
      <c r="DI1584" s="59"/>
      <c r="DJ1584" s="59"/>
      <c r="DK1584" s="59"/>
      <c r="DL1584" s="59"/>
      <c r="DM1584" s="59"/>
      <c r="DN1584" s="59"/>
      <c r="DO1584" s="59"/>
      <c r="DP1584" s="59"/>
      <c r="DQ1584" s="59"/>
      <c r="DR1584" s="59"/>
      <c r="DS1584" s="59"/>
      <c r="DT1584" s="59"/>
      <c r="DU1584" s="59"/>
      <c r="DV1584" s="59"/>
      <c r="DW1584" s="59"/>
      <c r="DX1584" s="59"/>
      <c r="DY1584" s="59"/>
      <c r="DZ1584" s="59"/>
      <c r="EA1584" s="59"/>
      <c r="EB1584" s="59"/>
      <c r="EC1584" s="59"/>
      <c r="ED1584" s="59"/>
      <c r="EE1584" s="59"/>
      <c r="EF1584" s="59"/>
      <c r="EG1584" s="59"/>
      <c r="EH1584" s="59"/>
      <c r="EI1584" s="59"/>
      <c r="EJ1584" s="59"/>
      <c r="EK1584" s="59"/>
      <c r="EL1584" s="59"/>
      <c r="EM1584" s="59"/>
      <c r="EN1584" s="59"/>
      <c r="EO1584" s="59"/>
      <c r="EP1584" s="59"/>
      <c r="EQ1584" s="59"/>
      <c r="ER1584" s="59"/>
      <c r="ES1584" s="59"/>
      <c r="ET1584" s="59"/>
      <c r="EU1584" s="59"/>
      <c r="EV1584" s="59"/>
      <c r="EW1584" s="59"/>
      <c r="EX1584" s="59"/>
      <c r="EY1584" s="59"/>
      <c r="EZ1584" s="59"/>
      <c r="FA1584" s="59"/>
      <c r="FB1584" s="59"/>
      <c r="FC1584" s="59"/>
      <c r="FD1584" s="59"/>
      <c r="FE1584" s="59"/>
      <c r="FF1584" s="59"/>
      <c r="FG1584" s="59"/>
      <c r="FH1584" s="59"/>
      <c r="FI1584" s="59"/>
      <c r="FJ1584" s="59"/>
      <c r="FK1584" s="59"/>
      <c r="FL1584" s="59"/>
      <c r="FM1584" s="59"/>
      <c r="FN1584" s="59"/>
      <c r="FO1584" s="59"/>
      <c r="FP1584" s="59"/>
      <c r="FQ1584" s="59"/>
      <c r="FR1584" s="59"/>
      <c r="FS1584" s="59"/>
      <c r="FT1584" s="59"/>
      <c r="FU1584" s="59"/>
      <c r="FV1584" s="59"/>
      <c r="FW1584" s="59"/>
      <c r="FX1584" s="59"/>
      <c r="FY1584" s="59"/>
      <c r="FZ1584" s="59"/>
      <c r="GA1584" s="59"/>
      <c r="GB1584" s="59"/>
      <c r="GC1584" s="59"/>
    </row>
    <row r="1585">
      <c r="A1585" s="59"/>
      <c r="B1585" s="59"/>
      <c r="C1585" s="59"/>
      <c r="D1585" s="59"/>
      <c r="E1585" s="59"/>
      <c r="F1585" s="59"/>
      <c r="G1585" s="59"/>
      <c r="H1585" s="59"/>
      <c r="I1585" s="59"/>
      <c r="J1585" s="59"/>
      <c r="K1585" s="59"/>
      <c r="L1585" s="59"/>
      <c r="M1585" s="59"/>
      <c r="N1585" s="59"/>
      <c r="O1585" s="59"/>
      <c r="P1585" s="59"/>
      <c r="Q1585" s="59"/>
      <c r="R1585" s="59"/>
      <c r="S1585" s="59"/>
      <c r="T1585" s="59"/>
      <c r="U1585" s="59"/>
      <c r="V1585" s="59"/>
      <c r="W1585" s="59"/>
      <c r="X1585" s="59"/>
      <c r="Y1585" s="59"/>
      <c r="Z1585" s="59"/>
      <c r="AA1585" s="59"/>
      <c r="AB1585" s="59"/>
      <c r="AC1585" s="59"/>
      <c r="AD1585" s="59"/>
      <c r="AE1585" s="59"/>
      <c r="AF1585" s="59"/>
      <c r="AG1585" s="59"/>
      <c r="AH1585" s="59"/>
      <c r="AI1585" s="59"/>
      <c r="AJ1585" s="59"/>
      <c r="AK1585" s="59"/>
      <c r="AL1585" s="59"/>
      <c r="AM1585" s="59"/>
      <c r="AN1585" s="59"/>
      <c r="AO1585" s="59"/>
      <c r="AP1585" s="59"/>
      <c r="AQ1585" s="59"/>
      <c r="AR1585" s="59"/>
      <c r="AS1585" s="59"/>
      <c r="AT1585" s="59"/>
      <c r="AU1585" s="59"/>
      <c r="AV1585" s="59"/>
      <c r="AW1585" s="59"/>
      <c r="AX1585" s="59"/>
      <c r="AY1585" s="59"/>
      <c r="AZ1585" s="59"/>
      <c r="BA1585" s="59"/>
      <c r="BB1585" s="59"/>
      <c r="BC1585" s="59"/>
      <c r="BD1585" s="59"/>
      <c r="BE1585" s="59"/>
      <c r="BF1585" s="59"/>
      <c r="BG1585" s="59"/>
      <c r="BH1585" s="59"/>
      <c r="BI1585" s="59"/>
      <c r="BJ1585" s="59"/>
      <c r="BK1585" s="59"/>
      <c r="BL1585" s="59"/>
      <c r="BM1585" s="59"/>
      <c r="BN1585" s="59"/>
      <c r="BO1585" s="59"/>
      <c r="BP1585" s="59"/>
      <c r="BQ1585" s="59"/>
      <c r="BR1585" s="59"/>
      <c r="BS1585" s="59"/>
      <c r="BT1585" s="59"/>
      <c r="BU1585" s="59"/>
      <c r="BV1585" s="59"/>
      <c r="BW1585" s="59"/>
      <c r="BX1585" s="59"/>
      <c r="BY1585" s="59"/>
      <c r="BZ1585" s="59"/>
      <c r="CA1585" s="59"/>
      <c r="CB1585" s="59"/>
      <c r="CC1585" s="59"/>
      <c r="CD1585" s="59"/>
      <c r="CE1585" s="59"/>
      <c r="CF1585" s="59"/>
      <c r="CG1585" s="59"/>
      <c r="CH1585" s="59"/>
      <c r="CI1585" s="59"/>
      <c r="CJ1585" s="59"/>
      <c r="CK1585" s="59"/>
      <c r="CL1585" s="59"/>
      <c r="CM1585" s="59"/>
      <c r="CN1585" s="59"/>
      <c r="CO1585" s="59"/>
      <c r="CP1585" s="59"/>
      <c r="CQ1585" s="59"/>
      <c r="CR1585" s="59"/>
      <c r="CS1585" s="59"/>
      <c r="CT1585" s="59"/>
      <c r="CU1585" s="59"/>
      <c r="CV1585" s="59"/>
      <c r="CW1585" s="59"/>
      <c r="CX1585" s="59"/>
      <c r="CY1585" s="59"/>
      <c r="CZ1585" s="59"/>
      <c r="DA1585" s="59"/>
      <c r="DB1585" s="59"/>
      <c r="DC1585" s="59"/>
      <c r="DD1585" s="59"/>
      <c r="DE1585" s="59"/>
      <c r="DF1585" s="59"/>
      <c r="DG1585" s="59"/>
      <c r="DH1585" s="59"/>
      <c r="DI1585" s="59"/>
      <c r="DJ1585" s="59"/>
      <c r="DK1585" s="59"/>
      <c r="DL1585" s="59"/>
      <c r="DM1585" s="59"/>
      <c r="DN1585" s="59"/>
      <c r="DO1585" s="59"/>
      <c r="DP1585" s="59"/>
      <c r="DQ1585" s="59"/>
      <c r="DR1585" s="59"/>
      <c r="DS1585" s="59"/>
      <c r="DT1585" s="59"/>
      <c r="DU1585" s="59"/>
      <c r="DV1585" s="59"/>
      <c r="DW1585" s="59"/>
      <c r="DX1585" s="59"/>
      <c r="DY1585" s="59"/>
      <c r="DZ1585" s="59"/>
      <c r="EA1585" s="59"/>
      <c r="EB1585" s="59"/>
      <c r="EC1585" s="59"/>
      <c r="ED1585" s="59"/>
      <c r="EE1585" s="59"/>
      <c r="EF1585" s="59"/>
      <c r="EG1585" s="59"/>
      <c r="EH1585" s="59"/>
      <c r="EI1585" s="59"/>
      <c r="EJ1585" s="59"/>
      <c r="EK1585" s="59"/>
      <c r="EL1585" s="59"/>
      <c r="EM1585" s="59"/>
      <c r="EN1585" s="59"/>
      <c r="EO1585" s="59"/>
      <c r="EP1585" s="59"/>
      <c r="EQ1585" s="59"/>
      <c r="ER1585" s="59"/>
      <c r="ES1585" s="59"/>
      <c r="ET1585" s="59"/>
      <c r="EU1585" s="59"/>
      <c r="EV1585" s="59"/>
      <c r="EW1585" s="59"/>
      <c r="EX1585" s="59"/>
      <c r="EY1585" s="59"/>
      <c r="EZ1585" s="59"/>
      <c r="FA1585" s="59"/>
      <c r="FB1585" s="59"/>
      <c r="FC1585" s="59"/>
      <c r="FD1585" s="59"/>
      <c r="FE1585" s="59"/>
      <c r="FF1585" s="59"/>
      <c r="FG1585" s="59"/>
      <c r="FH1585" s="59"/>
      <c r="FI1585" s="59"/>
      <c r="FJ1585" s="59"/>
      <c r="FK1585" s="59"/>
      <c r="FL1585" s="59"/>
      <c r="FM1585" s="59"/>
      <c r="FN1585" s="59"/>
      <c r="FO1585" s="59"/>
      <c r="FP1585" s="59"/>
      <c r="FQ1585" s="59"/>
      <c r="FR1585" s="59"/>
      <c r="FS1585" s="59"/>
      <c r="FT1585" s="59"/>
      <c r="FU1585" s="59"/>
      <c r="FV1585" s="59"/>
      <c r="FW1585" s="59"/>
      <c r="FX1585" s="59"/>
      <c r="FY1585" s="59"/>
      <c r="FZ1585" s="59"/>
      <c r="GA1585" s="59"/>
      <c r="GB1585" s="59"/>
      <c r="GC1585" s="59"/>
    </row>
    <row r="1586">
      <c r="A1586" s="59"/>
      <c r="B1586" s="59"/>
      <c r="C1586" s="59"/>
      <c r="D1586" s="59"/>
      <c r="E1586" s="59"/>
      <c r="F1586" s="59"/>
      <c r="G1586" s="59"/>
      <c r="H1586" s="59"/>
      <c r="I1586" s="59"/>
      <c r="J1586" s="59"/>
      <c r="K1586" s="59"/>
      <c r="L1586" s="59"/>
      <c r="M1586" s="59"/>
      <c r="N1586" s="59"/>
      <c r="O1586" s="59"/>
      <c r="P1586" s="59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59"/>
      <c r="AG1586" s="59"/>
      <c r="AH1586" s="59"/>
      <c r="AI1586" s="59"/>
      <c r="AJ1586" s="59"/>
      <c r="AK1586" s="59"/>
      <c r="AL1586" s="59"/>
      <c r="AM1586" s="59"/>
      <c r="AN1586" s="59"/>
      <c r="AO1586" s="59"/>
      <c r="AP1586" s="59"/>
      <c r="AQ1586" s="59"/>
      <c r="AR1586" s="59"/>
      <c r="AS1586" s="59"/>
      <c r="AT1586" s="59"/>
      <c r="AU1586" s="59"/>
      <c r="AV1586" s="59"/>
      <c r="AW1586" s="59"/>
      <c r="AX1586" s="59"/>
      <c r="AY1586" s="59"/>
      <c r="AZ1586" s="59"/>
      <c r="BA1586" s="59"/>
      <c r="BB1586" s="59"/>
      <c r="BC1586" s="59"/>
      <c r="BD1586" s="59"/>
      <c r="BE1586" s="59"/>
      <c r="BF1586" s="59"/>
      <c r="BG1586" s="59"/>
      <c r="BH1586" s="59"/>
      <c r="BI1586" s="59"/>
      <c r="BJ1586" s="59"/>
      <c r="BK1586" s="59"/>
      <c r="BL1586" s="59"/>
      <c r="BM1586" s="59"/>
      <c r="BN1586" s="59"/>
      <c r="BO1586" s="59"/>
      <c r="BP1586" s="59"/>
      <c r="BQ1586" s="59"/>
      <c r="BR1586" s="59"/>
      <c r="BS1586" s="59"/>
      <c r="BT1586" s="59"/>
      <c r="BU1586" s="59"/>
      <c r="BV1586" s="59"/>
      <c r="BW1586" s="59"/>
      <c r="BX1586" s="59"/>
      <c r="BY1586" s="59"/>
      <c r="BZ1586" s="59"/>
      <c r="CA1586" s="59"/>
      <c r="CB1586" s="59"/>
      <c r="CC1586" s="59"/>
      <c r="CD1586" s="59"/>
      <c r="CE1586" s="59"/>
      <c r="CF1586" s="59"/>
      <c r="CG1586" s="59"/>
      <c r="CH1586" s="59"/>
      <c r="CI1586" s="59"/>
      <c r="CJ1586" s="59"/>
      <c r="CK1586" s="59"/>
      <c r="CL1586" s="59"/>
      <c r="CM1586" s="59"/>
      <c r="CN1586" s="59"/>
      <c r="CO1586" s="59"/>
      <c r="CP1586" s="59"/>
      <c r="CQ1586" s="59"/>
      <c r="CR1586" s="59"/>
      <c r="CS1586" s="59"/>
      <c r="CT1586" s="59"/>
      <c r="CU1586" s="59"/>
      <c r="CV1586" s="59"/>
      <c r="CW1586" s="59"/>
      <c r="CX1586" s="59"/>
      <c r="CY1586" s="59"/>
      <c r="CZ1586" s="59"/>
      <c r="DA1586" s="59"/>
      <c r="DB1586" s="59"/>
      <c r="DC1586" s="59"/>
      <c r="DD1586" s="59"/>
      <c r="DE1586" s="59"/>
      <c r="DF1586" s="59"/>
      <c r="DG1586" s="59"/>
      <c r="DH1586" s="59"/>
      <c r="DI1586" s="59"/>
      <c r="DJ1586" s="59"/>
      <c r="DK1586" s="59"/>
      <c r="DL1586" s="59"/>
      <c r="DM1586" s="59"/>
      <c r="DN1586" s="59"/>
      <c r="DO1586" s="59"/>
      <c r="DP1586" s="59"/>
      <c r="DQ1586" s="59"/>
      <c r="DR1586" s="59"/>
      <c r="DS1586" s="59"/>
      <c r="DT1586" s="59"/>
      <c r="DU1586" s="59"/>
      <c r="DV1586" s="59"/>
      <c r="DW1586" s="59"/>
      <c r="DX1586" s="59"/>
      <c r="DY1586" s="59"/>
      <c r="DZ1586" s="59"/>
      <c r="EA1586" s="59"/>
      <c r="EB1586" s="59"/>
      <c r="EC1586" s="59"/>
      <c r="ED1586" s="59"/>
      <c r="EE1586" s="59"/>
      <c r="EF1586" s="59"/>
      <c r="EG1586" s="59"/>
      <c r="EH1586" s="59"/>
      <c r="EI1586" s="59"/>
      <c r="EJ1586" s="59"/>
      <c r="EK1586" s="59"/>
      <c r="EL1586" s="59"/>
      <c r="EM1586" s="59"/>
      <c r="EN1586" s="59"/>
      <c r="EO1586" s="59"/>
      <c r="EP1586" s="59"/>
      <c r="EQ1586" s="59"/>
      <c r="ER1586" s="59"/>
      <c r="ES1586" s="59"/>
      <c r="ET1586" s="59"/>
      <c r="EU1586" s="59"/>
      <c r="EV1586" s="59"/>
      <c r="EW1586" s="59"/>
      <c r="EX1586" s="59"/>
      <c r="EY1586" s="59"/>
      <c r="EZ1586" s="59"/>
      <c r="FA1586" s="59"/>
      <c r="FB1586" s="59"/>
      <c r="FC1586" s="59"/>
      <c r="FD1586" s="59"/>
      <c r="FE1586" s="59"/>
      <c r="FF1586" s="59"/>
      <c r="FG1586" s="59"/>
      <c r="FH1586" s="59"/>
      <c r="FI1586" s="59"/>
      <c r="FJ1586" s="59"/>
      <c r="FK1586" s="59"/>
      <c r="FL1586" s="59"/>
      <c r="FM1586" s="59"/>
      <c r="FN1586" s="59"/>
      <c r="FO1586" s="59"/>
      <c r="FP1586" s="59"/>
      <c r="FQ1586" s="59"/>
      <c r="FR1586" s="59"/>
      <c r="FS1586" s="59"/>
      <c r="FT1586" s="59"/>
      <c r="FU1586" s="59"/>
      <c r="FV1586" s="59"/>
      <c r="FW1586" s="59"/>
      <c r="FX1586" s="59"/>
      <c r="FY1586" s="59"/>
      <c r="FZ1586" s="59"/>
      <c r="GA1586" s="59"/>
      <c r="GB1586" s="59"/>
      <c r="GC1586" s="59"/>
    </row>
    <row r="1587">
      <c r="A1587" s="59"/>
      <c r="B1587" s="59"/>
      <c r="C1587" s="59"/>
      <c r="D1587" s="59"/>
      <c r="E1587" s="59"/>
      <c r="F1587" s="59"/>
      <c r="G1587" s="59"/>
      <c r="H1587" s="59"/>
      <c r="I1587" s="59"/>
      <c r="J1587" s="59"/>
      <c r="K1587" s="59"/>
      <c r="L1587" s="59"/>
      <c r="M1587" s="59"/>
      <c r="N1587" s="59"/>
      <c r="O1587" s="59"/>
      <c r="P1587" s="59"/>
      <c r="Q1587" s="59"/>
      <c r="R1587" s="59"/>
      <c r="S1587" s="59"/>
      <c r="T1587" s="59"/>
      <c r="U1587" s="59"/>
      <c r="V1587" s="59"/>
      <c r="W1587" s="59"/>
      <c r="X1587" s="59"/>
      <c r="Y1587" s="59"/>
      <c r="Z1587" s="59"/>
      <c r="AA1587" s="59"/>
      <c r="AB1587" s="59"/>
      <c r="AC1587" s="59"/>
      <c r="AD1587" s="59"/>
      <c r="AE1587" s="59"/>
      <c r="AF1587" s="59"/>
      <c r="AG1587" s="59"/>
      <c r="AH1587" s="59"/>
      <c r="AI1587" s="59"/>
      <c r="AJ1587" s="59"/>
      <c r="AK1587" s="59"/>
      <c r="AL1587" s="59"/>
      <c r="AM1587" s="59"/>
      <c r="AN1587" s="59"/>
      <c r="AO1587" s="59"/>
      <c r="AP1587" s="59"/>
      <c r="AQ1587" s="59"/>
      <c r="AR1587" s="59"/>
      <c r="AS1587" s="59"/>
      <c r="AT1587" s="59"/>
      <c r="AU1587" s="59"/>
      <c r="AV1587" s="59"/>
      <c r="AW1587" s="59"/>
      <c r="AX1587" s="59"/>
      <c r="AY1587" s="59"/>
      <c r="AZ1587" s="59"/>
      <c r="BA1587" s="59"/>
      <c r="BB1587" s="59"/>
      <c r="BC1587" s="59"/>
      <c r="BD1587" s="59"/>
      <c r="BE1587" s="59"/>
      <c r="BF1587" s="59"/>
      <c r="BG1587" s="59"/>
      <c r="BH1587" s="59"/>
      <c r="BI1587" s="59"/>
      <c r="BJ1587" s="59"/>
      <c r="BK1587" s="59"/>
      <c r="BL1587" s="59"/>
      <c r="BM1587" s="59"/>
      <c r="BN1587" s="59"/>
      <c r="BO1587" s="59"/>
      <c r="BP1587" s="59"/>
      <c r="BQ1587" s="59"/>
      <c r="BR1587" s="59"/>
      <c r="BS1587" s="59"/>
      <c r="BT1587" s="59"/>
      <c r="BU1587" s="59"/>
      <c r="BV1587" s="59"/>
      <c r="BW1587" s="59"/>
      <c r="BX1587" s="59"/>
      <c r="BY1587" s="59"/>
      <c r="BZ1587" s="59"/>
      <c r="CA1587" s="59"/>
      <c r="CB1587" s="59"/>
      <c r="CC1587" s="59"/>
      <c r="CD1587" s="59"/>
      <c r="CE1587" s="59"/>
      <c r="CF1587" s="59"/>
      <c r="CG1587" s="59"/>
      <c r="CH1587" s="59"/>
      <c r="CI1587" s="59"/>
      <c r="CJ1587" s="59"/>
      <c r="CK1587" s="59"/>
      <c r="CL1587" s="59"/>
      <c r="CM1587" s="59"/>
      <c r="CN1587" s="59"/>
      <c r="CO1587" s="59"/>
      <c r="CP1587" s="59"/>
      <c r="CQ1587" s="59"/>
      <c r="CR1587" s="59"/>
      <c r="CS1587" s="59"/>
      <c r="CT1587" s="59"/>
      <c r="CU1587" s="59"/>
      <c r="CV1587" s="59"/>
      <c r="CW1587" s="59"/>
      <c r="CX1587" s="59"/>
      <c r="CY1587" s="59"/>
      <c r="CZ1587" s="59"/>
      <c r="DA1587" s="59"/>
      <c r="DB1587" s="59"/>
      <c r="DC1587" s="59"/>
      <c r="DD1587" s="59"/>
      <c r="DE1587" s="59"/>
      <c r="DF1587" s="59"/>
      <c r="DG1587" s="59"/>
      <c r="DH1587" s="59"/>
      <c r="DI1587" s="59"/>
      <c r="DJ1587" s="59"/>
      <c r="DK1587" s="59"/>
      <c r="DL1587" s="59"/>
      <c r="DM1587" s="59"/>
      <c r="DN1587" s="59"/>
      <c r="DO1587" s="59"/>
      <c r="DP1587" s="59"/>
      <c r="DQ1587" s="59"/>
      <c r="DR1587" s="59"/>
      <c r="DS1587" s="59"/>
      <c r="DT1587" s="59"/>
      <c r="DU1587" s="59"/>
      <c r="DV1587" s="59"/>
      <c r="DW1587" s="59"/>
      <c r="DX1587" s="59"/>
      <c r="DY1587" s="59"/>
      <c r="DZ1587" s="59"/>
      <c r="EA1587" s="59"/>
      <c r="EB1587" s="59"/>
      <c r="EC1587" s="59"/>
      <c r="ED1587" s="59"/>
      <c r="EE1587" s="59"/>
      <c r="EF1587" s="59"/>
      <c r="EG1587" s="59"/>
      <c r="EH1587" s="59"/>
      <c r="EI1587" s="59"/>
      <c r="EJ1587" s="59"/>
      <c r="EK1587" s="59"/>
      <c r="EL1587" s="59"/>
      <c r="EM1587" s="59"/>
      <c r="EN1587" s="59"/>
      <c r="EO1587" s="59"/>
      <c r="EP1587" s="59"/>
      <c r="EQ1587" s="59"/>
      <c r="ER1587" s="59"/>
      <c r="ES1587" s="59"/>
      <c r="ET1587" s="59"/>
      <c r="EU1587" s="59"/>
      <c r="EV1587" s="59"/>
      <c r="EW1587" s="59"/>
      <c r="EX1587" s="59"/>
      <c r="EY1587" s="59"/>
      <c r="EZ1587" s="59"/>
      <c r="FA1587" s="59"/>
      <c r="FB1587" s="59"/>
      <c r="FC1587" s="59"/>
      <c r="FD1587" s="59"/>
      <c r="FE1587" s="59"/>
      <c r="FF1587" s="59"/>
      <c r="FG1587" s="59"/>
      <c r="FH1587" s="59"/>
      <c r="FI1587" s="59"/>
      <c r="FJ1587" s="59"/>
      <c r="FK1587" s="59"/>
      <c r="FL1587" s="59"/>
      <c r="FM1587" s="59"/>
      <c r="FN1587" s="59"/>
      <c r="FO1587" s="59"/>
      <c r="FP1587" s="59"/>
      <c r="FQ1587" s="59"/>
      <c r="FR1587" s="59"/>
      <c r="FS1587" s="59"/>
      <c r="FT1587" s="59"/>
      <c r="FU1587" s="59"/>
      <c r="FV1587" s="59"/>
      <c r="FW1587" s="59"/>
      <c r="FX1587" s="59"/>
      <c r="FY1587" s="59"/>
      <c r="FZ1587" s="59"/>
      <c r="GA1587" s="59"/>
      <c r="GB1587" s="59"/>
      <c r="GC1587" s="59"/>
    </row>
    <row r="1588">
      <c r="A1588" s="59"/>
      <c r="B1588" s="59"/>
      <c r="C1588" s="59"/>
      <c r="D1588" s="59"/>
      <c r="E1588" s="59"/>
      <c r="F1588" s="59"/>
      <c r="G1588" s="59"/>
      <c r="H1588" s="59"/>
      <c r="I1588" s="59"/>
      <c r="J1588" s="59"/>
      <c r="K1588" s="59"/>
      <c r="L1588" s="59"/>
      <c r="M1588" s="59"/>
      <c r="N1588" s="59"/>
      <c r="O1588" s="59"/>
      <c r="P1588" s="59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59"/>
      <c r="AG1588" s="59"/>
      <c r="AH1588" s="59"/>
      <c r="AI1588" s="59"/>
      <c r="AJ1588" s="59"/>
      <c r="AK1588" s="59"/>
      <c r="AL1588" s="59"/>
      <c r="AM1588" s="59"/>
      <c r="AN1588" s="59"/>
      <c r="AO1588" s="59"/>
      <c r="AP1588" s="59"/>
      <c r="AQ1588" s="59"/>
      <c r="AR1588" s="59"/>
      <c r="AS1588" s="59"/>
      <c r="AT1588" s="59"/>
      <c r="AU1588" s="59"/>
      <c r="AV1588" s="59"/>
      <c r="AW1588" s="59"/>
      <c r="AX1588" s="59"/>
      <c r="AY1588" s="59"/>
      <c r="AZ1588" s="59"/>
      <c r="BA1588" s="59"/>
      <c r="BB1588" s="59"/>
      <c r="BC1588" s="59"/>
      <c r="BD1588" s="59"/>
      <c r="BE1588" s="59"/>
      <c r="BF1588" s="59"/>
      <c r="BG1588" s="59"/>
      <c r="BH1588" s="59"/>
      <c r="BI1588" s="59"/>
      <c r="BJ1588" s="59"/>
      <c r="BK1588" s="59"/>
      <c r="BL1588" s="59"/>
      <c r="BM1588" s="59"/>
      <c r="BN1588" s="59"/>
      <c r="BO1588" s="59"/>
      <c r="BP1588" s="59"/>
      <c r="BQ1588" s="59"/>
      <c r="BR1588" s="59"/>
      <c r="BS1588" s="59"/>
      <c r="BT1588" s="59"/>
      <c r="BU1588" s="59"/>
      <c r="BV1588" s="59"/>
      <c r="BW1588" s="59"/>
      <c r="BX1588" s="59"/>
      <c r="BY1588" s="59"/>
      <c r="BZ1588" s="59"/>
      <c r="CA1588" s="59"/>
      <c r="CB1588" s="59"/>
      <c r="CC1588" s="59"/>
      <c r="CD1588" s="59"/>
      <c r="CE1588" s="59"/>
      <c r="CF1588" s="59"/>
      <c r="CG1588" s="59"/>
      <c r="CH1588" s="59"/>
      <c r="CI1588" s="59"/>
      <c r="CJ1588" s="59"/>
      <c r="CK1588" s="59"/>
      <c r="CL1588" s="59"/>
      <c r="CM1588" s="59"/>
      <c r="CN1588" s="59"/>
      <c r="CO1588" s="59"/>
      <c r="CP1588" s="59"/>
      <c r="CQ1588" s="59"/>
      <c r="CR1588" s="59"/>
      <c r="CS1588" s="59"/>
      <c r="CT1588" s="59"/>
      <c r="CU1588" s="59"/>
      <c r="CV1588" s="59"/>
      <c r="CW1588" s="59"/>
      <c r="CX1588" s="59"/>
      <c r="CY1588" s="59"/>
      <c r="CZ1588" s="59"/>
      <c r="DA1588" s="59"/>
      <c r="DB1588" s="59"/>
      <c r="DC1588" s="59"/>
      <c r="DD1588" s="59"/>
      <c r="DE1588" s="59"/>
      <c r="DF1588" s="59"/>
      <c r="DG1588" s="59"/>
      <c r="DH1588" s="59"/>
      <c r="DI1588" s="59"/>
      <c r="DJ1588" s="59"/>
      <c r="DK1588" s="59"/>
      <c r="DL1588" s="59"/>
      <c r="DM1588" s="59"/>
      <c r="DN1588" s="59"/>
      <c r="DO1588" s="59"/>
      <c r="DP1588" s="59"/>
      <c r="DQ1588" s="59"/>
      <c r="DR1588" s="59"/>
      <c r="DS1588" s="59"/>
      <c r="DT1588" s="59"/>
      <c r="DU1588" s="59"/>
      <c r="DV1588" s="59"/>
      <c r="DW1588" s="59"/>
      <c r="DX1588" s="59"/>
      <c r="DY1588" s="59"/>
      <c r="DZ1588" s="59"/>
      <c r="EA1588" s="59"/>
      <c r="EB1588" s="59"/>
      <c r="EC1588" s="59"/>
      <c r="ED1588" s="59"/>
      <c r="EE1588" s="59"/>
      <c r="EF1588" s="59"/>
      <c r="EG1588" s="59"/>
      <c r="EH1588" s="59"/>
      <c r="EI1588" s="59"/>
      <c r="EJ1588" s="59"/>
      <c r="EK1588" s="59"/>
      <c r="EL1588" s="59"/>
      <c r="EM1588" s="59"/>
      <c r="EN1588" s="59"/>
      <c r="EO1588" s="59"/>
      <c r="EP1588" s="59"/>
      <c r="EQ1588" s="59"/>
      <c r="ER1588" s="59"/>
      <c r="ES1588" s="59"/>
      <c r="ET1588" s="59"/>
      <c r="EU1588" s="59"/>
      <c r="EV1588" s="59"/>
      <c r="EW1588" s="59"/>
      <c r="EX1588" s="59"/>
      <c r="EY1588" s="59"/>
      <c r="EZ1588" s="59"/>
      <c r="FA1588" s="59"/>
      <c r="FB1588" s="59"/>
      <c r="FC1588" s="59"/>
      <c r="FD1588" s="59"/>
      <c r="FE1588" s="59"/>
      <c r="FF1588" s="59"/>
      <c r="FG1588" s="59"/>
      <c r="FH1588" s="59"/>
      <c r="FI1588" s="59"/>
      <c r="FJ1588" s="59"/>
      <c r="FK1588" s="59"/>
      <c r="FL1588" s="59"/>
      <c r="FM1588" s="59"/>
      <c r="FN1588" s="59"/>
      <c r="FO1588" s="59"/>
      <c r="FP1588" s="59"/>
      <c r="FQ1588" s="59"/>
      <c r="FR1588" s="59"/>
      <c r="FS1588" s="59"/>
      <c r="FT1588" s="59"/>
      <c r="FU1588" s="59"/>
      <c r="FV1588" s="59"/>
      <c r="FW1588" s="59"/>
      <c r="FX1588" s="59"/>
      <c r="FY1588" s="59"/>
      <c r="FZ1588" s="59"/>
      <c r="GA1588" s="59"/>
      <c r="GB1588" s="59"/>
      <c r="GC1588" s="59"/>
    </row>
    <row r="1589">
      <c r="A1589" s="59"/>
      <c r="B1589" s="59"/>
      <c r="C1589" s="59"/>
      <c r="D1589" s="59"/>
      <c r="E1589" s="59"/>
      <c r="F1589" s="59"/>
      <c r="G1589" s="59"/>
      <c r="H1589" s="59"/>
      <c r="I1589" s="59"/>
      <c r="J1589" s="59"/>
      <c r="K1589" s="59"/>
      <c r="L1589" s="59"/>
      <c r="M1589" s="59"/>
      <c r="N1589" s="59"/>
      <c r="O1589" s="59"/>
      <c r="P1589" s="59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59"/>
      <c r="AG1589" s="59"/>
      <c r="AH1589" s="59"/>
      <c r="AI1589" s="59"/>
      <c r="AJ1589" s="59"/>
      <c r="AK1589" s="59"/>
      <c r="AL1589" s="59"/>
      <c r="AM1589" s="59"/>
      <c r="AN1589" s="59"/>
      <c r="AO1589" s="59"/>
      <c r="AP1589" s="59"/>
      <c r="AQ1589" s="59"/>
      <c r="AR1589" s="59"/>
      <c r="AS1589" s="59"/>
      <c r="AT1589" s="59"/>
      <c r="AU1589" s="59"/>
      <c r="AV1589" s="59"/>
      <c r="AW1589" s="59"/>
      <c r="AX1589" s="59"/>
      <c r="AY1589" s="59"/>
      <c r="AZ1589" s="59"/>
      <c r="BA1589" s="59"/>
      <c r="BB1589" s="59"/>
      <c r="BC1589" s="59"/>
      <c r="BD1589" s="59"/>
      <c r="BE1589" s="59"/>
      <c r="BF1589" s="59"/>
      <c r="BG1589" s="59"/>
      <c r="BH1589" s="59"/>
      <c r="BI1589" s="59"/>
      <c r="BJ1589" s="59"/>
      <c r="BK1589" s="59"/>
      <c r="BL1589" s="59"/>
      <c r="BM1589" s="59"/>
      <c r="BN1589" s="59"/>
      <c r="BO1589" s="59"/>
      <c r="BP1589" s="59"/>
      <c r="BQ1589" s="59"/>
      <c r="BR1589" s="59"/>
      <c r="BS1589" s="59"/>
      <c r="BT1589" s="59"/>
      <c r="BU1589" s="59"/>
      <c r="BV1589" s="59"/>
      <c r="BW1589" s="59"/>
      <c r="BX1589" s="59"/>
      <c r="BY1589" s="59"/>
      <c r="BZ1589" s="59"/>
      <c r="CA1589" s="59"/>
      <c r="CB1589" s="59"/>
      <c r="CC1589" s="59"/>
      <c r="CD1589" s="59"/>
      <c r="CE1589" s="59"/>
      <c r="CF1589" s="59"/>
      <c r="CG1589" s="59"/>
      <c r="CH1589" s="59"/>
      <c r="CI1589" s="59"/>
      <c r="CJ1589" s="59"/>
      <c r="CK1589" s="59"/>
      <c r="CL1589" s="59"/>
      <c r="CM1589" s="59"/>
      <c r="CN1589" s="59"/>
      <c r="CO1589" s="59"/>
      <c r="CP1589" s="59"/>
      <c r="CQ1589" s="59"/>
      <c r="CR1589" s="59"/>
      <c r="CS1589" s="59"/>
      <c r="CT1589" s="59"/>
      <c r="CU1589" s="59"/>
      <c r="CV1589" s="59"/>
      <c r="CW1589" s="59"/>
      <c r="CX1589" s="59"/>
      <c r="CY1589" s="59"/>
      <c r="CZ1589" s="59"/>
      <c r="DA1589" s="59"/>
      <c r="DB1589" s="59"/>
      <c r="DC1589" s="59"/>
      <c r="DD1589" s="59"/>
      <c r="DE1589" s="59"/>
      <c r="DF1589" s="59"/>
      <c r="DG1589" s="59"/>
      <c r="DH1589" s="59"/>
      <c r="DI1589" s="59"/>
      <c r="DJ1589" s="59"/>
      <c r="DK1589" s="59"/>
      <c r="DL1589" s="59"/>
      <c r="DM1589" s="59"/>
      <c r="DN1589" s="59"/>
      <c r="DO1589" s="59"/>
      <c r="DP1589" s="59"/>
      <c r="DQ1589" s="59"/>
      <c r="DR1589" s="59"/>
      <c r="DS1589" s="59"/>
      <c r="DT1589" s="59"/>
      <c r="DU1589" s="59"/>
      <c r="DV1589" s="59"/>
      <c r="DW1589" s="59"/>
      <c r="DX1589" s="59"/>
      <c r="DY1589" s="59"/>
      <c r="DZ1589" s="59"/>
      <c r="EA1589" s="59"/>
      <c r="EB1589" s="59"/>
      <c r="EC1589" s="59"/>
      <c r="ED1589" s="59"/>
      <c r="EE1589" s="59"/>
      <c r="EF1589" s="59"/>
      <c r="EG1589" s="59"/>
      <c r="EH1589" s="59"/>
      <c r="EI1589" s="59"/>
      <c r="EJ1589" s="59"/>
      <c r="EK1589" s="59"/>
      <c r="EL1589" s="59"/>
      <c r="EM1589" s="59"/>
      <c r="EN1589" s="59"/>
      <c r="EO1589" s="59"/>
      <c r="EP1589" s="59"/>
      <c r="EQ1589" s="59"/>
      <c r="ER1589" s="59"/>
      <c r="ES1589" s="59"/>
      <c r="ET1589" s="59"/>
      <c r="EU1589" s="59"/>
      <c r="EV1589" s="59"/>
      <c r="EW1589" s="59"/>
      <c r="EX1589" s="59"/>
      <c r="EY1589" s="59"/>
      <c r="EZ1589" s="59"/>
      <c r="FA1589" s="59"/>
      <c r="FB1589" s="59"/>
      <c r="FC1589" s="59"/>
      <c r="FD1589" s="59"/>
      <c r="FE1589" s="59"/>
      <c r="FF1589" s="59"/>
      <c r="FG1589" s="59"/>
      <c r="FH1589" s="59"/>
      <c r="FI1589" s="59"/>
      <c r="FJ1589" s="59"/>
      <c r="FK1589" s="59"/>
      <c r="FL1589" s="59"/>
      <c r="FM1589" s="59"/>
      <c r="FN1589" s="59"/>
      <c r="FO1589" s="59"/>
      <c r="FP1589" s="59"/>
      <c r="FQ1589" s="59"/>
      <c r="FR1589" s="59"/>
      <c r="FS1589" s="59"/>
      <c r="FT1589" s="59"/>
      <c r="FU1589" s="59"/>
      <c r="FV1589" s="59"/>
      <c r="FW1589" s="59"/>
      <c r="FX1589" s="59"/>
      <c r="FY1589" s="59"/>
      <c r="FZ1589" s="59"/>
      <c r="GA1589" s="59"/>
      <c r="GB1589" s="59"/>
      <c r="GC1589" s="59"/>
    </row>
    <row r="1590">
      <c r="A1590" s="59"/>
      <c r="B1590" s="59"/>
      <c r="C1590" s="59"/>
      <c r="D1590" s="59"/>
      <c r="E1590" s="59"/>
      <c r="F1590" s="59"/>
      <c r="G1590" s="59"/>
      <c r="H1590" s="59"/>
      <c r="I1590" s="59"/>
      <c r="J1590" s="59"/>
      <c r="K1590" s="59"/>
      <c r="L1590" s="59"/>
      <c r="M1590" s="59"/>
      <c r="N1590" s="59"/>
      <c r="O1590" s="59"/>
      <c r="P1590" s="59"/>
      <c r="Q1590" s="59"/>
      <c r="R1590" s="59"/>
      <c r="S1590" s="59"/>
      <c r="T1590" s="59"/>
      <c r="U1590" s="59"/>
      <c r="V1590" s="59"/>
      <c r="W1590" s="59"/>
      <c r="X1590" s="59"/>
      <c r="Y1590" s="59"/>
      <c r="Z1590" s="59"/>
      <c r="AA1590" s="59"/>
      <c r="AB1590" s="59"/>
      <c r="AC1590" s="59"/>
      <c r="AD1590" s="59"/>
      <c r="AE1590" s="59"/>
      <c r="AF1590" s="59"/>
      <c r="AG1590" s="59"/>
      <c r="AH1590" s="59"/>
      <c r="AI1590" s="59"/>
      <c r="AJ1590" s="59"/>
      <c r="AK1590" s="59"/>
      <c r="AL1590" s="59"/>
      <c r="AM1590" s="59"/>
      <c r="AN1590" s="59"/>
      <c r="AO1590" s="59"/>
      <c r="AP1590" s="59"/>
      <c r="AQ1590" s="59"/>
      <c r="AR1590" s="59"/>
      <c r="AS1590" s="59"/>
      <c r="AT1590" s="59"/>
      <c r="AU1590" s="59"/>
      <c r="AV1590" s="59"/>
      <c r="AW1590" s="59"/>
      <c r="AX1590" s="59"/>
      <c r="AY1590" s="59"/>
      <c r="AZ1590" s="59"/>
      <c r="BA1590" s="59"/>
      <c r="BB1590" s="59"/>
      <c r="BC1590" s="59"/>
      <c r="BD1590" s="59"/>
      <c r="BE1590" s="59"/>
      <c r="BF1590" s="59"/>
      <c r="BG1590" s="59"/>
      <c r="BH1590" s="59"/>
      <c r="BI1590" s="59"/>
      <c r="BJ1590" s="59"/>
      <c r="BK1590" s="59"/>
      <c r="BL1590" s="59"/>
      <c r="BM1590" s="59"/>
      <c r="BN1590" s="59"/>
      <c r="BO1590" s="59"/>
      <c r="BP1590" s="59"/>
      <c r="BQ1590" s="59"/>
      <c r="BR1590" s="59"/>
      <c r="BS1590" s="59"/>
      <c r="BT1590" s="59"/>
      <c r="BU1590" s="59"/>
      <c r="BV1590" s="59"/>
      <c r="BW1590" s="59"/>
      <c r="BX1590" s="59"/>
      <c r="BY1590" s="59"/>
      <c r="BZ1590" s="59"/>
      <c r="CA1590" s="59"/>
      <c r="CB1590" s="59"/>
      <c r="CC1590" s="59"/>
      <c r="CD1590" s="59"/>
      <c r="CE1590" s="59"/>
      <c r="CF1590" s="59"/>
      <c r="CG1590" s="59"/>
      <c r="CH1590" s="59"/>
      <c r="CI1590" s="59"/>
      <c r="CJ1590" s="59"/>
      <c r="CK1590" s="59"/>
      <c r="CL1590" s="59"/>
      <c r="CM1590" s="59"/>
      <c r="CN1590" s="59"/>
      <c r="CO1590" s="59"/>
      <c r="CP1590" s="59"/>
      <c r="CQ1590" s="59"/>
      <c r="CR1590" s="59"/>
      <c r="CS1590" s="59"/>
      <c r="CT1590" s="59"/>
      <c r="CU1590" s="59"/>
      <c r="CV1590" s="59"/>
      <c r="CW1590" s="59"/>
      <c r="CX1590" s="59"/>
      <c r="CY1590" s="59"/>
      <c r="CZ1590" s="59"/>
      <c r="DA1590" s="59"/>
      <c r="DB1590" s="59"/>
      <c r="DC1590" s="59"/>
      <c r="DD1590" s="59"/>
      <c r="DE1590" s="59"/>
      <c r="DF1590" s="59"/>
      <c r="DG1590" s="59"/>
      <c r="DH1590" s="59"/>
      <c r="DI1590" s="59"/>
      <c r="DJ1590" s="59"/>
      <c r="DK1590" s="59"/>
      <c r="DL1590" s="59"/>
      <c r="DM1590" s="59"/>
      <c r="DN1590" s="59"/>
      <c r="DO1590" s="59"/>
      <c r="DP1590" s="59"/>
      <c r="DQ1590" s="59"/>
      <c r="DR1590" s="59"/>
      <c r="DS1590" s="59"/>
      <c r="DT1590" s="59"/>
      <c r="DU1590" s="59"/>
      <c r="DV1590" s="59"/>
      <c r="DW1590" s="59"/>
      <c r="DX1590" s="59"/>
      <c r="DY1590" s="59"/>
      <c r="DZ1590" s="59"/>
      <c r="EA1590" s="59"/>
      <c r="EB1590" s="59"/>
      <c r="EC1590" s="59"/>
      <c r="ED1590" s="59"/>
      <c r="EE1590" s="59"/>
      <c r="EF1590" s="59"/>
      <c r="EG1590" s="59"/>
      <c r="EH1590" s="59"/>
      <c r="EI1590" s="59"/>
      <c r="EJ1590" s="59"/>
      <c r="EK1590" s="59"/>
      <c r="EL1590" s="59"/>
      <c r="EM1590" s="59"/>
      <c r="EN1590" s="59"/>
      <c r="EO1590" s="59"/>
      <c r="EP1590" s="59"/>
      <c r="EQ1590" s="59"/>
      <c r="ER1590" s="59"/>
      <c r="ES1590" s="59"/>
      <c r="ET1590" s="59"/>
      <c r="EU1590" s="59"/>
      <c r="EV1590" s="59"/>
      <c r="EW1590" s="59"/>
      <c r="EX1590" s="59"/>
      <c r="EY1590" s="59"/>
      <c r="EZ1590" s="59"/>
      <c r="FA1590" s="59"/>
      <c r="FB1590" s="59"/>
      <c r="FC1590" s="59"/>
      <c r="FD1590" s="59"/>
      <c r="FE1590" s="59"/>
      <c r="FF1590" s="59"/>
      <c r="FG1590" s="59"/>
      <c r="FH1590" s="59"/>
      <c r="FI1590" s="59"/>
      <c r="FJ1590" s="59"/>
      <c r="FK1590" s="59"/>
      <c r="FL1590" s="59"/>
      <c r="FM1590" s="59"/>
      <c r="FN1590" s="59"/>
      <c r="FO1590" s="59"/>
      <c r="FP1590" s="59"/>
      <c r="FQ1590" s="59"/>
      <c r="FR1590" s="59"/>
      <c r="FS1590" s="59"/>
      <c r="FT1590" s="59"/>
      <c r="FU1590" s="59"/>
      <c r="FV1590" s="59"/>
      <c r="FW1590" s="59"/>
      <c r="FX1590" s="59"/>
      <c r="FY1590" s="59"/>
      <c r="FZ1590" s="59"/>
      <c r="GA1590" s="59"/>
      <c r="GB1590" s="59"/>
      <c r="GC1590" s="59"/>
    </row>
    <row r="1591">
      <c r="A1591" s="59"/>
      <c r="B1591" s="59"/>
      <c r="C1591" s="59"/>
      <c r="D1591" s="59"/>
      <c r="E1591" s="59"/>
      <c r="F1591" s="59"/>
      <c r="G1591" s="59"/>
      <c r="H1591" s="59"/>
      <c r="I1591" s="59"/>
      <c r="J1591" s="59"/>
      <c r="K1591" s="59"/>
      <c r="L1591" s="59"/>
      <c r="M1591" s="59"/>
      <c r="N1591" s="59"/>
      <c r="O1591" s="59"/>
      <c r="P1591" s="59"/>
      <c r="Q1591" s="59"/>
      <c r="R1591" s="59"/>
      <c r="S1591" s="59"/>
      <c r="T1591" s="59"/>
      <c r="U1591" s="59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59"/>
      <c r="AG1591" s="59"/>
      <c r="AH1591" s="59"/>
      <c r="AI1591" s="59"/>
      <c r="AJ1591" s="59"/>
      <c r="AK1591" s="59"/>
      <c r="AL1591" s="59"/>
      <c r="AM1591" s="59"/>
      <c r="AN1591" s="59"/>
      <c r="AO1591" s="59"/>
      <c r="AP1591" s="59"/>
      <c r="AQ1591" s="59"/>
      <c r="AR1591" s="59"/>
      <c r="AS1591" s="59"/>
      <c r="AT1591" s="59"/>
      <c r="AU1591" s="59"/>
      <c r="AV1591" s="59"/>
      <c r="AW1591" s="59"/>
      <c r="AX1591" s="59"/>
      <c r="AY1591" s="59"/>
      <c r="AZ1591" s="59"/>
      <c r="BA1591" s="59"/>
      <c r="BB1591" s="59"/>
      <c r="BC1591" s="59"/>
      <c r="BD1591" s="59"/>
      <c r="BE1591" s="59"/>
      <c r="BF1591" s="59"/>
      <c r="BG1591" s="59"/>
      <c r="BH1591" s="59"/>
      <c r="BI1591" s="59"/>
      <c r="BJ1591" s="59"/>
      <c r="BK1591" s="59"/>
      <c r="BL1591" s="59"/>
      <c r="BM1591" s="59"/>
      <c r="BN1591" s="59"/>
      <c r="BO1591" s="59"/>
      <c r="BP1591" s="59"/>
      <c r="BQ1591" s="59"/>
      <c r="BR1591" s="59"/>
      <c r="BS1591" s="59"/>
      <c r="BT1591" s="59"/>
      <c r="BU1591" s="59"/>
      <c r="BV1591" s="59"/>
      <c r="BW1591" s="59"/>
      <c r="BX1591" s="59"/>
      <c r="BY1591" s="59"/>
      <c r="BZ1591" s="59"/>
      <c r="CA1591" s="59"/>
      <c r="CB1591" s="59"/>
      <c r="CC1591" s="59"/>
      <c r="CD1591" s="59"/>
      <c r="CE1591" s="59"/>
      <c r="CF1591" s="59"/>
      <c r="CG1591" s="59"/>
      <c r="CH1591" s="59"/>
      <c r="CI1591" s="59"/>
      <c r="CJ1591" s="59"/>
      <c r="CK1591" s="59"/>
      <c r="CL1591" s="59"/>
      <c r="CM1591" s="59"/>
      <c r="CN1591" s="59"/>
      <c r="CO1591" s="59"/>
      <c r="CP1591" s="59"/>
      <c r="CQ1591" s="59"/>
      <c r="CR1591" s="59"/>
      <c r="CS1591" s="59"/>
      <c r="CT1591" s="59"/>
      <c r="CU1591" s="59"/>
      <c r="CV1591" s="59"/>
      <c r="CW1591" s="59"/>
      <c r="CX1591" s="59"/>
      <c r="CY1591" s="59"/>
      <c r="CZ1591" s="59"/>
      <c r="DA1591" s="59"/>
      <c r="DB1591" s="59"/>
      <c r="DC1591" s="59"/>
      <c r="DD1591" s="59"/>
      <c r="DE1591" s="59"/>
      <c r="DF1591" s="59"/>
      <c r="DG1591" s="59"/>
      <c r="DH1591" s="59"/>
      <c r="DI1591" s="59"/>
      <c r="DJ1591" s="59"/>
      <c r="DK1591" s="59"/>
      <c r="DL1591" s="59"/>
      <c r="DM1591" s="59"/>
      <c r="DN1591" s="59"/>
      <c r="DO1591" s="59"/>
      <c r="DP1591" s="59"/>
      <c r="DQ1591" s="59"/>
      <c r="DR1591" s="59"/>
      <c r="DS1591" s="59"/>
      <c r="DT1591" s="59"/>
      <c r="DU1591" s="59"/>
      <c r="DV1591" s="59"/>
      <c r="DW1591" s="59"/>
      <c r="DX1591" s="59"/>
      <c r="DY1591" s="59"/>
      <c r="DZ1591" s="59"/>
      <c r="EA1591" s="59"/>
      <c r="EB1591" s="59"/>
      <c r="EC1591" s="59"/>
      <c r="ED1591" s="59"/>
      <c r="EE1591" s="59"/>
      <c r="EF1591" s="59"/>
      <c r="EG1591" s="59"/>
      <c r="EH1591" s="59"/>
      <c r="EI1591" s="59"/>
      <c r="EJ1591" s="59"/>
      <c r="EK1591" s="59"/>
      <c r="EL1591" s="59"/>
      <c r="EM1591" s="59"/>
      <c r="EN1591" s="59"/>
      <c r="EO1591" s="59"/>
      <c r="EP1591" s="59"/>
      <c r="EQ1591" s="59"/>
      <c r="ER1591" s="59"/>
      <c r="ES1591" s="59"/>
      <c r="ET1591" s="59"/>
      <c r="EU1591" s="59"/>
      <c r="EV1591" s="59"/>
      <c r="EW1591" s="59"/>
      <c r="EX1591" s="59"/>
      <c r="EY1591" s="59"/>
      <c r="EZ1591" s="59"/>
      <c r="FA1591" s="59"/>
      <c r="FB1591" s="59"/>
      <c r="FC1591" s="59"/>
      <c r="FD1591" s="59"/>
      <c r="FE1591" s="59"/>
      <c r="FF1591" s="59"/>
      <c r="FG1591" s="59"/>
      <c r="FH1591" s="59"/>
      <c r="FI1591" s="59"/>
      <c r="FJ1591" s="59"/>
      <c r="FK1591" s="59"/>
      <c r="FL1591" s="59"/>
      <c r="FM1591" s="59"/>
      <c r="FN1591" s="59"/>
      <c r="FO1591" s="59"/>
      <c r="FP1591" s="59"/>
      <c r="FQ1591" s="59"/>
      <c r="FR1591" s="59"/>
      <c r="FS1591" s="59"/>
      <c r="FT1591" s="59"/>
      <c r="FU1591" s="59"/>
      <c r="FV1591" s="59"/>
      <c r="FW1591" s="59"/>
      <c r="FX1591" s="59"/>
      <c r="FY1591" s="59"/>
      <c r="FZ1591" s="59"/>
      <c r="GA1591" s="59"/>
      <c r="GB1591" s="59"/>
      <c r="GC1591" s="59"/>
    </row>
    <row r="1592">
      <c r="A1592" s="59"/>
      <c r="B1592" s="59"/>
      <c r="C1592" s="59"/>
      <c r="D1592" s="59"/>
      <c r="E1592" s="59"/>
      <c r="F1592" s="59"/>
      <c r="G1592" s="59"/>
      <c r="H1592" s="59"/>
      <c r="I1592" s="59"/>
      <c r="J1592" s="59"/>
      <c r="K1592" s="59"/>
      <c r="L1592" s="59"/>
      <c r="M1592" s="59"/>
      <c r="N1592" s="59"/>
      <c r="O1592" s="59"/>
      <c r="P1592" s="59"/>
      <c r="Q1592" s="59"/>
      <c r="R1592" s="59"/>
      <c r="S1592" s="59"/>
      <c r="T1592" s="59"/>
      <c r="U1592" s="59"/>
      <c r="V1592" s="59"/>
      <c r="W1592" s="59"/>
      <c r="X1592" s="59"/>
      <c r="Y1592" s="59"/>
      <c r="Z1592" s="59"/>
      <c r="AA1592" s="59"/>
      <c r="AB1592" s="59"/>
      <c r="AC1592" s="59"/>
      <c r="AD1592" s="59"/>
      <c r="AE1592" s="59"/>
      <c r="AF1592" s="59"/>
      <c r="AG1592" s="59"/>
      <c r="AH1592" s="59"/>
      <c r="AI1592" s="59"/>
      <c r="AJ1592" s="59"/>
      <c r="AK1592" s="59"/>
      <c r="AL1592" s="59"/>
      <c r="AM1592" s="59"/>
      <c r="AN1592" s="59"/>
      <c r="AO1592" s="59"/>
      <c r="AP1592" s="59"/>
      <c r="AQ1592" s="59"/>
      <c r="AR1592" s="59"/>
      <c r="AS1592" s="59"/>
      <c r="AT1592" s="59"/>
      <c r="AU1592" s="59"/>
      <c r="AV1592" s="59"/>
      <c r="AW1592" s="59"/>
      <c r="AX1592" s="59"/>
      <c r="AY1592" s="59"/>
      <c r="AZ1592" s="59"/>
      <c r="BA1592" s="59"/>
      <c r="BB1592" s="59"/>
      <c r="BC1592" s="59"/>
      <c r="BD1592" s="59"/>
      <c r="BE1592" s="59"/>
      <c r="BF1592" s="59"/>
      <c r="BG1592" s="59"/>
      <c r="BH1592" s="59"/>
      <c r="BI1592" s="59"/>
      <c r="BJ1592" s="59"/>
      <c r="BK1592" s="59"/>
      <c r="BL1592" s="59"/>
      <c r="BM1592" s="59"/>
      <c r="BN1592" s="59"/>
      <c r="BO1592" s="59"/>
      <c r="BP1592" s="59"/>
      <c r="BQ1592" s="59"/>
      <c r="BR1592" s="59"/>
      <c r="BS1592" s="59"/>
      <c r="BT1592" s="59"/>
      <c r="BU1592" s="59"/>
      <c r="BV1592" s="59"/>
      <c r="BW1592" s="59"/>
      <c r="BX1592" s="59"/>
      <c r="BY1592" s="59"/>
      <c r="BZ1592" s="59"/>
      <c r="CA1592" s="59"/>
      <c r="CB1592" s="59"/>
      <c r="CC1592" s="59"/>
      <c r="CD1592" s="59"/>
      <c r="CE1592" s="59"/>
      <c r="CF1592" s="59"/>
      <c r="CG1592" s="59"/>
      <c r="CH1592" s="59"/>
      <c r="CI1592" s="59"/>
      <c r="CJ1592" s="59"/>
      <c r="CK1592" s="59"/>
      <c r="CL1592" s="59"/>
      <c r="CM1592" s="59"/>
      <c r="CN1592" s="59"/>
      <c r="CO1592" s="59"/>
      <c r="CP1592" s="59"/>
      <c r="CQ1592" s="59"/>
      <c r="CR1592" s="59"/>
      <c r="CS1592" s="59"/>
      <c r="CT1592" s="59"/>
      <c r="CU1592" s="59"/>
      <c r="CV1592" s="59"/>
      <c r="CW1592" s="59"/>
      <c r="CX1592" s="59"/>
      <c r="CY1592" s="59"/>
      <c r="CZ1592" s="59"/>
      <c r="DA1592" s="59"/>
      <c r="DB1592" s="59"/>
      <c r="DC1592" s="59"/>
      <c r="DD1592" s="59"/>
      <c r="DE1592" s="59"/>
      <c r="DF1592" s="59"/>
      <c r="DG1592" s="59"/>
      <c r="DH1592" s="59"/>
      <c r="DI1592" s="59"/>
      <c r="DJ1592" s="59"/>
      <c r="DK1592" s="59"/>
      <c r="DL1592" s="59"/>
      <c r="DM1592" s="59"/>
      <c r="DN1592" s="59"/>
      <c r="DO1592" s="59"/>
      <c r="DP1592" s="59"/>
      <c r="DQ1592" s="59"/>
      <c r="DR1592" s="59"/>
      <c r="DS1592" s="59"/>
      <c r="DT1592" s="59"/>
      <c r="DU1592" s="59"/>
      <c r="DV1592" s="59"/>
      <c r="DW1592" s="59"/>
      <c r="DX1592" s="59"/>
      <c r="DY1592" s="59"/>
      <c r="DZ1592" s="59"/>
      <c r="EA1592" s="59"/>
      <c r="EB1592" s="59"/>
      <c r="EC1592" s="59"/>
      <c r="ED1592" s="59"/>
      <c r="EE1592" s="59"/>
      <c r="EF1592" s="59"/>
      <c r="EG1592" s="59"/>
      <c r="EH1592" s="59"/>
      <c r="EI1592" s="59"/>
      <c r="EJ1592" s="59"/>
      <c r="EK1592" s="59"/>
      <c r="EL1592" s="59"/>
      <c r="EM1592" s="59"/>
      <c r="EN1592" s="59"/>
      <c r="EO1592" s="59"/>
      <c r="EP1592" s="59"/>
      <c r="EQ1592" s="59"/>
      <c r="ER1592" s="59"/>
      <c r="ES1592" s="59"/>
      <c r="ET1592" s="59"/>
      <c r="EU1592" s="59"/>
      <c r="EV1592" s="59"/>
      <c r="EW1592" s="59"/>
      <c r="EX1592" s="59"/>
      <c r="EY1592" s="59"/>
      <c r="EZ1592" s="59"/>
      <c r="FA1592" s="59"/>
      <c r="FB1592" s="59"/>
      <c r="FC1592" s="59"/>
      <c r="FD1592" s="59"/>
      <c r="FE1592" s="59"/>
      <c r="FF1592" s="59"/>
      <c r="FG1592" s="59"/>
      <c r="FH1592" s="59"/>
      <c r="FI1592" s="59"/>
      <c r="FJ1592" s="59"/>
      <c r="FK1592" s="59"/>
      <c r="FL1592" s="59"/>
      <c r="FM1592" s="59"/>
      <c r="FN1592" s="59"/>
      <c r="FO1592" s="59"/>
      <c r="FP1592" s="59"/>
      <c r="FQ1592" s="59"/>
      <c r="FR1592" s="59"/>
      <c r="FS1592" s="59"/>
      <c r="FT1592" s="59"/>
      <c r="FU1592" s="59"/>
      <c r="FV1592" s="59"/>
      <c r="FW1592" s="59"/>
      <c r="FX1592" s="59"/>
      <c r="FY1592" s="59"/>
      <c r="FZ1592" s="59"/>
      <c r="GA1592" s="59"/>
      <c r="GB1592" s="59"/>
      <c r="GC1592" s="59"/>
    </row>
    <row r="1593">
      <c r="A1593" s="59"/>
      <c r="B1593" s="59"/>
      <c r="C1593" s="59"/>
      <c r="D1593" s="59"/>
      <c r="E1593" s="59"/>
      <c r="F1593" s="59"/>
      <c r="G1593" s="59"/>
      <c r="H1593" s="59"/>
      <c r="I1593" s="59"/>
      <c r="J1593" s="59"/>
      <c r="K1593" s="59"/>
      <c r="L1593" s="59"/>
      <c r="M1593" s="59"/>
      <c r="N1593" s="59"/>
      <c r="O1593" s="59"/>
      <c r="P1593" s="59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59"/>
      <c r="AG1593" s="59"/>
      <c r="AH1593" s="59"/>
      <c r="AI1593" s="59"/>
      <c r="AJ1593" s="59"/>
      <c r="AK1593" s="59"/>
      <c r="AL1593" s="59"/>
      <c r="AM1593" s="59"/>
      <c r="AN1593" s="59"/>
      <c r="AO1593" s="59"/>
      <c r="AP1593" s="59"/>
      <c r="AQ1593" s="59"/>
      <c r="AR1593" s="59"/>
      <c r="AS1593" s="59"/>
      <c r="AT1593" s="59"/>
      <c r="AU1593" s="59"/>
      <c r="AV1593" s="59"/>
      <c r="AW1593" s="59"/>
      <c r="AX1593" s="59"/>
      <c r="AY1593" s="59"/>
      <c r="AZ1593" s="59"/>
      <c r="BA1593" s="59"/>
      <c r="BB1593" s="59"/>
      <c r="BC1593" s="59"/>
      <c r="BD1593" s="59"/>
      <c r="BE1593" s="59"/>
      <c r="BF1593" s="59"/>
      <c r="BG1593" s="59"/>
      <c r="BH1593" s="59"/>
      <c r="BI1593" s="59"/>
      <c r="BJ1593" s="59"/>
      <c r="BK1593" s="59"/>
      <c r="BL1593" s="59"/>
      <c r="BM1593" s="59"/>
      <c r="BN1593" s="59"/>
      <c r="BO1593" s="59"/>
      <c r="BP1593" s="59"/>
      <c r="BQ1593" s="59"/>
      <c r="BR1593" s="59"/>
      <c r="BS1593" s="59"/>
      <c r="BT1593" s="59"/>
      <c r="BU1593" s="59"/>
      <c r="BV1593" s="59"/>
      <c r="BW1593" s="59"/>
      <c r="BX1593" s="59"/>
      <c r="BY1593" s="59"/>
      <c r="BZ1593" s="59"/>
      <c r="CA1593" s="59"/>
      <c r="CB1593" s="59"/>
      <c r="CC1593" s="59"/>
      <c r="CD1593" s="59"/>
      <c r="CE1593" s="59"/>
      <c r="CF1593" s="59"/>
      <c r="CG1593" s="59"/>
      <c r="CH1593" s="59"/>
      <c r="CI1593" s="59"/>
      <c r="CJ1593" s="59"/>
      <c r="CK1593" s="59"/>
      <c r="CL1593" s="59"/>
      <c r="CM1593" s="59"/>
      <c r="CN1593" s="59"/>
      <c r="CO1593" s="59"/>
      <c r="CP1593" s="59"/>
      <c r="CQ1593" s="59"/>
      <c r="CR1593" s="59"/>
      <c r="CS1593" s="59"/>
      <c r="CT1593" s="59"/>
      <c r="CU1593" s="59"/>
      <c r="CV1593" s="59"/>
      <c r="CW1593" s="59"/>
      <c r="CX1593" s="59"/>
      <c r="CY1593" s="59"/>
      <c r="CZ1593" s="59"/>
      <c r="DA1593" s="59"/>
      <c r="DB1593" s="59"/>
      <c r="DC1593" s="59"/>
      <c r="DD1593" s="59"/>
      <c r="DE1593" s="59"/>
      <c r="DF1593" s="59"/>
      <c r="DG1593" s="59"/>
      <c r="DH1593" s="59"/>
      <c r="DI1593" s="59"/>
      <c r="DJ1593" s="59"/>
      <c r="DK1593" s="59"/>
      <c r="DL1593" s="59"/>
      <c r="DM1593" s="59"/>
      <c r="DN1593" s="59"/>
      <c r="DO1593" s="59"/>
      <c r="DP1593" s="59"/>
      <c r="DQ1593" s="59"/>
      <c r="DR1593" s="59"/>
      <c r="DS1593" s="59"/>
      <c r="DT1593" s="59"/>
      <c r="DU1593" s="59"/>
      <c r="DV1593" s="59"/>
      <c r="DW1593" s="59"/>
      <c r="DX1593" s="59"/>
      <c r="DY1593" s="59"/>
      <c r="DZ1593" s="59"/>
      <c r="EA1593" s="59"/>
      <c r="EB1593" s="59"/>
      <c r="EC1593" s="59"/>
      <c r="ED1593" s="59"/>
      <c r="EE1593" s="59"/>
      <c r="EF1593" s="59"/>
      <c r="EG1593" s="59"/>
      <c r="EH1593" s="59"/>
      <c r="EI1593" s="59"/>
      <c r="EJ1593" s="59"/>
      <c r="EK1593" s="59"/>
      <c r="EL1593" s="59"/>
      <c r="EM1593" s="59"/>
      <c r="EN1593" s="59"/>
      <c r="EO1593" s="59"/>
      <c r="EP1593" s="59"/>
      <c r="EQ1593" s="59"/>
      <c r="ER1593" s="59"/>
      <c r="ES1593" s="59"/>
      <c r="ET1593" s="59"/>
      <c r="EU1593" s="59"/>
      <c r="EV1593" s="59"/>
      <c r="EW1593" s="59"/>
      <c r="EX1593" s="59"/>
      <c r="EY1593" s="59"/>
      <c r="EZ1593" s="59"/>
      <c r="FA1593" s="59"/>
      <c r="FB1593" s="59"/>
      <c r="FC1593" s="59"/>
      <c r="FD1593" s="59"/>
      <c r="FE1593" s="59"/>
      <c r="FF1593" s="59"/>
      <c r="FG1593" s="59"/>
      <c r="FH1593" s="59"/>
      <c r="FI1593" s="59"/>
      <c r="FJ1593" s="59"/>
      <c r="FK1593" s="59"/>
      <c r="FL1593" s="59"/>
      <c r="FM1593" s="59"/>
      <c r="FN1593" s="59"/>
      <c r="FO1593" s="59"/>
      <c r="FP1593" s="59"/>
      <c r="FQ1593" s="59"/>
      <c r="FR1593" s="59"/>
      <c r="FS1593" s="59"/>
      <c r="FT1593" s="59"/>
      <c r="FU1593" s="59"/>
      <c r="FV1593" s="59"/>
      <c r="FW1593" s="59"/>
      <c r="FX1593" s="59"/>
      <c r="FY1593" s="59"/>
      <c r="FZ1593" s="59"/>
      <c r="GA1593" s="59"/>
      <c r="GB1593" s="59"/>
      <c r="GC1593" s="59"/>
    </row>
    <row r="1594">
      <c r="A1594" s="59"/>
      <c r="B1594" s="59"/>
      <c r="C1594" s="59"/>
      <c r="D1594" s="59"/>
      <c r="E1594" s="59"/>
      <c r="F1594" s="59"/>
      <c r="G1594" s="59"/>
      <c r="H1594" s="59"/>
      <c r="I1594" s="59"/>
      <c r="J1594" s="59"/>
      <c r="K1594" s="59"/>
      <c r="L1594" s="59"/>
      <c r="M1594" s="59"/>
      <c r="N1594" s="59"/>
      <c r="O1594" s="59"/>
      <c r="P1594" s="59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59"/>
      <c r="AI1594" s="59"/>
      <c r="AJ1594" s="59"/>
      <c r="AK1594" s="59"/>
      <c r="AL1594" s="59"/>
      <c r="AM1594" s="59"/>
      <c r="AN1594" s="59"/>
      <c r="AO1594" s="59"/>
      <c r="AP1594" s="59"/>
      <c r="AQ1594" s="59"/>
      <c r="AR1594" s="59"/>
      <c r="AS1594" s="59"/>
      <c r="AT1594" s="59"/>
      <c r="AU1594" s="59"/>
      <c r="AV1594" s="59"/>
      <c r="AW1594" s="59"/>
      <c r="AX1594" s="59"/>
      <c r="AY1594" s="59"/>
      <c r="AZ1594" s="59"/>
      <c r="BA1594" s="59"/>
      <c r="BB1594" s="59"/>
      <c r="BC1594" s="59"/>
      <c r="BD1594" s="59"/>
      <c r="BE1594" s="59"/>
      <c r="BF1594" s="59"/>
      <c r="BG1594" s="59"/>
      <c r="BH1594" s="59"/>
      <c r="BI1594" s="59"/>
      <c r="BJ1594" s="59"/>
      <c r="BK1594" s="59"/>
      <c r="BL1594" s="59"/>
      <c r="BM1594" s="59"/>
      <c r="BN1594" s="59"/>
      <c r="BO1594" s="59"/>
      <c r="BP1594" s="59"/>
      <c r="BQ1594" s="59"/>
      <c r="BR1594" s="59"/>
      <c r="BS1594" s="59"/>
      <c r="BT1594" s="59"/>
      <c r="BU1594" s="59"/>
      <c r="BV1594" s="59"/>
      <c r="BW1594" s="59"/>
      <c r="BX1594" s="59"/>
      <c r="BY1594" s="59"/>
      <c r="BZ1594" s="59"/>
      <c r="CA1594" s="59"/>
      <c r="CB1594" s="59"/>
      <c r="CC1594" s="59"/>
      <c r="CD1594" s="59"/>
      <c r="CE1594" s="59"/>
      <c r="CF1594" s="59"/>
      <c r="CG1594" s="59"/>
      <c r="CH1594" s="59"/>
      <c r="CI1594" s="59"/>
      <c r="CJ1594" s="59"/>
      <c r="CK1594" s="59"/>
      <c r="CL1594" s="59"/>
      <c r="CM1594" s="59"/>
      <c r="CN1594" s="59"/>
      <c r="CO1594" s="59"/>
      <c r="CP1594" s="59"/>
      <c r="CQ1594" s="59"/>
      <c r="CR1594" s="59"/>
      <c r="CS1594" s="59"/>
      <c r="CT1594" s="59"/>
      <c r="CU1594" s="59"/>
      <c r="CV1594" s="59"/>
      <c r="CW1594" s="59"/>
      <c r="CX1594" s="59"/>
      <c r="CY1594" s="59"/>
      <c r="CZ1594" s="59"/>
      <c r="DA1594" s="59"/>
      <c r="DB1594" s="59"/>
      <c r="DC1594" s="59"/>
      <c r="DD1594" s="59"/>
      <c r="DE1594" s="59"/>
      <c r="DF1594" s="59"/>
      <c r="DG1594" s="59"/>
      <c r="DH1594" s="59"/>
      <c r="DI1594" s="59"/>
      <c r="DJ1594" s="59"/>
      <c r="DK1594" s="59"/>
      <c r="DL1594" s="59"/>
      <c r="DM1594" s="59"/>
      <c r="DN1594" s="59"/>
      <c r="DO1594" s="59"/>
      <c r="DP1594" s="59"/>
      <c r="DQ1594" s="59"/>
      <c r="DR1594" s="59"/>
      <c r="DS1594" s="59"/>
      <c r="DT1594" s="59"/>
      <c r="DU1594" s="59"/>
      <c r="DV1594" s="59"/>
      <c r="DW1594" s="59"/>
      <c r="DX1594" s="59"/>
      <c r="DY1594" s="59"/>
      <c r="DZ1594" s="59"/>
      <c r="EA1594" s="59"/>
      <c r="EB1594" s="59"/>
      <c r="EC1594" s="59"/>
      <c r="ED1594" s="59"/>
      <c r="EE1594" s="59"/>
      <c r="EF1594" s="59"/>
      <c r="EG1594" s="59"/>
      <c r="EH1594" s="59"/>
      <c r="EI1594" s="59"/>
      <c r="EJ1594" s="59"/>
      <c r="EK1594" s="59"/>
      <c r="EL1594" s="59"/>
      <c r="EM1594" s="59"/>
      <c r="EN1594" s="59"/>
      <c r="EO1594" s="59"/>
      <c r="EP1594" s="59"/>
      <c r="EQ1594" s="59"/>
      <c r="ER1594" s="59"/>
      <c r="ES1594" s="59"/>
      <c r="ET1594" s="59"/>
      <c r="EU1594" s="59"/>
      <c r="EV1594" s="59"/>
      <c r="EW1594" s="59"/>
      <c r="EX1594" s="59"/>
      <c r="EY1594" s="59"/>
      <c r="EZ1594" s="59"/>
      <c r="FA1594" s="59"/>
      <c r="FB1594" s="59"/>
      <c r="FC1594" s="59"/>
      <c r="FD1594" s="59"/>
      <c r="FE1594" s="59"/>
      <c r="FF1594" s="59"/>
      <c r="FG1594" s="59"/>
      <c r="FH1594" s="59"/>
      <c r="FI1594" s="59"/>
      <c r="FJ1594" s="59"/>
      <c r="FK1594" s="59"/>
      <c r="FL1594" s="59"/>
      <c r="FM1594" s="59"/>
      <c r="FN1594" s="59"/>
      <c r="FO1594" s="59"/>
      <c r="FP1594" s="59"/>
      <c r="FQ1594" s="59"/>
      <c r="FR1594" s="59"/>
      <c r="FS1594" s="59"/>
      <c r="FT1594" s="59"/>
      <c r="FU1594" s="59"/>
      <c r="FV1594" s="59"/>
      <c r="FW1594" s="59"/>
      <c r="FX1594" s="59"/>
      <c r="FY1594" s="59"/>
      <c r="FZ1594" s="59"/>
      <c r="GA1594" s="59"/>
      <c r="GB1594" s="59"/>
      <c r="GC1594" s="59"/>
    </row>
    <row r="1595">
      <c r="A1595" s="59"/>
      <c r="B1595" s="59"/>
      <c r="C1595" s="59"/>
      <c r="D1595" s="59"/>
      <c r="E1595" s="59"/>
      <c r="F1595" s="59"/>
      <c r="G1595" s="59"/>
      <c r="H1595" s="59"/>
      <c r="I1595" s="59"/>
      <c r="J1595" s="59"/>
      <c r="K1595" s="59"/>
      <c r="L1595" s="59"/>
      <c r="M1595" s="59"/>
      <c r="N1595" s="59"/>
      <c r="O1595" s="59"/>
      <c r="P1595" s="59"/>
      <c r="Q1595" s="59"/>
      <c r="R1595" s="59"/>
      <c r="S1595" s="59"/>
      <c r="T1595" s="59"/>
      <c r="U1595" s="59"/>
      <c r="V1595" s="59"/>
      <c r="W1595" s="59"/>
      <c r="X1595" s="59"/>
      <c r="Y1595" s="59"/>
      <c r="Z1595" s="59"/>
      <c r="AA1595" s="59"/>
      <c r="AB1595" s="59"/>
      <c r="AC1595" s="59"/>
      <c r="AD1595" s="59"/>
      <c r="AE1595" s="59"/>
      <c r="AF1595" s="59"/>
      <c r="AG1595" s="59"/>
      <c r="AH1595" s="59"/>
      <c r="AI1595" s="59"/>
      <c r="AJ1595" s="59"/>
      <c r="AK1595" s="59"/>
      <c r="AL1595" s="59"/>
      <c r="AM1595" s="59"/>
      <c r="AN1595" s="59"/>
      <c r="AO1595" s="59"/>
      <c r="AP1595" s="59"/>
      <c r="AQ1595" s="59"/>
      <c r="AR1595" s="59"/>
      <c r="AS1595" s="59"/>
      <c r="AT1595" s="59"/>
      <c r="AU1595" s="59"/>
      <c r="AV1595" s="59"/>
      <c r="AW1595" s="59"/>
      <c r="AX1595" s="59"/>
      <c r="AY1595" s="59"/>
      <c r="AZ1595" s="59"/>
      <c r="BA1595" s="59"/>
      <c r="BB1595" s="59"/>
      <c r="BC1595" s="59"/>
      <c r="BD1595" s="59"/>
      <c r="BE1595" s="59"/>
      <c r="BF1595" s="59"/>
      <c r="BG1595" s="59"/>
      <c r="BH1595" s="59"/>
      <c r="BI1595" s="59"/>
      <c r="BJ1595" s="59"/>
      <c r="BK1595" s="59"/>
      <c r="BL1595" s="59"/>
      <c r="BM1595" s="59"/>
      <c r="BN1595" s="59"/>
      <c r="BO1595" s="59"/>
      <c r="BP1595" s="59"/>
      <c r="BQ1595" s="59"/>
      <c r="BR1595" s="59"/>
      <c r="BS1595" s="59"/>
      <c r="BT1595" s="59"/>
      <c r="BU1595" s="59"/>
      <c r="BV1595" s="59"/>
      <c r="BW1595" s="59"/>
      <c r="BX1595" s="59"/>
      <c r="BY1595" s="59"/>
      <c r="BZ1595" s="59"/>
      <c r="CA1595" s="59"/>
      <c r="CB1595" s="59"/>
      <c r="CC1595" s="59"/>
      <c r="CD1595" s="59"/>
      <c r="CE1595" s="59"/>
      <c r="CF1595" s="59"/>
      <c r="CG1595" s="59"/>
      <c r="CH1595" s="59"/>
      <c r="CI1595" s="59"/>
      <c r="CJ1595" s="59"/>
      <c r="CK1595" s="59"/>
      <c r="CL1595" s="59"/>
      <c r="CM1595" s="59"/>
      <c r="CN1595" s="59"/>
      <c r="CO1595" s="59"/>
      <c r="CP1595" s="59"/>
      <c r="CQ1595" s="59"/>
      <c r="CR1595" s="59"/>
      <c r="CS1595" s="59"/>
      <c r="CT1595" s="59"/>
      <c r="CU1595" s="59"/>
      <c r="CV1595" s="59"/>
      <c r="CW1595" s="59"/>
      <c r="CX1595" s="59"/>
      <c r="CY1595" s="59"/>
      <c r="CZ1595" s="59"/>
      <c r="DA1595" s="59"/>
      <c r="DB1595" s="59"/>
      <c r="DC1595" s="59"/>
      <c r="DD1595" s="59"/>
      <c r="DE1595" s="59"/>
      <c r="DF1595" s="59"/>
      <c r="DG1595" s="59"/>
      <c r="DH1595" s="59"/>
      <c r="DI1595" s="59"/>
      <c r="DJ1595" s="59"/>
      <c r="DK1595" s="59"/>
      <c r="DL1595" s="59"/>
      <c r="DM1595" s="59"/>
      <c r="DN1595" s="59"/>
      <c r="DO1595" s="59"/>
      <c r="DP1595" s="59"/>
      <c r="DQ1595" s="59"/>
      <c r="DR1595" s="59"/>
      <c r="DS1595" s="59"/>
      <c r="DT1595" s="59"/>
      <c r="DU1595" s="59"/>
      <c r="DV1595" s="59"/>
      <c r="DW1595" s="59"/>
      <c r="DX1595" s="59"/>
      <c r="DY1595" s="59"/>
      <c r="DZ1595" s="59"/>
      <c r="EA1595" s="59"/>
      <c r="EB1595" s="59"/>
      <c r="EC1595" s="59"/>
      <c r="ED1595" s="59"/>
      <c r="EE1595" s="59"/>
      <c r="EF1595" s="59"/>
      <c r="EG1595" s="59"/>
      <c r="EH1595" s="59"/>
      <c r="EI1595" s="59"/>
      <c r="EJ1595" s="59"/>
      <c r="EK1595" s="59"/>
      <c r="EL1595" s="59"/>
      <c r="EM1595" s="59"/>
      <c r="EN1595" s="59"/>
      <c r="EO1595" s="59"/>
      <c r="EP1595" s="59"/>
      <c r="EQ1595" s="59"/>
      <c r="ER1595" s="59"/>
      <c r="ES1595" s="59"/>
      <c r="ET1595" s="59"/>
      <c r="EU1595" s="59"/>
      <c r="EV1595" s="59"/>
      <c r="EW1595" s="59"/>
      <c r="EX1595" s="59"/>
      <c r="EY1595" s="59"/>
      <c r="EZ1595" s="59"/>
      <c r="FA1595" s="59"/>
      <c r="FB1595" s="59"/>
      <c r="FC1595" s="59"/>
      <c r="FD1595" s="59"/>
      <c r="FE1595" s="59"/>
      <c r="FF1595" s="59"/>
      <c r="FG1595" s="59"/>
      <c r="FH1595" s="59"/>
      <c r="FI1595" s="59"/>
      <c r="FJ1595" s="59"/>
      <c r="FK1595" s="59"/>
      <c r="FL1595" s="59"/>
      <c r="FM1595" s="59"/>
      <c r="FN1595" s="59"/>
      <c r="FO1595" s="59"/>
      <c r="FP1595" s="59"/>
      <c r="FQ1595" s="59"/>
      <c r="FR1595" s="59"/>
      <c r="FS1595" s="59"/>
      <c r="FT1595" s="59"/>
      <c r="FU1595" s="59"/>
      <c r="FV1595" s="59"/>
      <c r="FW1595" s="59"/>
      <c r="FX1595" s="59"/>
      <c r="FY1595" s="59"/>
      <c r="FZ1595" s="59"/>
      <c r="GA1595" s="59"/>
      <c r="GB1595" s="59"/>
      <c r="GC1595" s="59"/>
    </row>
    <row r="1596">
      <c r="A1596" s="59"/>
      <c r="B1596" s="59"/>
      <c r="C1596" s="59"/>
      <c r="D1596" s="59"/>
      <c r="E1596" s="59"/>
      <c r="F1596" s="59"/>
      <c r="G1596" s="59"/>
      <c r="H1596" s="59"/>
      <c r="I1596" s="59"/>
      <c r="J1596" s="59"/>
      <c r="K1596" s="59"/>
      <c r="L1596" s="59"/>
      <c r="M1596" s="59"/>
      <c r="N1596" s="59"/>
      <c r="O1596" s="59"/>
      <c r="P1596" s="59"/>
      <c r="Q1596" s="59"/>
      <c r="R1596" s="59"/>
      <c r="S1596" s="59"/>
      <c r="T1596" s="59"/>
      <c r="U1596" s="59"/>
      <c r="V1596" s="59"/>
      <c r="W1596" s="59"/>
      <c r="X1596" s="59"/>
      <c r="Y1596" s="59"/>
      <c r="Z1596" s="59"/>
      <c r="AA1596" s="59"/>
      <c r="AB1596" s="59"/>
      <c r="AC1596" s="59"/>
      <c r="AD1596" s="59"/>
      <c r="AE1596" s="59"/>
      <c r="AF1596" s="59"/>
      <c r="AG1596" s="59"/>
      <c r="AH1596" s="59"/>
      <c r="AI1596" s="59"/>
      <c r="AJ1596" s="59"/>
      <c r="AK1596" s="59"/>
      <c r="AL1596" s="59"/>
      <c r="AM1596" s="59"/>
      <c r="AN1596" s="59"/>
      <c r="AO1596" s="59"/>
      <c r="AP1596" s="59"/>
      <c r="AQ1596" s="59"/>
      <c r="AR1596" s="59"/>
      <c r="AS1596" s="59"/>
      <c r="AT1596" s="59"/>
      <c r="AU1596" s="59"/>
      <c r="AV1596" s="59"/>
      <c r="AW1596" s="59"/>
      <c r="AX1596" s="59"/>
      <c r="AY1596" s="59"/>
      <c r="AZ1596" s="59"/>
      <c r="BA1596" s="59"/>
      <c r="BB1596" s="59"/>
      <c r="BC1596" s="59"/>
      <c r="BD1596" s="59"/>
      <c r="BE1596" s="59"/>
      <c r="BF1596" s="59"/>
      <c r="BG1596" s="59"/>
      <c r="BH1596" s="59"/>
      <c r="BI1596" s="59"/>
      <c r="BJ1596" s="59"/>
      <c r="BK1596" s="59"/>
      <c r="BL1596" s="59"/>
      <c r="BM1596" s="59"/>
      <c r="BN1596" s="59"/>
      <c r="BO1596" s="59"/>
      <c r="BP1596" s="59"/>
      <c r="BQ1596" s="59"/>
      <c r="BR1596" s="59"/>
      <c r="BS1596" s="59"/>
      <c r="BT1596" s="59"/>
      <c r="BU1596" s="59"/>
      <c r="BV1596" s="59"/>
      <c r="BW1596" s="59"/>
      <c r="BX1596" s="59"/>
      <c r="BY1596" s="59"/>
      <c r="BZ1596" s="59"/>
      <c r="CA1596" s="59"/>
      <c r="CB1596" s="59"/>
      <c r="CC1596" s="59"/>
      <c r="CD1596" s="59"/>
      <c r="CE1596" s="59"/>
      <c r="CF1596" s="59"/>
      <c r="CG1596" s="59"/>
      <c r="CH1596" s="59"/>
      <c r="CI1596" s="59"/>
      <c r="CJ1596" s="59"/>
      <c r="CK1596" s="59"/>
      <c r="CL1596" s="59"/>
      <c r="CM1596" s="59"/>
      <c r="CN1596" s="59"/>
      <c r="CO1596" s="59"/>
      <c r="CP1596" s="59"/>
      <c r="CQ1596" s="59"/>
      <c r="CR1596" s="59"/>
      <c r="CS1596" s="59"/>
      <c r="CT1596" s="59"/>
      <c r="CU1596" s="59"/>
      <c r="CV1596" s="59"/>
      <c r="CW1596" s="59"/>
      <c r="CX1596" s="59"/>
      <c r="CY1596" s="59"/>
      <c r="CZ1596" s="59"/>
      <c r="DA1596" s="59"/>
      <c r="DB1596" s="59"/>
      <c r="DC1596" s="59"/>
      <c r="DD1596" s="59"/>
      <c r="DE1596" s="59"/>
      <c r="DF1596" s="59"/>
      <c r="DG1596" s="59"/>
      <c r="DH1596" s="59"/>
      <c r="DI1596" s="59"/>
      <c r="DJ1596" s="59"/>
      <c r="DK1596" s="59"/>
      <c r="DL1596" s="59"/>
      <c r="DM1596" s="59"/>
      <c r="DN1596" s="59"/>
      <c r="DO1596" s="59"/>
      <c r="DP1596" s="59"/>
      <c r="DQ1596" s="59"/>
      <c r="DR1596" s="59"/>
      <c r="DS1596" s="59"/>
      <c r="DT1596" s="59"/>
      <c r="DU1596" s="59"/>
      <c r="DV1596" s="59"/>
      <c r="DW1596" s="59"/>
      <c r="DX1596" s="59"/>
      <c r="DY1596" s="59"/>
      <c r="DZ1596" s="59"/>
      <c r="EA1596" s="59"/>
      <c r="EB1596" s="59"/>
      <c r="EC1596" s="59"/>
      <c r="ED1596" s="59"/>
      <c r="EE1596" s="59"/>
      <c r="EF1596" s="59"/>
      <c r="EG1596" s="59"/>
      <c r="EH1596" s="59"/>
      <c r="EI1596" s="59"/>
      <c r="EJ1596" s="59"/>
      <c r="EK1596" s="59"/>
      <c r="EL1596" s="59"/>
      <c r="EM1596" s="59"/>
      <c r="EN1596" s="59"/>
      <c r="EO1596" s="59"/>
      <c r="EP1596" s="59"/>
      <c r="EQ1596" s="59"/>
      <c r="ER1596" s="59"/>
      <c r="ES1596" s="59"/>
      <c r="ET1596" s="59"/>
      <c r="EU1596" s="59"/>
      <c r="EV1596" s="59"/>
      <c r="EW1596" s="59"/>
      <c r="EX1596" s="59"/>
      <c r="EY1596" s="59"/>
      <c r="EZ1596" s="59"/>
      <c r="FA1596" s="59"/>
      <c r="FB1596" s="59"/>
      <c r="FC1596" s="59"/>
      <c r="FD1596" s="59"/>
      <c r="FE1596" s="59"/>
      <c r="FF1596" s="59"/>
      <c r="FG1596" s="59"/>
      <c r="FH1596" s="59"/>
      <c r="FI1596" s="59"/>
      <c r="FJ1596" s="59"/>
      <c r="FK1596" s="59"/>
      <c r="FL1596" s="59"/>
      <c r="FM1596" s="59"/>
      <c r="FN1596" s="59"/>
      <c r="FO1596" s="59"/>
      <c r="FP1596" s="59"/>
      <c r="FQ1596" s="59"/>
      <c r="FR1596" s="59"/>
      <c r="FS1596" s="59"/>
      <c r="FT1596" s="59"/>
      <c r="FU1596" s="59"/>
      <c r="FV1596" s="59"/>
      <c r="FW1596" s="59"/>
      <c r="FX1596" s="59"/>
      <c r="FY1596" s="59"/>
      <c r="FZ1596" s="59"/>
      <c r="GA1596" s="59"/>
      <c r="GB1596" s="59"/>
      <c r="GC1596" s="59"/>
    </row>
    <row r="1597">
      <c r="A1597" s="59"/>
      <c r="B1597" s="59"/>
      <c r="C1597" s="59"/>
      <c r="D1597" s="59"/>
      <c r="E1597" s="59"/>
      <c r="F1597" s="59"/>
      <c r="G1597" s="59"/>
      <c r="H1597" s="59"/>
      <c r="I1597" s="59"/>
      <c r="J1597" s="59"/>
      <c r="K1597" s="59"/>
      <c r="L1597" s="59"/>
      <c r="M1597" s="59"/>
      <c r="N1597" s="59"/>
      <c r="O1597" s="59"/>
      <c r="P1597" s="59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59"/>
      <c r="AG1597" s="59"/>
      <c r="AH1597" s="59"/>
      <c r="AI1597" s="59"/>
      <c r="AJ1597" s="59"/>
      <c r="AK1597" s="59"/>
      <c r="AL1597" s="59"/>
      <c r="AM1597" s="59"/>
      <c r="AN1597" s="59"/>
      <c r="AO1597" s="59"/>
      <c r="AP1597" s="59"/>
      <c r="AQ1597" s="59"/>
      <c r="AR1597" s="59"/>
      <c r="AS1597" s="59"/>
      <c r="AT1597" s="59"/>
      <c r="AU1597" s="59"/>
      <c r="AV1597" s="59"/>
      <c r="AW1597" s="59"/>
      <c r="AX1597" s="59"/>
      <c r="AY1597" s="59"/>
      <c r="AZ1597" s="59"/>
      <c r="BA1597" s="59"/>
      <c r="BB1597" s="59"/>
      <c r="BC1597" s="59"/>
      <c r="BD1597" s="59"/>
      <c r="BE1597" s="59"/>
      <c r="BF1597" s="59"/>
      <c r="BG1597" s="59"/>
      <c r="BH1597" s="59"/>
      <c r="BI1597" s="59"/>
      <c r="BJ1597" s="59"/>
      <c r="BK1597" s="59"/>
      <c r="BL1597" s="59"/>
      <c r="BM1597" s="59"/>
      <c r="BN1597" s="59"/>
      <c r="BO1597" s="59"/>
      <c r="BP1597" s="59"/>
      <c r="BQ1597" s="59"/>
      <c r="BR1597" s="59"/>
      <c r="BS1597" s="59"/>
      <c r="BT1597" s="59"/>
      <c r="BU1597" s="59"/>
      <c r="BV1597" s="59"/>
      <c r="BW1597" s="59"/>
      <c r="BX1597" s="59"/>
      <c r="BY1597" s="59"/>
      <c r="BZ1597" s="59"/>
      <c r="CA1597" s="59"/>
      <c r="CB1597" s="59"/>
      <c r="CC1597" s="59"/>
      <c r="CD1597" s="59"/>
      <c r="CE1597" s="59"/>
      <c r="CF1597" s="59"/>
      <c r="CG1597" s="59"/>
      <c r="CH1597" s="59"/>
      <c r="CI1597" s="59"/>
      <c r="CJ1597" s="59"/>
      <c r="CK1597" s="59"/>
      <c r="CL1597" s="59"/>
      <c r="CM1597" s="59"/>
      <c r="CN1597" s="59"/>
      <c r="CO1597" s="59"/>
      <c r="CP1597" s="59"/>
      <c r="CQ1597" s="59"/>
      <c r="CR1597" s="59"/>
      <c r="CS1597" s="59"/>
      <c r="CT1597" s="59"/>
      <c r="CU1597" s="59"/>
      <c r="CV1597" s="59"/>
      <c r="CW1597" s="59"/>
      <c r="CX1597" s="59"/>
      <c r="CY1597" s="59"/>
      <c r="CZ1597" s="59"/>
      <c r="DA1597" s="59"/>
      <c r="DB1597" s="59"/>
      <c r="DC1597" s="59"/>
      <c r="DD1597" s="59"/>
      <c r="DE1597" s="59"/>
      <c r="DF1597" s="59"/>
      <c r="DG1597" s="59"/>
      <c r="DH1597" s="59"/>
      <c r="DI1597" s="59"/>
      <c r="DJ1597" s="59"/>
      <c r="DK1597" s="59"/>
      <c r="DL1597" s="59"/>
      <c r="DM1597" s="59"/>
      <c r="DN1597" s="59"/>
      <c r="DO1597" s="59"/>
      <c r="DP1597" s="59"/>
      <c r="DQ1597" s="59"/>
      <c r="DR1597" s="59"/>
      <c r="DS1597" s="59"/>
      <c r="DT1597" s="59"/>
      <c r="DU1597" s="59"/>
      <c r="DV1597" s="59"/>
      <c r="DW1597" s="59"/>
      <c r="DX1597" s="59"/>
      <c r="DY1597" s="59"/>
      <c r="DZ1597" s="59"/>
      <c r="EA1597" s="59"/>
      <c r="EB1597" s="59"/>
      <c r="EC1597" s="59"/>
      <c r="ED1597" s="59"/>
      <c r="EE1597" s="59"/>
      <c r="EF1597" s="59"/>
      <c r="EG1597" s="59"/>
      <c r="EH1597" s="59"/>
      <c r="EI1597" s="59"/>
      <c r="EJ1597" s="59"/>
      <c r="EK1597" s="59"/>
      <c r="EL1597" s="59"/>
      <c r="EM1597" s="59"/>
      <c r="EN1597" s="59"/>
      <c r="EO1597" s="59"/>
      <c r="EP1597" s="59"/>
      <c r="EQ1597" s="59"/>
      <c r="ER1597" s="59"/>
      <c r="ES1597" s="59"/>
      <c r="ET1597" s="59"/>
      <c r="EU1597" s="59"/>
      <c r="EV1597" s="59"/>
      <c r="EW1597" s="59"/>
      <c r="EX1597" s="59"/>
      <c r="EY1597" s="59"/>
      <c r="EZ1597" s="59"/>
      <c r="FA1597" s="59"/>
      <c r="FB1597" s="59"/>
      <c r="FC1597" s="59"/>
      <c r="FD1597" s="59"/>
      <c r="FE1597" s="59"/>
      <c r="FF1597" s="59"/>
      <c r="FG1597" s="59"/>
      <c r="FH1597" s="59"/>
      <c r="FI1597" s="59"/>
      <c r="FJ1597" s="59"/>
      <c r="FK1597" s="59"/>
      <c r="FL1597" s="59"/>
      <c r="FM1597" s="59"/>
      <c r="FN1597" s="59"/>
      <c r="FO1597" s="59"/>
      <c r="FP1597" s="59"/>
      <c r="FQ1597" s="59"/>
      <c r="FR1597" s="59"/>
      <c r="FS1597" s="59"/>
      <c r="FT1597" s="59"/>
      <c r="FU1597" s="59"/>
      <c r="FV1597" s="59"/>
      <c r="FW1597" s="59"/>
      <c r="FX1597" s="59"/>
      <c r="FY1597" s="59"/>
      <c r="FZ1597" s="59"/>
      <c r="GA1597" s="59"/>
      <c r="GB1597" s="59"/>
      <c r="GC1597" s="59"/>
    </row>
    <row r="1598">
      <c r="A1598" s="59"/>
      <c r="B1598" s="59"/>
      <c r="C1598" s="59"/>
      <c r="D1598" s="59"/>
      <c r="E1598" s="59"/>
      <c r="F1598" s="59"/>
      <c r="G1598" s="59"/>
      <c r="H1598" s="59"/>
      <c r="I1598" s="59"/>
      <c r="J1598" s="59"/>
      <c r="K1598" s="59"/>
      <c r="L1598" s="59"/>
      <c r="M1598" s="59"/>
      <c r="N1598" s="59"/>
      <c r="O1598" s="59"/>
      <c r="P1598" s="59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59"/>
      <c r="AG1598" s="59"/>
      <c r="AH1598" s="59"/>
      <c r="AI1598" s="59"/>
      <c r="AJ1598" s="59"/>
      <c r="AK1598" s="59"/>
      <c r="AL1598" s="59"/>
      <c r="AM1598" s="59"/>
      <c r="AN1598" s="59"/>
      <c r="AO1598" s="59"/>
      <c r="AP1598" s="59"/>
      <c r="AQ1598" s="59"/>
      <c r="AR1598" s="59"/>
      <c r="AS1598" s="59"/>
      <c r="AT1598" s="59"/>
      <c r="AU1598" s="59"/>
      <c r="AV1598" s="59"/>
      <c r="AW1598" s="59"/>
      <c r="AX1598" s="59"/>
      <c r="AY1598" s="59"/>
      <c r="AZ1598" s="59"/>
      <c r="BA1598" s="59"/>
      <c r="BB1598" s="59"/>
      <c r="BC1598" s="59"/>
      <c r="BD1598" s="59"/>
      <c r="BE1598" s="59"/>
      <c r="BF1598" s="59"/>
      <c r="BG1598" s="59"/>
      <c r="BH1598" s="59"/>
      <c r="BI1598" s="59"/>
      <c r="BJ1598" s="59"/>
      <c r="BK1598" s="59"/>
      <c r="BL1598" s="59"/>
      <c r="BM1598" s="59"/>
      <c r="BN1598" s="59"/>
      <c r="BO1598" s="59"/>
      <c r="BP1598" s="59"/>
      <c r="BQ1598" s="59"/>
      <c r="BR1598" s="59"/>
      <c r="BS1598" s="59"/>
      <c r="BT1598" s="59"/>
      <c r="BU1598" s="59"/>
      <c r="BV1598" s="59"/>
      <c r="BW1598" s="59"/>
      <c r="BX1598" s="59"/>
      <c r="BY1598" s="59"/>
      <c r="BZ1598" s="59"/>
      <c r="CA1598" s="59"/>
      <c r="CB1598" s="59"/>
      <c r="CC1598" s="59"/>
      <c r="CD1598" s="59"/>
      <c r="CE1598" s="59"/>
      <c r="CF1598" s="59"/>
      <c r="CG1598" s="59"/>
      <c r="CH1598" s="59"/>
      <c r="CI1598" s="59"/>
      <c r="CJ1598" s="59"/>
      <c r="CK1598" s="59"/>
      <c r="CL1598" s="59"/>
      <c r="CM1598" s="59"/>
      <c r="CN1598" s="59"/>
      <c r="CO1598" s="59"/>
      <c r="CP1598" s="59"/>
      <c r="CQ1598" s="59"/>
      <c r="CR1598" s="59"/>
      <c r="CS1598" s="59"/>
      <c r="CT1598" s="59"/>
      <c r="CU1598" s="59"/>
      <c r="CV1598" s="59"/>
      <c r="CW1598" s="59"/>
      <c r="CX1598" s="59"/>
      <c r="CY1598" s="59"/>
      <c r="CZ1598" s="59"/>
      <c r="DA1598" s="59"/>
      <c r="DB1598" s="59"/>
      <c r="DC1598" s="59"/>
      <c r="DD1598" s="59"/>
      <c r="DE1598" s="59"/>
      <c r="DF1598" s="59"/>
      <c r="DG1598" s="59"/>
      <c r="DH1598" s="59"/>
      <c r="DI1598" s="59"/>
      <c r="DJ1598" s="59"/>
      <c r="DK1598" s="59"/>
      <c r="DL1598" s="59"/>
      <c r="DM1598" s="59"/>
      <c r="DN1598" s="59"/>
      <c r="DO1598" s="59"/>
      <c r="DP1598" s="59"/>
      <c r="DQ1598" s="59"/>
      <c r="DR1598" s="59"/>
      <c r="DS1598" s="59"/>
      <c r="DT1598" s="59"/>
      <c r="DU1598" s="59"/>
      <c r="DV1598" s="59"/>
      <c r="DW1598" s="59"/>
      <c r="DX1598" s="59"/>
      <c r="DY1598" s="59"/>
      <c r="DZ1598" s="59"/>
      <c r="EA1598" s="59"/>
      <c r="EB1598" s="59"/>
      <c r="EC1598" s="59"/>
      <c r="ED1598" s="59"/>
      <c r="EE1598" s="59"/>
      <c r="EF1598" s="59"/>
      <c r="EG1598" s="59"/>
      <c r="EH1598" s="59"/>
      <c r="EI1598" s="59"/>
      <c r="EJ1598" s="59"/>
      <c r="EK1598" s="59"/>
      <c r="EL1598" s="59"/>
      <c r="EM1598" s="59"/>
      <c r="EN1598" s="59"/>
      <c r="EO1598" s="59"/>
      <c r="EP1598" s="59"/>
      <c r="EQ1598" s="59"/>
      <c r="ER1598" s="59"/>
      <c r="ES1598" s="59"/>
      <c r="ET1598" s="59"/>
      <c r="EU1598" s="59"/>
      <c r="EV1598" s="59"/>
      <c r="EW1598" s="59"/>
      <c r="EX1598" s="59"/>
      <c r="EY1598" s="59"/>
      <c r="EZ1598" s="59"/>
      <c r="FA1598" s="59"/>
      <c r="FB1598" s="59"/>
      <c r="FC1598" s="59"/>
      <c r="FD1598" s="59"/>
      <c r="FE1598" s="59"/>
      <c r="FF1598" s="59"/>
      <c r="FG1598" s="59"/>
      <c r="FH1598" s="59"/>
      <c r="FI1598" s="59"/>
      <c r="FJ1598" s="59"/>
      <c r="FK1598" s="59"/>
      <c r="FL1598" s="59"/>
      <c r="FM1598" s="59"/>
      <c r="FN1598" s="59"/>
      <c r="FO1598" s="59"/>
      <c r="FP1598" s="59"/>
      <c r="FQ1598" s="59"/>
      <c r="FR1598" s="59"/>
      <c r="FS1598" s="59"/>
      <c r="FT1598" s="59"/>
      <c r="FU1598" s="59"/>
      <c r="FV1598" s="59"/>
      <c r="FW1598" s="59"/>
      <c r="FX1598" s="59"/>
      <c r="FY1598" s="59"/>
      <c r="FZ1598" s="59"/>
      <c r="GA1598" s="59"/>
      <c r="GB1598" s="59"/>
      <c r="GC1598" s="59"/>
    </row>
    <row r="1599">
      <c r="A1599" s="59"/>
      <c r="B1599" s="59"/>
      <c r="C1599" s="59"/>
      <c r="D1599" s="59"/>
      <c r="E1599" s="59"/>
      <c r="F1599" s="59"/>
      <c r="G1599" s="59"/>
      <c r="H1599" s="59"/>
      <c r="I1599" s="59"/>
      <c r="J1599" s="59"/>
      <c r="K1599" s="59"/>
      <c r="L1599" s="59"/>
      <c r="M1599" s="59"/>
      <c r="N1599" s="59"/>
      <c r="O1599" s="59"/>
      <c r="P1599" s="59"/>
      <c r="Q1599" s="59"/>
      <c r="R1599" s="59"/>
      <c r="S1599" s="59"/>
      <c r="T1599" s="59"/>
      <c r="U1599" s="59"/>
      <c r="V1599" s="59"/>
      <c r="W1599" s="59"/>
      <c r="X1599" s="59"/>
      <c r="Y1599" s="59"/>
      <c r="Z1599" s="59"/>
      <c r="AA1599" s="59"/>
      <c r="AB1599" s="59"/>
      <c r="AC1599" s="59"/>
      <c r="AD1599" s="59"/>
      <c r="AE1599" s="59"/>
      <c r="AF1599" s="59"/>
      <c r="AG1599" s="59"/>
      <c r="AH1599" s="59"/>
      <c r="AI1599" s="59"/>
      <c r="AJ1599" s="59"/>
      <c r="AK1599" s="59"/>
      <c r="AL1599" s="59"/>
      <c r="AM1599" s="59"/>
      <c r="AN1599" s="59"/>
      <c r="AO1599" s="59"/>
      <c r="AP1599" s="59"/>
      <c r="AQ1599" s="59"/>
      <c r="AR1599" s="59"/>
      <c r="AS1599" s="59"/>
      <c r="AT1599" s="59"/>
      <c r="AU1599" s="59"/>
      <c r="AV1599" s="59"/>
      <c r="AW1599" s="59"/>
      <c r="AX1599" s="59"/>
      <c r="AY1599" s="59"/>
      <c r="AZ1599" s="59"/>
      <c r="BA1599" s="59"/>
      <c r="BB1599" s="59"/>
      <c r="BC1599" s="59"/>
      <c r="BD1599" s="59"/>
      <c r="BE1599" s="59"/>
      <c r="BF1599" s="59"/>
      <c r="BG1599" s="59"/>
      <c r="BH1599" s="59"/>
      <c r="BI1599" s="59"/>
      <c r="BJ1599" s="59"/>
      <c r="BK1599" s="59"/>
      <c r="BL1599" s="59"/>
      <c r="BM1599" s="59"/>
      <c r="BN1599" s="59"/>
      <c r="BO1599" s="59"/>
      <c r="BP1599" s="59"/>
      <c r="BQ1599" s="59"/>
      <c r="BR1599" s="59"/>
      <c r="BS1599" s="59"/>
      <c r="BT1599" s="59"/>
      <c r="BU1599" s="59"/>
      <c r="BV1599" s="59"/>
      <c r="BW1599" s="59"/>
      <c r="BX1599" s="59"/>
      <c r="BY1599" s="59"/>
      <c r="BZ1599" s="59"/>
      <c r="CA1599" s="59"/>
      <c r="CB1599" s="59"/>
      <c r="CC1599" s="59"/>
      <c r="CD1599" s="59"/>
      <c r="CE1599" s="59"/>
      <c r="CF1599" s="59"/>
      <c r="CG1599" s="59"/>
      <c r="CH1599" s="59"/>
      <c r="CI1599" s="59"/>
      <c r="CJ1599" s="59"/>
      <c r="CK1599" s="59"/>
      <c r="CL1599" s="59"/>
      <c r="CM1599" s="59"/>
      <c r="CN1599" s="59"/>
      <c r="CO1599" s="59"/>
      <c r="CP1599" s="59"/>
      <c r="CQ1599" s="59"/>
      <c r="CR1599" s="59"/>
      <c r="CS1599" s="59"/>
      <c r="CT1599" s="59"/>
      <c r="CU1599" s="59"/>
      <c r="CV1599" s="59"/>
      <c r="CW1599" s="59"/>
      <c r="CX1599" s="59"/>
      <c r="CY1599" s="59"/>
      <c r="CZ1599" s="59"/>
      <c r="DA1599" s="59"/>
      <c r="DB1599" s="59"/>
      <c r="DC1599" s="59"/>
      <c r="DD1599" s="59"/>
      <c r="DE1599" s="59"/>
      <c r="DF1599" s="59"/>
      <c r="DG1599" s="59"/>
      <c r="DH1599" s="59"/>
      <c r="DI1599" s="59"/>
      <c r="DJ1599" s="59"/>
      <c r="DK1599" s="59"/>
      <c r="DL1599" s="59"/>
      <c r="DM1599" s="59"/>
      <c r="DN1599" s="59"/>
      <c r="DO1599" s="59"/>
      <c r="DP1599" s="59"/>
      <c r="DQ1599" s="59"/>
      <c r="DR1599" s="59"/>
      <c r="DS1599" s="59"/>
      <c r="DT1599" s="59"/>
      <c r="DU1599" s="59"/>
      <c r="DV1599" s="59"/>
      <c r="DW1599" s="59"/>
      <c r="DX1599" s="59"/>
      <c r="DY1599" s="59"/>
      <c r="DZ1599" s="59"/>
      <c r="EA1599" s="59"/>
      <c r="EB1599" s="59"/>
      <c r="EC1599" s="59"/>
      <c r="ED1599" s="59"/>
      <c r="EE1599" s="59"/>
      <c r="EF1599" s="59"/>
      <c r="EG1599" s="59"/>
      <c r="EH1599" s="59"/>
      <c r="EI1599" s="59"/>
      <c r="EJ1599" s="59"/>
      <c r="EK1599" s="59"/>
      <c r="EL1599" s="59"/>
      <c r="EM1599" s="59"/>
      <c r="EN1599" s="59"/>
      <c r="EO1599" s="59"/>
      <c r="EP1599" s="59"/>
      <c r="EQ1599" s="59"/>
      <c r="ER1599" s="59"/>
      <c r="ES1599" s="59"/>
      <c r="ET1599" s="59"/>
      <c r="EU1599" s="59"/>
      <c r="EV1599" s="59"/>
      <c r="EW1599" s="59"/>
      <c r="EX1599" s="59"/>
      <c r="EY1599" s="59"/>
      <c r="EZ1599" s="59"/>
      <c r="FA1599" s="59"/>
      <c r="FB1599" s="59"/>
      <c r="FC1599" s="59"/>
      <c r="FD1599" s="59"/>
      <c r="FE1599" s="59"/>
      <c r="FF1599" s="59"/>
      <c r="FG1599" s="59"/>
      <c r="FH1599" s="59"/>
      <c r="FI1599" s="59"/>
      <c r="FJ1599" s="59"/>
      <c r="FK1599" s="59"/>
      <c r="FL1599" s="59"/>
      <c r="FM1599" s="59"/>
      <c r="FN1599" s="59"/>
      <c r="FO1599" s="59"/>
      <c r="FP1599" s="59"/>
      <c r="FQ1599" s="59"/>
      <c r="FR1599" s="59"/>
      <c r="FS1599" s="59"/>
      <c r="FT1599" s="59"/>
      <c r="FU1599" s="59"/>
      <c r="FV1599" s="59"/>
      <c r="FW1599" s="59"/>
      <c r="FX1599" s="59"/>
      <c r="FY1599" s="59"/>
      <c r="FZ1599" s="59"/>
      <c r="GA1599" s="59"/>
      <c r="GB1599" s="59"/>
      <c r="GC1599" s="59"/>
    </row>
    <row r="1600">
      <c r="A1600" s="59"/>
      <c r="B1600" s="59"/>
      <c r="C1600" s="59"/>
      <c r="D1600" s="59"/>
      <c r="E1600" s="59"/>
      <c r="F1600" s="59"/>
      <c r="G1600" s="59"/>
      <c r="H1600" s="59"/>
      <c r="I1600" s="59"/>
      <c r="J1600" s="59"/>
      <c r="K1600" s="59"/>
      <c r="L1600" s="59"/>
      <c r="M1600" s="59"/>
      <c r="N1600" s="59"/>
      <c r="O1600" s="59"/>
      <c r="P1600" s="59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59"/>
      <c r="AI1600" s="59"/>
      <c r="AJ1600" s="59"/>
      <c r="AK1600" s="59"/>
      <c r="AL1600" s="59"/>
      <c r="AM1600" s="59"/>
      <c r="AN1600" s="59"/>
      <c r="AO1600" s="59"/>
      <c r="AP1600" s="59"/>
      <c r="AQ1600" s="59"/>
      <c r="AR1600" s="59"/>
      <c r="AS1600" s="59"/>
      <c r="AT1600" s="59"/>
      <c r="AU1600" s="59"/>
      <c r="AV1600" s="59"/>
      <c r="AW1600" s="59"/>
      <c r="AX1600" s="59"/>
      <c r="AY1600" s="59"/>
      <c r="AZ1600" s="59"/>
      <c r="BA1600" s="59"/>
      <c r="BB1600" s="59"/>
      <c r="BC1600" s="59"/>
      <c r="BD1600" s="59"/>
      <c r="BE1600" s="59"/>
      <c r="BF1600" s="59"/>
      <c r="BG1600" s="59"/>
      <c r="BH1600" s="59"/>
      <c r="BI1600" s="59"/>
      <c r="BJ1600" s="59"/>
      <c r="BK1600" s="59"/>
      <c r="BL1600" s="59"/>
      <c r="BM1600" s="59"/>
      <c r="BN1600" s="59"/>
      <c r="BO1600" s="59"/>
      <c r="BP1600" s="59"/>
      <c r="BQ1600" s="59"/>
      <c r="BR1600" s="59"/>
      <c r="BS1600" s="59"/>
      <c r="BT1600" s="59"/>
      <c r="BU1600" s="59"/>
      <c r="BV1600" s="59"/>
      <c r="BW1600" s="59"/>
      <c r="BX1600" s="59"/>
      <c r="BY1600" s="59"/>
      <c r="BZ1600" s="59"/>
      <c r="CA1600" s="59"/>
      <c r="CB1600" s="59"/>
      <c r="CC1600" s="59"/>
      <c r="CD1600" s="59"/>
      <c r="CE1600" s="59"/>
      <c r="CF1600" s="59"/>
      <c r="CG1600" s="59"/>
      <c r="CH1600" s="59"/>
      <c r="CI1600" s="59"/>
      <c r="CJ1600" s="59"/>
      <c r="CK1600" s="59"/>
      <c r="CL1600" s="59"/>
      <c r="CM1600" s="59"/>
      <c r="CN1600" s="59"/>
      <c r="CO1600" s="59"/>
      <c r="CP1600" s="59"/>
      <c r="CQ1600" s="59"/>
      <c r="CR1600" s="59"/>
      <c r="CS1600" s="59"/>
      <c r="CT1600" s="59"/>
      <c r="CU1600" s="59"/>
      <c r="CV1600" s="59"/>
      <c r="CW1600" s="59"/>
      <c r="CX1600" s="59"/>
      <c r="CY1600" s="59"/>
      <c r="CZ1600" s="59"/>
      <c r="DA1600" s="59"/>
      <c r="DB1600" s="59"/>
      <c r="DC1600" s="59"/>
      <c r="DD1600" s="59"/>
      <c r="DE1600" s="59"/>
      <c r="DF1600" s="59"/>
      <c r="DG1600" s="59"/>
      <c r="DH1600" s="59"/>
      <c r="DI1600" s="59"/>
      <c r="DJ1600" s="59"/>
      <c r="DK1600" s="59"/>
      <c r="DL1600" s="59"/>
      <c r="DM1600" s="59"/>
      <c r="DN1600" s="59"/>
      <c r="DO1600" s="59"/>
      <c r="DP1600" s="59"/>
      <c r="DQ1600" s="59"/>
      <c r="DR1600" s="59"/>
      <c r="DS1600" s="59"/>
      <c r="DT1600" s="59"/>
      <c r="DU1600" s="59"/>
      <c r="DV1600" s="59"/>
      <c r="DW1600" s="59"/>
      <c r="DX1600" s="59"/>
      <c r="DY1600" s="59"/>
      <c r="DZ1600" s="59"/>
      <c r="EA1600" s="59"/>
      <c r="EB1600" s="59"/>
      <c r="EC1600" s="59"/>
      <c r="ED1600" s="59"/>
      <c r="EE1600" s="59"/>
      <c r="EF1600" s="59"/>
      <c r="EG1600" s="59"/>
      <c r="EH1600" s="59"/>
      <c r="EI1600" s="59"/>
      <c r="EJ1600" s="59"/>
      <c r="EK1600" s="59"/>
      <c r="EL1600" s="59"/>
      <c r="EM1600" s="59"/>
      <c r="EN1600" s="59"/>
      <c r="EO1600" s="59"/>
      <c r="EP1600" s="59"/>
      <c r="EQ1600" s="59"/>
      <c r="ER1600" s="59"/>
      <c r="ES1600" s="59"/>
      <c r="ET1600" s="59"/>
      <c r="EU1600" s="59"/>
      <c r="EV1600" s="59"/>
      <c r="EW1600" s="59"/>
      <c r="EX1600" s="59"/>
      <c r="EY1600" s="59"/>
      <c r="EZ1600" s="59"/>
      <c r="FA1600" s="59"/>
      <c r="FB1600" s="59"/>
      <c r="FC1600" s="59"/>
      <c r="FD1600" s="59"/>
      <c r="FE1600" s="59"/>
      <c r="FF1600" s="59"/>
      <c r="FG1600" s="59"/>
      <c r="FH1600" s="59"/>
      <c r="FI1600" s="59"/>
      <c r="FJ1600" s="59"/>
      <c r="FK1600" s="59"/>
      <c r="FL1600" s="59"/>
      <c r="FM1600" s="59"/>
      <c r="FN1600" s="59"/>
      <c r="FO1600" s="59"/>
      <c r="FP1600" s="59"/>
      <c r="FQ1600" s="59"/>
      <c r="FR1600" s="59"/>
      <c r="FS1600" s="59"/>
      <c r="FT1600" s="59"/>
      <c r="FU1600" s="59"/>
      <c r="FV1600" s="59"/>
      <c r="FW1600" s="59"/>
      <c r="FX1600" s="59"/>
      <c r="FY1600" s="59"/>
      <c r="FZ1600" s="59"/>
      <c r="GA1600" s="59"/>
      <c r="GB1600" s="59"/>
      <c r="GC1600" s="59"/>
    </row>
    <row r="1601">
      <c r="A1601" s="59"/>
      <c r="B1601" s="59"/>
      <c r="C1601" s="59"/>
      <c r="D1601" s="59"/>
      <c r="E1601" s="59"/>
      <c r="F1601" s="59"/>
      <c r="G1601" s="59"/>
      <c r="H1601" s="59"/>
      <c r="I1601" s="59"/>
      <c r="J1601" s="59"/>
      <c r="K1601" s="59"/>
      <c r="L1601" s="59"/>
      <c r="M1601" s="59"/>
      <c r="N1601" s="59"/>
      <c r="O1601" s="59"/>
      <c r="P1601" s="59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59"/>
      <c r="AI1601" s="59"/>
      <c r="AJ1601" s="59"/>
      <c r="AK1601" s="59"/>
      <c r="AL1601" s="59"/>
      <c r="AM1601" s="59"/>
      <c r="AN1601" s="59"/>
      <c r="AO1601" s="59"/>
      <c r="AP1601" s="59"/>
      <c r="AQ1601" s="59"/>
      <c r="AR1601" s="59"/>
      <c r="AS1601" s="59"/>
      <c r="AT1601" s="59"/>
      <c r="AU1601" s="59"/>
      <c r="AV1601" s="59"/>
      <c r="AW1601" s="59"/>
      <c r="AX1601" s="59"/>
      <c r="AY1601" s="59"/>
      <c r="AZ1601" s="59"/>
      <c r="BA1601" s="59"/>
      <c r="BB1601" s="59"/>
      <c r="BC1601" s="59"/>
      <c r="BD1601" s="59"/>
      <c r="BE1601" s="59"/>
      <c r="BF1601" s="59"/>
      <c r="BG1601" s="59"/>
      <c r="BH1601" s="59"/>
      <c r="BI1601" s="59"/>
      <c r="BJ1601" s="59"/>
      <c r="BK1601" s="59"/>
      <c r="BL1601" s="59"/>
      <c r="BM1601" s="59"/>
      <c r="BN1601" s="59"/>
      <c r="BO1601" s="59"/>
      <c r="BP1601" s="59"/>
      <c r="BQ1601" s="59"/>
      <c r="BR1601" s="59"/>
      <c r="BS1601" s="59"/>
      <c r="BT1601" s="59"/>
      <c r="BU1601" s="59"/>
      <c r="BV1601" s="59"/>
      <c r="BW1601" s="59"/>
      <c r="BX1601" s="59"/>
      <c r="BY1601" s="59"/>
      <c r="BZ1601" s="59"/>
      <c r="CA1601" s="59"/>
      <c r="CB1601" s="59"/>
      <c r="CC1601" s="59"/>
      <c r="CD1601" s="59"/>
      <c r="CE1601" s="59"/>
      <c r="CF1601" s="59"/>
      <c r="CG1601" s="59"/>
      <c r="CH1601" s="59"/>
      <c r="CI1601" s="59"/>
      <c r="CJ1601" s="59"/>
      <c r="CK1601" s="59"/>
      <c r="CL1601" s="59"/>
      <c r="CM1601" s="59"/>
      <c r="CN1601" s="59"/>
      <c r="CO1601" s="59"/>
      <c r="CP1601" s="59"/>
      <c r="CQ1601" s="59"/>
      <c r="CR1601" s="59"/>
      <c r="CS1601" s="59"/>
      <c r="CT1601" s="59"/>
      <c r="CU1601" s="59"/>
      <c r="CV1601" s="59"/>
      <c r="CW1601" s="59"/>
      <c r="CX1601" s="59"/>
      <c r="CY1601" s="59"/>
      <c r="CZ1601" s="59"/>
      <c r="DA1601" s="59"/>
      <c r="DB1601" s="59"/>
      <c r="DC1601" s="59"/>
      <c r="DD1601" s="59"/>
      <c r="DE1601" s="59"/>
      <c r="DF1601" s="59"/>
      <c r="DG1601" s="59"/>
      <c r="DH1601" s="59"/>
      <c r="DI1601" s="59"/>
      <c r="DJ1601" s="59"/>
      <c r="DK1601" s="59"/>
      <c r="DL1601" s="59"/>
      <c r="DM1601" s="59"/>
      <c r="DN1601" s="59"/>
      <c r="DO1601" s="59"/>
      <c r="DP1601" s="59"/>
      <c r="DQ1601" s="59"/>
      <c r="DR1601" s="59"/>
      <c r="DS1601" s="59"/>
      <c r="DT1601" s="59"/>
      <c r="DU1601" s="59"/>
      <c r="DV1601" s="59"/>
      <c r="DW1601" s="59"/>
      <c r="DX1601" s="59"/>
      <c r="DY1601" s="59"/>
      <c r="DZ1601" s="59"/>
      <c r="EA1601" s="59"/>
      <c r="EB1601" s="59"/>
      <c r="EC1601" s="59"/>
      <c r="ED1601" s="59"/>
      <c r="EE1601" s="59"/>
      <c r="EF1601" s="59"/>
      <c r="EG1601" s="59"/>
      <c r="EH1601" s="59"/>
      <c r="EI1601" s="59"/>
      <c r="EJ1601" s="59"/>
      <c r="EK1601" s="59"/>
      <c r="EL1601" s="59"/>
      <c r="EM1601" s="59"/>
      <c r="EN1601" s="59"/>
      <c r="EO1601" s="59"/>
      <c r="EP1601" s="59"/>
      <c r="EQ1601" s="59"/>
      <c r="ER1601" s="59"/>
      <c r="ES1601" s="59"/>
      <c r="ET1601" s="59"/>
      <c r="EU1601" s="59"/>
      <c r="EV1601" s="59"/>
      <c r="EW1601" s="59"/>
      <c r="EX1601" s="59"/>
      <c r="EY1601" s="59"/>
      <c r="EZ1601" s="59"/>
      <c r="FA1601" s="59"/>
      <c r="FB1601" s="59"/>
      <c r="FC1601" s="59"/>
      <c r="FD1601" s="59"/>
      <c r="FE1601" s="59"/>
      <c r="FF1601" s="59"/>
      <c r="FG1601" s="59"/>
      <c r="FH1601" s="59"/>
      <c r="FI1601" s="59"/>
      <c r="FJ1601" s="59"/>
      <c r="FK1601" s="59"/>
      <c r="FL1601" s="59"/>
      <c r="FM1601" s="59"/>
      <c r="FN1601" s="59"/>
      <c r="FO1601" s="59"/>
      <c r="FP1601" s="59"/>
      <c r="FQ1601" s="59"/>
      <c r="FR1601" s="59"/>
      <c r="FS1601" s="59"/>
      <c r="FT1601" s="59"/>
      <c r="FU1601" s="59"/>
      <c r="FV1601" s="59"/>
      <c r="FW1601" s="59"/>
      <c r="FX1601" s="59"/>
      <c r="FY1601" s="59"/>
      <c r="FZ1601" s="59"/>
      <c r="GA1601" s="59"/>
      <c r="GB1601" s="59"/>
      <c r="GC1601" s="59"/>
    </row>
    <row r="1602">
      <c r="A1602" s="59"/>
      <c r="B1602" s="59"/>
      <c r="C1602" s="59"/>
      <c r="D1602" s="59"/>
      <c r="E1602" s="59"/>
      <c r="F1602" s="59"/>
      <c r="G1602" s="59"/>
      <c r="H1602" s="59"/>
      <c r="I1602" s="59"/>
      <c r="J1602" s="59"/>
      <c r="K1602" s="59"/>
      <c r="L1602" s="59"/>
      <c r="M1602" s="59"/>
      <c r="N1602" s="59"/>
      <c r="O1602" s="59"/>
      <c r="P1602" s="59"/>
      <c r="Q1602" s="59"/>
      <c r="R1602" s="59"/>
      <c r="S1602" s="59"/>
      <c r="T1602" s="59"/>
      <c r="U1602" s="59"/>
      <c r="V1602" s="59"/>
      <c r="W1602" s="59"/>
      <c r="X1602" s="59"/>
      <c r="Y1602" s="59"/>
      <c r="Z1602" s="59"/>
      <c r="AA1602" s="59"/>
      <c r="AB1602" s="59"/>
      <c r="AC1602" s="59"/>
      <c r="AD1602" s="59"/>
      <c r="AE1602" s="59"/>
      <c r="AF1602" s="59"/>
      <c r="AG1602" s="59"/>
      <c r="AH1602" s="59"/>
      <c r="AI1602" s="59"/>
      <c r="AJ1602" s="59"/>
      <c r="AK1602" s="59"/>
      <c r="AL1602" s="59"/>
      <c r="AM1602" s="59"/>
      <c r="AN1602" s="59"/>
      <c r="AO1602" s="59"/>
      <c r="AP1602" s="59"/>
      <c r="AQ1602" s="59"/>
      <c r="AR1602" s="59"/>
      <c r="AS1602" s="59"/>
      <c r="AT1602" s="59"/>
      <c r="AU1602" s="59"/>
      <c r="AV1602" s="59"/>
      <c r="AW1602" s="59"/>
      <c r="AX1602" s="59"/>
      <c r="AY1602" s="59"/>
      <c r="AZ1602" s="59"/>
      <c r="BA1602" s="59"/>
      <c r="BB1602" s="59"/>
      <c r="BC1602" s="59"/>
      <c r="BD1602" s="59"/>
      <c r="BE1602" s="59"/>
      <c r="BF1602" s="59"/>
      <c r="BG1602" s="59"/>
      <c r="BH1602" s="59"/>
      <c r="BI1602" s="59"/>
      <c r="BJ1602" s="59"/>
      <c r="BK1602" s="59"/>
      <c r="BL1602" s="59"/>
      <c r="BM1602" s="59"/>
      <c r="BN1602" s="59"/>
      <c r="BO1602" s="59"/>
      <c r="BP1602" s="59"/>
      <c r="BQ1602" s="59"/>
      <c r="BR1602" s="59"/>
      <c r="BS1602" s="59"/>
      <c r="BT1602" s="59"/>
      <c r="BU1602" s="59"/>
      <c r="BV1602" s="59"/>
      <c r="BW1602" s="59"/>
      <c r="BX1602" s="59"/>
      <c r="BY1602" s="59"/>
      <c r="BZ1602" s="59"/>
      <c r="CA1602" s="59"/>
      <c r="CB1602" s="59"/>
      <c r="CC1602" s="59"/>
      <c r="CD1602" s="59"/>
      <c r="CE1602" s="59"/>
      <c r="CF1602" s="59"/>
      <c r="CG1602" s="59"/>
      <c r="CH1602" s="59"/>
      <c r="CI1602" s="59"/>
      <c r="CJ1602" s="59"/>
      <c r="CK1602" s="59"/>
      <c r="CL1602" s="59"/>
      <c r="CM1602" s="59"/>
      <c r="CN1602" s="59"/>
      <c r="CO1602" s="59"/>
      <c r="CP1602" s="59"/>
      <c r="CQ1602" s="59"/>
      <c r="CR1602" s="59"/>
      <c r="CS1602" s="59"/>
      <c r="CT1602" s="59"/>
      <c r="CU1602" s="59"/>
      <c r="CV1602" s="59"/>
      <c r="CW1602" s="59"/>
      <c r="CX1602" s="59"/>
      <c r="CY1602" s="59"/>
      <c r="CZ1602" s="59"/>
      <c r="DA1602" s="59"/>
      <c r="DB1602" s="59"/>
      <c r="DC1602" s="59"/>
      <c r="DD1602" s="59"/>
      <c r="DE1602" s="59"/>
      <c r="DF1602" s="59"/>
      <c r="DG1602" s="59"/>
      <c r="DH1602" s="59"/>
      <c r="DI1602" s="59"/>
      <c r="DJ1602" s="59"/>
      <c r="DK1602" s="59"/>
      <c r="DL1602" s="59"/>
      <c r="DM1602" s="59"/>
      <c r="DN1602" s="59"/>
      <c r="DO1602" s="59"/>
      <c r="DP1602" s="59"/>
      <c r="DQ1602" s="59"/>
      <c r="DR1602" s="59"/>
      <c r="DS1602" s="59"/>
      <c r="DT1602" s="59"/>
      <c r="DU1602" s="59"/>
      <c r="DV1602" s="59"/>
      <c r="DW1602" s="59"/>
      <c r="DX1602" s="59"/>
      <c r="DY1602" s="59"/>
      <c r="DZ1602" s="59"/>
      <c r="EA1602" s="59"/>
      <c r="EB1602" s="59"/>
      <c r="EC1602" s="59"/>
      <c r="ED1602" s="59"/>
      <c r="EE1602" s="59"/>
      <c r="EF1602" s="59"/>
      <c r="EG1602" s="59"/>
      <c r="EH1602" s="59"/>
      <c r="EI1602" s="59"/>
      <c r="EJ1602" s="59"/>
      <c r="EK1602" s="59"/>
      <c r="EL1602" s="59"/>
      <c r="EM1602" s="59"/>
      <c r="EN1602" s="59"/>
      <c r="EO1602" s="59"/>
      <c r="EP1602" s="59"/>
      <c r="EQ1602" s="59"/>
      <c r="ER1602" s="59"/>
      <c r="ES1602" s="59"/>
      <c r="ET1602" s="59"/>
      <c r="EU1602" s="59"/>
      <c r="EV1602" s="59"/>
      <c r="EW1602" s="59"/>
      <c r="EX1602" s="59"/>
      <c r="EY1602" s="59"/>
      <c r="EZ1602" s="59"/>
      <c r="FA1602" s="59"/>
      <c r="FB1602" s="59"/>
      <c r="FC1602" s="59"/>
      <c r="FD1602" s="59"/>
      <c r="FE1602" s="59"/>
      <c r="FF1602" s="59"/>
      <c r="FG1602" s="59"/>
      <c r="FH1602" s="59"/>
      <c r="FI1602" s="59"/>
      <c r="FJ1602" s="59"/>
      <c r="FK1602" s="59"/>
      <c r="FL1602" s="59"/>
      <c r="FM1602" s="59"/>
      <c r="FN1602" s="59"/>
      <c r="FO1602" s="59"/>
      <c r="FP1602" s="59"/>
      <c r="FQ1602" s="59"/>
      <c r="FR1602" s="59"/>
      <c r="FS1602" s="59"/>
      <c r="FT1602" s="59"/>
      <c r="FU1602" s="59"/>
      <c r="FV1602" s="59"/>
      <c r="FW1602" s="59"/>
      <c r="FX1602" s="59"/>
      <c r="FY1602" s="59"/>
      <c r="FZ1602" s="59"/>
      <c r="GA1602" s="59"/>
      <c r="GB1602" s="59"/>
      <c r="GC1602" s="59"/>
    </row>
    <row r="1603">
      <c r="A1603" s="59"/>
      <c r="B1603" s="59"/>
      <c r="C1603" s="59"/>
      <c r="D1603" s="59"/>
      <c r="E1603" s="59"/>
      <c r="F1603" s="59"/>
      <c r="G1603" s="59"/>
      <c r="H1603" s="59"/>
      <c r="I1603" s="59"/>
      <c r="J1603" s="59"/>
      <c r="K1603" s="59"/>
      <c r="L1603" s="59"/>
      <c r="M1603" s="59"/>
      <c r="N1603" s="59"/>
      <c r="O1603" s="59"/>
      <c r="P1603" s="59"/>
      <c r="Q1603" s="59"/>
      <c r="R1603" s="59"/>
      <c r="S1603" s="59"/>
      <c r="T1603" s="59"/>
      <c r="U1603" s="59"/>
      <c r="V1603" s="59"/>
      <c r="W1603" s="59"/>
      <c r="X1603" s="59"/>
      <c r="Y1603" s="59"/>
      <c r="Z1603" s="59"/>
      <c r="AA1603" s="59"/>
      <c r="AB1603" s="59"/>
      <c r="AC1603" s="59"/>
      <c r="AD1603" s="59"/>
      <c r="AE1603" s="59"/>
      <c r="AF1603" s="59"/>
      <c r="AG1603" s="59"/>
      <c r="AH1603" s="59"/>
      <c r="AI1603" s="59"/>
      <c r="AJ1603" s="59"/>
      <c r="AK1603" s="59"/>
      <c r="AL1603" s="59"/>
      <c r="AM1603" s="59"/>
      <c r="AN1603" s="59"/>
      <c r="AO1603" s="59"/>
      <c r="AP1603" s="59"/>
      <c r="AQ1603" s="59"/>
      <c r="AR1603" s="59"/>
      <c r="AS1603" s="59"/>
      <c r="AT1603" s="59"/>
      <c r="AU1603" s="59"/>
      <c r="AV1603" s="59"/>
      <c r="AW1603" s="59"/>
      <c r="AX1603" s="59"/>
      <c r="AY1603" s="59"/>
      <c r="AZ1603" s="59"/>
      <c r="BA1603" s="59"/>
      <c r="BB1603" s="59"/>
      <c r="BC1603" s="59"/>
      <c r="BD1603" s="59"/>
      <c r="BE1603" s="59"/>
      <c r="BF1603" s="59"/>
      <c r="BG1603" s="59"/>
      <c r="BH1603" s="59"/>
      <c r="BI1603" s="59"/>
      <c r="BJ1603" s="59"/>
      <c r="BK1603" s="59"/>
      <c r="BL1603" s="59"/>
      <c r="BM1603" s="59"/>
      <c r="BN1603" s="59"/>
      <c r="BO1603" s="59"/>
      <c r="BP1603" s="59"/>
      <c r="BQ1603" s="59"/>
      <c r="BR1603" s="59"/>
      <c r="BS1603" s="59"/>
      <c r="BT1603" s="59"/>
      <c r="BU1603" s="59"/>
      <c r="BV1603" s="59"/>
      <c r="BW1603" s="59"/>
      <c r="BX1603" s="59"/>
      <c r="BY1603" s="59"/>
      <c r="BZ1603" s="59"/>
      <c r="CA1603" s="59"/>
      <c r="CB1603" s="59"/>
      <c r="CC1603" s="59"/>
      <c r="CD1603" s="59"/>
      <c r="CE1603" s="59"/>
      <c r="CF1603" s="59"/>
      <c r="CG1603" s="59"/>
      <c r="CH1603" s="59"/>
      <c r="CI1603" s="59"/>
      <c r="CJ1603" s="59"/>
      <c r="CK1603" s="59"/>
      <c r="CL1603" s="59"/>
      <c r="CM1603" s="59"/>
      <c r="CN1603" s="59"/>
      <c r="CO1603" s="59"/>
      <c r="CP1603" s="59"/>
      <c r="CQ1603" s="59"/>
      <c r="CR1603" s="59"/>
      <c r="CS1603" s="59"/>
      <c r="CT1603" s="59"/>
      <c r="CU1603" s="59"/>
      <c r="CV1603" s="59"/>
      <c r="CW1603" s="59"/>
      <c r="CX1603" s="59"/>
      <c r="CY1603" s="59"/>
      <c r="CZ1603" s="59"/>
      <c r="DA1603" s="59"/>
      <c r="DB1603" s="59"/>
      <c r="DC1603" s="59"/>
      <c r="DD1603" s="59"/>
      <c r="DE1603" s="59"/>
      <c r="DF1603" s="59"/>
      <c r="DG1603" s="59"/>
      <c r="DH1603" s="59"/>
      <c r="DI1603" s="59"/>
      <c r="DJ1603" s="59"/>
      <c r="DK1603" s="59"/>
      <c r="DL1603" s="59"/>
      <c r="DM1603" s="59"/>
      <c r="DN1603" s="59"/>
      <c r="DO1603" s="59"/>
      <c r="DP1603" s="59"/>
      <c r="DQ1603" s="59"/>
      <c r="DR1603" s="59"/>
      <c r="DS1603" s="59"/>
      <c r="DT1603" s="59"/>
      <c r="DU1603" s="59"/>
      <c r="DV1603" s="59"/>
      <c r="DW1603" s="59"/>
      <c r="DX1603" s="59"/>
      <c r="DY1603" s="59"/>
      <c r="DZ1603" s="59"/>
      <c r="EA1603" s="59"/>
      <c r="EB1603" s="59"/>
      <c r="EC1603" s="59"/>
      <c r="ED1603" s="59"/>
      <c r="EE1603" s="59"/>
      <c r="EF1603" s="59"/>
      <c r="EG1603" s="59"/>
      <c r="EH1603" s="59"/>
      <c r="EI1603" s="59"/>
      <c r="EJ1603" s="59"/>
      <c r="EK1603" s="59"/>
      <c r="EL1603" s="59"/>
      <c r="EM1603" s="59"/>
      <c r="EN1603" s="59"/>
      <c r="EO1603" s="59"/>
      <c r="EP1603" s="59"/>
      <c r="EQ1603" s="59"/>
      <c r="ER1603" s="59"/>
      <c r="ES1603" s="59"/>
      <c r="ET1603" s="59"/>
      <c r="EU1603" s="59"/>
      <c r="EV1603" s="59"/>
      <c r="EW1603" s="59"/>
      <c r="EX1603" s="59"/>
      <c r="EY1603" s="59"/>
      <c r="EZ1603" s="59"/>
      <c r="FA1603" s="59"/>
      <c r="FB1603" s="59"/>
      <c r="FC1603" s="59"/>
      <c r="FD1603" s="59"/>
      <c r="FE1603" s="59"/>
      <c r="FF1603" s="59"/>
      <c r="FG1603" s="59"/>
      <c r="FH1603" s="59"/>
      <c r="FI1603" s="59"/>
      <c r="FJ1603" s="59"/>
      <c r="FK1603" s="59"/>
      <c r="FL1603" s="59"/>
      <c r="FM1603" s="59"/>
      <c r="FN1603" s="59"/>
      <c r="FO1603" s="59"/>
      <c r="FP1603" s="59"/>
      <c r="FQ1603" s="59"/>
      <c r="FR1603" s="59"/>
      <c r="FS1603" s="59"/>
      <c r="FT1603" s="59"/>
      <c r="FU1603" s="59"/>
      <c r="FV1603" s="59"/>
      <c r="FW1603" s="59"/>
      <c r="FX1603" s="59"/>
      <c r="FY1603" s="59"/>
      <c r="FZ1603" s="59"/>
      <c r="GA1603" s="59"/>
      <c r="GB1603" s="59"/>
      <c r="GC1603" s="59"/>
    </row>
    <row r="1604">
      <c r="A1604" s="59"/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59"/>
      <c r="P1604" s="59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  <c r="AH1604" s="59"/>
      <c r="AI1604" s="59"/>
      <c r="AJ1604" s="59"/>
      <c r="AK1604" s="59"/>
      <c r="AL1604" s="59"/>
      <c r="AM1604" s="59"/>
      <c r="AN1604" s="59"/>
      <c r="AO1604" s="59"/>
      <c r="AP1604" s="59"/>
      <c r="AQ1604" s="59"/>
      <c r="AR1604" s="59"/>
      <c r="AS1604" s="59"/>
      <c r="AT1604" s="59"/>
      <c r="AU1604" s="59"/>
      <c r="AV1604" s="59"/>
      <c r="AW1604" s="59"/>
      <c r="AX1604" s="59"/>
      <c r="AY1604" s="59"/>
      <c r="AZ1604" s="59"/>
      <c r="BA1604" s="59"/>
      <c r="BB1604" s="59"/>
      <c r="BC1604" s="59"/>
      <c r="BD1604" s="59"/>
      <c r="BE1604" s="59"/>
      <c r="BF1604" s="59"/>
      <c r="BG1604" s="59"/>
      <c r="BH1604" s="59"/>
      <c r="BI1604" s="59"/>
      <c r="BJ1604" s="59"/>
      <c r="BK1604" s="59"/>
      <c r="BL1604" s="59"/>
      <c r="BM1604" s="59"/>
      <c r="BN1604" s="59"/>
      <c r="BO1604" s="59"/>
      <c r="BP1604" s="59"/>
      <c r="BQ1604" s="59"/>
      <c r="BR1604" s="59"/>
      <c r="BS1604" s="59"/>
      <c r="BT1604" s="59"/>
      <c r="BU1604" s="59"/>
      <c r="BV1604" s="59"/>
      <c r="BW1604" s="59"/>
      <c r="BX1604" s="59"/>
      <c r="BY1604" s="59"/>
      <c r="BZ1604" s="59"/>
      <c r="CA1604" s="59"/>
      <c r="CB1604" s="59"/>
      <c r="CC1604" s="59"/>
      <c r="CD1604" s="59"/>
      <c r="CE1604" s="59"/>
      <c r="CF1604" s="59"/>
      <c r="CG1604" s="59"/>
      <c r="CH1604" s="59"/>
      <c r="CI1604" s="59"/>
      <c r="CJ1604" s="59"/>
      <c r="CK1604" s="59"/>
      <c r="CL1604" s="59"/>
      <c r="CM1604" s="59"/>
      <c r="CN1604" s="59"/>
      <c r="CO1604" s="59"/>
      <c r="CP1604" s="59"/>
      <c r="CQ1604" s="59"/>
      <c r="CR1604" s="59"/>
      <c r="CS1604" s="59"/>
      <c r="CT1604" s="59"/>
      <c r="CU1604" s="59"/>
      <c r="CV1604" s="59"/>
      <c r="CW1604" s="59"/>
      <c r="CX1604" s="59"/>
      <c r="CY1604" s="59"/>
      <c r="CZ1604" s="59"/>
      <c r="DA1604" s="59"/>
      <c r="DB1604" s="59"/>
      <c r="DC1604" s="59"/>
      <c r="DD1604" s="59"/>
      <c r="DE1604" s="59"/>
      <c r="DF1604" s="59"/>
      <c r="DG1604" s="59"/>
      <c r="DH1604" s="59"/>
      <c r="DI1604" s="59"/>
      <c r="DJ1604" s="59"/>
      <c r="DK1604" s="59"/>
      <c r="DL1604" s="59"/>
      <c r="DM1604" s="59"/>
      <c r="DN1604" s="59"/>
      <c r="DO1604" s="59"/>
      <c r="DP1604" s="59"/>
      <c r="DQ1604" s="59"/>
      <c r="DR1604" s="59"/>
      <c r="DS1604" s="59"/>
      <c r="DT1604" s="59"/>
      <c r="DU1604" s="59"/>
      <c r="DV1604" s="59"/>
      <c r="DW1604" s="59"/>
      <c r="DX1604" s="59"/>
      <c r="DY1604" s="59"/>
      <c r="DZ1604" s="59"/>
      <c r="EA1604" s="59"/>
      <c r="EB1604" s="59"/>
      <c r="EC1604" s="59"/>
      <c r="ED1604" s="59"/>
      <c r="EE1604" s="59"/>
      <c r="EF1604" s="59"/>
      <c r="EG1604" s="59"/>
      <c r="EH1604" s="59"/>
      <c r="EI1604" s="59"/>
      <c r="EJ1604" s="59"/>
      <c r="EK1604" s="59"/>
      <c r="EL1604" s="59"/>
      <c r="EM1604" s="59"/>
      <c r="EN1604" s="59"/>
      <c r="EO1604" s="59"/>
      <c r="EP1604" s="59"/>
      <c r="EQ1604" s="59"/>
      <c r="ER1604" s="59"/>
      <c r="ES1604" s="59"/>
      <c r="ET1604" s="59"/>
      <c r="EU1604" s="59"/>
      <c r="EV1604" s="59"/>
      <c r="EW1604" s="59"/>
      <c r="EX1604" s="59"/>
      <c r="EY1604" s="59"/>
      <c r="EZ1604" s="59"/>
      <c r="FA1604" s="59"/>
      <c r="FB1604" s="59"/>
      <c r="FC1604" s="59"/>
      <c r="FD1604" s="59"/>
      <c r="FE1604" s="59"/>
      <c r="FF1604" s="59"/>
      <c r="FG1604" s="59"/>
      <c r="FH1604" s="59"/>
      <c r="FI1604" s="59"/>
      <c r="FJ1604" s="59"/>
      <c r="FK1604" s="59"/>
      <c r="FL1604" s="59"/>
      <c r="FM1604" s="59"/>
      <c r="FN1604" s="59"/>
      <c r="FO1604" s="59"/>
      <c r="FP1604" s="59"/>
      <c r="FQ1604" s="59"/>
      <c r="FR1604" s="59"/>
      <c r="FS1604" s="59"/>
      <c r="FT1604" s="59"/>
      <c r="FU1604" s="59"/>
      <c r="FV1604" s="59"/>
      <c r="FW1604" s="59"/>
      <c r="FX1604" s="59"/>
      <c r="FY1604" s="59"/>
      <c r="FZ1604" s="59"/>
      <c r="GA1604" s="59"/>
      <c r="GB1604" s="59"/>
      <c r="GC1604" s="59"/>
    </row>
    <row r="1605">
      <c r="A1605" s="59"/>
      <c r="B1605" s="59"/>
      <c r="C1605" s="59"/>
      <c r="D1605" s="59"/>
      <c r="E1605" s="59"/>
      <c r="F1605" s="59"/>
      <c r="G1605" s="59"/>
      <c r="H1605" s="59"/>
      <c r="I1605" s="59"/>
      <c r="J1605" s="59"/>
      <c r="K1605" s="59"/>
      <c r="L1605" s="59"/>
      <c r="M1605" s="59"/>
      <c r="N1605" s="59"/>
      <c r="O1605" s="59"/>
      <c r="P1605" s="59"/>
      <c r="Q1605" s="59"/>
      <c r="R1605" s="59"/>
      <c r="S1605" s="59"/>
      <c r="T1605" s="59"/>
      <c r="U1605" s="59"/>
      <c r="V1605" s="59"/>
      <c r="W1605" s="59"/>
      <c r="X1605" s="59"/>
      <c r="Y1605" s="59"/>
      <c r="Z1605" s="59"/>
      <c r="AA1605" s="59"/>
      <c r="AB1605" s="59"/>
      <c r="AC1605" s="59"/>
      <c r="AD1605" s="59"/>
      <c r="AE1605" s="59"/>
      <c r="AF1605" s="59"/>
      <c r="AG1605" s="59"/>
      <c r="AH1605" s="59"/>
      <c r="AI1605" s="59"/>
      <c r="AJ1605" s="59"/>
      <c r="AK1605" s="59"/>
      <c r="AL1605" s="59"/>
      <c r="AM1605" s="59"/>
      <c r="AN1605" s="59"/>
      <c r="AO1605" s="59"/>
      <c r="AP1605" s="59"/>
      <c r="AQ1605" s="59"/>
      <c r="AR1605" s="59"/>
      <c r="AS1605" s="59"/>
      <c r="AT1605" s="59"/>
      <c r="AU1605" s="59"/>
      <c r="AV1605" s="59"/>
      <c r="AW1605" s="59"/>
      <c r="AX1605" s="59"/>
      <c r="AY1605" s="59"/>
      <c r="AZ1605" s="59"/>
      <c r="BA1605" s="59"/>
      <c r="BB1605" s="59"/>
      <c r="BC1605" s="59"/>
      <c r="BD1605" s="59"/>
      <c r="BE1605" s="59"/>
      <c r="BF1605" s="59"/>
      <c r="BG1605" s="59"/>
      <c r="BH1605" s="59"/>
      <c r="BI1605" s="59"/>
      <c r="BJ1605" s="59"/>
      <c r="BK1605" s="59"/>
      <c r="BL1605" s="59"/>
      <c r="BM1605" s="59"/>
      <c r="BN1605" s="59"/>
      <c r="BO1605" s="59"/>
      <c r="BP1605" s="59"/>
      <c r="BQ1605" s="59"/>
      <c r="BR1605" s="59"/>
      <c r="BS1605" s="59"/>
      <c r="BT1605" s="59"/>
      <c r="BU1605" s="59"/>
      <c r="BV1605" s="59"/>
      <c r="BW1605" s="59"/>
      <c r="BX1605" s="59"/>
      <c r="BY1605" s="59"/>
      <c r="BZ1605" s="59"/>
      <c r="CA1605" s="59"/>
      <c r="CB1605" s="59"/>
      <c r="CC1605" s="59"/>
      <c r="CD1605" s="59"/>
      <c r="CE1605" s="59"/>
      <c r="CF1605" s="59"/>
      <c r="CG1605" s="59"/>
      <c r="CH1605" s="59"/>
      <c r="CI1605" s="59"/>
      <c r="CJ1605" s="59"/>
      <c r="CK1605" s="59"/>
      <c r="CL1605" s="59"/>
      <c r="CM1605" s="59"/>
      <c r="CN1605" s="59"/>
      <c r="CO1605" s="59"/>
      <c r="CP1605" s="59"/>
      <c r="CQ1605" s="59"/>
      <c r="CR1605" s="59"/>
      <c r="CS1605" s="59"/>
      <c r="CT1605" s="59"/>
      <c r="CU1605" s="59"/>
      <c r="CV1605" s="59"/>
      <c r="CW1605" s="59"/>
      <c r="CX1605" s="59"/>
      <c r="CY1605" s="59"/>
      <c r="CZ1605" s="59"/>
      <c r="DA1605" s="59"/>
      <c r="DB1605" s="59"/>
      <c r="DC1605" s="59"/>
      <c r="DD1605" s="59"/>
      <c r="DE1605" s="59"/>
      <c r="DF1605" s="59"/>
      <c r="DG1605" s="59"/>
      <c r="DH1605" s="59"/>
      <c r="DI1605" s="59"/>
      <c r="DJ1605" s="59"/>
      <c r="DK1605" s="59"/>
      <c r="DL1605" s="59"/>
      <c r="DM1605" s="59"/>
      <c r="DN1605" s="59"/>
      <c r="DO1605" s="59"/>
      <c r="DP1605" s="59"/>
      <c r="DQ1605" s="59"/>
      <c r="DR1605" s="59"/>
      <c r="DS1605" s="59"/>
      <c r="DT1605" s="59"/>
      <c r="DU1605" s="59"/>
      <c r="DV1605" s="59"/>
      <c r="DW1605" s="59"/>
      <c r="DX1605" s="59"/>
      <c r="DY1605" s="59"/>
      <c r="DZ1605" s="59"/>
      <c r="EA1605" s="59"/>
      <c r="EB1605" s="59"/>
      <c r="EC1605" s="59"/>
      <c r="ED1605" s="59"/>
      <c r="EE1605" s="59"/>
      <c r="EF1605" s="59"/>
      <c r="EG1605" s="59"/>
      <c r="EH1605" s="59"/>
      <c r="EI1605" s="59"/>
      <c r="EJ1605" s="59"/>
      <c r="EK1605" s="59"/>
      <c r="EL1605" s="59"/>
      <c r="EM1605" s="59"/>
      <c r="EN1605" s="59"/>
      <c r="EO1605" s="59"/>
      <c r="EP1605" s="59"/>
      <c r="EQ1605" s="59"/>
      <c r="ER1605" s="59"/>
      <c r="ES1605" s="59"/>
      <c r="ET1605" s="59"/>
      <c r="EU1605" s="59"/>
      <c r="EV1605" s="59"/>
      <c r="EW1605" s="59"/>
      <c r="EX1605" s="59"/>
      <c r="EY1605" s="59"/>
      <c r="EZ1605" s="59"/>
      <c r="FA1605" s="59"/>
      <c r="FB1605" s="59"/>
      <c r="FC1605" s="59"/>
      <c r="FD1605" s="59"/>
      <c r="FE1605" s="59"/>
      <c r="FF1605" s="59"/>
      <c r="FG1605" s="59"/>
      <c r="FH1605" s="59"/>
      <c r="FI1605" s="59"/>
      <c r="FJ1605" s="59"/>
      <c r="FK1605" s="59"/>
      <c r="FL1605" s="59"/>
      <c r="FM1605" s="59"/>
      <c r="FN1605" s="59"/>
      <c r="FO1605" s="59"/>
      <c r="FP1605" s="59"/>
      <c r="FQ1605" s="59"/>
      <c r="FR1605" s="59"/>
      <c r="FS1605" s="59"/>
      <c r="FT1605" s="59"/>
      <c r="FU1605" s="59"/>
      <c r="FV1605" s="59"/>
      <c r="FW1605" s="59"/>
      <c r="FX1605" s="59"/>
      <c r="FY1605" s="59"/>
      <c r="FZ1605" s="59"/>
      <c r="GA1605" s="59"/>
      <c r="GB1605" s="59"/>
      <c r="GC1605" s="59"/>
    </row>
    <row r="1606">
      <c r="A1606" s="59"/>
      <c r="B1606" s="59"/>
      <c r="C1606" s="59"/>
      <c r="D1606" s="59"/>
      <c r="E1606" s="59"/>
      <c r="F1606" s="59"/>
      <c r="G1606" s="59"/>
      <c r="H1606" s="59"/>
      <c r="I1606" s="59"/>
      <c r="J1606" s="59"/>
      <c r="K1606" s="59"/>
      <c r="L1606" s="59"/>
      <c r="M1606" s="59"/>
      <c r="N1606" s="59"/>
      <c r="O1606" s="59"/>
      <c r="P1606" s="59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59"/>
      <c r="AI1606" s="59"/>
      <c r="AJ1606" s="59"/>
      <c r="AK1606" s="59"/>
      <c r="AL1606" s="59"/>
      <c r="AM1606" s="59"/>
      <c r="AN1606" s="59"/>
      <c r="AO1606" s="59"/>
      <c r="AP1606" s="59"/>
      <c r="AQ1606" s="59"/>
      <c r="AR1606" s="59"/>
      <c r="AS1606" s="59"/>
      <c r="AT1606" s="59"/>
      <c r="AU1606" s="59"/>
      <c r="AV1606" s="59"/>
      <c r="AW1606" s="59"/>
      <c r="AX1606" s="59"/>
      <c r="AY1606" s="59"/>
      <c r="AZ1606" s="59"/>
      <c r="BA1606" s="59"/>
      <c r="BB1606" s="59"/>
      <c r="BC1606" s="59"/>
      <c r="BD1606" s="59"/>
      <c r="BE1606" s="59"/>
      <c r="BF1606" s="59"/>
      <c r="BG1606" s="59"/>
      <c r="BH1606" s="59"/>
      <c r="BI1606" s="59"/>
      <c r="BJ1606" s="59"/>
      <c r="BK1606" s="59"/>
      <c r="BL1606" s="59"/>
      <c r="BM1606" s="59"/>
      <c r="BN1606" s="59"/>
      <c r="BO1606" s="59"/>
      <c r="BP1606" s="59"/>
      <c r="BQ1606" s="59"/>
      <c r="BR1606" s="59"/>
      <c r="BS1606" s="59"/>
      <c r="BT1606" s="59"/>
      <c r="BU1606" s="59"/>
      <c r="BV1606" s="59"/>
      <c r="BW1606" s="59"/>
      <c r="BX1606" s="59"/>
      <c r="BY1606" s="59"/>
      <c r="BZ1606" s="59"/>
      <c r="CA1606" s="59"/>
      <c r="CB1606" s="59"/>
      <c r="CC1606" s="59"/>
      <c r="CD1606" s="59"/>
      <c r="CE1606" s="59"/>
      <c r="CF1606" s="59"/>
      <c r="CG1606" s="59"/>
      <c r="CH1606" s="59"/>
      <c r="CI1606" s="59"/>
      <c r="CJ1606" s="59"/>
      <c r="CK1606" s="59"/>
      <c r="CL1606" s="59"/>
      <c r="CM1606" s="59"/>
      <c r="CN1606" s="59"/>
      <c r="CO1606" s="59"/>
      <c r="CP1606" s="59"/>
      <c r="CQ1606" s="59"/>
      <c r="CR1606" s="59"/>
      <c r="CS1606" s="59"/>
      <c r="CT1606" s="59"/>
      <c r="CU1606" s="59"/>
      <c r="CV1606" s="59"/>
      <c r="CW1606" s="59"/>
      <c r="CX1606" s="59"/>
      <c r="CY1606" s="59"/>
      <c r="CZ1606" s="59"/>
      <c r="DA1606" s="59"/>
      <c r="DB1606" s="59"/>
      <c r="DC1606" s="59"/>
      <c r="DD1606" s="59"/>
      <c r="DE1606" s="59"/>
      <c r="DF1606" s="59"/>
      <c r="DG1606" s="59"/>
      <c r="DH1606" s="59"/>
      <c r="DI1606" s="59"/>
      <c r="DJ1606" s="59"/>
      <c r="DK1606" s="59"/>
      <c r="DL1606" s="59"/>
      <c r="DM1606" s="59"/>
      <c r="DN1606" s="59"/>
      <c r="DO1606" s="59"/>
      <c r="DP1606" s="59"/>
      <c r="DQ1606" s="59"/>
      <c r="DR1606" s="59"/>
      <c r="DS1606" s="59"/>
      <c r="DT1606" s="59"/>
      <c r="DU1606" s="59"/>
      <c r="DV1606" s="59"/>
      <c r="DW1606" s="59"/>
      <c r="DX1606" s="59"/>
      <c r="DY1606" s="59"/>
      <c r="DZ1606" s="59"/>
      <c r="EA1606" s="59"/>
      <c r="EB1606" s="59"/>
      <c r="EC1606" s="59"/>
      <c r="ED1606" s="59"/>
      <c r="EE1606" s="59"/>
      <c r="EF1606" s="59"/>
      <c r="EG1606" s="59"/>
      <c r="EH1606" s="59"/>
      <c r="EI1606" s="59"/>
      <c r="EJ1606" s="59"/>
      <c r="EK1606" s="59"/>
      <c r="EL1606" s="59"/>
      <c r="EM1606" s="59"/>
      <c r="EN1606" s="59"/>
      <c r="EO1606" s="59"/>
      <c r="EP1606" s="59"/>
      <c r="EQ1606" s="59"/>
      <c r="ER1606" s="59"/>
      <c r="ES1606" s="59"/>
      <c r="ET1606" s="59"/>
      <c r="EU1606" s="59"/>
      <c r="EV1606" s="59"/>
      <c r="EW1606" s="59"/>
      <c r="EX1606" s="59"/>
      <c r="EY1606" s="59"/>
      <c r="EZ1606" s="59"/>
      <c r="FA1606" s="59"/>
      <c r="FB1606" s="59"/>
      <c r="FC1606" s="59"/>
      <c r="FD1606" s="59"/>
      <c r="FE1606" s="59"/>
      <c r="FF1606" s="59"/>
      <c r="FG1606" s="59"/>
      <c r="FH1606" s="59"/>
      <c r="FI1606" s="59"/>
      <c r="FJ1606" s="59"/>
      <c r="FK1606" s="59"/>
      <c r="FL1606" s="59"/>
      <c r="FM1606" s="59"/>
      <c r="FN1606" s="59"/>
      <c r="FO1606" s="59"/>
      <c r="FP1606" s="59"/>
      <c r="FQ1606" s="59"/>
      <c r="FR1606" s="59"/>
      <c r="FS1606" s="59"/>
      <c r="FT1606" s="59"/>
      <c r="FU1606" s="59"/>
      <c r="FV1606" s="59"/>
      <c r="FW1606" s="59"/>
      <c r="FX1606" s="59"/>
      <c r="FY1606" s="59"/>
      <c r="FZ1606" s="59"/>
      <c r="GA1606" s="59"/>
      <c r="GB1606" s="59"/>
      <c r="GC1606" s="59"/>
    </row>
    <row r="1607">
      <c r="A1607" s="59"/>
      <c r="B1607" s="59"/>
      <c r="C1607" s="59"/>
      <c r="D1607" s="59"/>
      <c r="E1607" s="59"/>
      <c r="F1607" s="59"/>
      <c r="G1607" s="59"/>
      <c r="H1607" s="59"/>
      <c r="I1607" s="59"/>
      <c r="J1607" s="59"/>
      <c r="K1607" s="59"/>
      <c r="L1607" s="59"/>
      <c r="M1607" s="59"/>
      <c r="N1607" s="59"/>
      <c r="O1607" s="59"/>
      <c r="P1607" s="59"/>
      <c r="Q1607" s="59"/>
      <c r="R1607" s="59"/>
      <c r="S1607" s="59"/>
      <c r="T1607" s="59"/>
      <c r="U1607" s="59"/>
      <c r="V1607" s="59"/>
      <c r="W1607" s="59"/>
      <c r="X1607" s="59"/>
      <c r="Y1607" s="59"/>
      <c r="Z1607" s="59"/>
      <c r="AA1607" s="59"/>
      <c r="AB1607" s="59"/>
      <c r="AC1607" s="59"/>
      <c r="AD1607" s="59"/>
      <c r="AE1607" s="59"/>
      <c r="AF1607" s="59"/>
      <c r="AG1607" s="59"/>
      <c r="AH1607" s="59"/>
      <c r="AI1607" s="59"/>
      <c r="AJ1607" s="59"/>
      <c r="AK1607" s="59"/>
      <c r="AL1607" s="59"/>
      <c r="AM1607" s="59"/>
      <c r="AN1607" s="59"/>
      <c r="AO1607" s="59"/>
      <c r="AP1607" s="59"/>
      <c r="AQ1607" s="59"/>
      <c r="AR1607" s="59"/>
      <c r="AS1607" s="59"/>
      <c r="AT1607" s="59"/>
      <c r="AU1607" s="59"/>
      <c r="AV1607" s="59"/>
      <c r="AW1607" s="59"/>
      <c r="AX1607" s="59"/>
      <c r="AY1607" s="59"/>
      <c r="AZ1607" s="59"/>
      <c r="BA1607" s="59"/>
      <c r="BB1607" s="59"/>
      <c r="BC1607" s="59"/>
      <c r="BD1607" s="59"/>
      <c r="BE1607" s="59"/>
      <c r="BF1607" s="59"/>
      <c r="BG1607" s="59"/>
      <c r="BH1607" s="59"/>
      <c r="BI1607" s="59"/>
      <c r="BJ1607" s="59"/>
      <c r="BK1607" s="59"/>
      <c r="BL1607" s="59"/>
      <c r="BM1607" s="59"/>
      <c r="BN1607" s="59"/>
      <c r="BO1607" s="59"/>
      <c r="BP1607" s="59"/>
      <c r="BQ1607" s="59"/>
      <c r="BR1607" s="59"/>
      <c r="BS1607" s="59"/>
      <c r="BT1607" s="59"/>
      <c r="BU1607" s="59"/>
      <c r="BV1607" s="59"/>
      <c r="BW1607" s="59"/>
      <c r="BX1607" s="59"/>
      <c r="BY1607" s="59"/>
      <c r="BZ1607" s="59"/>
      <c r="CA1607" s="59"/>
      <c r="CB1607" s="59"/>
      <c r="CC1607" s="59"/>
      <c r="CD1607" s="59"/>
      <c r="CE1607" s="59"/>
      <c r="CF1607" s="59"/>
      <c r="CG1607" s="59"/>
      <c r="CH1607" s="59"/>
      <c r="CI1607" s="59"/>
      <c r="CJ1607" s="59"/>
      <c r="CK1607" s="59"/>
      <c r="CL1607" s="59"/>
      <c r="CM1607" s="59"/>
      <c r="CN1607" s="59"/>
      <c r="CO1607" s="59"/>
      <c r="CP1607" s="59"/>
      <c r="CQ1607" s="59"/>
      <c r="CR1607" s="59"/>
      <c r="CS1607" s="59"/>
      <c r="CT1607" s="59"/>
      <c r="CU1607" s="59"/>
      <c r="CV1607" s="59"/>
      <c r="CW1607" s="59"/>
      <c r="CX1607" s="59"/>
      <c r="CY1607" s="59"/>
      <c r="CZ1607" s="59"/>
      <c r="DA1607" s="59"/>
      <c r="DB1607" s="59"/>
      <c r="DC1607" s="59"/>
      <c r="DD1607" s="59"/>
      <c r="DE1607" s="59"/>
      <c r="DF1607" s="59"/>
      <c r="DG1607" s="59"/>
      <c r="DH1607" s="59"/>
      <c r="DI1607" s="59"/>
      <c r="DJ1607" s="59"/>
      <c r="DK1607" s="59"/>
      <c r="DL1607" s="59"/>
      <c r="DM1607" s="59"/>
      <c r="DN1607" s="59"/>
      <c r="DO1607" s="59"/>
      <c r="DP1607" s="59"/>
      <c r="DQ1607" s="59"/>
      <c r="DR1607" s="59"/>
      <c r="DS1607" s="59"/>
      <c r="DT1607" s="59"/>
      <c r="DU1607" s="59"/>
      <c r="DV1607" s="59"/>
      <c r="DW1607" s="59"/>
      <c r="DX1607" s="59"/>
      <c r="DY1607" s="59"/>
      <c r="DZ1607" s="59"/>
      <c r="EA1607" s="59"/>
      <c r="EB1607" s="59"/>
      <c r="EC1607" s="59"/>
      <c r="ED1607" s="59"/>
      <c r="EE1607" s="59"/>
      <c r="EF1607" s="59"/>
      <c r="EG1607" s="59"/>
      <c r="EH1607" s="59"/>
      <c r="EI1607" s="59"/>
      <c r="EJ1607" s="59"/>
      <c r="EK1607" s="59"/>
      <c r="EL1607" s="59"/>
      <c r="EM1607" s="59"/>
      <c r="EN1607" s="59"/>
      <c r="EO1607" s="59"/>
      <c r="EP1607" s="59"/>
      <c r="EQ1607" s="59"/>
      <c r="ER1607" s="59"/>
      <c r="ES1607" s="59"/>
      <c r="ET1607" s="59"/>
      <c r="EU1607" s="59"/>
      <c r="EV1607" s="59"/>
      <c r="EW1607" s="59"/>
      <c r="EX1607" s="59"/>
      <c r="EY1607" s="59"/>
      <c r="EZ1607" s="59"/>
      <c r="FA1607" s="59"/>
      <c r="FB1607" s="59"/>
      <c r="FC1607" s="59"/>
      <c r="FD1607" s="59"/>
      <c r="FE1607" s="59"/>
      <c r="FF1607" s="59"/>
      <c r="FG1607" s="59"/>
      <c r="FH1607" s="59"/>
      <c r="FI1607" s="59"/>
      <c r="FJ1607" s="59"/>
      <c r="FK1607" s="59"/>
      <c r="FL1607" s="59"/>
      <c r="FM1607" s="59"/>
      <c r="FN1607" s="59"/>
      <c r="FO1607" s="59"/>
      <c r="FP1607" s="59"/>
      <c r="FQ1607" s="59"/>
      <c r="FR1607" s="59"/>
      <c r="FS1607" s="59"/>
      <c r="FT1607" s="59"/>
      <c r="FU1607" s="59"/>
      <c r="FV1607" s="59"/>
      <c r="FW1607" s="59"/>
      <c r="FX1607" s="59"/>
      <c r="FY1607" s="59"/>
      <c r="FZ1607" s="59"/>
      <c r="GA1607" s="59"/>
      <c r="GB1607" s="59"/>
      <c r="GC1607" s="59"/>
    </row>
    <row r="1608">
      <c r="A1608" s="59"/>
      <c r="B1608" s="59"/>
      <c r="C1608" s="59"/>
      <c r="D1608" s="59"/>
      <c r="E1608" s="59"/>
      <c r="F1608" s="59"/>
      <c r="G1608" s="59"/>
      <c r="H1608" s="59"/>
      <c r="I1608" s="59"/>
      <c r="J1608" s="59"/>
      <c r="K1608" s="59"/>
      <c r="L1608" s="59"/>
      <c r="M1608" s="59"/>
      <c r="N1608" s="59"/>
      <c r="O1608" s="59"/>
      <c r="P1608" s="59"/>
      <c r="Q1608" s="59"/>
      <c r="R1608" s="59"/>
      <c r="S1608" s="59"/>
      <c r="T1608" s="59"/>
      <c r="U1608" s="59"/>
      <c r="V1608" s="59"/>
      <c r="W1608" s="59"/>
      <c r="X1608" s="59"/>
      <c r="Y1608" s="59"/>
      <c r="Z1608" s="59"/>
      <c r="AA1608" s="59"/>
      <c r="AB1608" s="59"/>
      <c r="AC1608" s="59"/>
      <c r="AD1608" s="59"/>
      <c r="AE1608" s="59"/>
      <c r="AF1608" s="59"/>
      <c r="AG1608" s="59"/>
      <c r="AH1608" s="59"/>
      <c r="AI1608" s="59"/>
      <c r="AJ1608" s="59"/>
      <c r="AK1608" s="59"/>
      <c r="AL1608" s="59"/>
      <c r="AM1608" s="59"/>
      <c r="AN1608" s="59"/>
      <c r="AO1608" s="59"/>
      <c r="AP1608" s="59"/>
      <c r="AQ1608" s="59"/>
      <c r="AR1608" s="59"/>
      <c r="AS1608" s="59"/>
      <c r="AT1608" s="59"/>
      <c r="AU1608" s="59"/>
      <c r="AV1608" s="59"/>
      <c r="AW1608" s="59"/>
      <c r="AX1608" s="59"/>
      <c r="AY1608" s="59"/>
      <c r="AZ1608" s="59"/>
      <c r="BA1608" s="59"/>
      <c r="BB1608" s="59"/>
      <c r="BC1608" s="59"/>
      <c r="BD1608" s="59"/>
      <c r="BE1608" s="59"/>
      <c r="BF1608" s="59"/>
      <c r="BG1608" s="59"/>
      <c r="BH1608" s="59"/>
      <c r="BI1608" s="59"/>
      <c r="BJ1608" s="59"/>
      <c r="BK1608" s="59"/>
      <c r="BL1608" s="59"/>
      <c r="BM1608" s="59"/>
      <c r="BN1608" s="59"/>
      <c r="BO1608" s="59"/>
      <c r="BP1608" s="59"/>
      <c r="BQ1608" s="59"/>
      <c r="BR1608" s="59"/>
      <c r="BS1608" s="59"/>
      <c r="BT1608" s="59"/>
      <c r="BU1608" s="59"/>
      <c r="BV1608" s="59"/>
      <c r="BW1608" s="59"/>
      <c r="BX1608" s="59"/>
      <c r="BY1608" s="59"/>
      <c r="BZ1608" s="59"/>
      <c r="CA1608" s="59"/>
      <c r="CB1608" s="59"/>
      <c r="CC1608" s="59"/>
      <c r="CD1608" s="59"/>
      <c r="CE1608" s="59"/>
      <c r="CF1608" s="59"/>
      <c r="CG1608" s="59"/>
      <c r="CH1608" s="59"/>
      <c r="CI1608" s="59"/>
      <c r="CJ1608" s="59"/>
      <c r="CK1608" s="59"/>
      <c r="CL1608" s="59"/>
      <c r="CM1608" s="59"/>
      <c r="CN1608" s="59"/>
      <c r="CO1608" s="59"/>
      <c r="CP1608" s="59"/>
      <c r="CQ1608" s="59"/>
      <c r="CR1608" s="59"/>
      <c r="CS1608" s="59"/>
      <c r="CT1608" s="59"/>
      <c r="CU1608" s="59"/>
      <c r="CV1608" s="59"/>
      <c r="CW1608" s="59"/>
      <c r="CX1608" s="59"/>
      <c r="CY1608" s="59"/>
      <c r="CZ1608" s="59"/>
      <c r="DA1608" s="59"/>
      <c r="DB1608" s="59"/>
      <c r="DC1608" s="59"/>
      <c r="DD1608" s="59"/>
      <c r="DE1608" s="59"/>
      <c r="DF1608" s="59"/>
      <c r="DG1608" s="59"/>
      <c r="DH1608" s="59"/>
      <c r="DI1608" s="59"/>
      <c r="DJ1608" s="59"/>
      <c r="DK1608" s="59"/>
      <c r="DL1608" s="59"/>
      <c r="DM1608" s="59"/>
      <c r="DN1608" s="59"/>
      <c r="DO1608" s="59"/>
      <c r="DP1608" s="59"/>
      <c r="DQ1608" s="59"/>
      <c r="DR1608" s="59"/>
      <c r="DS1608" s="59"/>
      <c r="DT1608" s="59"/>
      <c r="DU1608" s="59"/>
      <c r="DV1608" s="59"/>
      <c r="DW1608" s="59"/>
      <c r="DX1608" s="59"/>
      <c r="DY1608" s="59"/>
      <c r="DZ1608" s="59"/>
      <c r="EA1608" s="59"/>
      <c r="EB1608" s="59"/>
      <c r="EC1608" s="59"/>
      <c r="ED1608" s="59"/>
      <c r="EE1608" s="59"/>
      <c r="EF1608" s="59"/>
      <c r="EG1608" s="59"/>
      <c r="EH1608" s="59"/>
      <c r="EI1608" s="59"/>
      <c r="EJ1608" s="59"/>
      <c r="EK1608" s="59"/>
      <c r="EL1608" s="59"/>
      <c r="EM1608" s="59"/>
      <c r="EN1608" s="59"/>
      <c r="EO1608" s="59"/>
      <c r="EP1608" s="59"/>
      <c r="EQ1608" s="59"/>
      <c r="ER1608" s="59"/>
      <c r="ES1608" s="59"/>
      <c r="ET1608" s="59"/>
      <c r="EU1608" s="59"/>
      <c r="EV1608" s="59"/>
      <c r="EW1608" s="59"/>
      <c r="EX1608" s="59"/>
      <c r="EY1608" s="59"/>
      <c r="EZ1608" s="59"/>
      <c r="FA1608" s="59"/>
      <c r="FB1608" s="59"/>
      <c r="FC1608" s="59"/>
      <c r="FD1608" s="59"/>
      <c r="FE1608" s="59"/>
      <c r="FF1608" s="59"/>
      <c r="FG1608" s="59"/>
      <c r="FH1608" s="59"/>
      <c r="FI1608" s="59"/>
      <c r="FJ1608" s="59"/>
      <c r="FK1608" s="59"/>
      <c r="FL1608" s="59"/>
      <c r="FM1608" s="59"/>
      <c r="FN1608" s="59"/>
      <c r="FO1608" s="59"/>
      <c r="FP1608" s="59"/>
      <c r="FQ1608" s="59"/>
      <c r="FR1608" s="59"/>
      <c r="FS1608" s="59"/>
      <c r="FT1608" s="59"/>
      <c r="FU1608" s="59"/>
      <c r="FV1608" s="59"/>
      <c r="FW1608" s="59"/>
      <c r="FX1608" s="59"/>
      <c r="FY1608" s="59"/>
      <c r="FZ1608" s="59"/>
      <c r="GA1608" s="59"/>
      <c r="GB1608" s="59"/>
      <c r="GC1608" s="59"/>
    </row>
    <row r="1609">
      <c r="A1609" s="59"/>
      <c r="B1609" s="59"/>
      <c r="C1609" s="59"/>
      <c r="D1609" s="59"/>
      <c r="E1609" s="59"/>
      <c r="F1609" s="59"/>
      <c r="G1609" s="59"/>
      <c r="H1609" s="59"/>
      <c r="I1609" s="59"/>
      <c r="J1609" s="59"/>
      <c r="K1609" s="59"/>
      <c r="L1609" s="59"/>
      <c r="M1609" s="59"/>
      <c r="N1609" s="59"/>
      <c r="O1609" s="59"/>
      <c r="P1609" s="59"/>
      <c r="Q1609" s="59"/>
      <c r="R1609" s="59"/>
      <c r="S1609" s="59"/>
      <c r="T1609" s="59"/>
      <c r="U1609" s="59"/>
      <c r="V1609" s="59"/>
      <c r="W1609" s="59"/>
      <c r="X1609" s="59"/>
      <c r="Y1609" s="59"/>
      <c r="Z1609" s="59"/>
      <c r="AA1609" s="59"/>
      <c r="AB1609" s="59"/>
      <c r="AC1609" s="59"/>
      <c r="AD1609" s="59"/>
      <c r="AE1609" s="59"/>
      <c r="AF1609" s="59"/>
      <c r="AG1609" s="59"/>
      <c r="AH1609" s="59"/>
      <c r="AI1609" s="59"/>
      <c r="AJ1609" s="59"/>
      <c r="AK1609" s="59"/>
      <c r="AL1609" s="59"/>
      <c r="AM1609" s="59"/>
      <c r="AN1609" s="59"/>
      <c r="AO1609" s="59"/>
      <c r="AP1609" s="59"/>
      <c r="AQ1609" s="59"/>
      <c r="AR1609" s="59"/>
      <c r="AS1609" s="59"/>
      <c r="AT1609" s="59"/>
      <c r="AU1609" s="59"/>
      <c r="AV1609" s="59"/>
      <c r="AW1609" s="59"/>
      <c r="AX1609" s="59"/>
      <c r="AY1609" s="59"/>
      <c r="AZ1609" s="59"/>
      <c r="BA1609" s="59"/>
      <c r="BB1609" s="59"/>
      <c r="BC1609" s="59"/>
      <c r="BD1609" s="59"/>
      <c r="BE1609" s="59"/>
      <c r="BF1609" s="59"/>
      <c r="BG1609" s="59"/>
      <c r="BH1609" s="59"/>
      <c r="BI1609" s="59"/>
      <c r="BJ1609" s="59"/>
      <c r="BK1609" s="59"/>
      <c r="BL1609" s="59"/>
      <c r="BM1609" s="59"/>
      <c r="BN1609" s="59"/>
      <c r="BO1609" s="59"/>
      <c r="BP1609" s="59"/>
      <c r="BQ1609" s="59"/>
      <c r="BR1609" s="59"/>
      <c r="BS1609" s="59"/>
      <c r="BT1609" s="59"/>
      <c r="BU1609" s="59"/>
      <c r="BV1609" s="59"/>
      <c r="BW1609" s="59"/>
      <c r="BX1609" s="59"/>
      <c r="BY1609" s="59"/>
      <c r="BZ1609" s="59"/>
      <c r="CA1609" s="59"/>
      <c r="CB1609" s="59"/>
      <c r="CC1609" s="59"/>
      <c r="CD1609" s="59"/>
      <c r="CE1609" s="59"/>
      <c r="CF1609" s="59"/>
      <c r="CG1609" s="59"/>
      <c r="CH1609" s="59"/>
      <c r="CI1609" s="59"/>
      <c r="CJ1609" s="59"/>
      <c r="CK1609" s="59"/>
      <c r="CL1609" s="59"/>
      <c r="CM1609" s="59"/>
      <c r="CN1609" s="59"/>
      <c r="CO1609" s="59"/>
      <c r="CP1609" s="59"/>
      <c r="CQ1609" s="59"/>
      <c r="CR1609" s="59"/>
      <c r="CS1609" s="59"/>
      <c r="CT1609" s="59"/>
      <c r="CU1609" s="59"/>
      <c r="CV1609" s="59"/>
      <c r="CW1609" s="59"/>
      <c r="CX1609" s="59"/>
      <c r="CY1609" s="59"/>
      <c r="CZ1609" s="59"/>
      <c r="DA1609" s="59"/>
      <c r="DB1609" s="59"/>
      <c r="DC1609" s="59"/>
      <c r="DD1609" s="59"/>
      <c r="DE1609" s="59"/>
      <c r="DF1609" s="59"/>
      <c r="DG1609" s="59"/>
      <c r="DH1609" s="59"/>
      <c r="DI1609" s="59"/>
      <c r="DJ1609" s="59"/>
      <c r="DK1609" s="59"/>
      <c r="DL1609" s="59"/>
      <c r="DM1609" s="59"/>
      <c r="DN1609" s="59"/>
      <c r="DO1609" s="59"/>
      <c r="DP1609" s="59"/>
      <c r="DQ1609" s="59"/>
      <c r="DR1609" s="59"/>
      <c r="DS1609" s="59"/>
      <c r="DT1609" s="59"/>
      <c r="DU1609" s="59"/>
      <c r="DV1609" s="59"/>
      <c r="DW1609" s="59"/>
      <c r="DX1609" s="59"/>
      <c r="DY1609" s="59"/>
      <c r="DZ1609" s="59"/>
      <c r="EA1609" s="59"/>
      <c r="EB1609" s="59"/>
      <c r="EC1609" s="59"/>
      <c r="ED1609" s="59"/>
      <c r="EE1609" s="59"/>
      <c r="EF1609" s="59"/>
      <c r="EG1609" s="59"/>
      <c r="EH1609" s="59"/>
      <c r="EI1609" s="59"/>
      <c r="EJ1609" s="59"/>
      <c r="EK1609" s="59"/>
      <c r="EL1609" s="59"/>
      <c r="EM1609" s="59"/>
      <c r="EN1609" s="59"/>
      <c r="EO1609" s="59"/>
      <c r="EP1609" s="59"/>
      <c r="EQ1609" s="59"/>
      <c r="ER1609" s="59"/>
      <c r="ES1609" s="59"/>
      <c r="ET1609" s="59"/>
      <c r="EU1609" s="59"/>
      <c r="EV1609" s="59"/>
      <c r="EW1609" s="59"/>
      <c r="EX1609" s="59"/>
      <c r="EY1609" s="59"/>
      <c r="EZ1609" s="59"/>
      <c r="FA1609" s="59"/>
      <c r="FB1609" s="59"/>
      <c r="FC1609" s="59"/>
      <c r="FD1609" s="59"/>
      <c r="FE1609" s="59"/>
      <c r="FF1609" s="59"/>
      <c r="FG1609" s="59"/>
      <c r="FH1609" s="59"/>
      <c r="FI1609" s="59"/>
      <c r="FJ1609" s="59"/>
      <c r="FK1609" s="59"/>
      <c r="FL1609" s="59"/>
      <c r="FM1609" s="59"/>
      <c r="FN1609" s="59"/>
      <c r="FO1609" s="59"/>
      <c r="FP1609" s="59"/>
      <c r="FQ1609" s="59"/>
      <c r="FR1609" s="59"/>
      <c r="FS1609" s="59"/>
      <c r="FT1609" s="59"/>
      <c r="FU1609" s="59"/>
      <c r="FV1609" s="59"/>
      <c r="FW1609" s="59"/>
      <c r="FX1609" s="59"/>
      <c r="FY1609" s="59"/>
      <c r="FZ1609" s="59"/>
      <c r="GA1609" s="59"/>
      <c r="GB1609" s="59"/>
      <c r="GC1609" s="59"/>
    </row>
    <row r="1610">
      <c r="A1610" s="59"/>
      <c r="B1610" s="59"/>
      <c r="C1610" s="59"/>
      <c r="D1610" s="59"/>
      <c r="E1610" s="59"/>
      <c r="F1610" s="59"/>
      <c r="G1610" s="59"/>
      <c r="H1610" s="59"/>
      <c r="I1610" s="59"/>
      <c r="J1610" s="59"/>
      <c r="K1610" s="59"/>
      <c r="L1610" s="59"/>
      <c r="M1610" s="59"/>
      <c r="N1610" s="59"/>
      <c r="O1610" s="59"/>
      <c r="P1610" s="59"/>
      <c r="Q1610" s="59"/>
      <c r="R1610" s="59"/>
      <c r="S1610" s="59"/>
      <c r="T1610" s="59"/>
      <c r="U1610" s="59"/>
      <c r="V1610" s="59"/>
      <c r="W1610" s="59"/>
      <c r="X1610" s="59"/>
      <c r="Y1610" s="59"/>
      <c r="Z1610" s="59"/>
      <c r="AA1610" s="59"/>
      <c r="AB1610" s="59"/>
      <c r="AC1610" s="59"/>
      <c r="AD1610" s="59"/>
      <c r="AE1610" s="59"/>
      <c r="AF1610" s="59"/>
      <c r="AG1610" s="59"/>
      <c r="AH1610" s="59"/>
      <c r="AI1610" s="59"/>
      <c r="AJ1610" s="59"/>
      <c r="AK1610" s="59"/>
      <c r="AL1610" s="59"/>
      <c r="AM1610" s="59"/>
      <c r="AN1610" s="59"/>
      <c r="AO1610" s="59"/>
      <c r="AP1610" s="59"/>
      <c r="AQ1610" s="59"/>
      <c r="AR1610" s="59"/>
      <c r="AS1610" s="59"/>
      <c r="AT1610" s="59"/>
      <c r="AU1610" s="59"/>
      <c r="AV1610" s="59"/>
      <c r="AW1610" s="59"/>
      <c r="AX1610" s="59"/>
      <c r="AY1610" s="59"/>
      <c r="AZ1610" s="59"/>
      <c r="BA1610" s="59"/>
      <c r="BB1610" s="59"/>
      <c r="BC1610" s="59"/>
      <c r="BD1610" s="59"/>
      <c r="BE1610" s="59"/>
      <c r="BF1610" s="59"/>
      <c r="BG1610" s="59"/>
      <c r="BH1610" s="59"/>
      <c r="BI1610" s="59"/>
      <c r="BJ1610" s="59"/>
      <c r="BK1610" s="59"/>
      <c r="BL1610" s="59"/>
      <c r="BM1610" s="59"/>
      <c r="BN1610" s="59"/>
      <c r="BO1610" s="59"/>
      <c r="BP1610" s="59"/>
      <c r="BQ1610" s="59"/>
      <c r="BR1610" s="59"/>
      <c r="BS1610" s="59"/>
      <c r="BT1610" s="59"/>
      <c r="BU1610" s="59"/>
      <c r="BV1610" s="59"/>
      <c r="BW1610" s="59"/>
      <c r="BX1610" s="59"/>
      <c r="BY1610" s="59"/>
      <c r="BZ1610" s="59"/>
      <c r="CA1610" s="59"/>
      <c r="CB1610" s="59"/>
      <c r="CC1610" s="59"/>
      <c r="CD1610" s="59"/>
      <c r="CE1610" s="59"/>
      <c r="CF1610" s="59"/>
      <c r="CG1610" s="59"/>
      <c r="CH1610" s="59"/>
      <c r="CI1610" s="59"/>
      <c r="CJ1610" s="59"/>
      <c r="CK1610" s="59"/>
      <c r="CL1610" s="59"/>
      <c r="CM1610" s="59"/>
      <c r="CN1610" s="59"/>
      <c r="CO1610" s="59"/>
      <c r="CP1610" s="59"/>
      <c r="CQ1610" s="59"/>
      <c r="CR1610" s="59"/>
      <c r="CS1610" s="59"/>
      <c r="CT1610" s="59"/>
      <c r="CU1610" s="59"/>
      <c r="CV1610" s="59"/>
      <c r="CW1610" s="59"/>
      <c r="CX1610" s="59"/>
      <c r="CY1610" s="59"/>
      <c r="CZ1610" s="59"/>
      <c r="DA1610" s="59"/>
      <c r="DB1610" s="59"/>
      <c r="DC1610" s="59"/>
      <c r="DD1610" s="59"/>
      <c r="DE1610" s="59"/>
      <c r="DF1610" s="59"/>
      <c r="DG1610" s="59"/>
      <c r="DH1610" s="59"/>
      <c r="DI1610" s="59"/>
      <c r="DJ1610" s="59"/>
      <c r="DK1610" s="59"/>
      <c r="DL1610" s="59"/>
      <c r="DM1610" s="59"/>
      <c r="DN1610" s="59"/>
      <c r="DO1610" s="59"/>
      <c r="DP1610" s="59"/>
      <c r="DQ1610" s="59"/>
      <c r="DR1610" s="59"/>
      <c r="DS1610" s="59"/>
      <c r="DT1610" s="59"/>
      <c r="DU1610" s="59"/>
      <c r="DV1610" s="59"/>
      <c r="DW1610" s="59"/>
      <c r="DX1610" s="59"/>
      <c r="DY1610" s="59"/>
      <c r="DZ1610" s="59"/>
      <c r="EA1610" s="59"/>
      <c r="EB1610" s="59"/>
      <c r="EC1610" s="59"/>
      <c r="ED1610" s="59"/>
      <c r="EE1610" s="59"/>
      <c r="EF1610" s="59"/>
      <c r="EG1610" s="59"/>
      <c r="EH1610" s="59"/>
      <c r="EI1610" s="59"/>
      <c r="EJ1610" s="59"/>
      <c r="EK1610" s="59"/>
      <c r="EL1610" s="59"/>
      <c r="EM1610" s="59"/>
      <c r="EN1610" s="59"/>
      <c r="EO1610" s="59"/>
      <c r="EP1610" s="59"/>
      <c r="EQ1610" s="59"/>
      <c r="ER1610" s="59"/>
      <c r="ES1610" s="59"/>
      <c r="ET1610" s="59"/>
      <c r="EU1610" s="59"/>
      <c r="EV1610" s="59"/>
      <c r="EW1610" s="59"/>
      <c r="EX1610" s="59"/>
      <c r="EY1610" s="59"/>
      <c r="EZ1610" s="59"/>
      <c r="FA1610" s="59"/>
      <c r="FB1610" s="59"/>
      <c r="FC1610" s="59"/>
      <c r="FD1610" s="59"/>
      <c r="FE1610" s="59"/>
      <c r="FF1610" s="59"/>
      <c r="FG1610" s="59"/>
      <c r="FH1610" s="59"/>
      <c r="FI1610" s="59"/>
      <c r="FJ1610" s="59"/>
      <c r="FK1610" s="59"/>
      <c r="FL1610" s="59"/>
      <c r="FM1610" s="59"/>
      <c r="FN1610" s="59"/>
      <c r="FO1610" s="59"/>
      <c r="FP1610" s="59"/>
      <c r="FQ1610" s="59"/>
      <c r="FR1610" s="59"/>
      <c r="FS1610" s="59"/>
      <c r="FT1610" s="59"/>
      <c r="FU1610" s="59"/>
      <c r="FV1610" s="59"/>
      <c r="FW1610" s="59"/>
      <c r="FX1610" s="59"/>
      <c r="FY1610" s="59"/>
      <c r="FZ1610" s="59"/>
      <c r="GA1610" s="59"/>
      <c r="GB1610" s="59"/>
      <c r="GC1610" s="59"/>
    </row>
    <row r="1611">
      <c r="A1611" s="59"/>
      <c r="B1611" s="59"/>
      <c r="C1611" s="59"/>
      <c r="D1611" s="59"/>
      <c r="E1611" s="59"/>
      <c r="F1611" s="59"/>
      <c r="G1611" s="59"/>
      <c r="H1611" s="59"/>
      <c r="I1611" s="59"/>
      <c r="J1611" s="59"/>
      <c r="K1611" s="59"/>
      <c r="L1611" s="59"/>
      <c r="M1611" s="59"/>
      <c r="N1611" s="59"/>
      <c r="O1611" s="59"/>
      <c r="P1611" s="59"/>
      <c r="Q1611" s="59"/>
      <c r="R1611" s="59"/>
      <c r="S1611" s="59"/>
      <c r="T1611" s="59"/>
      <c r="U1611" s="59"/>
      <c r="V1611" s="59"/>
      <c r="W1611" s="59"/>
      <c r="X1611" s="59"/>
      <c r="Y1611" s="59"/>
      <c r="Z1611" s="59"/>
      <c r="AA1611" s="59"/>
      <c r="AB1611" s="59"/>
      <c r="AC1611" s="59"/>
      <c r="AD1611" s="59"/>
      <c r="AE1611" s="59"/>
      <c r="AF1611" s="59"/>
      <c r="AG1611" s="59"/>
      <c r="AH1611" s="59"/>
      <c r="AI1611" s="59"/>
      <c r="AJ1611" s="59"/>
      <c r="AK1611" s="59"/>
      <c r="AL1611" s="59"/>
      <c r="AM1611" s="59"/>
      <c r="AN1611" s="59"/>
      <c r="AO1611" s="59"/>
      <c r="AP1611" s="59"/>
      <c r="AQ1611" s="59"/>
      <c r="AR1611" s="59"/>
      <c r="AS1611" s="59"/>
      <c r="AT1611" s="59"/>
      <c r="AU1611" s="59"/>
      <c r="AV1611" s="59"/>
      <c r="AW1611" s="59"/>
      <c r="AX1611" s="59"/>
      <c r="AY1611" s="59"/>
      <c r="AZ1611" s="59"/>
      <c r="BA1611" s="59"/>
      <c r="BB1611" s="59"/>
      <c r="BC1611" s="59"/>
      <c r="BD1611" s="59"/>
      <c r="BE1611" s="59"/>
      <c r="BF1611" s="59"/>
      <c r="BG1611" s="59"/>
      <c r="BH1611" s="59"/>
      <c r="BI1611" s="59"/>
      <c r="BJ1611" s="59"/>
      <c r="BK1611" s="59"/>
      <c r="BL1611" s="59"/>
      <c r="BM1611" s="59"/>
      <c r="BN1611" s="59"/>
      <c r="BO1611" s="59"/>
      <c r="BP1611" s="59"/>
      <c r="BQ1611" s="59"/>
      <c r="BR1611" s="59"/>
      <c r="BS1611" s="59"/>
      <c r="BT1611" s="59"/>
      <c r="BU1611" s="59"/>
      <c r="BV1611" s="59"/>
      <c r="BW1611" s="59"/>
      <c r="BX1611" s="59"/>
      <c r="BY1611" s="59"/>
      <c r="BZ1611" s="59"/>
      <c r="CA1611" s="59"/>
      <c r="CB1611" s="59"/>
      <c r="CC1611" s="59"/>
      <c r="CD1611" s="59"/>
      <c r="CE1611" s="59"/>
      <c r="CF1611" s="59"/>
      <c r="CG1611" s="59"/>
      <c r="CH1611" s="59"/>
      <c r="CI1611" s="59"/>
      <c r="CJ1611" s="59"/>
      <c r="CK1611" s="59"/>
      <c r="CL1611" s="59"/>
      <c r="CM1611" s="59"/>
      <c r="CN1611" s="59"/>
      <c r="CO1611" s="59"/>
      <c r="CP1611" s="59"/>
      <c r="CQ1611" s="59"/>
      <c r="CR1611" s="59"/>
      <c r="CS1611" s="59"/>
      <c r="CT1611" s="59"/>
      <c r="CU1611" s="59"/>
      <c r="CV1611" s="59"/>
      <c r="CW1611" s="59"/>
      <c r="CX1611" s="59"/>
      <c r="CY1611" s="59"/>
      <c r="CZ1611" s="59"/>
      <c r="DA1611" s="59"/>
      <c r="DB1611" s="59"/>
      <c r="DC1611" s="59"/>
      <c r="DD1611" s="59"/>
      <c r="DE1611" s="59"/>
      <c r="DF1611" s="59"/>
      <c r="DG1611" s="59"/>
      <c r="DH1611" s="59"/>
      <c r="DI1611" s="59"/>
      <c r="DJ1611" s="59"/>
      <c r="DK1611" s="59"/>
      <c r="DL1611" s="59"/>
      <c r="DM1611" s="59"/>
      <c r="DN1611" s="59"/>
      <c r="DO1611" s="59"/>
      <c r="DP1611" s="59"/>
      <c r="DQ1611" s="59"/>
      <c r="DR1611" s="59"/>
      <c r="DS1611" s="59"/>
      <c r="DT1611" s="59"/>
      <c r="DU1611" s="59"/>
      <c r="DV1611" s="59"/>
      <c r="DW1611" s="59"/>
      <c r="DX1611" s="59"/>
      <c r="DY1611" s="59"/>
      <c r="DZ1611" s="59"/>
      <c r="EA1611" s="59"/>
      <c r="EB1611" s="59"/>
      <c r="EC1611" s="59"/>
      <c r="ED1611" s="59"/>
      <c r="EE1611" s="59"/>
      <c r="EF1611" s="59"/>
      <c r="EG1611" s="59"/>
      <c r="EH1611" s="59"/>
      <c r="EI1611" s="59"/>
      <c r="EJ1611" s="59"/>
      <c r="EK1611" s="59"/>
      <c r="EL1611" s="59"/>
      <c r="EM1611" s="59"/>
      <c r="EN1611" s="59"/>
      <c r="EO1611" s="59"/>
      <c r="EP1611" s="59"/>
      <c r="EQ1611" s="59"/>
      <c r="ER1611" s="59"/>
      <c r="ES1611" s="59"/>
      <c r="ET1611" s="59"/>
      <c r="EU1611" s="59"/>
      <c r="EV1611" s="59"/>
      <c r="EW1611" s="59"/>
      <c r="EX1611" s="59"/>
      <c r="EY1611" s="59"/>
      <c r="EZ1611" s="59"/>
      <c r="FA1611" s="59"/>
      <c r="FB1611" s="59"/>
      <c r="FC1611" s="59"/>
      <c r="FD1611" s="59"/>
      <c r="FE1611" s="59"/>
      <c r="FF1611" s="59"/>
      <c r="FG1611" s="59"/>
      <c r="FH1611" s="59"/>
      <c r="FI1611" s="59"/>
      <c r="FJ1611" s="59"/>
      <c r="FK1611" s="59"/>
      <c r="FL1611" s="59"/>
      <c r="FM1611" s="59"/>
      <c r="FN1611" s="59"/>
      <c r="FO1611" s="59"/>
      <c r="FP1611" s="59"/>
      <c r="FQ1611" s="59"/>
      <c r="FR1611" s="59"/>
      <c r="FS1611" s="59"/>
      <c r="FT1611" s="59"/>
      <c r="FU1611" s="59"/>
      <c r="FV1611" s="59"/>
      <c r="FW1611" s="59"/>
      <c r="FX1611" s="59"/>
      <c r="FY1611" s="59"/>
      <c r="FZ1611" s="59"/>
      <c r="GA1611" s="59"/>
      <c r="GB1611" s="59"/>
      <c r="GC1611" s="59"/>
    </row>
    <row r="1612">
      <c r="A1612" s="59"/>
      <c r="B1612" s="59"/>
      <c r="C1612" s="59"/>
      <c r="D1612" s="59"/>
      <c r="E1612" s="59"/>
      <c r="F1612" s="59"/>
      <c r="G1612" s="59"/>
      <c r="H1612" s="59"/>
      <c r="I1612" s="59"/>
      <c r="J1612" s="59"/>
      <c r="K1612" s="59"/>
      <c r="L1612" s="59"/>
      <c r="M1612" s="59"/>
      <c r="N1612" s="59"/>
      <c r="O1612" s="59"/>
      <c r="P1612" s="59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59"/>
      <c r="AG1612" s="59"/>
      <c r="AH1612" s="59"/>
      <c r="AI1612" s="59"/>
      <c r="AJ1612" s="59"/>
      <c r="AK1612" s="59"/>
      <c r="AL1612" s="59"/>
      <c r="AM1612" s="59"/>
      <c r="AN1612" s="59"/>
      <c r="AO1612" s="59"/>
      <c r="AP1612" s="59"/>
      <c r="AQ1612" s="59"/>
      <c r="AR1612" s="59"/>
      <c r="AS1612" s="59"/>
      <c r="AT1612" s="59"/>
      <c r="AU1612" s="59"/>
      <c r="AV1612" s="59"/>
      <c r="AW1612" s="59"/>
      <c r="AX1612" s="59"/>
      <c r="AY1612" s="59"/>
      <c r="AZ1612" s="59"/>
      <c r="BA1612" s="59"/>
      <c r="BB1612" s="59"/>
      <c r="BC1612" s="59"/>
      <c r="BD1612" s="59"/>
      <c r="BE1612" s="59"/>
      <c r="BF1612" s="59"/>
      <c r="BG1612" s="59"/>
      <c r="BH1612" s="59"/>
      <c r="BI1612" s="59"/>
      <c r="BJ1612" s="59"/>
      <c r="BK1612" s="59"/>
      <c r="BL1612" s="59"/>
      <c r="BM1612" s="59"/>
      <c r="BN1612" s="59"/>
      <c r="BO1612" s="59"/>
      <c r="BP1612" s="59"/>
      <c r="BQ1612" s="59"/>
      <c r="BR1612" s="59"/>
      <c r="BS1612" s="59"/>
      <c r="BT1612" s="59"/>
      <c r="BU1612" s="59"/>
      <c r="BV1612" s="59"/>
      <c r="BW1612" s="59"/>
      <c r="BX1612" s="59"/>
      <c r="BY1612" s="59"/>
      <c r="BZ1612" s="59"/>
      <c r="CA1612" s="59"/>
      <c r="CB1612" s="59"/>
      <c r="CC1612" s="59"/>
      <c r="CD1612" s="59"/>
      <c r="CE1612" s="59"/>
      <c r="CF1612" s="59"/>
      <c r="CG1612" s="59"/>
      <c r="CH1612" s="59"/>
      <c r="CI1612" s="59"/>
      <c r="CJ1612" s="59"/>
      <c r="CK1612" s="59"/>
      <c r="CL1612" s="59"/>
      <c r="CM1612" s="59"/>
      <c r="CN1612" s="59"/>
      <c r="CO1612" s="59"/>
      <c r="CP1612" s="59"/>
      <c r="CQ1612" s="59"/>
      <c r="CR1612" s="59"/>
      <c r="CS1612" s="59"/>
      <c r="CT1612" s="59"/>
      <c r="CU1612" s="59"/>
      <c r="CV1612" s="59"/>
      <c r="CW1612" s="59"/>
      <c r="CX1612" s="59"/>
      <c r="CY1612" s="59"/>
      <c r="CZ1612" s="59"/>
      <c r="DA1612" s="59"/>
      <c r="DB1612" s="59"/>
      <c r="DC1612" s="59"/>
      <c r="DD1612" s="59"/>
      <c r="DE1612" s="59"/>
      <c r="DF1612" s="59"/>
      <c r="DG1612" s="59"/>
      <c r="DH1612" s="59"/>
      <c r="DI1612" s="59"/>
      <c r="DJ1612" s="59"/>
      <c r="DK1612" s="59"/>
      <c r="DL1612" s="59"/>
      <c r="DM1612" s="59"/>
      <c r="DN1612" s="59"/>
      <c r="DO1612" s="59"/>
      <c r="DP1612" s="59"/>
      <c r="DQ1612" s="59"/>
      <c r="DR1612" s="59"/>
      <c r="DS1612" s="59"/>
      <c r="DT1612" s="59"/>
      <c r="DU1612" s="59"/>
      <c r="DV1612" s="59"/>
      <c r="DW1612" s="59"/>
      <c r="DX1612" s="59"/>
      <c r="DY1612" s="59"/>
      <c r="DZ1612" s="59"/>
      <c r="EA1612" s="59"/>
      <c r="EB1612" s="59"/>
      <c r="EC1612" s="59"/>
      <c r="ED1612" s="59"/>
      <c r="EE1612" s="59"/>
      <c r="EF1612" s="59"/>
      <c r="EG1612" s="59"/>
      <c r="EH1612" s="59"/>
      <c r="EI1612" s="59"/>
      <c r="EJ1612" s="59"/>
      <c r="EK1612" s="59"/>
      <c r="EL1612" s="59"/>
      <c r="EM1612" s="59"/>
      <c r="EN1612" s="59"/>
      <c r="EO1612" s="59"/>
      <c r="EP1612" s="59"/>
      <c r="EQ1612" s="59"/>
      <c r="ER1612" s="59"/>
      <c r="ES1612" s="59"/>
      <c r="ET1612" s="59"/>
      <c r="EU1612" s="59"/>
      <c r="EV1612" s="59"/>
      <c r="EW1612" s="59"/>
      <c r="EX1612" s="59"/>
      <c r="EY1612" s="59"/>
      <c r="EZ1612" s="59"/>
      <c r="FA1612" s="59"/>
      <c r="FB1612" s="59"/>
      <c r="FC1612" s="59"/>
      <c r="FD1612" s="59"/>
      <c r="FE1612" s="59"/>
      <c r="FF1612" s="59"/>
      <c r="FG1612" s="59"/>
      <c r="FH1612" s="59"/>
      <c r="FI1612" s="59"/>
      <c r="FJ1612" s="59"/>
      <c r="FK1612" s="59"/>
      <c r="FL1612" s="59"/>
      <c r="FM1612" s="59"/>
      <c r="FN1612" s="59"/>
      <c r="FO1612" s="59"/>
      <c r="FP1612" s="59"/>
      <c r="FQ1612" s="59"/>
      <c r="FR1612" s="59"/>
      <c r="FS1612" s="59"/>
      <c r="FT1612" s="59"/>
      <c r="FU1612" s="59"/>
      <c r="FV1612" s="59"/>
      <c r="FW1612" s="59"/>
      <c r="FX1612" s="59"/>
      <c r="FY1612" s="59"/>
      <c r="FZ1612" s="59"/>
      <c r="GA1612" s="59"/>
      <c r="GB1612" s="59"/>
      <c r="GC1612" s="59"/>
    </row>
    <row r="1613">
      <c r="A1613" s="59"/>
      <c r="B1613" s="59"/>
      <c r="C1613" s="59"/>
      <c r="D1613" s="59"/>
      <c r="E1613" s="59"/>
      <c r="F1613" s="59"/>
      <c r="G1613" s="59"/>
      <c r="H1613" s="59"/>
      <c r="I1613" s="59"/>
      <c r="J1613" s="59"/>
      <c r="K1613" s="59"/>
      <c r="L1613" s="59"/>
      <c r="M1613" s="59"/>
      <c r="N1613" s="59"/>
      <c r="O1613" s="59"/>
      <c r="P1613" s="59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59"/>
      <c r="AG1613" s="59"/>
      <c r="AH1613" s="59"/>
      <c r="AI1613" s="59"/>
      <c r="AJ1613" s="59"/>
      <c r="AK1613" s="59"/>
      <c r="AL1613" s="59"/>
      <c r="AM1613" s="59"/>
      <c r="AN1613" s="59"/>
      <c r="AO1613" s="59"/>
      <c r="AP1613" s="59"/>
      <c r="AQ1613" s="59"/>
      <c r="AR1613" s="59"/>
      <c r="AS1613" s="59"/>
      <c r="AT1613" s="59"/>
      <c r="AU1613" s="59"/>
      <c r="AV1613" s="59"/>
      <c r="AW1613" s="59"/>
      <c r="AX1613" s="59"/>
      <c r="AY1613" s="59"/>
      <c r="AZ1613" s="59"/>
      <c r="BA1613" s="59"/>
      <c r="BB1613" s="59"/>
      <c r="BC1613" s="59"/>
      <c r="BD1613" s="59"/>
      <c r="BE1613" s="59"/>
      <c r="BF1613" s="59"/>
      <c r="BG1613" s="59"/>
      <c r="BH1613" s="59"/>
      <c r="BI1613" s="59"/>
      <c r="BJ1613" s="59"/>
      <c r="BK1613" s="59"/>
      <c r="BL1613" s="59"/>
      <c r="BM1613" s="59"/>
      <c r="BN1613" s="59"/>
      <c r="BO1613" s="59"/>
      <c r="BP1613" s="59"/>
      <c r="BQ1613" s="59"/>
      <c r="BR1613" s="59"/>
      <c r="BS1613" s="59"/>
      <c r="BT1613" s="59"/>
      <c r="BU1613" s="59"/>
      <c r="BV1613" s="59"/>
      <c r="BW1613" s="59"/>
      <c r="BX1613" s="59"/>
      <c r="BY1613" s="59"/>
      <c r="BZ1613" s="59"/>
      <c r="CA1613" s="59"/>
      <c r="CB1613" s="59"/>
      <c r="CC1613" s="59"/>
      <c r="CD1613" s="59"/>
      <c r="CE1613" s="59"/>
      <c r="CF1613" s="59"/>
      <c r="CG1613" s="59"/>
      <c r="CH1613" s="59"/>
      <c r="CI1613" s="59"/>
      <c r="CJ1613" s="59"/>
      <c r="CK1613" s="59"/>
      <c r="CL1613" s="59"/>
      <c r="CM1613" s="59"/>
      <c r="CN1613" s="59"/>
      <c r="CO1613" s="59"/>
      <c r="CP1613" s="59"/>
      <c r="CQ1613" s="59"/>
      <c r="CR1613" s="59"/>
      <c r="CS1613" s="59"/>
      <c r="CT1613" s="59"/>
      <c r="CU1613" s="59"/>
      <c r="CV1613" s="59"/>
      <c r="CW1613" s="59"/>
      <c r="CX1613" s="59"/>
      <c r="CY1613" s="59"/>
      <c r="CZ1613" s="59"/>
      <c r="DA1613" s="59"/>
      <c r="DB1613" s="59"/>
      <c r="DC1613" s="59"/>
      <c r="DD1613" s="59"/>
      <c r="DE1613" s="59"/>
      <c r="DF1613" s="59"/>
      <c r="DG1613" s="59"/>
      <c r="DH1613" s="59"/>
      <c r="DI1613" s="59"/>
      <c r="DJ1613" s="59"/>
      <c r="DK1613" s="59"/>
      <c r="DL1613" s="59"/>
      <c r="DM1613" s="59"/>
      <c r="DN1613" s="59"/>
      <c r="DO1613" s="59"/>
      <c r="DP1613" s="59"/>
      <c r="DQ1613" s="59"/>
      <c r="DR1613" s="59"/>
      <c r="DS1613" s="59"/>
      <c r="DT1613" s="59"/>
      <c r="DU1613" s="59"/>
      <c r="DV1613" s="59"/>
      <c r="DW1613" s="59"/>
      <c r="DX1613" s="59"/>
      <c r="DY1613" s="59"/>
      <c r="DZ1613" s="59"/>
      <c r="EA1613" s="59"/>
      <c r="EB1613" s="59"/>
      <c r="EC1613" s="59"/>
      <c r="ED1613" s="59"/>
      <c r="EE1613" s="59"/>
      <c r="EF1613" s="59"/>
      <c r="EG1613" s="59"/>
      <c r="EH1613" s="59"/>
      <c r="EI1613" s="59"/>
      <c r="EJ1613" s="59"/>
      <c r="EK1613" s="59"/>
      <c r="EL1613" s="59"/>
      <c r="EM1613" s="59"/>
      <c r="EN1613" s="59"/>
      <c r="EO1613" s="59"/>
      <c r="EP1613" s="59"/>
      <c r="EQ1613" s="59"/>
      <c r="ER1613" s="59"/>
      <c r="ES1613" s="59"/>
      <c r="ET1613" s="59"/>
      <c r="EU1613" s="59"/>
      <c r="EV1613" s="59"/>
      <c r="EW1613" s="59"/>
      <c r="EX1613" s="59"/>
      <c r="EY1613" s="59"/>
      <c r="EZ1613" s="59"/>
      <c r="FA1613" s="59"/>
      <c r="FB1613" s="59"/>
      <c r="FC1613" s="59"/>
      <c r="FD1613" s="59"/>
      <c r="FE1613" s="59"/>
      <c r="FF1613" s="59"/>
      <c r="FG1613" s="59"/>
      <c r="FH1613" s="59"/>
      <c r="FI1613" s="59"/>
      <c r="FJ1613" s="59"/>
      <c r="FK1613" s="59"/>
      <c r="FL1613" s="59"/>
      <c r="FM1613" s="59"/>
      <c r="FN1613" s="59"/>
      <c r="FO1613" s="59"/>
      <c r="FP1613" s="59"/>
      <c r="FQ1613" s="59"/>
      <c r="FR1613" s="59"/>
      <c r="FS1613" s="59"/>
      <c r="FT1613" s="59"/>
      <c r="FU1613" s="59"/>
      <c r="FV1613" s="59"/>
      <c r="FW1613" s="59"/>
      <c r="FX1613" s="59"/>
      <c r="FY1613" s="59"/>
      <c r="FZ1613" s="59"/>
      <c r="GA1613" s="59"/>
      <c r="GB1613" s="59"/>
      <c r="GC1613" s="59"/>
    </row>
    <row r="1614">
      <c r="A1614" s="59"/>
      <c r="B1614" s="59"/>
      <c r="C1614" s="59"/>
      <c r="D1614" s="59"/>
      <c r="E1614" s="59"/>
      <c r="F1614" s="59"/>
      <c r="G1614" s="59"/>
      <c r="H1614" s="59"/>
      <c r="I1614" s="59"/>
      <c r="J1614" s="59"/>
      <c r="K1614" s="59"/>
      <c r="L1614" s="59"/>
      <c r="M1614" s="59"/>
      <c r="N1614" s="59"/>
      <c r="O1614" s="59"/>
      <c r="P1614" s="59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59"/>
      <c r="AG1614" s="59"/>
      <c r="AH1614" s="59"/>
      <c r="AI1614" s="59"/>
      <c r="AJ1614" s="59"/>
      <c r="AK1614" s="59"/>
      <c r="AL1614" s="59"/>
      <c r="AM1614" s="59"/>
      <c r="AN1614" s="59"/>
      <c r="AO1614" s="59"/>
      <c r="AP1614" s="59"/>
      <c r="AQ1614" s="59"/>
      <c r="AR1614" s="59"/>
      <c r="AS1614" s="59"/>
      <c r="AT1614" s="59"/>
      <c r="AU1614" s="59"/>
      <c r="AV1614" s="59"/>
      <c r="AW1614" s="59"/>
      <c r="AX1614" s="59"/>
      <c r="AY1614" s="59"/>
      <c r="AZ1614" s="59"/>
      <c r="BA1614" s="59"/>
      <c r="BB1614" s="59"/>
      <c r="BC1614" s="59"/>
      <c r="BD1614" s="59"/>
      <c r="BE1614" s="59"/>
      <c r="BF1614" s="59"/>
      <c r="BG1614" s="59"/>
      <c r="BH1614" s="59"/>
      <c r="BI1614" s="59"/>
      <c r="BJ1614" s="59"/>
      <c r="BK1614" s="59"/>
      <c r="BL1614" s="59"/>
      <c r="BM1614" s="59"/>
      <c r="BN1614" s="59"/>
      <c r="BO1614" s="59"/>
      <c r="BP1614" s="59"/>
      <c r="BQ1614" s="59"/>
      <c r="BR1614" s="59"/>
      <c r="BS1614" s="59"/>
      <c r="BT1614" s="59"/>
      <c r="BU1614" s="59"/>
      <c r="BV1614" s="59"/>
      <c r="BW1614" s="59"/>
      <c r="BX1614" s="59"/>
      <c r="BY1614" s="59"/>
      <c r="BZ1614" s="59"/>
      <c r="CA1614" s="59"/>
      <c r="CB1614" s="59"/>
      <c r="CC1614" s="59"/>
      <c r="CD1614" s="59"/>
      <c r="CE1614" s="59"/>
      <c r="CF1614" s="59"/>
      <c r="CG1614" s="59"/>
      <c r="CH1614" s="59"/>
      <c r="CI1614" s="59"/>
      <c r="CJ1614" s="59"/>
      <c r="CK1614" s="59"/>
      <c r="CL1614" s="59"/>
      <c r="CM1614" s="59"/>
      <c r="CN1614" s="59"/>
      <c r="CO1614" s="59"/>
      <c r="CP1614" s="59"/>
      <c r="CQ1614" s="59"/>
      <c r="CR1614" s="59"/>
      <c r="CS1614" s="59"/>
      <c r="CT1614" s="59"/>
      <c r="CU1614" s="59"/>
      <c r="CV1614" s="59"/>
      <c r="CW1614" s="59"/>
      <c r="CX1614" s="59"/>
      <c r="CY1614" s="59"/>
      <c r="CZ1614" s="59"/>
      <c r="DA1614" s="59"/>
      <c r="DB1614" s="59"/>
      <c r="DC1614" s="59"/>
      <c r="DD1614" s="59"/>
      <c r="DE1614" s="59"/>
      <c r="DF1614" s="59"/>
      <c r="DG1614" s="59"/>
      <c r="DH1614" s="59"/>
      <c r="DI1614" s="59"/>
      <c r="DJ1614" s="59"/>
      <c r="DK1614" s="59"/>
      <c r="DL1614" s="59"/>
      <c r="DM1614" s="59"/>
      <c r="DN1614" s="59"/>
      <c r="DO1614" s="59"/>
      <c r="DP1614" s="59"/>
      <c r="DQ1614" s="59"/>
      <c r="DR1614" s="59"/>
      <c r="DS1614" s="59"/>
      <c r="DT1614" s="59"/>
      <c r="DU1614" s="59"/>
      <c r="DV1614" s="59"/>
      <c r="DW1614" s="59"/>
      <c r="DX1614" s="59"/>
      <c r="DY1614" s="59"/>
      <c r="DZ1614" s="59"/>
      <c r="EA1614" s="59"/>
      <c r="EB1614" s="59"/>
      <c r="EC1614" s="59"/>
      <c r="ED1614" s="59"/>
      <c r="EE1614" s="59"/>
      <c r="EF1614" s="59"/>
      <c r="EG1614" s="59"/>
      <c r="EH1614" s="59"/>
      <c r="EI1614" s="59"/>
      <c r="EJ1614" s="59"/>
      <c r="EK1614" s="59"/>
      <c r="EL1614" s="59"/>
      <c r="EM1614" s="59"/>
      <c r="EN1614" s="59"/>
      <c r="EO1614" s="59"/>
      <c r="EP1614" s="59"/>
      <c r="EQ1614" s="59"/>
      <c r="ER1614" s="59"/>
      <c r="ES1614" s="59"/>
      <c r="ET1614" s="59"/>
      <c r="EU1614" s="59"/>
      <c r="EV1614" s="59"/>
      <c r="EW1614" s="59"/>
      <c r="EX1614" s="59"/>
      <c r="EY1614" s="59"/>
      <c r="EZ1614" s="59"/>
      <c r="FA1614" s="59"/>
      <c r="FB1614" s="59"/>
      <c r="FC1614" s="59"/>
      <c r="FD1614" s="59"/>
      <c r="FE1614" s="59"/>
      <c r="FF1614" s="59"/>
      <c r="FG1614" s="59"/>
      <c r="FH1614" s="59"/>
      <c r="FI1614" s="59"/>
      <c r="FJ1614" s="59"/>
      <c r="FK1614" s="59"/>
      <c r="FL1614" s="59"/>
      <c r="FM1614" s="59"/>
      <c r="FN1614" s="59"/>
      <c r="FO1614" s="59"/>
      <c r="FP1614" s="59"/>
      <c r="FQ1614" s="59"/>
      <c r="FR1614" s="59"/>
      <c r="FS1614" s="59"/>
      <c r="FT1614" s="59"/>
      <c r="FU1614" s="59"/>
      <c r="FV1614" s="59"/>
      <c r="FW1614" s="59"/>
      <c r="FX1614" s="59"/>
      <c r="FY1614" s="59"/>
      <c r="FZ1614" s="59"/>
      <c r="GA1614" s="59"/>
      <c r="GB1614" s="59"/>
      <c r="GC1614" s="59"/>
    </row>
    <row r="1615">
      <c r="A1615" s="59"/>
      <c r="B1615" s="59"/>
      <c r="C1615" s="59"/>
      <c r="D1615" s="59"/>
      <c r="E1615" s="59"/>
      <c r="F1615" s="59"/>
      <c r="G1615" s="59"/>
      <c r="H1615" s="59"/>
      <c r="I1615" s="59"/>
      <c r="J1615" s="59"/>
      <c r="K1615" s="59"/>
      <c r="L1615" s="59"/>
      <c r="M1615" s="59"/>
      <c r="N1615" s="59"/>
      <c r="O1615" s="59"/>
      <c r="P1615" s="59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59"/>
      <c r="AG1615" s="59"/>
      <c r="AH1615" s="59"/>
      <c r="AI1615" s="59"/>
      <c r="AJ1615" s="59"/>
      <c r="AK1615" s="59"/>
      <c r="AL1615" s="59"/>
      <c r="AM1615" s="59"/>
      <c r="AN1615" s="59"/>
      <c r="AO1615" s="59"/>
      <c r="AP1615" s="59"/>
      <c r="AQ1615" s="59"/>
      <c r="AR1615" s="59"/>
      <c r="AS1615" s="59"/>
      <c r="AT1615" s="59"/>
      <c r="AU1615" s="59"/>
      <c r="AV1615" s="59"/>
      <c r="AW1615" s="59"/>
      <c r="AX1615" s="59"/>
      <c r="AY1615" s="59"/>
      <c r="AZ1615" s="59"/>
      <c r="BA1615" s="59"/>
      <c r="BB1615" s="59"/>
      <c r="BC1615" s="59"/>
      <c r="BD1615" s="59"/>
      <c r="BE1615" s="59"/>
      <c r="BF1615" s="59"/>
      <c r="BG1615" s="59"/>
      <c r="BH1615" s="59"/>
      <c r="BI1615" s="59"/>
      <c r="BJ1615" s="59"/>
      <c r="BK1615" s="59"/>
      <c r="BL1615" s="59"/>
      <c r="BM1615" s="59"/>
      <c r="BN1615" s="59"/>
      <c r="BO1615" s="59"/>
      <c r="BP1615" s="59"/>
      <c r="BQ1615" s="59"/>
      <c r="BR1615" s="59"/>
      <c r="BS1615" s="59"/>
      <c r="BT1615" s="59"/>
      <c r="BU1615" s="59"/>
      <c r="BV1615" s="59"/>
      <c r="BW1615" s="59"/>
      <c r="BX1615" s="59"/>
      <c r="BY1615" s="59"/>
      <c r="BZ1615" s="59"/>
      <c r="CA1615" s="59"/>
      <c r="CB1615" s="59"/>
      <c r="CC1615" s="59"/>
      <c r="CD1615" s="59"/>
      <c r="CE1615" s="59"/>
      <c r="CF1615" s="59"/>
      <c r="CG1615" s="59"/>
      <c r="CH1615" s="59"/>
      <c r="CI1615" s="59"/>
      <c r="CJ1615" s="59"/>
      <c r="CK1615" s="59"/>
      <c r="CL1615" s="59"/>
      <c r="CM1615" s="59"/>
      <c r="CN1615" s="59"/>
      <c r="CO1615" s="59"/>
      <c r="CP1615" s="59"/>
      <c r="CQ1615" s="59"/>
      <c r="CR1615" s="59"/>
      <c r="CS1615" s="59"/>
      <c r="CT1615" s="59"/>
      <c r="CU1615" s="59"/>
      <c r="CV1615" s="59"/>
      <c r="CW1615" s="59"/>
      <c r="CX1615" s="59"/>
      <c r="CY1615" s="59"/>
      <c r="CZ1615" s="59"/>
      <c r="DA1615" s="59"/>
      <c r="DB1615" s="59"/>
      <c r="DC1615" s="59"/>
      <c r="DD1615" s="59"/>
      <c r="DE1615" s="59"/>
      <c r="DF1615" s="59"/>
      <c r="DG1615" s="59"/>
      <c r="DH1615" s="59"/>
      <c r="DI1615" s="59"/>
      <c r="DJ1615" s="59"/>
      <c r="DK1615" s="59"/>
      <c r="DL1615" s="59"/>
      <c r="DM1615" s="59"/>
      <c r="DN1615" s="59"/>
      <c r="DO1615" s="59"/>
      <c r="DP1615" s="59"/>
      <c r="DQ1615" s="59"/>
      <c r="DR1615" s="59"/>
      <c r="DS1615" s="59"/>
      <c r="DT1615" s="59"/>
      <c r="DU1615" s="59"/>
      <c r="DV1615" s="59"/>
      <c r="DW1615" s="59"/>
      <c r="DX1615" s="59"/>
      <c r="DY1615" s="59"/>
      <c r="DZ1615" s="59"/>
      <c r="EA1615" s="59"/>
      <c r="EB1615" s="59"/>
      <c r="EC1615" s="59"/>
      <c r="ED1615" s="59"/>
      <c r="EE1615" s="59"/>
      <c r="EF1615" s="59"/>
      <c r="EG1615" s="59"/>
      <c r="EH1615" s="59"/>
      <c r="EI1615" s="59"/>
      <c r="EJ1615" s="59"/>
      <c r="EK1615" s="59"/>
      <c r="EL1615" s="59"/>
      <c r="EM1615" s="59"/>
      <c r="EN1615" s="59"/>
      <c r="EO1615" s="59"/>
      <c r="EP1615" s="59"/>
      <c r="EQ1615" s="59"/>
      <c r="ER1615" s="59"/>
      <c r="ES1615" s="59"/>
      <c r="ET1615" s="59"/>
      <c r="EU1615" s="59"/>
      <c r="EV1615" s="59"/>
      <c r="EW1615" s="59"/>
      <c r="EX1615" s="59"/>
      <c r="EY1615" s="59"/>
      <c r="EZ1615" s="59"/>
      <c r="FA1615" s="59"/>
      <c r="FB1615" s="59"/>
      <c r="FC1615" s="59"/>
      <c r="FD1615" s="59"/>
      <c r="FE1615" s="59"/>
      <c r="FF1615" s="59"/>
      <c r="FG1615" s="59"/>
      <c r="FH1615" s="59"/>
      <c r="FI1615" s="59"/>
      <c r="FJ1615" s="59"/>
      <c r="FK1615" s="59"/>
      <c r="FL1615" s="59"/>
      <c r="FM1615" s="59"/>
      <c r="FN1615" s="59"/>
      <c r="FO1615" s="59"/>
      <c r="FP1615" s="59"/>
      <c r="FQ1615" s="59"/>
      <c r="FR1615" s="59"/>
      <c r="FS1615" s="59"/>
      <c r="FT1615" s="59"/>
      <c r="FU1615" s="59"/>
      <c r="FV1615" s="59"/>
      <c r="FW1615" s="59"/>
      <c r="FX1615" s="59"/>
      <c r="FY1615" s="59"/>
      <c r="FZ1615" s="59"/>
      <c r="GA1615" s="59"/>
      <c r="GB1615" s="59"/>
      <c r="GC1615" s="59"/>
    </row>
    <row r="1616">
      <c r="A1616" s="59"/>
      <c r="B1616" s="59"/>
      <c r="C1616" s="59"/>
      <c r="D1616" s="59"/>
      <c r="E1616" s="59"/>
      <c r="F1616" s="59"/>
      <c r="G1616" s="59"/>
      <c r="H1616" s="59"/>
      <c r="I1616" s="59"/>
      <c r="J1616" s="59"/>
      <c r="K1616" s="59"/>
      <c r="L1616" s="59"/>
      <c r="M1616" s="59"/>
      <c r="N1616" s="59"/>
      <c r="O1616" s="59"/>
      <c r="P1616" s="59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59"/>
      <c r="AI1616" s="59"/>
      <c r="AJ1616" s="59"/>
      <c r="AK1616" s="59"/>
      <c r="AL1616" s="59"/>
      <c r="AM1616" s="59"/>
      <c r="AN1616" s="59"/>
      <c r="AO1616" s="59"/>
      <c r="AP1616" s="59"/>
      <c r="AQ1616" s="59"/>
      <c r="AR1616" s="59"/>
      <c r="AS1616" s="59"/>
      <c r="AT1616" s="59"/>
      <c r="AU1616" s="59"/>
      <c r="AV1616" s="59"/>
      <c r="AW1616" s="59"/>
      <c r="AX1616" s="59"/>
      <c r="AY1616" s="59"/>
      <c r="AZ1616" s="59"/>
      <c r="BA1616" s="59"/>
      <c r="BB1616" s="59"/>
      <c r="BC1616" s="59"/>
      <c r="BD1616" s="59"/>
      <c r="BE1616" s="59"/>
      <c r="BF1616" s="59"/>
      <c r="BG1616" s="59"/>
      <c r="BH1616" s="59"/>
      <c r="BI1616" s="59"/>
      <c r="BJ1616" s="59"/>
      <c r="BK1616" s="59"/>
      <c r="BL1616" s="59"/>
      <c r="BM1616" s="59"/>
      <c r="BN1616" s="59"/>
      <c r="BO1616" s="59"/>
      <c r="BP1616" s="59"/>
      <c r="BQ1616" s="59"/>
      <c r="BR1616" s="59"/>
      <c r="BS1616" s="59"/>
      <c r="BT1616" s="59"/>
      <c r="BU1616" s="59"/>
      <c r="BV1616" s="59"/>
      <c r="BW1616" s="59"/>
      <c r="BX1616" s="59"/>
      <c r="BY1616" s="59"/>
      <c r="BZ1616" s="59"/>
      <c r="CA1616" s="59"/>
      <c r="CB1616" s="59"/>
      <c r="CC1616" s="59"/>
      <c r="CD1616" s="59"/>
      <c r="CE1616" s="59"/>
      <c r="CF1616" s="59"/>
      <c r="CG1616" s="59"/>
      <c r="CH1616" s="59"/>
      <c r="CI1616" s="59"/>
      <c r="CJ1616" s="59"/>
      <c r="CK1616" s="59"/>
      <c r="CL1616" s="59"/>
      <c r="CM1616" s="59"/>
      <c r="CN1616" s="59"/>
      <c r="CO1616" s="59"/>
      <c r="CP1616" s="59"/>
      <c r="CQ1616" s="59"/>
      <c r="CR1616" s="59"/>
      <c r="CS1616" s="59"/>
      <c r="CT1616" s="59"/>
      <c r="CU1616" s="59"/>
      <c r="CV1616" s="59"/>
      <c r="CW1616" s="59"/>
      <c r="CX1616" s="59"/>
      <c r="CY1616" s="59"/>
      <c r="CZ1616" s="59"/>
      <c r="DA1616" s="59"/>
      <c r="DB1616" s="59"/>
      <c r="DC1616" s="59"/>
      <c r="DD1616" s="59"/>
      <c r="DE1616" s="59"/>
      <c r="DF1616" s="59"/>
      <c r="DG1616" s="59"/>
      <c r="DH1616" s="59"/>
      <c r="DI1616" s="59"/>
      <c r="DJ1616" s="59"/>
      <c r="DK1616" s="59"/>
      <c r="DL1616" s="59"/>
      <c r="DM1616" s="59"/>
      <c r="DN1616" s="59"/>
      <c r="DO1616" s="59"/>
      <c r="DP1616" s="59"/>
      <c r="DQ1616" s="59"/>
      <c r="DR1616" s="59"/>
      <c r="DS1616" s="59"/>
      <c r="DT1616" s="59"/>
      <c r="DU1616" s="59"/>
      <c r="DV1616" s="59"/>
      <c r="DW1616" s="59"/>
      <c r="DX1616" s="59"/>
      <c r="DY1616" s="59"/>
      <c r="DZ1616" s="59"/>
      <c r="EA1616" s="59"/>
      <c r="EB1616" s="59"/>
      <c r="EC1616" s="59"/>
      <c r="ED1616" s="59"/>
      <c r="EE1616" s="59"/>
      <c r="EF1616" s="59"/>
      <c r="EG1616" s="59"/>
      <c r="EH1616" s="59"/>
      <c r="EI1616" s="59"/>
      <c r="EJ1616" s="59"/>
      <c r="EK1616" s="59"/>
      <c r="EL1616" s="59"/>
      <c r="EM1616" s="59"/>
      <c r="EN1616" s="59"/>
      <c r="EO1616" s="59"/>
      <c r="EP1616" s="59"/>
      <c r="EQ1616" s="59"/>
      <c r="ER1616" s="59"/>
      <c r="ES1616" s="59"/>
      <c r="ET1616" s="59"/>
      <c r="EU1616" s="59"/>
      <c r="EV1616" s="59"/>
      <c r="EW1616" s="59"/>
      <c r="EX1616" s="59"/>
      <c r="EY1616" s="59"/>
      <c r="EZ1616" s="59"/>
      <c r="FA1616" s="59"/>
      <c r="FB1616" s="59"/>
      <c r="FC1616" s="59"/>
      <c r="FD1616" s="59"/>
      <c r="FE1616" s="59"/>
      <c r="FF1616" s="59"/>
      <c r="FG1616" s="59"/>
      <c r="FH1616" s="59"/>
      <c r="FI1616" s="59"/>
      <c r="FJ1616" s="59"/>
      <c r="FK1616" s="59"/>
      <c r="FL1616" s="59"/>
      <c r="FM1616" s="59"/>
      <c r="FN1616" s="59"/>
      <c r="FO1616" s="59"/>
      <c r="FP1616" s="59"/>
      <c r="FQ1616" s="59"/>
      <c r="FR1616" s="59"/>
      <c r="FS1616" s="59"/>
      <c r="FT1616" s="59"/>
      <c r="FU1616" s="59"/>
      <c r="FV1616" s="59"/>
      <c r="FW1616" s="59"/>
      <c r="FX1616" s="59"/>
      <c r="FY1616" s="59"/>
      <c r="FZ1616" s="59"/>
      <c r="GA1616" s="59"/>
      <c r="GB1616" s="59"/>
      <c r="GC1616" s="59"/>
    </row>
    <row r="1617">
      <c r="A1617" s="59"/>
      <c r="B1617" s="59"/>
      <c r="C1617" s="59"/>
      <c r="D1617" s="59"/>
      <c r="E1617" s="59"/>
      <c r="F1617" s="59"/>
      <c r="G1617" s="59"/>
      <c r="H1617" s="59"/>
      <c r="I1617" s="59"/>
      <c r="J1617" s="59"/>
      <c r="K1617" s="59"/>
      <c r="L1617" s="59"/>
      <c r="M1617" s="59"/>
      <c r="N1617" s="59"/>
      <c r="O1617" s="59"/>
      <c r="P1617" s="59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59"/>
      <c r="AG1617" s="59"/>
      <c r="AH1617" s="59"/>
      <c r="AI1617" s="59"/>
      <c r="AJ1617" s="59"/>
      <c r="AK1617" s="59"/>
      <c r="AL1617" s="59"/>
      <c r="AM1617" s="59"/>
      <c r="AN1617" s="59"/>
      <c r="AO1617" s="59"/>
      <c r="AP1617" s="59"/>
      <c r="AQ1617" s="59"/>
      <c r="AR1617" s="59"/>
      <c r="AS1617" s="59"/>
      <c r="AT1617" s="59"/>
      <c r="AU1617" s="59"/>
      <c r="AV1617" s="59"/>
      <c r="AW1617" s="59"/>
      <c r="AX1617" s="59"/>
      <c r="AY1617" s="59"/>
      <c r="AZ1617" s="59"/>
      <c r="BA1617" s="59"/>
      <c r="BB1617" s="59"/>
      <c r="BC1617" s="59"/>
      <c r="BD1617" s="59"/>
      <c r="BE1617" s="59"/>
      <c r="BF1617" s="59"/>
      <c r="BG1617" s="59"/>
      <c r="BH1617" s="59"/>
      <c r="BI1617" s="59"/>
      <c r="BJ1617" s="59"/>
      <c r="BK1617" s="59"/>
      <c r="BL1617" s="59"/>
      <c r="BM1617" s="59"/>
      <c r="BN1617" s="59"/>
      <c r="BO1617" s="59"/>
      <c r="BP1617" s="59"/>
      <c r="BQ1617" s="59"/>
      <c r="BR1617" s="59"/>
      <c r="BS1617" s="59"/>
      <c r="BT1617" s="59"/>
      <c r="BU1617" s="59"/>
      <c r="BV1617" s="59"/>
      <c r="BW1617" s="59"/>
      <c r="BX1617" s="59"/>
      <c r="BY1617" s="59"/>
      <c r="BZ1617" s="59"/>
      <c r="CA1617" s="59"/>
      <c r="CB1617" s="59"/>
      <c r="CC1617" s="59"/>
      <c r="CD1617" s="59"/>
      <c r="CE1617" s="59"/>
      <c r="CF1617" s="59"/>
      <c r="CG1617" s="59"/>
      <c r="CH1617" s="59"/>
      <c r="CI1617" s="59"/>
      <c r="CJ1617" s="59"/>
      <c r="CK1617" s="59"/>
      <c r="CL1617" s="59"/>
      <c r="CM1617" s="59"/>
      <c r="CN1617" s="59"/>
      <c r="CO1617" s="59"/>
      <c r="CP1617" s="59"/>
      <c r="CQ1617" s="59"/>
      <c r="CR1617" s="59"/>
      <c r="CS1617" s="59"/>
      <c r="CT1617" s="59"/>
      <c r="CU1617" s="59"/>
      <c r="CV1617" s="59"/>
      <c r="CW1617" s="59"/>
      <c r="CX1617" s="59"/>
      <c r="CY1617" s="59"/>
      <c r="CZ1617" s="59"/>
      <c r="DA1617" s="59"/>
      <c r="DB1617" s="59"/>
      <c r="DC1617" s="59"/>
      <c r="DD1617" s="59"/>
      <c r="DE1617" s="59"/>
      <c r="DF1617" s="59"/>
      <c r="DG1617" s="59"/>
      <c r="DH1617" s="59"/>
      <c r="DI1617" s="59"/>
      <c r="DJ1617" s="59"/>
      <c r="DK1617" s="59"/>
      <c r="DL1617" s="59"/>
      <c r="DM1617" s="59"/>
      <c r="DN1617" s="59"/>
      <c r="DO1617" s="59"/>
      <c r="DP1617" s="59"/>
      <c r="DQ1617" s="59"/>
      <c r="DR1617" s="59"/>
      <c r="DS1617" s="59"/>
      <c r="DT1617" s="59"/>
      <c r="DU1617" s="59"/>
      <c r="DV1617" s="59"/>
      <c r="DW1617" s="59"/>
      <c r="DX1617" s="59"/>
      <c r="DY1617" s="59"/>
      <c r="DZ1617" s="59"/>
      <c r="EA1617" s="59"/>
      <c r="EB1617" s="59"/>
      <c r="EC1617" s="59"/>
      <c r="ED1617" s="59"/>
      <c r="EE1617" s="59"/>
      <c r="EF1617" s="59"/>
      <c r="EG1617" s="59"/>
      <c r="EH1617" s="59"/>
      <c r="EI1617" s="59"/>
      <c r="EJ1617" s="59"/>
      <c r="EK1617" s="59"/>
      <c r="EL1617" s="59"/>
      <c r="EM1617" s="59"/>
      <c r="EN1617" s="59"/>
      <c r="EO1617" s="59"/>
      <c r="EP1617" s="59"/>
      <c r="EQ1617" s="59"/>
      <c r="ER1617" s="59"/>
      <c r="ES1617" s="59"/>
      <c r="ET1617" s="59"/>
      <c r="EU1617" s="59"/>
      <c r="EV1617" s="59"/>
      <c r="EW1617" s="59"/>
      <c r="EX1617" s="59"/>
      <c r="EY1617" s="59"/>
      <c r="EZ1617" s="59"/>
      <c r="FA1617" s="59"/>
      <c r="FB1617" s="59"/>
      <c r="FC1617" s="59"/>
      <c r="FD1617" s="59"/>
      <c r="FE1617" s="59"/>
      <c r="FF1617" s="59"/>
      <c r="FG1617" s="59"/>
      <c r="FH1617" s="59"/>
      <c r="FI1617" s="59"/>
      <c r="FJ1617" s="59"/>
      <c r="FK1617" s="59"/>
      <c r="FL1617" s="59"/>
      <c r="FM1617" s="59"/>
      <c r="FN1617" s="59"/>
      <c r="FO1617" s="59"/>
      <c r="FP1617" s="59"/>
      <c r="FQ1617" s="59"/>
      <c r="FR1617" s="59"/>
      <c r="FS1617" s="59"/>
      <c r="FT1617" s="59"/>
      <c r="FU1617" s="59"/>
      <c r="FV1617" s="59"/>
      <c r="FW1617" s="59"/>
      <c r="FX1617" s="59"/>
      <c r="FY1617" s="59"/>
      <c r="FZ1617" s="59"/>
      <c r="GA1617" s="59"/>
      <c r="GB1617" s="59"/>
      <c r="GC1617" s="59"/>
    </row>
    <row r="1618">
      <c r="A1618" s="59"/>
      <c r="B1618" s="59"/>
      <c r="C1618" s="59"/>
      <c r="D1618" s="59"/>
      <c r="E1618" s="59"/>
      <c r="F1618" s="59"/>
      <c r="G1618" s="59"/>
      <c r="H1618" s="59"/>
      <c r="I1618" s="59"/>
      <c r="J1618" s="59"/>
      <c r="K1618" s="59"/>
      <c r="L1618" s="59"/>
      <c r="M1618" s="59"/>
      <c r="N1618" s="59"/>
      <c r="O1618" s="59"/>
      <c r="P1618" s="59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  <c r="AL1618" s="59"/>
      <c r="AM1618" s="59"/>
      <c r="AN1618" s="59"/>
      <c r="AO1618" s="59"/>
      <c r="AP1618" s="59"/>
      <c r="AQ1618" s="59"/>
      <c r="AR1618" s="59"/>
      <c r="AS1618" s="59"/>
      <c r="AT1618" s="59"/>
      <c r="AU1618" s="59"/>
      <c r="AV1618" s="59"/>
      <c r="AW1618" s="59"/>
      <c r="AX1618" s="59"/>
      <c r="AY1618" s="59"/>
      <c r="AZ1618" s="59"/>
      <c r="BA1618" s="59"/>
      <c r="BB1618" s="59"/>
      <c r="BC1618" s="59"/>
      <c r="BD1618" s="59"/>
      <c r="BE1618" s="59"/>
      <c r="BF1618" s="59"/>
      <c r="BG1618" s="59"/>
      <c r="BH1618" s="59"/>
      <c r="BI1618" s="59"/>
      <c r="BJ1618" s="59"/>
      <c r="BK1618" s="59"/>
      <c r="BL1618" s="59"/>
      <c r="BM1618" s="59"/>
      <c r="BN1618" s="59"/>
      <c r="BO1618" s="59"/>
      <c r="BP1618" s="59"/>
      <c r="BQ1618" s="59"/>
      <c r="BR1618" s="59"/>
      <c r="BS1618" s="59"/>
      <c r="BT1618" s="59"/>
      <c r="BU1618" s="59"/>
      <c r="BV1618" s="59"/>
      <c r="BW1618" s="59"/>
      <c r="BX1618" s="59"/>
      <c r="BY1618" s="59"/>
      <c r="BZ1618" s="59"/>
      <c r="CA1618" s="59"/>
      <c r="CB1618" s="59"/>
      <c r="CC1618" s="59"/>
      <c r="CD1618" s="59"/>
      <c r="CE1618" s="59"/>
      <c r="CF1618" s="59"/>
      <c r="CG1618" s="59"/>
      <c r="CH1618" s="59"/>
      <c r="CI1618" s="59"/>
      <c r="CJ1618" s="59"/>
      <c r="CK1618" s="59"/>
      <c r="CL1618" s="59"/>
      <c r="CM1618" s="59"/>
      <c r="CN1618" s="59"/>
      <c r="CO1618" s="59"/>
      <c r="CP1618" s="59"/>
      <c r="CQ1618" s="59"/>
      <c r="CR1618" s="59"/>
      <c r="CS1618" s="59"/>
      <c r="CT1618" s="59"/>
      <c r="CU1618" s="59"/>
      <c r="CV1618" s="59"/>
      <c r="CW1618" s="59"/>
      <c r="CX1618" s="59"/>
      <c r="CY1618" s="59"/>
      <c r="CZ1618" s="59"/>
      <c r="DA1618" s="59"/>
      <c r="DB1618" s="59"/>
      <c r="DC1618" s="59"/>
      <c r="DD1618" s="59"/>
      <c r="DE1618" s="59"/>
      <c r="DF1618" s="59"/>
      <c r="DG1618" s="59"/>
      <c r="DH1618" s="59"/>
      <c r="DI1618" s="59"/>
      <c r="DJ1618" s="59"/>
      <c r="DK1618" s="59"/>
      <c r="DL1618" s="59"/>
      <c r="DM1618" s="59"/>
      <c r="DN1618" s="59"/>
      <c r="DO1618" s="59"/>
      <c r="DP1618" s="59"/>
      <c r="DQ1618" s="59"/>
      <c r="DR1618" s="59"/>
      <c r="DS1618" s="59"/>
      <c r="DT1618" s="59"/>
      <c r="DU1618" s="59"/>
      <c r="DV1618" s="59"/>
      <c r="DW1618" s="59"/>
      <c r="DX1618" s="59"/>
      <c r="DY1618" s="59"/>
      <c r="DZ1618" s="59"/>
      <c r="EA1618" s="59"/>
      <c r="EB1618" s="59"/>
      <c r="EC1618" s="59"/>
      <c r="ED1618" s="59"/>
      <c r="EE1618" s="59"/>
      <c r="EF1618" s="59"/>
      <c r="EG1618" s="59"/>
      <c r="EH1618" s="59"/>
      <c r="EI1618" s="59"/>
      <c r="EJ1618" s="59"/>
      <c r="EK1618" s="59"/>
      <c r="EL1618" s="59"/>
      <c r="EM1618" s="59"/>
      <c r="EN1618" s="59"/>
      <c r="EO1618" s="59"/>
      <c r="EP1618" s="59"/>
      <c r="EQ1618" s="59"/>
      <c r="ER1618" s="59"/>
      <c r="ES1618" s="59"/>
      <c r="ET1618" s="59"/>
      <c r="EU1618" s="59"/>
      <c r="EV1618" s="59"/>
      <c r="EW1618" s="59"/>
      <c r="EX1618" s="59"/>
      <c r="EY1618" s="59"/>
      <c r="EZ1618" s="59"/>
      <c r="FA1618" s="59"/>
      <c r="FB1618" s="59"/>
      <c r="FC1618" s="59"/>
      <c r="FD1618" s="59"/>
      <c r="FE1618" s="59"/>
      <c r="FF1618" s="59"/>
      <c r="FG1618" s="59"/>
      <c r="FH1618" s="59"/>
      <c r="FI1618" s="59"/>
      <c r="FJ1618" s="59"/>
      <c r="FK1618" s="59"/>
      <c r="FL1618" s="59"/>
      <c r="FM1618" s="59"/>
      <c r="FN1618" s="59"/>
      <c r="FO1618" s="59"/>
      <c r="FP1618" s="59"/>
      <c r="FQ1618" s="59"/>
      <c r="FR1618" s="59"/>
      <c r="FS1618" s="59"/>
      <c r="FT1618" s="59"/>
      <c r="FU1618" s="59"/>
      <c r="FV1618" s="59"/>
      <c r="FW1618" s="59"/>
      <c r="FX1618" s="59"/>
      <c r="FY1618" s="59"/>
      <c r="FZ1618" s="59"/>
      <c r="GA1618" s="59"/>
      <c r="GB1618" s="59"/>
      <c r="GC1618" s="59"/>
    </row>
    <row r="1619">
      <c r="A1619" s="59"/>
      <c r="B1619" s="59"/>
      <c r="C1619" s="59"/>
      <c r="D1619" s="59"/>
      <c r="E1619" s="59"/>
      <c r="F1619" s="59"/>
      <c r="G1619" s="59"/>
      <c r="H1619" s="59"/>
      <c r="I1619" s="59"/>
      <c r="J1619" s="59"/>
      <c r="K1619" s="59"/>
      <c r="L1619" s="59"/>
      <c r="M1619" s="59"/>
      <c r="N1619" s="59"/>
      <c r="O1619" s="59"/>
      <c r="P1619" s="59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59"/>
      <c r="AG1619" s="59"/>
      <c r="AH1619" s="59"/>
      <c r="AI1619" s="59"/>
      <c r="AJ1619" s="59"/>
      <c r="AK1619" s="59"/>
      <c r="AL1619" s="59"/>
      <c r="AM1619" s="59"/>
      <c r="AN1619" s="59"/>
      <c r="AO1619" s="59"/>
      <c r="AP1619" s="59"/>
      <c r="AQ1619" s="59"/>
      <c r="AR1619" s="59"/>
      <c r="AS1619" s="59"/>
      <c r="AT1619" s="59"/>
      <c r="AU1619" s="59"/>
      <c r="AV1619" s="59"/>
      <c r="AW1619" s="59"/>
      <c r="AX1619" s="59"/>
      <c r="AY1619" s="59"/>
      <c r="AZ1619" s="59"/>
      <c r="BA1619" s="59"/>
      <c r="BB1619" s="59"/>
      <c r="BC1619" s="59"/>
      <c r="BD1619" s="59"/>
      <c r="BE1619" s="59"/>
      <c r="BF1619" s="59"/>
      <c r="BG1619" s="59"/>
      <c r="BH1619" s="59"/>
      <c r="BI1619" s="59"/>
      <c r="BJ1619" s="59"/>
      <c r="BK1619" s="59"/>
      <c r="BL1619" s="59"/>
      <c r="BM1619" s="59"/>
      <c r="BN1619" s="59"/>
      <c r="BO1619" s="59"/>
      <c r="BP1619" s="59"/>
      <c r="BQ1619" s="59"/>
      <c r="BR1619" s="59"/>
      <c r="BS1619" s="59"/>
      <c r="BT1619" s="59"/>
      <c r="BU1619" s="59"/>
      <c r="BV1619" s="59"/>
      <c r="BW1619" s="59"/>
      <c r="BX1619" s="59"/>
      <c r="BY1619" s="59"/>
      <c r="BZ1619" s="59"/>
      <c r="CA1619" s="59"/>
      <c r="CB1619" s="59"/>
      <c r="CC1619" s="59"/>
      <c r="CD1619" s="59"/>
      <c r="CE1619" s="59"/>
      <c r="CF1619" s="59"/>
      <c r="CG1619" s="59"/>
      <c r="CH1619" s="59"/>
      <c r="CI1619" s="59"/>
      <c r="CJ1619" s="59"/>
      <c r="CK1619" s="59"/>
      <c r="CL1619" s="59"/>
      <c r="CM1619" s="59"/>
      <c r="CN1619" s="59"/>
      <c r="CO1619" s="59"/>
      <c r="CP1619" s="59"/>
      <c r="CQ1619" s="59"/>
      <c r="CR1619" s="59"/>
      <c r="CS1619" s="59"/>
      <c r="CT1619" s="59"/>
      <c r="CU1619" s="59"/>
      <c r="CV1619" s="59"/>
      <c r="CW1619" s="59"/>
      <c r="CX1619" s="59"/>
      <c r="CY1619" s="59"/>
      <c r="CZ1619" s="59"/>
      <c r="DA1619" s="59"/>
      <c r="DB1619" s="59"/>
      <c r="DC1619" s="59"/>
      <c r="DD1619" s="59"/>
      <c r="DE1619" s="59"/>
      <c r="DF1619" s="59"/>
      <c r="DG1619" s="59"/>
      <c r="DH1619" s="59"/>
      <c r="DI1619" s="59"/>
      <c r="DJ1619" s="59"/>
      <c r="DK1619" s="59"/>
      <c r="DL1619" s="59"/>
      <c r="DM1619" s="59"/>
      <c r="DN1619" s="59"/>
      <c r="DO1619" s="59"/>
      <c r="DP1619" s="59"/>
      <c r="DQ1619" s="59"/>
      <c r="DR1619" s="59"/>
      <c r="DS1619" s="59"/>
      <c r="DT1619" s="59"/>
      <c r="DU1619" s="59"/>
      <c r="DV1619" s="59"/>
      <c r="DW1619" s="59"/>
      <c r="DX1619" s="59"/>
      <c r="DY1619" s="59"/>
      <c r="DZ1619" s="59"/>
      <c r="EA1619" s="59"/>
      <c r="EB1619" s="59"/>
      <c r="EC1619" s="59"/>
      <c r="ED1619" s="59"/>
      <c r="EE1619" s="59"/>
      <c r="EF1619" s="59"/>
      <c r="EG1619" s="59"/>
      <c r="EH1619" s="59"/>
      <c r="EI1619" s="59"/>
      <c r="EJ1619" s="59"/>
      <c r="EK1619" s="59"/>
      <c r="EL1619" s="59"/>
      <c r="EM1619" s="59"/>
      <c r="EN1619" s="59"/>
      <c r="EO1619" s="59"/>
      <c r="EP1619" s="59"/>
      <c r="EQ1619" s="59"/>
      <c r="ER1619" s="59"/>
      <c r="ES1619" s="59"/>
      <c r="ET1619" s="59"/>
      <c r="EU1619" s="59"/>
      <c r="EV1619" s="59"/>
      <c r="EW1619" s="59"/>
      <c r="EX1619" s="59"/>
      <c r="EY1619" s="59"/>
      <c r="EZ1619" s="59"/>
      <c r="FA1619" s="59"/>
      <c r="FB1619" s="59"/>
      <c r="FC1619" s="59"/>
      <c r="FD1619" s="59"/>
      <c r="FE1619" s="59"/>
      <c r="FF1619" s="59"/>
      <c r="FG1619" s="59"/>
      <c r="FH1619" s="59"/>
      <c r="FI1619" s="59"/>
      <c r="FJ1619" s="59"/>
      <c r="FK1619" s="59"/>
      <c r="FL1619" s="59"/>
      <c r="FM1619" s="59"/>
      <c r="FN1619" s="59"/>
      <c r="FO1619" s="59"/>
      <c r="FP1619" s="59"/>
      <c r="FQ1619" s="59"/>
      <c r="FR1619" s="59"/>
      <c r="FS1619" s="59"/>
      <c r="FT1619" s="59"/>
      <c r="FU1619" s="59"/>
      <c r="FV1619" s="59"/>
      <c r="FW1619" s="59"/>
      <c r="FX1619" s="59"/>
      <c r="FY1619" s="59"/>
      <c r="FZ1619" s="59"/>
      <c r="GA1619" s="59"/>
      <c r="GB1619" s="59"/>
      <c r="GC1619" s="59"/>
    </row>
    <row r="1620">
      <c r="A1620" s="59"/>
      <c r="B1620" s="59"/>
      <c r="C1620" s="59"/>
      <c r="D1620" s="59"/>
      <c r="E1620" s="59"/>
      <c r="F1620" s="59"/>
      <c r="G1620" s="59"/>
      <c r="H1620" s="59"/>
      <c r="I1620" s="59"/>
      <c r="J1620" s="59"/>
      <c r="K1620" s="59"/>
      <c r="L1620" s="59"/>
      <c r="M1620" s="59"/>
      <c r="N1620" s="59"/>
      <c r="O1620" s="59"/>
      <c r="P1620" s="59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59"/>
      <c r="AG1620" s="59"/>
      <c r="AH1620" s="59"/>
      <c r="AI1620" s="59"/>
      <c r="AJ1620" s="59"/>
      <c r="AK1620" s="59"/>
      <c r="AL1620" s="59"/>
      <c r="AM1620" s="59"/>
      <c r="AN1620" s="59"/>
      <c r="AO1620" s="59"/>
      <c r="AP1620" s="59"/>
      <c r="AQ1620" s="59"/>
      <c r="AR1620" s="59"/>
      <c r="AS1620" s="59"/>
      <c r="AT1620" s="59"/>
      <c r="AU1620" s="59"/>
      <c r="AV1620" s="59"/>
      <c r="AW1620" s="59"/>
      <c r="AX1620" s="59"/>
      <c r="AY1620" s="59"/>
      <c r="AZ1620" s="59"/>
      <c r="BA1620" s="59"/>
      <c r="BB1620" s="59"/>
      <c r="BC1620" s="59"/>
      <c r="BD1620" s="59"/>
      <c r="BE1620" s="59"/>
      <c r="BF1620" s="59"/>
      <c r="BG1620" s="59"/>
      <c r="BH1620" s="59"/>
      <c r="BI1620" s="59"/>
      <c r="BJ1620" s="59"/>
      <c r="BK1620" s="59"/>
      <c r="BL1620" s="59"/>
      <c r="BM1620" s="59"/>
      <c r="BN1620" s="59"/>
      <c r="BO1620" s="59"/>
      <c r="BP1620" s="59"/>
      <c r="BQ1620" s="59"/>
      <c r="BR1620" s="59"/>
      <c r="BS1620" s="59"/>
      <c r="BT1620" s="59"/>
      <c r="BU1620" s="59"/>
      <c r="BV1620" s="59"/>
      <c r="BW1620" s="59"/>
      <c r="BX1620" s="59"/>
      <c r="BY1620" s="59"/>
      <c r="BZ1620" s="59"/>
      <c r="CA1620" s="59"/>
      <c r="CB1620" s="59"/>
      <c r="CC1620" s="59"/>
      <c r="CD1620" s="59"/>
      <c r="CE1620" s="59"/>
      <c r="CF1620" s="59"/>
      <c r="CG1620" s="59"/>
      <c r="CH1620" s="59"/>
      <c r="CI1620" s="59"/>
      <c r="CJ1620" s="59"/>
      <c r="CK1620" s="59"/>
      <c r="CL1620" s="59"/>
      <c r="CM1620" s="59"/>
      <c r="CN1620" s="59"/>
      <c r="CO1620" s="59"/>
      <c r="CP1620" s="59"/>
      <c r="CQ1620" s="59"/>
      <c r="CR1620" s="59"/>
      <c r="CS1620" s="59"/>
      <c r="CT1620" s="59"/>
      <c r="CU1620" s="59"/>
      <c r="CV1620" s="59"/>
      <c r="CW1620" s="59"/>
      <c r="CX1620" s="59"/>
      <c r="CY1620" s="59"/>
      <c r="CZ1620" s="59"/>
      <c r="DA1620" s="59"/>
      <c r="DB1620" s="59"/>
      <c r="DC1620" s="59"/>
      <c r="DD1620" s="59"/>
      <c r="DE1620" s="59"/>
      <c r="DF1620" s="59"/>
      <c r="DG1620" s="59"/>
      <c r="DH1620" s="59"/>
      <c r="DI1620" s="59"/>
      <c r="DJ1620" s="59"/>
      <c r="DK1620" s="59"/>
      <c r="DL1620" s="59"/>
      <c r="DM1620" s="59"/>
      <c r="DN1620" s="59"/>
      <c r="DO1620" s="59"/>
      <c r="DP1620" s="59"/>
      <c r="DQ1620" s="59"/>
      <c r="DR1620" s="59"/>
      <c r="DS1620" s="59"/>
      <c r="DT1620" s="59"/>
      <c r="DU1620" s="59"/>
      <c r="DV1620" s="59"/>
      <c r="DW1620" s="59"/>
      <c r="DX1620" s="59"/>
      <c r="DY1620" s="59"/>
      <c r="DZ1620" s="59"/>
      <c r="EA1620" s="59"/>
      <c r="EB1620" s="59"/>
      <c r="EC1620" s="59"/>
      <c r="ED1620" s="59"/>
      <c r="EE1620" s="59"/>
      <c r="EF1620" s="59"/>
      <c r="EG1620" s="59"/>
      <c r="EH1620" s="59"/>
      <c r="EI1620" s="59"/>
      <c r="EJ1620" s="59"/>
      <c r="EK1620" s="59"/>
      <c r="EL1620" s="59"/>
      <c r="EM1620" s="59"/>
      <c r="EN1620" s="59"/>
      <c r="EO1620" s="59"/>
      <c r="EP1620" s="59"/>
      <c r="EQ1620" s="59"/>
      <c r="ER1620" s="59"/>
      <c r="ES1620" s="59"/>
      <c r="ET1620" s="59"/>
      <c r="EU1620" s="59"/>
      <c r="EV1620" s="59"/>
      <c r="EW1620" s="59"/>
      <c r="EX1620" s="59"/>
      <c r="EY1620" s="59"/>
      <c r="EZ1620" s="59"/>
      <c r="FA1620" s="59"/>
      <c r="FB1620" s="59"/>
      <c r="FC1620" s="59"/>
      <c r="FD1620" s="59"/>
      <c r="FE1620" s="59"/>
      <c r="FF1620" s="59"/>
      <c r="FG1620" s="59"/>
      <c r="FH1620" s="59"/>
      <c r="FI1620" s="59"/>
      <c r="FJ1620" s="59"/>
      <c r="FK1620" s="59"/>
      <c r="FL1620" s="59"/>
      <c r="FM1620" s="59"/>
      <c r="FN1620" s="59"/>
      <c r="FO1620" s="59"/>
      <c r="FP1620" s="59"/>
      <c r="FQ1620" s="59"/>
      <c r="FR1620" s="59"/>
      <c r="FS1620" s="59"/>
      <c r="FT1620" s="59"/>
      <c r="FU1620" s="59"/>
      <c r="FV1620" s="59"/>
      <c r="FW1620" s="59"/>
      <c r="FX1620" s="59"/>
      <c r="FY1620" s="59"/>
      <c r="FZ1620" s="59"/>
      <c r="GA1620" s="59"/>
      <c r="GB1620" s="59"/>
      <c r="GC1620" s="59"/>
    </row>
    <row r="1621">
      <c r="A1621" s="59"/>
      <c r="B1621" s="59"/>
      <c r="C1621" s="59"/>
      <c r="D1621" s="59"/>
      <c r="E1621" s="59"/>
      <c r="F1621" s="59"/>
      <c r="G1621" s="59"/>
      <c r="H1621" s="59"/>
      <c r="I1621" s="59"/>
      <c r="J1621" s="59"/>
      <c r="K1621" s="59"/>
      <c r="L1621" s="59"/>
      <c r="M1621" s="59"/>
      <c r="N1621" s="59"/>
      <c r="O1621" s="59"/>
      <c r="P1621" s="59"/>
      <c r="Q1621" s="59"/>
      <c r="R1621" s="59"/>
      <c r="S1621" s="59"/>
      <c r="T1621" s="59"/>
      <c r="U1621" s="59"/>
      <c r="V1621" s="59"/>
      <c r="W1621" s="59"/>
      <c r="X1621" s="59"/>
      <c r="Y1621" s="59"/>
      <c r="Z1621" s="59"/>
      <c r="AA1621" s="59"/>
      <c r="AB1621" s="59"/>
      <c r="AC1621" s="59"/>
      <c r="AD1621" s="59"/>
      <c r="AE1621" s="59"/>
      <c r="AF1621" s="59"/>
      <c r="AG1621" s="59"/>
      <c r="AH1621" s="59"/>
      <c r="AI1621" s="59"/>
      <c r="AJ1621" s="59"/>
      <c r="AK1621" s="59"/>
      <c r="AL1621" s="59"/>
      <c r="AM1621" s="59"/>
      <c r="AN1621" s="59"/>
      <c r="AO1621" s="59"/>
      <c r="AP1621" s="59"/>
      <c r="AQ1621" s="59"/>
      <c r="AR1621" s="59"/>
      <c r="AS1621" s="59"/>
      <c r="AT1621" s="59"/>
      <c r="AU1621" s="59"/>
      <c r="AV1621" s="59"/>
      <c r="AW1621" s="59"/>
      <c r="AX1621" s="59"/>
      <c r="AY1621" s="59"/>
      <c r="AZ1621" s="59"/>
      <c r="BA1621" s="59"/>
      <c r="BB1621" s="59"/>
      <c r="BC1621" s="59"/>
      <c r="BD1621" s="59"/>
      <c r="BE1621" s="59"/>
      <c r="BF1621" s="59"/>
      <c r="BG1621" s="59"/>
      <c r="BH1621" s="59"/>
      <c r="BI1621" s="59"/>
      <c r="BJ1621" s="59"/>
      <c r="BK1621" s="59"/>
      <c r="BL1621" s="59"/>
      <c r="BM1621" s="59"/>
      <c r="BN1621" s="59"/>
      <c r="BO1621" s="59"/>
      <c r="BP1621" s="59"/>
      <c r="BQ1621" s="59"/>
      <c r="BR1621" s="59"/>
      <c r="BS1621" s="59"/>
      <c r="BT1621" s="59"/>
      <c r="BU1621" s="59"/>
      <c r="BV1621" s="59"/>
      <c r="BW1621" s="59"/>
      <c r="BX1621" s="59"/>
      <c r="BY1621" s="59"/>
      <c r="BZ1621" s="59"/>
      <c r="CA1621" s="59"/>
      <c r="CB1621" s="59"/>
      <c r="CC1621" s="59"/>
      <c r="CD1621" s="59"/>
      <c r="CE1621" s="59"/>
      <c r="CF1621" s="59"/>
      <c r="CG1621" s="59"/>
      <c r="CH1621" s="59"/>
      <c r="CI1621" s="59"/>
      <c r="CJ1621" s="59"/>
      <c r="CK1621" s="59"/>
      <c r="CL1621" s="59"/>
      <c r="CM1621" s="59"/>
      <c r="CN1621" s="59"/>
      <c r="CO1621" s="59"/>
      <c r="CP1621" s="59"/>
      <c r="CQ1621" s="59"/>
      <c r="CR1621" s="59"/>
      <c r="CS1621" s="59"/>
      <c r="CT1621" s="59"/>
      <c r="CU1621" s="59"/>
      <c r="CV1621" s="59"/>
      <c r="CW1621" s="59"/>
      <c r="CX1621" s="59"/>
      <c r="CY1621" s="59"/>
      <c r="CZ1621" s="59"/>
      <c r="DA1621" s="59"/>
      <c r="DB1621" s="59"/>
      <c r="DC1621" s="59"/>
      <c r="DD1621" s="59"/>
      <c r="DE1621" s="59"/>
      <c r="DF1621" s="59"/>
      <c r="DG1621" s="59"/>
      <c r="DH1621" s="59"/>
      <c r="DI1621" s="59"/>
      <c r="DJ1621" s="59"/>
      <c r="DK1621" s="59"/>
      <c r="DL1621" s="59"/>
      <c r="DM1621" s="59"/>
      <c r="DN1621" s="59"/>
      <c r="DO1621" s="59"/>
      <c r="DP1621" s="59"/>
      <c r="DQ1621" s="59"/>
      <c r="DR1621" s="59"/>
      <c r="DS1621" s="59"/>
      <c r="DT1621" s="59"/>
      <c r="DU1621" s="59"/>
      <c r="DV1621" s="59"/>
      <c r="DW1621" s="59"/>
      <c r="DX1621" s="59"/>
      <c r="DY1621" s="59"/>
      <c r="DZ1621" s="59"/>
      <c r="EA1621" s="59"/>
      <c r="EB1621" s="59"/>
      <c r="EC1621" s="59"/>
      <c r="ED1621" s="59"/>
      <c r="EE1621" s="59"/>
      <c r="EF1621" s="59"/>
      <c r="EG1621" s="59"/>
      <c r="EH1621" s="59"/>
      <c r="EI1621" s="59"/>
      <c r="EJ1621" s="59"/>
      <c r="EK1621" s="59"/>
      <c r="EL1621" s="59"/>
      <c r="EM1621" s="59"/>
      <c r="EN1621" s="59"/>
      <c r="EO1621" s="59"/>
      <c r="EP1621" s="59"/>
      <c r="EQ1621" s="59"/>
      <c r="ER1621" s="59"/>
      <c r="ES1621" s="59"/>
      <c r="ET1621" s="59"/>
      <c r="EU1621" s="59"/>
      <c r="EV1621" s="59"/>
      <c r="EW1621" s="59"/>
      <c r="EX1621" s="59"/>
      <c r="EY1621" s="59"/>
      <c r="EZ1621" s="59"/>
      <c r="FA1621" s="59"/>
      <c r="FB1621" s="59"/>
      <c r="FC1621" s="59"/>
      <c r="FD1621" s="59"/>
      <c r="FE1621" s="59"/>
      <c r="FF1621" s="59"/>
      <c r="FG1621" s="59"/>
      <c r="FH1621" s="59"/>
      <c r="FI1621" s="59"/>
      <c r="FJ1621" s="59"/>
      <c r="FK1621" s="59"/>
      <c r="FL1621" s="59"/>
      <c r="FM1621" s="59"/>
      <c r="FN1621" s="59"/>
      <c r="FO1621" s="59"/>
      <c r="FP1621" s="59"/>
      <c r="FQ1621" s="59"/>
      <c r="FR1621" s="59"/>
      <c r="FS1621" s="59"/>
      <c r="FT1621" s="59"/>
      <c r="FU1621" s="59"/>
      <c r="FV1621" s="59"/>
      <c r="FW1621" s="59"/>
      <c r="FX1621" s="59"/>
      <c r="FY1621" s="59"/>
      <c r="FZ1621" s="59"/>
      <c r="GA1621" s="59"/>
      <c r="GB1621" s="59"/>
      <c r="GC1621" s="59"/>
    </row>
    <row r="1622">
      <c r="A1622" s="59"/>
      <c r="B1622" s="59"/>
      <c r="C1622" s="59"/>
      <c r="D1622" s="59"/>
      <c r="E1622" s="59"/>
      <c r="F1622" s="59"/>
      <c r="G1622" s="59"/>
      <c r="H1622" s="59"/>
      <c r="I1622" s="59"/>
      <c r="J1622" s="59"/>
      <c r="K1622" s="59"/>
      <c r="L1622" s="59"/>
      <c r="M1622" s="59"/>
      <c r="N1622" s="59"/>
      <c r="O1622" s="59"/>
      <c r="P1622" s="59"/>
      <c r="Q1622" s="59"/>
      <c r="R1622" s="59"/>
      <c r="S1622" s="59"/>
      <c r="T1622" s="59"/>
      <c r="U1622" s="59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/>
      <c r="AY1622" s="59"/>
      <c r="AZ1622" s="59"/>
      <c r="BA1622" s="59"/>
      <c r="BB1622" s="59"/>
      <c r="BC1622" s="59"/>
      <c r="BD1622" s="59"/>
      <c r="BE1622" s="59"/>
      <c r="BF1622" s="59"/>
      <c r="BG1622" s="59"/>
      <c r="BH1622" s="59"/>
      <c r="BI1622" s="59"/>
      <c r="BJ1622" s="59"/>
      <c r="BK1622" s="59"/>
      <c r="BL1622" s="59"/>
      <c r="BM1622" s="59"/>
      <c r="BN1622" s="59"/>
      <c r="BO1622" s="59"/>
      <c r="BP1622" s="59"/>
      <c r="BQ1622" s="59"/>
      <c r="BR1622" s="59"/>
      <c r="BS1622" s="59"/>
      <c r="BT1622" s="59"/>
      <c r="BU1622" s="59"/>
      <c r="BV1622" s="59"/>
      <c r="BW1622" s="59"/>
      <c r="BX1622" s="59"/>
      <c r="BY1622" s="59"/>
      <c r="BZ1622" s="59"/>
      <c r="CA1622" s="59"/>
      <c r="CB1622" s="59"/>
      <c r="CC1622" s="59"/>
      <c r="CD1622" s="59"/>
      <c r="CE1622" s="59"/>
      <c r="CF1622" s="59"/>
      <c r="CG1622" s="59"/>
      <c r="CH1622" s="59"/>
      <c r="CI1622" s="59"/>
      <c r="CJ1622" s="59"/>
      <c r="CK1622" s="59"/>
      <c r="CL1622" s="59"/>
      <c r="CM1622" s="59"/>
      <c r="CN1622" s="59"/>
      <c r="CO1622" s="59"/>
      <c r="CP1622" s="59"/>
      <c r="CQ1622" s="59"/>
      <c r="CR1622" s="59"/>
      <c r="CS1622" s="59"/>
      <c r="CT1622" s="59"/>
      <c r="CU1622" s="59"/>
      <c r="CV1622" s="59"/>
      <c r="CW1622" s="59"/>
      <c r="CX1622" s="59"/>
      <c r="CY1622" s="59"/>
      <c r="CZ1622" s="59"/>
      <c r="DA1622" s="59"/>
      <c r="DB1622" s="59"/>
      <c r="DC1622" s="59"/>
      <c r="DD1622" s="59"/>
      <c r="DE1622" s="59"/>
      <c r="DF1622" s="59"/>
      <c r="DG1622" s="59"/>
      <c r="DH1622" s="59"/>
      <c r="DI1622" s="59"/>
      <c r="DJ1622" s="59"/>
      <c r="DK1622" s="59"/>
      <c r="DL1622" s="59"/>
      <c r="DM1622" s="59"/>
      <c r="DN1622" s="59"/>
      <c r="DO1622" s="59"/>
      <c r="DP1622" s="59"/>
      <c r="DQ1622" s="59"/>
      <c r="DR1622" s="59"/>
      <c r="DS1622" s="59"/>
      <c r="DT1622" s="59"/>
      <c r="DU1622" s="59"/>
      <c r="DV1622" s="59"/>
      <c r="DW1622" s="59"/>
      <c r="DX1622" s="59"/>
      <c r="DY1622" s="59"/>
      <c r="DZ1622" s="59"/>
      <c r="EA1622" s="59"/>
      <c r="EB1622" s="59"/>
      <c r="EC1622" s="59"/>
      <c r="ED1622" s="59"/>
      <c r="EE1622" s="59"/>
      <c r="EF1622" s="59"/>
      <c r="EG1622" s="59"/>
      <c r="EH1622" s="59"/>
      <c r="EI1622" s="59"/>
      <c r="EJ1622" s="59"/>
      <c r="EK1622" s="59"/>
      <c r="EL1622" s="59"/>
      <c r="EM1622" s="59"/>
      <c r="EN1622" s="59"/>
      <c r="EO1622" s="59"/>
      <c r="EP1622" s="59"/>
      <c r="EQ1622" s="59"/>
      <c r="ER1622" s="59"/>
      <c r="ES1622" s="59"/>
      <c r="ET1622" s="59"/>
      <c r="EU1622" s="59"/>
      <c r="EV1622" s="59"/>
      <c r="EW1622" s="59"/>
      <c r="EX1622" s="59"/>
      <c r="EY1622" s="59"/>
      <c r="EZ1622" s="59"/>
      <c r="FA1622" s="59"/>
      <c r="FB1622" s="59"/>
      <c r="FC1622" s="59"/>
      <c r="FD1622" s="59"/>
      <c r="FE1622" s="59"/>
      <c r="FF1622" s="59"/>
      <c r="FG1622" s="59"/>
      <c r="FH1622" s="59"/>
      <c r="FI1622" s="59"/>
      <c r="FJ1622" s="59"/>
      <c r="FK1622" s="59"/>
      <c r="FL1622" s="59"/>
      <c r="FM1622" s="59"/>
      <c r="FN1622" s="59"/>
      <c r="FO1622" s="59"/>
      <c r="FP1622" s="59"/>
      <c r="FQ1622" s="59"/>
      <c r="FR1622" s="59"/>
      <c r="FS1622" s="59"/>
      <c r="FT1622" s="59"/>
      <c r="FU1622" s="59"/>
      <c r="FV1622" s="59"/>
      <c r="FW1622" s="59"/>
      <c r="FX1622" s="59"/>
      <c r="FY1622" s="59"/>
      <c r="FZ1622" s="59"/>
      <c r="GA1622" s="59"/>
      <c r="GB1622" s="59"/>
      <c r="GC1622" s="59"/>
    </row>
    <row r="1623">
      <c r="A1623" s="59"/>
      <c r="B1623" s="59"/>
      <c r="C1623" s="59"/>
      <c r="D1623" s="59"/>
      <c r="E1623" s="59"/>
      <c r="F1623" s="59"/>
      <c r="G1623" s="59"/>
      <c r="H1623" s="59"/>
      <c r="I1623" s="59"/>
      <c r="J1623" s="59"/>
      <c r="K1623" s="59"/>
      <c r="L1623" s="59"/>
      <c r="M1623" s="59"/>
      <c r="N1623" s="59"/>
      <c r="O1623" s="59"/>
      <c r="P1623" s="59"/>
      <c r="Q1623" s="59"/>
      <c r="R1623" s="59"/>
      <c r="S1623" s="59"/>
      <c r="T1623" s="59"/>
      <c r="U1623" s="59"/>
      <c r="V1623" s="59"/>
      <c r="W1623" s="59"/>
      <c r="X1623" s="59"/>
      <c r="Y1623" s="59"/>
      <c r="Z1623" s="59"/>
      <c r="AA1623" s="59"/>
      <c r="AB1623" s="59"/>
      <c r="AC1623" s="59"/>
      <c r="AD1623" s="59"/>
      <c r="AE1623" s="59"/>
      <c r="AF1623" s="59"/>
      <c r="AG1623" s="59"/>
      <c r="AH1623" s="59"/>
      <c r="AI1623" s="59"/>
      <c r="AJ1623" s="59"/>
      <c r="AK1623" s="59"/>
      <c r="AL1623" s="59"/>
      <c r="AM1623" s="59"/>
      <c r="AN1623" s="59"/>
      <c r="AO1623" s="59"/>
      <c r="AP1623" s="59"/>
      <c r="AQ1623" s="59"/>
      <c r="AR1623" s="59"/>
      <c r="AS1623" s="59"/>
      <c r="AT1623" s="59"/>
      <c r="AU1623" s="59"/>
      <c r="AV1623" s="59"/>
      <c r="AW1623" s="59"/>
      <c r="AX1623" s="59"/>
      <c r="AY1623" s="59"/>
      <c r="AZ1623" s="59"/>
      <c r="BA1623" s="59"/>
      <c r="BB1623" s="59"/>
      <c r="BC1623" s="59"/>
      <c r="BD1623" s="59"/>
      <c r="BE1623" s="59"/>
      <c r="BF1623" s="59"/>
      <c r="BG1623" s="59"/>
      <c r="BH1623" s="59"/>
      <c r="BI1623" s="59"/>
      <c r="BJ1623" s="59"/>
      <c r="BK1623" s="59"/>
      <c r="BL1623" s="59"/>
      <c r="BM1623" s="59"/>
      <c r="BN1623" s="59"/>
      <c r="BO1623" s="59"/>
      <c r="BP1623" s="59"/>
      <c r="BQ1623" s="59"/>
      <c r="BR1623" s="59"/>
      <c r="BS1623" s="59"/>
      <c r="BT1623" s="59"/>
      <c r="BU1623" s="59"/>
      <c r="BV1623" s="59"/>
      <c r="BW1623" s="59"/>
      <c r="BX1623" s="59"/>
      <c r="BY1623" s="59"/>
      <c r="BZ1623" s="59"/>
      <c r="CA1623" s="59"/>
      <c r="CB1623" s="59"/>
      <c r="CC1623" s="59"/>
      <c r="CD1623" s="59"/>
      <c r="CE1623" s="59"/>
      <c r="CF1623" s="59"/>
      <c r="CG1623" s="59"/>
      <c r="CH1623" s="59"/>
      <c r="CI1623" s="59"/>
      <c r="CJ1623" s="59"/>
      <c r="CK1623" s="59"/>
      <c r="CL1623" s="59"/>
      <c r="CM1623" s="59"/>
      <c r="CN1623" s="59"/>
      <c r="CO1623" s="59"/>
      <c r="CP1623" s="59"/>
      <c r="CQ1623" s="59"/>
      <c r="CR1623" s="59"/>
      <c r="CS1623" s="59"/>
      <c r="CT1623" s="59"/>
      <c r="CU1623" s="59"/>
      <c r="CV1623" s="59"/>
      <c r="CW1623" s="59"/>
      <c r="CX1623" s="59"/>
      <c r="CY1623" s="59"/>
      <c r="CZ1623" s="59"/>
      <c r="DA1623" s="59"/>
      <c r="DB1623" s="59"/>
      <c r="DC1623" s="59"/>
      <c r="DD1623" s="59"/>
      <c r="DE1623" s="59"/>
      <c r="DF1623" s="59"/>
      <c r="DG1623" s="59"/>
      <c r="DH1623" s="59"/>
      <c r="DI1623" s="59"/>
      <c r="DJ1623" s="59"/>
      <c r="DK1623" s="59"/>
      <c r="DL1623" s="59"/>
      <c r="DM1623" s="59"/>
      <c r="DN1623" s="59"/>
      <c r="DO1623" s="59"/>
      <c r="DP1623" s="59"/>
      <c r="DQ1623" s="59"/>
      <c r="DR1623" s="59"/>
      <c r="DS1623" s="59"/>
      <c r="DT1623" s="59"/>
      <c r="DU1623" s="59"/>
      <c r="DV1623" s="59"/>
      <c r="DW1623" s="59"/>
      <c r="DX1623" s="59"/>
      <c r="DY1623" s="59"/>
      <c r="DZ1623" s="59"/>
      <c r="EA1623" s="59"/>
      <c r="EB1623" s="59"/>
      <c r="EC1623" s="59"/>
      <c r="ED1623" s="59"/>
      <c r="EE1623" s="59"/>
      <c r="EF1623" s="59"/>
      <c r="EG1623" s="59"/>
      <c r="EH1623" s="59"/>
      <c r="EI1623" s="59"/>
      <c r="EJ1623" s="59"/>
      <c r="EK1623" s="59"/>
      <c r="EL1623" s="59"/>
      <c r="EM1623" s="59"/>
      <c r="EN1623" s="59"/>
      <c r="EO1623" s="59"/>
      <c r="EP1623" s="59"/>
      <c r="EQ1623" s="59"/>
      <c r="ER1623" s="59"/>
      <c r="ES1623" s="59"/>
      <c r="ET1623" s="59"/>
      <c r="EU1623" s="59"/>
      <c r="EV1623" s="59"/>
      <c r="EW1623" s="59"/>
      <c r="EX1623" s="59"/>
      <c r="EY1623" s="59"/>
      <c r="EZ1623" s="59"/>
      <c r="FA1623" s="59"/>
      <c r="FB1623" s="59"/>
      <c r="FC1623" s="59"/>
      <c r="FD1623" s="59"/>
      <c r="FE1623" s="59"/>
      <c r="FF1623" s="59"/>
      <c r="FG1623" s="59"/>
      <c r="FH1623" s="59"/>
      <c r="FI1623" s="59"/>
      <c r="FJ1623" s="59"/>
      <c r="FK1623" s="59"/>
      <c r="FL1623" s="59"/>
      <c r="FM1623" s="59"/>
      <c r="FN1623" s="59"/>
      <c r="FO1623" s="59"/>
      <c r="FP1623" s="59"/>
      <c r="FQ1623" s="59"/>
      <c r="FR1623" s="59"/>
      <c r="FS1623" s="59"/>
      <c r="FT1623" s="59"/>
      <c r="FU1623" s="59"/>
      <c r="FV1623" s="59"/>
      <c r="FW1623" s="59"/>
      <c r="FX1623" s="59"/>
      <c r="FY1623" s="59"/>
      <c r="FZ1623" s="59"/>
      <c r="GA1623" s="59"/>
      <c r="GB1623" s="59"/>
      <c r="GC1623" s="59"/>
    </row>
    <row r="1624">
      <c r="A1624" s="59"/>
      <c r="B1624" s="59"/>
      <c r="C1624" s="59"/>
      <c r="D1624" s="59"/>
      <c r="E1624" s="59"/>
      <c r="F1624" s="59"/>
      <c r="G1624" s="59"/>
      <c r="H1624" s="59"/>
      <c r="I1624" s="59"/>
      <c r="J1624" s="59"/>
      <c r="K1624" s="59"/>
      <c r="L1624" s="59"/>
      <c r="M1624" s="59"/>
      <c r="N1624" s="59"/>
      <c r="O1624" s="59"/>
      <c r="P1624" s="59"/>
      <c r="Q1624" s="59"/>
      <c r="R1624" s="59"/>
      <c r="S1624" s="59"/>
      <c r="T1624" s="59"/>
      <c r="U1624" s="59"/>
      <c r="V1624" s="59"/>
      <c r="W1624" s="59"/>
      <c r="X1624" s="59"/>
      <c r="Y1624" s="59"/>
      <c r="Z1624" s="59"/>
      <c r="AA1624" s="59"/>
      <c r="AB1624" s="59"/>
      <c r="AC1624" s="59"/>
      <c r="AD1624" s="59"/>
      <c r="AE1624" s="59"/>
      <c r="AF1624" s="59"/>
      <c r="AG1624" s="59"/>
      <c r="AH1624" s="59"/>
      <c r="AI1624" s="59"/>
      <c r="AJ1624" s="59"/>
      <c r="AK1624" s="59"/>
      <c r="AL1624" s="59"/>
      <c r="AM1624" s="59"/>
      <c r="AN1624" s="59"/>
      <c r="AO1624" s="59"/>
      <c r="AP1624" s="59"/>
      <c r="AQ1624" s="59"/>
      <c r="AR1624" s="59"/>
      <c r="AS1624" s="59"/>
      <c r="AT1624" s="59"/>
      <c r="AU1624" s="59"/>
      <c r="AV1624" s="59"/>
      <c r="AW1624" s="59"/>
      <c r="AX1624" s="59"/>
      <c r="AY1624" s="59"/>
      <c r="AZ1624" s="59"/>
      <c r="BA1624" s="59"/>
      <c r="BB1624" s="59"/>
      <c r="BC1624" s="59"/>
      <c r="BD1624" s="59"/>
      <c r="BE1624" s="59"/>
      <c r="BF1624" s="59"/>
      <c r="BG1624" s="59"/>
      <c r="BH1624" s="59"/>
      <c r="BI1624" s="59"/>
      <c r="BJ1624" s="59"/>
      <c r="BK1624" s="59"/>
      <c r="BL1624" s="59"/>
      <c r="BM1624" s="59"/>
      <c r="BN1624" s="59"/>
      <c r="BO1624" s="59"/>
      <c r="BP1624" s="59"/>
      <c r="BQ1624" s="59"/>
      <c r="BR1624" s="59"/>
      <c r="BS1624" s="59"/>
      <c r="BT1624" s="59"/>
      <c r="BU1624" s="59"/>
      <c r="BV1624" s="59"/>
      <c r="BW1624" s="59"/>
      <c r="BX1624" s="59"/>
      <c r="BY1624" s="59"/>
      <c r="BZ1624" s="59"/>
      <c r="CA1624" s="59"/>
      <c r="CB1624" s="59"/>
      <c r="CC1624" s="59"/>
      <c r="CD1624" s="59"/>
      <c r="CE1624" s="59"/>
      <c r="CF1624" s="59"/>
      <c r="CG1624" s="59"/>
      <c r="CH1624" s="59"/>
      <c r="CI1624" s="59"/>
      <c r="CJ1624" s="59"/>
      <c r="CK1624" s="59"/>
      <c r="CL1624" s="59"/>
      <c r="CM1624" s="59"/>
      <c r="CN1624" s="59"/>
      <c r="CO1624" s="59"/>
      <c r="CP1624" s="59"/>
      <c r="CQ1624" s="59"/>
      <c r="CR1624" s="59"/>
      <c r="CS1624" s="59"/>
      <c r="CT1624" s="59"/>
      <c r="CU1624" s="59"/>
      <c r="CV1624" s="59"/>
      <c r="CW1624" s="59"/>
      <c r="CX1624" s="59"/>
      <c r="CY1624" s="59"/>
      <c r="CZ1624" s="59"/>
      <c r="DA1624" s="59"/>
      <c r="DB1624" s="59"/>
      <c r="DC1624" s="59"/>
      <c r="DD1624" s="59"/>
      <c r="DE1624" s="59"/>
      <c r="DF1624" s="59"/>
      <c r="DG1624" s="59"/>
      <c r="DH1624" s="59"/>
      <c r="DI1624" s="59"/>
      <c r="DJ1624" s="59"/>
      <c r="DK1624" s="59"/>
      <c r="DL1624" s="59"/>
      <c r="DM1624" s="59"/>
      <c r="DN1624" s="59"/>
      <c r="DO1624" s="59"/>
      <c r="DP1624" s="59"/>
      <c r="DQ1624" s="59"/>
      <c r="DR1624" s="59"/>
      <c r="DS1624" s="59"/>
      <c r="DT1624" s="59"/>
      <c r="DU1624" s="59"/>
      <c r="DV1624" s="59"/>
      <c r="DW1624" s="59"/>
      <c r="DX1624" s="59"/>
      <c r="DY1624" s="59"/>
      <c r="DZ1624" s="59"/>
      <c r="EA1624" s="59"/>
      <c r="EB1624" s="59"/>
      <c r="EC1624" s="59"/>
      <c r="ED1624" s="59"/>
      <c r="EE1624" s="59"/>
      <c r="EF1624" s="59"/>
      <c r="EG1624" s="59"/>
      <c r="EH1624" s="59"/>
      <c r="EI1624" s="59"/>
      <c r="EJ1624" s="59"/>
      <c r="EK1624" s="59"/>
      <c r="EL1624" s="59"/>
      <c r="EM1624" s="59"/>
      <c r="EN1624" s="59"/>
      <c r="EO1624" s="59"/>
      <c r="EP1624" s="59"/>
      <c r="EQ1624" s="59"/>
      <c r="ER1624" s="59"/>
      <c r="ES1624" s="59"/>
      <c r="ET1624" s="59"/>
      <c r="EU1624" s="59"/>
      <c r="EV1624" s="59"/>
      <c r="EW1624" s="59"/>
      <c r="EX1624" s="59"/>
      <c r="EY1624" s="59"/>
      <c r="EZ1624" s="59"/>
      <c r="FA1624" s="59"/>
      <c r="FB1624" s="59"/>
      <c r="FC1624" s="59"/>
      <c r="FD1624" s="59"/>
      <c r="FE1624" s="59"/>
      <c r="FF1624" s="59"/>
      <c r="FG1624" s="59"/>
      <c r="FH1624" s="59"/>
      <c r="FI1624" s="59"/>
      <c r="FJ1624" s="59"/>
      <c r="FK1624" s="59"/>
      <c r="FL1624" s="59"/>
      <c r="FM1624" s="59"/>
      <c r="FN1624" s="59"/>
      <c r="FO1624" s="59"/>
      <c r="FP1624" s="59"/>
      <c r="FQ1624" s="59"/>
      <c r="FR1624" s="59"/>
      <c r="FS1624" s="59"/>
      <c r="FT1624" s="59"/>
      <c r="FU1624" s="59"/>
      <c r="FV1624" s="59"/>
      <c r="FW1624" s="59"/>
      <c r="FX1624" s="59"/>
      <c r="FY1624" s="59"/>
      <c r="FZ1624" s="59"/>
      <c r="GA1624" s="59"/>
      <c r="GB1624" s="59"/>
      <c r="GC1624" s="59"/>
    </row>
    <row r="1625">
      <c r="A1625" s="59"/>
      <c r="B1625" s="59"/>
      <c r="C1625" s="59"/>
      <c r="D1625" s="59"/>
      <c r="E1625" s="59"/>
      <c r="F1625" s="59"/>
      <c r="G1625" s="59"/>
      <c r="H1625" s="59"/>
      <c r="I1625" s="59"/>
      <c r="J1625" s="59"/>
      <c r="K1625" s="59"/>
      <c r="L1625" s="59"/>
      <c r="M1625" s="59"/>
      <c r="N1625" s="59"/>
      <c r="O1625" s="59"/>
      <c r="P1625" s="59"/>
      <c r="Q1625" s="59"/>
      <c r="R1625" s="59"/>
      <c r="S1625" s="59"/>
      <c r="T1625" s="59"/>
      <c r="U1625" s="59"/>
      <c r="V1625" s="59"/>
      <c r="W1625" s="59"/>
      <c r="X1625" s="59"/>
      <c r="Y1625" s="59"/>
      <c r="Z1625" s="59"/>
      <c r="AA1625" s="59"/>
      <c r="AB1625" s="59"/>
      <c r="AC1625" s="59"/>
      <c r="AD1625" s="59"/>
      <c r="AE1625" s="59"/>
      <c r="AF1625" s="59"/>
      <c r="AG1625" s="59"/>
      <c r="AH1625" s="59"/>
      <c r="AI1625" s="59"/>
      <c r="AJ1625" s="59"/>
      <c r="AK1625" s="59"/>
      <c r="AL1625" s="59"/>
      <c r="AM1625" s="59"/>
      <c r="AN1625" s="59"/>
      <c r="AO1625" s="59"/>
      <c r="AP1625" s="59"/>
      <c r="AQ1625" s="59"/>
      <c r="AR1625" s="59"/>
      <c r="AS1625" s="59"/>
      <c r="AT1625" s="59"/>
      <c r="AU1625" s="59"/>
      <c r="AV1625" s="59"/>
      <c r="AW1625" s="59"/>
      <c r="AX1625" s="59"/>
      <c r="AY1625" s="59"/>
      <c r="AZ1625" s="59"/>
      <c r="BA1625" s="59"/>
      <c r="BB1625" s="59"/>
      <c r="BC1625" s="59"/>
      <c r="BD1625" s="59"/>
      <c r="BE1625" s="59"/>
      <c r="BF1625" s="59"/>
      <c r="BG1625" s="59"/>
      <c r="BH1625" s="59"/>
      <c r="BI1625" s="59"/>
      <c r="BJ1625" s="59"/>
      <c r="BK1625" s="59"/>
      <c r="BL1625" s="59"/>
      <c r="BM1625" s="59"/>
      <c r="BN1625" s="59"/>
      <c r="BO1625" s="59"/>
      <c r="BP1625" s="59"/>
      <c r="BQ1625" s="59"/>
      <c r="BR1625" s="59"/>
      <c r="BS1625" s="59"/>
      <c r="BT1625" s="59"/>
      <c r="BU1625" s="59"/>
      <c r="BV1625" s="59"/>
      <c r="BW1625" s="59"/>
      <c r="BX1625" s="59"/>
      <c r="BY1625" s="59"/>
      <c r="BZ1625" s="59"/>
      <c r="CA1625" s="59"/>
      <c r="CB1625" s="59"/>
      <c r="CC1625" s="59"/>
      <c r="CD1625" s="59"/>
      <c r="CE1625" s="59"/>
      <c r="CF1625" s="59"/>
      <c r="CG1625" s="59"/>
      <c r="CH1625" s="59"/>
      <c r="CI1625" s="59"/>
      <c r="CJ1625" s="59"/>
      <c r="CK1625" s="59"/>
      <c r="CL1625" s="59"/>
      <c r="CM1625" s="59"/>
      <c r="CN1625" s="59"/>
      <c r="CO1625" s="59"/>
      <c r="CP1625" s="59"/>
      <c r="CQ1625" s="59"/>
      <c r="CR1625" s="59"/>
      <c r="CS1625" s="59"/>
      <c r="CT1625" s="59"/>
      <c r="CU1625" s="59"/>
      <c r="CV1625" s="59"/>
      <c r="CW1625" s="59"/>
      <c r="CX1625" s="59"/>
      <c r="CY1625" s="59"/>
      <c r="CZ1625" s="59"/>
      <c r="DA1625" s="59"/>
      <c r="DB1625" s="59"/>
      <c r="DC1625" s="59"/>
      <c r="DD1625" s="59"/>
      <c r="DE1625" s="59"/>
      <c r="DF1625" s="59"/>
      <c r="DG1625" s="59"/>
      <c r="DH1625" s="59"/>
      <c r="DI1625" s="59"/>
      <c r="DJ1625" s="59"/>
      <c r="DK1625" s="59"/>
      <c r="DL1625" s="59"/>
      <c r="DM1625" s="59"/>
      <c r="DN1625" s="59"/>
      <c r="DO1625" s="59"/>
      <c r="DP1625" s="59"/>
      <c r="DQ1625" s="59"/>
      <c r="DR1625" s="59"/>
      <c r="DS1625" s="59"/>
      <c r="DT1625" s="59"/>
      <c r="DU1625" s="59"/>
      <c r="DV1625" s="59"/>
      <c r="DW1625" s="59"/>
      <c r="DX1625" s="59"/>
      <c r="DY1625" s="59"/>
      <c r="DZ1625" s="59"/>
      <c r="EA1625" s="59"/>
      <c r="EB1625" s="59"/>
      <c r="EC1625" s="59"/>
      <c r="ED1625" s="59"/>
      <c r="EE1625" s="59"/>
      <c r="EF1625" s="59"/>
      <c r="EG1625" s="59"/>
      <c r="EH1625" s="59"/>
      <c r="EI1625" s="59"/>
      <c r="EJ1625" s="59"/>
      <c r="EK1625" s="59"/>
      <c r="EL1625" s="59"/>
      <c r="EM1625" s="59"/>
      <c r="EN1625" s="59"/>
      <c r="EO1625" s="59"/>
      <c r="EP1625" s="59"/>
      <c r="EQ1625" s="59"/>
      <c r="ER1625" s="59"/>
      <c r="ES1625" s="59"/>
      <c r="ET1625" s="59"/>
      <c r="EU1625" s="59"/>
      <c r="EV1625" s="59"/>
      <c r="EW1625" s="59"/>
      <c r="EX1625" s="59"/>
      <c r="EY1625" s="59"/>
      <c r="EZ1625" s="59"/>
      <c r="FA1625" s="59"/>
      <c r="FB1625" s="59"/>
      <c r="FC1625" s="59"/>
      <c r="FD1625" s="59"/>
      <c r="FE1625" s="59"/>
      <c r="FF1625" s="59"/>
      <c r="FG1625" s="59"/>
      <c r="FH1625" s="59"/>
      <c r="FI1625" s="59"/>
      <c r="FJ1625" s="59"/>
      <c r="FK1625" s="59"/>
      <c r="FL1625" s="59"/>
      <c r="FM1625" s="59"/>
      <c r="FN1625" s="59"/>
      <c r="FO1625" s="59"/>
      <c r="FP1625" s="59"/>
      <c r="FQ1625" s="59"/>
      <c r="FR1625" s="59"/>
      <c r="FS1625" s="59"/>
      <c r="FT1625" s="59"/>
      <c r="FU1625" s="59"/>
      <c r="FV1625" s="59"/>
      <c r="FW1625" s="59"/>
      <c r="FX1625" s="59"/>
      <c r="FY1625" s="59"/>
      <c r="FZ1625" s="59"/>
      <c r="GA1625" s="59"/>
      <c r="GB1625" s="59"/>
      <c r="GC1625" s="59"/>
    </row>
    <row r="1626">
      <c r="A1626" s="59"/>
      <c r="B1626" s="59"/>
      <c r="C1626" s="59"/>
      <c r="D1626" s="59"/>
      <c r="E1626" s="59"/>
      <c r="F1626" s="59"/>
      <c r="G1626" s="59"/>
      <c r="H1626" s="59"/>
      <c r="I1626" s="59"/>
      <c r="J1626" s="59"/>
      <c r="K1626" s="59"/>
      <c r="L1626" s="59"/>
      <c r="M1626" s="59"/>
      <c r="N1626" s="59"/>
      <c r="O1626" s="59"/>
      <c r="P1626" s="59"/>
      <c r="Q1626" s="59"/>
      <c r="R1626" s="59"/>
      <c r="S1626" s="59"/>
      <c r="T1626" s="59"/>
      <c r="U1626" s="59"/>
      <c r="V1626" s="59"/>
      <c r="W1626" s="59"/>
      <c r="X1626" s="59"/>
      <c r="Y1626" s="59"/>
      <c r="Z1626" s="59"/>
      <c r="AA1626" s="59"/>
      <c r="AB1626" s="59"/>
      <c r="AC1626" s="59"/>
      <c r="AD1626" s="59"/>
      <c r="AE1626" s="59"/>
      <c r="AF1626" s="59"/>
      <c r="AG1626" s="59"/>
      <c r="AH1626" s="59"/>
      <c r="AI1626" s="59"/>
      <c r="AJ1626" s="59"/>
      <c r="AK1626" s="59"/>
      <c r="AL1626" s="59"/>
      <c r="AM1626" s="59"/>
      <c r="AN1626" s="59"/>
      <c r="AO1626" s="59"/>
      <c r="AP1626" s="59"/>
      <c r="AQ1626" s="59"/>
      <c r="AR1626" s="59"/>
      <c r="AS1626" s="59"/>
      <c r="AT1626" s="59"/>
      <c r="AU1626" s="59"/>
      <c r="AV1626" s="59"/>
      <c r="AW1626" s="59"/>
      <c r="AX1626" s="59"/>
      <c r="AY1626" s="59"/>
      <c r="AZ1626" s="59"/>
      <c r="BA1626" s="59"/>
      <c r="BB1626" s="59"/>
      <c r="BC1626" s="59"/>
      <c r="BD1626" s="59"/>
      <c r="BE1626" s="59"/>
      <c r="BF1626" s="59"/>
      <c r="BG1626" s="59"/>
      <c r="BH1626" s="59"/>
      <c r="BI1626" s="59"/>
      <c r="BJ1626" s="59"/>
      <c r="BK1626" s="59"/>
      <c r="BL1626" s="59"/>
      <c r="BM1626" s="59"/>
      <c r="BN1626" s="59"/>
      <c r="BO1626" s="59"/>
      <c r="BP1626" s="59"/>
      <c r="BQ1626" s="59"/>
      <c r="BR1626" s="59"/>
      <c r="BS1626" s="59"/>
      <c r="BT1626" s="59"/>
      <c r="BU1626" s="59"/>
      <c r="BV1626" s="59"/>
      <c r="BW1626" s="59"/>
      <c r="BX1626" s="59"/>
      <c r="BY1626" s="59"/>
      <c r="BZ1626" s="59"/>
      <c r="CA1626" s="59"/>
      <c r="CB1626" s="59"/>
      <c r="CC1626" s="59"/>
      <c r="CD1626" s="59"/>
      <c r="CE1626" s="59"/>
      <c r="CF1626" s="59"/>
      <c r="CG1626" s="59"/>
      <c r="CH1626" s="59"/>
      <c r="CI1626" s="59"/>
      <c r="CJ1626" s="59"/>
      <c r="CK1626" s="59"/>
      <c r="CL1626" s="59"/>
      <c r="CM1626" s="59"/>
      <c r="CN1626" s="59"/>
      <c r="CO1626" s="59"/>
      <c r="CP1626" s="59"/>
      <c r="CQ1626" s="59"/>
      <c r="CR1626" s="59"/>
      <c r="CS1626" s="59"/>
      <c r="CT1626" s="59"/>
      <c r="CU1626" s="59"/>
      <c r="CV1626" s="59"/>
      <c r="CW1626" s="59"/>
      <c r="CX1626" s="59"/>
      <c r="CY1626" s="59"/>
      <c r="CZ1626" s="59"/>
      <c r="DA1626" s="59"/>
      <c r="DB1626" s="59"/>
      <c r="DC1626" s="59"/>
      <c r="DD1626" s="59"/>
      <c r="DE1626" s="59"/>
      <c r="DF1626" s="59"/>
      <c r="DG1626" s="59"/>
      <c r="DH1626" s="59"/>
      <c r="DI1626" s="59"/>
      <c r="DJ1626" s="59"/>
      <c r="DK1626" s="59"/>
      <c r="DL1626" s="59"/>
      <c r="DM1626" s="59"/>
      <c r="DN1626" s="59"/>
      <c r="DO1626" s="59"/>
      <c r="DP1626" s="59"/>
      <c r="DQ1626" s="59"/>
      <c r="DR1626" s="59"/>
      <c r="DS1626" s="59"/>
      <c r="DT1626" s="59"/>
      <c r="DU1626" s="59"/>
      <c r="DV1626" s="59"/>
      <c r="DW1626" s="59"/>
      <c r="DX1626" s="59"/>
      <c r="DY1626" s="59"/>
      <c r="DZ1626" s="59"/>
      <c r="EA1626" s="59"/>
      <c r="EB1626" s="59"/>
      <c r="EC1626" s="59"/>
      <c r="ED1626" s="59"/>
      <c r="EE1626" s="59"/>
      <c r="EF1626" s="59"/>
      <c r="EG1626" s="59"/>
      <c r="EH1626" s="59"/>
      <c r="EI1626" s="59"/>
      <c r="EJ1626" s="59"/>
      <c r="EK1626" s="59"/>
      <c r="EL1626" s="59"/>
      <c r="EM1626" s="59"/>
      <c r="EN1626" s="59"/>
      <c r="EO1626" s="59"/>
      <c r="EP1626" s="59"/>
      <c r="EQ1626" s="59"/>
      <c r="ER1626" s="59"/>
      <c r="ES1626" s="59"/>
      <c r="ET1626" s="59"/>
      <c r="EU1626" s="59"/>
      <c r="EV1626" s="59"/>
      <c r="EW1626" s="59"/>
      <c r="EX1626" s="59"/>
      <c r="EY1626" s="59"/>
      <c r="EZ1626" s="59"/>
      <c r="FA1626" s="59"/>
      <c r="FB1626" s="59"/>
      <c r="FC1626" s="59"/>
      <c r="FD1626" s="59"/>
      <c r="FE1626" s="59"/>
      <c r="FF1626" s="59"/>
      <c r="FG1626" s="59"/>
      <c r="FH1626" s="59"/>
      <c r="FI1626" s="59"/>
      <c r="FJ1626" s="59"/>
      <c r="FK1626" s="59"/>
      <c r="FL1626" s="59"/>
      <c r="FM1626" s="59"/>
      <c r="FN1626" s="59"/>
      <c r="FO1626" s="59"/>
      <c r="FP1626" s="59"/>
      <c r="FQ1626" s="59"/>
      <c r="FR1626" s="59"/>
      <c r="FS1626" s="59"/>
      <c r="FT1626" s="59"/>
      <c r="FU1626" s="59"/>
      <c r="FV1626" s="59"/>
      <c r="FW1626" s="59"/>
      <c r="FX1626" s="59"/>
      <c r="FY1626" s="59"/>
      <c r="FZ1626" s="59"/>
      <c r="GA1626" s="59"/>
      <c r="GB1626" s="59"/>
      <c r="GC1626" s="59"/>
    </row>
    <row r="1627">
      <c r="A1627" s="59"/>
      <c r="B1627" s="59"/>
      <c r="C1627" s="59"/>
      <c r="D1627" s="59"/>
      <c r="E1627" s="59"/>
      <c r="F1627" s="59"/>
      <c r="G1627" s="59"/>
      <c r="H1627" s="59"/>
      <c r="I1627" s="59"/>
      <c r="J1627" s="59"/>
      <c r="K1627" s="59"/>
      <c r="L1627" s="59"/>
      <c r="M1627" s="59"/>
      <c r="N1627" s="59"/>
      <c r="O1627" s="59"/>
      <c r="P1627" s="59"/>
      <c r="Q1627" s="59"/>
      <c r="R1627" s="59"/>
      <c r="S1627" s="59"/>
      <c r="T1627" s="59"/>
      <c r="U1627" s="59"/>
      <c r="V1627" s="59"/>
      <c r="W1627" s="59"/>
      <c r="X1627" s="59"/>
      <c r="Y1627" s="59"/>
      <c r="Z1627" s="59"/>
      <c r="AA1627" s="59"/>
      <c r="AB1627" s="59"/>
      <c r="AC1627" s="59"/>
      <c r="AD1627" s="59"/>
      <c r="AE1627" s="59"/>
      <c r="AF1627" s="59"/>
      <c r="AG1627" s="59"/>
      <c r="AH1627" s="59"/>
      <c r="AI1627" s="59"/>
      <c r="AJ1627" s="59"/>
      <c r="AK1627" s="59"/>
      <c r="AL1627" s="59"/>
      <c r="AM1627" s="59"/>
      <c r="AN1627" s="59"/>
      <c r="AO1627" s="59"/>
      <c r="AP1627" s="59"/>
      <c r="AQ1627" s="59"/>
      <c r="AR1627" s="59"/>
      <c r="AS1627" s="59"/>
      <c r="AT1627" s="59"/>
      <c r="AU1627" s="59"/>
      <c r="AV1627" s="59"/>
      <c r="AW1627" s="59"/>
      <c r="AX1627" s="59"/>
      <c r="AY1627" s="59"/>
      <c r="AZ1627" s="59"/>
      <c r="BA1627" s="59"/>
      <c r="BB1627" s="59"/>
      <c r="BC1627" s="59"/>
      <c r="BD1627" s="59"/>
      <c r="BE1627" s="59"/>
      <c r="BF1627" s="59"/>
      <c r="BG1627" s="59"/>
      <c r="BH1627" s="59"/>
      <c r="BI1627" s="59"/>
      <c r="BJ1627" s="59"/>
      <c r="BK1627" s="59"/>
      <c r="BL1627" s="59"/>
      <c r="BM1627" s="59"/>
      <c r="BN1627" s="59"/>
      <c r="BO1627" s="59"/>
      <c r="BP1627" s="59"/>
      <c r="BQ1627" s="59"/>
      <c r="BR1627" s="59"/>
      <c r="BS1627" s="59"/>
      <c r="BT1627" s="59"/>
      <c r="BU1627" s="59"/>
      <c r="BV1627" s="59"/>
      <c r="BW1627" s="59"/>
      <c r="BX1627" s="59"/>
      <c r="BY1627" s="59"/>
      <c r="BZ1627" s="59"/>
      <c r="CA1627" s="59"/>
      <c r="CB1627" s="59"/>
      <c r="CC1627" s="59"/>
      <c r="CD1627" s="59"/>
      <c r="CE1627" s="59"/>
      <c r="CF1627" s="59"/>
      <c r="CG1627" s="59"/>
      <c r="CH1627" s="59"/>
      <c r="CI1627" s="59"/>
      <c r="CJ1627" s="59"/>
      <c r="CK1627" s="59"/>
      <c r="CL1627" s="59"/>
      <c r="CM1627" s="59"/>
      <c r="CN1627" s="59"/>
      <c r="CO1627" s="59"/>
      <c r="CP1627" s="59"/>
      <c r="CQ1627" s="59"/>
      <c r="CR1627" s="59"/>
      <c r="CS1627" s="59"/>
      <c r="CT1627" s="59"/>
      <c r="CU1627" s="59"/>
      <c r="CV1627" s="59"/>
      <c r="CW1627" s="59"/>
      <c r="CX1627" s="59"/>
      <c r="CY1627" s="59"/>
      <c r="CZ1627" s="59"/>
      <c r="DA1627" s="59"/>
      <c r="DB1627" s="59"/>
      <c r="DC1627" s="59"/>
      <c r="DD1627" s="59"/>
      <c r="DE1627" s="59"/>
      <c r="DF1627" s="59"/>
      <c r="DG1627" s="59"/>
      <c r="DH1627" s="59"/>
      <c r="DI1627" s="59"/>
      <c r="DJ1627" s="59"/>
      <c r="DK1627" s="59"/>
      <c r="DL1627" s="59"/>
      <c r="DM1627" s="59"/>
      <c r="DN1627" s="59"/>
      <c r="DO1627" s="59"/>
      <c r="DP1627" s="59"/>
      <c r="DQ1627" s="59"/>
      <c r="DR1627" s="59"/>
      <c r="DS1627" s="59"/>
      <c r="DT1627" s="59"/>
      <c r="DU1627" s="59"/>
      <c r="DV1627" s="59"/>
      <c r="DW1627" s="59"/>
      <c r="DX1627" s="59"/>
      <c r="DY1627" s="59"/>
      <c r="DZ1627" s="59"/>
      <c r="EA1627" s="59"/>
      <c r="EB1627" s="59"/>
      <c r="EC1627" s="59"/>
      <c r="ED1627" s="59"/>
      <c r="EE1627" s="59"/>
      <c r="EF1627" s="59"/>
      <c r="EG1627" s="59"/>
      <c r="EH1627" s="59"/>
      <c r="EI1627" s="59"/>
      <c r="EJ1627" s="59"/>
      <c r="EK1627" s="59"/>
      <c r="EL1627" s="59"/>
      <c r="EM1627" s="59"/>
      <c r="EN1627" s="59"/>
      <c r="EO1627" s="59"/>
      <c r="EP1627" s="59"/>
      <c r="EQ1627" s="59"/>
      <c r="ER1627" s="59"/>
      <c r="ES1627" s="59"/>
      <c r="ET1627" s="59"/>
      <c r="EU1627" s="59"/>
      <c r="EV1627" s="59"/>
      <c r="EW1627" s="59"/>
      <c r="EX1627" s="59"/>
      <c r="EY1627" s="59"/>
      <c r="EZ1627" s="59"/>
      <c r="FA1627" s="59"/>
      <c r="FB1627" s="59"/>
      <c r="FC1627" s="59"/>
      <c r="FD1627" s="59"/>
      <c r="FE1627" s="59"/>
      <c r="FF1627" s="59"/>
      <c r="FG1627" s="59"/>
      <c r="FH1627" s="59"/>
      <c r="FI1627" s="59"/>
      <c r="FJ1627" s="59"/>
      <c r="FK1627" s="59"/>
      <c r="FL1627" s="59"/>
      <c r="FM1627" s="59"/>
      <c r="FN1627" s="59"/>
      <c r="FO1627" s="59"/>
      <c r="FP1627" s="59"/>
      <c r="FQ1627" s="59"/>
      <c r="FR1627" s="59"/>
      <c r="FS1627" s="59"/>
      <c r="FT1627" s="59"/>
      <c r="FU1627" s="59"/>
      <c r="FV1627" s="59"/>
      <c r="FW1627" s="59"/>
      <c r="FX1627" s="59"/>
      <c r="FY1627" s="59"/>
      <c r="FZ1627" s="59"/>
      <c r="GA1627" s="59"/>
      <c r="GB1627" s="59"/>
      <c r="GC1627" s="59"/>
    </row>
    <row r="1628">
      <c r="A1628" s="59"/>
      <c r="B1628" s="59"/>
      <c r="C1628" s="59"/>
      <c r="D1628" s="59"/>
      <c r="E1628" s="59"/>
      <c r="F1628" s="59"/>
      <c r="G1628" s="59"/>
      <c r="H1628" s="59"/>
      <c r="I1628" s="59"/>
      <c r="J1628" s="59"/>
      <c r="K1628" s="59"/>
      <c r="L1628" s="59"/>
      <c r="M1628" s="59"/>
      <c r="N1628" s="59"/>
      <c r="O1628" s="59"/>
      <c r="P1628" s="59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59"/>
      <c r="AG1628" s="59"/>
      <c r="AH1628" s="59"/>
      <c r="AI1628" s="59"/>
      <c r="AJ1628" s="59"/>
      <c r="AK1628" s="59"/>
      <c r="AL1628" s="59"/>
      <c r="AM1628" s="59"/>
      <c r="AN1628" s="59"/>
      <c r="AO1628" s="59"/>
      <c r="AP1628" s="59"/>
      <c r="AQ1628" s="59"/>
      <c r="AR1628" s="59"/>
      <c r="AS1628" s="59"/>
      <c r="AT1628" s="59"/>
      <c r="AU1628" s="59"/>
      <c r="AV1628" s="59"/>
      <c r="AW1628" s="59"/>
      <c r="AX1628" s="59"/>
      <c r="AY1628" s="59"/>
      <c r="AZ1628" s="59"/>
      <c r="BA1628" s="59"/>
      <c r="BB1628" s="59"/>
      <c r="BC1628" s="59"/>
      <c r="BD1628" s="59"/>
      <c r="BE1628" s="59"/>
      <c r="BF1628" s="59"/>
      <c r="BG1628" s="59"/>
      <c r="BH1628" s="59"/>
      <c r="BI1628" s="59"/>
      <c r="BJ1628" s="59"/>
      <c r="BK1628" s="59"/>
      <c r="BL1628" s="59"/>
      <c r="BM1628" s="59"/>
      <c r="BN1628" s="59"/>
      <c r="BO1628" s="59"/>
      <c r="BP1628" s="59"/>
      <c r="BQ1628" s="59"/>
      <c r="BR1628" s="59"/>
      <c r="BS1628" s="59"/>
      <c r="BT1628" s="59"/>
      <c r="BU1628" s="59"/>
      <c r="BV1628" s="59"/>
      <c r="BW1628" s="59"/>
      <c r="BX1628" s="59"/>
      <c r="BY1628" s="59"/>
      <c r="BZ1628" s="59"/>
      <c r="CA1628" s="59"/>
      <c r="CB1628" s="59"/>
      <c r="CC1628" s="59"/>
      <c r="CD1628" s="59"/>
      <c r="CE1628" s="59"/>
      <c r="CF1628" s="59"/>
      <c r="CG1628" s="59"/>
      <c r="CH1628" s="59"/>
      <c r="CI1628" s="59"/>
      <c r="CJ1628" s="59"/>
      <c r="CK1628" s="59"/>
      <c r="CL1628" s="59"/>
      <c r="CM1628" s="59"/>
      <c r="CN1628" s="59"/>
      <c r="CO1628" s="59"/>
      <c r="CP1628" s="59"/>
      <c r="CQ1628" s="59"/>
      <c r="CR1628" s="59"/>
      <c r="CS1628" s="59"/>
      <c r="CT1628" s="59"/>
      <c r="CU1628" s="59"/>
      <c r="CV1628" s="59"/>
      <c r="CW1628" s="59"/>
      <c r="CX1628" s="59"/>
      <c r="CY1628" s="59"/>
      <c r="CZ1628" s="59"/>
      <c r="DA1628" s="59"/>
      <c r="DB1628" s="59"/>
      <c r="DC1628" s="59"/>
      <c r="DD1628" s="59"/>
      <c r="DE1628" s="59"/>
      <c r="DF1628" s="59"/>
      <c r="DG1628" s="59"/>
      <c r="DH1628" s="59"/>
      <c r="DI1628" s="59"/>
      <c r="DJ1628" s="59"/>
      <c r="DK1628" s="59"/>
      <c r="DL1628" s="59"/>
      <c r="DM1628" s="59"/>
      <c r="DN1628" s="59"/>
      <c r="DO1628" s="59"/>
      <c r="DP1628" s="59"/>
      <c r="DQ1628" s="59"/>
      <c r="DR1628" s="59"/>
      <c r="DS1628" s="59"/>
      <c r="DT1628" s="59"/>
      <c r="DU1628" s="59"/>
      <c r="DV1628" s="59"/>
      <c r="DW1628" s="59"/>
      <c r="DX1628" s="59"/>
      <c r="DY1628" s="59"/>
      <c r="DZ1628" s="59"/>
      <c r="EA1628" s="59"/>
      <c r="EB1628" s="59"/>
      <c r="EC1628" s="59"/>
      <c r="ED1628" s="59"/>
      <c r="EE1628" s="59"/>
      <c r="EF1628" s="59"/>
      <c r="EG1628" s="59"/>
      <c r="EH1628" s="59"/>
      <c r="EI1628" s="59"/>
      <c r="EJ1628" s="59"/>
      <c r="EK1628" s="59"/>
      <c r="EL1628" s="59"/>
      <c r="EM1628" s="59"/>
      <c r="EN1628" s="59"/>
      <c r="EO1628" s="59"/>
      <c r="EP1628" s="59"/>
      <c r="EQ1628" s="59"/>
      <c r="ER1628" s="59"/>
      <c r="ES1628" s="59"/>
      <c r="ET1628" s="59"/>
      <c r="EU1628" s="59"/>
      <c r="EV1628" s="59"/>
      <c r="EW1628" s="59"/>
      <c r="EX1628" s="59"/>
      <c r="EY1628" s="59"/>
      <c r="EZ1628" s="59"/>
      <c r="FA1628" s="59"/>
      <c r="FB1628" s="59"/>
      <c r="FC1628" s="59"/>
      <c r="FD1628" s="59"/>
      <c r="FE1628" s="59"/>
      <c r="FF1628" s="59"/>
      <c r="FG1628" s="59"/>
      <c r="FH1628" s="59"/>
      <c r="FI1628" s="59"/>
      <c r="FJ1628" s="59"/>
      <c r="FK1628" s="59"/>
      <c r="FL1628" s="59"/>
      <c r="FM1628" s="59"/>
      <c r="FN1628" s="59"/>
      <c r="FO1628" s="59"/>
      <c r="FP1628" s="59"/>
      <c r="FQ1628" s="59"/>
      <c r="FR1628" s="59"/>
      <c r="FS1628" s="59"/>
      <c r="FT1628" s="59"/>
      <c r="FU1628" s="59"/>
      <c r="FV1628" s="59"/>
      <c r="FW1628" s="59"/>
      <c r="FX1628" s="59"/>
      <c r="FY1628" s="59"/>
      <c r="FZ1628" s="59"/>
      <c r="GA1628" s="59"/>
      <c r="GB1628" s="59"/>
      <c r="GC1628" s="59"/>
    </row>
    <row r="1629">
      <c r="A1629" s="59"/>
      <c r="B1629" s="59"/>
      <c r="C1629" s="59"/>
      <c r="D1629" s="59"/>
      <c r="E1629" s="59"/>
      <c r="F1629" s="59"/>
      <c r="G1629" s="59"/>
      <c r="H1629" s="59"/>
      <c r="I1629" s="59"/>
      <c r="J1629" s="59"/>
      <c r="K1629" s="59"/>
      <c r="L1629" s="59"/>
      <c r="M1629" s="59"/>
      <c r="N1629" s="59"/>
      <c r="O1629" s="59"/>
      <c r="P1629" s="59"/>
      <c r="Q1629" s="59"/>
      <c r="R1629" s="59"/>
      <c r="S1629" s="59"/>
      <c r="T1629" s="59"/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59"/>
      <c r="AE1629" s="59"/>
      <c r="AF1629" s="59"/>
      <c r="AG1629" s="59"/>
      <c r="AH1629" s="59"/>
      <c r="AI1629" s="59"/>
      <c r="AJ1629" s="59"/>
      <c r="AK1629" s="59"/>
      <c r="AL1629" s="59"/>
      <c r="AM1629" s="59"/>
      <c r="AN1629" s="59"/>
      <c r="AO1629" s="59"/>
      <c r="AP1629" s="59"/>
      <c r="AQ1629" s="59"/>
      <c r="AR1629" s="59"/>
      <c r="AS1629" s="59"/>
      <c r="AT1629" s="59"/>
      <c r="AU1629" s="59"/>
      <c r="AV1629" s="59"/>
      <c r="AW1629" s="59"/>
      <c r="AX1629" s="59"/>
      <c r="AY1629" s="59"/>
      <c r="AZ1629" s="59"/>
      <c r="BA1629" s="59"/>
      <c r="BB1629" s="59"/>
      <c r="BC1629" s="59"/>
      <c r="BD1629" s="59"/>
      <c r="BE1629" s="59"/>
      <c r="BF1629" s="59"/>
      <c r="BG1629" s="59"/>
      <c r="BH1629" s="59"/>
      <c r="BI1629" s="59"/>
      <c r="BJ1629" s="59"/>
      <c r="BK1629" s="59"/>
      <c r="BL1629" s="59"/>
      <c r="BM1629" s="59"/>
      <c r="BN1629" s="59"/>
      <c r="BO1629" s="59"/>
      <c r="BP1629" s="59"/>
      <c r="BQ1629" s="59"/>
      <c r="BR1629" s="59"/>
      <c r="BS1629" s="59"/>
      <c r="BT1629" s="59"/>
      <c r="BU1629" s="59"/>
      <c r="BV1629" s="59"/>
      <c r="BW1629" s="59"/>
      <c r="BX1629" s="59"/>
      <c r="BY1629" s="59"/>
      <c r="BZ1629" s="59"/>
      <c r="CA1629" s="59"/>
      <c r="CB1629" s="59"/>
      <c r="CC1629" s="59"/>
      <c r="CD1629" s="59"/>
      <c r="CE1629" s="59"/>
      <c r="CF1629" s="59"/>
      <c r="CG1629" s="59"/>
      <c r="CH1629" s="59"/>
      <c r="CI1629" s="59"/>
      <c r="CJ1629" s="59"/>
      <c r="CK1629" s="59"/>
      <c r="CL1629" s="59"/>
      <c r="CM1629" s="59"/>
      <c r="CN1629" s="59"/>
      <c r="CO1629" s="59"/>
      <c r="CP1629" s="59"/>
      <c r="CQ1629" s="59"/>
      <c r="CR1629" s="59"/>
      <c r="CS1629" s="59"/>
      <c r="CT1629" s="59"/>
      <c r="CU1629" s="59"/>
      <c r="CV1629" s="59"/>
      <c r="CW1629" s="59"/>
      <c r="CX1629" s="59"/>
      <c r="CY1629" s="59"/>
      <c r="CZ1629" s="59"/>
      <c r="DA1629" s="59"/>
      <c r="DB1629" s="59"/>
      <c r="DC1629" s="59"/>
      <c r="DD1629" s="59"/>
      <c r="DE1629" s="59"/>
      <c r="DF1629" s="59"/>
      <c r="DG1629" s="59"/>
      <c r="DH1629" s="59"/>
      <c r="DI1629" s="59"/>
      <c r="DJ1629" s="59"/>
      <c r="DK1629" s="59"/>
      <c r="DL1629" s="59"/>
      <c r="DM1629" s="59"/>
      <c r="DN1629" s="59"/>
      <c r="DO1629" s="59"/>
      <c r="DP1629" s="59"/>
      <c r="DQ1629" s="59"/>
      <c r="DR1629" s="59"/>
      <c r="DS1629" s="59"/>
      <c r="DT1629" s="59"/>
      <c r="DU1629" s="59"/>
      <c r="DV1629" s="59"/>
      <c r="DW1629" s="59"/>
      <c r="DX1629" s="59"/>
      <c r="DY1629" s="59"/>
      <c r="DZ1629" s="59"/>
      <c r="EA1629" s="59"/>
      <c r="EB1629" s="59"/>
      <c r="EC1629" s="59"/>
      <c r="ED1629" s="59"/>
      <c r="EE1629" s="59"/>
      <c r="EF1629" s="59"/>
      <c r="EG1629" s="59"/>
      <c r="EH1629" s="59"/>
      <c r="EI1629" s="59"/>
      <c r="EJ1629" s="59"/>
      <c r="EK1629" s="59"/>
      <c r="EL1629" s="59"/>
      <c r="EM1629" s="59"/>
      <c r="EN1629" s="59"/>
      <c r="EO1629" s="59"/>
      <c r="EP1629" s="59"/>
      <c r="EQ1629" s="59"/>
      <c r="ER1629" s="59"/>
      <c r="ES1629" s="59"/>
      <c r="ET1629" s="59"/>
      <c r="EU1629" s="59"/>
      <c r="EV1629" s="59"/>
      <c r="EW1629" s="59"/>
      <c r="EX1629" s="59"/>
      <c r="EY1629" s="59"/>
      <c r="EZ1629" s="59"/>
      <c r="FA1629" s="59"/>
      <c r="FB1629" s="59"/>
      <c r="FC1629" s="59"/>
      <c r="FD1629" s="59"/>
      <c r="FE1629" s="59"/>
      <c r="FF1629" s="59"/>
      <c r="FG1629" s="59"/>
      <c r="FH1629" s="59"/>
      <c r="FI1629" s="59"/>
      <c r="FJ1629" s="59"/>
      <c r="FK1629" s="59"/>
      <c r="FL1629" s="59"/>
      <c r="FM1629" s="59"/>
      <c r="FN1629" s="59"/>
      <c r="FO1629" s="59"/>
      <c r="FP1629" s="59"/>
      <c r="FQ1629" s="59"/>
      <c r="FR1629" s="59"/>
      <c r="FS1629" s="59"/>
      <c r="FT1629" s="59"/>
      <c r="FU1629" s="59"/>
      <c r="FV1629" s="59"/>
      <c r="FW1629" s="59"/>
      <c r="FX1629" s="59"/>
      <c r="FY1629" s="59"/>
      <c r="FZ1629" s="59"/>
      <c r="GA1629" s="59"/>
      <c r="GB1629" s="59"/>
      <c r="GC1629" s="59"/>
    </row>
    <row r="1630">
      <c r="A1630" s="59"/>
      <c r="B1630" s="59"/>
      <c r="C1630" s="59"/>
      <c r="D1630" s="59"/>
      <c r="E1630" s="59"/>
      <c r="F1630" s="59"/>
      <c r="G1630" s="59"/>
      <c r="H1630" s="59"/>
      <c r="I1630" s="59"/>
      <c r="J1630" s="59"/>
      <c r="K1630" s="59"/>
      <c r="L1630" s="59"/>
      <c r="M1630" s="59"/>
      <c r="N1630" s="59"/>
      <c r="O1630" s="59"/>
      <c r="P1630" s="59"/>
      <c r="Q1630" s="59"/>
      <c r="R1630" s="59"/>
      <c r="S1630" s="59"/>
      <c r="T1630" s="59"/>
      <c r="U1630" s="59"/>
      <c r="V1630" s="59"/>
      <c r="W1630" s="59"/>
      <c r="X1630" s="59"/>
      <c r="Y1630" s="59"/>
      <c r="Z1630" s="59"/>
      <c r="AA1630" s="59"/>
      <c r="AB1630" s="59"/>
      <c r="AC1630" s="59"/>
      <c r="AD1630" s="59"/>
      <c r="AE1630" s="59"/>
      <c r="AF1630" s="59"/>
      <c r="AG1630" s="59"/>
      <c r="AH1630" s="59"/>
      <c r="AI1630" s="59"/>
      <c r="AJ1630" s="59"/>
      <c r="AK1630" s="59"/>
      <c r="AL1630" s="59"/>
      <c r="AM1630" s="59"/>
      <c r="AN1630" s="59"/>
      <c r="AO1630" s="59"/>
      <c r="AP1630" s="59"/>
      <c r="AQ1630" s="59"/>
      <c r="AR1630" s="59"/>
      <c r="AS1630" s="59"/>
      <c r="AT1630" s="59"/>
      <c r="AU1630" s="59"/>
      <c r="AV1630" s="59"/>
      <c r="AW1630" s="59"/>
      <c r="AX1630" s="59"/>
      <c r="AY1630" s="59"/>
      <c r="AZ1630" s="59"/>
      <c r="BA1630" s="59"/>
      <c r="BB1630" s="59"/>
      <c r="BC1630" s="59"/>
      <c r="BD1630" s="59"/>
      <c r="BE1630" s="59"/>
      <c r="BF1630" s="59"/>
      <c r="BG1630" s="59"/>
      <c r="BH1630" s="59"/>
      <c r="BI1630" s="59"/>
      <c r="BJ1630" s="59"/>
      <c r="BK1630" s="59"/>
      <c r="BL1630" s="59"/>
      <c r="BM1630" s="59"/>
      <c r="BN1630" s="59"/>
      <c r="BO1630" s="59"/>
      <c r="BP1630" s="59"/>
      <c r="BQ1630" s="59"/>
      <c r="BR1630" s="59"/>
      <c r="BS1630" s="59"/>
      <c r="BT1630" s="59"/>
      <c r="BU1630" s="59"/>
      <c r="BV1630" s="59"/>
      <c r="BW1630" s="59"/>
      <c r="BX1630" s="59"/>
      <c r="BY1630" s="59"/>
      <c r="BZ1630" s="59"/>
      <c r="CA1630" s="59"/>
      <c r="CB1630" s="59"/>
      <c r="CC1630" s="59"/>
      <c r="CD1630" s="59"/>
      <c r="CE1630" s="59"/>
      <c r="CF1630" s="59"/>
      <c r="CG1630" s="59"/>
      <c r="CH1630" s="59"/>
      <c r="CI1630" s="59"/>
      <c r="CJ1630" s="59"/>
      <c r="CK1630" s="59"/>
      <c r="CL1630" s="59"/>
      <c r="CM1630" s="59"/>
      <c r="CN1630" s="59"/>
      <c r="CO1630" s="59"/>
      <c r="CP1630" s="59"/>
      <c r="CQ1630" s="59"/>
      <c r="CR1630" s="59"/>
      <c r="CS1630" s="59"/>
      <c r="CT1630" s="59"/>
      <c r="CU1630" s="59"/>
      <c r="CV1630" s="59"/>
      <c r="CW1630" s="59"/>
      <c r="CX1630" s="59"/>
      <c r="CY1630" s="59"/>
      <c r="CZ1630" s="59"/>
      <c r="DA1630" s="59"/>
      <c r="DB1630" s="59"/>
      <c r="DC1630" s="59"/>
      <c r="DD1630" s="59"/>
      <c r="DE1630" s="59"/>
      <c r="DF1630" s="59"/>
      <c r="DG1630" s="59"/>
      <c r="DH1630" s="59"/>
      <c r="DI1630" s="59"/>
      <c r="DJ1630" s="59"/>
      <c r="DK1630" s="59"/>
      <c r="DL1630" s="59"/>
      <c r="DM1630" s="59"/>
      <c r="DN1630" s="59"/>
      <c r="DO1630" s="59"/>
      <c r="DP1630" s="59"/>
      <c r="DQ1630" s="59"/>
      <c r="DR1630" s="59"/>
      <c r="DS1630" s="59"/>
      <c r="DT1630" s="59"/>
      <c r="DU1630" s="59"/>
      <c r="DV1630" s="59"/>
      <c r="DW1630" s="59"/>
      <c r="DX1630" s="59"/>
      <c r="DY1630" s="59"/>
      <c r="DZ1630" s="59"/>
      <c r="EA1630" s="59"/>
      <c r="EB1630" s="59"/>
      <c r="EC1630" s="59"/>
      <c r="ED1630" s="59"/>
      <c r="EE1630" s="59"/>
      <c r="EF1630" s="59"/>
      <c r="EG1630" s="59"/>
      <c r="EH1630" s="59"/>
      <c r="EI1630" s="59"/>
      <c r="EJ1630" s="59"/>
      <c r="EK1630" s="59"/>
      <c r="EL1630" s="59"/>
      <c r="EM1630" s="59"/>
      <c r="EN1630" s="59"/>
      <c r="EO1630" s="59"/>
      <c r="EP1630" s="59"/>
      <c r="EQ1630" s="59"/>
      <c r="ER1630" s="59"/>
      <c r="ES1630" s="59"/>
      <c r="ET1630" s="59"/>
      <c r="EU1630" s="59"/>
      <c r="EV1630" s="59"/>
      <c r="EW1630" s="59"/>
      <c r="EX1630" s="59"/>
      <c r="EY1630" s="59"/>
      <c r="EZ1630" s="59"/>
      <c r="FA1630" s="59"/>
      <c r="FB1630" s="59"/>
      <c r="FC1630" s="59"/>
      <c r="FD1630" s="59"/>
      <c r="FE1630" s="59"/>
      <c r="FF1630" s="59"/>
      <c r="FG1630" s="59"/>
      <c r="FH1630" s="59"/>
      <c r="FI1630" s="59"/>
      <c r="FJ1630" s="59"/>
      <c r="FK1630" s="59"/>
      <c r="FL1630" s="59"/>
      <c r="FM1630" s="59"/>
      <c r="FN1630" s="59"/>
      <c r="FO1630" s="59"/>
      <c r="FP1630" s="59"/>
      <c r="FQ1630" s="59"/>
      <c r="FR1630" s="59"/>
      <c r="FS1630" s="59"/>
      <c r="FT1630" s="59"/>
      <c r="FU1630" s="59"/>
      <c r="FV1630" s="59"/>
      <c r="FW1630" s="59"/>
      <c r="FX1630" s="59"/>
      <c r="FY1630" s="59"/>
      <c r="FZ1630" s="59"/>
      <c r="GA1630" s="59"/>
      <c r="GB1630" s="59"/>
      <c r="GC1630" s="59"/>
    </row>
    <row r="1631">
      <c r="A1631" s="59"/>
      <c r="B1631" s="59"/>
      <c r="C1631" s="59"/>
      <c r="D1631" s="59"/>
      <c r="E1631" s="59"/>
      <c r="F1631" s="59"/>
      <c r="G1631" s="59"/>
      <c r="H1631" s="59"/>
      <c r="I1631" s="59"/>
      <c r="J1631" s="59"/>
      <c r="K1631" s="59"/>
      <c r="L1631" s="59"/>
      <c r="M1631" s="59"/>
      <c r="N1631" s="59"/>
      <c r="O1631" s="59"/>
      <c r="P1631" s="59"/>
      <c r="Q1631" s="59"/>
      <c r="R1631" s="59"/>
      <c r="S1631" s="59"/>
      <c r="T1631" s="59"/>
      <c r="U1631" s="59"/>
      <c r="V1631" s="59"/>
      <c r="W1631" s="59"/>
      <c r="X1631" s="59"/>
      <c r="Y1631" s="59"/>
      <c r="Z1631" s="59"/>
      <c r="AA1631" s="59"/>
      <c r="AB1631" s="59"/>
      <c r="AC1631" s="59"/>
      <c r="AD1631" s="59"/>
      <c r="AE1631" s="59"/>
      <c r="AF1631" s="59"/>
      <c r="AG1631" s="59"/>
      <c r="AH1631" s="59"/>
      <c r="AI1631" s="59"/>
      <c r="AJ1631" s="59"/>
      <c r="AK1631" s="59"/>
      <c r="AL1631" s="59"/>
      <c r="AM1631" s="59"/>
      <c r="AN1631" s="59"/>
      <c r="AO1631" s="59"/>
      <c r="AP1631" s="59"/>
      <c r="AQ1631" s="59"/>
      <c r="AR1631" s="59"/>
      <c r="AS1631" s="59"/>
      <c r="AT1631" s="59"/>
      <c r="AU1631" s="59"/>
      <c r="AV1631" s="59"/>
      <c r="AW1631" s="59"/>
      <c r="AX1631" s="59"/>
      <c r="AY1631" s="59"/>
      <c r="AZ1631" s="59"/>
      <c r="BA1631" s="59"/>
      <c r="BB1631" s="59"/>
      <c r="BC1631" s="59"/>
      <c r="BD1631" s="59"/>
      <c r="BE1631" s="59"/>
      <c r="BF1631" s="59"/>
      <c r="BG1631" s="59"/>
      <c r="BH1631" s="59"/>
      <c r="BI1631" s="59"/>
      <c r="BJ1631" s="59"/>
      <c r="BK1631" s="59"/>
      <c r="BL1631" s="59"/>
      <c r="BM1631" s="59"/>
      <c r="BN1631" s="59"/>
      <c r="BO1631" s="59"/>
      <c r="BP1631" s="59"/>
      <c r="BQ1631" s="59"/>
      <c r="BR1631" s="59"/>
      <c r="BS1631" s="59"/>
      <c r="BT1631" s="59"/>
      <c r="BU1631" s="59"/>
      <c r="BV1631" s="59"/>
      <c r="BW1631" s="59"/>
      <c r="BX1631" s="59"/>
      <c r="BY1631" s="59"/>
      <c r="BZ1631" s="59"/>
      <c r="CA1631" s="59"/>
      <c r="CB1631" s="59"/>
      <c r="CC1631" s="59"/>
      <c r="CD1631" s="59"/>
      <c r="CE1631" s="59"/>
      <c r="CF1631" s="59"/>
      <c r="CG1631" s="59"/>
      <c r="CH1631" s="59"/>
      <c r="CI1631" s="59"/>
      <c r="CJ1631" s="59"/>
      <c r="CK1631" s="59"/>
      <c r="CL1631" s="59"/>
      <c r="CM1631" s="59"/>
      <c r="CN1631" s="59"/>
      <c r="CO1631" s="59"/>
      <c r="CP1631" s="59"/>
      <c r="CQ1631" s="59"/>
      <c r="CR1631" s="59"/>
      <c r="CS1631" s="59"/>
      <c r="CT1631" s="59"/>
      <c r="CU1631" s="59"/>
      <c r="CV1631" s="59"/>
      <c r="CW1631" s="59"/>
      <c r="CX1631" s="59"/>
      <c r="CY1631" s="59"/>
      <c r="CZ1631" s="59"/>
      <c r="DA1631" s="59"/>
      <c r="DB1631" s="59"/>
      <c r="DC1631" s="59"/>
      <c r="DD1631" s="59"/>
      <c r="DE1631" s="59"/>
      <c r="DF1631" s="59"/>
      <c r="DG1631" s="59"/>
      <c r="DH1631" s="59"/>
      <c r="DI1631" s="59"/>
      <c r="DJ1631" s="59"/>
      <c r="DK1631" s="59"/>
      <c r="DL1631" s="59"/>
      <c r="DM1631" s="59"/>
      <c r="DN1631" s="59"/>
      <c r="DO1631" s="59"/>
      <c r="DP1631" s="59"/>
      <c r="DQ1631" s="59"/>
      <c r="DR1631" s="59"/>
      <c r="DS1631" s="59"/>
      <c r="DT1631" s="59"/>
      <c r="DU1631" s="59"/>
      <c r="DV1631" s="59"/>
      <c r="DW1631" s="59"/>
      <c r="DX1631" s="59"/>
      <c r="DY1631" s="59"/>
      <c r="DZ1631" s="59"/>
      <c r="EA1631" s="59"/>
      <c r="EB1631" s="59"/>
      <c r="EC1631" s="59"/>
      <c r="ED1631" s="59"/>
      <c r="EE1631" s="59"/>
      <c r="EF1631" s="59"/>
      <c r="EG1631" s="59"/>
      <c r="EH1631" s="59"/>
      <c r="EI1631" s="59"/>
      <c r="EJ1631" s="59"/>
      <c r="EK1631" s="59"/>
      <c r="EL1631" s="59"/>
      <c r="EM1631" s="59"/>
      <c r="EN1631" s="59"/>
      <c r="EO1631" s="59"/>
      <c r="EP1631" s="59"/>
      <c r="EQ1631" s="59"/>
      <c r="ER1631" s="59"/>
      <c r="ES1631" s="59"/>
      <c r="ET1631" s="59"/>
      <c r="EU1631" s="59"/>
      <c r="EV1631" s="59"/>
      <c r="EW1631" s="59"/>
      <c r="EX1631" s="59"/>
      <c r="EY1631" s="59"/>
      <c r="EZ1631" s="59"/>
      <c r="FA1631" s="59"/>
      <c r="FB1631" s="59"/>
      <c r="FC1631" s="59"/>
      <c r="FD1631" s="59"/>
      <c r="FE1631" s="59"/>
      <c r="FF1631" s="59"/>
      <c r="FG1631" s="59"/>
      <c r="FH1631" s="59"/>
      <c r="FI1631" s="59"/>
      <c r="FJ1631" s="59"/>
      <c r="FK1631" s="59"/>
      <c r="FL1631" s="59"/>
      <c r="FM1631" s="59"/>
      <c r="FN1631" s="59"/>
      <c r="FO1631" s="59"/>
      <c r="FP1631" s="59"/>
      <c r="FQ1631" s="59"/>
      <c r="FR1631" s="59"/>
      <c r="FS1631" s="59"/>
      <c r="FT1631" s="59"/>
      <c r="FU1631" s="59"/>
      <c r="FV1631" s="59"/>
      <c r="FW1631" s="59"/>
      <c r="FX1631" s="59"/>
      <c r="FY1631" s="59"/>
      <c r="FZ1631" s="59"/>
      <c r="GA1631" s="59"/>
      <c r="GB1631" s="59"/>
      <c r="GC1631" s="59"/>
    </row>
    <row r="1632">
      <c r="A1632" s="59"/>
      <c r="B1632" s="59"/>
      <c r="C1632" s="59"/>
      <c r="D1632" s="59"/>
      <c r="E1632" s="59"/>
      <c r="F1632" s="59"/>
      <c r="G1632" s="59"/>
      <c r="H1632" s="59"/>
      <c r="I1632" s="59"/>
      <c r="J1632" s="59"/>
      <c r="K1632" s="59"/>
      <c r="L1632" s="59"/>
      <c r="M1632" s="59"/>
      <c r="N1632" s="59"/>
      <c r="O1632" s="59"/>
      <c r="P1632" s="59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59"/>
      <c r="AG1632" s="59"/>
      <c r="AH1632" s="59"/>
      <c r="AI1632" s="59"/>
      <c r="AJ1632" s="59"/>
      <c r="AK1632" s="59"/>
      <c r="AL1632" s="59"/>
      <c r="AM1632" s="59"/>
      <c r="AN1632" s="59"/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/>
      <c r="AY1632" s="59"/>
      <c r="AZ1632" s="59"/>
      <c r="BA1632" s="59"/>
      <c r="BB1632" s="59"/>
      <c r="BC1632" s="59"/>
      <c r="BD1632" s="59"/>
      <c r="BE1632" s="59"/>
      <c r="BF1632" s="59"/>
      <c r="BG1632" s="59"/>
      <c r="BH1632" s="59"/>
      <c r="BI1632" s="59"/>
      <c r="BJ1632" s="59"/>
      <c r="BK1632" s="59"/>
      <c r="BL1632" s="59"/>
      <c r="BM1632" s="59"/>
      <c r="BN1632" s="59"/>
      <c r="BO1632" s="59"/>
      <c r="BP1632" s="59"/>
      <c r="BQ1632" s="59"/>
      <c r="BR1632" s="59"/>
      <c r="BS1632" s="59"/>
      <c r="BT1632" s="59"/>
      <c r="BU1632" s="59"/>
      <c r="BV1632" s="59"/>
      <c r="BW1632" s="59"/>
      <c r="BX1632" s="59"/>
      <c r="BY1632" s="59"/>
      <c r="BZ1632" s="59"/>
      <c r="CA1632" s="59"/>
      <c r="CB1632" s="59"/>
      <c r="CC1632" s="59"/>
      <c r="CD1632" s="59"/>
      <c r="CE1632" s="59"/>
      <c r="CF1632" s="59"/>
      <c r="CG1632" s="59"/>
      <c r="CH1632" s="59"/>
      <c r="CI1632" s="59"/>
      <c r="CJ1632" s="59"/>
      <c r="CK1632" s="59"/>
      <c r="CL1632" s="59"/>
      <c r="CM1632" s="59"/>
      <c r="CN1632" s="59"/>
      <c r="CO1632" s="59"/>
      <c r="CP1632" s="59"/>
      <c r="CQ1632" s="59"/>
      <c r="CR1632" s="59"/>
      <c r="CS1632" s="59"/>
      <c r="CT1632" s="59"/>
      <c r="CU1632" s="59"/>
      <c r="CV1632" s="59"/>
      <c r="CW1632" s="59"/>
      <c r="CX1632" s="59"/>
      <c r="CY1632" s="59"/>
      <c r="CZ1632" s="59"/>
      <c r="DA1632" s="59"/>
      <c r="DB1632" s="59"/>
      <c r="DC1632" s="59"/>
      <c r="DD1632" s="59"/>
      <c r="DE1632" s="59"/>
      <c r="DF1632" s="59"/>
      <c r="DG1632" s="59"/>
      <c r="DH1632" s="59"/>
      <c r="DI1632" s="59"/>
      <c r="DJ1632" s="59"/>
      <c r="DK1632" s="59"/>
      <c r="DL1632" s="59"/>
      <c r="DM1632" s="59"/>
      <c r="DN1632" s="59"/>
      <c r="DO1632" s="59"/>
      <c r="DP1632" s="59"/>
      <c r="DQ1632" s="59"/>
      <c r="DR1632" s="59"/>
      <c r="DS1632" s="59"/>
      <c r="DT1632" s="59"/>
      <c r="DU1632" s="59"/>
      <c r="DV1632" s="59"/>
      <c r="DW1632" s="59"/>
      <c r="DX1632" s="59"/>
      <c r="DY1632" s="59"/>
      <c r="DZ1632" s="59"/>
      <c r="EA1632" s="59"/>
      <c r="EB1632" s="59"/>
      <c r="EC1632" s="59"/>
      <c r="ED1632" s="59"/>
      <c r="EE1632" s="59"/>
      <c r="EF1632" s="59"/>
      <c r="EG1632" s="59"/>
      <c r="EH1632" s="59"/>
      <c r="EI1632" s="59"/>
      <c r="EJ1632" s="59"/>
      <c r="EK1632" s="59"/>
      <c r="EL1632" s="59"/>
      <c r="EM1632" s="59"/>
      <c r="EN1632" s="59"/>
      <c r="EO1632" s="59"/>
      <c r="EP1632" s="59"/>
      <c r="EQ1632" s="59"/>
      <c r="ER1632" s="59"/>
      <c r="ES1632" s="59"/>
      <c r="ET1632" s="59"/>
      <c r="EU1632" s="59"/>
      <c r="EV1632" s="59"/>
      <c r="EW1632" s="59"/>
      <c r="EX1632" s="59"/>
      <c r="EY1632" s="59"/>
      <c r="EZ1632" s="59"/>
      <c r="FA1632" s="59"/>
      <c r="FB1632" s="59"/>
      <c r="FC1632" s="59"/>
      <c r="FD1632" s="59"/>
      <c r="FE1632" s="59"/>
      <c r="FF1632" s="59"/>
      <c r="FG1632" s="59"/>
      <c r="FH1632" s="59"/>
      <c r="FI1632" s="59"/>
      <c r="FJ1632" s="59"/>
      <c r="FK1632" s="59"/>
      <c r="FL1632" s="59"/>
      <c r="FM1632" s="59"/>
      <c r="FN1632" s="59"/>
      <c r="FO1632" s="59"/>
      <c r="FP1632" s="59"/>
      <c r="FQ1632" s="59"/>
      <c r="FR1632" s="59"/>
      <c r="FS1632" s="59"/>
      <c r="FT1632" s="59"/>
      <c r="FU1632" s="59"/>
      <c r="FV1632" s="59"/>
      <c r="FW1632" s="59"/>
      <c r="FX1632" s="59"/>
      <c r="FY1632" s="59"/>
      <c r="FZ1632" s="59"/>
      <c r="GA1632" s="59"/>
      <c r="GB1632" s="59"/>
      <c r="GC1632" s="59"/>
    </row>
    <row r="1633">
      <c r="A1633" s="59"/>
      <c r="B1633" s="59"/>
      <c r="C1633" s="59"/>
      <c r="D1633" s="59"/>
      <c r="E1633" s="59"/>
      <c r="F1633" s="59"/>
      <c r="G1633" s="59"/>
      <c r="H1633" s="59"/>
      <c r="I1633" s="59"/>
      <c r="J1633" s="59"/>
      <c r="K1633" s="59"/>
      <c r="L1633" s="59"/>
      <c r="M1633" s="59"/>
      <c r="N1633" s="59"/>
      <c r="O1633" s="59"/>
      <c r="P1633" s="59"/>
      <c r="Q1633" s="59"/>
      <c r="R1633" s="59"/>
      <c r="S1633" s="59"/>
      <c r="T1633" s="59"/>
      <c r="U1633" s="59"/>
      <c r="V1633" s="59"/>
      <c r="W1633" s="59"/>
      <c r="X1633" s="59"/>
      <c r="Y1633" s="59"/>
      <c r="Z1633" s="59"/>
      <c r="AA1633" s="59"/>
      <c r="AB1633" s="59"/>
      <c r="AC1633" s="59"/>
      <c r="AD1633" s="59"/>
      <c r="AE1633" s="59"/>
      <c r="AF1633" s="59"/>
      <c r="AG1633" s="59"/>
      <c r="AH1633" s="59"/>
      <c r="AI1633" s="59"/>
      <c r="AJ1633" s="59"/>
      <c r="AK1633" s="59"/>
      <c r="AL1633" s="59"/>
      <c r="AM1633" s="59"/>
      <c r="AN1633" s="59"/>
      <c r="AO1633" s="59"/>
      <c r="AP1633" s="59"/>
      <c r="AQ1633" s="59"/>
      <c r="AR1633" s="59"/>
      <c r="AS1633" s="59"/>
      <c r="AT1633" s="59"/>
      <c r="AU1633" s="59"/>
      <c r="AV1633" s="59"/>
      <c r="AW1633" s="59"/>
      <c r="AX1633" s="59"/>
      <c r="AY1633" s="59"/>
      <c r="AZ1633" s="59"/>
      <c r="BA1633" s="59"/>
      <c r="BB1633" s="59"/>
      <c r="BC1633" s="59"/>
      <c r="BD1633" s="59"/>
      <c r="BE1633" s="59"/>
      <c r="BF1633" s="59"/>
      <c r="BG1633" s="59"/>
      <c r="BH1633" s="59"/>
      <c r="BI1633" s="59"/>
      <c r="BJ1633" s="59"/>
      <c r="BK1633" s="59"/>
      <c r="BL1633" s="59"/>
      <c r="BM1633" s="59"/>
      <c r="BN1633" s="59"/>
      <c r="BO1633" s="59"/>
      <c r="BP1633" s="59"/>
      <c r="BQ1633" s="59"/>
      <c r="BR1633" s="59"/>
      <c r="BS1633" s="59"/>
      <c r="BT1633" s="59"/>
      <c r="BU1633" s="59"/>
      <c r="BV1633" s="59"/>
      <c r="BW1633" s="59"/>
      <c r="BX1633" s="59"/>
      <c r="BY1633" s="59"/>
      <c r="BZ1633" s="59"/>
      <c r="CA1633" s="59"/>
      <c r="CB1633" s="59"/>
      <c r="CC1633" s="59"/>
      <c r="CD1633" s="59"/>
      <c r="CE1633" s="59"/>
      <c r="CF1633" s="59"/>
      <c r="CG1633" s="59"/>
      <c r="CH1633" s="59"/>
      <c r="CI1633" s="59"/>
      <c r="CJ1633" s="59"/>
      <c r="CK1633" s="59"/>
      <c r="CL1633" s="59"/>
      <c r="CM1633" s="59"/>
      <c r="CN1633" s="59"/>
      <c r="CO1633" s="59"/>
      <c r="CP1633" s="59"/>
      <c r="CQ1633" s="59"/>
      <c r="CR1633" s="59"/>
      <c r="CS1633" s="59"/>
      <c r="CT1633" s="59"/>
      <c r="CU1633" s="59"/>
      <c r="CV1633" s="59"/>
      <c r="CW1633" s="59"/>
      <c r="CX1633" s="59"/>
      <c r="CY1633" s="59"/>
      <c r="CZ1633" s="59"/>
      <c r="DA1633" s="59"/>
      <c r="DB1633" s="59"/>
      <c r="DC1633" s="59"/>
      <c r="DD1633" s="59"/>
      <c r="DE1633" s="59"/>
      <c r="DF1633" s="59"/>
      <c r="DG1633" s="59"/>
      <c r="DH1633" s="59"/>
      <c r="DI1633" s="59"/>
      <c r="DJ1633" s="59"/>
      <c r="DK1633" s="59"/>
      <c r="DL1633" s="59"/>
      <c r="DM1633" s="59"/>
      <c r="DN1633" s="59"/>
      <c r="DO1633" s="59"/>
      <c r="DP1633" s="59"/>
      <c r="DQ1633" s="59"/>
      <c r="DR1633" s="59"/>
      <c r="DS1633" s="59"/>
      <c r="DT1633" s="59"/>
      <c r="DU1633" s="59"/>
      <c r="DV1633" s="59"/>
      <c r="DW1633" s="59"/>
      <c r="DX1633" s="59"/>
      <c r="DY1633" s="59"/>
      <c r="DZ1633" s="59"/>
      <c r="EA1633" s="59"/>
      <c r="EB1633" s="59"/>
      <c r="EC1633" s="59"/>
      <c r="ED1633" s="59"/>
      <c r="EE1633" s="59"/>
      <c r="EF1633" s="59"/>
      <c r="EG1633" s="59"/>
      <c r="EH1633" s="59"/>
      <c r="EI1633" s="59"/>
      <c r="EJ1633" s="59"/>
      <c r="EK1633" s="59"/>
      <c r="EL1633" s="59"/>
      <c r="EM1633" s="59"/>
      <c r="EN1633" s="59"/>
      <c r="EO1633" s="59"/>
      <c r="EP1633" s="59"/>
      <c r="EQ1633" s="59"/>
      <c r="ER1633" s="59"/>
      <c r="ES1633" s="59"/>
      <c r="ET1633" s="59"/>
      <c r="EU1633" s="59"/>
      <c r="EV1633" s="59"/>
      <c r="EW1633" s="59"/>
      <c r="EX1633" s="59"/>
      <c r="EY1633" s="59"/>
      <c r="EZ1633" s="59"/>
      <c r="FA1633" s="59"/>
      <c r="FB1633" s="59"/>
      <c r="FC1633" s="59"/>
      <c r="FD1633" s="59"/>
      <c r="FE1633" s="59"/>
      <c r="FF1633" s="59"/>
      <c r="FG1633" s="59"/>
      <c r="FH1633" s="59"/>
      <c r="FI1633" s="59"/>
      <c r="FJ1633" s="59"/>
      <c r="FK1633" s="59"/>
      <c r="FL1633" s="59"/>
      <c r="FM1633" s="59"/>
      <c r="FN1633" s="59"/>
      <c r="FO1633" s="59"/>
      <c r="FP1633" s="59"/>
      <c r="FQ1633" s="59"/>
      <c r="FR1633" s="59"/>
      <c r="FS1633" s="59"/>
      <c r="FT1633" s="59"/>
      <c r="FU1633" s="59"/>
      <c r="FV1633" s="59"/>
      <c r="FW1633" s="59"/>
      <c r="FX1633" s="59"/>
      <c r="FY1633" s="59"/>
      <c r="FZ1633" s="59"/>
      <c r="GA1633" s="59"/>
      <c r="GB1633" s="59"/>
      <c r="GC1633" s="59"/>
    </row>
    <row r="1634">
      <c r="A1634" s="59"/>
      <c r="B1634" s="59"/>
      <c r="C1634" s="59"/>
      <c r="D1634" s="59"/>
      <c r="E1634" s="59"/>
      <c r="F1634" s="59"/>
      <c r="G1634" s="59"/>
      <c r="H1634" s="59"/>
      <c r="I1634" s="59"/>
      <c r="J1634" s="59"/>
      <c r="K1634" s="59"/>
      <c r="L1634" s="59"/>
      <c r="M1634" s="59"/>
      <c r="N1634" s="59"/>
      <c r="O1634" s="59"/>
      <c r="P1634" s="59"/>
      <c r="Q1634" s="59"/>
      <c r="R1634" s="59"/>
      <c r="S1634" s="59"/>
      <c r="T1634" s="59"/>
      <c r="U1634" s="59"/>
      <c r="V1634" s="59"/>
      <c r="W1634" s="59"/>
      <c r="X1634" s="59"/>
      <c r="Y1634" s="59"/>
      <c r="Z1634" s="59"/>
      <c r="AA1634" s="59"/>
      <c r="AB1634" s="59"/>
      <c r="AC1634" s="59"/>
      <c r="AD1634" s="59"/>
      <c r="AE1634" s="59"/>
      <c r="AF1634" s="59"/>
      <c r="AG1634" s="59"/>
      <c r="AH1634" s="59"/>
      <c r="AI1634" s="59"/>
      <c r="AJ1634" s="59"/>
      <c r="AK1634" s="59"/>
      <c r="AL1634" s="59"/>
      <c r="AM1634" s="59"/>
      <c r="AN1634" s="59"/>
      <c r="AO1634" s="59"/>
      <c r="AP1634" s="59"/>
      <c r="AQ1634" s="59"/>
      <c r="AR1634" s="59"/>
      <c r="AS1634" s="59"/>
      <c r="AT1634" s="59"/>
      <c r="AU1634" s="59"/>
      <c r="AV1634" s="59"/>
      <c r="AW1634" s="59"/>
      <c r="AX1634" s="59"/>
      <c r="AY1634" s="59"/>
      <c r="AZ1634" s="59"/>
      <c r="BA1634" s="59"/>
      <c r="BB1634" s="59"/>
      <c r="BC1634" s="59"/>
      <c r="BD1634" s="59"/>
      <c r="BE1634" s="59"/>
      <c r="BF1634" s="59"/>
      <c r="BG1634" s="59"/>
      <c r="BH1634" s="59"/>
      <c r="BI1634" s="59"/>
      <c r="BJ1634" s="59"/>
      <c r="BK1634" s="59"/>
      <c r="BL1634" s="59"/>
      <c r="BM1634" s="59"/>
      <c r="BN1634" s="59"/>
      <c r="BO1634" s="59"/>
      <c r="BP1634" s="59"/>
      <c r="BQ1634" s="59"/>
      <c r="BR1634" s="59"/>
      <c r="BS1634" s="59"/>
      <c r="BT1634" s="59"/>
      <c r="BU1634" s="59"/>
      <c r="BV1634" s="59"/>
      <c r="BW1634" s="59"/>
      <c r="BX1634" s="59"/>
      <c r="BY1634" s="59"/>
      <c r="BZ1634" s="59"/>
      <c r="CA1634" s="59"/>
      <c r="CB1634" s="59"/>
      <c r="CC1634" s="59"/>
      <c r="CD1634" s="59"/>
      <c r="CE1634" s="59"/>
      <c r="CF1634" s="59"/>
      <c r="CG1634" s="59"/>
      <c r="CH1634" s="59"/>
      <c r="CI1634" s="59"/>
      <c r="CJ1634" s="59"/>
      <c r="CK1634" s="59"/>
      <c r="CL1634" s="59"/>
      <c r="CM1634" s="59"/>
      <c r="CN1634" s="59"/>
      <c r="CO1634" s="59"/>
      <c r="CP1634" s="59"/>
      <c r="CQ1634" s="59"/>
      <c r="CR1634" s="59"/>
      <c r="CS1634" s="59"/>
      <c r="CT1634" s="59"/>
      <c r="CU1634" s="59"/>
      <c r="CV1634" s="59"/>
      <c r="CW1634" s="59"/>
      <c r="CX1634" s="59"/>
      <c r="CY1634" s="59"/>
      <c r="CZ1634" s="59"/>
      <c r="DA1634" s="59"/>
      <c r="DB1634" s="59"/>
      <c r="DC1634" s="59"/>
      <c r="DD1634" s="59"/>
      <c r="DE1634" s="59"/>
      <c r="DF1634" s="59"/>
      <c r="DG1634" s="59"/>
      <c r="DH1634" s="59"/>
      <c r="DI1634" s="59"/>
      <c r="DJ1634" s="59"/>
      <c r="DK1634" s="59"/>
      <c r="DL1634" s="59"/>
      <c r="DM1634" s="59"/>
      <c r="DN1634" s="59"/>
      <c r="DO1634" s="59"/>
      <c r="DP1634" s="59"/>
      <c r="DQ1634" s="59"/>
      <c r="DR1634" s="59"/>
      <c r="DS1634" s="59"/>
      <c r="DT1634" s="59"/>
      <c r="DU1634" s="59"/>
      <c r="DV1634" s="59"/>
      <c r="DW1634" s="59"/>
      <c r="DX1634" s="59"/>
      <c r="DY1634" s="59"/>
      <c r="DZ1634" s="59"/>
      <c r="EA1634" s="59"/>
      <c r="EB1634" s="59"/>
      <c r="EC1634" s="59"/>
      <c r="ED1634" s="59"/>
      <c r="EE1634" s="59"/>
      <c r="EF1634" s="59"/>
      <c r="EG1634" s="59"/>
      <c r="EH1634" s="59"/>
      <c r="EI1634" s="59"/>
      <c r="EJ1634" s="59"/>
      <c r="EK1634" s="59"/>
      <c r="EL1634" s="59"/>
      <c r="EM1634" s="59"/>
      <c r="EN1634" s="59"/>
      <c r="EO1634" s="59"/>
      <c r="EP1634" s="59"/>
      <c r="EQ1634" s="59"/>
      <c r="ER1634" s="59"/>
      <c r="ES1634" s="59"/>
      <c r="ET1634" s="59"/>
      <c r="EU1634" s="59"/>
      <c r="EV1634" s="59"/>
      <c r="EW1634" s="59"/>
      <c r="EX1634" s="59"/>
      <c r="EY1634" s="59"/>
      <c r="EZ1634" s="59"/>
      <c r="FA1634" s="59"/>
      <c r="FB1634" s="59"/>
      <c r="FC1634" s="59"/>
      <c r="FD1634" s="59"/>
      <c r="FE1634" s="59"/>
      <c r="FF1634" s="59"/>
      <c r="FG1634" s="59"/>
      <c r="FH1634" s="59"/>
      <c r="FI1634" s="59"/>
      <c r="FJ1634" s="59"/>
      <c r="FK1634" s="59"/>
      <c r="FL1634" s="59"/>
      <c r="FM1634" s="59"/>
      <c r="FN1634" s="59"/>
      <c r="FO1634" s="59"/>
      <c r="FP1634" s="59"/>
      <c r="FQ1634" s="59"/>
      <c r="FR1634" s="59"/>
      <c r="FS1634" s="59"/>
      <c r="FT1634" s="59"/>
      <c r="FU1634" s="59"/>
      <c r="FV1634" s="59"/>
      <c r="FW1634" s="59"/>
      <c r="FX1634" s="59"/>
      <c r="FY1634" s="59"/>
      <c r="FZ1634" s="59"/>
      <c r="GA1634" s="59"/>
      <c r="GB1634" s="59"/>
      <c r="GC1634" s="59"/>
    </row>
    <row r="1635">
      <c r="A1635" s="59"/>
      <c r="B1635" s="59"/>
      <c r="C1635" s="59"/>
      <c r="D1635" s="59"/>
      <c r="E1635" s="59"/>
      <c r="F1635" s="59"/>
      <c r="G1635" s="59"/>
      <c r="H1635" s="59"/>
      <c r="I1635" s="59"/>
      <c r="J1635" s="59"/>
      <c r="K1635" s="59"/>
      <c r="L1635" s="59"/>
      <c r="M1635" s="59"/>
      <c r="N1635" s="59"/>
      <c r="O1635" s="59"/>
      <c r="P1635" s="59"/>
      <c r="Q1635" s="59"/>
      <c r="R1635" s="59"/>
      <c r="S1635" s="59"/>
      <c r="T1635" s="59"/>
      <c r="U1635" s="59"/>
      <c r="V1635" s="59"/>
      <c r="W1635" s="59"/>
      <c r="X1635" s="59"/>
      <c r="Y1635" s="59"/>
      <c r="Z1635" s="59"/>
      <c r="AA1635" s="59"/>
      <c r="AB1635" s="59"/>
      <c r="AC1635" s="59"/>
      <c r="AD1635" s="59"/>
      <c r="AE1635" s="59"/>
      <c r="AF1635" s="59"/>
      <c r="AG1635" s="59"/>
      <c r="AH1635" s="59"/>
      <c r="AI1635" s="59"/>
      <c r="AJ1635" s="59"/>
      <c r="AK1635" s="59"/>
      <c r="AL1635" s="59"/>
      <c r="AM1635" s="59"/>
      <c r="AN1635" s="59"/>
      <c r="AO1635" s="59"/>
      <c r="AP1635" s="59"/>
      <c r="AQ1635" s="59"/>
      <c r="AR1635" s="59"/>
      <c r="AS1635" s="59"/>
      <c r="AT1635" s="59"/>
      <c r="AU1635" s="59"/>
      <c r="AV1635" s="59"/>
      <c r="AW1635" s="59"/>
      <c r="AX1635" s="59"/>
      <c r="AY1635" s="59"/>
      <c r="AZ1635" s="59"/>
      <c r="BA1635" s="59"/>
      <c r="BB1635" s="59"/>
      <c r="BC1635" s="59"/>
      <c r="BD1635" s="59"/>
      <c r="BE1635" s="59"/>
      <c r="BF1635" s="59"/>
      <c r="BG1635" s="59"/>
      <c r="BH1635" s="59"/>
      <c r="BI1635" s="59"/>
      <c r="BJ1635" s="59"/>
      <c r="BK1635" s="59"/>
      <c r="BL1635" s="59"/>
      <c r="BM1635" s="59"/>
      <c r="BN1635" s="59"/>
      <c r="BO1635" s="59"/>
      <c r="BP1635" s="59"/>
      <c r="BQ1635" s="59"/>
      <c r="BR1635" s="59"/>
      <c r="BS1635" s="59"/>
      <c r="BT1635" s="59"/>
      <c r="BU1635" s="59"/>
      <c r="BV1635" s="59"/>
      <c r="BW1635" s="59"/>
      <c r="BX1635" s="59"/>
      <c r="BY1635" s="59"/>
      <c r="BZ1635" s="59"/>
      <c r="CA1635" s="59"/>
      <c r="CB1635" s="59"/>
      <c r="CC1635" s="59"/>
      <c r="CD1635" s="59"/>
      <c r="CE1635" s="59"/>
      <c r="CF1635" s="59"/>
      <c r="CG1635" s="59"/>
      <c r="CH1635" s="59"/>
      <c r="CI1635" s="59"/>
      <c r="CJ1635" s="59"/>
      <c r="CK1635" s="59"/>
      <c r="CL1635" s="59"/>
      <c r="CM1635" s="59"/>
      <c r="CN1635" s="59"/>
      <c r="CO1635" s="59"/>
      <c r="CP1635" s="59"/>
      <c r="CQ1635" s="59"/>
      <c r="CR1635" s="59"/>
      <c r="CS1635" s="59"/>
      <c r="CT1635" s="59"/>
      <c r="CU1635" s="59"/>
      <c r="CV1635" s="59"/>
      <c r="CW1635" s="59"/>
      <c r="CX1635" s="59"/>
      <c r="CY1635" s="59"/>
      <c r="CZ1635" s="59"/>
      <c r="DA1635" s="59"/>
      <c r="DB1635" s="59"/>
      <c r="DC1635" s="59"/>
      <c r="DD1635" s="59"/>
      <c r="DE1635" s="59"/>
      <c r="DF1635" s="59"/>
      <c r="DG1635" s="59"/>
      <c r="DH1635" s="59"/>
      <c r="DI1635" s="59"/>
      <c r="DJ1635" s="59"/>
      <c r="DK1635" s="59"/>
      <c r="DL1635" s="59"/>
      <c r="DM1635" s="59"/>
      <c r="DN1635" s="59"/>
      <c r="DO1635" s="59"/>
      <c r="DP1635" s="59"/>
      <c r="DQ1635" s="59"/>
      <c r="DR1635" s="59"/>
      <c r="DS1635" s="59"/>
      <c r="DT1635" s="59"/>
      <c r="DU1635" s="59"/>
      <c r="DV1635" s="59"/>
      <c r="DW1635" s="59"/>
      <c r="DX1635" s="59"/>
      <c r="DY1635" s="59"/>
      <c r="DZ1635" s="59"/>
      <c r="EA1635" s="59"/>
      <c r="EB1635" s="59"/>
      <c r="EC1635" s="59"/>
      <c r="ED1635" s="59"/>
      <c r="EE1635" s="59"/>
      <c r="EF1635" s="59"/>
      <c r="EG1635" s="59"/>
      <c r="EH1635" s="59"/>
      <c r="EI1635" s="59"/>
      <c r="EJ1635" s="59"/>
      <c r="EK1635" s="59"/>
      <c r="EL1635" s="59"/>
      <c r="EM1635" s="59"/>
      <c r="EN1635" s="59"/>
      <c r="EO1635" s="59"/>
      <c r="EP1635" s="59"/>
      <c r="EQ1635" s="59"/>
      <c r="ER1635" s="59"/>
      <c r="ES1635" s="59"/>
      <c r="ET1635" s="59"/>
      <c r="EU1635" s="59"/>
      <c r="EV1635" s="59"/>
      <c r="EW1635" s="59"/>
      <c r="EX1635" s="59"/>
      <c r="EY1635" s="59"/>
      <c r="EZ1635" s="59"/>
      <c r="FA1635" s="59"/>
      <c r="FB1635" s="59"/>
      <c r="FC1635" s="59"/>
      <c r="FD1635" s="59"/>
      <c r="FE1635" s="59"/>
      <c r="FF1635" s="59"/>
      <c r="FG1635" s="59"/>
      <c r="FH1635" s="59"/>
      <c r="FI1635" s="59"/>
      <c r="FJ1635" s="59"/>
      <c r="FK1635" s="59"/>
      <c r="FL1635" s="59"/>
      <c r="FM1635" s="59"/>
      <c r="FN1635" s="59"/>
      <c r="FO1635" s="59"/>
      <c r="FP1635" s="59"/>
      <c r="FQ1635" s="59"/>
      <c r="FR1635" s="59"/>
      <c r="FS1635" s="59"/>
      <c r="FT1635" s="59"/>
      <c r="FU1635" s="59"/>
      <c r="FV1635" s="59"/>
      <c r="FW1635" s="59"/>
      <c r="FX1635" s="59"/>
      <c r="FY1635" s="59"/>
      <c r="FZ1635" s="59"/>
      <c r="GA1635" s="59"/>
      <c r="GB1635" s="59"/>
      <c r="GC1635" s="59"/>
    </row>
    <row r="1636">
      <c r="A1636" s="59"/>
      <c r="B1636" s="59"/>
      <c r="C1636" s="59"/>
      <c r="D1636" s="59"/>
      <c r="E1636" s="59"/>
      <c r="F1636" s="59"/>
      <c r="G1636" s="59"/>
      <c r="H1636" s="59"/>
      <c r="I1636" s="59"/>
      <c r="J1636" s="59"/>
      <c r="K1636" s="59"/>
      <c r="L1636" s="59"/>
      <c r="M1636" s="59"/>
      <c r="N1636" s="59"/>
      <c r="O1636" s="59"/>
      <c r="P1636" s="59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  <c r="AG1636" s="59"/>
      <c r="AH1636" s="59"/>
      <c r="AI1636" s="59"/>
      <c r="AJ1636" s="59"/>
      <c r="AK1636" s="59"/>
      <c r="AL1636" s="59"/>
      <c r="AM1636" s="59"/>
      <c r="AN1636" s="59"/>
      <c r="AO1636" s="59"/>
      <c r="AP1636" s="59"/>
      <c r="AQ1636" s="59"/>
      <c r="AR1636" s="59"/>
      <c r="AS1636" s="59"/>
      <c r="AT1636" s="59"/>
      <c r="AU1636" s="59"/>
      <c r="AV1636" s="59"/>
      <c r="AW1636" s="59"/>
      <c r="AX1636" s="59"/>
      <c r="AY1636" s="59"/>
      <c r="AZ1636" s="59"/>
      <c r="BA1636" s="59"/>
      <c r="BB1636" s="59"/>
      <c r="BC1636" s="59"/>
      <c r="BD1636" s="59"/>
      <c r="BE1636" s="59"/>
      <c r="BF1636" s="59"/>
      <c r="BG1636" s="59"/>
      <c r="BH1636" s="59"/>
      <c r="BI1636" s="59"/>
      <c r="BJ1636" s="59"/>
      <c r="BK1636" s="59"/>
      <c r="BL1636" s="59"/>
      <c r="BM1636" s="59"/>
      <c r="BN1636" s="59"/>
      <c r="BO1636" s="59"/>
      <c r="BP1636" s="59"/>
      <c r="BQ1636" s="59"/>
      <c r="BR1636" s="59"/>
      <c r="BS1636" s="59"/>
      <c r="BT1636" s="59"/>
      <c r="BU1636" s="59"/>
      <c r="BV1636" s="59"/>
      <c r="BW1636" s="59"/>
      <c r="BX1636" s="59"/>
      <c r="BY1636" s="59"/>
      <c r="BZ1636" s="59"/>
      <c r="CA1636" s="59"/>
      <c r="CB1636" s="59"/>
      <c r="CC1636" s="59"/>
      <c r="CD1636" s="59"/>
      <c r="CE1636" s="59"/>
      <c r="CF1636" s="59"/>
      <c r="CG1636" s="59"/>
      <c r="CH1636" s="59"/>
      <c r="CI1636" s="59"/>
      <c r="CJ1636" s="59"/>
      <c r="CK1636" s="59"/>
      <c r="CL1636" s="59"/>
      <c r="CM1636" s="59"/>
      <c r="CN1636" s="59"/>
      <c r="CO1636" s="59"/>
      <c r="CP1636" s="59"/>
      <c r="CQ1636" s="59"/>
      <c r="CR1636" s="59"/>
      <c r="CS1636" s="59"/>
      <c r="CT1636" s="59"/>
      <c r="CU1636" s="59"/>
      <c r="CV1636" s="59"/>
      <c r="CW1636" s="59"/>
      <c r="CX1636" s="59"/>
      <c r="CY1636" s="59"/>
      <c r="CZ1636" s="59"/>
      <c r="DA1636" s="59"/>
      <c r="DB1636" s="59"/>
      <c r="DC1636" s="59"/>
      <c r="DD1636" s="59"/>
      <c r="DE1636" s="59"/>
      <c r="DF1636" s="59"/>
      <c r="DG1636" s="59"/>
      <c r="DH1636" s="59"/>
      <c r="DI1636" s="59"/>
      <c r="DJ1636" s="59"/>
      <c r="DK1636" s="59"/>
      <c r="DL1636" s="59"/>
      <c r="DM1636" s="59"/>
      <c r="DN1636" s="59"/>
      <c r="DO1636" s="59"/>
      <c r="DP1636" s="59"/>
      <c r="DQ1636" s="59"/>
      <c r="DR1636" s="59"/>
      <c r="DS1636" s="59"/>
      <c r="DT1636" s="59"/>
      <c r="DU1636" s="59"/>
      <c r="DV1636" s="59"/>
      <c r="DW1636" s="59"/>
      <c r="DX1636" s="59"/>
      <c r="DY1636" s="59"/>
      <c r="DZ1636" s="59"/>
      <c r="EA1636" s="59"/>
      <c r="EB1636" s="59"/>
      <c r="EC1636" s="59"/>
      <c r="ED1636" s="59"/>
      <c r="EE1636" s="59"/>
      <c r="EF1636" s="59"/>
      <c r="EG1636" s="59"/>
      <c r="EH1636" s="59"/>
      <c r="EI1636" s="59"/>
      <c r="EJ1636" s="59"/>
      <c r="EK1636" s="59"/>
      <c r="EL1636" s="59"/>
      <c r="EM1636" s="59"/>
      <c r="EN1636" s="59"/>
      <c r="EO1636" s="59"/>
      <c r="EP1636" s="59"/>
      <c r="EQ1636" s="59"/>
      <c r="ER1636" s="59"/>
      <c r="ES1636" s="59"/>
      <c r="ET1636" s="59"/>
      <c r="EU1636" s="59"/>
      <c r="EV1636" s="59"/>
      <c r="EW1636" s="59"/>
      <c r="EX1636" s="59"/>
      <c r="EY1636" s="59"/>
      <c r="EZ1636" s="59"/>
      <c r="FA1636" s="59"/>
      <c r="FB1636" s="59"/>
      <c r="FC1636" s="59"/>
      <c r="FD1636" s="59"/>
      <c r="FE1636" s="59"/>
      <c r="FF1636" s="59"/>
      <c r="FG1636" s="59"/>
      <c r="FH1636" s="59"/>
      <c r="FI1636" s="59"/>
      <c r="FJ1636" s="59"/>
      <c r="FK1636" s="59"/>
      <c r="FL1636" s="59"/>
      <c r="FM1636" s="59"/>
      <c r="FN1636" s="59"/>
      <c r="FO1636" s="59"/>
      <c r="FP1636" s="59"/>
      <c r="FQ1636" s="59"/>
      <c r="FR1636" s="59"/>
      <c r="FS1636" s="59"/>
      <c r="FT1636" s="59"/>
      <c r="FU1636" s="59"/>
      <c r="FV1636" s="59"/>
      <c r="FW1636" s="59"/>
      <c r="FX1636" s="59"/>
      <c r="FY1636" s="59"/>
      <c r="FZ1636" s="59"/>
      <c r="GA1636" s="59"/>
      <c r="GB1636" s="59"/>
      <c r="GC1636" s="59"/>
    </row>
    <row r="1637">
      <c r="A1637" s="59"/>
      <c r="B1637" s="59"/>
      <c r="C1637" s="59"/>
      <c r="D1637" s="59"/>
      <c r="E1637" s="59"/>
      <c r="F1637" s="59"/>
      <c r="G1637" s="59"/>
      <c r="H1637" s="59"/>
      <c r="I1637" s="59"/>
      <c r="J1637" s="59"/>
      <c r="K1637" s="59"/>
      <c r="L1637" s="59"/>
      <c r="M1637" s="59"/>
      <c r="N1637" s="59"/>
      <c r="O1637" s="59"/>
      <c r="P1637" s="59"/>
      <c r="Q1637" s="59"/>
      <c r="R1637" s="59"/>
      <c r="S1637" s="59"/>
      <c r="T1637" s="59"/>
      <c r="U1637" s="59"/>
      <c r="V1637" s="59"/>
      <c r="W1637" s="59"/>
      <c r="X1637" s="59"/>
      <c r="Y1637" s="59"/>
      <c r="Z1637" s="59"/>
      <c r="AA1637" s="59"/>
      <c r="AB1637" s="59"/>
      <c r="AC1637" s="59"/>
      <c r="AD1637" s="59"/>
      <c r="AE1637" s="59"/>
      <c r="AF1637" s="59"/>
      <c r="AG1637" s="59"/>
      <c r="AH1637" s="59"/>
      <c r="AI1637" s="59"/>
      <c r="AJ1637" s="59"/>
      <c r="AK1637" s="59"/>
      <c r="AL1637" s="59"/>
      <c r="AM1637" s="59"/>
      <c r="AN1637" s="59"/>
      <c r="AO1637" s="59"/>
      <c r="AP1637" s="59"/>
      <c r="AQ1637" s="59"/>
      <c r="AR1637" s="59"/>
      <c r="AS1637" s="59"/>
      <c r="AT1637" s="59"/>
      <c r="AU1637" s="59"/>
      <c r="AV1637" s="59"/>
      <c r="AW1637" s="59"/>
      <c r="AX1637" s="59"/>
      <c r="AY1637" s="59"/>
      <c r="AZ1637" s="59"/>
      <c r="BA1637" s="59"/>
      <c r="BB1637" s="59"/>
      <c r="BC1637" s="59"/>
      <c r="BD1637" s="59"/>
      <c r="BE1637" s="59"/>
      <c r="BF1637" s="59"/>
      <c r="BG1637" s="59"/>
      <c r="BH1637" s="59"/>
      <c r="BI1637" s="59"/>
      <c r="BJ1637" s="59"/>
      <c r="BK1637" s="59"/>
      <c r="BL1637" s="59"/>
      <c r="BM1637" s="59"/>
      <c r="BN1637" s="59"/>
      <c r="BO1637" s="59"/>
      <c r="BP1637" s="59"/>
      <c r="BQ1637" s="59"/>
      <c r="BR1637" s="59"/>
      <c r="BS1637" s="59"/>
      <c r="BT1637" s="59"/>
      <c r="BU1637" s="59"/>
      <c r="BV1637" s="59"/>
      <c r="BW1637" s="59"/>
      <c r="BX1637" s="59"/>
      <c r="BY1637" s="59"/>
      <c r="BZ1637" s="59"/>
      <c r="CA1637" s="59"/>
      <c r="CB1637" s="59"/>
      <c r="CC1637" s="59"/>
      <c r="CD1637" s="59"/>
      <c r="CE1637" s="59"/>
      <c r="CF1637" s="59"/>
      <c r="CG1637" s="59"/>
      <c r="CH1637" s="59"/>
      <c r="CI1637" s="59"/>
      <c r="CJ1637" s="59"/>
      <c r="CK1637" s="59"/>
      <c r="CL1637" s="59"/>
      <c r="CM1637" s="59"/>
      <c r="CN1637" s="59"/>
      <c r="CO1637" s="59"/>
      <c r="CP1637" s="59"/>
      <c r="CQ1637" s="59"/>
      <c r="CR1637" s="59"/>
      <c r="CS1637" s="59"/>
      <c r="CT1637" s="59"/>
      <c r="CU1637" s="59"/>
      <c r="CV1637" s="59"/>
      <c r="CW1637" s="59"/>
      <c r="CX1637" s="59"/>
      <c r="CY1637" s="59"/>
      <c r="CZ1637" s="59"/>
      <c r="DA1637" s="59"/>
      <c r="DB1637" s="59"/>
      <c r="DC1637" s="59"/>
      <c r="DD1637" s="59"/>
      <c r="DE1637" s="59"/>
      <c r="DF1637" s="59"/>
      <c r="DG1637" s="59"/>
      <c r="DH1637" s="59"/>
      <c r="DI1637" s="59"/>
      <c r="DJ1637" s="59"/>
      <c r="DK1637" s="59"/>
      <c r="DL1637" s="59"/>
      <c r="DM1637" s="59"/>
      <c r="DN1637" s="59"/>
      <c r="DO1637" s="59"/>
      <c r="DP1637" s="59"/>
      <c r="DQ1637" s="59"/>
      <c r="DR1637" s="59"/>
      <c r="DS1637" s="59"/>
      <c r="DT1637" s="59"/>
      <c r="DU1637" s="59"/>
      <c r="DV1637" s="59"/>
      <c r="DW1637" s="59"/>
      <c r="DX1637" s="59"/>
      <c r="DY1637" s="59"/>
      <c r="DZ1637" s="59"/>
      <c r="EA1637" s="59"/>
      <c r="EB1637" s="59"/>
      <c r="EC1637" s="59"/>
      <c r="ED1637" s="59"/>
      <c r="EE1637" s="59"/>
      <c r="EF1637" s="59"/>
      <c r="EG1637" s="59"/>
      <c r="EH1637" s="59"/>
      <c r="EI1637" s="59"/>
      <c r="EJ1637" s="59"/>
      <c r="EK1637" s="59"/>
      <c r="EL1637" s="59"/>
      <c r="EM1637" s="59"/>
      <c r="EN1637" s="59"/>
      <c r="EO1637" s="59"/>
      <c r="EP1637" s="59"/>
      <c r="EQ1637" s="59"/>
      <c r="ER1637" s="59"/>
      <c r="ES1637" s="59"/>
      <c r="ET1637" s="59"/>
      <c r="EU1637" s="59"/>
      <c r="EV1637" s="59"/>
      <c r="EW1637" s="59"/>
      <c r="EX1637" s="59"/>
      <c r="EY1637" s="59"/>
      <c r="EZ1637" s="59"/>
      <c r="FA1637" s="59"/>
      <c r="FB1637" s="59"/>
      <c r="FC1637" s="59"/>
      <c r="FD1637" s="59"/>
      <c r="FE1637" s="59"/>
      <c r="FF1637" s="59"/>
      <c r="FG1637" s="59"/>
      <c r="FH1637" s="59"/>
      <c r="FI1637" s="59"/>
      <c r="FJ1637" s="59"/>
      <c r="FK1637" s="59"/>
      <c r="FL1637" s="59"/>
      <c r="FM1637" s="59"/>
      <c r="FN1637" s="59"/>
      <c r="FO1637" s="59"/>
      <c r="FP1637" s="59"/>
      <c r="FQ1637" s="59"/>
      <c r="FR1637" s="59"/>
      <c r="FS1637" s="59"/>
      <c r="FT1637" s="59"/>
      <c r="FU1637" s="59"/>
      <c r="FV1637" s="59"/>
      <c r="FW1637" s="59"/>
      <c r="FX1637" s="59"/>
      <c r="FY1637" s="59"/>
      <c r="FZ1637" s="59"/>
      <c r="GA1637" s="59"/>
      <c r="GB1637" s="59"/>
      <c r="GC1637" s="59"/>
    </row>
    <row r="1638">
      <c r="A1638" s="59"/>
      <c r="B1638" s="59"/>
      <c r="C1638" s="59"/>
      <c r="D1638" s="59"/>
      <c r="E1638" s="59"/>
      <c r="F1638" s="59"/>
      <c r="G1638" s="59"/>
      <c r="H1638" s="59"/>
      <c r="I1638" s="59"/>
      <c r="J1638" s="59"/>
      <c r="K1638" s="59"/>
      <c r="L1638" s="59"/>
      <c r="M1638" s="59"/>
      <c r="N1638" s="59"/>
      <c r="O1638" s="59"/>
      <c r="P1638" s="59"/>
      <c r="Q1638" s="59"/>
      <c r="R1638" s="59"/>
      <c r="S1638" s="59"/>
      <c r="T1638" s="59"/>
      <c r="U1638" s="59"/>
      <c r="V1638" s="59"/>
      <c r="W1638" s="59"/>
      <c r="X1638" s="59"/>
      <c r="Y1638" s="59"/>
      <c r="Z1638" s="59"/>
      <c r="AA1638" s="59"/>
      <c r="AB1638" s="59"/>
      <c r="AC1638" s="59"/>
      <c r="AD1638" s="59"/>
      <c r="AE1638" s="59"/>
      <c r="AF1638" s="59"/>
      <c r="AG1638" s="59"/>
      <c r="AH1638" s="59"/>
      <c r="AI1638" s="59"/>
      <c r="AJ1638" s="59"/>
      <c r="AK1638" s="59"/>
      <c r="AL1638" s="59"/>
      <c r="AM1638" s="59"/>
      <c r="AN1638" s="59"/>
      <c r="AO1638" s="59"/>
      <c r="AP1638" s="59"/>
      <c r="AQ1638" s="59"/>
      <c r="AR1638" s="59"/>
      <c r="AS1638" s="59"/>
      <c r="AT1638" s="59"/>
      <c r="AU1638" s="59"/>
      <c r="AV1638" s="59"/>
      <c r="AW1638" s="59"/>
      <c r="AX1638" s="59"/>
      <c r="AY1638" s="59"/>
      <c r="AZ1638" s="59"/>
      <c r="BA1638" s="59"/>
      <c r="BB1638" s="59"/>
      <c r="BC1638" s="59"/>
      <c r="BD1638" s="59"/>
      <c r="BE1638" s="59"/>
      <c r="BF1638" s="59"/>
      <c r="BG1638" s="59"/>
      <c r="BH1638" s="59"/>
      <c r="BI1638" s="59"/>
      <c r="BJ1638" s="59"/>
      <c r="BK1638" s="59"/>
      <c r="BL1638" s="59"/>
      <c r="BM1638" s="59"/>
      <c r="BN1638" s="59"/>
      <c r="BO1638" s="59"/>
      <c r="BP1638" s="59"/>
      <c r="BQ1638" s="59"/>
      <c r="BR1638" s="59"/>
      <c r="BS1638" s="59"/>
      <c r="BT1638" s="59"/>
      <c r="BU1638" s="59"/>
      <c r="BV1638" s="59"/>
      <c r="BW1638" s="59"/>
      <c r="BX1638" s="59"/>
      <c r="BY1638" s="59"/>
      <c r="BZ1638" s="59"/>
      <c r="CA1638" s="59"/>
      <c r="CB1638" s="59"/>
      <c r="CC1638" s="59"/>
      <c r="CD1638" s="59"/>
      <c r="CE1638" s="59"/>
      <c r="CF1638" s="59"/>
      <c r="CG1638" s="59"/>
      <c r="CH1638" s="59"/>
      <c r="CI1638" s="59"/>
      <c r="CJ1638" s="59"/>
      <c r="CK1638" s="59"/>
      <c r="CL1638" s="59"/>
      <c r="CM1638" s="59"/>
      <c r="CN1638" s="59"/>
      <c r="CO1638" s="59"/>
      <c r="CP1638" s="59"/>
      <c r="CQ1638" s="59"/>
      <c r="CR1638" s="59"/>
      <c r="CS1638" s="59"/>
      <c r="CT1638" s="59"/>
      <c r="CU1638" s="59"/>
      <c r="CV1638" s="59"/>
      <c r="CW1638" s="59"/>
      <c r="CX1638" s="59"/>
      <c r="CY1638" s="59"/>
      <c r="CZ1638" s="59"/>
      <c r="DA1638" s="59"/>
      <c r="DB1638" s="59"/>
      <c r="DC1638" s="59"/>
      <c r="DD1638" s="59"/>
      <c r="DE1638" s="59"/>
      <c r="DF1638" s="59"/>
      <c r="DG1638" s="59"/>
      <c r="DH1638" s="59"/>
      <c r="DI1638" s="59"/>
      <c r="DJ1638" s="59"/>
      <c r="DK1638" s="59"/>
      <c r="DL1638" s="59"/>
      <c r="DM1638" s="59"/>
      <c r="DN1638" s="59"/>
      <c r="DO1638" s="59"/>
      <c r="DP1638" s="59"/>
      <c r="DQ1638" s="59"/>
      <c r="DR1638" s="59"/>
      <c r="DS1638" s="59"/>
      <c r="DT1638" s="59"/>
      <c r="DU1638" s="59"/>
      <c r="DV1638" s="59"/>
      <c r="DW1638" s="59"/>
      <c r="DX1638" s="59"/>
      <c r="DY1638" s="59"/>
      <c r="DZ1638" s="59"/>
      <c r="EA1638" s="59"/>
      <c r="EB1638" s="59"/>
      <c r="EC1638" s="59"/>
      <c r="ED1638" s="59"/>
      <c r="EE1638" s="59"/>
      <c r="EF1638" s="59"/>
      <c r="EG1638" s="59"/>
      <c r="EH1638" s="59"/>
      <c r="EI1638" s="59"/>
      <c r="EJ1638" s="59"/>
      <c r="EK1638" s="59"/>
      <c r="EL1638" s="59"/>
      <c r="EM1638" s="59"/>
      <c r="EN1638" s="59"/>
      <c r="EO1638" s="59"/>
      <c r="EP1638" s="59"/>
      <c r="EQ1638" s="59"/>
      <c r="ER1638" s="59"/>
      <c r="ES1638" s="59"/>
      <c r="ET1638" s="59"/>
      <c r="EU1638" s="59"/>
      <c r="EV1638" s="59"/>
      <c r="EW1638" s="59"/>
      <c r="EX1638" s="59"/>
      <c r="EY1638" s="59"/>
      <c r="EZ1638" s="59"/>
      <c r="FA1638" s="59"/>
      <c r="FB1638" s="59"/>
      <c r="FC1638" s="59"/>
      <c r="FD1638" s="59"/>
      <c r="FE1638" s="59"/>
      <c r="FF1638" s="59"/>
      <c r="FG1638" s="59"/>
      <c r="FH1638" s="59"/>
      <c r="FI1638" s="59"/>
      <c r="FJ1638" s="59"/>
      <c r="FK1638" s="59"/>
      <c r="FL1638" s="59"/>
      <c r="FM1638" s="59"/>
      <c r="FN1638" s="59"/>
      <c r="FO1638" s="59"/>
      <c r="FP1638" s="59"/>
      <c r="FQ1638" s="59"/>
      <c r="FR1638" s="59"/>
      <c r="FS1638" s="59"/>
      <c r="FT1638" s="59"/>
      <c r="FU1638" s="59"/>
      <c r="FV1638" s="59"/>
      <c r="FW1638" s="59"/>
      <c r="FX1638" s="59"/>
      <c r="FY1638" s="59"/>
      <c r="FZ1638" s="59"/>
      <c r="GA1638" s="59"/>
      <c r="GB1638" s="59"/>
      <c r="GC1638" s="59"/>
    </row>
    <row r="1639">
      <c r="A1639" s="59"/>
      <c r="B1639" s="59"/>
      <c r="C1639" s="59"/>
      <c r="D1639" s="59"/>
      <c r="E1639" s="59"/>
      <c r="F1639" s="59"/>
      <c r="G1639" s="59"/>
      <c r="H1639" s="59"/>
      <c r="I1639" s="59"/>
      <c r="J1639" s="59"/>
      <c r="K1639" s="59"/>
      <c r="L1639" s="59"/>
      <c r="M1639" s="59"/>
      <c r="N1639" s="59"/>
      <c r="O1639" s="59"/>
      <c r="P1639" s="59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/>
      <c r="AF1639" s="59"/>
      <c r="AG1639" s="59"/>
      <c r="AH1639" s="59"/>
      <c r="AI1639" s="59"/>
      <c r="AJ1639" s="59"/>
      <c r="AK1639" s="59"/>
      <c r="AL1639" s="59"/>
      <c r="AM1639" s="59"/>
      <c r="AN1639" s="59"/>
      <c r="AO1639" s="59"/>
      <c r="AP1639" s="59"/>
      <c r="AQ1639" s="59"/>
      <c r="AR1639" s="59"/>
      <c r="AS1639" s="59"/>
      <c r="AT1639" s="59"/>
      <c r="AU1639" s="59"/>
      <c r="AV1639" s="59"/>
      <c r="AW1639" s="59"/>
      <c r="AX1639" s="59"/>
      <c r="AY1639" s="59"/>
      <c r="AZ1639" s="59"/>
      <c r="BA1639" s="59"/>
      <c r="BB1639" s="59"/>
      <c r="BC1639" s="59"/>
      <c r="BD1639" s="59"/>
      <c r="BE1639" s="59"/>
      <c r="BF1639" s="59"/>
      <c r="BG1639" s="59"/>
      <c r="BH1639" s="59"/>
      <c r="BI1639" s="59"/>
      <c r="BJ1639" s="59"/>
      <c r="BK1639" s="59"/>
      <c r="BL1639" s="59"/>
      <c r="BM1639" s="59"/>
      <c r="BN1639" s="59"/>
      <c r="BO1639" s="59"/>
      <c r="BP1639" s="59"/>
      <c r="BQ1639" s="59"/>
      <c r="BR1639" s="59"/>
      <c r="BS1639" s="59"/>
      <c r="BT1639" s="59"/>
      <c r="BU1639" s="59"/>
      <c r="BV1639" s="59"/>
      <c r="BW1639" s="59"/>
      <c r="BX1639" s="59"/>
      <c r="BY1639" s="59"/>
      <c r="BZ1639" s="59"/>
      <c r="CA1639" s="59"/>
      <c r="CB1639" s="59"/>
      <c r="CC1639" s="59"/>
      <c r="CD1639" s="59"/>
      <c r="CE1639" s="59"/>
      <c r="CF1639" s="59"/>
      <c r="CG1639" s="59"/>
      <c r="CH1639" s="59"/>
      <c r="CI1639" s="59"/>
      <c r="CJ1639" s="59"/>
      <c r="CK1639" s="59"/>
      <c r="CL1639" s="59"/>
      <c r="CM1639" s="59"/>
      <c r="CN1639" s="59"/>
      <c r="CO1639" s="59"/>
      <c r="CP1639" s="59"/>
      <c r="CQ1639" s="59"/>
      <c r="CR1639" s="59"/>
      <c r="CS1639" s="59"/>
      <c r="CT1639" s="59"/>
      <c r="CU1639" s="59"/>
      <c r="CV1639" s="59"/>
      <c r="CW1639" s="59"/>
      <c r="CX1639" s="59"/>
      <c r="CY1639" s="59"/>
      <c r="CZ1639" s="59"/>
      <c r="DA1639" s="59"/>
      <c r="DB1639" s="59"/>
      <c r="DC1639" s="59"/>
      <c r="DD1639" s="59"/>
      <c r="DE1639" s="59"/>
      <c r="DF1639" s="59"/>
      <c r="DG1639" s="59"/>
      <c r="DH1639" s="59"/>
      <c r="DI1639" s="59"/>
      <c r="DJ1639" s="59"/>
      <c r="DK1639" s="59"/>
      <c r="DL1639" s="59"/>
      <c r="DM1639" s="59"/>
      <c r="DN1639" s="59"/>
      <c r="DO1639" s="59"/>
      <c r="DP1639" s="59"/>
      <c r="DQ1639" s="59"/>
      <c r="DR1639" s="59"/>
      <c r="DS1639" s="59"/>
      <c r="DT1639" s="59"/>
      <c r="DU1639" s="59"/>
      <c r="DV1639" s="59"/>
      <c r="DW1639" s="59"/>
      <c r="DX1639" s="59"/>
      <c r="DY1639" s="59"/>
      <c r="DZ1639" s="59"/>
      <c r="EA1639" s="59"/>
      <c r="EB1639" s="59"/>
      <c r="EC1639" s="59"/>
      <c r="ED1639" s="59"/>
      <c r="EE1639" s="59"/>
      <c r="EF1639" s="59"/>
      <c r="EG1639" s="59"/>
      <c r="EH1639" s="59"/>
      <c r="EI1639" s="59"/>
      <c r="EJ1639" s="59"/>
      <c r="EK1639" s="59"/>
      <c r="EL1639" s="59"/>
      <c r="EM1639" s="59"/>
      <c r="EN1639" s="59"/>
      <c r="EO1639" s="59"/>
      <c r="EP1639" s="59"/>
      <c r="EQ1639" s="59"/>
      <c r="ER1639" s="59"/>
      <c r="ES1639" s="59"/>
      <c r="ET1639" s="59"/>
      <c r="EU1639" s="59"/>
      <c r="EV1639" s="59"/>
      <c r="EW1639" s="59"/>
      <c r="EX1639" s="59"/>
      <c r="EY1639" s="59"/>
      <c r="EZ1639" s="59"/>
      <c r="FA1639" s="59"/>
      <c r="FB1639" s="59"/>
      <c r="FC1639" s="59"/>
      <c r="FD1639" s="59"/>
      <c r="FE1639" s="59"/>
      <c r="FF1639" s="59"/>
      <c r="FG1639" s="59"/>
      <c r="FH1639" s="59"/>
      <c r="FI1639" s="59"/>
      <c r="FJ1639" s="59"/>
      <c r="FK1639" s="59"/>
      <c r="FL1639" s="59"/>
      <c r="FM1639" s="59"/>
      <c r="FN1639" s="59"/>
      <c r="FO1639" s="59"/>
      <c r="FP1639" s="59"/>
      <c r="FQ1639" s="59"/>
      <c r="FR1639" s="59"/>
      <c r="FS1639" s="59"/>
      <c r="FT1639" s="59"/>
      <c r="FU1639" s="59"/>
      <c r="FV1639" s="59"/>
      <c r="FW1639" s="59"/>
      <c r="FX1639" s="59"/>
      <c r="FY1639" s="59"/>
      <c r="FZ1639" s="59"/>
      <c r="GA1639" s="59"/>
      <c r="GB1639" s="59"/>
      <c r="GC1639" s="59"/>
    </row>
    <row r="1640">
      <c r="A1640" s="59"/>
      <c r="B1640" s="59"/>
      <c r="C1640" s="59"/>
      <c r="D1640" s="59"/>
      <c r="E1640" s="59"/>
      <c r="F1640" s="59"/>
      <c r="G1640" s="59"/>
      <c r="H1640" s="59"/>
      <c r="I1640" s="59"/>
      <c r="J1640" s="59"/>
      <c r="K1640" s="59"/>
      <c r="L1640" s="59"/>
      <c r="M1640" s="59"/>
      <c r="N1640" s="59"/>
      <c r="O1640" s="59"/>
      <c r="P1640" s="59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/>
      <c r="AF1640" s="59"/>
      <c r="AG1640" s="59"/>
      <c r="AH1640" s="59"/>
      <c r="AI1640" s="59"/>
      <c r="AJ1640" s="59"/>
      <c r="AK1640" s="59"/>
      <c r="AL1640" s="59"/>
      <c r="AM1640" s="59"/>
      <c r="AN1640" s="59"/>
      <c r="AO1640" s="59"/>
      <c r="AP1640" s="59"/>
      <c r="AQ1640" s="59"/>
      <c r="AR1640" s="59"/>
      <c r="AS1640" s="59"/>
      <c r="AT1640" s="59"/>
      <c r="AU1640" s="59"/>
      <c r="AV1640" s="59"/>
      <c r="AW1640" s="59"/>
      <c r="AX1640" s="59"/>
      <c r="AY1640" s="59"/>
      <c r="AZ1640" s="59"/>
      <c r="BA1640" s="59"/>
      <c r="BB1640" s="59"/>
      <c r="BC1640" s="59"/>
      <c r="BD1640" s="59"/>
      <c r="BE1640" s="59"/>
      <c r="BF1640" s="59"/>
      <c r="BG1640" s="59"/>
      <c r="BH1640" s="59"/>
      <c r="BI1640" s="59"/>
      <c r="BJ1640" s="59"/>
      <c r="BK1640" s="59"/>
      <c r="BL1640" s="59"/>
      <c r="BM1640" s="59"/>
      <c r="BN1640" s="59"/>
      <c r="BO1640" s="59"/>
      <c r="BP1640" s="59"/>
      <c r="BQ1640" s="59"/>
      <c r="BR1640" s="59"/>
      <c r="BS1640" s="59"/>
      <c r="BT1640" s="59"/>
      <c r="BU1640" s="59"/>
      <c r="BV1640" s="59"/>
      <c r="BW1640" s="59"/>
      <c r="BX1640" s="59"/>
      <c r="BY1640" s="59"/>
      <c r="BZ1640" s="59"/>
      <c r="CA1640" s="59"/>
      <c r="CB1640" s="59"/>
      <c r="CC1640" s="59"/>
      <c r="CD1640" s="59"/>
      <c r="CE1640" s="59"/>
      <c r="CF1640" s="59"/>
      <c r="CG1640" s="59"/>
      <c r="CH1640" s="59"/>
      <c r="CI1640" s="59"/>
      <c r="CJ1640" s="59"/>
      <c r="CK1640" s="59"/>
      <c r="CL1640" s="59"/>
      <c r="CM1640" s="59"/>
      <c r="CN1640" s="59"/>
      <c r="CO1640" s="59"/>
      <c r="CP1640" s="59"/>
      <c r="CQ1640" s="59"/>
      <c r="CR1640" s="59"/>
      <c r="CS1640" s="59"/>
      <c r="CT1640" s="59"/>
      <c r="CU1640" s="59"/>
      <c r="CV1640" s="59"/>
      <c r="CW1640" s="59"/>
      <c r="CX1640" s="59"/>
      <c r="CY1640" s="59"/>
      <c r="CZ1640" s="59"/>
      <c r="DA1640" s="59"/>
      <c r="DB1640" s="59"/>
      <c r="DC1640" s="59"/>
      <c r="DD1640" s="59"/>
      <c r="DE1640" s="59"/>
      <c r="DF1640" s="59"/>
      <c r="DG1640" s="59"/>
      <c r="DH1640" s="59"/>
      <c r="DI1640" s="59"/>
      <c r="DJ1640" s="59"/>
      <c r="DK1640" s="59"/>
      <c r="DL1640" s="59"/>
      <c r="DM1640" s="59"/>
      <c r="DN1640" s="59"/>
      <c r="DO1640" s="59"/>
      <c r="DP1640" s="59"/>
      <c r="DQ1640" s="59"/>
      <c r="DR1640" s="59"/>
      <c r="DS1640" s="59"/>
      <c r="DT1640" s="59"/>
      <c r="DU1640" s="59"/>
      <c r="DV1640" s="59"/>
      <c r="DW1640" s="59"/>
      <c r="DX1640" s="59"/>
      <c r="DY1640" s="59"/>
      <c r="DZ1640" s="59"/>
      <c r="EA1640" s="59"/>
      <c r="EB1640" s="59"/>
      <c r="EC1640" s="59"/>
      <c r="ED1640" s="59"/>
      <c r="EE1640" s="59"/>
      <c r="EF1640" s="59"/>
      <c r="EG1640" s="59"/>
      <c r="EH1640" s="59"/>
      <c r="EI1640" s="59"/>
      <c r="EJ1640" s="59"/>
      <c r="EK1640" s="59"/>
      <c r="EL1640" s="59"/>
      <c r="EM1640" s="59"/>
      <c r="EN1640" s="59"/>
      <c r="EO1640" s="59"/>
      <c r="EP1640" s="59"/>
      <c r="EQ1640" s="59"/>
      <c r="ER1640" s="59"/>
      <c r="ES1640" s="59"/>
      <c r="ET1640" s="59"/>
      <c r="EU1640" s="59"/>
      <c r="EV1640" s="59"/>
      <c r="EW1640" s="59"/>
      <c r="EX1640" s="59"/>
      <c r="EY1640" s="59"/>
      <c r="EZ1640" s="59"/>
      <c r="FA1640" s="59"/>
      <c r="FB1640" s="59"/>
      <c r="FC1640" s="59"/>
      <c r="FD1640" s="59"/>
      <c r="FE1640" s="59"/>
      <c r="FF1640" s="59"/>
      <c r="FG1640" s="59"/>
      <c r="FH1640" s="59"/>
      <c r="FI1640" s="59"/>
      <c r="FJ1640" s="59"/>
      <c r="FK1640" s="59"/>
      <c r="FL1640" s="59"/>
      <c r="FM1640" s="59"/>
      <c r="FN1640" s="59"/>
      <c r="FO1640" s="59"/>
      <c r="FP1640" s="59"/>
      <c r="FQ1640" s="59"/>
      <c r="FR1640" s="59"/>
      <c r="FS1640" s="59"/>
      <c r="FT1640" s="59"/>
      <c r="FU1640" s="59"/>
      <c r="FV1640" s="59"/>
      <c r="FW1640" s="59"/>
      <c r="FX1640" s="59"/>
      <c r="FY1640" s="59"/>
      <c r="FZ1640" s="59"/>
      <c r="GA1640" s="59"/>
      <c r="GB1640" s="59"/>
      <c r="GC1640" s="59"/>
    </row>
    <row r="1641">
      <c r="A1641" s="59"/>
      <c r="B1641" s="59"/>
      <c r="C1641" s="59"/>
      <c r="D1641" s="59"/>
      <c r="E1641" s="59"/>
      <c r="F1641" s="59"/>
      <c r="G1641" s="59"/>
      <c r="H1641" s="59"/>
      <c r="I1641" s="59"/>
      <c r="J1641" s="59"/>
      <c r="K1641" s="59"/>
      <c r="L1641" s="59"/>
      <c r="M1641" s="59"/>
      <c r="N1641" s="59"/>
      <c r="O1641" s="59"/>
      <c r="P1641" s="59"/>
      <c r="Q1641" s="59"/>
      <c r="R1641" s="59"/>
      <c r="S1641" s="59"/>
      <c r="T1641" s="59"/>
      <c r="U1641" s="59"/>
      <c r="V1641" s="59"/>
      <c r="W1641" s="59"/>
      <c r="X1641" s="59"/>
      <c r="Y1641" s="59"/>
      <c r="Z1641" s="59"/>
      <c r="AA1641" s="59"/>
      <c r="AB1641" s="59"/>
      <c r="AC1641" s="59"/>
      <c r="AD1641" s="59"/>
      <c r="AE1641" s="59"/>
      <c r="AF1641" s="59"/>
      <c r="AG1641" s="59"/>
      <c r="AH1641" s="59"/>
      <c r="AI1641" s="59"/>
      <c r="AJ1641" s="59"/>
      <c r="AK1641" s="59"/>
      <c r="AL1641" s="59"/>
      <c r="AM1641" s="59"/>
      <c r="AN1641" s="59"/>
      <c r="AO1641" s="59"/>
      <c r="AP1641" s="59"/>
      <c r="AQ1641" s="59"/>
      <c r="AR1641" s="59"/>
      <c r="AS1641" s="59"/>
      <c r="AT1641" s="59"/>
      <c r="AU1641" s="59"/>
      <c r="AV1641" s="59"/>
      <c r="AW1641" s="59"/>
      <c r="AX1641" s="59"/>
      <c r="AY1641" s="59"/>
      <c r="AZ1641" s="59"/>
      <c r="BA1641" s="59"/>
      <c r="BB1641" s="59"/>
      <c r="BC1641" s="59"/>
      <c r="BD1641" s="59"/>
      <c r="BE1641" s="59"/>
      <c r="BF1641" s="59"/>
      <c r="BG1641" s="59"/>
      <c r="BH1641" s="59"/>
      <c r="BI1641" s="59"/>
      <c r="BJ1641" s="59"/>
      <c r="BK1641" s="59"/>
      <c r="BL1641" s="59"/>
      <c r="BM1641" s="59"/>
      <c r="BN1641" s="59"/>
      <c r="BO1641" s="59"/>
      <c r="BP1641" s="59"/>
      <c r="BQ1641" s="59"/>
      <c r="BR1641" s="59"/>
      <c r="BS1641" s="59"/>
      <c r="BT1641" s="59"/>
      <c r="BU1641" s="59"/>
      <c r="BV1641" s="59"/>
      <c r="BW1641" s="59"/>
      <c r="BX1641" s="59"/>
      <c r="BY1641" s="59"/>
      <c r="BZ1641" s="59"/>
      <c r="CA1641" s="59"/>
      <c r="CB1641" s="59"/>
      <c r="CC1641" s="59"/>
      <c r="CD1641" s="59"/>
      <c r="CE1641" s="59"/>
      <c r="CF1641" s="59"/>
      <c r="CG1641" s="59"/>
      <c r="CH1641" s="59"/>
      <c r="CI1641" s="59"/>
      <c r="CJ1641" s="59"/>
      <c r="CK1641" s="59"/>
      <c r="CL1641" s="59"/>
      <c r="CM1641" s="59"/>
      <c r="CN1641" s="59"/>
      <c r="CO1641" s="59"/>
      <c r="CP1641" s="59"/>
      <c r="CQ1641" s="59"/>
      <c r="CR1641" s="59"/>
      <c r="CS1641" s="59"/>
      <c r="CT1641" s="59"/>
      <c r="CU1641" s="59"/>
      <c r="CV1641" s="59"/>
      <c r="CW1641" s="59"/>
      <c r="CX1641" s="59"/>
      <c r="CY1641" s="59"/>
      <c r="CZ1641" s="59"/>
      <c r="DA1641" s="59"/>
      <c r="DB1641" s="59"/>
      <c r="DC1641" s="59"/>
      <c r="DD1641" s="59"/>
      <c r="DE1641" s="59"/>
      <c r="DF1641" s="59"/>
      <c r="DG1641" s="59"/>
      <c r="DH1641" s="59"/>
      <c r="DI1641" s="59"/>
      <c r="DJ1641" s="59"/>
      <c r="DK1641" s="59"/>
      <c r="DL1641" s="59"/>
      <c r="DM1641" s="59"/>
      <c r="DN1641" s="59"/>
      <c r="DO1641" s="59"/>
      <c r="DP1641" s="59"/>
      <c r="DQ1641" s="59"/>
      <c r="DR1641" s="59"/>
      <c r="DS1641" s="59"/>
      <c r="DT1641" s="59"/>
      <c r="DU1641" s="59"/>
      <c r="DV1641" s="59"/>
      <c r="DW1641" s="59"/>
      <c r="DX1641" s="59"/>
      <c r="DY1641" s="59"/>
      <c r="DZ1641" s="59"/>
      <c r="EA1641" s="59"/>
      <c r="EB1641" s="59"/>
      <c r="EC1641" s="59"/>
      <c r="ED1641" s="59"/>
      <c r="EE1641" s="59"/>
      <c r="EF1641" s="59"/>
      <c r="EG1641" s="59"/>
      <c r="EH1641" s="59"/>
      <c r="EI1641" s="59"/>
      <c r="EJ1641" s="59"/>
      <c r="EK1641" s="59"/>
      <c r="EL1641" s="59"/>
      <c r="EM1641" s="59"/>
      <c r="EN1641" s="59"/>
      <c r="EO1641" s="59"/>
      <c r="EP1641" s="59"/>
      <c r="EQ1641" s="59"/>
      <c r="ER1641" s="59"/>
      <c r="ES1641" s="59"/>
      <c r="ET1641" s="59"/>
      <c r="EU1641" s="59"/>
      <c r="EV1641" s="59"/>
      <c r="EW1641" s="59"/>
      <c r="EX1641" s="59"/>
      <c r="EY1641" s="59"/>
      <c r="EZ1641" s="59"/>
      <c r="FA1641" s="59"/>
      <c r="FB1641" s="59"/>
      <c r="FC1641" s="59"/>
      <c r="FD1641" s="59"/>
      <c r="FE1641" s="59"/>
      <c r="FF1641" s="59"/>
      <c r="FG1641" s="59"/>
      <c r="FH1641" s="59"/>
      <c r="FI1641" s="59"/>
      <c r="FJ1641" s="59"/>
      <c r="FK1641" s="59"/>
      <c r="FL1641" s="59"/>
      <c r="FM1641" s="59"/>
      <c r="FN1641" s="59"/>
      <c r="FO1641" s="59"/>
      <c r="FP1641" s="59"/>
      <c r="FQ1641" s="59"/>
      <c r="FR1641" s="59"/>
      <c r="FS1641" s="59"/>
      <c r="FT1641" s="59"/>
      <c r="FU1641" s="59"/>
      <c r="FV1641" s="59"/>
      <c r="FW1641" s="59"/>
      <c r="FX1641" s="59"/>
      <c r="FY1641" s="59"/>
      <c r="FZ1641" s="59"/>
      <c r="GA1641" s="59"/>
      <c r="GB1641" s="59"/>
      <c r="GC1641" s="59"/>
    </row>
    <row r="1642">
      <c r="A1642" s="59"/>
      <c r="B1642" s="59"/>
      <c r="C1642" s="59"/>
      <c r="D1642" s="59"/>
      <c r="E1642" s="59"/>
      <c r="F1642" s="59"/>
      <c r="G1642" s="59"/>
      <c r="H1642" s="59"/>
      <c r="I1642" s="59"/>
      <c r="J1642" s="59"/>
      <c r="K1642" s="59"/>
      <c r="L1642" s="59"/>
      <c r="M1642" s="59"/>
      <c r="N1642" s="59"/>
      <c r="O1642" s="59"/>
      <c r="P1642" s="59"/>
      <c r="Q1642" s="59"/>
      <c r="R1642" s="59"/>
      <c r="S1642" s="59"/>
      <c r="T1642" s="59"/>
      <c r="U1642" s="59"/>
      <c r="V1642" s="59"/>
      <c r="W1642" s="59"/>
      <c r="X1642" s="59"/>
      <c r="Y1642" s="59"/>
      <c r="Z1642" s="59"/>
      <c r="AA1642" s="59"/>
      <c r="AB1642" s="59"/>
      <c r="AC1642" s="59"/>
      <c r="AD1642" s="59"/>
      <c r="AE1642" s="59"/>
      <c r="AF1642" s="59"/>
      <c r="AG1642" s="59"/>
      <c r="AH1642" s="59"/>
      <c r="AI1642" s="59"/>
      <c r="AJ1642" s="59"/>
      <c r="AK1642" s="59"/>
      <c r="AL1642" s="59"/>
      <c r="AM1642" s="59"/>
      <c r="AN1642" s="59"/>
      <c r="AO1642" s="59"/>
      <c r="AP1642" s="59"/>
      <c r="AQ1642" s="59"/>
      <c r="AR1642" s="59"/>
      <c r="AS1642" s="59"/>
      <c r="AT1642" s="59"/>
      <c r="AU1642" s="59"/>
      <c r="AV1642" s="59"/>
      <c r="AW1642" s="59"/>
      <c r="AX1642" s="59"/>
      <c r="AY1642" s="59"/>
      <c r="AZ1642" s="59"/>
      <c r="BA1642" s="59"/>
      <c r="BB1642" s="59"/>
      <c r="BC1642" s="59"/>
      <c r="BD1642" s="59"/>
      <c r="BE1642" s="59"/>
      <c r="BF1642" s="59"/>
      <c r="BG1642" s="59"/>
      <c r="BH1642" s="59"/>
      <c r="BI1642" s="59"/>
      <c r="BJ1642" s="59"/>
      <c r="BK1642" s="59"/>
      <c r="BL1642" s="59"/>
      <c r="BM1642" s="59"/>
      <c r="BN1642" s="59"/>
      <c r="BO1642" s="59"/>
      <c r="BP1642" s="59"/>
      <c r="BQ1642" s="59"/>
      <c r="BR1642" s="59"/>
      <c r="BS1642" s="59"/>
      <c r="BT1642" s="59"/>
      <c r="BU1642" s="59"/>
      <c r="BV1642" s="59"/>
      <c r="BW1642" s="59"/>
      <c r="BX1642" s="59"/>
      <c r="BY1642" s="59"/>
      <c r="BZ1642" s="59"/>
      <c r="CA1642" s="59"/>
      <c r="CB1642" s="59"/>
      <c r="CC1642" s="59"/>
      <c r="CD1642" s="59"/>
      <c r="CE1642" s="59"/>
      <c r="CF1642" s="59"/>
      <c r="CG1642" s="59"/>
      <c r="CH1642" s="59"/>
      <c r="CI1642" s="59"/>
      <c r="CJ1642" s="59"/>
      <c r="CK1642" s="59"/>
      <c r="CL1642" s="59"/>
      <c r="CM1642" s="59"/>
      <c r="CN1642" s="59"/>
      <c r="CO1642" s="59"/>
      <c r="CP1642" s="59"/>
      <c r="CQ1642" s="59"/>
      <c r="CR1642" s="59"/>
      <c r="CS1642" s="59"/>
      <c r="CT1642" s="59"/>
      <c r="CU1642" s="59"/>
      <c r="CV1642" s="59"/>
      <c r="CW1642" s="59"/>
      <c r="CX1642" s="59"/>
      <c r="CY1642" s="59"/>
      <c r="CZ1642" s="59"/>
      <c r="DA1642" s="59"/>
      <c r="DB1642" s="59"/>
      <c r="DC1642" s="59"/>
      <c r="DD1642" s="59"/>
      <c r="DE1642" s="59"/>
      <c r="DF1642" s="59"/>
      <c r="DG1642" s="59"/>
      <c r="DH1642" s="59"/>
      <c r="DI1642" s="59"/>
      <c r="DJ1642" s="59"/>
      <c r="DK1642" s="59"/>
      <c r="DL1642" s="59"/>
      <c r="DM1642" s="59"/>
      <c r="DN1642" s="59"/>
      <c r="DO1642" s="59"/>
      <c r="DP1642" s="59"/>
      <c r="DQ1642" s="59"/>
      <c r="DR1642" s="59"/>
      <c r="DS1642" s="59"/>
      <c r="DT1642" s="59"/>
      <c r="DU1642" s="59"/>
      <c r="DV1642" s="59"/>
      <c r="DW1642" s="59"/>
      <c r="DX1642" s="59"/>
      <c r="DY1642" s="59"/>
      <c r="DZ1642" s="59"/>
      <c r="EA1642" s="59"/>
      <c r="EB1642" s="59"/>
      <c r="EC1642" s="59"/>
      <c r="ED1642" s="59"/>
      <c r="EE1642" s="59"/>
      <c r="EF1642" s="59"/>
      <c r="EG1642" s="59"/>
      <c r="EH1642" s="59"/>
      <c r="EI1642" s="59"/>
      <c r="EJ1642" s="59"/>
      <c r="EK1642" s="59"/>
      <c r="EL1642" s="59"/>
      <c r="EM1642" s="59"/>
      <c r="EN1642" s="59"/>
      <c r="EO1642" s="59"/>
      <c r="EP1642" s="59"/>
      <c r="EQ1642" s="59"/>
      <c r="ER1642" s="59"/>
      <c r="ES1642" s="59"/>
      <c r="ET1642" s="59"/>
      <c r="EU1642" s="59"/>
      <c r="EV1642" s="59"/>
      <c r="EW1642" s="59"/>
      <c r="EX1642" s="59"/>
      <c r="EY1642" s="59"/>
      <c r="EZ1642" s="59"/>
      <c r="FA1642" s="59"/>
      <c r="FB1642" s="59"/>
      <c r="FC1642" s="59"/>
      <c r="FD1642" s="59"/>
      <c r="FE1642" s="59"/>
      <c r="FF1642" s="59"/>
      <c r="FG1642" s="59"/>
      <c r="FH1642" s="59"/>
      <c r="FI1642" s="59"/>
      <c r="FJ1642" s="59"/>
      <c r="FK1642" s="59"/>
      <c r="FL1642" s="59"/>
      <c r="FM1642" s="59"/>
      <c r="FN1642" s="59"/>
      <c r="FO1642" s="59"/>
      <c r="FP1642" s="59"/>
      <c r="FQ1642" s="59"/>
      <c r="FR1642" s="59"/>
      <c r="FS1642" s="59"/>
      <c r="FT1642" s="59"/>
      <c r="FU1642" s="59"/>
      <c r="FV1642" s="59"/>
      <c r="FW1642" s="59"/>
      <c r="FX1642" s="59"/>
      <c r="FY1642" s="59"/>
      <c r="FZ1642" s="59"/>
      <c r="GA1642" s="59"/>
      <c r="GB1642" s="59"/>
      <c r="GC1642" s="59"/>
    </row>
    <row r="1643">
      <c r="A1643" s="59"/>
      <c r="B1643" s="59"/>
      <c r="C1643" s="59"/>
      <c r="D1643" s="59"/>
      <c r="E1643" s="59"/>
      <c r="F1643" s="59"/>
      <c r="G1643" s="59"/>
      <c r="H1643" s="59"/>
      <c r="I1643" s="59"/>
      <c r="J1643" s="59"/>
      <c r="K1643" s="59"/>
      <c r="L1643" s="59"/>
      <c r="M1643" s="59"/>
      <c r="N1643" s="59"/>
      <c r="O1643" s="59"/>
      <c r="P1643" s="59"/>
      <c r="Q1643" s="59"/>
      <c r="R1643" s="59"/>
      <c r="S1643" s="59"/>
      <c r="T1643" s="59"/>
      <c r="U1643" s="59"/>
      <c r="V1643" s="59"/>
      <c r="W1643" s="59"/>
      <c r="X1643" s="59"/>
      <c r="Y1643" s="59"/>
      <c r="Z1643" s="59"/>
      <c r="AA1643" s="59"/>
      <c r="AB1643" s="59"/>
      <c r="AC1643" s="59"/>
      <c r="AD1643" s="59"/>
      <c r="AE1643" s="59"/>
      <c r="AF1643" s="59"/>
      <c r="AG1643" s="59"/>
      <c r="AH1643" s="59"/>
      <c r="AI1643" s="59"/>
      <c r="AJ1643" s="59"/>
      <c r="AK1643" s="59"/>
      <c r="AL1643" s="59"/>
      <c r="AM1643" s="59"/>
      <c r="AN1643" s="59"/>
      <c r="AO1643" s="59"/>
      <c r="AP1643" s="59"/>
      <c r="AQ1643" s="59"/>
      <c r="AR1643" s="59"/>
      <c r="AS1643" s="59"/>
      <c r="AT1643" s="59"/>
      <c r="AU1643" s="59"/>
      <c r="AV1643" s="59"/>
      <c r="AW1643" s="59"/>
      <c r="AX1643" s="59"/>
      <c r="AY1643" s="59"/>
      <c r="AZ1643" s="59"/>
      <c r="BA1643" s="59"/>
      <c r="BB1643" s="59"/>
      <c r="BC1643" s="59"/>
      <c r="BD1643" s="59"/>
      <c r="BE1643" s="59"/>
      <c r="BF1643" s="59"/>
      <c r="BG1643" s="59"/>
      <c r="BH1643" s="59"/>
      <c r="BI1643" s="59"/>
      <c r="BJ1643" s="59"/>
      <c r="BK1643" s="59"/>
      <c r="BL1643" s="59"/>
      <c r="BM1643" s="59"/>
      <c r="BN1643" s="59"/>
      <c r="BO1643" s="59"/>
      <c r="BP1643" s="59"/>
      <c r="BQ1643" s="59"/>
      <c r="BR1643" s="59"/>
      <c r="BS1643" s="59"/>
      <c r="BT1643" s="59"/>
      <c r="BU1643" s="59"/>
      <c r="BV1643" s="59"/>
      <c r="BW1643" s="59"/>
      <c r="BX1643" s="59"/>
      <c r="BY1643" s="59"/>
      <c r="BZ1643" s="59"/>
      <c r="CA1643" s="59"/>
      <c r="CB1643" s="59"/>
      <c r="CC1643" s="59"/>
      <c r="CD1643" s="59"/>
      <c r="CE1643" s="59"/>
      <c r="CF1643" s="59"/>
      <c r="CG1643" s="59"/>
      <c r="CH1643" s="59"/>
      <c r="CI1643" s="59"/>
      <c r="CJ1643" s="59"/>
      <c r="CK1643" s="59"/>
      <c r="CL1643" s="59"/>
      <c r="CM1643" s="59"/>
      <c r="CN1643" s="59"/>
      <c r="CO1643" s="59"/>
      <c r="CP1643" s="59"/>
      <c r="CQ1643" s="59"/>
      <c r="CR1643" s="59"/>
      <c r="CS1643" s="59"/>
      <c r="CT1643" s="59"/>
      <c r="CU1643" s="59"/>
      <c r="CV1643" s="59"/>
      <c r="CW1643" s="59"/>
      <c r="CX1643" s="59"/>
      <c r="CY1643" s="59"/>
      <c r="CZ1643" s="59"/>
      <c r="DA1643" s="59"/>
      <c r="DB1643" s="59"/>
      <c r="DC1643" s="59"/>
      <c r="DD1643" s="59"/>
      <c r="DE1643" s="59"/>
      <c r="DF1643" s="59"/>
      <c r="DG1643" s="59"/>
      <c r="DH1643" s="59"/>
      <c r="DI1643" s="59"/>
      <c r="DJ1643" s="59"/>
      <c r="DK1643" s="59"/>
      <c r="DL1643" s="59"/>
      <c r="DM1643" s="59"/>
      <c r="DN1643" s="59"/>
      <c r="DO1643" s="59"/>
      <c r="DP1643" s="59"/>
      <c r="DQ1643" s="59"/>
      <c r="DR1643" s="59"/>
      <c r="DS1643" s="59"/>
      <c r="DT1643" s="59"/>
      <c r="DU1643" s="59"/>
      <c r="DV1643" s="59"/>
      <c r="DW1643" s="59"/>
      <c r="DX1643" s="59"/>
      <c r="DY1643" s="59"/>
      <c r="DZ1643" s="59"/>
      <c r="EA1643" s="59"/>
      <c r="EB1643" s="59"/>
      <c r="EC1643" s="59"/>
      <c r="ED1643" s="59"/>
      <c r="EE1643" s="59"/>
      <c r="EF1643" s="59"/>
      <c r="EG1643" s="59"/>
      <c r="EH1643" s="59"/>
      <c r="EI1643" s="59"/>
      <c r="EJ1643" s="59"/>
      <c r="EK1643" s="59"/>
      <c r="EL1643" s="59"/>
      <c r="EM1643" s="59"/>
      <c r="EN1643" s="59"/>
      <c r="EO1643" s="59"/>
      <c r="EP1643" s="59"/>
      <c r="EQ1643" s="59"/>
      <c r="ER1643" s="59"/>
      <c r="ES1643" s="59"/>
      <c r="ET1643" s="59"/>
      <c r="EU1643" s="59"/>
      <c r="EV1643" s="59"/>
      <c r="EW1643" s="59"/>
      <c r="EX1643" s="59"/>
      <c r="EY1643" s="59"/>
      <c r="EZ1643" s="59"/>
      <c r="FA1643" s="59"/>
      <c r="FB1643" s="59"/>
      <c r="FC1643" s="59"/>
      <c r="FD1643" s="59"/>
      <c r="FE1643" s="59"/>
      <c r="FF1643" s="59"/>
      <c r="FG1643" s="59"/>
      <c r="FH1643" s="59"/>
      <c r="FI1643" s="59"/>
      <c r="FJ1643" s="59"/>
      <c r="FK1643" s="59"/>
      <c r="FL1643" s="59"/>
      <c r="FM1643" s="59"/>
      <c r="FN1643" s="59"/>
      <c r="FO1643" s="59"/>
      <c r="FP1643" s="59"/>
      <c r="FQ1643" s="59"/>
      <c r="FR1643" s="59"/>
      <c r="FS1643" s="59"/>
      <c r="FT1643" s="59"/>
      <c r="FU1643" s="59"/>
      <c r="FV1643" s="59"/>
      <c r="FW1643" s="59"/>
      <c r="FX1643" s="59"/>
      <c r="FY1643" s="59"/>
      <c r="FZ1643" s="59"/>
      <c r="GA1643" s="59"/>
      <c r="GB1643" s="59"/>
      <c r="GC1643" s="59"/>
    </row>
    <row r="1644">
      <c r="A1644" s="59"/>
      <c r="B1644" s="59"/>
      <c r="C1644" s="59"/>
      <c r="D1644" s="59"/>
      <c r="E1644" s="59"/>
      <c r="F1644" s="59"/>
      <c r="G1644" s="59"/>
      <c r="H1644" s="59"/>
      <c r="I1644" s="59"/>
      <c r="J1644" s="59"/>
      <c r="K1644" s="59"/>
      <c r="L1644" s="59"/>
      <c r="M1644" s="59"/>
      <c r="N1644" s="59"/>
      <c r="O1644" s="59"/>
      <c r="P1644" s="59"/>
      <c r="Q1644" s="59"/>
      <c r="R1644" s="59"/>
      <c r="S1644" s="59"/>
      <c r="T1644" s="59"/>
      <c r="U1644" s="59"/>
      <c r="V1644" s="59"/>
      <c r="W1644" s="59"/>
      <c r="X1644" s="59"/>
      <c r="Y1644" s="59"/>
      <c r="Z1644" s="59"/>
      <c r="AA1644" s="59"/>
      <c r="AB1644" s="59"/>
      <c r="AC1644" s="59"/>
      <c r="AD1644" s="59"/>
      <c r="AE1644" s="59"/>
      <c r="AF1644" s="59"/>
      <c r="AG1644" s="59"/>
      <c r="AH1644" s="59"/>
      <c r="AI1644" s="59"/>
      <c r="AJ1644" s="59"/>
      <c r="AK1644" s="59"/>
      <c r="AL1644" s="59"/>
      <c r="AM1644" s="59"/>
      <c r="AN1644" s="59"/>
      <c r="AO1644" s="59"/>
      <c r="AP1644" s="59"/>
      <c r="AQ1644" s="59"/>
      <c r="AR1644" s="59"/>
      <c r="AS1644" s="59"/>
      <c r="AT1644" s="59"/>
      <c r="AU1644" s="59"/>
      <c r="AV1644" s="59"/>
      <c r="AW1644" s="59"/>
      <c r="AX1644" s="59"/>
      <c r="AY1644" s="59"/>
      <c r="AZ1644" s="59"/>
      <c r="BA1644" s="59"/>
      <c r="BB1644" s="59"/>
      <c r="BC1644" s="59"/>
      <c r="BD1644" s="59"/>
      <c r="BE1644" s="59"/>
      <c r="BF1644" s="59"/>
      <c r="BG1644" s="59"/>
      <c r="BH1644" s="59"/>
      <c r="BI1644" s="59"/>
      <c r="BJ1644" s="59"/>
      <c r="BK1644" s="59"/>
      <c r="BL1644" s="59"/>
      <c r="BM1644" s="59"/>
      <c r="BN1644" s="59"/>
      <c r="BO1644" s="59"/>
      <c r="BP1644" s="59"/>
      <c r="BQ1644" s="59"/>
      <c r="BR1644" s="59"/>
      <c r="BS1644" s="59"/>
      <c r="BT1644" s="59"/>
      <c r="BU1644" s="59"/>
      <c r="BV1644" s="59"/>
      <c r="BW1644" s="59"/>
      <c r="BX1644" s="59"/>
      <c r="BY1644" s="59"/>
      <c r="BZ1644" s="59"/>
      <c r="CA1644" s="59"/>
      <c r="CB1644" s="59"/>
      <c r="CC1644" s="59"/>
      <c r="CD1644" s="59"/>
      <c r="CE1644" s="59"/>
      <c r="CF1644" s="59"/>
      <c r="CG1644" s="59"/>
      <c r="CH1644" s="59"/>
      <c r="CI1644" s="59"/>
      <c r="CJ1644" s="59"/>
      <c r="CK1644" s="59"/>
      <c r="CL1644" s="59"/>
      <c r="CM1644" s="59"/>
      <c r="CN1644" s="59"/>
      <c r="CO1644" s="59"/>
      <c r="CP1644" s="59"/>
      <c r="CQ1644" s="59"/>
      <c r="CR1644" s="59"/>
      <c r="CS1644" s="59"/>
      <c r="CT1644" s="59"/>
      <c r="CU1644" s="59"/>
      <c r="CV1644" s="59"/>
      <c r="CW1644" s="59"/>
      <c r="CX1644" s="59"/>
      <c r="CY1644" s="59"/>
      <c r="CZ1644" s="59"/>
      <c r="DA1644" s="59"/>
      <c r="DB1644" s="59"/>
      <c r="DC1644" s="59"/>
      <c r="DD1644" s="59"/>
      <c r="DE1644" s="59"/>
      <c r="DF1644" s="59"/>
      <c r="DG1644" s="59"/>
      <c r="DH1644" s="59"/>
      <c r="DI1644" s="59"/>
      <c r="DJ1644" s="59"/>
      <c r="DK1644" s="59"/>
      <c r="DL1644" s="59"/>
      <c r="DM1644" s="59"/>
      <c r="DN1644" s="59"/>
      <c r="DO1644" s="59"/>
      <c r="DP1644" s="59"/>
      <c r="DQ1644" s="59"/>
      <c r="DR1644" s="59"/>
      <c r="DS1644" s="59"/>
      <c r="DT1644" s="59"/>
      <c r="DU1644" s="59"/>
      <c r="DV1644" s="59"/>
      <c r="DW1644" s="59"/>
      <c r="DX1644" s="59"/>
      <c r="DY1644" s="59"/>
      <c r="DZ1644" s="59"/>
      <c r="EA1644" s="59"/>
      <c r="EB1644" s="59"/>
      <c r="EC1644" s="59"/>
      <c r="ED1644" s="59"/>
      <c r="EE1644" s="59"/>
      <c r="EF1644" s="59"/>
      <c r="EG1644" s="59"/>
      <c r="EH1644" s="59"/>
      <c r="EI1644" s="59"/>
      <c r="EJ1644" s="59"/>
      <c r="EK1644" s="59"/>
      <c r="EL1644" s="59"/>
      <c r="EM1644" s="59"/>
      <c r="EN1644" s="59"/>
      <c r="EO1644" s="59"/>
      <c r="EP1644" s="59"/>
      <c r="EQ1644" s="59"/>
      <c r="ER1644" s="59"/>
      <c r="ES1644" s="59"/>
      <c r="ET1644" s="59"/>
      <c r="EU1644" s="59"/>
      <c r="EV1644" s="59"/>
      <c r="EW1644" s="59"/>
      <c r="EX1644" s="59"/>
      <c r="EY1644" s="59"/>
      <c r="EZ1644" s="59"/>
      <c r="FA1644" s="59"/>
      <c r="FB1644" s="59"/>
      <c r="FC1644" s="59"/>
      <c r="FD1644" s="59"/>
      <c r="FE1644" s="59"/>
      <c r="FF1644" s="59"/>
      <c r="FG1644" s="59"/>
      <c r="FH1644" s="59"/>
      <c r="FI1644" s="59"/>
      <c r="FJ1644" s="59"/>
      <c r="FK1644" s="59"/>
      <c r="FL1644" s="59"/>
      <c r="FM1644" s="59"/>
      <c r="FN1644" s="59"/>
      <c r="FO1644" s="59"/>
      <c r="FP1644" s="59"/>
      <c r="FQ1644" s="59"/>
      <c r="FR1644" s="59"/>
      <c r="FS1644" s="59"/>
      <c r="FT1644" s="59"/>
      <c r="FU1644" s="59"/>
      <c r="FV1644" s="59"/>
      <c r="FW1644" s="59"/>
      <c r="FX1644" s="59"/>
      <c r="FY1644" s="59"/>
      <c r="FZ1644" s="59"/>
      <c r="GA1644" s="59"/>
      <c r="GB1644" s="59"/>
      <c r="GC1644" s="59"/>
    </row>
    <row r="1645">
      <c r="A1645" s="59"/>
      <c r="B1645" s="59"/>
      <c r="C1645" s="59"/>
      <c r="D1645" s="59"/>
      <c r="E1645" s="59"/>
      <c r="F1645" s="59"/>
      <c r="G1645" s="59"/>
      <c r="H1645" s="59"/>
      <c r="I1645" s="59"/>
      <c r="J1645" s="59"/>
      <c r="K1645" s="59"/>
      <c r="L1645" s="59"/>
      <c r="M1645" s="59"/>
      <c r="N1645" s="59"/>
      <c r="O1645" s="59"/>
      <c r="P1645" s="59"/>
      <c r="Q1645" s="59"/>
      <c r="R1645" s="59"/>
      <c r="S1645" s="59"/>
      <c r="T1645" s="59"/>
      <c r="U1645" s="59"/>
      <c r="V1645" s="59"/>
      <c r="W1645" s="59"/>
      <c r="X1645" s="59"/>
      <c r="Y1645" s="59"/>
      <c r="Z1645" s="59"/>
      <c r="AA1645" s="59"/>
      <c r="AB1645" s="59"/>
      <c r="AC1645" s="59"/>
      <c r="AD1645" s="59"/>
      <c r="AE1645" s="59"/>
      <c r="AF1645" s="59"/>
      <c r="AG1645" s="59"/>
      <c r="AH1645" s="59"/>
      <c r="AI1645" s="59"/>
      <c r="AJ1645" s="59"/>
      <c r="AK1645" s="59"/>
      <c r="AL1645" s="59"/>
      <c r="AM1645" s="59"/>
      <c r="AN1645" s="59"/>
      <c r="AO1645" s="59"/>
      <c r="AP1645" s="59"/>
      <c r="AQ1645" s="59"/>
      <c r="AR1645" s="59"/>
      <c r="AS1645" s="59"/>
      <c r="AT1645" s="59"/>
      <c r="AU1645" s="59"/>
      <c r="AV1645" s="59"/>
      <c r="AW1645" s="59"/>
      <c r="AX1645" s="59"/>
      <c r="AY1645" s="59"/>
      <c r="AZ1645" s="59"/>
      <c r="BA1645" s="59"/>
      <c r="BB1645" s="59"/>
      <c r="BC1645" s="59"/>
      <c r="BD1645" s="59"/>
      <c r="BE1645" s="59"/>
      <c r="BF1645" s="59"/>
      <c r="BG1645" s="59"/>
      <c r="BH1645" s="59"/>
      <c r="BI1645" s="59"/>
      <c r="BJ1645" s="59"/>
      <c r="BK1645" s="59"/>
      <c r="BL1645" s="59"/>
      <c r="BM1645" s="59"/>
      <c r="BN1645" s="59"/>
      <c r="BO1645" s="59"/>
      <c r="BP1645" s="59"/>
      <c r="BQ1645" s="59"/>
      <c r="BR1645" s="59"/>
      <c r="BS1645" s="59"/>
      <c r="BT1645" s="59"/>
      <c r="BU1645" s="59"/>
      <c r="BV1645" s="59"/>
      <c r="BW1645" s="59"/>
      <c r="BX1645" s="59"/>
      <c r="BY1645" s="59"/>
      <c r="BZ1645" s="59"/>
      <c r="CA1645" s="59"/>
      <c r="CB1645" s="59"/>
      <c r="CC1645" s="59"/>
      <c r="CD1645" s="59"/>
      <c r="CE1645" s="59"/>
      <c r="CF1645" s="59"/>
      <c r="CG1645" s="59"/>
      <c r="CH1645" s="59"/>
      <c r="CI1645" s="59"/>
      <c r="CJ1645" s="59"/>
      <c r="CK1645" s="59"/>
      <c r="CL1645" s="59"/>
      <c r="CM1645" s="59"/>
      <c r="CN1645" s="59"/>
      <c r="CO1645" s="59"/>
      <c r="CP1645" s="59"/>
      <c r="CQ1645" s="59"/>
      <c r="CR1645" s="59"/>
      <c r="CS1645" s="59"/>
      <c r="CT1645" s="59"/>
      <c r="CU1645" s="59"/>
      <c r="CV1645" s="59"/>
      <c r="CW1645" s="59"/>
      <c r="CX1645" s="59"/>
      <c r="CY1645" s="59"/>
      <c r="CZ1645" s="59"/>
      <c r="DA1645" s="59"/>
      <c r="DB1645" s="59"/>
      <c r="DC1645" s="59"/>
      <c r="DD1645" s="59"/>
      <c r="DE1645" s="59"/>
      <c r="DF1645" s="59"/>
      <c r="DG1645" s="59"/>
      <c r="DH1645" s="59"/>
      <c r="DI1645" s="59"/>
      <c r="DJ1645" s="59"/>
      <c r="DK1645" s="59"/>
      <c r="DL1645" s="59"/>
      <c r="DM1645" s="59"/>
      <c r="DN1645" s="59"/>
      <c r="DO1645" s="59"/>
      <c r="DP1645" s="59"/>
      <c r="DQ1645" s="59"/>
      <c r="DR1645" s="59"/>
      <c r="DS1645" s="59"/>
      <c r="DT1645" s="59"/>
      <c r="DU1645" s="59"/>
      <c r="DV1645" s="59"/>
      <c r="DW1645" s="59"/>
      <c r="DX1645" s="59"/>
      <c r="DY1645" s="59"/>
      <c r="DZ1645" s="59"/>
      <c r="EA1645" s="59"/>
      <c r="EB1645" s="59"/>
      <c r="EC1645" s="59"/>
      <c r="ED1645" s="59"/>
      <c r="EE1645" s="59"/>
      <c r="EF1645" s="59"/>
      <c r="EG1645" s="59"/>
      <c r="EH1645" s="59"/>
      <c r="EI1645" s="59"/>
      <c r="EJ1645" s="59"/>
      <c r="EK1645" s="59"/>
      <c r="EL1645" s="59"/>
      <c r="EM1645" s="59"/>
      <c r="EN1645" s="59"/>
      <c r="EO1645" s="59"/>
      <c r="EP1645" s="59"/>
      <c r="EQ1645" s="59"/>
      <c r="ER1645" s="59"/>
      <c r="ES1645" s="59"/>
      <c r="ET1645" s="59"/>
      <c r="EU1645" s="59"/>
      <c r="EV1645" s="59"/>
      <c r="EW1645" s="59"/>
      <c r="EX1645" s="59"/>
      <c r="EY1645" s="59"/>
      <c r="EZ1645" s="59"/>
      <c r="FA1645" s="59"/>
      <c r="FB1645" s="59"/>
      <c r="FC1645" s="59"/>
      <c r="FD1645" s="59"/>
      <c r="FE1645" s="59"/>
      <c r="FF1645" s="59"/>
      <c r="FG1645" s="59"/>
      <c r="FH1645" s="59"/>
      <c r="FI1645" s="59"/>
      <c r="FJ1645" s="59"/>
      <c r="FK1645" s="59"/>
      <c r="FL1645" s="59"/>
      <c r="FM1645" s="59"/>
      <c r="FN1645" s="59"/>
      <c r="FO1645" s="59"/>
      <c r="FP1645" s="59"/>
      <c r="FQ1645" s="59"/>
      <c r="FR1645" s="59"/>
      <c r="FS1645" s="59"/>
      <c r="FT1645" s="59"/>
      <c r="FU1645" s="59"/>
      <c r="FV1645" s="59"/>
      <c r="FW1645" s="59"/>
      <c r="FX1645" s="59"/>
      <c r="FY1645" s="59"/>
      <c r="FZ1645" s="59"/>
      <c r="GA1645" s="59"/>
      <c r="GB1645" s="59"/>
      <c r="GC1645" s="59"/>
    </row>
    <row r="1646">
      <c r="A1646" s="59"/>
      <c r="B1646" s="59"/>
      <c r="C1646" s="59"/>
      <c r="D1646" s="59"/>
      <c r="E1646" s="59"/>
      <c r="F1646" s="59"/>
      <c r="G1646" s="59"/>
      <c r="H1646" s="59"/>
      <c r="I1646" s="59"/>
      <c r="J1646" s="59"/>
      <c r="K1646" s="59"/>
      <c r="L1646" s="59"/>
      <c r="M1646" s="59"/>
      <c r="N1646" s="59"/>
      <c r="O1646" s="59"/>
      <c r="P1646" s="59"/>
      <c r="Q1646" s="59"/>
      <c r="R1646" s="59"/>
      <c r="S1646" s="59"/>
      <c r="T1646" s="59"/>
      <c r="U1646" s="59"/>
      <c r="V1646" s="59"/>
      <c r="W1646" s="59"/>
      <c r="X1646" s="59"/>
      <c r="Y1646" s="59"/>
      <c r="Z1646" s="59"/>
      <c r="AA1646" s="59"/>
      <c r="AB1646" s="59"/>
      <c r="AC1646" s="59"/>
      <c r="AD1646" s="59"/>
      <c r="AE1646" s="59"/>
      <c r="AF1646" s="59"/>
      <c r="AG1646" s="59"/>
      <c r="AH1646" s="59"/>
      <c r="AI1646" s="59"/>
      <c r="AJ1646" s="59"/>
      <c r="AK1646" s="59"/>
      <c r="AL1646" s="59"/>
      <c r="AM1646" s="59"/>
      <c r="AN1646" s="59"/>
      <c r="AO1646" s="59"/>
      <c r="AP1646" s="59"/>
      <c r="AQ1646" s="59"/>
      <c r="AR1646" s="59"/>
      <c r="AS1646" s="59"/>
      <c r="AT1646" s="59"/>
      <c r="AU1646" s="59"/>
      <c r="AV1646" s="59"/>
      <c r="AW1646" s="59"/>
      <c r="AX1646" s="59"/>
      <c r="AY1646" s="59"/>
      <c r="AZ1646" s="59"/>
      <c r="BA1646" s="59"/>
      <c r="BB1646" s="59"/>
      <c r="BC1646" s="59"/>
      <c r="BD1646" s="59"/>
      <c r="BE1646" s="59"/>
      <c r="BF1646" s="59"/>
      <c r="BG1646" s="59"/>
      <c r="BH1646" s="59"/>
      <c r="BI1646" s="59"/>
      <c r="BJ1646" s="59"/>
      <c r="BK1646" s="59"/>
      <c r="BL1646" s="59"/>
      <c r="BM1646" s="59"/>
      <c r="BN1646" s="59"/>
      <c r="BO1646" s="59"/>
      <c r="BP1646" s="59"/>
      <c r="BQ1646" s="59"/>
      <c r="BR1646" s="59"/>
      <c r="BS1646" s="59"/>
      <c r="BT1646" s="59"/>
      <c r="BU1646" s="59"/>
      <c r="BV1646" s="59"/>
      <c r="BW1646" s="59"/>
      <c r="BX1646" s="59"/>
      <c r="BY1646" s="59"/>
      <c r="BZ1646" s="59"/>
      <c r="CA1646" s="59"/>
      <c r="CB1646" s="59"/>
      <c r="CC1646" s="59"/>
      <c r="CD1646" s="59"/>
      <c r="CE1646" s="59"/>
      <c r="CF1646" s="59"/>
      <c r="CG1646" s="59"/>
      <c r="CH1646" s="59"/>
      <c r="CI1646" s="59"/>
      <c r="CJ1646" s="59"/>
      <c r="CK1646" s="59"/>
      <c r="CL1646" s="59"/>
      <c r="CM1646" s="59"/>
      <c r="CN1646" s="59"/>
      <c r="CO1646" s="59"/>
      <c r="CP1646" s="59"/>
      <c r="CQ1646" s="59"/>
      <c r="CR1646" s="59"/>
      <c r="CS1646" s="59"/>
      <c r="CT1646" s="59"/>
      <c r="CU1646" s="59"/>
      <c r="CV1646" s="59"/>
      <c r="CW1646" s="59"/>
      <c r="CX1646" s="59"/>
      <c r="CY1646" s="59"/>
      <c r="CZ1646" s="59"/>
      <c r="DA1646" s="59"/>
      <c r="DB1646" s="59"/>
      <c r="DC1646" s="59"/>
      <c r="DD1646" s="59"/>
      <c r="DE1646" s="59"/>
      <c r="DF1646" s="59"/>
      <c r="DG1646" s="59"/>
      <c r="DH1646" s="59"/>
      <c r="DI1646" s="59"/>
      <c r="DJ1646" s="59"/>
      <c r="DK1646" s="59"/>
      <c r="DL1646" s="59"/>
      <c r="DM1646" s="59"/>
      <c r="DN1646" s="59"/>
      <c r="DO1646" s="59"/>
      <c r="DP1646" s="59"/>
      <c r="DQ1646" s="59"/>
      <c r="DR1646" s="59"/>
      <c r="DS1646" s="59"/>
      <c r="DT1646" s="59"/>
      <c r="DU1646" s="59"/>
      <c r="DV1646" s="59"/>
      <c r="DW1646" s="59"/>
      <c r="DX1646" s="59"/>
      <c r="DY1646" s="59"/>
      <c r="DZ1646" s="59"/>
      <c r="EA1646" s="59"/>
      <c r="EB1646" s="59"/>
      <c r="EC1646" s="59"/>
      <c r="ED1646" s="59"/>
      <c r="EE1646" s="59"/>
      <c r="EF1646" s="59"/>
      <c r="EG1646" s="59"/>
      <c r="EH1646" s="59"/>
      <c r="EI1646" s="59"/>
      <c r="EJ1646" s="59"/>
      <c r="EK1646" s="59"/>
      <c r="EL1646" s="59"/>
      <c r="EM1646" s="59"/>
      <c r="EN1646" s="59"/>
      <c r="EO1646" s="59"/>
      <c r="EP1646" s="59"/>
      <c r="EQ1646" s="59"/>
      <c r="ER1646" s="59"/>
      <c r="ES1646" s="59"/>
      <c r="ET1646" s="59"/>
      <c r="EU1646" s="59"/>
      <c r="EV1646" s="59"/>
      <c r="EW1646" s="59"/>
      <c r="EX1646" s="59"/>
      <c r="EY1646" s="59"/>
      <c r="EZ1646" s="59"/>
      <c r="FA1646" s="59"/>
      <c r="FB1646" s="59"/>
      <c r="FC1646" s="59"/>
      <c r="FD1646" s="59"/>
      <c r="FE1646" s="59"/>
      <c r="FF1646" s="59"/>
      <c r="FG1646" s="59"/>
      <c r="FH1646" s="59"/>
      <c r="FI1646" s="59"/>
      <c r="FJ1646" s="59"/>
      <c r="FK1646" s="59"/>
      <c r="FL1646" s="59"/>
      <c r="FM1646" s="59"/>
      <c r="FN1646" s="59"/>
      <c r="FO1646" s="59"/>
      <c r="FP1646" s="59"/>
      <c r="FQ1646" s="59"/>
      <c r="FR1646" s="59"/>
      <c r="FS1646" s="59"/>
      <c r="FT1646" s="59"/>
      <c r="FU1646" s="59"/>
      <c r="FV1646" s="59"/>
      <c r="FW1646" s="59"/>
      <c r="FX1646" s="59"/>
      <c r="FY1646" s="59"/>
      <c r="FZ1646" s="59"/>
      <c r="GA1646" s="59"/>
      <c r="GB1646" s="59"/>
      <c r="GC1646" s="59"/>
    </row>
    <row r="1647">
      <c r="A1647" s="59"/>
      <c r="B1647" s="59"/>
      <c r="C1647" s="59"/>
      <c r="D1647" s="59"/>
      <c r="E1647" s="59"/>
      <c r="F1647" s="59"/>
      <c r="G1647" s="59"/>
      <c r="H1647" s="59"/>
      <c r="I1647" s="59"/>
      <c r="J1647" s="59"/>
      <c r="K1647" s="59"/>
      <c r="L1647" s="59"/>
      <c r="M1647" s="59"/>
      <c r="N1647" s="59"/>
      <c r="O1647" s="59"/>
      <c r="P1647" s="59"/>
      <c r="Q1647" s="59"/>
      <c r="R1647" s="59"/>
      <c r="S1647" s="59"/>
      <c r="T1647" s="59"/>
      <c r="U1647" s="59"/>
      <c r="V1647" s="59"/>
      <c r="W1647" s="59"/>
      <c r="X1647" s="59"/>
      <c r="Y1647" s="59"/>
      <c r="Z1647" s="59"/>
      <c r="AA1647" s="59"/>
      <c r="AB1647" s="59"/>
      <c r="AC1647" s="59"/>
      <c r="AD1647" s="59"/>
      <c r="AE1647" s="59"/>
      <c r="AF1647" s="59"/>
      <c r="AG1647" s="59"/>
      <c r="AH1647" s="59"/>
      <c r="AI1647" s="59"/>
      <c r="AJ1647" s="59"/>
      <c r="AK1647" s="59"/>
      <c r="AL1647" s="59"/>
      <c r="AM1647" s="59"/>
      <c r="AN1647" s="59"/>
      <c r="AO1647" s="59"/>
      <c r="AP1647" s="59"/>
      <c r="AQ1647" s="59"/>
      <c r="AR1647" s="59"/>
      <c r="AS1647" s="59"/>
      <c r="AT1647" s="59"/>
      <c r="AU1647" s="59"/>
      <c r="AV1647" s="59"/>
      <c r="AW1647" s="59"/>
      <c r="AX1647" s="59"/>
      <c r="AY1647" s="59"/>
      <c r="AZ1647" s="59"/>
      <c r="BA1647" s="59"/>
      <c r="BB1647" s="59"/>
      <c r="BC1647" s="59"/>
      <c r="BD1647" s="59"/>
      <c r="BE1647" s="59"/>
      <c r="BF1647" s="59"/>
      <c r="BG1647" s="59"/>
      <c r="BH1647" s="59"/>
      <c r="BI1647" s="59"/>
      <c r="BJ1647" s="59"/>
      <c r="BK1647" s="59"/>
      <c r="BL1647" s="59"/>
      <c r="BM1647" s="59"/>
      <c r="BN1647" s="59"/>
      <c r="BO1647" s="59"/>
      <c r="BP1647" s="59"/>
      <c r="BQ1647" s="59"/>
      <c r="BR1647" s="59"/>
      <c r="BS1647" s="59"/>
      <c r="BT1647" s="59"/>
      <c r="BU1647" s="59"/>
      <c r="BV1647" s="59"/>
      <c r="BW1647" s="59"/>
      <c r="BX1647" s="59"/>
      <c r="BY1647" s="59"/>
      <c r="BZ1647" s="59"/>
      <c r="CA1647" s="59"/>
      <c r="CB1647" s="59"/>
      <c r="CC1647" s="59"/>
      <c r="CD1647" s="59"/>
      <c r="CE1647" s="59"/>
      <c r="CF1647" s="59"/>
      <c r="CG1647" s="59"/>
      <c r="CH1647" s="59"/>
      <c r="CI1647" s="59"/>
      <c r="CJ1647" s="59"/>
      <c r="CK1647" s="59"/>
      <c r="CL1647" s="59"/>
      <c r="CM1647" s="59"/>
      <c r="CN1647" s="59"/>
      <c r="CO1647" s="59"/>
      <c r="CP1647" s="59"/>
      <c r="CQ1647" s="59"/>
      <c r="CR1647" s="59"/>
      <c r="CS1647" s="59"/>
      <c r="CT1647" s="59"/>
      <c r="CU1647" s="59"/>
      <c r="CV1647" s="59"/>
      <c r="CW1647" s="59"/>
      <c r="CX1647" s="59"/>
      <c r="CY1647" s="59"/>
      <c r="CZ1647" s="59"/>
      <c r="DA1647" s="59"/>
      <c r="DB1647" s="59"/>
      <c r="DC1647" s="59"/>
      <c r="DD1647" s="59"/>
      <c r="DE1647" s="59"/>
      <c r="DF1647" s="59"/>
      <c r="DG1647" s="59"/>
      <c r="DH1647" s="59"/>
      <c r="DI1647" s="59"/>
      <c r="DJ1647" s="59"/>
      <c r="DK1647" s="59"/>
      <c r="DL1647" s="59"/>
      <c r="DM1647" s="59"/>
      <c r="DN1647" s="59"/>
      <c r="DO1647" s="59"/>
      <c r="DP1647" s="59"/>
      <c r="DQ1647" s="59"/>
      <c r="DR1647" s="59"/>
      <c r="DS1647" s="59"/>
      <c r="DT1647" s="59"/>
      <c r="DU1647" s="59"/>
      <c r="DV1647" s="59"/>
      <c r="DW1647" s="59"/>
      <c r="DX1647" s="59"/>
      <c r="DY1647" s="59"/>
      <c r="DZ1647" s="59"/>
      <c r="EA1647" s="59"/>
      <c r="EB1647" s="59"/>
      <c r="EC1647" s="59"/>
      <c r="ED1647" s="59"/>
      <c r="EE1647" s="59"/>
      <c r="EF1647" s="59"/>
      <c r="EG1647" s="59"/>
      <c r="EH1647" s="59"/>
      <c r="EI1647" s="59"/>
      <c r="EJ1647" s="59"/>
      <c r="EK1647" s="59"/>
      <c r="EL1647" s="59"/>
      <c r="EM1647" s="59"/>
      <c r="EN1647" s="59"/>
      <c r="EO1647" s="59"/>
      <c r="EP1647" s="59"/>
      <c r="EQ1647" s="59"/>
      <c r="ER1647" s="59"/>
      <c r="ES1647" s="59"/>
      <c r="ET1647" s="59"/>
      <c r="EU1647" s="59"/>
      <c r="EV1647" s="59"/>
      <c r="EW1647" s="59"/>
      <c r="EX1647" s="59"/>
      <c r="EY1647" s="59"/>
      <c r="EZ1647" s="59"/>
      <c r="FA1647" s="59"/>
      <c r="FB1647" s="59"/>
      <c r="FC1647" s="59"/>
      <c r="FD1647" s="59"/>
      <c r="FE1647" s="59"/>
      <c r="FF1647" s="59"/>
      <c r="FG1647" s="59"/>
      <c r="FH1647" s="59"/>
      <c r="FI1647" s="59"/>
      <c r="FJ1647" s="59"/>
      <c r="FK1647" s="59"/>
      <c r="FL1647" s="59"/>
      <c r="FM1647" s="59"/>
      <c r="FN1647" s="59"/>
      <c r="FO1647" s="59"/>
      <c r="FP1647" s="59"/>
      <c r="FQ1647" s="59"/>
      <c r="FR1647" s="59"/>
      <c r="FS1647" s="59"/>
      <c r="FT1647" s="59"/>
      <c r="FU1647" s="59"/>
      <c r="FV1647" s="59"/>
      <c r="FW1647" s="59"/>
      <c r="FX1647" s="59"/>
      <c r="FY1647" s="59"/>
      <c r="FZ1647" s="59"/>
      <c r="GA1647" s="59"/>
      <c r="GB1647" s="59"/>
      <c r="GC1647" s="59"/>
    </row>
    <row r="1648">
      <c r="A1648" s="59"/>
      <c r="B1648" s="59"/>
      <c r="C1648" s="59"/>
      <c r="D1648" s="59"/>
      <c r="E1648" s="59"/>
      <c r="F1648" s="59"/>
      <c r="G1648" s="59"/>
      <c r="H1648" s="59"/>
      <c r="I1648" s="59"/>
      <c r="J1648" s="59"/>
      <c r="K1648" s="59"/>
      <c r="L1648" s="59"/>
      <c r="M1648" s="59"/>
      <c r="N1648" s="59"/>
      <c r="O1648" s="59"/>
      <c r="P1648" s="59"/>
      <c r="Q1648" s="59"/>
      <c r="R1648" s="59"/>
      <c r="S1648" s="59"/>
      <c r="T1648" s="59"/>
      <c r="U1648" s="59"/>
      <c r="V1648" s="59"/>
      <c r="W1648" s="59"/>
      <c r="X1648" s="59"/>
      <c r="Y1648" s="59"/>
      <c r="Z1648" s="59"/>
      <c r="AA1648" s="59"/>
      <c r="AB1648" s="59"/>
      <c r="AC1648" s="59"/>
      <c r="AD1648" s="59"/>
      <c r="AE1648" s="59"/>
      <c r="AF1648" s="59"/>
      <c r="AG1648" s="59"/>
      <c r="AH1648" s="59"/>
      <c r="AI1648" s="59"/>
      <c r="AJ1648" s="59"/>
      <c r="AK1648" s="59"/>
      <c r="AL1648" s="59"/>
      <c r="AM1648" s="59"/>
      <c r="AN1648" s="59"/>
      <c r="AO1648" s="59"/>
      <c r="AP1648" s="59"/>
      <c r="AQ1648" s="59"/>
      <c r="AR1648" s="59"/>
      <c r="AS1648" s="59"/>
      <c r="AT1648" s="59"/>
      <c r="AU1648" s="59"/>
      <c r="AV1648" s="59"/>
      <c r="AW1648" s="59"/>
      <c r="AX1648" s="59"/>
      <c r="AY1648" s="59"/>
      <c r="AZ1648" s="59"/>
      <c r="BA1648" s="59"/>
      <c r="BB1648" s="59"/>
      <c r="BC1648" s="59"/>
      <c r="BD1648" s="59"/>
      <c r="BE1648" s="59"/>
      <c r="BF1648" s="59"/>
      <c r="BG1648" s="59"/>
      <c r="BH1648" s="59"/>
      <c r="BI1648" s="59"/>
      <c r="BJ1648" s="59"/>
      <c r="BK1648" s="59"/>
      <c r="BL1648" s="59"/>
      <c r="BM1648" s="59"/>
      <c r="BN1648" s="59"/>
      <c r="BO1648" s="59"/>
      <c r="BP1648" s="59"/>
      <c r="BQ1648" s="59"/>
      <c r="BR1648" s="59"/>
      <c r="BS1648" s="59"/>
      <c r="BT1648" s="59"/>
      <c r="BU1648" s="59"/>
      <c r="BV1648" s="59"/>
      <c r="BW1648" s="59"/>
      <c r="BX1648" s="59"/>
      <c r="BY1648" s="59"/>
      <c r="BZ1648" s="59"/>
      <c r="CA1648" s="59"/>
      <c r="CB1648" s="59"/>
      <c r="CC1648" s="59"/>
      <c r="CD1648" s="59"/>
      <c r="CE1648" s="59"/>
      <c r="CF1648" s="59"/>
      <c r="CG1648" s="59"/>
      <c r="CH1648" s="59"/>
      <c r="CI1648" s="59"/>
      <c r="CJ1648" s="59"/>
      <c r="CK1648" s="59"/>
      <c r="CL1648" s="59"/>
      <c r="CM1648" s="59"/>
      <c r="CN1648" s="59"/>
      <c r="CO1648" s="59"/>
      <c r="CP1648" s="59"/>
      <c r="CQ1648" s="59"/>
      <c r="CR1648" s="59"/>
      <c r="CS1648" s="59"/>
      <c r="CT1648" s="59"/>
      <c r="CU1648" s="59"/>
      <c r="CV1648" s="59"/>
      <c r="CW1648" s="59"/>
      <c r="CX1648" s="59"/>
      <c r="CY1648" s="59"/>
      <c r="CZ1648" s="59"/>
      <c r="DA1648" s="59"/>
      <c r="DB1648" s="59"/>
      <c r="DC1648" s="59"/>
      <c r="DD1648" s="59"/>
      <c r="DE1648" s="59"/>
      <c r="DF1648" s="59"/>
      <c r="DG1648" s="59"/>
      <c r="DH1648" s="59"/>
      <c r="DI1648" s="59"/>
      <c r="DJ1648" s="59"/>
      <c r="DK1648" s="59"/>
      <c r="DL1648" s="59"/>
      <c r="DM1648" s="59"/>
      <c r="DN1648" s="59"/>
      <c r="DO1648" s="59"/>
      <c r="DP1648" s="59"/>
      <c r="DQ1648" s="59"/>
      <c r="DR1648" s="59"/>
      <c r="DS1648" s="59"/>
      <c r="DT1648" s="59"/>
      <c r="DU1648" s="59"/>
      <c r="DV1648" s="59"/>
      <c r="DW1648" s="59"/>
      <c r="DX1648" s="59"/>
      <c r="DY1648" s="59"/>
      <c r="DZ1648" s="59"/>
      <c r="EA1648" s="59"/>
      <c r="EB1648" s="59"/>
      <c r="EC1648" s="59"/>
      <c r="ED1648" s="59"/>
      <c r="EE1648" s="59"/>
      <c r="EF1648" s="59"/>
      <c r="EG1648" s="59"/>
      <c r="EH1648" s="59"/>
      <c r="EI1648" s="59"/>
      <c r="EJ1648" s="59"/>
      <c r="EK1648" s="59"/>
      <c r="EL1648" s="59"/>
      <c r="EM1648" s="59"/>
      <c r="EN1648" s="59"/>
      <c r="EO1648" s="59"/>
      <c r="EP1648" s="59"/>
      <c r="EQ1648" s="59"/>
      <c r="ER1648" s="59"/>
      <c r="ES1648" s="59"/>
      <c r="ET1648" s="59"/>
      <c r="EU1648" s="59"/>
      <c r="EV1648" s="59"/>
      <c r="EW1648" s="59"/>
      <c r="EX1648" s="59"/>
      <c r="EY1648" s="59"/>
      <c r="EZ1648" s="59"/>
      <c r="FA1648" s="59"/>
      <c r="FB1648" s="59"/>
      <c r="FC1648" s="59"/>
      <c r="FD1648" s="59"/>
      <c r="FE1648" s="59"/>
      <c r="FF1648" s="59"/>
      <c r="FG1648" s="59"/>
      <c r="FH1648" s="59"/>
      <c r="FI1648" s="59"/>
      <c r="FJ1648" s="59"/>
      <c r="FK1648" s="59"/>
      <c r="FL1648" s="59"/>
      <c r="FM1648" s="59"/>
      <c r="FN1648" s="59"/>
      <c r="FO1648" s="59"/>
      <c r="FP1648" s="59"/>
      <c r="FQ1648" s="59"/>
      <c r="FR1648" s="59"/>
      <c r="FS1648" s="59"/>
      <c r="FT1648" s="59"/>
      <c r="FU1648" s="59"/>
      <c r="FV1648" s="59"/>
      <c r="FW1648" s="59"/>
      <c r="FX1648" s="59"/>
      <c r="FY1648" s="59"/>
      <c r="FZ1648" s="59"/>
      <c r="GA1648" s="59"/>
      <c r="GB1648" s="59"/>
      <c r="GC1648" s="59"/>
    </row>
    <row r="1649">
      <c r="A1649" s="59"/>
      <c r="B1649" s="59"/>
      <c r="C1649" s="59"/>
      <c r="D1649" s="59"/>
      <c r="E1649" s="59"/>
      <c r="F1649" s="59"/>
      <c r="G1649" s="59"/>
      <c r="H1649" s="59"/>
      <c r="I1649" s="59"/>
      <c r="J1649" s="59"/>
      <c r="K1649" s="59"/>
      <c r="L1649" s="59"/>
      <c r="M1649" s="59"/>
      <c r="N1649" s="59"/>
      <c r="O1649" s="59"/>
      <c r="P1649" s="59"/>
      <c r="Q1649" s="59"/>
      <c r="R1649" s="59"/>
      <c r="S1649" s="59"/>
      <c r="T1649" s="59"/>
      <c r="U1649" s="59"/>
      <c r="V1649" s="59"/>
      <c r="W1649" s="59"/>
      <c r="X1649" s="59"/>
      <c r="Y1649" s="59"/>
      <c r="Z1649" s="59"/>
      <c r="AA1649" s="59"/>
      <c r="AB1649" s="59"/>
      <c r="AC1649" s="59"/>
      <c r="AD1649" s="59"/>
      <c r="AE1649" s="59"/>
      <c r="AF1649" s="59"/>
      <c r="AG1649" s="59"/>
      <c r="AH1649" s="59"/>
      <c r="AI1649" s="59"/>
      <c r="AJ1649" s="59"/>
      <c r="AK1649" s="59"/>
      <c r="AL1649" s="59"/>
      <c r="AM1649" s="59"/>
      <c r="AN1649" s="59"/>
      <c r="AO1649" s="59"/>
      <c r="AP1649" s="59"/>
      <c r="AQ1649" s="59"/>
      <c r="AR1649" s="59"/>
      <c r="AS1649" s="59"/>
      <c r="AT1649" s="59"/>
      <c r="AU1649" s="59"/>
      <c r="AV1649" s="59"/>
      <c r="AW1649" s="59"/>
      <c r="AX1649" s="59"/>
      <c r="AY1649" s="59"/>
      <c r="AZ1649" s="59"/>
      <c r="BA1649" s="59"/>
      <c r="BB1649" s="59"/>
      <c r="BC1649" s="59"/>
      <c r="BD1649" s="59"/>
      <c r="BE1649" s="59"/>
      <c r="BF1649" s="59"/>
      <c r="BG1649" s="59"/>
      <c r="BH1649" s="59"/>
      <c r="BI1649" s="59"/>
      <c r="BJ1649" s="59"/>
      <c r="BK1649" s="59"/>
      <c r="BL1649" s="59"/>
      <c r="BM1649" s="59"/>
      <c r="BN1649" s="59"/>
      <c r="BO1649" s="59"/>
      <c r="BP1649" s="59"/>
      <c r="BQ1649" s="59"/>
      <c r="BR1649" s="59"/>
      <c r="BS1649" s="59"/>
      <c r="BT1649" s="59"/>
      <c r="BU1649" s="59"/>
      <c r="BV1649" s="59"/>
      <c r="BW1649" s="59"/>
      <c r="BX1649" s="59"/>
      <c r="BY1649" s="59"/>
      <c r="BZ1649" s="59"/>
      <c r="CA1649" s="59"/>
      <c r="CB1649" s="59"/>
      <c r="CC1649" s="59"/>
      <c r="CD1649" s="59"/>
      <c r="CE1649" s="59"/>
      <c r="CF1649" s="59"/>
      <c r="CG1649" s="59"/>
      <c r="CH1649" s="59"/>
      <c r="CI1649" s="59"/>
      <c r="CJ1649" s="59"/>
      <c r="CK1649" s="59"/>
      <c r="CL1649" s="59"/>
      <c r="CM1649" s="59"/>
      <c r="CN1649" s="59"/>
      <c r="CO1649" s="59"/>
      <c r="CP1649" s="59"/>
      <c r="CQ1649" s="59"/>
      <c r="CR1649" s="59"/>
      <c r="CS1649" s="59"/>
      <c r="CT1649" s="59"/>
      <c r="CU1649" s="59"/>
      <c r="CV1649" s="59"/>
      <c r="CW1649" s="59"/>
      <c r="CX1649" s="59"/>
      <c r="CY1649" s="59"/>
      <c r="CZ1649" s="59"/>
      <c r="DA1649" s="59"/>
      <c r="DB1649" s="59"/>
      <c r="DC1649" s="59"/>
      <c r="DD1649" s="59"/>
      <c r="DE1649" s="59"/>
      <c r="DF1649" s="59"/>
      <c r="DG1649" s="59"/>
      <c r="DH1649" s="59"/>
      <c r="DI1649" s="59"/>
      <c r="DJ1649" s="59"/>
      <c r="DK1649" s="59"/>
      <c r="DL1649" s="59"/>
      <c r="DM1649" s="59"/>
      <c r="DN1649" s="59"/>
      <c r="DO1649" s="59"/>
      <c r="DP1649" s="59"/>
      <c r="DQ1649" s="59"/>
      <c r="DR1649" s="59"/>
      <c r="DS1649" s="59"/>
      <c r="DT1649" s="59"/>
      <c r="DU1649" s="59"/>
      <c r="DV1649" s="59"/>
      <c r="DW1649" s="59"/>
      <c r="DX1649" s="59"/>
      <c r="DY1649" s="59"/>
      <c r="DZ1649" s="59"/>
      <c r="EA1649" s="59"/>
      <c r="EB1649" s="59"/>
      <c r="EC1649" s="59"/>
      <c r="ED1649" s="59"/>
      <c r="EE1649" s="59"/>
      <c r="EF1649" s="59"/>
      <c r="EG1649" s="59"/>
      <c r="EH1649" s="59"/>
      <c r="EI1649" s="59"/>
      <c r="EJ1649" s="59"/>
      <c r="EK1649" s="59"/>
      <c r="EL1649" s="59"/>
      <c r="EM1649" s="59"/>
      <c r="EN1649" s="59"/>
      <c r="EO1649" s="59"/>
      <c r="EP1649" s="59"/>
      <c r="EQ1649" s="59"/>
      <c r="ER1649" s="59"/>
      <c r="ES1649" s="59"/>
      <c r="ET1649" s="59"/>
      <c r="EU1649" s="59"/>
      <c r="EV1649" s="59"/>
      <c r="EW1649" s="59"/>
      <c r="EX1649" s="59"/>
      <c r="EY1649" s="59"/>
      <c r="EZ1649" s="59"/>
      <c r="FA1649" s="59"/>
      <c r="FB1649" s="59"/>
      <c r="FC1649" s="59"/>
      <c r="FD1649" s="59"/>
      <c r="FE1649" s="59"/>
      <c r="FF1649" s="59"/>
      <c r="FG1649" s="59"/>
      <c r="FH1649" s="59"/>
      <c r="FI1649" s="59"/>
      <c r="FJ1649" s="59"/>
      <c r="FK1649" s="59"/>
      <c r="FL1649" s="59"/>
      <c r="FM1649" s="59"/>
      <c r="FN1649" s="59"/>
      <c r="FO1649" s="59"/>
      <c r="FP1649" s="59"/>
      <c r="FQ1649" s="59"/>
      <c r="FR1649" s="59"/>
      <c r="FS1649" s="59"/>
      <c r="FT1649" s="59"/>
      <c r="FU1649" s="59"/>
      <c r="FV1649" s="59"/>
      <c r="FW1649" s="59"/>
      <c r="FX1649" s="59"/>
      <c r="FY1649" s="59"/>
      <c r="FZ1649" s="59"/>
      <c r="GA1649" s="59"/>
      <c r="GB1649" s="59"/>
      <c r="GC1649" s="59"/>
    </row>
    <row r="1650">
      <c r="A1650" s="59"/>
      <c r="B1650" s="59"/>
      <c r="C1650" s="59"/>
      <c r="D1650" s="59"/>
      <c r="E1650" s="59"/>
      <c r="F1650" s="59"/>
      <c r="G1650" s="59"/>
      <c r="H1650" s="59"/>
      <c r="I1650" s="59"/>
      <c r="J1650" s="59"/>
      <c r="K1650" s="59"/>
      <c r="L1650" s="59"/>
      <c r="M1650" s="59"/>
      <c r="N1650" s="59"/>
      <c r="O1650" s="59"/>
      <c r="P1650" s="59"/>
      <c r="Q1650" s="59"/>
      <c r="R1650" s="59"/>
      <c r="S1650" s="59"/>
      <c r="T1650" s="59"/>
      <c r="U1650" s="59"/>
      <c r="V1650" s="59"/>
      <c r="W1650" s="59"/>
      <c r="X1650" s="59"/>
      <c r="Y1650" s="59"/>
      <c r="Z1650" s="59"/>
      <c r="AA1650" s="59"/>
      <c r="AB1650" s="59"/>
      <c r="AC1650" s="59"/>
      <c r="AD1650" s="59"/>
      <c r="AE1650" s="59"/>
      <c r="AF1650" s="59"/>
      <c r="AG1650" s="59"/>
      <c r="AH1650" s="59"/>
      <c r="AI1650" s="59"/>
      <c r="AJ1650" s="59"/>
      <c r="AK1650" s="59"/>
      <c r="AL1650" s="59"/>
      <c r="AM1650" s="59"/>
      <c r="AN1650" s="59"/>
      <c r="AO1650" s="59"/>
      <c r="AP1650" s="59"/>
      <c r="AQ1650" s="59"/>
      <c r="AR1650" s="59"/>
      <c r="AS1650" s="59"/>
      <c r="AT1650" s="59"/>
      <c r="AU1650" s="59"/>
      <c r="AV1650" s="59"/>
      <c r="AW1650" s="59"/>
      <c r="AX1650" s="59"/>
      <c r="AY1650" s="59"/>
      <c r="AZ1650" s="59"/>
      <c r="BA1650" s="59"/>
      <c r="BB1650" s="59"/>
      <c r="BC1650" s="59"/>
      <c r="BD1650" s="59"/>
      <c r="BE1650" s="59"/>
      <c r="BF1650" s="59"/>
      <c r="BG1650" s="59"/>
      <c r="BH1650" s="59"/>
      <c r="BI1650" s="59"/>
      <c r="BJ1650" s="59"/>
      <c r="BK1650" s="59"/>
      <c r="BL1650" s="59"/>
      <c r="BM1650" s="59"/>
      <c r="BN1650" s="59"/>
      <c r="BO1650" s="59"/>
      <c r="BP1650" s="59"/>
      <c r="BQ1650" s="59"/>
      <c r="BR1650" s="59"/>
      <c r="BS1650" s="59"/>
      <c r="BT1650" s="59"/>
      <c r="BU1650" s="59"/>
      <c r="BV1650" s="59"/>
      <c r="BW1650" s="59"/>
      <c r="BX1650" s="59"/>
      <c r="BY1650" s="59"/>
      <c r="BZ1650" s="59"/>
      <c r="CA1650" s="59"/>
      <c r="CB1650" s="59"/>
      <c r="CC1650" s="59"/>
      <c r="CD1650" s="59"/>
      <c r="CE1650" s="59"/>
      <c r="CF1650" s="59"/>
      <c r="CG1650" s="59"/>
      <c r="CH1650" s="59"/>
      <c r="CI1650" s="59"/>
      <c r="CJ1650" s="59"/>
      <c r="CK1650" s="59"/>
      <c r="CL1650" s="59"/>
      <c r="CM1650" s="59"/>
      <c r="CN1650" s="59"/>
      <c r="CO1650" s="59"/>
      <c r="CP1650" s="59"/>
      <c r="CQ1650" s="59"/>
      <c r="CR1650" s="59"/>
      <c r="CS1650" s="59"/>
      <c r="CT1650" s="59"/>
      <c r="CU1650" s="59"/>
      <c r="CV1650" s="59"/>
      <c r="CW1650" s="59"/>
      <c r="CX1650" s="59"/>
      <c r="CY1650" s="59"/>
      <c r="CZ1650" s="59"/>
      <c r="DA1650" s="59"/>
      <c r="DB1650" s="59"/>
      <c r="DC1650" s="59"/>
      <c r="DD1650" s="59"/>
      <c r="DE1650" s="59"/>
      <c r="DF1650" s="59"/>
      <c r="DG1650" s="59"/>
      <c r="DH1650" s="59"/>
      <c r="DI1650" s="59"/>
      <c r="DJ1650" s="59"/>
      <c r="DK1650" s="59"/>
      <c r="DL1650" s="59"/>
      <c r="DM1650" s="59"/>
      <c r="DN1650" s="59"/>
      <c r="DO1650" s="59"/>
      <c r="DP1650" s="59"/>
      <c r="DQ1650" s="59"/>
      <c r="DR1650" s="59"/>
      <c r="DS1650" s="59"/>
      <c r="DT1650" s="59"/>
      <c r="DU1650" s="59"/>
      <c r="DV1650" s="59"/>
      <c r="DW1650" s="59"/>
      <c r="DX1650" s="59"/>
      <c r="DY1650" s="59"/>
      <c r="DZ1650" s="59"/>
      <c r="EA1650" s="59"/>
      <c r="EB1650" s="59"/>
      <c r="EC1650" s="59"/>
      <c r="ED1650" s="59"/>
      <c r="EE1650" s="59"/>
      <c r="EF1650" s="59"/>
      <c r="EG1650" s="59"/>
      <c r="EH1650" s="59"/>
      <c r="EI1650" s="59"/>
      <c r="EJ1650" s="59"/>
      <c r="EK1650" s="59"/>
      <c r="EL1650" s="59"/>
      <c r="EM1650" s="59"/>
      <c r="EN1650" s="59"/>
      <c r="EO1650" s="59"/>
      <c r="EP1650" s="59"/>
      <c r="EQ1650" s="59"/>
      <c r="ER1650" s="59"/>
      <c r="ES1650" s="59"/>
      <c r="ET1650" s="59"/>
      <c r="EU1650" s="59"/>
      <c r="EV1650" s="59"/>
      <c r="EW1650" s="59"/>
      <c r="EX1650" s="59"/>
      <c r="EY1650" s="59"/>
      <c r="EZ1650" s="59"/>
      <c r="FA1650" s="59"/>
      <c r="FB1650" s="59"/>
      <c r="FC1650" s="59"/>
      <c r="FD1650" s="59"/>
      <c r="FE1650" s="59"/>
      <c r="FF1650" s="59"/>
      <c r="FG1650" s="59"/>
      <c r="FH1650" s="59"/>
      <c r="FI1650" s="59"/>
      <c r="FJ1650" s="59"/>
      <c r="FK1650" s="59"/>
      <c r="FL1650" s="59"/>
      <c r="FM1650" s="59"/>
      <c r="FN1650" s="59"/>
      <c r="FO1650" s="59"/>
      <c r="FP1650" s="59"/>
      <c r="FQ1650" s="59"/>
      <c r="FR1650" s="59"/>
      <c r="FS1650" s="59"/>
      <c r="FT1650" s="59"/>
      <c r="FU1650" s="59"/>
      <c r="FV1650" s="59"/>
      <c r="FW1650" s="59"/>
      <c r="FX1650" s="59"/>
      <c r="FY1650" s="59"/>
      <c r="FZ1650" s="59"/>
      <c r="GA1650" s="59"/>
      <c r="GB1650" s="59"/>
      <c r="GC1650" s="59"/>
    </row>
    <row r="1651">
      <c r="A1651" s="59"/>
      <c r="B1651" s="59"/>
      <c r="C1651" s="59"/>
      <c r="D1651" s="59"/>
      <c r="E1651" s="59"/>
      <c r="F1651" s="59"/>
      <c r="G1651" s="59"/>
      <c r="H1651" s="59"/>
      <c r="I1651" s="59"/>
      <c r="J1651" s="59"/>
      <c r="K1651" s="59"/>
      <c r="L1651" s="59"/>
      <c r="M1651" s="59"/>
      <c r="N1651" s="59"/>
      <c r="O1651" s="59"/>
      <c r="P1651" s="59"/>
      <c r="Q1651" s="59"/>
      <c r="R1651" s="59"/>
      <c r="S1651" s="59"/>
      <c r="T1651" s="59"/>
      <c r="U1651" s="59"/>
      <c r="V1651" s="59"/>
      <c r="W1651" s="59"/>
      <c r="X1651" s="59"/>
      <c r="Y1651" s="59"/>
      <c r="Z1651" s="59"/>
      <c r="AA1651" s="59"/>
      <c r="AB1651" s="59"/>
      <c r="AC1651" s="59"/>
      <c r="AD1651" s="59"/>
      <c r="AE1651" s="59"/>
      <c r="AF1651" s="59"/>
      <c r="AG1651" s="59"/>
      <c r="AH1651" s="59"/>
      <c r="AI1651" s="59"/>
      <c r="AJ1651" s="59"/>
      <c r="AK1651" s="59"/>
      <c r="AL1651" s="59"/>
      <c r="AM1651" s="59"/>
      <c r="AN1651" s="59"/>
      <c r="AO1651" s="59"/>
      <c r="AP1651" s="59"/>
      <c r="AQ1651" s="59"/>
      <c r="AR1651" s="59"/>
      <c r="AS1651" s="59"/>
      <c r="AT1651" s="59"/>
      <c r="AU1651" s="59"/>
      <c r="AV1651" s="59"/>
      <c r="AW1651" s="59"/>
      <c r="AX1651" s="59"/>
      <c r="AY1651" s="59"/>
      <c r="AZ1651" s="59"/>
      <c r="BA1651" s="59"/>
      <c r="BB1651" s="59"/>
      <c r="BC1651" s="59"/>
      <c r="BD1651" s="59"/>
      <c r="BE1651" s="59"/>
      <c r="BF1651" s="59"/>
      <c r="BG1651" s="59"/>
      <c r="BH1651" s="59"/>
      <c r="BI1651" s="59"/>
      <c r="BJ1651" s="59"/>
      <c r="BK1651" s="59"/>
      <c r="BL1651" s="59"/>
      <c r="BM1651" s="59"/>
      <c r="BN1651" s="59"/>
      <c r="BO1651" s="59"/>
      <c r="BP1651" s="59"/>
      <c r="BQ1651" s="59"/>
      <c r="BR1651" s="59"/>
      <c r="BS1651" s="59"/>
      <c r="BT1651" s="59"/>
      <c r="BU1651" s="59"/>
      <c r="BV1651" s="59"/>
      <c r="BW1651" s="59"/>
      <c r="BX1651" s="59"/>
      <c r="BY1651" s="59"/>
      <c r="BZ1651" s="59"/>
      <c r="CA1651" s="59"/>
      <c r="CB1651" s="59"/>
      <c r="CC1651" s="59"/>
      <c r="CD1651" s="59"/>
      <c r="CE1651" s="59"/>
      <c r="CF1651" s="59"/>
      <c r="CG1651" s="59"/>
      <c r="CH1651" s="59"/>
      <c r="CI1651" s="59"/>
      <c r="CJ1651" s="59"/>
      <c r="CK1651" s="59"/>
      <c r="CL1651" s="59"/>
      <c r="CM1651" s="59"/>
      <c r="CN1651" s="59"/>
      <c r="CO1651" s="59"/>
      <c r="CP1651" s="59"/>
      <c r="CQ1651" s="59"/>
      <c r="CR1651" s="59"/>
      <c r="CS1651" s="59"/>
      <c r="CT1651" s="59"/>
      <c r="CU1651" s="59"/>
      <c r="CV1651" s="59"/>
      <c r="CW1651" s="59"/>
      <c r="CX1651" s="59"/>
      <c r="CY1651" s="59"/>
      <c r="CZ1651" s="59"/>
      <c r="DA1651" s="59"/>
      <c r="DB1651" s="59"/>
      <c r="DC1651" s="59"/>
      <c r="DD1651" s="59"/>
      <c r="DE1651" s="59"/>
      <c r="DF1651" s="59"/>
      <c r="DG1651" s="59"/>
      <c r="DH1651" s="59"/>
      <c r="DI1651" s="59"/>
      <c r="DJ1651" s="59"/>
      <c r="DK1651" s="59"/>
      <c r="DL1651" s="59"/>
      <c r="DM1651" s="59"/>
      <c r="DN1651" s="59"/>
      <c r="DO1651" s="59"/>
      <c r="DP1651" s="59"/>
      <c r="DQ1651" s="59"/>
      <c r="DR1651" s="59"/>
      <c r="DS1651" s="59"/>
      <c r="DT1651" s="59"/>
      <c r="DU1651" s="59"/>
      <c r="DV1651" s="59"/>
      <c r="DW1651" s="59"/>
      <c r="DX1651" s="59"/>
      <c r="DY1651" s="59"/>
      <c r="DZ1651" s="59"/>
      <c r="EA1651" s="59"/>
      <c r="EB1651" s="59"/>
      <c r="EC1651" s="59"/>
      <c r="ED1651" s="59"/>
      <c r="EE1651" s="59"/>
      <c r="EF1651" s="59"/>
      <c r="EG1651" s="59"/>
      <c r="EH1651" s="59"/>
      <c r="EI1651" s="59"/>
      <c r="EJ1651" s="59"/>
      <c r="EK1651" s="59"/>
      <c r="EL1651" s="59"/>
      <c r="EM1651" s="59"/>
      <c r="EN1651" s="59"/>
      <c r="EO1651" s="59"/>
      <c r="EP1651" s="59"/>
      <c r="EQ1651" s="59"/>
      <c r="ER1651" s="59"/>
      <c r="ES1651" s="59"/>
      <c r="ET1651" s="59"/>
      <c r="EU1651" s="59"/>
      <c r="EV1651" s="59"/>
      <c r="EW1651" s="59"/>
      <c r="EX1651" s="59"/>
      <c r="EY1651" s="59"/>
      <c r="EZ1651" s="59"/>
      <c r="FA1651" s="59"/>
      <c r="FB1651" s="59"/>
      <c r="FC1651" s="59"/>
      <c r="FD1651" s="59"/>
      <c r="FE1651" s="59"/>
      <c r="FF1651" s="59"/>
      <c r="FG1651" s="59"/>
      <c r="FH1651" s="59"/>
      <c r="FI1651" s="59"/>
      <c r="FJ1651" s="59"/>
      <c r="FK1651" s="59"/>
      <c r="FL1651" s="59"/>
      <c r="FM1651" s="59"/>
      <c r="FN1651" s="59"/>
      <c r="FO1651" s="59"/>
      <c r="FP1651" s="59"/>
      <c r="FQ1651" s="59"/>
      <c r="FR1651" s="59"/>
      <c r="FS1651" s="59"/>
      <c r="FT1651" s="59"/>
      <c r="FU1651" s="59"/>
      <c r="FV1651" s="59"/>
      <c r="FW1651" s="59"/>
      <c r="FX1651" s="59"/>
      <c r="FY1651" s="59"/>
      <c r="FZ1651" s="59"/>
      <c r="GA1651" s="59"/>
      <c r="GB1651" s="59"/>
      <c r="GC1651" s="59"/>
    </row>
    <row r="1652">
      <c r="A1652" s="59"/>
      <c r="B1652" s="59"/>
      <c r="C1652" s="59"/>
      <c r="D1652" s="59"/>
      <c r="E1652" s="59"/>
      <c r="F1652" s="59"/>
      <c r="G1652" s="59"/>
      <c r="H1652" s="59"/>
      <c r="I1652" s="59"/>
      <c r="J1652" s="59"/>
      <c r="K1652" s="59"/>
      <c r="L1652" s="59"/>
      <c r="M1652" s="59"/>
      <c r="N1652" s="59"/>
      <c r="O1652" s="59"/>
      <c r="P1652" s="59"/>
      <c r="Q1652" s="59"/>
      <c r="R1652" s="59"/>
      <c r="S1652" s="59"/>
      <c r="T1652" s="59"/>
      <c r="U1652" s="59"/>
      <c r="V1652" s="59"/>
      <c r="W1652" s="59"/>
      <c r="X1652" s="59"/>
      <c r="Y1652" s="59"/>
      <c r="Z1652" s="59"/>
      <c r="AA1652" s="59"/>
      <c r="AB1652" s="59"/>
      <c r="AC1652" s="59"/>
      <c r="AD1652" s="59"/>
      <c r="AE1652" s="59"/>
      <c r="AF1652" s="59"/>
      <c r="AG1652" s="59"/>
      <c r="AH1652" s="59"/>
      <c r="AI1652" s="59"/>
      <c r="AJ1652" s="59"/>
      <c r="AK1652" s="59"/>
      <c r="AL1652" s="59"/>
      <c r="AM1652" s="59"/>
      <c r="AN1652" s="59"/>
      <c r="AO1652" s="59"/>
      <c r="AP1652" s="59"/>
      <c r="AQ1652" s="59"/>
      <c r="AR1652" s="59"/>
      <c r="AS1652" s="59"/>
      <c r="AT1652" s="59"/>
      <c r="AU1652" s="59"/>
      <c r="AV1652" s="59"/>
      <c r="AW1652" s="59"/>
      <c r="AX1652" s="59"/>
      <c r="AY1652" s="59"/>
      <c r="AZ1652" s="59"/>
      <c r="BA1652" s="59"/>
      <c r="BB1652" s="59"/>
      <c r="BC1652" s="59"/>
      <c r="BD1652" s="59"/>
      <c r="BE1652" s="59"/>
      <c r="BF1652" s="59"/>
      <c r="BG1652" s="59"/>
      <c r="BH1652" s="59"/>
      <c r="BI1652" s="59"/>
      <c r="BJ1652" s="59"/>
      <c r="BK1652" s="59"/>
      <c r="BL1652" s="59"/>
      <c r="BM1652" s="59"/>
      <c r="BN1652" s="59"/>
      <c r="BO1652" s="59"/>
      <c r="BP1652" s="59"/>
      <c r="BQ1652" s="59"/>
      <c r="BR1652" s="59"/>
      <c r="BS1652" s="59"/>
      <c r="BT1652" s="59"/>
      <c r="BU1652" s="59"/>
      <c r="BV1652" s="59"/>
      <c r="BW1652" s="59"/>
      <c r="BX1652" s="59"/>
      <c r="BY1652" s="59"/>
      <c r="BZ1652" s="59"/>
      <c r="CA1652" s="59"/>
      <c r="CB1652" s="59"/>
      <c r="CC1652" s="59"/>
      <c r="CD1652" s="59"/>
      <c r="CE1652" s="59"/>
      <c r="CF1652" s="59"/>
      <c r="CG1652" s="59"/>
      <c r="CH1652" s="59"/>
      <c r="CI1652" s="59"/>
      <c r="CJ1652" s="59"/>
      <c r="CK1652" s="59"/>
      <c r="CL1652" s="59"/>
      <c r="CM1652" s="59"/>
      <c r="CN1652" s="59"/>
      <c r="CO1652" s="59"/>
      <c r="CP1652" s="59"/>
      <c r="CQ1652" s="59"/>
      <c r="CR1652" s="59"/>
      <c r="CS1652" s="59"/>
      <c r="CT1652" s="59"/>
      <c r="CU1652" s="59"/>
      <c r="CV1652" s="59"/>
      <c r="CW1652" s="59"/>
      <c r="CX1652" s="59"/>
      <c r="CY1652" s="59"/>
      <c r="CZ1652" s="59"/>
      <c r="DA1652" s="59"/>
      <c r="DB1652" s="59"/>
      <c r="DC1652" s="59"/>
      <c r="DD1652" s="59"/>
      <c r="DE1652" s="59"/>
      <c r="DF1652" s="59"/>
      <c r="DG1652" s="59"/>
      <c r="DH1652" s="59"/>
      <c r="DI1652" s="59"/>
      <c r="DJ1652" s="59"/>
      <c r="DK1652" s="59"/>
      <c r="DL1652" s="59"/>
      <c r="DM1652" s="59"/>
      <c r="DN1652" s="59"/>
      <c r="DO1652" s="59"/>
      <c r="DP1652" s="59"/>
      <c r="DQ1652" s="59"/>
      <c r="DR1652" s="59"/>
      <c r="DS1652" s="59"/>
      <c r="DT1652" s="59"/>
      <c r="DU1652" s="59"/>
      <c r="DV1652" s="59"/>
      <c r="DW1652" s="59"/>
      <c r="DX1652" s="59"/>
      <c r="DY1652" s="59"/>
      <c r="DZ1652" s="59"/>
      <c r="EA1652" s="59"/>
      <c r="EB1652" s="59"/>
      <c r="EC1652" s="59"/>
      <c r="ED1652" s="59"/>
      <c r="EE1652" s="59"/>
      <c r="EF1652" s="59"/>
      <c r="EG1652" s="59"/>
      <c r="EH1652" s="59"/>
      <c r="EI1652" s="59"/>
      <c r="EJ1652" s="59"/>
      <c r="EK1652" s="59"/>
      <c r="EL1652" s="59"/>
      <c r="EM1652" s="59"/>
      <c r="EN1652" s="59"/>
      <c r="EO1652" s="59"/>
      <c r="EP1652" s="59"/>
      <c r="EQ1652" s="59"/>
      <c r="ER1652" s="59"/>
      <c r="ES1652" s="59"/>
      <c r="ET1652" s="59"/>
      <c r="EU1652" s="59"/>
      <c r="EV1652" s="59"/>
      <c r="EW1652" s="59"/>
      <c r="EX1652" s="59"/>
      <c r="EY1652" s="59"/>
      <c r="EZ1652" s="59"/>
      <c r="FA1652" s="59"/>
      <c r="FB1652" s="59"/>
      <c r="FC1652" s="59"/>
      <c r="FD1652" s="59"/>
      <c r="FE1652" s="59"/>
      <c r="FF1652" s="59"/>
      <c r="FG1652" s="59"/>
      <c r="FH1652" s="59"/>
      <c r="FI1652" s="59"/>
      <c r="FJ1652" s="59"/>
      <c r="FK1652" s="59"/>
      <c r="FL1652" s="59"/>
      <c r="FM1652" s="59"/>
      <c r="FN1652" s="59"/>
      <c r="FO1652" s="59"/>
      <c r="FP1652" s="59"/>
      <c r="FQ1652" s="59"/>
      <c r="FR1652" s="59"/>
      <c r="FS1652" s="59"/>
      <c r="FT1652" s="59"/>
      <c r="FU1652" s="59"/>
      <c r="FV1652" s="59"/>
      <c r="FW1652" s="59"/>
      <c r="FX1652" s="59"/>
      <c r="FY1652" s="59"/>
      <c r="FZ1652" s="59"/>
      <c r="GA1652" s="59"/>
      <c r="GB1652" s="59"/>
      <c r="GC1652" s="59"/>
    </row>
    <row r="1653">
      <c r="A1653" s="59"/>
      <c r="B1653" s="59"/>
      <c r="C1653" s="59"/>
      <c r="D1653" s="59"/>
      <c r="E1653" s="59"/>
      <c r="F1653" s="59"/>
      <c r="G1653" s="59"/>
      <c r="H1653" s="59"/>
      <c r="I1653" s="59"/>
      <c r="J1653" s="59"/>
      <c r="K1653" s="59"/>
      <c r="L1653" s="59"/>
      <c r="M1653" s="59"/>
      <c r="N1653" s="59"/>
      <c r="O1653" s="59"/>
      <c r="P1653" s="59"/>
      <c r="Q1653" s="59"/>
      <c r="R1653" s="59"/>
      <c r="S1653" s="59"/>
      <c r="T1653" s="59"/>
      <c r="U1653" s="59"/>
      <c r="V1653" s="59"/>
      <c r="W1653" s="59"/>
      <c r="X1653" s="59"/>
      <c r="Y1653" s="59"/>
      <c r="Z1653" s="59"/>
      <c r="AA1653" s="59"/>
      <c r="AB1653" s="59"/>
      <c r="AC1653" s="59"/>
      <c r="AD1653" s="59"/>
      <c r="AE1653" s="59"/>
      <c r="AF1653" s="59"/>
      <c r="AG1653" s="59"/>
      <c r="AH1653" s="59"/>
      <c r="AI1653" s="59"/>
      <c r="AJ1653" s="59"/>
      <c r="AK1653" s="59"/>
      <c r="AL1653" s="59"/>
      <c r="AM1653" s="59"/>
      <c r="AN1653" s="59"/>
      <c r="AO1653" s="59"/>
      <c r="AP1653" s="59"/>
      <c r="AQ1653" s="59"/>
      <c r="AR1653" s="59"/>
      <c r="AS1653" s="59"/>
      <c r="AT1653" s="59"/>
      <c r="AU1653" s="59"/>
      <c r="AV1653" s="59"/>
      <c r="AW1653" s="59"/>
      <c r="AX1653" s="59"/>
      <c r="AY1653" s="59"/>
      <c r="AZ1653" s="59"/>
      <c r="BA1653" s="59"/>
      <c r="BB1653" s="59"/>
      <c r="BC1653" s="59"/>
      <c r="BD1653" s="59"/>
      <c r="BE1653" s="59"/>
      <c r="BF1653" s="59"/>
      <c r="BG1653" s="59"/>
      <c r="BH1653" s="59"/>
      <c r="BI1653" s="59"/>
      <c r="BJ1653" s="59"/>
      <c r="BK1653" s="59"/>
      <c r="BL1653" s="59"/>
      <c r="BM1653" s="59"/>
      <c r="BN1653" s="59"/>
      <c r="BO1653" s="59"/>
      <c r="BP1653" s="59"/>
      <c r="BQ1653" s="59"/>
      <c r="BR1653" s="59"/>
      <c r="BS1653" s="59"/>
      <c r="BT1653" s="59"/>
      <c r="BU1653" s="59"/>
      <c r="BV1653" s="59"/>
      <c r="BW1653" s="59"/>
      <c r="BX1653" s="59"/>
      <c r="BY1653" s="59"/>
      <c r="BZ1653" s="59"/>
      <c r="CA1653" s="59"/>
      <c r="CB1653" s="59"/>
      <c r="CC1653" s="59"/>
      <c r="CD1653" s="59"/>
      <c r="CE1653" s="59"/>
      <c r="CF1653" s="59"/>
      <c r="CG1653" s="59"/>
      <c r="CH1653" s="59"/>
      <c r="CI1653" s="59"/>
      <c r="CJ1653" s="59"/>
      <c r="CK1653" s="59"/>
      <c r="CL1653" s="59"/>
      <c r="CM1653" s="59"/>
      <c r="CN1653" s="59"/>
      <c r="CO1653" s="59"/>
      <c r="CP1653" s="59"/>
      <c r="CQ1653" s="59"/>
      <c r="CR1653" s="59"/>
      <c r="CS1653" s="59"/>
      <c r="CT1653" s="59"/>
      <c r="CU1653" s="59"/>
      <c r="CV1653" s="59"/>
      <c r="CW1653" s="59"/>
      <c r="CX1653" s="59"/>
      <c r="CY1653" s="59"/>
      <c r="CZ1653" s="59"/>
      <c r="DA1653" s="59"/>
      <c r="DB1653" s="59"/>
      <c r="DC1653" s="59"/>
      <c r="DD1653" s="59"/>
      <c r="DE1653" s="59"/>
      <c r="DF1653" s="59"/>
      <c r="DG1653" s="59"/>
      <c r="DH1653" s="59"/>
      <c r="DI1653" s="59"/>
      <c r="DJ1653" s="59"/>
      <c r="DK1653" s="59"/>
      <c r="DL1653" s="59"/>
      <c r="DM1653" s="59"/>
      <c r="DN1653" s="59"/>
      <c r="DO1653" s="59"/>
      <c r="DP1653" s="59"/>
      <c r="DQ1653" s="59"/>
      <c r="DR1653" s="59"/>
      <c r="DS1653" s="59"/>
      <c r="DT1653" s="59"/>
      <c r="DU1653" s="59"/>
      <c r="DV1653" s="59"/>
      <c r="DW1653" s="59"/>
      <c r="DX1653" s="59"/>
      <c r="DY1653" s="59"/>
      <c r="DZ1653" s="59"/>
      <c r="EA1653" s="59"/>
      <c r="EB1653" s="59"/>
      <c r="EC1653" s="59"/>
      <c r="ED1653" s="59"/>
      <c r="EE1653" s="59"/>
      <c r="EF1653" s="59"/>
      <c r="EG1653" s="59"/>
      <c r="EH1653" s="59"/>
      <c r="EI1653" s="59"/>
      <c r="EJ1653" s="59"/>
      <c r="EK1653" s="59"/>
      <c r="EL1653" s="59"/>
      <c r="EM1653" s="59"/>
      <c r="EN1653" s="59"/>
      <c r="EO1653" s="59"/>
      <c r="EP1653" s="59"/>
      <c r="EQ1653" s="59"/>
      <c r="ER1653" s="59"/>
      <c r="ES1653" s="59"/>
      <c r="ET1653" s="59"/>
      <c r="EU1653" s="59"/>
      <c r="EV1653" s="59"/>
      <c r="EW1653" s="59"/>
      <c r="EX1653" s="59"/>
      <c r="EY1653" s="59"/>
      <c r="EZ1653" s="59"/>
      <c r="FA1653" s="59"/>
      <c r="FB1653" s="59"/>
      <c r="FC1653" s="59"/>
      <c r="FD1653" s="59"/>
      <c r="FE1653" s="59"/>
      <c r="FF1653" s="59"/>
      <c r="FG1653" s="59"/>
      <c r="FH1653" s="59"/>
      <c r="FI1653" s="59"/>
      <c r="FJ1653" s="59"/>
      <c r="FK1653" s="59"/>
      <c r="FL1653" s="59"/>
      <c r="FM1653" s="59"/>
      <c r="FN1653" s="59"/>
      <c r="FO1653" s="59"/>
      <c r="FP1653" s="59"/>
      <c r="FQ1653" s="59"/>
      <c r="FR1653" s="59"/>
      <c r="FS1653" s="59"/>
      <c r="FT1653" s="59"/>
      <c r="FU1653" s="59"/>
      <c r="FV1653" s="59"/>
      <c r="FW1653" s="59"/>
      <c r="FX1653" s="59"/>
      <c r="FY1653" s="59"/>
      <c r="FZ1653" s="59"/>
      <c r="GA1653" s="59"/>
      <c r="GB1653" s="59"/>
      <c r="GC1653" s="59"/>
    </row>
    <row r="1654">
      <c r="A1654" s="59"/>
      <c r="B1654" s="59"/>
      <c r="C1654" s="59"/>
      <c r="D1654" s="59"/>
      <c r="E1654" s="59"/>
      <c r="F1654" s="59"/>
      <c r="G1654" s="59"/>
      <c r="H1654" s="59"/>
      <c r="I1654" s="59"/>
      <c r="J1654" s="59"/>
      <c r="K1654" s="59"/>
      <c r="L1654" s="59"/>
      <c r="M1654" s="59"/>
      <c r="N1654" s="59"/>
      <c r="O1654" s="59"/>
      <c r="P1654" s="59"/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59"/>
      <c r="AG1654" s="59"/>
      <c r="AH1654" s="59"/>
      <c r="AI1654" s="59"/>
      <c r="AJ1654" s="59"/>
      <c r="AK1654" s="59"/>
      <c r="AL1654" s="59"/>
      <c r="AM1654" s="59"/>
      <c r="AN1654" s="59"/>
      <c r="AO1654" s="59"/>
      <c r="AP1654" s="59"/>
      <c r="AQ1654" s="59"/>
      <c r="AR1654" s="59"/>
      <c r="AS1654" s="59"/>
      <c r="AT1654" s="59"/>
      <c r="AU1654" s="59"/>
      <c r="AV1654" s="59"/>
      <c r="AW1654" s="59"/>
      <c r="AX1654" s="59"/>
      <c r="AY1654" s="59"/>
      <c r="AZ1654" s="59"/>
      <c r="BA1654" s="59"/>
      <c r="BB1654" s="59"/>
      <c r="BC1654" s="59"/>
      <c r="BD1654" s="59"/>
      <c r="BE1654" s="59"/>
      <c r="BF1654" s="59"/>
      <c r="BG1654" s="59"/>
      <c r="BH1654" s="59"/>
      <c r="BI1654" s="59"/>
      <c r="BJ1654" s="59"/>
      <c r="BK1654" s="59"/>
      <c r="BL1654" s="59"/>
      <c r="BM1654" s="59"/>
      <c r="BN1654" s="59"/>
      <c r="BO1654" s="59"/>
      <c r="BP1654" s="59"/>
      <c r="BQ1654" s="59"/>
      <c r="BR1654" s="59"/>
      <c r="BS1654" s="59"/>
      <c r="BT1654" s="59"/>
      <c r="BU1654" s="59"/>
      <c r="BV1654" s="59"/>
      <c r="BW1654" s="59"/>
      <c r="BX1654" s="59"/>
      <c r="BY1654" s="59"/>
      <c r="BZ1654" s="59"/>
      <c r="CA1654" s="59"/>
      <c r="CB1654" s="59"/>
      <c r="CC1654" s="59"/>
      <c r="CD1654" s="59"/>
      <c r="CE1654" s="59"/>
      <c r="CF1654" s="59"/>
      <c r="CG1654" s="59"/>
      <c r="CH1654" s="59"/>
      <c r="CI1654" s="59"/>
      <c r="CJ1654" s="59"/>
      <c r="CK1654" s="59"/>
      <c r="CL1654" s="59"/>
      <c r="CM1654" s="59"/>
      <c r="CN1654" s="59"/>
      <c r="CO1654" s="59"/>
      <c r="CP1654" s="59"/>
      <c r="CQ1654" s="59"/>
      <c r="CR1654" s="59"/>
      <c r="CS1654" s="59"/>
      <c r="CT1654" s="59"/>
      <c r="CU1654" s="59"/>
      <c r="CV1654" s="59"/>
      <c r="CW1654" s="59"/>
      <c r="CX1654" s="59"/>
      <c r="CY1654" s="59"/>
      <c r="CZ1654" s="59"/>
      <c r="DA1654" s="59"/>
      <c r="DB1654" s="59"/>
      <c r="DC1654" s="59"/>
      <c r="DD1654" s="59"/>
      <c r="DE1654" s="59"/>
      <c r="DF1654" s="59"/>
      <c r="DG1654" s="59"/>
      <c r="DH1654" s="59"/>
      <c r="DI1654" s="59"/>
      <c r="DJ1654" s="59"/>
      <c r="DK1654" s="59"/>
      <c r="DL1654" s="59"/>
      <c r="DM1654" s="59"/>
      <c r="DN1654" s="59"/>
      <c r="DO1654" s="59"/>
      <c r="DP1654" s="59"/>
      <c r="DQ1654" s="59"/>
      <c r="DR1654" s="59"/>
      <c r="DS1654" s="59"/>
      <c r="DT1654" s="59"/>
      <c r="DU1654" s="59"/>
      <c r="DV1654" s="59"/>
      <c r="DW1654" s="59"/>
      <c r="DX1654" s="59"/>
      <c r="DY1654" s="59"/>
      <c r="DZ1654" s="59"/>
      <c r="EA1654" s="59"/>
      <c r="EB1654" s="59"/>
      <c r="EC1654" s="59"/>
      <c r="ED1654" s="59"/>
      <c r="EE1654" s="59"/>
      <c r="EF1654" s="59"/>
      <c r="EG1654" s="59"/>
      <c r="EH1654" s="59"/>
      <c r="EI1654" s="59"/>
      <c r="EJ1654" s="59"/>
      <c r="EK1654" s="59"/>
      <c r="EL1654" s="59"/>
      <c r="EM1654" s="59"/>
      <c r="EN1654" s="59"/>
      <c r="EO1654" s="59"/>
      <c r="EP1654" s="59"/>
      <c r="EQ1654" s="59"/>
      <c r="ER1654" s="59"/>
      <c r="ES1654" s="59"/>
      <c r="ET1654" s="59"/>
      <c r="EU1654" s="59"/>
      <c r="EV1654" s="59"/>
      <c r="EW1654" s="59"/>
      <c r="EX1654" s="59"/>
      <c r="EY1654" s="59"/>
      <c r="EZ1654" s="59"/>
      <c r="FA1654" s="59"/>
      <c r="FB1654" s="59"/>
      <c r="FC1654" s="59"/>
      <c r="FD1654" s="59"/>
      <c r="FE1654" s="59"/>
      <c r="FF1654" s="59"/>
      <c r="FG1654" s="59"/>
      <c r="FH1654" s="59"/>
      <c r="FI1654" s="59"/>
      <c r="FJ1654" s="59"/>
      <c r="FK1654" s="59"/>
      <c r="FL1654" s="59"/>
      <c r="FM1654" s="59"/>
      <c r="FN1654" s="59"/>
      <c r="FO1654" s="59"/>
      <c r="FP1654" s="59"/>
      <c r="FQ1654" s="59"/>
      <c r="FR1654" s="59"/>
      <c r="FS1654" s="59"/>
      <c r="FT1654" s="59"/>
      <c r="FU1654" s="59"/>
      <c r="FV1654" s="59"/>
      <c r="FW1654" s="59"/>
      <c r="FX1654" s="59"/>
      <c r="FY1654" s="59"/>
      <c r="FZ1654" s="59"/>
      <c r="GA1654" s="59"/>
      <c r="GB1654" s="59"/>
      <c r="GC1654" s="59"/>
    </row>
    <row r="1655">
      <c r="A1655" s="59"/>
      <c r="B1655" s="59"/>
      <c r="C1655" s="59"/>
      <c r="D1655" s="59"/>
      <c r="E1655" s="59"/>
      <c r="F1655" s="59"/>
      <c r="G1655" s="59"/>
      <c r="H1655" s="59"/>
      <c r="I1655" s="59"/>
      <c r="J1655" s="59"/>
      <c r="K1655" s="59"/>
      <c r="L1655" s="59"/>
      <c r="M1655" s="59"/>
      <c r="N1655" s="59"/>
      <c r="O1655" s="59"/>
      <c r="P1655" s="59"/>
      <c r="Q1655" s="59"/>
      <c r="R1655" s="59"/>
      <c r="S1655" s="59"/>
      <c r="T1655" s="59"/>
      <c r="U1655" s="59"/>
      <c r="V1655" s="59"/>
      <c r="W1655" s="59"/>
      <c r="X1655" s="59"/>
      <c r="Y1655" s="59"/>
      <c r="Z1655" s="59"/>
      <c r="AA1655" s="59"/>
      <c r="AB1655" s="59"/>
      <c r="AC1655" s="59"/>
      <c r="AD1655" s="59"/>
      <c r="AE1655" s="59"/>
      <c r="AF1655" s="59"/>
      <c r="AG1655" s="59"/>
      <c r="AH1655" s="59"/>
      <c r="AI1655" s="59"/>
      <c r="AJ1655" s="59"/>
      <c r="AK1655" s="59"/>
      <c r="AL1655" s="59"/>
      <c r="AM1655" s="59"/>
      <c r="AN1655" s="59"/>
      <c r="AO1655" s="59"/>
      <c r="AP1655" s="59"/>
      <c r="AQ1655" s="59"/>
      <c r="AR1655" s="59"/>
      <c r="AS1655" s="59"/>
      <c r="AT1655" s="59"/>
      <c r="AU1655" s="59"/>
      <c r="AV1655" s="59"/>
      <c r="AW1655" s="59"/>
      <c r="AX1655" s="59"/>
      <c r="AY1655" s="59"/>
      <c r="AZ1655" s="59"/>
      <c r="BA1655" s="59"/>
      <c r="BB1655" s="59"/>
      <c r="BC1655" s="59"/>
      <c r="BD1655" s="59"/>
      <c r="BE1655" s="59"/>
      <c r="BF1655" s="59"/>
      <c r="BG1655" s="59"/>
      <c r="BH1655" s="59"/>
      <c r="BI1655" s="59"/>
      <c r="BJ1655" s="59"/>
      <c r="BK1655" s="59"/>
      <c r="BL1655" s="59"/>
      <c r="BM1655" s="59"/>
      <c r="BN1655" s="59"/>
      <c r="BO1655" s="59"/>
      <c r="BP1655" s="59"/>
      <c r="BQ1655" s="59"/>
      <c r="BR1655" s="59"/>
      <c r="BS1655" s="59"/>
      <c r="BT1655" s="59"/>
      <c r="BU1655" s="59"/>
      <c r="BV1655" s="59"/>
      <c r="BW1655" s="59"/>
      <c r="BX1655" s="59"/>
      <c r="BY1655" s="59"/>
      <c r="BZ1655" s="59"/>
      <c r="CA1655" s="59"/>
      <c r="CB1655" s="59"/>
      <c r="CC1655" s="59"/>
      <c r="CD1655" s="59"/>
      <c r="CE1655" s="59"/>
      <c r="CF1655" s="59"/>
      <c r="CG1655" s="59"/>
      <c r="CH1655" s="59"/>
      <c r="CI1655" s="59"/>
      <c r="CJ1655" s="59"/>
      <c r="CK1655" s="59"/>
      <c r="CL1655" s="59"/>
      <c r="CM1655" s="59"/>
      <c r="CN1655" s="59"/>
      <c r="CO1655" s="59"/>
      <c r="CP1655" s="59"/>
      <c r="CQ1655" s="59"/>
      <c r="CR1655" s="59"/>
      <c r="CS1655" s="59"/>
      <c r="CT1655" s="59"/>
      <c r="CU1655" s="59"/>
      <c r="CV1655" s="59"/>
      <c r="CW1655" s="59"/>
      <c r="CX1655" s="59"/>
      <c r="CY1655" s="59"/>
      <c r="CZ1655" s="59"/>
      <c r="DA1655" s="59"/>
      <c r="DB1655" s="59"/>
      <c r="DC1655" s="59"/>
      <c r="DD1655" s="59"/>
      <c r="DE1655" s="59"/>
      <c r="DF1655" s="59"/>
      <c r="DG1655" s="59"/>
      <c r="DH1655" s="59"/>
      <c r="DI1655" s="59"/>
      <c r="DJ1655" s="59"/>
      <c r="DK1655" s="59"/>
      <c r="DL1655" s="59"/>
      <c r="DM1655" s="59"/>
      <c r="DN1655" s="59"/>
      <c r="DO1655" s="59"/>
      <c r="DP1655" s="59"/>
      <c r="DQ1655" s="59"/>
      <c r="DR1655" s="59"/>
      <c r="DS1655" s="59"/>
      <c r="DT1655" s="59"/>
      <c r="DU1655" s="59"/>
      <c r="DV1655" s="59"/>
      <c r="DW1655" s="59"/>
      <c r="DX1655" s="59"/>
      <c r="DY1655" s="59"/>
      <c r="DZ1655" s="59"/>
      <c r="EA1655" s="59"/>
      <c r="EB1655" s="59"/>
      <c r="EC1655" s="59"/>
      <c r="ED1655" s="59"/>
      <c r="EE1655" s="59"/>
      <c r="EF1655" s="59"/>
      <c r="EG1655" s="59"/>
      <c r="EH1655" s="59"/>
      <c r="EI1655" s="59"/>
      <c r="EJ1655" s="59"/>
      <c r="EK1655" s="59"/>
      <c r="EL1655" s="59"/>
      <c r="EM1655" s="59"/>
      <c r="EN1655" s="59"/>
      <c r="EO1655" s="59"/>
      <c r="EP1655" s="59"/>
      <c r="EQ1655" s="59"/>
      <c r="ER1655" s="59"/>
      <c r="ES1655" s="59"/>
      <c r="ET1655" s="59"/>
      <c r="EU1655" s="59"/>
      <c r="EV1655" s="59"/>
      <c r="EW1655" s="59"/>
      <c r="EX1655" s="59"/>
      <c r="EY1655" s="59"/>
      <c r="EZ1655" s="59"/>
      <c r="FA1655" s="59"/>
      <c r="FB1655" s="59"/>
      <c r="FC1655" s="59"/>
      <c r="FD1655" s="59"/>
      <c r="FE1655" s="59"/>
      <c r="FF1655" s="59"/>
      <c r="FG1655" s="59"/>
      <c r="FH1655" s="59"/>
      <c r="FI1655" s="59"/>
      <c r="FJ1655" s="59"/>
      <c r="FK1655" s="59"/>
      <c r="FL1655" s="59"/>
      <c r="FM1655" s="59"/>
      <c r="FN1655" s="59"/>
      <c r="FO1655" s="59"/>
      <c r="FP1655" s="59"/>
      <c r="FQ1655" s="59"/>
      <c r="FR1655" s="59"/>
      <c r="FS1655" s="59"/>
      <c r="FT1655" s="59"/>
      <c r="FU1655" s="59"/>
      <c r="FV1655" s="59"/>
      <c r="FW1655" s="59"/>
      <c r="FX1655" s="59"/>
      <c r="FY1655" s="59"/>
      <c r="FZ1655" s="59"/>
      <c r="GA1655" s="59"/>
      <c r="GB1655" s="59"/>
      <c r="GC1655" s="59"/>
    </row>
    <row r="1656">
      <c r="A1656" s="59"/>
      <c r="B1656" s="59"/>
      <c r="C1656" s="59"/>
      <c r="D1656" s="59"/>
      <c r="E1656" s="59"/>
      <c r="F1656" s="59"/>
      <c r="G1656" s="59"/>
      <c r="H1656" s="59"/>
      <c r="I1656" s="59"/>
      <c r="J1656" s="59"/>
      <c r="K1656" s="59"/>
      <c r="L1656" s="59"/>
      <c r="M1656" s="59"/>
      <c r="N1656" s="59"/>
      <c r="O1656" s="59"/>
      <c r="P1656" s="59"/>
      <c r="Q1656" s="59"/>
      <c r="R1656" s="59"/>
      <c r="S1656" s="59"/>
      <c r="T1656" s="59"/>
      <c r="U1656" s="59"/>
      <c r="V1656" s="59"/>
      <c r="W1656" s="59"/>
      <c r="X1656" s="59"/>
      <c r="Y1656" s="59"/>
      <c r="Z1656" s="59"/>
      <c r="AA1656" s="59"/>
      <c r="AB1656" s="59"/>
      <c r="AC1656" s="59"/>
      <c r="AD1656" s="59"/>
      <c r="AE1656" s="59"/>
      <c r="AF1656" s="59"/>
      <c r="AG1656" s="59"/>
      <c r="AH1656" s="59"/>
      <c r="AI1656" s="59"/>
      <c r="AJ1656" s="59"/>
      <c r="AK1656" s="59"/>
      <c r="AL1656" s="59"/>
      <c r="AM1656" s="59"/>
      <c r="AN1656" s="59"/>
      <c r="AO1656" s="59"/>
      <c r="AP1656" s="59"/>
      <c r="AQ1656" s="59"/>
      <c r="AR1656" s="59"/>
      <c r="AS1656" s="59"/>
      <c r="AT1656" s="59"/>
      <c r="AU1656" s="59"/>
      <c r="AV1656" s="59"/>
      <c r="AW1656" s="59"/>
      <c r="AX1656" s="59"/>
      <c r="AY1656" s="59"/>
      <c r="AZ1656" s="59"/>
      <c r="BA1656" s="59"/>
      <c r="BB1656" s="59"/>
      <c r="BC1656" s="59"/>
      <c r="BD1656" s="59"/>
      <c r="BE1656" s="59"/>
      <c r="BF1656" s="59"/>
      <c r="BG1656" s="59"/>
      <c r="BH1656" s="59"/>
      <c r="BI1656" s="59"/>
      <c r="BJ1656" s="59"/>
      <c r="BK1656" s="59"/>
      <c r="BL1656" s="59"/>
      <c r="BM1656" s="59"/>
      <c r="BN1656" s="59"/>
      <c r="BO1656" s="59"/>
      <c r="BP1656" s="59"/>
      <c r="BQ1656" s="59"/>
      <c r="BR1656" s="59"/>
      <c r="BS1656" s="59"/>
      <c r="BT1656" s="59"/>
      <c r="BU1656" s="59"/>
      <c r="BV1656" s="59"/>
      <c r="BW1656" s="59"/>
      <c r="BX1656" s="59"/>
      <c r="BY1656" s="59"/>
      <c r="BZ1656" s="59"/>
      <c r="CA1656" s="59"/>
      <c r="CB1656" s="59"/>
      <c r="CC1656" s="59"/>
      <c r="CD1656" s="59"/>
      <c r="CE1656" s="59"/>
      <c r="CF1656" s="59"/>
      <c r="CG1656" s="59"/>
      <c r="CH1656" s="59"/>
      <c r="CI1656" s="59"/>
      <c r="CJ1656" s="59"/>
      <c r="CK1656" s="59"/>
      <c r="CL1656" s="59"/>
      <c r="CM1656" s="59"/>
      <c r="CN1656" s="59"/>
      <c r="CO1656" s="59"/>
      <c r="CP1656" s="59"/>
      <c r="CQ1656" s="59"/>
      <c r="CR1656" s="59"/>
      <c r="CS1656" s="59"/>
      <c r="CT1656" s="59"/>
      <c r="CU1656" s="59"/>
      <c r="CV1656" s="59"/>
      <c r="CW1656" s="59"/>
      <c r="CX1656" s="59"/>
      <c r="CY1656" s="59"/>
      <c r="CZ1656" s="59"/>
      <c r="DA1656" s="59"/>
      <c r="DB1656" s="59"/>
      <c r="DC1656" s="59"/>
      <c r="DD1656" s="59"/>
      <c r="DE1656" s="59"/>
      <c r="DF1656" s="59"/>
      <c r="DG1656" s="59"/>
      <c r="DH1656" s="59"/>
      <c r="DI1656" s="59"/>
      <c r="DJ1656" s="59"/>
      <c r="DK1656" s="59"/>
      <c r="DL1656" s="59"/>
      <c r="DM1656" s="59"/>
      <c r="DN1656" s="59"/>
      <c r="DO1656" s="59"/>
      <c r="DP1656" s="59"/>
      <c r="DQ1656" s="59"/>
      <c r="DR1656" s="59"/>
      <c r="DS1656" s="59"/>
      <c r="DT1656" s="59"/>
      <c r="DU1656" s="59"/>
      <c r="DV1656" s="59"/>
      <c r="DW1656" s="59"/>
      <c r="DX1656" s="59"/>
      <c r="DY1656" s="59"/>
      <c r="DZ1656" s="59"/>
      <c r="EA1656" s="59"/>
      <c r="EB1656" s="59"/>
      <c r="EC1656" s="59"/>
      <c r="ED1656" s="59"/>
      <c r="EE1656" s="59"/>
      <c r="EF1656" s="59"/>
      <c r="EG1656" s="59"/>
      <c r="EH1656" s="59"/>
      <c r="EI1656" s="59"/>
      <c r="EJ1656" s="59"/>
      <c r="EK1656" s="59"/>
      <c r="EL1656" s="59"/>
      <c r="EM1656" s="59"/>
      <c r="EN1656" s="59"/>
      <c r="EO1656" s="59"/>
      <c r="EP1656" s="59"/>
      <c r="EQ1656" s="59"/>
      <c r="ER1656" s="59"/>
      <c r="ES1656" s="59"/>
      <c r="ET1656" s="59"/>
      <c r="EU1656" s="59"/>
      <c r="EV1656" s="59"/>
      <c r="EW1656" s="59"/>
      <c r="EX1656" s="59"/>
      <c r="EY1656" s="59"/>
      <c r="EZ1656" s="59"/>
      <c r="FA1656" s="59"/>
      <c r="FB1656" s="59"/>
      <c r="FC1656" s="59"/>
      <c r="FD1656" s="59"/>
      <c r="FE1656" s="59"/>
      <c r="FF1656" s="59"/>
      <c r="FG1656" s="59"/>
      <c r="FH1656" s="59"/>
      <c r="FI1656" s="59"/>
      <c r="FJ1656" s="59"/>
      <c r="FK1656" s="59"/>
      <c r="FL1656" s="59"/>
      <c r="FM1656" s="59"/>
      <c r="FN1656" s="59"/>
      <c r="FO1656" s="59"/>
      <c r="FP1656" s="59"/>
      <c r="FQ1656" s="59"/>
      <c r="FR1656" s="59"/>
      <c r="FS1656" s="59"/>
      <c r="FT1656" s="59"/>
      <c r="FU1656" s="59"/>
      <c r="FV1656" s="59"/>
      <c r="FW1656" s="59"/>
      <c r="FX1656" s="59"/>
      <c r="FY1656" s="59"/>
      <c r="FZ1656" s="59"/>
      <c r="GA1656" s="59"/>
      <c r="GB1656" s="59"/>
      <c r="GC1656" s="59"/>
    </row>
    <row r="1657">
      <c r="A1657" s="59"/>
      <c r="B1657" s="59"/>
      <c r="C1657" s="59"/>
      <c r="D1657" s="59"/>
      <c r="E1657" s="59"/>
      <c r="F1657" s="59"/>
      <c r="G1657" s="59"/>
      <c r="H1657" s="59"/>
      <c r="I1657" s="59"/>
      <c r="J1657" s="59"/>
      <c r="K1657" s="59"/>
      <c r="L1657" s="59"/>
      <c r="M1657" s="59"/>
      <c r="N1657" s="59"/>
      <c r="O1657" s="59"/>
      <c r="P1657" s="59"/>
      <c r="Q1657" s="59"/>
      <c r="R1657" s="59"/>
      <c r="S1657" s="59"/>
      <c r="T1657" s="59"/>
      <c r="U1657" s="59"/>
      <c r="V1657" s="59"/>
      <c r="W1657" s="59"/>
      <c r="X1657" s="59"/>
      <c r="Y1657" s="59"/>
      <c r="Z1657" s="59"/>
      <c r="AA1657" s="59"/>
      <c r="AB1657" s="59"/>
      <c r="AC1657" s="59"/>
      <c r="AD1657" s="59"/>
      <c r="AE1657" s="59"/>
      <c r="AF1657" s="59"/>
      <c r="AG1657" s="59"/>
      <c r="AH1657" s="59"/>
      <c r="AI1657" s="59"/>
      <c r="AJ1657" s="59"/>
      <c r="AK1657" s="59"/>
      <c r="AL1657" s="59"/>
      <c r="AM1657" s="59"/>
      <c r="AN1657" s="59"/>
      <c r="AO1657" s="59"/>
      <c r="AP1657" s="59"/>
      <c r="AQ1657" s="59"/>
      <c r="AR1657" s="59"/>
      <c r="AS1657" s="59"/>
      <c r="AT1657" s="59"/>
      <c r="AU1657" s="59"/>
      <c r="AV1657" s="59"/>
      <c r="AW1657" s="59"/>
      <c r="AX1657" s="59"/>
      <c r="AY1657" s="59"/>
      <c r="AZ1657" s="59"/>
      <c r="BA1657" s="59"/>
      <c r="BB1657" s="59"/>
      <c r="BC1657" s="59"/>
      <c r="BD1657" s="59"/>
      <c r="BE1657" s="59"/>
      <c r="BF1657" s="59"/>
      <c r="BG1657" s="59"/>
      <c r="BH1657" s="59"/>
      <c r="BI1657" s="59"/>
      <c r="BJ1657" s="59"/>
      <c r="BK1657" s="59"/>
      <c r="BL1657" s="59"/>
      <c r="BM1657" s="59"/>
      <c r="BN1657" s="59"/>
      <c r="BO1657" s="59"/>
      <c r="BP1657" s="59"/>
      <c r="BQ1657" s="59"/>
      <c r="BR1657" s="59"/>
      <c r="BS1657" s="59"/>
      <c r="BT1657" s="59"/>
      <c r="BU1657" s="59"/>
      <c r="BV1657" s="59"/>
      <c r="BW1657" s="59"/>
      <c r="BX1657" s="59"/>
      <c r="BY1657" s="59"/>
      <c r="BZ1657" s="59"/>
      <c r="CA1657" s="59"/>
      <c r="CB1657" s="59"/>
      <c r="CC1657" s="59"/>
      <c r="CD1657" s="59"/>
      <c r="CE1657" s="59"/>
      <c r="CF1657" s="59"/>
      <c r="CG1657" s="59"/>
      <c r="CH1657" s="59"/>
      <c r="CI1657" s="59"/>
      <c r="CJ1657" s="59"/>
      <c r="CK1657" s="59"/>
      <c r="CL1657" s="59"/>
      <c r="CM1657" s="59"/>
      <c r="CN1657" s="59"/>
      <c r="CO1657" s="59"/>
      <c r="CP1657" s="59"/>
      <c r="CQ1657" s="59"/>
      <c r="CR1657" s="59"/>
      <c r="CS1657" s="59"/>
      <c r="CT1657" s="59"/>
      <c r="CU1657" s="59"/>
      <c r="CV1657" s="59"/>
      <c r="CW1657" s="59"/>
      <c r="CX1657" s="59"/>
      <c r="CY1657" s="59"/>
      <c r="CZ1657" s="59"/>
      <c r="DA1657" s="59"/>
      <c r="DB1657" s="59"/>
      <c r="DC1657" s="59"/>
      <c r="DD1657" s="59"/>
      <c r="DE1657" s="59"/>
      <c r="DF1657" s="59"/>
      <c r="DG1657" s="59"/>
      <c r="DH1657" s="59"/>
      <c r="DI1657" s="59"/>
      <c r="DJ1657" s="59"/>
      <c r="DK1657" s="59"/>
      <c r="DL1657" s="59"/>
      <c r="DM1657" s="59"/>
      <c r="DN1657" s="59"/>
      <c r="DO1657" s="59"/>
      <c r="DP1657" s="59"/>
      <c r="DQ1657" s="59"/>
      <c r="DR1657" s="59"/>
      <c r="DS1657" s="59"/>
      <c r="DT1657" s="59"/>
      <c r="DU1657" s="59"/>
      <c r="DV1657" s="59"/>
      <c r="DW1657" s="59"/>
      <c r="DX1657" s="59"/>
      <c r="DY1657" s="59"/>
      <c r="DZ1657" s="59"/>
      <c r="EA1657" s="59"/>
      <c r="EB1657" s="59"/>
      <c r="EC1657" s="59"/>
      <c r="ED1657" s="59"/>
      <c r="EE1657" s="59"/>
      <c r="EF1657" s="59"/>
      <c r="EG1657" s="59"/>
      <c r="EH1657" s="59"/>
      <c r="EI1657" s="59"/>
      <c r="EJ1657" s="59"/>
      <c r="EK1657" s="59"/>
      <c r="EL1657" s="59"/>
      <c r="EM1657" s="59"/>
      <c r="EN1657" s="59"/>
      <c r="EO1657" s="59"/>
      <c r="EP1657" s="59"/>
      <c r="EQ1657" s="59"/>
      <c r="ER1657" s="59"/>
      <c r="ES1657" s="59"/>
      <c r="ET1657" s="59"/>
      <c r="EU1657" s="59"/>
      <c r="EV1657" s="59"/>
      <c r="EW1657" s="59"/>
      <c r="EX1657" s="59"/>
      <c r="EY1657" s="59"/>
      <c r="EZ1657" s="59"/>
      <c r="FA1657" s="59"/>
      <c r="FB1657" s="59"/>
      <c r="FC1657" s="59"/>
      <c r="FD1657" s="59"/>
      <c r="FE1657" s="59"/>
      <c r="FF1657" s="59"/>
      <c r="FG1657" s="59"/>
      <c r="FH1657" s="59"/>
      <c r="FI1657" s="59"/>
      <c r="FJ1657" s="59"/>
      <c r="FK1657" s="59"/>
      <c r="FL1657" s="59"/>
      <c r="FM1657" s="59"/>
      <c r="FN1657" s="59"/>
      <c r="FO1657" s="59"/>
      <c r="FP1657" s="59"/>
      <c r="FQ1657" s="59"/>
      <c r="FR1657" s="59"/>
      <c r="FS1657" s="59"/>
      <c r="FT1657" s="59"/>
      <c r="FU1657" s="59"/>
      <c r="FV1657" s="59"/>
      <c r="FW1657" s="59"/>
      <c r="FX1657" s="59"/>
      <c r="FY1657" s="59"/>
      <c r="FZ1657" s="59"/>
      <c r="GA1657" s="59"/>
      <c r="GB1657" s="59"/>
      <c r="GC1657" s="59"/>
    </row>
    <row r="1658">
      <c r="A1658" s="59"/>
      <c r="B1658" s="59"/>
      <c r="C1658" s="59"/>
      <c r="D1658" s="59"/>
      <c r="E1658" s="59"/>
      <c r="F1658" s="59"/>
      <c r="G1658" s="59"/>
      <c r="H1658" s="59"/>
      <c r="I1658" s="59"/>
      <c r="J1658" s="59"/>
      <c r="K1658" s="59"/>
      <c r="L1658" s="59"/>
      <c r="M1658" s="59"/>
      <c r="N1658" s="59"/>
      <c r="O1658" s="59"/>
      <c r="P1658" s="59"/>
      <c r="Q1658" s="59"/>
      <c r="R1658" s="59"/>
      <c r="S1658" s="59"/>
      <c r="T1658" s="59"/>
      <c r="U1658" s="59"/>
      <c r="V1658" s="59"/>
      <c r="W1658" s="59"/>
      <c r="X1658" s="59"/>
      <c r="Y1658" s="59"/>
      <c r="Z1658" s="59"/>
      <c r="AA1658" s="59"/>
      <c r="AB1658" s="59"/>
      <c r="AC1658" s="59"/>
      <c r="AD1658" s="59"/>
      <c r="AE1658" s="59"/>
      <c r="AF1658" s="59"/>
      <c r="AG1658" s="59"/>
      <c r="AH1658" s="59"/>
      <c r="AI1658" s="59"/>
      <c r="AJ1658" s="59"/>
      <c r="AK1658" s="59"/>
      <c r="AL1658" s="59"/>
      <c r="AM1658" s="59"/>
      <c r="AN1658" s="59"/>
      <c r="AO1658" s="59"/>
      <c r="AP1658" s="59"/>
      <c r="AQ1658" s="59"/>
      <c r="AR1658" s="59"/>
      <c r="AS1658" s="59"/>
      <c r="AT1658" s="59"/>
      <c r="AU1658" s="59"/>
      <c r="AV1658" s="59"/>
      <c r="AW1658" s="59"/>
      <c r="AX1658" s="59"/>
      <c r="AY1658" s="59"/>
      <c r="AZ1658" s="59"/>
      <c r="BA1658" s="59"/>
      <c r="BB1658" s="59"/>
      <c r="BC1658" s="59"/>
      <c r="BD1658" s="59"/>
      <c r="BE1658" s="59"/>
      <c r="BF1658" s="59"/>
      <c r="BG1658" s="59"/>
      <c r="BH1658" s="59"/>
      <c r="BI1658" s="59"/>
      <c r="BJ1658" s="59"/>
      <c r="BK1658" s="59"/>
      <c r="BL1658" s="59"/>
      <c r="BM1658" s="59"/>
      <c r="BN1658" s="59"/>
      <c r="BO1658" s="59"/>
      <c r="BP1658" s="59"/>
      <c r="BQ1658" s="59"/>
      <c r="BR1658" s="59"/>
      <c r="BS1658" s="59"/>
      <c r="BT1658" s="59"/>
      <c r="BU1658" s="59"/>
      <c r="BV1658" s="59"/>
      <c r="BW1658" s="59"/>
      <c r="BX1658" s="59"/>
      <c r="BY1658" s="59"/>
      <c r="BZ1658" s="59"/>
      <c r="CA1658" s="59"/>
      <c r="CB1658" s="59"/>
      <c r="CC1658" s="59"/>
      <c r="CD1658" s="59"/>
      <c r="CE1658" s="59"/>
      <c r="CF1658" s="59"/>
      <c r="CG1658" s="59"/>
      <c r="CH1658" s="59"/>
      <c r="CI1658" s="59"/>
      <c r="CJ1658" s="59"/>
      <c r="CK1658" s="59"/>
      <c r="CL1658" s="59"/>
      <c r="CM1658" s="59"/>
      <c r="CN1658" s="59"/>
      <c r="CO1658" s="59"/>
      <c r="CP1658" s="59"/>
      <c r="CQ1658" s="59"/>
      <c r="CR1658" s="59"/>
      <c r="CS1658" s="59"/>
      <c r="CT1658" s="59"/>
      <c r="CU1658" s="59"/>
      <c r="CV1658" s="59"/>
      <c r="CW1658" s="59"/>
      <c r="CX1658" s="59"/>
      <c r="CY1658" s="59"/>
      <c r="CZ1658" s="59"/>
      <c r="DA1658" s="59"/>
      <c r="DB1658" s="59"/>
      <c r="DC1658" s="59"/>
      <c r="DD1658" s="59"/>
      <c r="DE1658" s="59"/>
      <c r="DF1658" s="59"/>
      <c r="DG1658" s="59"/>
      <c r="DH1658" s="59"/>
      <c r="DI1658" s="59"/>
      <c r="DJ1658" s="59"/>
      <c r="DK1658" s="59"/>
      <c r="DL1658" s="59"/>
      <c r="DM1658" s="59"/>
      <c r="DN1658" s="59"/>
      <c r="DO1658" s="59"/>
      <c r="DP1658" s="59"/>
      <c r="DQ1658" s="59"/>
      <c r="DR1658" s="59"/>
      <c r="DS1658" s="59"/>
      <c r="DT1658" s="59"/>
      <c r="DU1658" s="59"/>
      <c r="DV1658" s="59"/>
      <c r="DW1658" s="59"/>
      <c r="DX1658" s="59"/>
      <c r="DY1658" s="59"/>
      <c r="DZ1658" s="59"/>
      <c r="EA1658" s="59"/>
      <c r="EB1658" s="59"/>
      <c r="EC1658" s="59"/>
      <c r="ED1658" s="59"/>
      <c r="EE1658" s="59"/>
      <c r="EF1658" s="59"/>
      <c r="EG1658" s="59"/>
      <c r="EH1658" s="59"/>
      <c r="EI1658" s="59"/>
      <c r="EJ1658" s="59"/>
      <c r="EK1658" s="59"/>
      <c r="EL1658" s="59"/>
      <c r="EM1658" s="59"/>
      <c r="EN1658" s="59"/>
      <c r="EO1658" s="59"/>
      <c r="EP1658" s="59"/>
      <c r="EQ1658" s="59"/>
      <c r="ER1658" s="59"/>
      <c r="ES1658" s="59"/>
      <c r="ET1658" s="59"/>
      <c r="EU1658" s="59"/>
      <c r="EV1658" s="59"/>
      <c r="EW1658" s="59"/>
      <c r="EX1658" s="59"/>
      <c r="EY1658" s="59"/>
      <c r="EZ1658" s="59"/>
      <c r="FA1658" s="59"/>
      <c r="FB1658" s="59"/>
      <c r="FC1658" s="59"/>
      <c r="FD1658" s="59"/>
      <c r="FE1658" s="59"/>
      <c r="FF1658" s="59"/>
      <c r="FG1658" s="59"/>
      <c r="FH1658" s="59"/>
      <c r="FI1658" s="59"/>
      <c r="FJ1658" s="59"/>
      <c r="FK1658" s="59"/>
      <c r="FL1658" s="59"/>
      <c r="FM1658" s="59"/>
      <c r="FN1658" s="59"/>
      <c r="FO1658" s="59"/>
      <c r="FP1658" s="59"/>
      <c r="FQ1658" s="59"/>
      <c r="FR1658" s="59"/>
      <c r="FS1658" s="59"/>
      <c r="FT1658" s="59"/>
      <c r="FU1658" s="59"/>
      <c r="FV1658" s="59"/>
      <c r="FW1658" s="59"/>
      <c r="FX1658" s="59"/>
      <c r="FY1658" s="59"/>
      <c r="FZ1658" s="59"/>
      <c r="GA1658" s="59"/>
      <c r="GB1658" s="59"/>
      <c r="GC1658" s="59"/>
    </row>
    <row r="1659">
      <c r="A1659" s="59"/>
      <c r="B1659" s="59"/>
      <c r="C1659" s="59"/>
      <c r="D1659" s="59"/>
      <c r="E1659" s="59"/>
      <c r="F1659" s="59"/>
      <c r="G1659" s="59"/>
      <c r="H1659" s="59"/>
      <c r="I1659" s="59"/>
      <c r="J1659" s="59"/>
      <c r="K1659" s="59"/>
      <c r="L1659" s="59"/>
      <c r="M1659" s="59"/>
      <c r="N1659" s="59"/>
      <c r="O1659" s="59"/>
      <c r="P1659" s="59"/>
      <c r="Q1659" s="59"/>
      <c r="R1659" s="59"/>
      <c r="S1659" s="59"/>
      <c r="T1659" s="59"/>
      <c r="U1659" s="59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59"/>
      <c r="AG1659" s="59"/>
      <c r="AH1659" s="59"/>
      <c r="AI1659" s="59"/>
      <c r="AJ1659" s="59"/>
      <c r="AK1659" s="59"/>
      <c r="AL1659" s="59"/>
      <c r="AM1659" s="59"/>
      <c r="AN1659" s="59"/>
      <c r="AO1659" s="59"/>
      <c r="AP1659" s="59"/>
      <c r="AQ1659" s="59"/>
      <c r="AR1659" s="59"/>
      <c r="AS1659" s="59"/>
      <c r="AT1659" s="59"/>
      <c r="AU1659" s="59"/>
      <c r="AV1659" s="59"/>
      <c r="AW1659" s="59"/>
      <c r="AX1659" s="59"/>
      <c r="AY1659" s="59"/>
      <c r="AZ1659" s="59"/>
      <c r="BA1659" s="59"/>
      <c r="BB1659" s="59"/>
      <c r="BC1659" s="59"/>
      <c r="BD1659" s="59"/>
      <c r="BE1659" s="59"/>
      <c r="BF1659" s="59"/>
      <c r="BG1659" s="59"/>
      <c r="BH1659" s="59"/>
      <c r="BI1659" s="59"/>
      <c r="BJ1659" s="59"/>
      <c r="BK1659" s="59"/>
      <c r="BL1659" s="59"/>
      <c r="BM1659" s="59"/>
      <c r="BN1659" s="59"/>
      <c r="BO1659" s="59"/>
      <c r="BP1659" s="59"/>
      <c r="BQ1659" s="59"/>
      <c r="BR1659" s="59"/>
      <c r="BS1659" s="59"/>
      <c r="BT1659" s="59"/>
      <c r="BU1659" s="59"/>
      <c r="BV1659" s="59"/>
      <c r="BW1659" s="59"/>
      <c r="BX1659" s="59"/>
      <c r="BY1659" s="59"/>
      <c r="BZ1659" s="59"/>
      <c r="CA1659" s="59"/>
      <c r="CB1659" s="59"/>
      <c r="CC1659" s="59"/>
      <c r="CD1659" s="59"/>
      <c r="CE1659" s="59"/>
      <c r="CF1659" s="59"/>
      <c r="CG1659" s="59"/>
      <c r="CH1659" s="59"/>
      <c r="CI1659" s="59"/>
      <c r="CJ1659" s="59"/>
      <c r="CK1659" s="59"/>
      <c r="CL1659" s="59"/>
      <c r="CM1659" s="59"/>
      <c r="CN1659" s="59"/>
      <c r="CO1659" s="59"/>
      <c r="CP1659" s="59"/>
      <c r="CQ1659" s="59"/>
      <c r="CR1659" s="59"/>
      <c r="CS1659" s="59"/>
      <c r="CT1659" s="59"/>
      <c r="CU1659" s="59"/>
      <c r="CV1659" s="59"/>
      <c r="CW1659" s="59"/>
      <c r="CX1659" s="59"/>
      <c r="CY1659" s="59"/>
      <c r="CZ1659" s="59"/>
      <c r="DA1659" s="59"/>
      <c r="DB1659" s="59"/>
      <c r="DC1659" s="59"/>
      <c r="DD1659" s="59"/>
      <c r="DE1659" s="59"/>
      <c r="DF1659" s="59"/>
      <c r="DG1659" s="59"/>
      <c r="DH1659" s="59"/>
      <c r="DI1659" s="59"/>
      <c r="DJ1659" s="59"/>
      <c r="DK1659" s="59"/>
      <c r="DL1659" s="59"/>
      <c r="DM1659" s="59"/>
      <c r="DN1659" s="59"/>
      <c r="DO1659" s="59"/>
      <c r="DP1659" s="59"/>
      <c r="DQ1659" s="59"/>
      <c r="DR1659" s="59"/>
      <c r="DS1659" s="59"/>
      <c r="DT1659" s="59"/>
      <c r="DU1659" s="59"/>
      <c r="DV1659" s="59"/>
      <c r="DW1659" s="59"/>
      <c r="DX1659" s="59"/>
      <c r="DY1659" s="59"/>
      <c r="DZ1659" s="59"/>
      <c r="EA1659" s="59"/>
      <c r="EB1659" s="59"/>
      <c r="EC1659" s="59"/>
      <c r="ED1659" s="59"/>
      <c r="EE1659" s="59"/>
      <c r="EF1659" s="59"/>
      <c r="EG1659" s="59"/>
      <c r="EH1659" s="59"/>
      <c r="EI1659" s="59"/>
      <c r="EJ1659" s="59"/>
      <c r="EK1659" s="59"/>
      <c r="EL1659" s="59"/>
      <c r="EM1659" s="59"/>
      <c r="EN1659" s="59"/>
      <c r="EO1659" s="59"/>
      <c r="EP1659" s="59"/>
      <c r="EQ1659" s="59"/>
      <c r="ER1659" s="59"/>
      <c r="ES1659" s="59"/>
      <c r="ET1659" s="59"/>
      <c r="EU1659" s="59"/>
      <c r="EV1659" s="59"/>
      <c r="EW1659" s="59"/>
      <c r="EX1659" s="59"/>
      <c r="EY1659" s="59"/>
      <c r="EZ1659" s="59"/>
      <c r="FA1659" s="59"/>
      <c r="FB1659" s="59"/>
      <c r="FC1659" s="59"/>
      <c r="FD1659" s="59"/>
      <c r="FE1659" s="59"/>
      <c r="FF1659" s="59"/>
      <c r="FG1659" s="59"/>
      <c r="FH1659" s="59"/>
      <c r="FI1659" s="59"/>
      <c r="FJ1659" s="59"/>
      <c r="FK1659" s="59"/>
      <c r="FL1659" s="59"/>
      <c r="FM1659" s="59"/>
      <c r="FN1659" s="59"/>
      <c r="FO1659" s="59"/>
      <c r="FP1659" s="59"/>
      <c r="FQ1659" s="59"/>
      <c r="FR1659" s="59"/>
      <c r="FS1659" s="59"/>
      <c r="FT1659" s="59"/>
      <c r="FU1659" s="59"/>
      <c r="FV1659" s="59"/>
      <c r="FW1659" s="59"/>
      <c r="FX1659" s="59"/>
      <c r="FY1659" s="59"/>
      <c r="FZ1659" s="59"/>
      <c r="GA1659" s="59"/>
      <c r="GB1659" s="59"/>
      <c r="GC1659" s="59"/>
    </row>
    <row r="1660">
      <c r="A1660" s="59"/>
      <c r="B1660" s="59"/>
      <c r="C1660" s="59"/>
      <c r="D1660" s="59"/>
      <c r="E1660" s="59"/>
      <c r="F1660" s="59"/>
      <c r="G1660" s="59"/>
      <c r="H1660" s="59"/>
      <c r="I1660" s="59"/>
      <c r="J1660" s="59"/>
      <c r="K1660" s="59"/>
      <c r="L1660" s="59"/>
      <c r="M1660" s="59"/>
      <c r="N1660" s="59"/>
      <c r="O1660" s="59"/>
      <c r="P1660" s="59"/>
      <c r="Q1660" s="59"/>
      <c r="R1660" s="59"/>
      <c r="S1660" s="59"/>
      <c r="T1660" s="59"/>
      <c r="U1660" s="59"/>
      <c r="V1660" s="59"/>
      <c r="W1660" s="59"/>
      <c r="X1660" s="59"/>
      <c r="Y1660" s="59"/>
      <c r="Z1660" s="59"/>
      <c r="AA1660" s="59"/>
      <c r="AB1660" s="59"/>
      <c r="AC1660" s="59"/>
      <c r="AD1660" s="59"/>
      <c r="AE1660" s="59"/>
      <c r="AF1660" s="59"/>
      <c r="AG1660" s="59"/>
      <c r="AH1660" s="59"/>
      <c r="AI1660" s="59"/>
      <c r="AJ1660" s="59"/>
      <c r="AK1660" s="59"/>
      <c r="AL1660" s="59"/>
      <c r="AM1660" s="59"/>
      <c r="AN1660" s="59"/>
      <c r="AO1660" s="59"/>
      <c r="AP1660" s="59"/>
      <c r="AQ1660" s="59"/>
      <c r="AR1660" s="59"/>
      <c r="AS1660" s="59"/>
      <c r="AT1660" s="59"/>
      <c r="AU1660" s="59"/>
      <c r="AV1660" s="59"/>
      <c r="AW1660" s="59"/>
      <c r="AX1660" s="59"/>
      <c r="AY1660" s="59"/>
      <c r="AZ1660" s="59"/>
      <c r="BA1660" s="59"/>
      <c r="BB1660" s="59"/>
      <c r="BC1660" s="59"/>
      <c r="BD1660" s="59"/>
      <c r="BE1660" s="59"/>
      <c r="BF1660" s="59"/>
      <c r="BG1660" s="59"/>
      <c r="BH1660" s="59"/>
      <c r="BI1660" s="59"/>
      <c r="BJ1660" s="59"/>
      <c r="BK1660" s="59"/>
      <c r="BL1660" s="59"/>
      <c r="BM1660" s="59"/>
      <c r="BN1660" s="59"/>
      <c r="BO1660" s="59"/>
      <c r="BP1660" s="59"/>
      <c r="BQ1660" s="59"/>
      <c r="BR1660" s="59"/>
      <c r="BS1660" s="59"/>
      <c r="BT1660" s="59"/>
      <c r="BU1660" s="59"/>
      <c r="BV1660" s="59"/>
      <c r="BW1660" s="59"/>
      <c r="BX1660" s="59"/>
      <c r="BY1660" s="59"/>
      <c r="BZ1660" s="59"/>
      <c r="CA1660" s="59"/>
      <c r="CB1660" s="59"/>
      <c r="CC1660" s="59"/>
      <c r="CD1660" s="59"/>
      <c r="CE1660" s="59"/>
      <c r="CF1660" s="59"/>
      <c r="CG1660" s="59"/>
      <c r="CH1660" s="59"/>
      <c r="CI1660" s="59"/>
      <c r="CJ1660" s="59"/>
      <c r="CK1660" s="59"/>
      <c r="CL1660" s="59"/>
      <c r="CM1660" s="59"/>
      <c r="CN1660" s="59"/>
      <c r="CO1660" s="59"/>
      <c r="CP1660" s="59"/>
      <c r="CQ1660" s="59"/>
      <c r="CR1660" s="59"/>
      <c r="CS1660" s="59"/>
      <c r="CT1660" s="59"/>
      <c r="CU1660" s="59"/>
      <c r="CV1660" s="59"/>
      <c r="CW1660" s="59"/>
      <c r="CX1660" s="59"/>
      <c r="CY1660" s="59"/>
      <c r="CZ1660" s="59"/>
      <c r="DA1660" s="59"/>
      <c r="DB1660" s="59"/>
      <c r="DC1660" s="59"/>
      <c r="DD1660" s="59"/>
      <c r="DE1660" s="59"/>
      <c r="DF1660" s="59"/>
      <c r="DG1660" s="59"/>
      <c r="DH1660" s="59"/>
      <c r="DI1660" s="59"/>
      <c r="DJ1660" s="59"/>
      <c r="DK1660" s="59"/>
      <c r="DL1660" s="59"/>
      <c r="DM1660" s="59"/>
      <c r="DN1660" s="59"/>
      <c r="DO1660" s="59"/>
      <c r="DP1660" s="59"/>
      <c r="DQ1660" s="59"/>
      <c r="DR1660" s="59"/>
      <c r="DS1660" s="59"/>
      <c r="DT1660" s="59"/>
      <c r="DU1660" s="59"/>
      <c r="DV1660" s="59"/>
      <c r="DW1660" s="59"/>
      <c r="DX1660" s="59"/>
      <c r="DY1660" s="59"/>
      <c r="DZ1660" s="59"/>
      <c r="EA1660" s="59"/>
      <c r="EB1660" s="59"/>
      <c r="EC1660" s="59"/>
      <c r="ED1660" s="59"/>
      <c r="EE1660" s="59"/>
      <c r="EF1660" s="59"/>
      <c r="EG1660" s="59"/>
      <c r="EH1660" s="59"/>
      <c r="EI1660" s="59"/>
      <c r="EJ1660" s="59"/>
      <c r="EK1660" s="59"/>
      <c r="EL1660" s="59"/>
      <c r="EM1660" s="59"/>
      <c r="EN1660" s="59"/>
      <c r="EO1660" s="59"/>
      <c r="EP1660" s="59"/>
      <c r="EQ1660" s="59"/>
      <c r="ER1660" s="59"/>
      <c r="ES1660" s="59"/>
      <c r="ET1660" s="59"/>
      <c r="EU1660" s="59"/>
      <c r="EV1660" s="59"/>
      <c r="EW1660" s="59"/>
      <c r="EX1660" s="59"/>
      <c r="EY1660" s="59"/>
      <c r="EZ1660" s="59"/>
      <c r="FA1660" s="59"/>
      <c r="FB1660" s="59"/>
      <c r="FC1660" s="59"/>
      <c r="FD1660" s="59"/>
      <c r="FE1660" s="59"/>
      <c r="FF1660" s="59"/>
      <c r="FG1660" s="59"/>
      <c r="FH1660" s="59"/>
      <c r="FI1660" s="59"/>
      <c r="FJ1660" s="59"/>
      <c r="FK1660" s="59"/>
      <c r="FL1660" s="59"/>
      <c r="FM1660" s="59"/>
      <c r="FN1660" s="59"/>
      <c r="FO1660" s="59"/>
      <c r="FP1660" s="59"/>
      <c r="FQ1660" s="59"/>
      <c r="FR1660" s="59"/>
      <c r="FS1660" s="59"/>
      <c r="FT1660" s="59"/>
      <c r="FU1660" s="59"/>
      <c r="FV1660" s="59"/>
      <c r="FW1660" s="59"/>
      <c r="FX1660" s="59"/>
      <c r="FY1660" s="59"/>
      <c r="FZ1660" s="59"/>
      <c r="GA1660" s="59"/>
      <c r="GB1660" s="59"/>
      <c r="GC1660" s="59"/>
    </row>
    <row r="1661">
      <c r="A1661" s="59"/>
      <c r="B1661" s="59"/>
      <c r="C1661" s="59"/>
      <c r="D1661" s="59"/>
      <c r="E1661" s="59"/>
      <c r="F1661" s="59"/>
      <c r="G1661" s="59"/>
      <c r="H1661" s="59"/>
      <c r="I1661" s="59"/>
      <c r="J1661" s="59"/>
      <c r="K1661" s="59"/>
      <c r="L1661" s="59"/>
      <c r="M1661" s="59"/>
      <c r="N1661" s="59"/>
      <c r="O1661" s="59"/>
      <c r="P1661" s="59"/>
      <c r="Q1661" s="59"/>
      <c r="R1661" s="59"/>
      <c r="S1661" s="59"/>
      <c r="T1661" s="59"/>
      <c r="U1661" s="59"/>
      <c r="V1661" s="59"/>
      <c r="W1661" s="59"/>
      <c r="X1661" s="59"/>
      <c r="Y1661" s="59"/>
      <c r="Z1661" s="59"/>
      <c r="AA1661" s="59"/>
      <c r="AB1661" s="59"/>
      <c r="AC1661" s="59"/>
      <c r="AD1661" s="59"/>
      <c r="AE1661" s="59"/>
      <c r="AF1661" s="59"/>
      <c r="AG1661" s="59"/>
      <c r="AH1661" s="59"/>
      <c r="AI1661" s="59"/>
      <c r="AJ1661" s="59"/>
      <c r="AK1661" s="59"/>
      <c r="AL1661" s="59"/>
      <c r="AM1661" s="59"/>
      <c r="AN1661" s="59"/>
      <c r="AO1661" s="59"/>
      <c r="AP1661" s="59"/>
      <c r="AQ1661" s="59"/>
      <c r="AR1661" s="59"/>
      <c r="AS1661" s="59"/>
      <c r="AT1661" s="59"/>
      <c r="AU1661" s="59"/>
      <c r="AV1661" s="59"/>
      <c r="AW1661" s="59"/>
      <c r="AX1661" s="59"/>
      <c r="AY1661" s="59"/>
      <c r="AZ1661" s="59"/>
      <c r="BA1661" s="59"/>
      <c r="BB1661" s="59"/>
      <c r="BC1661" s="59"/>
      <c r="BD1661" s="59"/>
      <c r="BE1661" s="59"/>
      <c r="BF1661" s="59"/>
      <c r="BG1661" s="59"/>
      <c r="BH1661" s="59"/>
      <c r="BI1661" s="59"/>
      <c r="BJ1661" s="59"/>
      <c r="BK1661" s="59"/>
      <c r="BL1661" s="59"/>
      <c r="BM1661" s="59"/>
      <c r="BN1661" s="59"/>
      <c r="BO1661" s="59"/>
      <c r="BP1661" s="59"/>
      <c r="BQ1661" s="59"/>
      <c r="BR1661" s="59"/>
      <c r="BS1661" s="59"/>
      <c r="BT1661" s="59"/>
      <c r="BU1661" s="59"/>
      <c r="BV1661" s="59"/>
      <c r="BW1661" s="59"/>
      <c r="BX1661" s="59"/>
      <c r="BY1661" s="59"/>
      <c r="BZ1661" s="59"/>
      <c r="CA1661" s="59"/>
      <c r="CB1661" s="59"/>
      <c r="CC1661" s="59"/>
      <c r="CD1661" s="59"/>
      <c r="CE1661" s="59"/>
      <c r="CF1661" s="59"/>
      <c r="CG1661" s="59"/>
      <c r="CH1661" s="59"/>
      <c r="CI1661" s="59"/>
      <c r="CJ1661" s="59"/>
      <c r="CK1661" s="59"/>
      <c r="CL1661" s="59"/>
      <c r="CM1661" s="59"/>
      <c r="CN1661" s="59"/>
      <c r="CO1661" s="59"/>
      <c r="CP1661" s="59"/>
      <c r="CQ1661" s="59"/>
      <c r="CR1661" s="59"/>
      <c r="CS1661" s="59"/>
      <c r="CT1661" s="59"/>
      <c r="CU1661" s="59"/>
      <c r="CV1661" s="59"/>
      <c r="CW1661" s="59"/>
      <c r="CX1661" s="59"/>
      <c r="CY1661" s="59"/>
      <c r="CZ1661" s="59"/>
      <c r="DA1661" s="59"/>
      <c r="DB1661" s="59"/>
      <c r="DC1661" s="59"/>
      <c r="DD1661" s="59"/>
      <c r="DE1661" s="59"/>
      <c r="DF1661" s="59"/>
      <c r="DG1661" s="59"/>
      <c r="DH1661" s="59"/>
      <c r="DI1661" s="59"/>
      <c r="DJ1661" s="59"/>
      <c r="DK1661" s="59"/>
      <c r="DL1661" s="59"/>
      <c r="DM1661" s="59"/>
      <c r="DN1661" s="59"/>
      <c r="DO1661" s="59"/>
      <c r="DP1661" s="59"/>
      <c r="DQ1661" s="59"/>
      <c r="DR1661" s="59"/>
      <c r="DS1661" s="59"/>
      <c r="DT1661" s="59"/>
      <c r="DU1661" s="59"/>
      <c r="DV1661" s="59"/>
      <c r="DW1661" s="59"/>
      <c r="DX1661" s="59"/>
      <c r="DY1661" s="59"/>
      <c r="DZ1661" s="59"/>
      <c r="EA1661" s="59"/>
      <c r="EB1661" s="59"/>
      <c r="EC1661" s="59"/>
      <c r="ED1661" s="59"/>
      <c r="EE1661" s="59"/>
      <c r="EF1661" s="59"/>
      <c r="EG1661" s="59"/>
      <c r="EH1661" s="59"/>
      <c r="EI1661" s="59"/>
      <c r="EJ1661" s="59"/>
      <c r="EK1661" s="59"/>
      <c r="EL1661" s="59"/>
      <c r="EM1661" s="59"/>
      <c r="EN1661" s="59"/>
      <c r="EO1661" s="59"/>
      <c r="EP1661" s="59"/>
      <c r="EQ1661" s="59"/>
      <c r="ER1661" s="59"/>
      <c r="ES1661" s="59"/>
      <c r="ET1661" s="59"/>
      <c r="EU1661" s="59"/>
      <c r="EV1661" s="59"/>
      <c r="EW1661" s="59"/>
      <c r="EX1661" s="59"/>
      <c r="EY1661" s="59"/>
      <c r="EZ1661" s="59"/>
      <c r="FA1661" s="59"/>
      <c r="FB1661" s="59"/>
      <c r="FC1661" s="59"/>
      <c r="FD1661" s="59"/>
      <c r="FE1661" s="59"/>
      <c r="FF1661" s="59"/>
      <c r="FG1661" s="59"/>
      <c r="FH1661" s="59"/>
      <c r="FI1661" s="59"/>
      <c r="FJ1661" s="59"/>
      <c r="FK1661" s="59"/>
      <c r="FL1661" s="59"/>
      <c r="FM1661" s="59"/>
      <c r="FN1661" s="59"/>
      <c r="FO1661" s="59"/>
      <c r="FP1661" s="59"/>
      <c r="FQ1661" s="59"/>
      <c r="FR1661" s="59"/>
      <c r="FS1661" s="59"/>
      <c r="FT1661" s="59"/>
      <c r="FU1661" s="59"/>
      <c r="FV1661" s="59"/>
      <c r="FW1661" s="59"/>
      <c r="FX1661" s="59"/>
      <c r="FY1661" s="59"/>
      <c r="FZ1661" s="59"/>
      <c r="GA1661" s="59"/>
      <c r="GB1661" s="59"/>
      <c r="GC1661" s="59"/>
    </row>
    <row r="1662">
      <c r="A1662" s="59"/>
      <c r="B1662" s="59"/>
      <c r="C1662" s="59"/>
      <c r="D1662" s="59"/>
      <c r="E1662" s="59"/>
      <c r="F1662" s="59"/>
      <c r="G1662" s="59"/>
      <c r="H1662" s="59"/>
      <c r="I1662" s="59"/>
      <c r="J1662" s="59"/>
      <c r="K1662" s="59"/>
      <c r="L1662" s="59"/>
      <c r="M1662" s="59"/>
      <c r="N1662" s="59"/>
      <c r="O1662" s="59"/>
      <c r="P1662" s="59"/>
      <c r="Q1662" s="59"/>
      <c r="R1662" s="59"/>
      <c r="S1662" s="59"/>
      <c r="T1662" s="59"/>
      <c r="U1662" s="59"/>
      <c r="V1662" s="59"/>
      <c r="W1662" s="59"/>
      <c r="X1662" s="59"/>
      <c r="Y1662" s="59"/>
      <c r="Z1662" s="59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59"/>
      <c r="AU1662" s="59"/>
      <c r="AV1662" s="59"/>
      <c r="AW1662" s="59"/>
      <c r="AX1662" s="59"/>
      <c r="AY1662" s="59"/>
      <c r="AZ1662" s="59"/>
      <c r="BA1662" s="59"/>
      <c r="BB1662" s="59"/>
      <c r="BC1662" s="59"/>
      <c r="BD1662" s="59"/>
      <c r="BE1662" s="59"/>
      <c r="BF1662" s="59"/>
      <c r="BG1662" s="59"/>
      <c r="BH1662" s="59"/>
      <c r="BI1662" s="59"/>
      <c r="BJ1662" s="59"/>
      <c r="BK1662" s="59"/>
      <c r="BL1662" s="59"/>
      <c r="BM1662" s="59"/>
      <c r="BN1662" s="59"/>
      <c r="BO1662" s="59"/>
      <c r="BP1662" s="59"/>
      <c r="BQ1662" s="59"/>
      <c r="BR1662" s="59"/>
      <c r="BS1662" s="59"/>
      <c r="BT1662" s="59"/>
      <c r="BU1662" s="59"/>
      <c r="BV1662" s="59"/>
      <c r="BW1662" s="59"/>
      <c r="BX1662" s="59"/>
      <c r="BY1662" s="59"/>
      <c r="BZ1662" s="59"/>
      <c r="CA1662" s="59"/>
      <c r="CB1662" s="59"/>
      <c r="CC1662" s="59"/>
      <c r="CD1662" s="59"/>
      <c r="CE1662" s="59"/>
      <c r="CF1662" s="59"/>
      <c r="CG1662" s="59"/>
      <c r="CH1662" s="59"/>
      <c r="CI1662" s="59"/>
      <c r="CJ1662" s="59"/>
      <c r="CK1662" s="59"/>
      <c r="CL1662" s="59"/>
      <c r="CM1662" s="59"/>
      <c r="CN1662" s="59"/>
      <c r="CO1662" s="59"/>
      <c r="CP1662" s="59"/>
      <c r="CQ1662" s="59"/>
      <c r="CR1662" s="59"/>
      <c r="CS1662" s="59"/>
      <c r="CT1662" s="59"/>
      <c r="CU1662" s="59"/>
      <c r="CV1662" s="59"/>
      <c r="CW1662" s="59"/>
      <c r="CX1662" s="59"/>
      <c r="CY1662" s="59"/>
      <c r="CZ1662" s="59"/>
      <c r="DA1662" s="59"/>
      <c r="DB1662" s="59"/>
      <c r="DC1662" s="59"/>
      <c r="DD1662" s="59"/>
      <c r="DE1662" s="59"/>
      <c r="DF1662" s="59"/>
      <c r="DG1662" s="59"/>
      <c r="DH1662" s="59"/>
      <c r="DI1662" s="59"/>
      <c r="DJ1662" s="59"/>
      <c r="DK1662" s="59"/>
      <c r="DL1662" s="59"/>
      <c r="DM1662" s="59"/>
      <c r="DN1662" s="59"/>
      <c r="DO1662" s="59"/>
      <c r="DP1662" s="59"/>
      <c r="DQ1662" s="59"/>
      <c r="DR1662" s="59"/>
      <c r="DS1662" s="59"/>
      <c r="DT1662" s="59"/>
      <c r="DU1662" s="59"/>
      <c r="DV1662" s="59"/>
      <c r="DW1662" s="59"/>
      <c r="DX1662" s="59"/>
      <c r="DY1662" s="59"/>
      <c r="DZ1662" s="59"/>
      <c r="EA1662" s="59"/>
      <c r="EB1662" s="59"/>
      <c r="EC1662" s="59"/>
      <c r="ED1662" s="59"/>
      <c r="EE1662" s="59"/>
      <c r="EF1662" s="59"/>
      <c r="EG1662" s="59"/>
      <c r="EH1662" s="59"/>
      <c r="EI1662" s="59"/>
      <c r="EJ1662" s="59"/>
      <c r="EK1662" s="59"/>
      <c r="EL1662" s="59"/>
      <c r="EM1662" s="59"/>
      <c r="EN1662" s="59"/>
      <c r="EO1662" s="59"/>
      <c r="EP1662" s="59"/>
      <c r="EQ1662" s="59"/>
      <c r="ER1662" s="59"/>
      <c r="ES1662" s="59"/>
      <c r="ET1662" s="59"/>
      <c r="EU1662" s="59"/>
      <c r="EV1662" s="59"/>
      <c r="EW1662" s="59"/>
      <c r="EX1662" s="59"/>
      <c r="EY1662" s="59"/>
      <c r="EZ1662" s="59"/>
      <c r="FA1662" s="59"/>
      <c r="FB1662" s="59"/>
      <c r="FC1662" s="59"/>
      <c r="FD1662" s="59"/>
      <c r="FE1662" s="59"/>
      <c r="FF1662" s="59"/>
      <c r="FG1662" s="59"/>
      <c r="FH1662" s="59"/>
      <c r="FI1662" s="59"/>
      <c r="FJ1662" s="59"/>
      <c r="FK1662" s="59"/>
      <c r="FL1662" s="59"/>
      <c r="FM1662" s="59"/>
      <c r="FN1662" s="59"/>
      <c r="FO1662" s="59"/>
      <c r="FP1662" s="59"/>
      <c r="FQ1662" s="59"/>
      <c r="FR1662" s="59"/>
      <c r="FS1662" s="59"/>
      <c r="FT1662" s="59"/>
      <c r="FU1662" s="59"/>
      <c r="FV1662" s="59"/>
      <c r="FW1662" s="59"/>
      <c r="FX1662" s="59"/>
      <c r="FY1662" s="59"/>
      <c r="FZ1662" s="59"/>
      <c r="GA1662" s="59"/>
      <c r="GB1662" s="59"/>
      <c r="GC1662" s="59"/>
    </row>
    <row r="1663">
      <c r="A1663" s="59"/>
      <c r="B1663" s="59"/>
      <c r="C1663" s="59"/>
      <c r="D1663" s="59"/>
      <c r="E1663" s="59"/>
      <c r="F1663" s="59"/>
      <c r="G1663" s="59"/>
      <c r="H1663" s="59"/>
      <c r="I1663" s="59"/>
      <c r="J1663" s="59"/>
      <c r="K1663" s="59"/>
      <c r="L1663" s="59"/>
      <c r="M1663" s="59"/>
      <c r="N1663" s="59"/>
      <c r="O1663" s="59"/>
      <c r="P1663" s="59"/>
      <c r="Q1663" s="59"/>
      <c r="R1663" s="59"/>
      <c r="S1663" s="59"/>
      <c r="T1663" s="59"/>
      <c r="U1663" s="59"/>
      <c r="V1663" s="59"/>
      <c r="W1663" s="59"/>
      <c r="X1663" s="59"/>
      <c r="Y1663" s="59"/>
      <c r="Z1663" s="59"/>
      <c r="AA1663" s="59"/>
      <c r="AB1663" s="59"/>
      <c r="AC1663" s="59"/>
      <c r="AD1663" s="59"/>
      <c r="AE1663" s="59"/>
      <c r="AF1663" s="59"/>
      <c r="AG1663" s="59"/>
      <c r="AH1663" s="59"/>
      <c r="AI1663" s="59"/>
      <c r="AJ1663" s="59"/>
      <c r="AK1663" s="59"/>
      <c r="AL1663" s="59"/>
      <c r="AM1663" s="59"/>
      <c r="AN1663" s="59"/>
      <c r="AO1663" s="59"/>
      <c r="AP1663" s="59"/>
      <c r="AQ1663" s="59"/>
      <c r="AR1663" s="59"/>
      <c r="AS1663" s="59"/>
      <c r="AT1663" s="59"/>
      <c r="AU1663" s="59"/>
      <c r="AV1663" s="59"/>
      <c r="AW1663" s="59"/>
      <c r="AX1663" s="59"/>
      <c r="AY1663" s="59"/>
      <c r="AZ1663" s="59"/>
      <c r="BA1663" s="59"/>
      <c r="BB1663" s="59"/>
      <c r="BC1663" s="59"/>
      <c r="BD1663" s="59"/>
      <c r="BE1663" s="59"/>
      <c r="BF1663" s="59"/>
      <c r="BG1663" s="59"/>
      <c r="BH1663" s="59"/>
      <c r="BI1663" s="59"/>
      <c r="BJ1663" s="59"/>
      <c r="BK1663" s="59"/>
      <c r="BL1663" s="59"/>
      <c r="BM1663" s="59"/>
      <c r="BN1663" s="59"/>
      <c r="BO1663" s="59"/>
      <c r="BP1663" s="59"/>
      <c r="BQ1663" s="59"/>
      <c r="BR1663" s="59"/>
      <c r="BS1663" s="59"/>
      <c r="BT1663" s="59"/>
      <c r="BU1663" s="59"/>
      <c r="BV1663" s="59"/>
      <c r="BW1663" s="59"/>
      <c r="BX1663" s="59"/>
      <c r="BY1663" s="59"/>
      <c r="BZ1663" s="59"/>
      <c r="CA1663" s="59"/>
      <c r="CB1663" s="59"/>
      <c r="CC1663" s="59"/>
      <c r="CD1663" s="59"/>
      <c r="CE1663" s="59"/>
      <c r="CF1663" s="59"/>
      <c r="CG1663" s="59"/>
      <c r="CH1663" s="59"/>
      <c r="CI1663" s="59"/>
      <c r="CJ1663" s="59"/>
      <c r="CK1663" s="59"/>
      <c r="CL1663" s="59"/>
      <c r="CM1663" s="59"/>
      <c r="CN1663" s="59"/>
      <c r="CO1663" s="59"/>
      <c r="CP1663" s="59"/>
      <c r="CQ1663" s="59"/>
      <c r="CR1663" s="59"/>
      <c r="CS1663" s="59"/>
      <c r="CT1663" s="59"/>
      <c r="CU1663" s="59"/>
      <c r="CV1663" s="59"/>
      <c r="CW1663" s="59"/>
      <c r="CX1663" s="59"/>
      <c r="CY1663" s="59"/>
      <c r="CZ1663" s="59"/>
      <c r="DA1663" s="59"/>
      <c r="DB1663" s="59"/>
      <c r="DC1663" s="59"/>
      <c r="DD1663" s="59"/>
      <c r="DE1663" s="59"/>
      <c r="DF1663" s="59"/>
      <c r="DG1663" s="59"/>
      <c r="DH1663" s="59"/>
      <c r="DI1663" s="59"/>
      <c r="DJ1663" s="59"/>
      <c r="DK1663" s="59"/>
      <c r="DL1663" s="59"/>
      <c r="DM1663" s="59"/>
      <c r="DN1663" s="59"/>
      <c r="DO1663" s="59"/>
      <c r="DP1663" s="59"/>
      <c r="DQ1663" s="59"/>
      <c r="DR1663" s="59"/>
      <c r="DS1663" s="59"/>
      <c r="DT1663" s="59"/>
      <c r="DU1663" s="59"/>
      <c r="DV1663" s="59"/>
      <c r="DW1663" s="59"/>
      <c r="DX1663" s="59"/>
      <c r="DY1663" s="59"/>
      <c r="DZ1663" s="59"/>
      <c r="EA1663" s="59"/>
      <c r="EB1663" s="59"/>
      <c r="EC1663" s="59"/>
      <c r="ED1663" s="59"/>
      <c r="EE1663" s="59"/>
      <c r="EF1663" s="59"/>
      <c r="EG1663" s="59"/>
      <c r="EH1663" s="59"/>
      <c r="EI1663" s="59"/>
      <c r="EJ1663" s="59"/>
      <c r="EK1663" s="59"/>
      <c r="EL1663" s="59"/>
      <c r="EM1663" s="59"/>
      <c r="EN1663" s="59"/>
      <c r="EO1663" s="59"/>
      <c r="EP1663" s="59"/>
      <c r="EQ1663" s="59"/>
      <c r="ER1663" s="59"/>
      <c r="ES1663" s="59"/>
      <c r="ET1663" s="59"/>
      <c r="EU1663" s="59"/>
      <c r="EV1663" s="59"/>
      <c r="EW1663" s="59"/>
      <c r="EX1663" s="59"/>
      <c r="EY1663" s="59"/>
      <c r="EZ1663" s="59"/>
      <c r="FA1663" s="59"/>
      <c r="FB1663" s="59"/>
      <c r="FC1663" s="59"/>
      <c r="FD1663" s="59"/>
      <c r="FE1663" s="59"/>
      <c r="FF1663" s="59"/>
      <c r="FG1663" s="59"/>
      <c r="FH1663" s="59"/>
      <c r="FI1663" s="59"/>
      <c r="FJ1663" s="59"/>
      <c r="FK1663" s="59"/>
      <c r="FL1663" s="59"/>
      <c r="FM1663" s="59"/>
      <c r="FN1663" s="59"/>
      <c r="FO1663" s="59"/>
      <c r="FP1663" s="59"/>
      <c r="FQ1663" s="59"/>
      <c r="FR1663" s="59"/>
      <c r="FS1663" s="59"/>
      <c r="FT1663" s="59"/>
      <c r="FU1663" s="59"/>
      <c r="FV1663" s="59"/>
      <c r="FW1663" s="59"/>
      <c r="FX1663" s="59"/>
      <c r="FY1663" s="59"/>
      <c r="FZ1663" s="59"/>
      <c r="GA1663" s="59"/>
      <c r="GB1663" s="59"/>
      <c r="GC1663" s="59"/>
    </row>
    <row r="1664">
      <c r="A1664" s="59"/>
      <c r="B1664" s="59"/>
      <c r="C1664" s="59"/>
      <c r="D1664" s="59"/>
      <c r="E1664" s="59"/>
      <c r="F1664" s="59"/>
      <c r="G1664" s="59"/>
      <c r="H1664" s="59"/>
      <c r="I1664" s="59"/>
      <c r="J1664" s="59"/>
      <c r="K1664" s="59"/>
      <c r="L1664" s="59"/>
      <c r="M1664" s="59"/>
      <c r="N1664" s="59"/>
      <c r="O1664" s="59"/>
      <c r="P1664" s="59"/>
      <c r="Q1664" s="59"/>
      <c r="R1664" s="59"/>
      <c r="S1664" s="59"/>
      <c r="T1664" s="59"/>
      <c r="U1664" s="59"/>
      <c r="V1664" s="59"/>
      <c r="W1664" s="59"/>
      <c r="X1664" s="59"/>
      <c r="Y1664" s="59"/>
      <c r="Z1664" s="59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59"/>
      <c r="AU1664" s="59"/>
      <c r="AV1664" s="59"/>
      <c r="AW1664" s="59"/>
      <c r="AX1664" s="59"/>
      <c r="AY1664" s="59"/>
      <c r="AZ1664" s="59"/>
      <c r="BA1664" s="59"/>
      <c r="BB1664" s="59"/>
      <c r="BC1664" s="59"/>
      <c r="BD1664" s="59"/>
      <c r="BE1664" s="59"/>
      <c r="BF1664" s="59"/>
      <c r="BG1664" s="59"/>
      <c r="BH1664" s="59"/>
      <c r="BI1664" s="59"/>
      <c r="BJ1664" s="59"/>
      <c r="BK1664" s="59"/>
      <c r="BL1664" s="59"/>
      <c r="BM1664" s="59"/>
      <c r="BN1664" s="59"/>
      <c r="BO1664" s="59"/>
      <c r="BP1664" s="59"/>
      <c r="BQ1664" s="59"/>
      <c r="BR1664" s="59"/>
      <c r="BS1664" s="59"/>
      <c r="BT1664" s="59"/>
      <c r="BU1664" s="59"/>
      <c r="BV1664" s="59"/>
      <c r="BW1664" s="59"/>
      <c r="BX1664" s="59"/>
      <c r="BY1664" s="59"/>
      <c r="BZ1664" s="59"/>
      <c r="CA1664" s="59"/>
      <c r="CB1664" s="59"/>
      <c r="CC1664" s="59"/>
      <c r="CD1664" s="59"/>
      <c r="CE1664" s="59"/>
      <c r="CF1664" s="59"/>
      <c r="CG1664" s="59"/>
      <c r="CH1664" s="59"/>
      <c r="CI1664" s="59"/>
      <c r="CJ1664" s="59"/>
      <c r="CK1664" s="59"/>
      <c r="CL1664" s="59"/>
      <c r="CM1664" s="59"/>
      <c r="CN1664" s="59"/>
      <c r="CO1664" s="59"/>
      <c r="CP1664" s="59"/>
      <c r="CQ1664" s="59"/>
      <c r="CR1664" s="59"/>
      <c r="CS1664" s="59"/>
      <c r="CT1664" s="59"/>
      <c r="CU1664" s="59"/>
      <c r="CV1664" s="59"/>
      <c r="CW1664" s="59"/>
      <c r="CX1664" s="59"/>
      <c r="CY1664" s="59"/>
      <c r="CZ1664" s="59"/>
      <c r="DA1664" s="59"/>
      <c r="DB1664" s="59"/>
      <c r="DC1664" s="59"/>
      <c r="DD1664" s="59"/>
      <c r="DE1664" s="59"/>
      <c r="DF1664" s="59"/>
      <c r="DG1664" s="59"/>
      <c r="DH1664" s="59"/>
      <c r="DI1664" s="59"/>
      <c r="DJ1664" s="59"/>
      <c r="DK1664" s="59"/>
      <c r="DL1664" s="59"/>
      <c r="DM1664" s="59"/>
      <c r="DN1664" s="59"/>
      <c r="DO1664" s="59"/>
      <c r="DP1664" s="59"/>
      <c r="DQ1664" s="59"/>
      <c r="DR1664" s="59"/>
      <c r="DS1664" s="59"/>
      <c r="DT1664" s="59"/>
      <c r="DU1664" s="59"/>
      <c r="DV1664" s="59"/>
      <c r="DW1664" s="59"/>
      <c r="DX1664" s="59"/>
      <c r="DY1664" s="59"/>
      <c r="DZ1664" s="59"/>
      <c r="EA1664" s="59"/>
      <c r="EB1664" s="59"/>
      <c r="EC1664" s="59"/>
      <c r="ED1664" s="59"/>
      <c r="EE1664" s="59"/>
      <c r="EF1664" s="59"/>
      <c r="EG1664" s="59"/>
      <c r="EH1664" s="59"/>
      <c r="EI1664" s="59"/>
      <c r="EJ1664" s="59"/>
      <c r="EK1664" s="59"/>
      <c r="EL1664" s="59"/>
      <c r="EM1664" s="59"/>
      <c r="EN1664" s="59"/>
      <c r="EO1664" s="59"/>
      <c r="EP1664" s="59"/>
      <c r="EQ1664" s="59"/>
      <c r="ER1664" s="59"/>
      <c r="ES1664" s="59"/>
      <c r="ET1664" s="59"/>
      <c r="EU1664" s="59"/>
      <c r="EV1664" s="59"/>
      <c r="EW1664" s="59"/>
      <c r="EX1664" s="59"/>
      <c r="EY1664" s="59"/>
      <c r="EZ1664" s="59"/>
      <c r="FA1664" s="59"/>
      <c r="FB1664" s="59"/>
      <c r="FC1664" s="59"/>
      <c r="FD1664" s="59"/>
      <c r="FE1664" s="59"/>
      <c r="FF1664" s="59"/>
      <c r="FG1664" s="59"/>
      <c r="FH1664" s="59"/>
      <c r="FI1664" s="59"/>
      <c r="FJ1664" s="59"/>
      <c r="FK1664" s="59"/>
      <c r="FL1664" s="59"/>
      <c r="FM1664" s="59"/>
      <c r="FN1664" s="59"/>
      <c r="FO1664" s="59"/>
      <c r="FP1664" s="59"/>
      <c r="FQ1664" s="59"/>
      <c r="FR1664" s="59"/>
      <c r="FS1664" s="59"/>
      <c r="FT1664" s="59"/>
      <c r="FU1664" s="59"/>
      <c r="FV1664" s="59"/>
      <c r="FW1664" s="59"/>
      <c r="FX1664" s="59"/>
      <c r="FY1664" s="59"/>
      <c r="FZ1664" s="59"/>
      <c r="GA1664" s="59"/>
      <c r="GB1664" s="59"/>
      <c r="GC1664" s="59"/>
    </row>
    <row r="1665">
      <c r="A1665" s="59"/>
      <c r="B1665" s="59"/>
      <c r="C1665" s="59"/>
      <c r="D1665" s="59"/>
      <c r="E1665" s="59"/>
      <c r="F1665" s="59"/>
      <c r="G1665" s="59"/>
      <c r="H1665" s="59"/>
      <c r="I1665" s="59"/>
      <c r="J1665" s="59"/>
      <c r="K1665" s="59"/>
      <c r="L1665" s="59"/>
      <c r="M1665" s="59"/>
      <c r="N1665" s="59"/>
      <c r="O1665" s="59"/>
      <c r="P1665" s="59"/>
      <c r="Q1665" s="59"/>
      <c r="R1665" s="59"/>
      <c r="S1665" s="59"/>
      <c r="T1665" s="59"/>
      <c r="U1665" s="59"/>
      <c r="V1665" s="59"/>
      <c r="W1665" s="59"/>
      <c r="X1665" s="59"/>
      <c r="Y1665" s="59"/>
      <c r="Z1665" s="59"/>
      <c r="AA1665" s="59"/>
      <c r="AB1665" s="59"/>
      <c r="AC1665" s="59"/>
      <c r="AD1665" s="59"/>
      <c r="AE1665" s="59"/>
      <c r="AF1665" s="59"/>
      <c r="AG1665" s="59"/>
      <c r="AH1665" s="59"/>
      <c r="AI1665" s="59"/>
      <c r="AJ1665" s="59"/>
      <c r="AK1665" s="59"/>
      <c r="AL1665" s="59"/>
      <c r="AM1665" s="59"/>
      <c r="AN1665" s="59"/>
      <c r="AO1665" s="59"/>
      <c r="AP1665" s="59"/>
      <c r="AQ1665" s="59"/>
      <c r="AR1665" s="59"/>
      <c r="AS1665" s="59"/>
      <c r="AT1665" s="59"/>
      <c r="AU1665" s="59"/>
      <c r="AV1665" s="59"/>
      <c r="AW1665" s="59"/>
      <c r="AX1665" s="59"/>
      <c r="AY1665" s="59"/>
      <c r="AZ1665" s="59"/>
      <c r="BA1665" s="59"/>
      <c r="BB1665" s="59"/>
      <c r="BC1665" s="59"/>
      <c r="BD1665" s="59"/>
      <c r="BE1665" s="59"/>
      <c r="BF1665" s="59"/>
      <c r="BG1665" s="59"/>
      <c r="BH1665" s="59"/>
      <c r="BI1665" s="59"/>
      <c r="BJ1665" s="59"/>
      <c r="BK1665" s="59"/>
      <c r="BL1665" s="59"/>
      <c r="BM1665" s="59"/>
      <c r="BN1665" s="59"/>
      <c r="BO1665" s="59"/>
      <c r="BP1665" s="59"/>
      <c r="BQ1665" s="59"/>
      <c r="BR1665" s="59"/>
      <c r="BS1665" s="59"/>
      <c r="BT1665" s="59"/>
      <c r="BU1665" s="59"/>
      <c r="BV1665" s="59"/>
      <c r="BW1665" s="59"/>
      <c r="BX1665" s="59"/>
      <c r="BY1665" s="59"/>
      <c r="BZ1665" s="59"/>
      <c r="CA1665" s="59"/>
      <c r="CB1665" s="59"/>
      <c r="CC1665" s="59"/>
      <c r="CD1665" s="59"/>
      <c r="CE1665" s="59"/>
      <c r="CF1665" s="59"/>
      <c r="CG1665" s="59"/>
      <c r="CH1665" s="59"/>
      <c r="CI1665" s="59"/>
      <c r="CJ1665" s="59"/>
      <c r="CK1665" s="59"/>
      <c r="CL1665" s="59"/>
      <c r="CM1665" s="59"/>
      <c r="CN1665" s="59"/>
      <c r="CO1665" s="59"/>
      <c r="CP1665" s="59"/>
      <c r="CQ1665" s="59"/>
      <c r="CR1665" s="59"/>
      <c r="CS1665" s="59"/>
      <c r="CT1665" s="59"/>
      <c r="CU1665" s="59"/>
      <c r="CV1665" s="59"/>
      <c r="CW1665" s="59"/>
      <c r="CX1665" s="59"/>
      <c r="CY1665" s="59"/>
      <c r="CZ1665" s="59"/>
      <c r="DA1665" s="59"/>
      <c r="DB1665" s="59"/>
      <c r="DC1665" s="59"/>
      <c r="DD1665" s="59"/>
      <c r="DE1665" s="59"/>
      <c r="DF1665" s="59"/>
      <c r="DG1665" s="59"/>
      <c r="DH1665" s="59"/>
      <c r="DI1665" s="59"/>
      <c r="DJ1665" s="59"/>
      <c r="DK1665" s="59"/>
      <c r="DL1665" s="59"/>
      <c r="DM1665" s="59"/>
      <c r="DN1665" s="59"/>
      <c r="DO1665" s="59"/>
      <c r="DP1665" s="59"/>
      <c r="DQ1665" s="59"/>
      <c r="DR1665" s="59"/>
      <c r="DS1665" s="59"/>
      <c r="DT1665" s="59"/>
      <c r="DU1665" s="59"/>
      <c r="DV1665" s="59"/>
      <c r="DW1665" s="59"/>
      <c r="DX1665" s="59"/>
      <c r="DY1665" s="59"/>
      <c r="DZ1665" s="59"/>
      <c r="EA1665" s="59"/>
      <c r="EB1665" s="59"/>
      <c r="EC1665" s="59"/>
      <c r="ED1665" s="59"/>
      <c r="EE1665" s="59"/>
      <c r="EF1665" s="59"/>
      <c r="EG1665" s="59"/>
      <c r="EH1665" s="59"/>
      <c r="EI1665" s="59"/>
      <c r="EJ1665" s="59"/>
      <c r="EK1665" s="59"/>
      <c r="EL1665" s="59"/>
      <c r="EM1665" s="59"/>
      <c r="EN1665" s="59"/>
      <c r="EO1665" s="59"/>
      <c r="EP1665" s="59"/>
      <c r="EQ1665" s="59"/>
      <c r="ER1665" s="59"/>
      <c r="ES1665" s="59"/>
      <c r="ET1665" s="59"/>
      <c r="EU1665" s="59"/>
      <c r="EV1665" s="59"/>
      <c r="EW1665" s="59"/>
      <c r="EX1665" s="59"/>
      <c r="EY1665" s="59"/>
      <c r="EZ1665" s="59"/>
      <c r="FA1665" s="59"/>
      <c r="FB1665" s="59"/>
      <c r="FC1665" s="59"/>
      <c r="FD1665" s="59"/>
      <c r="FE1665" s="59"/>
      <c r="FF1665" s="59"/>
      <c r="FG1665" s="59"/>
      <c r="FH1665" s="59"/>
      <c r="FI1665" s="59"/>
      <c r="FJ1665" s="59"/>
      <c r="FK1665" s="59"/>
      <c r="FL1665" s="59"/>
      <c r="FM1665" s="59"/>
      <c r="FN1665" s="59"/>
      <c r="FO1665" s="59"/>
      <c r="FP1665" s="59"/>
      <c r="FQ1665" s="59"/>
      <c r="FR1665" s="59"/>
      <c r="FS1665" s="59"/>
      <c r="FT1665" s="59"/>
      <c r="FU1665" s="59"/>
      <c r="FV1665" s="59"/>
      <c r="FW1665" s="59"/>
      <c r="FX1665" s="59"/>
      <c r="FY1665" s="59"/>
      <c r="FZ1665" s="59"/>
      <c r="GA1665" s="59"/>
      <c r="GB1665" s="59"/>
      <c r="GC1665" s="59"/>
    </row>
    <row r="1666">
      <c r="A1666" s="59"/>
      <c r="B1666" s="59"/>
      <c r="C1666" s="59"/>
      <c r="D1666" s="59"/>
      <c r="E1666" s="59"/>
      <c r="F1666" s="59"/>
      <c r="G1666" s="59"/>
      <c r="H1666" s="59"/>
      <c r="I1666" s="59"/>
      <c r="J1666" s="59"/>
      <c r="K1666" s="59"/>
      <c r="L1666" s="59"/>
      <c r="M1666" s="59"/>
      <c r="N1666" s="59"/>
      <c r="O1666" s="59"/>
      <c r="P1666" s="59"/>
      <c r="Q1666" s="59"/>
      <c r="R1666" s="59"/>
      <c r="S1666" s="59"/>
      <c r="T1666" s="59"/>
      <c r="U1666" s="59"/>
      <c r="V1666" s="59"/>
      <c r="W1666" s="59"/>
      <c r="X1666" s="59"/>
      <c r="Y1666" s="59"/>
      <c r="Z1666" s="59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59"/>
      <c r="AU1666" s="59"/>
      <c r="AV1666" s="59"/>
      <c r="AW1666" s="59"/>
      <c r="AX1666" s="59"/>
      <c r="AY1666" s="59"/>
      <c r="AZ1666" s="59"/>
      <c r="BA1666" s="59"/>
      <c r="BB1666" s="59"/>
      <c r="BC1666" s="59"/>
      <c r="BD1666" s="59"/>
      <c r="BE1666" s="59"/>
      <c r="BF1666" s="59"/>
      <c r="BG1666" s="59"/>
      <c r="BH1666" s="59"/>
      <c r="BI1666" s="59"/>
      <c r="BJ1666" s="59"/>
      <c r="BK1666" s="59"/>
      <c r="BL1666" s="59"/>
      <c r="BM1666" s="59"/>
      <c r="BN1666" s="59"/>
      <c r="BO1666" s="59"/>
      <c r="BP1666" s="59"/>
      <c r="BQ1666" s="59"/>
      <c r="BR1666" s="59"/>
      <c r="BS1666" s="59"/>
      <c r="BT1666" s="59"/>
      <c r="BU1666" s="59"/>
      <c r="BV1666" s="59"/>
      <c r="BW1666" s="59"/>
      <c r="BX1666" s="59"/>
      <c r="BY1666" s="59"/>
      <c r="BZ1666" s="59"/>
      <c r="CA1666" s="59"/>
      <c r="CB1666" s="59"/>
      <c r="CC1666" s="59"/>
      <c r="CD1666" s="59"/>
      <c r="CE1666" s="59"/>
      <c r="CF1666" s="59"/>
      <c r="CG1666" s="59"/>
      <c r="CH1666" s="59"/>
      <c r="CI1666" s="59"/>
      <c r="CJ1666" s="59"/>
      <c r="CK1666" s="59"/>
      <c r="CL1666" s="59"/>
      <c r="CM1666" s="59"/>
      <c r="CN1666" s="59"/>
      <c r="CO1666" s="59"/>
      <c r="CP1666" s="59"/>
      <c r="CQ1666" s="59"/>
      <c r="CR1666" s="59"/>
      <c r="CS1666" s="59"/>
      <c r="CT1666" s="59"/>
      <c r="CU1666" s="59"/>
      <c r="CV1666" s="59"/>
      <c r="CW1666" s="59"/>
      <c r="CX1666" s="59"/>
      <c r="CY1666" s="59"/>
      <c r="CZ1666" s="59"/>
      <c r="DA1666" s="59"/>
      <c r="DB1666" s="59"/>
      <c r="DC1666" s="59"/>
      <c r="DD1666" s="59"/>
      <c r="DE1666" s="59"/>
      <c r="DF1666" s="59"/>
      <c r="DG1666" s="59"/>
      <c r="DH1666" s="59"/>
      <c r="DI1666" s="59"/>
      <c r="DJ1666" s="59"/>
      <c r="DK1666" s="59"/>
      <c r="DL1666" s="59"/>
      <c r="DM1666" s="59"/>
      <c r="DN1666" s="59"/>
      <c r="DO1666" s="59"/>
      <c r="DP1666" s="59"/>
      <c r="DQ1666" s="59"/>
      <c r="DR1666" s="59"/>
      <c r="DS1666" s="59"/>
      <c r="DT1666" s="59"/>
      <c r="DU1666" s="59"/>
      <c r="DV1666" s="59"/>
      <c r="DW1666" s="59"/>
      <c r="DX1666" s="59"/>
      <c r="DY1666" s="59"/>
      <c r="DZ1666" s="59"/>
      <c r="EA1666" s="59"/>
      <c r="EB1666" s="59"/>
      <c r="EC1666" s="59"/>
      <c r="ED1666" s="59"/>
      <c r="EE1666" s="59"/>
      <c r="EF1666" s="59"/>
      <c r="EG1666" s="59"/>
      <c r="EH1666" s="59"/>
      <c r="EI1666" s="59"/>
      <c r="EJ1666" s="59"/>
      <c r="EK1666" s="59"/>
      <c r="EL1666" s="59"/>
      <c r="EM1666" s="59"/>
      <c r="EN1666" s="59"/>
      <c r="EO1666" s="59"/>
      <c r="EP1666" s="59"/>
      <c r="EQ1666" s="59"/>
      <c r="ER1666" s="59"/>
      <c r="ES1666" s="59"/>
      <c r="ET1666" s="59"/>
      <c r="EU1666" s="59"/>
      <c r="EV1666" s="59"/>
      <c r="EW1666" s="59"/>
      <c r="EX1666" s="59"/>
      <c r="EY1666" s="59"/>
      <c r="EZ1666" s="59"/>
      <c r="FA1666" s="59"/>
      <c r="FB1666" s="59"/>
      <c r="FC1666" s="59"/>
      <c r="FD1666" s="59"/>
      <c r="FE1666" s="59"/>
      <c r="FF1666" s="59"/>
      <c r="FG1666" s="59"/>
      <c r="FH1666" s="59"/>
      <c r="FI1666" s="59"/>
      <c r="FJ1666" s="59"/>
      <c r="FK1666" s="59"/>
      <c r="FL1666" s="59"/>
      <c r="FM1666" s="59"/>
      <c r="FN1666" s="59"/>
      <c r="FO1666" s="59"/>
      <c r="FP1666" s="59"/>
      <c r="FQ1666" s="59"/>
      <c r="FR1666" s="59"/>
      <c r="FS1666" s="59"/>
      <c r="FT1666" s="59"/>
      <c r="FU1666" s="59"/>
      <c r="FV1666" s="59"/>
      <c r="FW1666" s="59"/>
      <c r="FX1666" s="59"/>
      <c r="FY1666" s="59"/>
      <c r="FZ1666" s="59"/>
      <c r="GA1666" s="59"/>
      <c r="GB1666" s="59"/>
      <c r="GC1666" s="59"/>
    </row>
    <row r="1667">
      <c r="A1667" s="59"/>
      <c r="B1667" s="59"/>
      <c r="C1667" s="59"/>
      <c r="D1667" s="59"/>
      <c r="E1667" s="59"/>
      <c r="F1667" s="59"/>
      <c r="G1667" s="59"/>
      <c r="H1667" s="59"/>
      <c r="I1667" s="59"/>
      <c r="J1667" s="59"/>
      <c r="K1667" s="59"/>
      <c r="L1667" s="59"/>
      <c r="M1667" s="59"/>
      <c r="N1667" s="59"/>
      <c r="O1667" s="59"/>
      <c r="P1667" s="59"/>
      <c r="Q1667" s="59"/>
      <c r="R1667" s="59"/>
      <c r="S1667" s="59"/>
      <c r="T1667" s="59"/>
      <c r="U1667" s="59"/>
      <c r="V1667" s="59"/>
      <c r="W1667" s="59"/>
      <c r="X1667" s="59"/>
      <c r="Y1667" s="59"/>
      <c r="Z1667" s="59"/>
      <c r="AA1667" s="59"/>
      <c r="AB1667" s="59"/>
      <c r="AC1667" s="59"/>
      <c r="AD1667" s="59"/>
      <c r="AE1667" s="59"/>
      <c r="AF1667" s="59"/>
      <c r="AG1667" s="59"/>
      <c r="AH1667" s="59"/>
      <c r="AI1667" s="59"/>
      <c r="AJ1667" s="59"/>
      <c r="AK1667" s="59"/>
      <c r="AL1667" s="59"/>
      <c r="AM1667" s="59"/>
      <c r="AN1667" s="59"/>
      <c r="AO1667" s="59"/>
      <c r="AP1667" s="59"/>
      <c r="AQ1667" s="59"/>
      <c r="AR1667" s="59"/>
      <c r="AS1667" s="59"/>
      <c r="AT1667" s="59"/>
      <c r="AU1667" s="59"/>
      <c r="AV1667" s="59"/>
      <c r="AW1667" s="59"/>
      <c r="AX1667" s="59"/>
      <c r="AY1667" s="59"/>
      <c r="AZ1667" s="59"/>
      <c r="BA1667" s="59"/>
      <c r="BB1667" s="59"/>
      <c r="BC1667" s="59"/>
      <c r="BD1667" s="59"/>
      <c r="BE1667" s="59"/>
      <c r="BF1667" s="59"/>
      <c r="BG1667" s="59"/>
      <c r="BH1667" s="59"/>
      <c r="BI1667" s="59"/>
      <c r="BJ1667" s="59"/>
      <c r="BK1667" s="59"/>
      <c r="BL1667" s="59"/>
      <c r="BM1667" s="59"/>
      <c r="BN1667" s="59"/>
      <c r="BO1667" s="59"/>
      <c r="BP1667" s="59"/>
      <c r="BQ1667" s="59"/>
      <c r="BR1667" s="59"/>
      <c r="BS1667" s="59"/>
      <c r="BT1667" s="59"/>
      <c r="BU1667" s="59"/>
      <c r="BV1667" s="59"/>
      <c r="BW1667" s="59"/>
      <c r="BX1667" s="59"/>
      <c r="BY1667" s="59"/>
      <c r="BZ1667" s="59"/>
      <c r="CA1667" s="59"/>
      <c r="CB1667" s="59"/>
      <c r="CC1667" s="59"/>
      <c r="CD1667" s="59"/>
      <c r="CE1667" s="59"/>
      <c r="CF1667" s="59"/>
      <c r="CG1667" s="59"/>
      <c r="CH1667" s="59"/>
      <c r="CI1667" s="59"/>
      <c r="CJ1667" s="59"/>
      <c r="CK1667" s="59"/>
      <c r="CL1667" s="59"/>
      <c r="CM1667" s="59"/>
      <c r="CN1667" s="59"/>
      <c r="CO1667" s="59"/>
      <c r="CP1667" s="59"/>
      <c r="CQ1667" s="59"/>
      <c r="CR1667" s="59"/>
      <c r="CS1667" s="59"/>
      <c r="CT1667" s="59"/>
      <c r="CU1667" s="59"/>
      <c r="CV1667" s="59"/>
      <c r="CW1667" s="59"/>
      <c r="CX1667" s="59"/>
      <c r="CY1667" s="59"/>
      <c r="CZ1667" s="59"/>
      <c r="DA1667" s="59"/>
      <c r="DB1667" s="59"/>
      <c r="DC1667" s="59"/>
      <c r="DD1667" s="59"/>
      <c r="DE1667" s="59"/>
      <c r="DF1667" s="59"/>
      <c r="DG1667" s="59"/>
      <c r="DH1667" s="59"/>
      <c r="DI1667" s="59"/>
      <c r="DJ1667" s="59"/>
      <c r="DK1667" s="59"/>
      <c r="DL1667" s="59"/>
      <c r="DM1667" s="59"/>
      <c r="DN1667" s="59"/>
      <c r="DO1667" s="59"/>
      <c r="DP1667" s="59"/>
      <c r="DQ1667" s="59"/>
      <c r="DR1667" s="59"/>
      <c r="DS1667" s="59"/>
      <c r="DT1667" s="59"/>
      <c r="DU1667" s="59"/>
      <c r="DV1667" s="59"/>
      <c r="DW1667" s="59"/>
      <c r="DX1667" s="59"/>
      <c r="DY1667" s="59"/>
      <c r="DZ1667" s="59"/>
      <c r="EA1667" s="59"/>
      <c r="EB1667" s="59"/>
      <c r="EC1667" s="59"/>
      <c r="ED1667" s="59"/>
      <c r="EE1667" s="59"/>
      <c r="EF1667" s="59"/>
      <c r="EG1667" s="59"/>
      <c r="EH1667" s="59"/>
      <c r="EI1667" s="59"/>
      <c r="EJ1667" s="59"/>
      <c r="EK1667" s="59"/>
      <c r="EL1667" s="59"/>
      <c r="EM1667" s="59"/>
      <c r="EN1667" s="59"/>
      <c r="EO1667" s="59"/>
      <c r="EP1667" s="59"/>
      <c r="EQ1667" s="59"/>
      <c r="ER1667" s="59"/>
      <c r="ES1667" s="59"/>
      <c r="ET1667" s="59"/>
      <c r="EU1667" s="59"/>
      <c r="EV1667" s="59"/>
      <c r="EW1667" s="59"/>
      <c r="EX1667" s="59"/>
      <c r="EY1667" s="59"/>
      <c r="EZ1667" s="59"/>
      <c r="FA1667" s="59"/>
      <c r="FB1667" s="59"/>
      <c r="FC1667" s="59"/>
      <c r="FD1667" s="59"/>
      <c r="FE1667" s="59"/>
      <c r="FF1667" s="59"/>
      <c r="FG1667" s="59"/>
      <c r="FH1667" s="59"/>
      <c r="FI1667" s="59"/>
      <c r="FJ1667" s="59"/>
      <c r="FK1667" s="59"/>
      <c r="FL1667" s="59"/>
      <c r="FM1667" s="59"/>
      <c r="FN1667" s="59"/>
      <c r="FO1667" s="59"/>
      <c r="FP1667" s="59"/>
      <c r="FQ1667" s="59"/>
      <c r="FR1667" s="59"/>
      <c r="FS1667" s="59"/>
      <c r="FT1667" s="59"/>
      <c r="FU1667" s="59"/>
      <c r="FV1667" s="59"/>
      <c r="FW1667" s="59"/>
      <c r="FX1667" s="59"/>
      <c r="FY1667" s="59"/>
      <c r="FZ1667" s="59"/>
      <c r="GA1667" s="59"/>
      <c r="GB1667" s="59"/>
      <c r="GC1667" s="59"/>
    </row>
    <row r="1668">
      <c r="A1668" s="59"/>
      <c r="B1668" s="59"/>
      <c r="C1668" s="59"/>
      <c r="D1668" s="59"/>
      <c r="E1668" s="59"/>
      <c r="F1668" s="59"/>
      <c r="G1668" s="59"/>
      <c r="H1668" s="59"/>
      <c r="I1668" s="59"/>
      <c r="J1668" s="59"/>
      <c r="K1668" s="59"/>
      <c r="L1668" s="59"/>
      <c r="M1668" s="59"/>
      <c r="N1668" s="59"/>
      <c r="O1668" s="59"/>
      <c r="P1668" s="59"/>
      <c r="Q1668" s="59"/>
      <c r="R1668" s="59"/>
      <c r="S1668" s="59"/>
      <c r="T1668" s="59"/>
      <c r="U1668" s="59"/>
      <c r="V1668" s="59"/>
      <c r="W1668" s="59"/>
      <c r="X1668" s="59"/>
      <c r="Y1668" s="59"/>
      <c r="Z1668" s="59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59"/>
      <c r="AU1668" s="59"/>
      <c r="AV1668" s="59"/>
      <c r="AW1668" s="59"/>
      <c r="AX1668" s="59"/>
      <c r="AY1668" s="59"/>
      <c r="AZ1668" s="59"/>
      <c r="BA1668" s="59"/>
      <c r="BB1668" s="59"/>
      <c r="BC1668" s="59"/>
      <c r="BD1668" s="59"/>
      <c r="BE1668" s="59"/>
      <c r="BF1668" s="59"/>
      <c r="BG1668" s="59"/>
      <c r="BH1668" s="59"/>
      <c r="BI1668" s="59"/>
      <c r="BJ1668" s="59"/>
      <c r="BK1668" s="59"/>
      <c r="BL1668" s="59"/>
      <c r="BM1668" s="59"/>
      <c r="BN1668" s="59"/>
      <c r="BO1668" s="59"/>
      <c r="BP1668" s="59"/>
      <c r="BQ1668" s="59"/>
      <c r="BR1668" s="59"/>
      <c r="BS1668" s="59"/>
      <c r="BT1668" s="59"/>
      <c r="BU1668" s="59"/>
      <c r="BV1668" s="59"/>
      <c r="BW1668" s="59"/>
      <c r="BX1668" s="59"/>
      <c r="BY1668" s="59"/>
      <c r="BZ1668" s="59"/>
      <c r="CA1668" s="59"/>
      <c r="CB1668" s="59"/>
      <c r="CC1668" s="59"/>
      <c r="CD1668" s="59"/>
      <c r="CE1668" s="59"/>
      <c r="CF1668" s="59"/>
      <c r="CG1668" s="59"/>
      <c r="CH1668" s="59"/>
      <c r="CI1668" s="59"/>
      <c r="CJ1668" s="59"/>
      <c r="CK1668" s="59"/>
      <c r="CL1668" s="59"/>
      <c r="CM1668" s="59"/>
      <c r="CN1668" s="59"/>
      <c r="CO1668" s="59"/>
      <c r="CP1668" s="59"/>
      <c r="CQ1668" s="59"/>
      <c r="CR1668" s="59"/>
      <c r="CS1668" s="59"/>
      <c r="CT1668" s="59"/>
      <c r="CU1668" s="59"/>
      <c r="CV1668" s="59"/>
      <c r="CW1668" s="59"/>
      <c r="CX1668" s="59"/>
      <c r="CY1668" s="59"/>
      <c r="CZ1668" s="59"/>
      <c r="DA1668" s="59"/>
      <c r="DB1668" s="59"/>
      <c r="DC1668" s="59"/>
      <c r="DD1668" s="59"/>
      <c r="DE1668" s="59"/>
      <c r="DF1668" s="59"/>
      <c r="DG1668" s="59"/>
      <c r="DH1668" s="59"/>
      <c r="DI1668" s="59"/>
      <c r="DJ1668" s="59"/>
      <c r="DK1668" s="59"/>
      <c r="DL1668" s="59"/>
      <c r="DM1668" s="59"/>
      <c r="DN1668" s="59"/>
      <c r="DO1668" s="59"/>
      <c r="DP1668" s="59"/>
      <c r="DQ1668" s="59"/>
      <c r="DR1668" s="59"/>
      <c r="DS1668" s="59"/>
      <c r="DT1668" s="59"/>
      <c r="DU1668" s="59"/>
      <c r="DV1668" s="59"/>
      <c r="DW1668" s="59"/>
      <c r="DX1668" s="59"/>
      <c r="DY1668" s="59"/>
      <c r="DZ1668" s="59"/>
      <c r="EA1668" s="59"/>
      <c r="EB1668" s="59"/>
      <c r="EC1668" s="59"/>
      <c r="ED1668" s="59"/>
      <c r="EE1668" s="59"/>
      <c r="EF1668" s="59"/>
      <c r="EG1668" s="59"/>
      <c r="EH1668" s="59"/>
      <c r="EI1668" s="59"/>
      <c r="EJ1668" s="59"/>
      <c r="EK1668" s="59"/>
      <c r="EL1668" s="59"/>
      <c r="EM1668" s="59"/>
      <c r="EN1668" s="59"/>
      <c r="EO1668" s="59"/>
      <c r="EP1668" s="59"/>
      <c r="EQ1668" s="59"/>
      <c r="ER1668" s="59"/>
      <c r="ES1668" s="59"/>
      <c r="ET1668" s="59"/>
      <c r="EU1668" s="59"/>
      <c r="EV1668" s="59"/>
      <c r="EW1668" s="59"/>
      <c r="EX1668" s="59"/>
      <c r="EY1668" s="59"/>
      <c r="EZ1668" s="59"/>
      <c r="FA1668" s="59"/>
      <c r="FB1668" s="59"/>
      <c r="FC1668" s="59"/>
      <c r="FD1668" s="59"/>
      <c r="FE1668" s="59"/>
      <c r="FF1668" s="59"/>
      <c r="FG1668" s="59"/>
      <c r="FH1668" s="59"/>
      <c r="FI1668" s="59"/>
      <c r="FJ1668" s="59"/>
      <c r="FK1668" s="59"/>
      <c r="FL1668" s="59"/>
      <c r="FM1668" s="59"/>
      <c r="FN1668" s="59"/>
      <c r="FO1668" s="59"/>
      <c r="FP1668" s="59"/>
      <c r="FQ1668" s="59"/>
      <c r="FR1668" s="59"/>
      <c r="FS1668" s="59"/>
      <c r="FT1668" s="59"/>
      <c r="FU1668" s="59"/>
      <c r="FV1668" s="59"/>
      <c r="FW1668" s="59"/>
      <c r="FX1668" s="59"/>
      <c r="FY1668" s="59"/>
      <c r="FZ1668" s="59"/>
      <c r="GA1668" s="59"/>
      <c r="GB1668" s="59"/>
      <c r="GC1668" s="59"/>
    </row>
    <row r="1669">
      <c r="A1669" s="59"/>
      <c r="B1669" s="59"/>
      <c r="C1669" s="59"/>
      <c r="D1669" s="59"/>
      <c r="E1669" s="59"/>
      <c r="F1669" s="59"/>
      <c r="G1669" s="59"/>
      <c r="H1669" s="59"/>
      <c r="I1669" s="59"/>
      <c r="J1669" s="59"/>
      <c r="K1669" s="59"/>
      <c r="L1669" s="59"/>
      <c r="M1669" s="59"/>
      <c r="N1669" s="59"/>
      <c r="O1669" s="59"/>
      <c r="P1669" s="59"/>
      <c r="Q1669" s="59"/>
      <c r="R1669" s="59"/>
      <c r="S1669" s="59"/>
      <c r="T1669" s="59"/>
      <c r="U1669" s="59"/>
      <c r="V1669" s="59"/>
      <c r="W1669" s="59"/>
      <c r="X1669" s="59"/>
      <c r="Y1669" s="59"/>
      <c r="Z1669" s="59"/>
      <c r="AA1669" s="59"/>
      <c r="AB1669" s="59"/>
      <c r="AC1669" s="59"/>
      <c r="AD1669" s="59"/>
      <c r="AE1669" s="59"/>
      <c r="AF1669" s="59"/>
      <c r="AG1669" s="59"/>
      <c r="AH1669" s="59"/>
      <c r="AI1669" s="59"/>
      <c r="AJ1669" s="59"/>
      <c r="AK1669" s="59"/>
      <c r="AL1669" s="59"/>
      <c r="AM1669" s="59"/>
      <c r="AN1669" s="59"/>
      <c r="AO1669" s="59"/>
      <c r="AP1669" s="59"/>
      <c r="AQ1669" s="59"/>
      <c r="AR1669" s="59"/>
      <c r="AS1669" s="59"/>
      <c r="AT1669" s="59"/>
      <c r="AU1669" s="59"/>
      <c r="AV1669" s="59"/>
      <c r="AW1669" s="59"/>
      <c r="AX1669" s="59"/>
      <c r="AY1669" s="59"/>
      <c r="AZ1669" s="59"/>
      <c r="BA1669" s="59"/>
      <c r="BB1669" s="59"/>
      <c r="BC1669" s="59"/>
      <c r="BD1669" s="59"/>
      <c r="BE1669" s="59"/>
      <c r="BF1669" s="59"/>
      <c r="BG1669" s="59"/>
      <c r="BH1669" s="59"/>
      <c r="BI1669" s="59"/>
      <c r="BJ1669" s="59"/>
      <c r="BK1669" s="59"/>
      <c r="BL1669" s="59"/>
      <c r="BM1669" s="59"/>
      <c r="BN1669" s="59"/>
      <c r="BO1669" s="59"/>
      <c r="BP1669" s="59"/>
      <c r="BQ1669" s="59"/>
      <c r="BR1669" s="59"/>
      <c r="BS1669" s="59"/>
      <c r="BT1669" s="59"/>
      <c r="BU1669" s="59"/>
      <c r="BV1669" s="59"/>
      <c r="BW1669" s="59"/>
      <c r="BX1669" s="59"/>
      <c r="BY1669" s="59"/>
      <c r="BZ1669" s="59"/>
      <c r="CA1669" s="59"/>
      <c r="CB1669" s="59"/>
      <c r="CC1669" s="59"/>
      <c r="CD1669" s="59"/>
      <c r="CE1669" s="59"/>
      <c r="CF1669" s="59"/>
      <c r="CG1669" s="59"/>
      <c r="CH1669" s="59"/>
      <c r="CI1669" s="59"/>
      <c r="CJ1669" s="59"/>
      <c r="CK1669" s="59"/>
      <c r="CL1669" s="59"/>
      <c r="CM1669" s="59"/>
      <c r="CN1669" s="59"/>
      <c r="CO1669" s="59"/>
      <c r="CP1669" s="59"/>
      <c r="CQ1669" s="59"/>
      <c r="CR1669" s="59"/>
      <c r="CS1669" s="59"/>
      <c r="CT1669" s="59"/>
      <c r="CU1669" s="59"/>
      <c r="CV1669" s="59"/>
      <c r="CW1669" s="59"/>
      <c r="CX1669" s="59"/>
      <c r="CY1669" s="59"/>
      <c r="CZ1669" s="59"/>
      <c r="DA1669" s="59"/>
      <c r="DB1669" s="59"/>
      <c r="DC1669" s="59"/>
      <c r="DD1669" s="59"/>
      <c r="DE1669" s="59"/>
      <c r="DF1669" s="59"/>
      <c r="DG1669" s="59"/>
      <c r="DH1669" s="59"/>
      <c r="DI1669" s="59"/>
      <c r="DJ1669" s="59"/>
      <c r="DK1669" s="59"/>
      <c r="DL1669" s="59"/>
      <c r="DM1669" s="59"/>
      <c r="DN1669" s="59"/>
      <c r="DO1669" s="59"/>
      <c r="DP1669" s="59"/>
      <c r="DQ1669" s="59"/>
      <c r="DR1669" s="59"/>
      <c r="DS1669" s="59"/>
      <c r="DT1669" s="59"/>
      <c r="DU1669" s="59"/>
      <c r="DV1669" s="59"/>
      <c r="DW1669" s="59"/>
      <c r="DX1669" s="59"/>
      <c r="DY1669" s="59"/>
      <c r="DZ1669" s="59"/>
      <c r="EA1669" s="59"/>
      <c r="EB1669" s="59"/>
      <c r="EC1669" s="59"/>
      <c r="ED1669" s="59"/>
      <c r="EE1669" s="59"/>
      <c r="EF1669" s="59"/>
      <c r="EG1669" s="59"/>
      <c r="EH1669" s="59"/>
      <c r="EI1669" s="59"/>
      <c r="EJ1669" s="59"/>
      <c r="EK1669" s="59"/>
      <c r="EL1669" s="59"/>
      <c r="EM1669" s="59"/>
      <c r="EN1669" s="59"/>
      <c r="EO1669" s="59"/>
      <c r="EP1669" s="59"/>
      <c r="EQ1669" s="59"/>
      <c r="ER1669" s="59"/>
      <c r="ES1669" s="59"/>
      <c r="ET1669" s="59"/>
      <c r="EU1669" s="59"/>
      <c r="EV1669" s="59"/>
      <c r="EW1669" s="59"/>
      <c r="EX1669" s="59"/>
      <c r="EY1669" s="59"/>
      <c r="EZ1669" s="59"/>
      <c r="FA1669" s="59"/>
      <c r="FB1669" s="59"/>
      <c r="FC1669" s="59"/>
      <c r="FD1669" s="59"/>
      <c r="FE1669" s="59"/>
      <c r="FF1669" s="59"/>
      <c r="FG1669" s="59"/>
      <c r="FH1669" s="59"/>
      <c r="FI1669" s="59"/>
      <c r="FJ1669" s="59"/>
      <c r="FK1669" s="59"/>
      <c r="FL1669" s="59"/>
      <c r="FM1669" s="59"/>
      <c r="FN1669" s="59"/>
      <c r="FO1669" s="59"/>
      <c r="FP1669" s="59"/>
      <c r="FQ1669" s="59"/>
      <c r="FR1669" s="59"/>
      <c r="FS1669" s="59"/>
      <c r="FT1669" s="59"/>
      <c r="FU1669" s="59"/>
      <c r="FV1669" s="59"/>
      <c r="FW1669" s="59"/>
      <c r="FX1669" s="59"/>
      <c r="FY1669" s="59"/>
      <c r="FZ1669" s="59"/>
      <c r="GA1669" s="59"/>
      <c r="GB1669" s="59"/>
      <c r="GC1669" s="59"/>
    </row>
    <row r="1670">
      <c r="A1670" s="59"/>
      <c r="B1670" s="59"/>
      <c r="C1670" s="59"/>
      <c r="D1670" s="59"/>
      <c r="E1670" s="59"/>
      <c r="F1670" s="59"/>
      <c r="G1670" s="59"/>
      <c r="H1670" s="59"/>
      <c r="I1670" s="59"/>
      <c r="J1670" s="59"/>
      <c r="K1670" s="59"/>
      <c r="L1670" s="59"/>
      <c r="M1670" s="59"/>
      <c r="N1670" s="59"/>
      <c r="O1670" s="59"/>
      <c r="P1670" s="59"/>
      <c r="Q1670" s="59"/>
      <c r="R1670" s="59"/>
      <c r="S1670" s="59"/>
      <c r="T1670" s="59"/>
      <c r="U1670" s="59"/>
      <c r="V1670" s="59"/>
      <c r="W1670" s="59"/>
      <c r="X1670" s="59"/>
      <c r="Y1670" s="59"/>
      <c r="Z1670" s="59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59"/>
      <c r="AU1670" s="59"/>
      <c r="AV1670" s="59"/>
      <c r="AW1670" s="59"/>
      <c r="AX1670" s="59"/>
      <c r="AY1670" s="59"/>
      <c r="AZ1670" s="59"/>
      <c r="BA1670" s="59"/>
      <c r="BB1670" s="59"/>
      <c r="BC1670" s="59"/>
      <c r="BD1670" s="59"/>
      <c r="BE1670" s="59"/>
      <c r="BF1670" s="59"/>
      <c r="BG1670" s="59"/>
      <c r="BH1670" s="59"/>
      <c r="BI1670" s="59"/>
      <c r="BJ1670" s="59"/>
      <c r="BK1670" s="59"/>
      <c r="BL1670" s="59"/>
      <c r="BM1670" s="59"/>
      <c r="BN1670" s="59"/>
      <c r="BO1670" s="59"/>
      <c r="BP1670" s="59"/>
      <c r="BQ1670" s="59"/>
      <c r="BR1670" s="59"/>
      <c r="BS1670" s="59"/>
      <c r="BT1670" s="59"/>
      <c r="BU1670" s="59"/>
      <c r="BV1670" s="59"/>
      <c r="BW1670" s="59"/>
      <c r="BX1670" s="59"/>
      <c r="BY1670" s="59"/>
      <c r="BZ1670" s="59"/>
      <c r="CA1670" s="59"/>
      <c r="CB1670" s="59"/>
      <c r="CC1670" s="59"/>
      <c r="CD1670" s="59"/>
      <c r="CE1670" s="59"/>
      <c r="CF1670" s="59"/>
      <c r="CG1670" s="59"/>
      <c r="CH1670" s="59"/>
      <c r="CI1670" s="59"/>
      <c r="CJ1670" s="59"/>
      <c r="CK1670" s="59"/>
      <c r="CL1670" s="59"/>
      <c r="CM1670" s="59"/>
      <c r="CN1670" s="59"/>
      <c r="CO1670" s="59"/>
      <c r="CP1670" s="59"/>
      <c r="CQ1670" s="59"/>
      <c r="CR1670" s="59"/>
      <c r="CS1670" s="59"/>
      <c r="CT1670" s="59"/>
      <c r="CU1670" s="59"/>
      <c r="CV1670" s="59"/>
      <c r="CW1670" s="59"/>
      <c r="CX1670" s="59"/>
      <c r="CY1670" s="59"/>
      <c r="CZ1670" s="59"/>
      <c r="DA1670" s="59"/>
      <c r="DB1670" s="59"/>
      <c r="DC1670" s="59"/>
      <c r="DD1670" s="59"/>
      <c r="DE1670" s="59"/>
      <c r="DF1670" s="59"/>
      <c r="DG1670" s="59"/>
      <c r="DH1670" s="59"/>
      <c r="DI1670" s="59"/>
      <c r="DJ1670" s="59"/>
      <c r="DK1670" s="59"/>
      <c r="DL1670" s="59"/>
      <c r="DM1670" s="59"/>
      <c r="DN1670" s="59"/>
      <c r="DO1670" s="59"/>
      <c r="DP1670" s="59"/>
      <c r="DQ1670" s="59"/>
      <c r="DR1670" s="59"/>
      <c r="DS1670" s="59"/>
      <c r="DT1670" s="59"/>
      <c r="DU1670" s="59"/>
      <c r="DV1670" s="59"/>
      <c r="DW1670" s="59"/>
      <c r="DX1670" s="59"/>
      <c r="DY1670" s="59"/>
      <c r="DZ1670" s="59"/>
      <c r="EA1670" s="59"/>
      <c r="EB1670" s="59"/>
      <c r="EC1670" s="59"/>
      <c r="ED1670" s="59"/>
      <c r="EE1670" s="59"/>
      <c r="EF1670" s="59"/>
      <c r="EG1670" s="59"/>
      <c r="EH1670" s="59"/>
      <c r="EI1670" s="59"/>
      <c r="EJ1670" s="59"/>
      <c r="EK1670" s="59"/>
      <c r="EL1670" s="59"/>
      <c r="EM1670" s="59"/>
      <c r="EN1670" s="59"/>
      <c r="EO1670" s="59"/>
      <c r="EP1670" s="59"/>
      <c r="EQ1670" s="59"/>
      <c r="ER1670" s="59"/>
      <c r="ES1670" s="59"/>
      <c r="ET1670" s="59"/>
      <c r="EU1670" s="59"/>
      <c r="EV1670" s="59"/>
      <c r="EW1670" s="59"/>
      <c r="EX1670" s="59"/>
      <c r="EY1670" s="59"/>
      <c r="EZ1670" s="59"/>
      <c r="FA1670" s="59"/>
      <c r="FB1670" s="59"/>
      <c r="FC1670" s="59"/>
      <c r="FD1670" s="59"/>
      <c r="FE1670" s="59"/>
      <c r="FF1670" s="59"/>
      <c r="FG1670" s="59"/>
      <c r="FH1670" s="59"/>
      <c r="FI1670" s="59"/>
      <c r="FJ1670" s="59"/>
      <c r="FK1670" s="59"/>
      <c r="FL1670" s="59"/>
      <c r="FM1670" s="59"/>
      <c r="FN1670" s="59"/>
      <c r="FO1670" s="59"/>
      <c r="FP1670" s="59"/>
      <c r="FQ1670" s="59"/>
      <c r="FR1670" s="59"/>
      <c r="FS1670" s="59"/>
      <c r="FT1670" s="59"/>
      <c r="FU1670" s="59"/>
      <c r="FV1670" s="59"/>
      <c r="FW1670" s="59"/>
      <c r="FX1670" s="59"/>
      <c r="FY1670" s="59"/>
      <c r="FZ1670" s="59"/>
      <c r="GA1670" s="59"/>
      <c r="GB1670" s="59"/>
      <c r="GC1670" s="59"/>
    </row>
    <row r="1671">
      <c r="A1671" s="59"/>
      <c r="B1671" s="59"/>
      <c r="C1671" s="59"/>
      <c r="D1671" s="59"/>
      <c r="E1671" s="59"/>
      <c r="F1671" s="59"/>
      <c r="G1671" s="59"/>
      <c r="H1671" s="59"/>
      <c r="I1671" s="59"/>
      <c r="J1671" s="59"/>
      <c r="K1671" s="59"/>
      <c r="L1671" s="59"/>
      <c r="M1671" s="59"/>
      <c r="N1671" s="59"/>
      <c r="O1671" s="59"/>
      <c r="P1671" s="59"/>
      <c r="Q1671" s="59"/>
      <c r="R1671" s="59"/>
      <c r="S1671" s="59"/>
      <c r="T1671" s="59"/>
      <c r="U1671" s="59"/>
      <c r="V1671" s="59"/>
      <c r="W1671" s="59"/>
      <c r="X1671" s="59"/>
      <c r="Y1671" s="59"/>
      <c r="Z1671" s="59"/>
      <c r="AA1671" s="59"/>
      <c r="AB1671" s="59"/>
      <c r="AC1671" s="59"/>
      <c r="AD1671" s="59"/>
      <c r="AE1671" s="59"/>
      <c r="AF1671" s="59"/>
      <c r="AG1671" s="59"/>
      <c r="AH1671" s="59"/>
      <c r="AI1671" s="59"/>
      <c r="AJ1671" s="59"/>
      <c r="AK1671" s="59"/>
      <c r="AL1671" s="59"/>
      <c r="AM1671" s="59"/>
      <c r="AN1671" s="59"/>
      <c r="AO1671" s="59"/>
      <c r="AP1671" s="59"/>
      <c r="AQ1671" s="59"/>
      <c r="AR1671" s="59"/>
      <c r="AS1671" s="59"/>
      <c r="AT1671" s="59"/>
      <c r="AU1671" s="59"/>
      <c r="AV1671" s="59"/>
      <c r="AW1671" s="59"/>
      <c r="AX1671" s="59"/>
      <c r="AY1671" s="59"/>
      <c r="AZ1671" s="59"/>
      <c r="BA1671" s="59"/>
      <c r="BB1671" s="59"/>
      <c r="BC1671" s="59"/>
      <c r="BD1671" s="59"/>
      <c r="BE1671" s="59"/>
      <c r="BF1671" s="59"/>
      <c r="BG1671" s="59"/>
      <c r="BH1671" s="59"/>
      <c r="BI1671" s="59"/>
      <c r="BJ1671" s="59"/>
      <c r="BK1671" s="59"/>
      <c r="BL1671" s="59"/>
      <c r="BM1671" s="59"/>
      <c r="BN1671" s="59"/>
      <c r="BO1671" s="59"/>
      <c r="BP1671" s="59"/>
      <c r="BQ1671" s="59"/>
      <c r="BR1671" s="59"/>
      <c r="BS1671" s="59"/>
      <c r="BT1671" s="59"/>
      <c r="BU1671" s="59"/>
      <c r="BV1671" s="59"/>
      <c r="BW1671" s="59"/>
      <c r="BX1671" s="59"/>
      <c r="BY1671" s="59"/>
      <c r="BZ1671" s="59"/>
      <c r="CA1671" s="59"/>
      <c r="CB1671" s="59"/>
      <c r="CC1671" s="59"/>
      <c r="CD1671" s="59"/>
      <c r="CE1671" s="59"/>
      <c r="CF1671" s="59"/>
      <c r="CG1671" s="59"/>
      <c r="CH1671" s="59"/>
      <c r="CI1671" s="59"/>
      <c r="CJ1671" s="59"/>
      <c r="CK1671" s="59"/>
      <c r="CL1671" s="59"/>
      <c r="CM1671" s="59"/>
      <c r="CN1671" s="59"/>
      <c r="CO1671" s="59"/>
      <c r="CP1671" s="59"/>
      <c r="CQ1671" s="59"/>
      <c r="CR1671" s="59"/>
      <c r="CS1671" s="59"/>
      <c r="CT1671" s="59"/>
      <c r="CU1671" s="59"/>
      <c r="CV1671" s="59"/>
      <c r="CW1671" s="59"/>
      <c r="CX1671" s="59"/>
      <c r="CY1671" s="59"/>
      <c r="CZ1671" s="59"/>
      <c r="DA1671" s="59"/>
      <c r="DB1671" s="59"/>
      <c r="DC1671" s="59"/>
      <c r="DD1671" s="59"/>
      <c r="DE1671" s="59"/>
      <c r="DF1671" s="59"/>
      <c r="DG1671" s="59"/>
      <c r="DH1671" s="59"/>
      <c r="DI1671" s="59"/>
      <c r="DJ1671" s="59"/>
      <c r="DK1671" s="59"/>
      <c r="DL1671" s="59"/>
      <c r="DM1671" s="59"/>
      <c r="DN1671" s="59"/>
      <c r="DO1671" s="59"/>
      <c r="DP1671" s="59"/>
      <c r="DQ1671" s="59"/>
      <c r="DR1671" s="59"/>
      <c r="DS1671" s="59"/>
      <c r="DT1671" s="59"/>
      <c r="DU1671" s="59"/>
      <c r="DV1671" s="59"/>
      <c r="DW1671" s="59"/>
      <c r="DX1671" s="59"/>
      <c r="DY1671" s="59"/>
      <c r="DZ1671" s="59"/>
      <c r="EA1671" s="59"/>
      <c r="EB1671" s="59"/>
      <c r="EC1671" s="59"/>
      <c r="ED1671" s="59"/>
      <c r="EE1671" s="59"/>
      <c r="EF1671" s="59"/>
      <c r="EG1671" s="59"/>
      <c r="EH1671" s="59"/>
      <c r="EI1671" s="59"/>
      <c r="EJ1671" s="59"/>
      <c r="EK1671" s="59"/>
      <c r="EL1671" s="59"/>
      <c r="EM1671" s="59"/>
      <c r="EN1671" s="59"/>
      <c r="EO1671" s="59"/>
      <c r="EP1671" s="59"/>
      <c r="EQ1671" s="59"/>
      <c r="ER1671" s="59"/>
      <c r="ES1671" s="59"/>
      <c r="ET1671" s="59"/>
      <c r="EU1671" s="59"/>
      <c r="EV1671" s="59"/>
      <c r="EW1671" s="59"/>
      <c r="EX1671" s="59"/>
      <c r="EY1671" s="59"/>
      <c r="EZ1671" s="59"/>
      <c r="FA1671" s="59"/>
      <c r="FB1671" s="59"/>
      <c r="FC1671" s="59"/>
      <c r="FD1671" s="59"/>
      <c r="FE1671" s="59"/>
      <c r="FF1671" s="59"/>
      <c r="FG1671" s="59"/>
      <c r="FH1671" s="59"/>
      <c r="FI1671" s="59"/>
      <c r="FJ1671" s="59"/>
      <c r="FK1671" s="59"/>
      <c r="FL1671" s="59"/>
      <c r="FM1671" s="59"/>
      <c r="FN1671" s="59"/>
      <c r="FO1671" s="59"/>
      <c r="FP1671" s="59"/>
      <c r="FQ1671" s="59"/>
      <c r="FR1671" s="59"/>
      <c r="FS1671" s="59"/>
      <c r="FT1671" s="59"/>
      <c r="FU1671" s="59"/>
      <c r="FV1671" s="59"/>
      <c r="FW1671" s="59"/>
      <c r="FX1671" s="59"/>
      <c r="FY1671" s="59"/>
      <c r="FZ1671" s="59"/>
      <c r="GA1671" s="59"/>
      <c r="GB1671" s="59"/>
      <c r="GC1671" s="59"/>
    </row>
    <row r="1672">
      <c r="A1672" s="59"/>
      <c r="B1672" s="59"/>
      <c r="C1672" s="59"/>
      <c r="D1672" s="59"/>
      <c r="E1672" s="59"/>
      <c r="F1672" s="59"/>
      <c r="G1672" s="59"/>
      <c r="H1672" s="59"/>
      <c r="I1672" s="59"/>
      <c r="J1672" s="59"/>
      <c r="K1672" s="59"/>
      <c r="L1672" s="59"/>
      <c r="M1672" s="59"/>
      <c r="N1672" s="59"/>
      <c r="O1672" s="59"/>
      <c r="P1672" s="59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59"/>
      <c r="AU1672" s="59"/>
      <c r="AV1672" s="59"/>
      <c r="AW1672" s="59"/>
      <c r="AX1672" s="59"/>
      <c r="AY1672" s="59"/>
      <c r="AZ1672" s="59"/>
      <c r="BA1672" s="59"/>
      <c r="BB1672" s="59"/>
      <c r="BC1672" s="59"/>
      <c r="BD1672" s="59"/>
      <c r="BE1672" s="59"/>
      <c r="BF1672" s="59"/>
      <c r="BG1672" s="59"/>
      <c r="BH1672" s="59"/>
      <c r="BI1672" s="59"/>
      <c r="BJ1672" s="59"/>
      <c r="BK1672" s="59"/>
      <c r="BL1672" s="59"/>
      <c r="BM1672" s="59"/>
      <c r="BN1672" s="59"/>
      <c r="BO1672" s="59"/>
      <c r="BP1672" s="59"/>
      <c r="BQ1672" s="59"/>
      <c r="BR1672" s="59"/>
      <c r="BS1672" s="59"/>
      <c r="BT1672" s="59"/>
      <c r="BU1672" s="59"/>
      <c r="BV1672" s="59"/>
      <c r="BW1672" s="59"/>
      <c r="BX1672" s="59"/>
      <c r="BY1672" s="59"/>
      <c r="BZ1672" s="59"/>
      <c r="CA1672" s="59"/>
      <c r="CB1672" s="59"/>
      <c r="CC1672" s="59"/>
      <c r="CD1672" s="59"/>
      <c r="CE1672" s="59"/>
      <c r="CF1672" s="59"/>
      <c r="CG1672" s="59"/>
      <c r="CH1672" s="59"/>
      <c r="CI1672" s="59"/>
      <c r="CJ1672" s="59"/>
      <c r="CK1672" s="59"/>
      <c r="CL1672" s="59"/>
      <c r="CM1672" s="59"/>
      <c r="CN1672" s="59"/>
      <c r="CO1672" s="59"/>
      <c r="CP1672" s="59"/>
      <c r="CQ1672" s="59"/>
      <c r="CR1672" s="59"/>
      <c r="CS1672" s="59"/>
      <c r="CT1672" s="59"/>
      <c r="CU1672" s="59"/>
      <c r="CV1672" s="59"/>
      <c r="CW1672" s="59"/>
      <c r="CX1672" s="59"/>
      <c r="CY1672" s="59"/>
      <c r="CZ1672" s="59"/>
      <c r="DA1672" s="59"/>
      <c r="DB1672" s="59"/>
      <c r="DC1672" s="59"/>
      <c r="DD1672" s="59"/>
      <c r="DE1672" s="59"/>
      <c r="DF1672" s="59"/>
      <c r="DG1672" s="59"/>
      <c r="DH1672" s="59"/>
      <c r="DI1672" s="59"/>
      <c r="DJ1672" s="59"/>
      <c r="DK1672" s="59"/>
      <c r="DL1672" s="59"/>
      <c r="DM1672" s="59"/>
      <c r="DN1672" s="59"/>
      <c r="DO1672" s="59"/>
      <c r="DP1672" s="59"/>
      <c r="DQ1672" s="59"/>
      <c r="DR1672" s="59"/>
      <c r="DS1672" s="59"/>
      <c r="DT1672" s="59"/>
      <c r="DU1672" s="59"/>
      <c r="DV1672" s="59"/>
      <c r="DW1672" s="59"/>
      <c r="DX1672" s="59"/>
      <c r="DY1672" s="59"/>
      <c r="DZ1672" s="59"/>
      <c r="EA1672" s="59"/>
      <c r="EB1672" s="59"/>
      <c r="EC1672" s="59"/>
      <c r="ED1672" s="59"/>
      <c r="EE1672" s="59"/>
      <c r="EF1672" s="59"/>
      <c r="EG1672" s="59"/>
      <c r="EH1672" s="59"/>
      <c r="EI1672" s="59"/>
      <c r="EJ1672" s="59"/>
      <c r="EK1672" s="59"/>
      <c r="EL1672" s="59"/>
      <c r="EM1672" s="59"/>
      <c r="EN1672" s="59"/>
      <c r="EO1672" s="59"/>
      <c r="EP1672" s="59"/>
      <c r="EQ1672" s="59"/>
      <c r="ER1672" s="59"/>
      <c r="ES1672" s="59"/>
      <c r="ET1672" s="59"/>
      <c r="EU1672" s="59"/>
      <c r="EV1672" s="59"/>
      <c r="EW1672" s="59"/>
      <c r="EX1672" s="59"/>
      <c r="EY1672" s="59"/>
      <c r="EZ1672" s="59"/>
      <c r="FA1672" s="59"/>
      <c r="FB1672" s="59"/>
      <c r="FC1672" s="59"/>
      <c r="FD1672" s="59"/>
      <c r="FE1672" s="59"/>
      <c r="FF1672" s="59"/>
      <c r="FG1672" s="59"/>
      <c r="FH1672" s="59"/>
      <c r="FI1672" s="59"/>
      <c r="FJ1672" s="59"/>
      <c r="FK1672" s="59"/>
      <c r="FL1672" s="59"/>
      <c r="FM1672" s="59"/>
      <c r="FN1672" s="59"/>
      <c r="FO1672" s="59"/>
      <c r="FP1672" s="59"/>
      <c r="FQ1672" s="59"/>
      <c r="FR1672" s="59"/>
      <c r="FS1672" s="59"/>
      <c r="FT1672" s="59"/>
      <c r="FU1672" s="59"/>
      <c r="FV1672" s="59"/>
      <c r="FW1672" s="59"/>
      <c r="FX1672" s="59"/>
      <c r="FY1672" s="59"/>
      <c r="FZ1672" s="59"/>
      <c r="GA1672" s="59"/>
      <c r="GB1672" s="59"/>
      <c r="GC1672" s="59"/>
    </row>
    <row r="1673">
      <c r="A1673" s="59"/>
      <c r="B1673" s="59"/>
      <c r="C1673" s="59"/>
      <c r="D1673" s="59"/>
      <c r="E1673" s="59"/>
      <c r="F1673" s="59"/>
      <c r="G1673" s="59"/>
      <c r="H1673" s="59"/>
      <c r="I1673" s="59"/>
      <c r="J1673" s="59"/>
      <c r="K1673" s="59"/>
      <c r="L1673" s="59"/>
      <c r="M1673" s="59"/>
      <c r="N1673" s="59"/>
      <c r="O1673" s="59"/>
      <c r="P1673" s="59"/>
      <c r="Q1673" s="59"/>
      <c r="R1673" s="59"/>
      <c r="S1673" s="59"/>
      <c r="T1673" s="59"/>
      <c r="U1673" s="59"/>
      <c r="V1673" s="59"/>
      <c r="W1673" s="59"/>
      <c r="X1673" s="59"/>
      <c r="Y1673" s="59"/>
      <c r="Z1673" s="59"/>
      <c r="AA1673" s="59"/>
      <c r="AB1673" s="59"/>
      <c r="AC1673" s="59"/>
      <c r="AD1673" s="59"/>
      <c r="AE1673" s="59"/>
      <c r="AF1673" s="59"/>
      <c r="AG1673" s="59"/>
      <c r="AH1673" s="59"/>
      <c r="AI1673" s="59"/>
      <c r="AJ1673" s="59"/>
      <c r="AK1673" s="59"/>
      <c r="AL1673" s="59"/>
      <c r="AM1673" s="59"/>
      <c r="AN1673" s="59"/>
      <c r="AO1673" s="59"/>
      <c r="AP1673" s="59"/>
      <c r="AQ1673" s="59"/>
      <c r="AR1673" s="59"/>
      <c r="AS1673" s="59"/>
      <c r="AT1673" s="59"/>
      <c r="AU1673" s="59"/>
      <c r="AV1673" s="59"/>
      <c r="AW1673" s="59"/>
      <c r="AX1673" s="59"/>
      <c r="AY1673" s="59"/>
      <c r="AZ1673" s="59"/>
      <c r="BA1673" s="59"/>
      <c r="BB1673" s="59"/>
      <c r="BC1673" s="59"/>
      <c r="BD1673" s="59"/>
      <c r="BE1673" s="59"/>
      <c r="BF1673" s="59"/>
      <c r="BG1673" s="59"/>
      <c r="BH1673" s="59"/>
      <c r="BI1673" s="59"/>
      <c r="BJ1673" s="59"/>
      <c r="BK1673" s="59"/>
      <c r="BL1673" s="59"/>
      <c r="BM1673" s="59"/>
      <c r="BN1673" s="59"/>
      <c r="BO1673" s="59"/>
      <c r="BP1673" s="59"/>
      <c r="BQ1673" s="59"/>
      <c r="BR1673" s="59"/>
      <c r="BS1673" s="59"/>
      <c r="BT1673" s="59"/>
      <c r="BU1673" s="59"/>
      <c r="BV1673" s="59"/>
      <c r="BW1673" s="59"/>
      <c r="BX1673" s="59"/>
      <c r="BY1673" s="59"/>
      <c r="BZ1673" s="59"/>
      <c r="CA1673" s="59"/>
      <c r="CB1673" s="59"/>
      <c r="CC1673" s="59"/>
      <c r="CD1673" s="59"/>
      <c r="CE1673" s="59"/>
      <c r="CF1673" s="59"/>
      <c r="CG1673" s="59"/>
      <c r="CH1673" s="59"/>
      <c r="CI1673" s="59"/>
      <c r="CJ1673" s="59"/>
      <c r="CK1673" s="59"/>
      <c r="CL1673" s="59"/>
      <c r="CM1673" s="59"/>
      <c r="CN1673" s="59"/>
      <c r="CO1673" s="59"/>
      <c r="CP1673" s="59"/>
      <c r="CQ1673" s="59"/>
      <c r="CR1673" s="59"/>
      <c r="CS1673" s="59"/>
      <c r="CT1673" s="59"/>
      <c r="CU1673" s="59"/>
      <c r="CV1673" s="59"/>
      <c r="CW1673" s="59"/>
      <c r="CX1673" s="59"/>
      <c r="CY1673" s="59"/>
      <c r="CZ1673" s="59"/>
      <c r="DA1673" s="59"/>
      <c r="DB1673" s="59"/>
      <c r="DC1673" s="59"/>
      <c r="DD1673" s="59"/>
      <c r="DE1673" s="59"/>
      <c r="DF1673" s="59"/>
      <c r="DG1673" s="59"/>
      <c r="DH1673" s="59"/>
      <c r="DI1673" s="59"/>
      <c r="DJ1673" s="59"/>
      <c r="DK1673" s="59"/>
      <c r="DL1673" s="59"/>
      <c r="DM1673" s="59"/>
      <c r="DN1673" s="59"/>
      <c r="DO1673" s="59"/>
      <c r="DP1673" s="59"/>
      <c r="DQ1673" s="59"/>
      <c r="DR1673" s="59"/>
      <c r="DS1673" s="59"/>
      <c r="DT1673" s="59"/>
      <c r="DU1673" s="59"/>
      <c r="DV1673" s="59"/>
      <c r="DW1673" s="59"/>
      <c r="DX1673" s="59"/>
      <c r="DY1673" s="59"/>
      <c r="DZ1673" s="59"/>
      <c r="EA1673" s="59"/>
      <c r="EB1673" s="59"/>
      <c r="EC1673" s="59"/>
      <c r="ED1673" s="59"/>
      <c r="EE1673" s="59"/>
      <c r="EF1673" s="59"/>
      <c r="EG1673" s="59"/>
      <c r="EH1673" s="59"/>
      <c r="EI1673" s="59"/>
      <c r="EJ1673" s="59"/>
      <c r="EK1673" s="59"/>
      <c r="EL1673" s="59"/>
      <c r="EM1673" s="59"/>
      <c r="EN1673" s="59"/>
      <c r="EO1673" s="59"/>
      <c r="EP1673" s="59"/>
      <c r="EQ1673" s="59"/>
      <c r="ER1673" s="59"/>
      <c r="ES1673" s="59"/>
      <c r="ET1673" s="59"/>
      <c r="EU1673" s="59"/>
      <c r="EV1673" s="59"/>
      <c r="EW1673" s="59"/>
      <c r="EX1673" s="59"/>
      <c r="EY1673" s="59"/>
      <c r="EZ1673" s="59"/>
      <c r="FA1673" s="59"/>
      <c r="FB1673" s="59"/>
      <c r="FC1673" s="59"/>
      <c r="FD1673" s="59"/>
      <c r="FE1673" s="59"/>
      <c r="FF1673" s="59"/>
      <c r="FG1673" s="59"/>
      <c r="FH1673" s="59"/>
      <c r="FI1673" s="59"/>
      <c r="FJ1673" s="59"/>
      <c r="FK1673" s="59"/>
      <c r="FL1673" s="59"/>
      <c r="FM1673" s="59"/>
      <c r="FN1673" s="59"/>
      <c r="FO1673" s="59"/>
      <c r="FP1673" s="59"/>
      <c r="FQ1673" s="59"/>
      <c r="FR1673" s="59"/>
      <c r="FS1673" s="59"/>
      <c r="FT1673" s="59"/>
      <c r="FU1673" s="59"/>
      <c r="FV1673" s="59"/>
      <c r="FW1673" s="59"/>
      <c r="FX1673" s="59"/>
      <c r="FY1673" s="59"/>
      <c r="FZ1673" s="59"/>
      <c r="GA1673" s="59"/>
      <c r="GB1673" s="59"/>
      <c r="GC1673" s="59"/>
    </row>
    <row r="1674">
      <c r="A1674" s="59"/>
      <c r="B1674" s="59"/>
      <c r="C1674" s="59"/>
      <c r="D1674" s="59"/>
      <c r="E1674" s="59"/>
      <c r="F1674" s="59"/>
      <c r="G1674" s="59"/>
      <c r="H1674" s="59"/>
      <c r="I1674" s="59"/>
      <c r="J1674" s="59"/>
      <c r="K1674" s="59"/>
      <c r="L1674" s="59"/>
      <c r="M1674" s="59"/>
      <c r="N1674" s="59"/>
      <c r="O1674" s="59"/>
      <c r="P1674" s="59"/>
      <c r="Q1674" s="59"/>
      <c r="R1674" s="59"/>
      <c r="S1674" s="59"/>
      <c r="T1674" s="59"/>
      <c r="U1674" s="59"/>
      <c r="V1674" s="59"/>
      <c r="W1674" s="59"/>
      <c r="X1674" s="59"/>
      <c r="Y1674" s="59"/>
      <c r="Z1674" s="59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59"/>
      <c r="AU1674" s="59"/>
      <c r="AV1674" s="59"/>
      <c r="AW1674" s="59"/>
      <c r="AX1674" s="59"/>
      <c r="AY1674" s="59"/>
      <c r="AZ1674" s="59"/>
      <c r="BA1674" s="59"/>
      <c r="BB1674" s="59"/>
      <c r="BC1674" s="59"/>
      <c r="BD1674" s="59"/>
      <c r="BE1674" s="59"/>
      <c r="BF1674" s="59"/>
      <c r="BG1674" s="59"/>
      <c r="BH1674" s="59"/>
      <c r="BI1674" s="59"/>
      <c r="BJ1674" s="59"/>
      <c r="BK1674" s="59"/>
      <c r="BL1674" s="59"/>
      <c r="BM1674" s="59"/>
      <c r="BN1674" s="59"/>
      <c r="BO1674" s="59"/>
      <c r="BP1674" s="59"/>
      <c r="BQ1674" s="59"/>
      <c r="BR1674" s="59"/>
      <c r="BS1674" s="59"/>
      <c r="BT1674" s="59"/>
      <c r="BU1674" s="59"/>
      <c r="BV1674" s="59"/>
      <c r="BW1674" s="59"/>
      <c r="BX1674" s="59"/>
      <c r="BY1674" s="59"/>
      <c r="BZ1674" s="59"/>
      <c r="CA1674" s="59"/>
      <c r="CB1674" s="59"/>
      <c r="CC1674" s="59"/>
      <c r="CD1674" s="59"/>
      <c r="CE1674" s="59"/>
      <c r="CF1674" s="59"/>
      <c r="CG1674" s="59"/>
      <c r="CH1674" s="59"/>
      <c r="CI1674" s="59"/>
      <c r="CJ1674" s="59"/>
      <c r="CK1674" s="59"/>
      <c r="CL1674" s="59"/>
      <c r="CM1674" s="59"/>
      <c r="CN1674" s="59"/>
      <c r="CO1674" s="59"/>
      <c r="CP1674" s="59"/>
      <c r="CQ1674" s="59"/>
      <c r="CR1674" s="59"/>
      <c r="CS1674" s="59"/>
      <c r="CT1674" s="59"/>
      <c r="CU1674" s="59"/>
      <c r="CV1674" s="59"/>
      <c r="CW1674" s="59"/>
      <c r="CX1674" s="59"/>
      <c r="CY1674" s="59"/>
      <c r="CZ1674" s="59"/>
      <c r="DA1674" s="59"/>
      <c r="DB1674" s="59"/>
      <c r="DC1674" s="59"/>
      <c r="DD1674" s="59"/>
      <c r="DE1674" s="59"/>
      <c r="DF1674" s="59"/>
      <c r="DG1674" s="59"/>
      <c r="DH1674" s="59"/>
      <c r="DI1674" s="59"/>
      <c r="DJ1674" s="59"/>
      <c r="DK1674" s="59"/>
      <c r="DL1674" s="59"/>
      <c r="DM1674" s="59"/>
      <c r="DN1674" s="59"/>
      <c r="DO1674" s="59"/>
      <c r="DP1674" s="59"/>
      <c r="DQ1674" s="59"/>
      <c r="DR1674" s="59"/>
      <c r="DS1674" s="59"/>
      <c r="DT1674" s="59"/>
      <c r="DU1674" s="59"/>
      <c r="DV1674" s="59"/>
      <c r="DW1674" s="59"/>
      <c r="DX1674" s="59"/>
      <c r="DY1674" s="59"/>
      <c r="DZ1674" s="59"/>
      <c r="EA1674" s="59"/>
      <c r="EB1674" s="59"/>
      <c r="EC1674" s="59"/>
      <c r="ED1674" s="59"/>
      <c r="EE1674" s="59"/>
      <c r="EF1674" s="59"/>
      <c r="EG1674" s="59"/>
      <c r="EH1674" s="59"/>
      <c r="EI1674" s="59"/>
      <c r="EJ1674" s="59"/>
      <c r="EK1674" s="59"/>
      <c r="EL1674" s="59"/>
      <c r="EM1674" s="59"/>
      <c r="EN1674" s="59"/>
      <c r="EO1674" s="59"/>
      <c r="EP1674" s="59"/>
      <c r="EQ1674" s="59"/>
      <c r="ER1674" s="59"/>
      <c r="ES1674" s="59"/>
      <c r="ET1674" s="59"/>
      <c r="EU1674" s="59"/>
      <c r="EV1674" s="59"/>
      <c r="EW1674" s="59"/>
      <c r="EX1674" s="59"/>
      <c r="EY1674" s="59"/>
      <c r="EZ1674" s="59"/>
      <c r="FA1674" s="59"/>
      <c r="FB1674" s="59"/>
      <c r="FC1674" s="59"/>
      <c r="FD1674" s="59"/>
      <c r="FE1674" s="59"/>
      <c r="FF1674" s="59"/>
      <c r="FG1674" s="59"/>
      <c r="FH1674" s="59"/>
      <c r="FI1674" s="59"/>
      <c r="FJ1674" s="59"/>
      <c r="FK1674" s="59"/>
      <c r="FL1674" s="59"/>
      <c r="FM1674" s="59"/>
      <c r="FN1674" s="59"/>
      <c r="FO1674" s="59"/>
      <c r="FP1674" s="59"/>
      <c r="FQ1674" s="59"/>
      <c r="FR1674" s="59"/>
      <c r="FS1674" s="59"/>
      <c r="FT1674" s="59"/>
      <c r="FU1674" s="59"/>
      <c r="FV1674" s="59"/>
      <c r="FW1674" s="59"/>
      <c r="FX1674" s="59"/>
      <c r="FY1674" s="59"/>
      <c r="FZ1674" s="59"/>
      <c r="GA1674" s="59"/>
      <c r="GB1674" s="59"/>
      <c r="GC1674" s="59"/>
    </row>
    <row r="1675">
      <c r="A1675" s="59"/>
      <c r="B1675" s="59"/>
      <c r="C1675" s="59"/>
      <c r="D1675" s="59"/>
      <c r="E1675" s="59"/>
      <c r="F1675" s="59"/>
      <c r="G1675" s="59"/>
      <c r="H1675" s="59"/>
      <c r="I1675" s="59"/>
      <c r="J1675" s="59"/>
      <c r="K1675" s="59"/>
      <c r="L1675" s="59"/>
      <c r="M1675" s="59"/>
      <c r="N1675" s="59"/>
      <c r="O1675" s="59"/>
      <c r="P1675" s="59"/>
      <c r="Q1675" s="59"/>
      <c r="R1675" s="59"/>
      <c r="S1675" s="59"/>
      <c r="T1675" s="59"/>
      <c r="U1675" s="59"/>
      <c r="V1675" s="59"/>
      <c r="W1675" s="59"/>
      <c r="X1675" s="59"/>
      <c r="Y1675" s="59"/>
      <c r="Z1675" s="59"/>
      <c r="AA1675" s="59"/>
      <c r="AB1675" s="59"/>
      <c r="AC1675" s="59"/>
      <c r="AD1675" s="59"/>
      <c r="AE1675" s="59"/>
      <c r="AF1675" s="59"/>
      <c r="AG1675" s="59"/>
      <c r="AH1675" s="59"/>
      <c r="AI1675" s="59"/>
      <c r="AJ1675" s="59"/>
      <c r="AK1675" s="59"/>
      <c r="AL1675" s="59"/>
      <c r="AM1675" s="59"/>
      <c r="AN1675" s="59"/>
      <c r="AO1675" s="59"/>
      <c r="AP1675" s="59"/>
      <c r="AQ1675" s="59"/>
      <c r="AR1675" s="59"/>
      <c r="AS1675" s="59"/>
      <c r="AT1675" s="59"/>
      <c r="AU1675" s="59"/>
      <c r="AV1675" s="59"/>
      <c r="AW1675" s="59"/>
      <c r="AX1675" s="59"/>
      <c r="AY1675" s="59"/>
      <c r="AZ1675" s="59"/>
      <c r="BA1675" s="59"/>
      <c r="BB1675" s="59"/>
      <c r="BC1675" s="59"/>
      <c r="BD1675" s="59"/>
      <c r="BE1675" s="59"/>
      <c r="BF1675" s="59"/>
      <c r="BG1675" s="59"/>
      <c r="BH1675" s="59"/>
      <c r="BI1675" s="59"/>
      <c r="BJ1675" s="59"/>
      <c r="BK1675" s="59"/>
      <c r="BL1675" s="59"/>
      <c r="BM1675" s="59"/>
      <c r="BN1675" s="59"/>
      <c r="BO1675" s="59"/>
      <c r="BP1675" s="59"/>
      <c r="BQ1675" s="59"/>
      <c r="BR1675" s="59"/>
      <c r="BS1675" s="59"/>
      <c r="BT1675" s="59"/>
      <c r="BU1675" s="59"/>
      <c r="BV1675" s="59"/>
      <c r="BW1675" s="59"/>
      <c r="BX1675" s="59"/>
      <c r="BY1675" s="59"/>
      <c r="BZ1675" s="59"/>
      <c r="CA1675" s="59"/>
      <c r="CB1675" s="59"/>
      <c r="CC1675" s="59"/>
      <c r="CD1675" s="59"/>
      <c r="CE1675" s="59"/>
      <c r="CF1675" s="59"/>
      <c r="CG1675" s="59"/>
      <c r="CH1675" s="59"/>
      <c r="CI1675" s="59"/>
      <c r="CJ1675" s="59"/>
      <c r="CK1675" s="59"/>
      <c r="CL1675" s="59"/>
      <c r="CM1675" s="59"/>
      <c r="CN1675" s="59"/>
      <c r="CO1675" s="59"/>
      <c r="CP1675" s="59"/>
      <c r="CQ1675" s="59"/>
      <c r="CR1675" s="59"/>
      <c r="CS1675" s="59"/>
      <c r="CT1675" s="59"/>
      <c r="CU1675" s="59"/>
      <c r="CV1675" s="59"/>
      <c r="CW1675" s="59"/>
      <c r="CX1675" s="59"/>
      <c r="CY1675" s="59"/>
      <c r="CZ1675" s="59"/>
      <c r="DA1675" s="59"/>
      <c r="DB1675" s="59"/>
      <c r="DC1675" s="59"/>
      <c r="DD1675" s="59"/>
      <c r="DE1675" s="59"/>
      <c r="DF1675" s="59"/>
      <c r="DG1675" s="59"/>
      <c r="DH1675" s="59"/>
      <c r="DI1675" s="59"/>
      <c r="DJ1675" s="59"/>
      <c r="DK1675" s="59"/>
      <c r="DL1675" s="59"/>
      <c r="DM1675" s="59"/>
      <c r="DN1675" s="59"/>
      <c r="DO1675" s="59"/>
      <c r="DP1675" s="59"/>
      <c r="DQ1675" s="59"/>
      <c r="DR1675" s="59"/>
      <c r="DS1675" s="59"/>
      <c r="DT1675" s="59"/>
      <c r="DU1675" s="59"/>
      <c r="DV1675" s="59"/>
      <c r="DW1675" s="59"/>
      <c r="DX1675" s="59"/>
      <c r="DY1675" s="59"/>
      <c r="DZ1675" s="59"/>
      <c r="EA1675" s="59"/>
      <c r="EB1675" s="59"/>
      <c r="EC1675" s="59"/>
      <c r="ED1675" s="59"/>
      <c r="EE1675" s="59"/>
      <c r="EF1675" s="59"/>
      <c r="EG1675" s="59"/>
      <c r="EH1675" s="59"/>
      <c r="EI1675" s="59"/>
      <c r="EJ1675" s="59"/>
      <c r="EK1675" s="59"/>
      <c r="EL1675" s="59"/>
      <c r="EM1675" s="59"/>
      <c r="EN1675" s="59"/>
      <c r="EO1675" s="59"/>
      <c r="EP1675" s="59"/>
      <c r="EQ1675" s="59"/>
      <c r="ER1675" s="59"/>
      <c r="ES1675" s="59"/>
      <c r="ET1675" s="59"/>
      <c r="EU1675" s="59"/>
      <c r="EV1675" s="59"/>
      <c r="EW1675" s="59"/>
      <c r="EX1675" s="59"/>
      <c r="EY1675" s="59"/>
      <c r="EZ1675" s="59"/>
      <c r="FA1675" s="59"/>
      <c r="FB1675" s="59"/>
      <c r="FC1675" s="59"/>
      <c r="FD1675" s="59"/>
      <c r="FE1675" s="59"/>
      <c r="FF1675" s="59"/>
      <c r="FG1675" s="59"/>
      <c r="FH1675" s="59"/>
      <c r="FI1675" s="59"/>
      <c r="FJ1675" s="59"/>
      <c r="FK1675" s="59"/>
      <c r="FL1675" s="59"/>
      <c r="FM1675" s="59"/>
      <c r="FN1675" s="59"/>
      <c r="FO1675" s="59"/>
      <c r="FP1675" s="59"/>
      <c r="FQ1675" s="59"/>
      <c r="FR1675" s="59"/>
      <c r="FS1675" s="59"/>
      <c r="FT1675" s="59"/>
      <c r="FU1675" s="59"/>
      <c r="FV1675" s="59"/>
      <c r="FW1675" s="59"/>
      <c r="FX1675" s="59"/>
      <c r="FY1675" s="59"/>
      <c r="FZ1675" s="59"/>
      <c r="GA1675" s="59"/>
      <c r="GB1675" s="59"/>
      <c r="GC1675" s="59"/>
    </row>
    <row r="1676">
      <c r="A1676" s="59"/>
      <c r="B1676" s="59"/>
      <c r="C1676" s="59"/>
      <c r="D1676" s="59"/>
      <c r="E1676" s="59"/>
      <c r="F1676" s="59"/>
      <c r="G1676" s="59"/>
      <c r="H1676" s="59"/>
      <c r="I1676" s="59"/>
      <c r="J1676" s="59"/>
      <c r="K1676" s="59"/>
      <c r="L1676" s="59"/>
      <c r="M1676" s="59"/>
      <c r="N1676" s="59"/>
      <c r="O1676" s="59"/>
      <c r="P1676" s="59"/>
      <c r="Q1676" s="59"/>
      <c r="R1676" s="59"/>
      <c r="S1676" s="59"/>
      <c r="T1676" s="59"/>
      <c r="U1676" s="59"/>
      <c r="V1676" s="59"/>
      <c r="W1676" s="59"/>
      <c r="X1676" s="59"/>
      <c r="Y1676" s="59"/>
      <c r="Z1676" s="59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59"/>
      <c r="AU1676" s="59"/>
      <c r="AV1676" s="59"/>
      <c r="AW1676" s="59"/>
      <c r="AX1676" s="59"/>
      <c r="AY1676" s="59"/>
      <c r="AZ1676" s="59"/>
      <c r="BA1676" s="59"/>
      <c r="BB1676" s="59"/>
      <c r="BC1676" s="59"/>
      <c r="BD1676" s="59"/>
      <c r="BE1676" s="59"/>
      <c r="BF1676" s="59"/>
      <c r="BG1676" s="59"/>
      <c r="BH1676" s="59"/>
      <c r="BI1676" s="59"/>
      <c r="BJ1676" s="59"/>
      <c r="BK1676" s="59"/>
      <c r="BL1676" s="59"/>
      <c r="BM1676" s="59"/>
      <c r="BN1676" s="59"/>
      <c r="BO1676" s="59"/>
      <c r="BP1676" s="59"/>
      <c r="BQ1676" s="59"/>
      <c r="BR1676" s="59"/>
      <c r="BS1676" s="59"/>
      <c r="BT1676" s="59"/>
      <c r="BU1676" s="59"/>
      <c r="BV1676" s="59"/>
      <c r="BW1676" s="59"/>
      <c r="BX1676" s="59"/>
      <c r="BY1676" s="59"/>
      <c r="BZ1676" s="59"/>
      <c r="CA1676" s="59"/>
      <c r="CB1676" s="59"/>
      <c r="CC1676" s="59"/>
      <c r="CD1676" s="59"/>
      <c r="CE1676" s="59"/>
      <c r="CF1676" s="59"/>
      <c r="CG1676" s="59"/>
      <c r="CH1676" s="59"/>
      <c r="CI1676" s="59"/>
      <c r="CJ1676" s="59"/>
      <c r="CK1676" s="59"/>
      <c r="CL1676" s="59"/>
      <c r="CM1676" s="59"/>
      <c r="CN1676" s="59"/>
      <c r="CO1676" s="59"/>
      <c r="CP1676" s="59"/>
      <c r="CQ1676" s="59"/>
      <c r="CR1676" s="59"/>
      <c r="CS1676" s="59"/>
      <c r="CT1676" s="59"/>
      <c r="CU1676" s="59"/>
      <c r="CV1676" s="59"/>
      <c r="CW1676" s="59"/>
      <c r="CX1676" s="59"/>
      <c r="CY1676" s="59"/>
      <c r="CZ1676" s="59"/>
      <c r="DA1676" s="59"/>
      <c r="DB1676" s="59"/>
      <c r="DC1676" s="59"/>
      <c r="DD1676" s="59"/>
      <c r="DE1676" s="59"/>
      <c r="DF1676" s="59"/>
      <c r="DG1676" s="59"/>
      <c r="DH1676" s="59"/>
      <c r="DI1676" s="59"/>
      <c r="DJ1676" s="59"/>
      <c r="DK1676" s="59"/>
      <c r="DL1676" s="59"/>
      <c r="DM1676" s="59"/>
      <c r="DN1676" s="59"/>
      <c r="DO1676" s="59"/>
      <c r="DP1676" s="59"/>
      <c r="DQ1676" s="59"/>
      <c r="DR1676" s="59"/>
      <c r="DS1676" s="59"/>
      <c r="DT1676" s="59"/>
      <c r="DU1676" s="59"/>
      <c r="DV1676" s="59"/>
      <c r="DW1676" s="59"/>
      <c r="DX1676" s="59"/>
      <c r="DY1676" s="59"/>
      <c r="DZ1676" s="59"/>
      <c r="EA1676" s="59"/>
      <c r="EB1676" s="59"/>
      <c r="EC1676" s="59"/>
      <c r="ED1676" s="59"/>
      <c r="EE1676" s="59"/>
      <c r="EF1676" s="59"/>
      <c r="EG1676" s="59"/>
      <c r="EH1676" s="59"/>
      <c r="EI1676" s="59"/>
      <c r="EJ1676" s="59"/>
      <c r="EK1676" s="59"/>
      <c r="EL1676" s="59"/>
      <c r="EM1676" s="59"/>
      <c r="EN1676" s="59"/>
      <c r="EO1676" s="59"/>
      <c r="EP1676" s="59"/>
      <c r="EQ1676" s="59"/>
      <c r="ER1676" s="59"/>
      <c r="ES1676" s="59"/>
      <c r="ET1676" s="59"/>
      <c r="EU1676" s="59"/>
      <c r="EV1676" s="59"/>
      <c r="EW1676" s="59"/>
      <c r="EX1676" s="59"/>
      <c r="EY1676" s="59"/>
      <c r="EZ1676" s="59"/>
      <c r="FA1676" s="59"/>
      <c r="FB1676" s="59"/>
      <c r="FC1676" s="59"/>
      <c r="FD1676" s="59"/>
      <c r="FE1676" s="59"/>
      <c r="FF1676" s="59"/>
      <c r="FG1676" s="59"/>
      <c r="FH1676" s="59"/>
      <c r="FI1676" s="59"/>
      <c r="FJ1676" s="59"/>
      <c r="FK1676" s="59"/>
      <c r="FL1676" s="59"/>
      <c r="FM1676" s="59"/>
      <c r="FN1676" s="59"/>
      <c r="FO1676" s="59"/>
      <c r="FP1676" s="59"/>
      <c r="FQ1676" s="59"/>
      <c r="FR1676" s="59"/>
      <c r="FS1676" s="59"/>
      <c r="FT1676" s="59"/>
      <c r="FU1676" s="59"/>
      <c r="FV1676" s="59"/>
      <c r="FW1676" s="59"/>
      <c r="FX1676" s="59"/>
      <c r="FY1676" s="59"/>
      <c r="FZ1676" s="59"/>
      <c r="GA1676" s="59"/>
      <c r="GB1676" s="59"/>
      <c r="GC1676" s="59"/>
    </row>
    <row r="1677">
      <c r="A1677" s="59"/>
      <c r="B1677" s="59"/>
      <c r="C1677" s="59"/>
      <c r="D1677" s="59"/>
      <c r="E1677" s="59"/>
      <c r="F1677" s="59"/>
      <c r="G1677" s="59"/>
      <c r="H1677" s="59"/>
      <c r="I1677" s="59"/>
      <c r="J1677" s="59"/>
      <c r="K1677" s="59"/>
      <c r="L1677" s="59"/>
      <c r="M1677" s="59"/>
      <c r="N1677" s="59"/>
      <c r="O1677" s="59"/>
      <c r="P1677" s="59"/>
      <c r="Q1677" s="59"/>
      <c r="R1677" s="59"/>
      <c r="S1677" s="59"/>
      <c r="T1677" s="59"/>
      <c r="U1677" s="59"/>
      <c r="V1677" s="59"/>
      <c r="W1677" s="59"/>
      <c r="X1677" s="59"/>
      <c r="Y1677" s="59"/>
      <c r="Z1677" s="59"/>
      <c r="AA1677" s="59"/>
      <c r="AB1677" s="59"/>
      <c r="AC1677" s="59"/>
      <c r="AD1677" s="59"/>
      <c r="AE1677" s="59"/>
      <c r="AF1677" s="59"/>
      <c r="AG1677" s="59"/>
      <c r="AH1677" s="59"/>
      <c r="AI1677" s="59"/>
      <c r="AJ1677" s="59"/>
      <c r="AK1677" s="59"/>
      <c r="AL1677" s="59"/>
      <c r="AM1677" s="59"/>
      <c r="AN1677" s="59"/>
      <c r="AO1677" s="59"/>
      <c r="AP1677" s="59"/>
      <c r="AQ1677" s="59"/>
      <c r="AR1677" s="59"/>
      <c r="AS1677" s="59"/>
      <c r="AT1677" s="59"/>
      <c r="AU1677" s="59"/>
      <c r="AV1677" s="59"/>
      <c r="AW1677" s="59"/>
      <c r="AX1677" s="59"/>
      <c r="AY1677" s="59"/>
      <c r="AZ1677" s="59"/>
      <c r="BA1677" s="59"/>
      <c r="BB1677" s="59"/>
      <c r="BC1677" s="59"/>
      <c r="BD1677" s="59"/>
      <c r="BE1677" s="59"/>
      <c r="BF1677" s="59"/>
      <c r="BG1677" s="59"/>
      <c r="BH1677" s="59"/>
      <c r="BI1677" s="59"/>
      <c r="BJ1677" s="59"/>
      <c r="BK1677" s="59"/>
      <c r="BL1677" s="59"/>
      <c r="BM1677" s="59"/>
      <c r="BN1677" s="59"/>
      <c r="BO1677" s="59"/>
      <c r="BP1677" s="59"/>
      <c r="BQ1677" s="59"/>
      <c r="BR1677" s="59"/>
      <c r="BS1677" s="59"/>
      <c r="BT1677" s="59"/>
      <c r="BU1677" s="59"/>
      <c r="BV1677" s="59"/>
      <c r="BW1677" s="59"/>
      <c r="BX1677" s="59"/>
      <c r="BY1677" s="59"/>
      <c r="BZ1677" s="59"/>
      <c r="CA1677" s="59"/>
      <c r="CB1677" s="59"/>
      <c r="CC1677" s="59"/>
      <c r="CD1677" s="59"/>
      <c r="CE1677" s="59"/>
      <c r="CF1677" s="59"/>
      <c r="CG1677" s="59"/>
      <c r="CH1677" s="59"/>
      <c r="CI1677" s="59"/>
      <c r="CJ1677" s="59"/>
      <c r="CK1677" s="59"/>
      <c r="CL1677" s="59"/>
      <c r="CM1677" s="59"/>
      <c r="CN1677" s="59"/>
      <c r="CO1677" s="59"/>
      <c r="CP1677" s="59"/>
      <c r="CQ1677" s="59"/>
      <c r="CR1677" s="59"/>
      <c r="CS1677" s="59"/>
      <c r="CT1677" s="59"/>
      <c r="CU1677" s="59"/>
      <c r="CV1677" s="59"/>
      <c r="CW1677" s="59"/>
      <c r="CX1677" s="59"/>
      <c r="CY1677" s="59"/>
      <c r="CZ1677" s="59"/>
      <c r="DA1677" s="59"/>
      <c r="DB1677" s="59"/>
      <c r="DC1677" s="59"/>
      <c r="DD1677" s="59"/>
      <c r="DE1677" s="59"/>
      <c r="DF1677" s="59"/>
      <c r="DG1677" s="59"/>
      <c r="DH1677" s="59"/>
      <c r="DI1677" s="59"/>
      <c r="DJ1677" s="59"/>
      <c r="DK1677" s="59"/>
      <c r="DL1677" s="59"/>
      <c r="DM1677" s="59"/>
      <c r="DN1677" s="59"/>
      <c r="DO1677" s="59"/>
      <c r="DP1677" s="59"/>
      <c r="DQ1677" s="59"/>
      <c r="DR1677" s="59"/>
      <c r="DS1677" s="59"/>
      <c r="DT1677" s="59"/>
      <c r="DU1677" s="59"/>
      <c r="DV1677" s="59"/>
      <c r="DW1677" s="59"/>
      <c r="DX1677" s="59"/>
      <c r="DY1677" s="59"/>
      <c r="DZ1677" s="59"/>
      <c r="EA1677" s="59"/>
      <c r="EB1677" s="59"/>
      <c r="EC1677" s="59"/>
      <c r="ED1677" s="59"/>
      <c r="EE1677" s="59"/>
      <c r="EF1677" s="59"/>
      <c r="EG1677" s="59"/>
      <c r="EH1677" s="59"/>
      <c r="EI1677" s="59"/>
      <c r="EJ1677" s="59"/>
      <c r="EK1677" s="59"/>
      <c r="EL1677" s="59"/>
      <c r="EM1677" s="59"/>
      <c r="EN1677" s="59"/>
      <c r="EO1677" s="59"/>
      <c r="EP1677" s="59"/>
      <c r="EQ1677" s="59"/>
      <c r="ER1677" s="59"/>
      <c r="ES1677" s="59"/>
      <c r="ET1677" s="59"/>
      <c r="EU1677" s="59"/>
      <c r="EV1677" s="59"/>
      <c r="EW1677" s="59"/>
      <c r="EX1677" s="59"/>
      <c r="EY1677" s="59"/>
      <c r="EZ1677" s="59"/>
      <c r="FA1677" s="59"/>
      <c r="FB1677" s="59"/>
      <c r="FC1677" s="59"/>
      <c r="FD1677" s="59"/>
      <c r="FE1677" s="59"/>
      <c r="FF1677" s="59"/>
      <c r="FG1677" s="59"/>
      <c r="FH1677" s="59"/>
      <c r="FI1677" s="59"/>
      <c r="FJ1677" s="59"/>
      <c r="FK1677" s="59"/>
      <c r="FL1677" s="59"/>
      <c r="FM1677" s="59"/>
      <c r="FN1677" s="59"/>
      <c r="FO1677" s="59"/>
      <c r="FP1677" s="59"/>
      <c r="FQ1677" s="59"/>
      <c r="FR1677" s="59"/>
      <c r="FS1677" s="59"/>
      <c r="FT1677" s="59"/>
      <c r="FU1677" s="59"/>
      <c r="FV1677" s="59"/>
      <c r="FW1677" s="59"/>
      <c r="FX1677" s="59"/>
      <c r="FY1677" s="59"/>
      <c r="FZ1677" s="59"/>
      <c r="GA1677" s="59"/>
      <c r="GB1677" s="59"/>
      <c r="GC1677" s="59"/>
    </row>
    <row r="1678">
      <c r="A1678" s="59"/>
      <c r="B1678" s="59"/>
      <c r="C1678" s="59"/>
      <c r="D1678" s="59"/>
      <c r="E1678" s="59"/>
      <c r="F1678" s="59"/>
      <c r="G1678" s="59"/>
      <c r="H1678" s="59"/>
      <c r="I1678" s="59"/>
      <c r="J1678" s="59"/>
      <c r="K1678" s="59"/>
      <c r="L1678" s="59"/>
      <c r="M1678" s="59"/>
      <c r="N1678" s="59"/>
      <c r="O1678" s="59"/>
      <c r="P1678" s="59"/>
      <c r="Q1678" s="59"/>
      <c r="R1678" s="59"/>
      <c r="S1678" s="59"/>
      <c r="T1678" s="59"/>
      <c r="U1678" s="59"/>
      <c r="V1678" s="59"/>
      <c r="W1678" s="59"/>
      <c r="X1678" s="59"/>
      <c r="Y1678" s="59"/>
      <c r="Z1678" s="59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59"/>
      <c r="AU1678" s="59"/>
      <c r="AV1678" s="59"/>
      <c r="AW1678" s="59"/>
      <c r="AX1678" s="59"/>
      <c r="AY1678" s="59"/>
      <c r="AZ1678" s="59"/>
      <c r="BA1678" s="59"/>
      <c r="BB1678" s="59"/>
      <c r="BC1678" s="59"/>
      <c r="BD1678" s="59"/>
      <c r="BE1678" s="59"/>
      <c r="BF1678" s="59"/>
      <c r="BG1678" s="59"/>
      <c r="BH1678" s="59"/>
      <c r="BI1678" s="59"/>
      <c r="BJ1678" s="59"/>
      <c r="BK1678" s="59"/>
      <c r="BL1678" s="59"/>
      <c r="BM1678" s="59"/>
      <c r="BN1678" s="59"/>
      <c r="BO1678" s="59"/>
      <c r="BP1678" s="59"/>
      <c r="BQ1678" s="59"/>
      <c r="BR1678" s="59"/>
      <c r="BS1678" s="59"/>
      <c r="BT1678" s="59"/>
      <c r="BU1678" s="59"/>
      <c r="BV1678" s="59"/>
      <c r="BW1678" s="59"/>
      <c r="BX1678" s="59"/>
      <c r="BY1678" s="59"/>
      <c r="BZ1678" s="59"/>
      <c r="CA1678" s="59"/>
      <c r="CB1678" s="59"/>
      <c r="CC1678" s="59"/>
      <c r="CD1678" s="59"/>
      <c r="CE1678" s="59"/>
      <c r="CF1678" s="59"/>
      <c r="CG1678" s="59"/>
      <c r="CH1678" s="59"/>
      <c r="CI1678" s="59"/>
      <c r="CJ1678" s="59"/>
      <c r="CK1678" s="59"/>
      <c r="CL1678" s="59"/>
      <c r="CM1678" s="59"/>
      <c r="CN1678" s="59"/>
      <c r="CO1678" s="59"/>
      <c r="CP1678" s="59"/>
      <c r="CQ1678" s="59"/>
      <c r="CR1678" s="59"/>
      <c r="CS1678" s="59"/>
      <c r="CT1678" s="59"/>
      <c r="CU1678" s="59"/>
      <c r="CV1678" s="59"/>
      <c r="CW1678" s="59"/>
      <c r="CX1678" s="59"/>
      <c r="CY1678" s="59"/>
      <c r="CZ1678" s="59"/>
      <c r="DA1678" s="59"/>
      <c r="DB1678" s="59"/>
      <c r="DC1678" s="59"/>
      <c r="DD1678" s="59"/>
      <c r="DE1678" s="59"/>
      <c r="DF1678" s="59"/>
      <c r="DG1678" s="59"/>
      <c r="DH1678" s="59"/>
      <c r="DI1678" s="59"/>
      <c r="DJ1678" s="59"/>
      <c r="DK1678" s="59"/>
      <c r="DL1678" s="59"/>
      <c r="DM1678" s="59"/>
      <c r="DN1678" s="59"/>
      <c r="DO1678" s="59"/>
      <c r="DP1678" s="59"/>
      <c r="DQ1678" s="59"/>
      <c r="DR1678" s="59"/>
      <c r="DS1678" s="59"/>
      <c r="DT1678" s="59"/>
      <c r="DU1678" s="59"/>
      <c r="DV1678" s="59"/>
      <c r="DW1678" s="59"/>
      <c r="DX1678" s="59"/>
      <c r="DY1678" s="59"/>
      <c r="DZ1678" s="59"/>
      <c r="EA1678" s="59"/>
      <c r="EB1678" s="59"/>
      <c r="EC1678" s="59"/>
      <c r="ED1678" s="59"/>
      <c r="EE1678" s="59"/>
      <c r="EF1678" s="59"/>
      <c r="EG1678" s="59"/>
      <c r="EH1678" s="59"/>
      <c r="EI1678" s="59"/>
      <c r="EJ1678" s="59"/>
      <c r="EK1678" s="59"/>
      <c r="EL1678" s="59"/>
      <c r="EM1678" s="59"/>
      <c r="EN1678" s="59"/>
      <c r="EO1678" s="59"/>
      <c r="EP1678" s="59"/>
      <c r="EQ1678" s="59"/>
      <c r="ER1678" s="59"/>
      <c r="ES1678" s="59"/>
      <c r="ET1678" s="59"/>
      <c r="EU1678" s="59"/>
      <c r="EV1678" s="59"/>
      <c r="EW1678" s="59"/>
      <c r="EX1678" s="59"/>
      <c r="EY1678" s="59"/>
      <c r="EZ1678" s="59"/>
      <c r="FA1678" s="59"/>
      <c r="FB1678" s="59"/>
      <c r="FC1678" s="59"/>
      <c r="FD1678" s="59"/>
      <c r="FE1678" s="59"/>
      <c r="FF1678" s="59"/>
      <c r="FG1678" s="59"/>
      <c r="FH1678" s="59"/>
      <c r="FI1678" s="59"/>
      <c r="FJ1678" s="59"/>
      <c r="FK1678" s="59"/>
      <c r="FL1678" s="59"/>
      <c r="FM1678" s="59"/>
      <c r="FN1678" s="59"/>
      <c r="FO1678" s="59"/>
      <c r="FP1678" s="59"/>
      <c r="FQ1678" s="59"/>
      <c r="FR1678" s="59"/>
      <c r="FS1678" s="59"/>
      <c r="FT1678" s="59"/>
      <c r="FU1678" s="59"/>
      <c r="FV1678" s="59"/>
      <c r="FW1678" s="59"/>
      <c r="FX1678" s="59"/>
      <c r="FY1678" s="59"/>
      <c r="FZ1678" s="59"/>
      <c r="GA1678" s="59"/>
      <c r="GB1678" s="59"/>
      <c r="GC1678" s="59"/>
    </row>
    <row r="1679">
      <c r="A1679" s="59"/>
      <c r="B1679" s="59"/>
      <c r="C1679" s="59"/>
      <c r="D1679" s="59"/>
      <c r="E1679" s="59"/>
      <c r="F1679" s="59"/>
      <c r="G1679" s="59"/>
      <c r="H1679" s="59"/>
      <c r="I1679" s="59"/>
      <c r="J1679" s="59"/>
      <c r="K1679" s="59"/>
      <c r="L1679" s="59"/>
      <c r="M1679" s="59"/>
      <c r="N1679" s="59"/>
      <c r="O1679" s="59"/>
      <c r="P1679" s="59"/>
      <c r="Q1679" s="59"/>
      <c r="R1679" s="59"/>
      <c r="S1679" s="59"/>
      <c r="T1679" s="59"/>
      <c r="U1679" s="59"/>
      <c r="V1679" s="59"/>
      <c r="W1679" s="59"/>
      <c r="X1679" s="59"/>
      <c r="Y1679" s="59"/>
      <c r="Z1679" s="59"/>
      <c r="AA1679" s="59"/>
      <c r="AB1679" s="59"/>
      <c r="AC1679" s="59"/>
      <c r="AD1679" s="59"/>
      <c r="AE1679" s="59"/>
      <c r="AF1679" s="59"/>
      <c r="AG1679" s="59"/>
      <c r="AH1679" s="59"/>
      <c r="AI1679" s="59"/>
      <c r="AJ1679" s="59"/>
      <c r="AK1679" s="59"/>
      <c r="AL1679" s="59"/>
      <c r="AM1679" s="59"/>
      <c r="AN1679" s="59"/>
      <c r="AO1679" s="59"/>
      <c r="AP1679" s="59"/>
      <c r="AQ1679" s="59"/>
      <c r="AR1679" s="59"/>
      <c r="AS1679" s="59"/>
      <c r="AT1679" s="59"/>
      <c r="AU1679" s="59"/>
      <c r="AV1679" s="59"/>
      <c r="AW1679" s="59"/>
      <c r="AX1679" s="59"/>
      <c r="AY1679" s="59"/>
      <c r="AZ1679" s="59"/>
      <c r="BA1679" s="59"/>
      <c r="BB1679" s="59"/>
      <c r="BC1679" s="59"/>
      <c r="BD1679" s="59"/>
      <c r="BE1679" s="59"/>
      <c r="BF1679" s="59"/>
      <c r="BG1679" s="59"/>
      <c r="BH1679" s="59"/>
      <c r="BI1679" s="59"/>
      <c r="BJ1679" s="59"/>
      <c r="BK1679" s="59"/>
      <c r="BL1679" s="59"/>
      <c r="BM1679" s="59"/>
      <c r="BN1679" s="59"/>
      <c r="BO1679" s="59"/>
      <c r="BP1679" s="59"/>
      <c r="BQ1679" s="59"/>
      <c r="BR1679" s="59"/>
      <c r="BS1679" s="59"/>
      <c r="BT1679" s="59"/>
      <c r="BU1679" s="59"/>
      <c r="BV1679" s="59"/>
      <c r="BW1679" s="59"/>
      <c r="BX1679" s="59"/>
      <c r="BY1679" s="59"/>
      <c r="BZ1679" s="59"/>
      <c r="CA1679" s="59"/>
      <c r="CB1679" s="59"/>
      <c r="CC1679" s="59"/>
      <c r="CD1679" s="59"/>
      <c r="CE1679" s="59"/>
      <c r="CF1679" s="59"/>
      <c r="CG1679" s="59"/>
      <c r="CH1679" s="59"/>
      <c r="CI1679" s="59"/>
      <c r="CJ1679" s="59"/>
      <c r="CK1679" s="59"/>
      <c r="CL1679" s="59"/>
      <c r="CM1679" s="59"/>
      <c r="CN1679" s="59"/>
      <c r="CO1679" s="59"/>
      <c r="CP1679" s="59"/>
      <c r="CQ1679" s="59"/>
      <c r="CR1679" s="59"/>
      <c r="CS1679" s="59"/>
      <c r="CT1679" s="59"/>
      <c r="CU1679" s="59"/>
      <c r="CV1679" s="59"/>
      <c r="CW1679" s="59"/>
      <c r="CX1679" s="59"/>
      <c r="CY1679" s="59"/>
      <c r="CZ1679" s="59"/>
      <c r="DA1679" s="59"/>
      <c r="DB1679" s="59"/>
      <c r="DC1679" s="59"/>
      <c r="DD1679" s="59"/>
      <c r="DE1679" s="59"/>
      <c r="DF1679" s="59"/>
      <c r="DG1679" s="59"/>
      <c r="DH1679" s="59"/>
      <c r="DI1679" s="59"/>
      <c r="DJ1679" s="59"/>
      <c r="DK1679" s="59"/>
      <c r="DL1679" s="59"/>
      <c r="DM1679" s="59"/>
      <c r="DN1679" s="59"/>
      <c r="DO1679" s="59"/>
      <c r="DP1679" s="59"/>
      <c r="DQ1679" s="59"/>
      <c r="DR1679" s="59"/>
      <c r="DS1679" s="59"/>
      <c r="DT1679" s="59"/>
      <c r="DU1679" s="59"/>
      <c r="DV1679" s="59"/>
      <c r="DW1679" s="59"/>
      <c r="DX1679" s="59"/>
      <c r="DY1679" s="59"/>
      <c r="DZ1679" s="59"/>
      <c r="EA1679" s="59"/>
      <c r="EB1679" s="59"/>
      <c r="EC1679" s="59"/>
      <c r="ED1679" s="59"/>
      <c r="EE1679" s="59"/>
      <c r="EF1679" s="59"/>
      <c r="EG1679" s="59"/>
      <c r="EH1679" s="59"/>
      <c r="EI1679" s="59"/>
      <c r="EJ1679" s="59"/>
      <c r="EK1679" s="59"/>
      <c r="EL1679" s="59"/>
      <c r="EM1679" s="59"/>
      <c r="EN1679" s="59"/>
      <c r="EO1679" s="59"/>
      <c r="EP1679" s="59"/>
      <c r="EQ1679" s="59"/>
      <c r="ER1679" s="59"/>
      <c r="ES1679" s="59"/>
      <c r="ET1679" s="59"/>
      <c r="EU1679" s="59"/>
      <c r="EV1679" s="59"/>
      <c r="EW1679" s="59"/>
      <c r="EX1679" s="59"/>
      <c r="EY1679" s="59"/>
      <c r="EZ1679" s="59"/>
      <c r="FA1679" s="59"/>
      <c r="FB1679" s="59"/>
      <c r="FC1679" s="59"/>
      <c r="FD1679" s="59"/>
      <c r="FE1679" s="59"/>
      <c r="FF1679" s="59"/>
      <c r="FG1679" s="59"/>
      <c r="FH1679" s="59"/>
      <c r="FI1679" s="59"/>
      <c r="FJ1679" s="59"/>
      <c r="FK1679" s="59"/>
      <c r="FL1679" s="59"/>
      <c r="FM1679" s="59"/>
      <c r="FN1679" s="59"/>
      <c r="FO1679" s="59"/>
      <c r="FP1679" s="59"/>
      <c r="FQ1679" s="59"/>
      <c r="FR1679" s="59"/>
      <c r="FS1679" s="59"/>
      <c r="FT1679" s="59"/>
      <c r="FU1679" s="59"/>
      <c r="FV1679" s="59"/>
      <c r="FW1679" s="59"/>
      <c r="FX1679" s="59"/>
      <c r="FY1679" s="59"/>
      <c r="FZ1679" s="59"/>
      <c r="GA1679" s="59"/>
      <c r="GB1679" s="59"/>
      <c r="GC1679" s="59"/>
    </row>
    <row r="1680">
      <c r="A1680" s="59"/>
      <c r="B1680" s="59"/>
      <c r="C1680" s="59"/>
      <c r="D1680" s="59"/>
      <c r="E1680" s="59"/>
      <c r="F1680" s="59"/>
      <c r="G1680" s="59"/>
      <c r="H1680" s="59"/>
      <c r="I1680" s="59"/>
      <c r="J1680" s="59"/>
      <c r="K1680" s="59"/>
      <c r="L1680" s="59"/>
      <c r="M1680" s="59"/>
      <c r="N1680" s="59"/>
      <c r="O1680" s="59"/>
      <c r="P1680" s="59"/>
      <c r="Q1680" s="59"/>
      <c r="R1680" s="59"/>
      <c r="S1680" s="59"/>
      <c r="T1680" s="59"/>
      <c r="U1680" s="59"/>
      <c r="V1680" s="59"/>
      <c r="W1680" s="59"/>
      <c r="X1680" s="59"/>
      <c r="Y1680" s="59"/>
      <c r="Z1680" s="59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59"/>
      <c r="AU1680" s="59"/>
      <c r="AV1680" s="59"/>
      <c r="AW1680" s="59"/>
      <c r="AX1680" s="59"/>
      <c r="AY1680" s="59"/>
      <c r="AZ1680" s="59"/>
      <c r="BA1680" s="59"/>
      <c r="BB1680" s="59"/>
      <c r="BC1680" s="59"/>
      <c r="BD1680" s="59"/>
      <c r="BE1680" s="59"/>
      <c r="BF1680" s="59"/>
      <c r="BG1680" s="59"/>
      <c r="BH1680" s="59"/>
      <c r="BI1680" s="59"/>
      <c r="BJ1680" s="59"/>
      <c r="BK1680" s="59"/>
      <c r="BL1680" s="59"/>
      <c r="BM1680" s="59"/>
      <c r="BN1680" s="59"/>
      <c r="BO1680" s="59"/>
      <c r="BP1680" s="59"/>
      <c r="BQ1680" s="59"/>
      <c r="BR1680" s="59"/>
      <c r="BS1680" s="59"/>
      <c r="BT1680" s="59"/>
      <c r="BU1680" s="59"/>
      <c r="BV1680" s="59"/>
      <c r="BW1680" s="59"/>
      <c r="BX1680" s="59"/>
      <c r="BY1680" s="59"/>
      <c r="BZ1680" s="59"/>
      <c r="CA1680" s="59"/>
      <c r="CB1680" s="59"/>
      <c r="CC1680" s="59"/>
      <c r="CD1680" s="59"/>
      <c r="CE1680" s="59"/>
      <c r="CF1680" s="59"/>
      <c r="CG1680" s="59"/>
      <c r="CH1680" s="59"/>
      <c r="CI1680" s="59"/>
      <c r="CJ1680" s="59"/>
      <c r="CK1680" s="59"/>
      <c r="CL1680" s="59"/>
      <c r="CM1680" s="59"/>
      <c r="CN1680" s="59"/>
      <c r="CO1680" s="59"/>
      <c r="CP1680" s="59"/>
      <c r="CQ1680" s="59"/>
      <c r="CR1680" s="59"/>
      <c r="CS1680" s="59"/>
      <c r="CT1680" s="59"/>
      <c r="CU1680" s="59"/>
      <c r="CV1680" s="59"/>
      <c r="CW1680" s="59"/>
      <c r="CX1680" s="59"/>
      <c r="CY1680" s="59"/>
      <c r="CZ1680" s="59"/>
      <c r="DA1680" s="59"/>
      <c r="DB1680" s="59"/>
      <c r="DC1680" s="59"/>
      <c r="DD1680" s="59"/>
      <c r="DE1680" s="59"/>
      <c r="DF1680" s="59"/>
      <c r="DG1680" s="59"/>
      <c r="DH1680" s="59"/>
      <c r="DI1680" s="59"/>
      <c r="DJ1680" s="59"/>
      <c r="DK1680" s="59"/>
      <c r="DL1680" s="59"/>
      <c r="DM1680" s="59"/>
      <c r="DN1680" s="59"/>
      <c r="DO1680" s="59"/>
      <c r="DP1680" s="59"/>
      <c r="DQ1680" s="59"/>
      <c r="DR1680" s="59"/>
      <c r="DS1680" s="59"/>
      <c r="DT1680" s="59"/>
      <c r="DU1680" s="59"/>
      <c r="DV1680" s="59"/>
      <c r="DW1680" s="59"/>
      <c r="DX1680" s="59"/>
      <c r="DY1680" s="59"/>
      <c r="DZ1680" s="59"/>
      <c r="EA1680" s="59"/>
      <c r="EB1680" s="59"/>
      <c r="EC1680" s="59"/>
      <c r="ED1680" s="59"/>
      <c r="EE1680" s="59"/>
      <c r="EF1680" s="59"/>
      <c r="EG1680" s="59"/>
      <c r="EH1680" s="59"/>
      <c r="EI1680" s="59"/>
      <c r="EJ1680" s="59"/>
      <c r="EK1680" s="59"/>
      <c r="EL1680" s="59"/>
      <c r="EM1680" s="59"/>
      <c r="EN1680" s="59"/>
      <c r="EO1680" s="59"/>
      <c r="EP1680" s="59"/>
      <c r="EQ1680" s="59"/>
      <c r="ER1680" s="59"/>
      <c r="ES1680" s="59"/>
      <c r="ET1680" s="59"/>
      <c r="EU1680" s="59"/>
      <c r="EV1680" s="59"/>
      <c r="EW1680" s="59"/>
      <c r="EX1680" s="59"/>
      <c r="EY1680" s="59"/>
      <c r="EZ1680" s="59"/>
      <c r="FA1680" s="59"/>
      <c r="FB1680" s="59"/>
      <c r="FC1680" s="59"/>
      <c r="FD1680" s="59"/>
      <c r="FE1680" s="59"/>
      <c r="FF1680" s="59"/>
      <c r="FG1680" s="59"/>
      <c r="FH1680" s="59"/>
      <c r="FI1680" s="59"/>
      <c r="FJ1680" s="59"/>
      <c r="FK1680" s="59"/>
      <c r="FL1680" s="59"/>
      <c r="FM1680" s="59"/>
      <c r="FN1680" s="59"/>
      <c r="FO1680" s="59"/>
      <c r="FP1680" s="59"/>
      <c r="FQ1680" s="59"/>
      <c r="FR1680" s="59"/>
      <c r="FS1680" s="59"/>
      <c r="FT1680" s="59"/>
      <c r="FU1680" s="59"/>
      <c r="FV1680" s="59"/>
      <c r="FW1680" s="59"/>
      <c r="FX1680" s="59"/>
      <c r="FY1680" s="59"/>
      <c r="FZ1680" s="59"/>
      <c r="GA1680" s="59"/>
      <c r="GB1680" s="59"/>
      <c r="GC1680" s="59"/>
    </row>
    <row r="1681">
      <c r="A1681" s="59"/>
      <c r="B1681" s="59"/>
      <c r="C1681" s="59"/>
      <c r="D1681" s="59"/>
      <c r="E1681" s="59"/>
      <c r="F1681" s="59"/>
      <c r="G1681" s="59"/>
      <c r="H1681" s="59"/>
      <c r="I1681" s="59"/>
      <c r="J1681" s="59"/>
      <c r="K1681" s="59"/>
      <c r="L1681" s="59"/>
      <c r="M1681" s="59"/>
      <c r="N1681" s="59"/>
      <c r="O1681" s="59"/>
      <c r="P1681" s="59"/>
      <c r="Q1681" s="59"/>
      <c r="R1681" s="59"/>
      <c r="S1681" s="59"/>
      <c r="T1681" s="59"/>
      <c r="U1681" s="59"/>
      <c r="V1681" s="59"/>
      <c r="W1681" s="59"/>
      <c r="X1681" s="59"/>
      <c r="Y1681" s="59"/>
      <c r="Z1681" s="59"/>
      <c r="AA1681" s="59"/>
      <c r="AB1681" s="59"/>
      <c r="AC1681" s="59"/>
      <c r="AD1681" s="59"/>
      <c r="AE1681" s="59"/>
      <c r="AF1681" s="59"/>
      <c r="AG1681" s="59"/>
      <c r="AH1681" s="59"/>
      <c r="AI1681" s="59"/>
      <c r="AJ1681" s="59"/>
      <c r="AK1681" s="59"/>
      <c r="AL1681" s="59"/>
      <c r="AM1681" s="59"/>
      <c r="AN1681" s="59"/>
      <c r="AO1681" s="59"/>
      <c r="AP1681" s="59"/>
      <c r="AQ1681" s="59"/>
      <c r="AR1681" s="59"/>
      <c r="AS1681" s="59"/>
      <c r="AT1681" s="59"/>
      <c r="AU1681" s="59"/>
      <c r="AV1681" s="59"/>
      <c r="AW1681" s="59"/>
      <c r="AX1681" s="59"/>
      <c r="AY1681" s="59"/>
      <c r="AZ1681" s="59"/>
      <c r="BA1681" s="59"/>
      <c r="BB1681" s="59"/>
      <c r="BC1681" s="59"/>
      <c r="BD1681" s="59"/>
      <c r="BE1681" s="59"/>
      <c r="BF1681" s="59"/>
      <c r="BG1681" s="59"/>
      <c r="BH1681" s="59"/>
      <c r="BI1681" s="59"/>
      <c r="BJ1681" s="59"/>
      <c r="BK1681" s="59"/>
      <c r="BL1681" s="59"/>
      <c r="BM1681" s="59"/>
      <c r="BN1681" s="59"/>
      <c r="BO1681" s="59"/>
      <c r="BP1681" s="59"/>
      <c r="BQ1681" s="59"/>
      <c r="BR1681" s="59"/>
      <c r="BS1681" s="59"/>
      <c r="BT1681" s="59"/>
      <c r="BU1681" s="59"/>
      <c r="BV1681" s="59"/>
      <c r="BW1681" s="59"/>
      <c r="BX1681" s="59"/>
      <c r="BY1681" s="59"/>
      <c r="BZ1681" s="59"/>
      <c r="CA1681" s="59"/>
      <c r="CB1681" s="59"/>
      <c r="CC1681" s="59"/>
      <c r="CD1681" s="59"/>
      <c r="CE1681" s="59"/>
      <c r="CF1681" s="59"/>
      <c r="CG1681" s="59"/>
      <c r="CH1681" s="59"/>
      <c r="CI1681" s="59"/>
      <c r="CJ1681" s="59"/>
      <c r="CK1681" s="59"/>
      <c r="CL1681" s="59"/>
      <c r="CM1681" s="59"/>
      <c r="CN1681" s="59"/>
      <c r="CO1681" s="59"/>
      <c r="CP1681" s="59"/>
      <c r="CQ1681" s="59"/>
      <c r="CR1681" s="59"/>
      <c r="CS1681" s="59"/>
      <c r="CT1681" s="59"/>
      <c r="CU1681" s="59"/>
      <c r="CV1681" s="59"/>
      <c r="CW1681" s="59"/>
      <c r="CX1681" s="59"/>
      <c r="CY1681" s="59"/>
      <c r="CZ1681" s="59"/>
      <c r="DA1681" s="59"/>
      <c r="DB1681" s="59"/>
      <c r="DC1681" s="59"/>
      <c r="DD1681" s="59"/>
      <c r="DE1681" s="59"/>
      <c r="DF1681" s="59"/>
      <c r="DG1681" s="59"/>
      <c r="DH1681" s="59"/>
      <c r="DI1681" s="59"/>
      <c r="DJ1681" s="59"/>
      <c r="DK1681" s="59"/>
      <c r="DL1681" s="59"/>
      <c r="DM1681" s="59"/>
      <c r="DN1681" s="59"/>
      <c r="DO1681" s="59"/>
      <c r="DP1681" s="59"/>
      <c r="DQ1681" s="59"/>
      <c r="DR1681" s="59"/>
      <c r="DS1681" s="59"/>
      <c r="DT1681" s="59"/>
      <c r="DU1681" s="59"/>
      <c r="DV1681" s="59"/>
      <c r="DW1681" s="59"/>
      <c r="DX1681" s="59"/>
      <c r="DY1681" s="59"/>
      <c r="DZ1681" s="59"/>
      <c r="EA1681" s="59"/>
      <c r="EB1681" s="59"/>
      <c r="EC1681" s="59"/>
      <c r="ED1681" s="59"/>
      <c r="EE1681" s="59"/>
      <c r="EF1681" s="59"/>
      <c r="EG1681" s="59"/>
      <c r="EH1681" s="59"/>
      <c r="EI1681" s="59"/>
      <c r="EJ1681" s="59"/>
      <c r="EK1681" s="59"/>
      <c r="EL1681" s="59"/>
      <c r="EM1681" s="59"/>
      <c r="EN1681" s="59"/>
      <c r="EO1681" s="59"/>
      <c r="EP1681" s="59"/>
      <c r="EQ1681" s="59"/>
      <c r="ER1681" s="59"/>
      <c r="ES1681" s="59"/>
      <c r="ET1681" s="59"/>
      <c r="EU1681" s="59"/>
      <c r="EV1681" s="59"/>
      <c r="EW1681" s="59"/>
      <c r="EX1681" s="59"/>
      <c r="EY1681" s="59"/>
      <c r="EZ1681" s="59"/>
      <c r="FA1681" s="59"/>
      <c r="FB1681" s="59"/>
      <c r="FC1681" s="59"/>
      <c r="FD1681" s="59"/>
      <c r="FE1681" s="59"/>
      <c r="FF1681" s="59"/>
      <c r="FG1681" s="59"/>
      <c r="FH1681" s="59"/>
      <c r="FI1681" s="59"/>
      <c r="FJ1681" s="59"/>
      <c r="FK1681" s="59"/>
      <c r="FL1681" s="59"/>
      <c r="FM1681" s="59"/>
      <c r="FN1681" s="59"/>
      <c r="FO1681" s="59"/>
      <c r="FP1681" s="59"/>
      <c r="FQ1681" s="59"/>
      <c r="FR1681" s="59"/>
      <c r="FS1681" s="59"/>
      <c r="FT1681" s="59"/>
      <c r="FU1681" s="59"/>
      <c r="FV1681" s="59"/>
      <c r="FW1681" s="59"/>
      <c r="FX1681" s="59"/>
      <c r="FY1681" s="59"/>
      <c r="FZ1681" s="59"/>
      <c r="GA1681" s="59"/>
      <c r="GB1681" s="59"/>
      <c r="GC1681" s="59"/>
    </row>
    <row r="1682">
      <c r="A1682" s="59"/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59"/>
      <c r="P1682" s="59"/>
      <c r="Q1682" s="59"/>
      <c r="R1682" s="59"/>
      <c r="S1682" s="59"/>
      <c r="T1682" s="59"/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59"/>
      <c r="AU1682" s="59"/>
      <c r="AV1682" s="59"/>
      <c r="AW1682" s="59"/>
      <c r="AX1682" s="59"/>
      <c r="AY1682" s="59"/>
      <c r="AZ1682" s="59"/>
      <c r="BA1682" s="59"/>
      <c r="BB1682" s="59"/>
      <c r="BC1682" s="59"/>
      <c r="BD1682" s="59"/>
      <c r="BE1682" s="59"/>
      <c r="BF1682" s="59"/>
      <c r="BG1682" s="59"/>
      <c r="BH1682" s="59"/>
      <c r="BI1682" s="59"/>
      <c r="BJ1682" s="59"/>
      <c r="BK1682" s="59"/>
      <c r="BL1682" s="59"/>
      <c r="BM1682" s="59"/>
      <c r="BN1682" s="59"/>
      <c r="BO1682" s="59"/>
      <c r="BP1682" s="59"/>
      <c r="BQ1682" s="59"/>
      <c r="BR1682" s="59"/>
      <c r="BS1682" s="59"/>
      <c r="BT1682" s="59"/>
      <c r="BU1682" s="59"/>
      <c r="BV1682" s="59"/>
      <c r="BW1682" s="59"/>
      <c r="BX1682" s="59"/>
      <c r="BY1682" s="59"/>
      <c r="BZ1682" s="59"/>
      <c r="CA1682" s="59"/>
      <c r="CB1682" s="59"/>
      <c r="CC1682" s="59"/>
      <c r="CD1682" s="59"/>
      <c r="CE1682" s="59"/>
      <c r="CF1682" s="59"/>
      <c r="CG1682" s="59"/>
      <c r="CH1682" s="59"/>
      <c r="CI1682" s="59"/>
      <c r="CJ1682" s="59"/>
      <c r="CK1682" s="59"/>
      <c r="CL1682" s="59"/>
      <c r="CM1682" s="59"/>
      <c r="CN1682" s="59"/>
      <c r="CO1682" s="59"/>
      <c r="CP1682" s="59"/>
      <c r="CQ1682" s="59"/>
      <c r="CR1682" s="59"/>
      <c r="CS1682" s="59"/>
      <c r="CT1682" s="59"/>
      <c r="CU1682" s="59"/>
      <c r="CV1682" s="59"/>
      <c r="CW1682" s="59"/>
      <c r="CX1682" s="59"/>
      <c r="CY1682" s="59"/>
      <c r="CZ1682" s="59"/>
      <c r="DA1682" s="59"/>
      <c r="DB1682" s="59"/>
      <c r="DC1682" s="59"/>
      <c r="DD1682" s="59"/>
      <c r="DE1682" s="59"/>
      <c r="DF1682" s="59"/>
      <c r="DG1682" s="59"/>
      <c r="DH1682" s="59"/>
      <c r="DI1682" s="59"/>
      <c r="DJ1682" s="59"/>
      <c r="DK1682" s="59"/>
      <c r="DL1682" s="59"/>
      <c r="DM1682" s="59"/>
      <c r="DN1682" s="59"/>
      <c r="DO1682" s="59"/>
      <c r="DP1682" s="59"/>
      <c r="DQ1682" s="59"/>
      <c r="DR1682" s="59"/>
      <c r="DS1682" s="59"/>
      <c r="DT1682" s="59"/>
      <c r="DU1682" s="59"/>
      <c r="DV1682" s="59"/>
      <c r="DW1682" s="59"/>
      <c r="DX1682" s="59"/>
      <c r="DY1682" s="59"/>
      <c r="DZ1682" s="59"/>
      <c r="EA1682" s="59"/>
      <c r="EB1682" s="59"/>
      <c r="EC1682" s="59"/>
      <c r="ED1682" s="59"/>
      <c r="EE1682" s="59"/>
      <c r="EF1682" s="59"/>
      <c r="EG1682" s="59"/>
      <c r="EH1682" s="59"/>
      <c r="EI1682" s="59"/>
      <c r="EJ1682" s="59"/>
      <c r="EK1682" s="59"/>
      <c r="EL1682" s="59"/>
      <c r="EM1682" s="59"/>
      <c r="EN1682" s="59"/>
      <c r="EO1682" s="59"/>
      <c r="EP1682" s="59"/>
      <c r="EQ1682" s="59"/>
      <c r="ER1682" s="59"/>
      <c r="ES1682" s="59"/>
      <c r="ET1682" s="59"/>
      <c r="EU1682" s="59"/>
      <c r="EV1682" s="59"/>
      <c r="EW1682" s="59"/>
      <c r="EX1682" s="59"/>
      <c r="EY1682" s="59"/>
      <c r="EZ1682" s="59"/>
      <c r="FA1682" s="59"/>
      <c r="FB1682" s="59"/>
      <c r="FC1682" s="59"/>
      <c r="FD1682" s="59"/>
      <c r="FE1682" s="59"/>
      <c r="FF1682" s="59"/>
      <c r="FG1682" s="59"/>
      <c r="FH1682" s="59"/>
      <c r="FI1682" s="59"/>
      <c r="FJ1682" s="59"/>
      <c r="FK1682" s="59"/>
      <c r="FL1682" s="59"/>
      <c r="FM1682" s="59"/>
      <c r="FN1682" s="59"/>
      <c r="FO1682" s="59"/>
      <c r="FP1682" s="59"/>
      <c r="FQ1682" s="59"/>
      <c r="FR1682" s="59"/>
      <c r="FS1682" s="59"/>
      <c r="FT1682" s="59"/>
      <c r="FU1682" s="59"/>
      <c r="FV1682" s="59"/>
      <c r="FW1682" s="59"/>
      <c r="FX1682" s="59"/>
      <c r="FY1682" s="59"/>
      <c r="FZ1682" s="59"/>
      <c r="GA1682" s="59"/>
      <c r="GB1682" s="59"/>
      <c r="GC1682" s="59"/>
    </row>
    <row r="1683">
      <c r="A1683" s="59"/>
      <c r="B1683" s="59"/>
      <c r="C1683" s="59"/>
      <c r="D1683" s="59"/>
      <c r="E1683" s="59"/>
      <c r="F1683" s="59"/>
      <c r="G1683" s="59"/>
      <c r="H1683" s="59"/>
      <c r="I1683" s="59"/>
      <c r="J1683" s="59"/>
      <c r="K1683" s="59"/>
      <c r="L1683" s="59"/>
      <c r="M1683" s="59"/>
      <c r="N1683" s="59"/>
      <c r="O1683" s="59"/>
      <c r="P1683" s="59"/>
      <c r="Q1683" s="59"/>
      <c r="R1683" s="59"/>
      <c r="S1683" s="59"/>
      <c r="T1683" s="59"/>
      <c r="U1683" s="59"/>
      <c r="V1683" s="59"/>
      <c r="W1683" s="59"/>
      <c r="X1683" s="59"/>
      <c r="Y1683" s="59"/>
      <c r="Z1683" s="59"/>
      <c r="AA1683" s="59"/>
      <c r="AB1683" s="59"/>
      <c r="AC1683" s="59"/>
      <c r="AD1683" s="59"/>
      <c r="AE1683" s="59"/>
      <c r="AF1683" s="59"/>
      <c r="AG1683" s="59"/>
      <c r="AH1683" s="59"/>
      <c r="AI1683" s="59"/>
      <c r="AJ1683" s="59"/>
      <c r="AK1683" s="59"/>
      <c r="AL1683" s="59"/>
      <c r="AM1683" s="59"/>
      <c r="AN1683" s="59"/>
      <c r="AO1683" s="59"/>
      <c r="AP1683" s="59"/>
      <c r="AQ1683" s="59"/>
      <c r="AR1683" s="59"/>
      <c r="AS1683" s="59"/>
      <c r="AT1683" s="59"/>
      <c r="AU1683" s="59"/>
      <c r="AV1683" s="59"/>
      <c r="AW1683" s="59"/>
      <c r="AX1683" s="59"/>
      <c r="AY1683" s="59"/>
      <c r="AZ1683" s="59"/>
      <c r="BA1683" s="59"/>
      <c r="BB1683" s="59"/>
      <c r="BC1683" s="59"/>
      <c r="BD1683" s="59"/>
      <c r="BE1683" s="59"/>
      <c r="BF1683" s="59"/>
      <c r="BG1683" s="59"/>
      <c r="BH1683" s="59"/>
      <c r="BI1683" s="59"/>
      <c r="BJ1683" s="59"/>
      <c r="BK1683" s="59"/>
      <c r="BL1683" s="59"/>
      <c r="BM1683" s="59"/>
      <c r="BN1683" s="59"/>
      <c r="BO1683" s="59"/>
      <c r="BP1683" s="59"/>
      <c r="BQ1683" s="59"/>
      <c r="BR1683" s="59"/>
      <c r="BS1683" s="59"/>
      <c r="BT1683" s="59"/>
      <c r="BU1683" s="59"/>
      <c r="BV1683" s="59"/>
      <c r="BW1683" s="59"/>
      <c r="BX1683" s="59"/>
      <c r="BY1683" s="59"/>
      <c r="BZ1683" s="59"/>
      <c r="CA1683" s="59"/>
      <c r="CB1683" s="59"/>
      <c r="CC1683" s="59"/>
      <c r="CD1683" s="59"/>
      <c r="CE1683" s="59"/>
      <c r="CF1683" s="59"/>
      <c r="CG1683" s="59"/>
      <c r="CH1683" s="59"/>
      <c r="CI1683" s="59"/>
      <c r="CJ1683" s="59"/>
      <c r="CK1683" s="59"/>
      <c r="CL1683" s="59"/>
      <c r="CM1683" s="59"/>
      <c r="CN1683" s="59"/>
      <c r="CO1683" s="59"/>
      <c r="CP1683" s="59"/>
      <c r="CQ1683" s="59"/>
      <c r="CR1683" s="59"/>
      <c r="CS1683" s="59"/>
      <c r="CT1683" s="59"/>
      <c r="CU1683" s="59"/>
      <c r="CV1683" s="59"/>
      <c r="CW1683" s="59"/>
      <c r="CX1683" s="59"/>
      <c r="CY1683" s="59"/>
      <c r="CZ1683" s="59"/>
      <c r="DA1683" s="59"/>
      <c r="DB1683" s="59"/>
      <c r="DC1683" s="59"/>
      <c r="DD1683" s="59"/>
      <c r="DE1683" s="59"/>
      <c r="DF1683" s="59"/>
      <c r="DG1683" s="59"/>
      <c r="DH1683" s="59"/>
      <c r="DI1683" s="59"/>
      <c r="DJ1683" s="59"/>
      <c r="DK1683" s="59"/>
      <c r="DL1683" s="59"/>
      <c r="DM1683" s="59"/>
      <c r="DN1683" s="59"/>
      <c r="DO1683" s="59"/>
      <c r="DP1683" s="59"/>
      <c r="DQ1683" s="59"/>
      <c r="DR1683" s="59"/>
      <c r="DS1683" s="59"/>
      <c r="DT1683" s="59"/>
      <c r="DU1683" s="59"/>
      <c r="DV1683" s="59"/>
      <c r="DW1683" s="59"/>
      <c r="DX1683" s="59"/>
      <c r="DY1683" s="59"/>
      <c r="DZ1683" s="59"/>
      <c r="EA1683" s="59"/>
      <c r="EB1683" s="59"/>
      <c r="EC1683" s="59"/>
      <c r="ED1683" s="59"/>
      <c r="EE1683" s="59"/>
      <c r="EF1683" s="59"/>
      <c r="EG1683" s="59"/>
      <c r="EH1683" s="59"/>
      <c r="EI1683" s="59"/>
      <c r="EJ1683" s="59"/>
      <c r="EK1683" s="59"/>
      <c r="EL1683" s="59"/>
      <c r="EM1683" s="59"/>
      <c r="EN1683" s="59"/>
      <c r="EO1683" s="59"/>
      <c r="EP1683" s="59"/>
      <c r="EQ1683" s="59"/>
      <c r="ER1683" s="59"/>
      <c r="ES1683" s="59"/>
      <c r="ET1683" s="59"/>
      <c r="EU1683" s="59"/>
      <c r="EV1683" s="59"/>
      <c r="EW1683" s="59"/>
      <c r="EX1683" s="59"/>
      <c r="EY1683" s="59"/>
      <c r="EZ1683" s="59"/>
      <c r="FA1683" s="59"/>
      <c r="FB1683" s="59"/>
      <c r="FC1683" s="59"/>
      <c r="FD1683" s="59"/>
      <c r="FE1683" s="59"/>
      <c r="FF1683" s="59"/>
      <c r="FG1683" s="59"/>
      <c r="FH1683" s="59"/>
      <c r="FI1683" s="59"/>
      <c r="FJ1683" s="59"/>
      <c r="FK1683" s="59"/>
      <c r="FL1683" s="59"/>
      <c r="FM1683" s="59"/>
      <c r="FN1683" s="59"/>
      <c r="FO1683" s="59"/>
      <c r="FP1683" s="59"/>
      <c r="FQ1683" s="59"/>
      <c r="FR1683" s="59"/>
      <c r="FS1683" s="59"/>
      <c r="FT1683" s="59"/>
      <c r="FU1683" s="59"/>
      <c r="FV1683" s="59"/>
      <c r="FW1683" s="59"/>
      <c r="FX1683" s="59"/>
      <c r="FY1683" s="59"/>
      <c r="FZ1683" s="59"/>
      <c r="GA1683" s="59"/>
      <c r="GB1683" s="59"/>
      <c r="GC1683" s="59"/>
    </row>
    <row r="1684">
      <c r="A1684" s="59"/>
      <c r="B1684" s="59"/>
      <c r="C1684" s="59"/>
      <c r="D1684" s="59"/>
      <c r="E1684" s="59"/>
      <c r="F1684" s="59"/>
      <c r="G1684" s="59"/>
      <c r="H1684" s="59"/>
      <c r="I1684" s="59"/>
      <c r="J1684" s="59"/>
      <c r="K1684" s="59"/>
      <c r="L1684" s="59"/>
      <c r="M1684" s="59"/>
      <c r="N1684" s="59"/>
      <c r="O1684" s="59"/>
      <c r="P1684" s="59"/>
      <c r="Q1684" s="59"/>
      <c r="R1684" s="59"/>
      <c r="S1684" s="59"/>
      <c r="T1684" s="59"/>
      <c r="U1684" s="59"/>
      <c r="V1684" s="59"/>
      <c r="W1684" s="59"/>
      <c r="X1684" s="59"/>
      <c r="Y1684" s="59"/>
      <c r="Z1684" s="59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59"/>
      <c r="AU1684" s="59"/>
      <c r="AV1684" s="59"/>
      <c r="AW1684" s="59"/>
      <c r="AX1684" s="59"/>
      <c r="AY1684" s="59"/>
      <c r="AZ1684" s="59"/>
      <c r="BA1684" s="59"/>
      <c r="BB1684" s="59"/>
      <c r="BC1684" s="59"/>
      <c r="BD1684" s="59"/>
      <c r="BE1684" s="59"/>
      <c r="BF1684" s="59"/>
      <c r="BG1684" s="59"/>
      <c r="BH1684" s="59"/>
      <c r="BI1684" s="59"/>
      <c r="BJ1684" s="59"/>
      <c r="BK1684" s="59"/>
      <c r="BL1684" s="59"/>
      <c r="BM1684" s="59"/>
      <c r="BN1684" s="59"/>
      <c r="BO1684" s="59"/>
      <c r="BP1684" s="59"/>
      <c r="BQ1684" s="59"/>
      <c r="BR1684" s="59"/>
      <c r="BS1684" s="59"/>
      <c r="BT1684" s="59"/>
      <c r="BU1684" s="59"/>
      <c r="BV1684" s="59"/>
      <c r="BW1684" s="59"/>
      <c r="BX1684" s="59"/>
      <c r="BY1684" s="59"/>
      <c r="BZ1684" s="59"/>
      <c r="CA1684" s="59"/>
      <c r="CB1684" s="59"/>
      <c r="CC1684" s="59"/>
      <c r="CD1684" s="59"/>
      <c r="CE1684" s="59"/>
      <c r="CF1684" s="59"/>
      <c r="CG1684" s="59"/>
      <c r="CH1684" s="59"/>
      <c r="CI1684" s="59"/>
      <c r="CJ1684" s="59"/>
      <c r="CK1684" s="59"/>
      <c r="CL1684" s="59"/>
      <c r="CM1684" s="59"/>
      <c r="CN1684" s="59"/>
      <c r="CO1684" s="59"/>
      <c r="CP1684" s="59"/>
      <c r="CQ1684" s="59"/>
      <c r="CR1684" s="59"/>
      <c r="CS1684" s="59"/>
      <c r="CT1684" s="59"/>
      <c r="CU1684" s="59"/>
      <c r="CV1684" s="59"/>
      <c r="CW1684" s="59"/>
      <c r="CX1684" s="59"/>
      <c r="CY1684" s="59"/>
      <c r="CZ1684" s="59"/>
      <c r="DA1684" s="59"/>
      <c r="DB1684" s="59"/>
      <c r="DC1684" s="59"/>
      <c r="DD1684" s="59"/>
      <c r="DE1684" s="59"/>
      <c r="DF1684" s="59"/>
      <c r="DG1684" s="59"/>
      <c r="DH1684" s="59"/>
      <c r="DI1684" s="59"/>
      <c r="DJ1684" s="59"/>
      <c r="DK1684" s="59"/>
      <c r="DL1684" s="59"/>
      <c r="DM1684" s="59"/>
      <c r="DN1684" s="59"/>
      <c r="DO1684" s="59"/>
      <c r="DP1684" s="59"/>
      <c r="DQ1684" s="59"/>
      <c r="DR1684" s="59"/>
      <c r="DS1684" s="59"/>
      <c r="DT1684" s="59"/>
      <c r="DU1684" s="59"/>
      <c r="DV1684" s="59"/>
      <c r="DW1684" s="59"/>
      <c r="DX1684" s="59"/>
      <c r="DY1684" s="59"/>
      <c r="DZ1684" s="59"/>
      <c r="EA1684" s="59"/>
      <c r="EB1684" s="59"/>
      <c r="EC1684" s="59"/>
      <c r="ED1684" s="59"/>
      <c r="EE1684" s="59"/>
      <c r="EF1684" s="59"/>
      <c r="EG1684" s="59"/>
      <c r="EH1684" s="59"/>
      <c r="EI1684" s="59"/>
      <c r="EJ1684" s="59"/>
      <c r="EK1684" s="59"/>
      <c r="EL1684" s="59"/>
      <c r="EM1684" s="59"/>
      <c r="EN1684" s="59"/>
      <c r="EO1684" s="59"/>
      <c r="EP1684" s="59"/>
      <c r="EQ1684" s="59"/>
      <c r="ER1684" s="59"/>
      <c r="ES1684" s="59"/>
      <c r="ET1684" s="59"/>
      <c r="EU1684" s="59"/>
      <c r="EV1684" s="59"/>
      <c r="EW1684" s="59"/>
      <c r="EX1684" s="59"/>
      <c r="EY1684" s="59"/>
      <c r="EZ1684" s="59"/>
      <c r="FA1684" s="59"/>
      <c r="FB1684" s="59"/>
      <c r="FC1684" s="59"/>
      <c r="FD1684" s="59"/>
      <c r="FE1684" s="59"/>
      <c r="FF1684" s="59"/>
      <c r="FG1684" s="59"/>
      <c r="FH1684" s="59"/>
      <c r="FI1684" s="59"/>
      <c r="FJ1684" s="59"/>
      <c r="FK1684" s="59"/>
      <c r="FL1684" s="59"/>
      <c r="FM1684" s="59"/>
      <c r="FN1684" s="59"/>
      <c r="FO1684" s="59"/>
      <c r="FP1684" s="59"/>
      <c r="FQ1684" s="59"/>
      <c r="FR1684" s="59"/>
      <c r="FS1684" s="59"/>
      <c r="FT1684" s="59"/>
      <c r="FU1684" s="59"/>
      <c r="FV1684" s="59"/>
      <c r="FW1684" s="59"/>
      <c r="FX1684" s="59"/>
      <c r="FY1684" s="59"/>
      <c r="FZ1684" s="59"/>
      <c r="GA1684" s="59"/>
      <c r="GB1684" s="59"/>
      <c r="GC1684" s="59"/>
    </row>
    <row r="1685">
      <c r="A1685" s="59"/>
      <c r="B1685" s="59"/>
      <c r="C1685" s="59"/>
      <c r="D1685" s="59"/>
      <c r="E1685" s="59"/>
      <c r="F1685" s="59"/>
      <c r="G1685" s="59"/>
      <c r="H1685" s="59"/>
      <c r="I1685" s="59"/>
      <c r="J1685" s="59"/>
      <c r="K1685" s="59"/>
      <c r="L1685" s="59"/>
      <c r="M1685" s="59"/>
      <c r="N1685" s="59"/>
      <c r="O1685" s="59"/>
      <c r="P1685" s="59"/>
      <c r="Q1685" s="59"/>
      <c r="R1685" s="59"/>
      <c r="S1685" s="59"/>
      <c r="T1685" s="59"/>
      <c r="U1685" s="59"/>
      <c r="V1685" s="59"/>
      <c r="W1685" s="59"/>
      <c r="X1685" s="59"/>
      <c r="Y1685" s="59"/>
      <c r="Z1685" s="59"/>
      <c r="AA1685" s="59"/>
      <c r="AB1685" s="59"/>
      <c r="AC1685" s="59"/>
      <c r="AD1685" s="59"/>
      <c r="AE1685" s="59"/>
      <c r="AF1685" s="59"/>
      <c r="AG1685" s="59"/>
      <c r="AH1685" s="59"/>
      <c r="AI1685" s="59"/>
      <c r="AJ1685" s="59"/>
      <c r="AK1685" s="59"/>
      <c r="AL1685" s="59"/>
      <c r="AM1685" s="59"/>
      <c r="AN1685" s="59"/>
      <c r="AO1685" s="59"/>
      <c r="AP1685" s="59"/>
      <c r="AQ1685" s="59"/>
      <c r="AR1685" s="59"/>
      <c r="AS1685" s="59"/>
      <c r="AT1685" s="59"/>
      <c r="AU1685" s="59"/>
      <c r="AV1685" s="59"/>
      <c r="AW1685" s="59"/>
      <c r="AX1685" s="59"/>
      <c r="AY1685" s="59"/>
      <c r="AZ1685" s="59"/>
      <c r="BA1685" s="59"/>
      <c r="BB1685" s="59"/>
      <c r="BC1685" s="59"/>
      <c r="BD1685" s="59"/>
      <c r="BE1685" s="59"/>
      <c r="BF1685" s="59"/>
      <c r="BG1685" s="59"/>
      <c r="BH1685" s="59"/>
      <c r="BI1685" s="59"/>
      <c r="BJ1685" s="59"/>
      <c r="BK1685" s="59"/>
      <c r="BL1685" s="59"/>
      <c r="BM1685" s="59"/>
      <c r="BN1685" s="59"/>
      <c r="BO1685" s="59"/>
      <c r="BP1685" s="59"/>
      <c r="BQ1685" s="59"/>
      <c r="BR1685" s="59"/>
      <c r="BS1685" s="59"/>
      <c r="BT1685" s="59"/>
      <c r="BU1685" s="59"/>
      <c r="BV1685" s="59"/>
      <c r="BW1685" s="59"/>
      <c r="BX1685" s="59"/>
      <c r="BY1685" s="59"/>
      <c r="BZ1685" s="59"/>
      <c r="CA1685" s="59"/>
      <c r="CB1685" s="59"/>
      <c r="CC1685" s="59"/>
      <c r="CD1685" s="59"/>
      <c r="CE1685" s="59"/>
      <c r="CF1685" s="59"/>
      <c r="CG1685" s="59"/>
      <c r="CH1685" s="59"/>
      <c r="CI1685" s="59"/>
      <c r="CJ1685" s="59"/>
      <c r="CK1685" s="59"/>
      <c r="CL1685" s="59"/>
      <c r="CM1685" s="59"/>
      <c r="CN1685" s="59"/>
      <c r="CO1685" s="59"/>
      <c r="CP1685" s="59"/>
      <c r="CQ1685" s="59"/>
      <c r="CR1685" s="59"/>
      <c r="CS1685" s="59"/>
      <c r="CT1685" s="59"/>
      <c r="CU1685" s="59"/>
      <c r="CV1685" s="59"/>
      <c r="CW1685" s="59"/>
      <c r="CX1685" s="59"/>
      <c r="CY1685" s="59"/>
      <c r="CZ1685" s="59"/>
      <c r="DA1685" s="59"/>
      <c r="DB1685" s="59"/>
      <c r="DC1685" s="59"/>
      <c r="DD1685" s="59"/>
      <c r="DE1685" s="59"/>
      <c r="DF1685" s="59"/>
      <c r="DG1685" s="59"/>
      <c r="DH1685" s="59"/>
      <c r="DI1685" s="59"/>
      <c r="DJ1685" s="59"/>
      <c r="DK1685" s="59"/>
      <c r="DL1685" s="59"/>
      <c r="DM1685" s="59"/>
      <c r="DN1685" s="59"/>
      <c r="DO1685" s="59"/>
      <c r="DP1685" s="59"/>
      <c r="DQ1685" s="59"/>
      <c r="DR1685" s="59"/>
      <c r="DS1685" s="59"/>
      <c r="DT1685" s="59"/>
      <c r="DU1685" s="59"/>
      <c r="DV1685" s="59"/>
      <c r="DW1685" s="59"/>
      <c r="DX1685" s="59"/>
      <c r="DY1685" s="59"/>
      <c r="DZ1685" s="59"/>
      <c r="EA1685" s="59"/>
      <c r="EB1685" s="59"/>
      <c r="EC1685" s="59"/>
      <c r="ED1685" s="59"/>
      <c r="EE1685" s="59"/>
      <c r="EF1685" s="59"/>
      <c r="EG1685" s="59"/>
      <c r="EH1685" s="59"/>
      <c r="EI1685" s="59"/>
      <c r="EJ1685" s="59"/>
      <c r="EK1685" s="59"/>
      <c r="EL1685" s="59"/>
      <c r="EM1685" s="59"/>
      <c r="EN1685" s="59"/>
      <c r="EO1685" s="59"/>
      <c r="EP1685" s="59"/>
      <c r="EQ1685" s="59"/>
      <c r="ER1685" s="59"/>
      <c r="ES1685" s="59"/>
      <c r="ET1685" s="59"/>
      <c r="EU1685" s="59"/>
      <c r="EV1685" s="59"/>
      <c r="EW1685" s="59"/>
      <c r="EX1685" s="59"/>
      <c r="EY1685" s="59"/>
      <c r="EZ1685" s="59"/>
      <c r="FA1685" s="59"/>
      <c r="FB1685" s="59"/>
      <c r="FC1685" s="59"/>
      <c r="FD1685" s="59"/>
      <c r="FE1685" s="59"/>
      <c r="FF1685" s="59"/>
      <c r="FG1685" s="59"/>
      <c r="FH1685" s="59"/>
      <c r="FI1685" s="59"/>
      <c r="FJ1685" s="59"/>
      <c r="FK1685" s="59"/>
      <c r="FL1685" s="59"/>
      <c r="FM1685" s="59"/>
      <c r="FN1685" s="59"/>
      <c r="FO1685" s="59"/>
      <c r="FP1685" s="59"/>
      <c r="FQ1685" s="59"/>
      <c r="FR1685" s="59"/>
      <c r="FS1685" s="59"/>
      <c r="FT1685" s="59"/>
      <c r="FU1685" s="59"/>
      <c r="FV1685" s="59"/>
      <c r="FW1685" s="59"/>
      <c r="FX1685" s="59"/>
      <c r="FY1685" s="59"/>
      <c r="FZ1685" s="59"/>
      <c r="GA1685" s="59"/>
      <c r="GB1685" s="59"/>
      <c r="GC1685" s="59"/>
    </row>
    <row r="1686">
      <c r="A1686" s="59"/>
      <c r="B1686" s="59"/>
      <c r="C1686" s="59"/>
      <c r="D1686" s="59"/>
      <c r="E1686" s="59"/>
      <c r="F1686" s="59"/>
      <c r="G1686" s="59"/>
      <c r="H1686" s="59"/>
      <c r="I1686" s="59"/>
      <c r="J1686" s="59"/>
      <c r="K1686" s="59"/>
      <c r="L1686" s="59"/>
      <c r="M1686" s="59"/>
      <c r="N1686" s="59"/>
      <c r="O1686" s="59"/>
      <c r="P1686" s="59"/>
      <c r="Q1686" s="59"/>
      <c r="R1686" s="59"/>
      <c r="S1686" s="59"/>
      <c r="T1686" s="59"/>
      <c r="U1686" s="59"/>
      <c r="V1686" s="59"/>
      <c r="W1686" s="59"/>
      <c r="X1686" s="59"/>
      <c r="Y1686" s="59"/>
      <c r="Z1686" s="59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59"/>
      <c r="AU1686" s="59"/>
      <c r="AV1686" s="59"/>
      <c r="AW1686" s="59"/>
      <c r="AX1686" s="59"/>
      <c r="AY1686" s="59"/>
      <c r="AZ1686" s="59"/>
      <c r="BA1686" s="59"/>
      <c r="BB1686" s="59"/>
      <c r="BC1686" s="59"/>
      <c r="BD1686" s="59"/>
      <c r="BE1686" s="59"/>
      <c r="BF1686" s="59"/>
      <c r="BG1686" s="59"/>
      <c r="BH1686" s="59"/>
      <c r="BI1686" s="59"/>
      <c r="BJ1686" s="59"/>
      <c r="BK1686" s="59"/>
      <c r="BL1686" s="59"/>
      <c r="BM1686" s="59"/>
      <c r="BN1686" s="59"/>
      <c r="BO1686" s="59"/>
      <c r="BP1686" s="59"/>
      <c r="BQ1686" s="59"/>
      <c r="BR1686" s="59"/>
      <c r="BS1686" s="59"/>
      <c r="BT1686" s="59"/>
      <c r="BU1686" s="59"/>
      <c r="BV1686" s="59"/>
      <c r="BW1686" s="59"/>
      <c r="BX1686" s="59"/>
      <c r="BY1686" s="59"/>
      <c r="BZ1686" s="59"/>
      <c r="CA1686" s="59"/>
      <c r="CB1686" s="59"/>
      <c r="CC1686" s="59"/>
      <c r="CD1686" s="59"/>
      <c r="CE1686" s="59"/>
      <c r="CF1686" s="59"/>
      <c r="CG1686" s="59"/>
      <c r="CH1686" s="59"/>
      <c r="CI1686" s="59"/>
      <c r="CJ1686" s="59"/>
      <c r="CK1686" s="59"/>
      <c r="CL1686" s="59"/>
      <c r="CM1686" s="59"/>
      <c r="CN1686" s="59"/>
      <c r="CO1686" s="59"/>
      <c r="CP1686" s="59"/>
      <c r="CQ1686" s="59"/>
      <c r="CR1686" s="59"/>
      <c r="CS1686" s="59"/>
      <c r="CT1686" s="59"/>
      <c r="CU1686" s="59"/>
      <c r="CV1686" s="59"/>
      <c r="CW1686" s="59"/>
      <c r="CX1686" s="59"/>
      <c r="CY1686" s="59"/>
      <c r="CZ1686" s="59"/>
      <c r="DA1686" s="59"/>
      <c r="DB1686" s="59"/>
      <c r="DC1686" s="59"/>
      <c r="DD1686" s="59"/>
      <c r="DE1686" s="59"/>
      <c r="DF1686" s="59"/>
      <c r="DG1686" s="59"/>
      <c r="DH1686" s="59"/>
      <c r="DI1686" s="59"/>
      <c r="DJ1686" s="59"/>
      <c r="DK1686" s="59"/>
      <c r="DL1686" s="59"/>
      <c r="DM1686" s="59"/>
      <c r="DN1686" s="59"/>
      <c r="DO1686" s="59"/>
      <c r="DP1686" s="59"/>
      <c r="DQ1686" s="59"/>
      <c r="DR1686" s="59"/>
      <c r="DS1686" s="59"/>
      <c r="DT1686" s="59"/>
      <c r="DU1686" s="59"/>
      <c r="DV1686" s="59"/>
      <c r="DW1686" s="59"/>
      <c r="DX1686" s="59"/>
      <c r="DY1686" s="59"/>
      <c r="DZ1686" s="59"/>
      <c r="EA1686" s="59"/>
      <c r="EB1686" s="59"/>
      <c r="EC1686" s="59"/>
      <c r="ED1686" s="59"/>
      <c r="EE1686" s="59"/>
      <c r="EF1686" s="59"/>
      <c r="EG1686" s="59"/>
      <c r="EH1686" s="59"/>
      <c r="EI1686" s="59"/>
      <c r="EJ1686" s="59"/>
      <c r="EK1686" s="59"/>
      <c r="EL1686" s="59"/>
      <c r="EM1686" s="59"/>
      <c r="EN1686" s="59"/>
      <c r="EO1686" s="59"/>
      <c r="EP1686" s="59"/>
      <c r="EQ1686" s="59"/>
      <c r="ER1686" s="59"/>
      <c r="ES1686" s="59"/>
      <c r="ET1686" s="59"/>
      <c r="EU1686" s="59"/>
      <c r="EV1686" s="59"/>
      <c r="EW1686" s="59"/>
      <c r="EX1686" s="59"/>
      <c r="EY1686" s="59"/>
      <c r="EZ1686" s="59"/>
      <c r="FA1686" s="59"/>
      <c r="FB1686" s="59"/>
      <c r="FC1686" s="59"/>
      <c r="FD1686" s="59"/>
      <c r="FE1686" s="59"/>
      <c r="FF1686" s="59"/>
      <c r="FG1686" s="59"/>
      <c r="FH1686" s="59"/>
      <c r="FI1686" s="59"/>
      <c r="FJ1686" s="59"/>
      <c r="FK1686" s="59"/>
      <c r="FL1686" s="59"/>
      <c r="FM1686" s="59"/>
      <c r="FN1686" s="59"/>
      <c r="FO1686" s="59"/>
      <c r="FP1686" s="59"/>
      <c r="FQ1686" s="59"/>
      <c r="FR1686" s="59"/>
      <c r="FS1686" s="59"/>
      <c r="FT1686" s="59"/>
      <c r="FU1686" s="59"/>
      <c r="FV1686" s="59"/>
      <c r="FW1686" s="59"/>
      <c r="FX1686" s="59"/>
      <c r="FY1686" s="59"/>
      <c r="FZ1686" s="59"/>
      <c r="GA1686" s="59"/>
      <c r="GB1686" s="59"/>
      <c r="GC1686" s="59"/>
    </row>
    <row r="1687">
      <c r="A1687" s="59"/>
      <c r="B1687" s="59"/>
      <c r="C1687" s="59"/>
      <c r="D1687" s="59"/>
      <c r="E1687" s="59"/>
      <c r="F1687" s="59"/>
      <c r="G1687" s="59"/>
      <c r="H1687" s="59"/>
      <c r="I1687" s="59"/>
      <c r="J1687" s="59"/>
      <c r="K1687" s="59"/>
      <c r="L1687" s="59"/>
      <c r="M1687" s="59"/>
      <c r="N1687" s="59"/>
      <c r="O1687" s="59"/>
      <c r="P1687" s="59"/>
      <c r="Q1687" s="59"/>
      <c r="R1687" s="59"/>
      <c r="S1687" s="59"/>
      <c r="T1687" s="59"/>
      <c r="U1687" s="59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  <c r="AR1687" s="59"/>
      <c r="AS1687" s="59"/>
      <c r="AT1687" s="59"/>
      <c r="AU1687" s="59"/>
      <c r="AV1687" s="59"/>
      <c r="AW1687" s="59"/>
      <c r="AX1687" s="59"/>
      <c r="AY1687" s="59"/>
      <c r="AZ1687" s="59"/>
      <c r="BA1687" s="59"/>
      <c r="BB1687" s="59"/>
      <c r="BC1687" s="59"/>
      <c r="BD1687" s="59"/>
      <c r="BE1687" s="59"/>
      <c r="BF1687" s="59"/>
      <c r="BG1687" s="59"/>
      <c r="BH1687" s="59"/>
      <c r="BI1687" s="59"/>
      <c r="BJ1687" s="59"/>
      <c r="BK1687" s="59"/>
      <c r="BL1687" s="59"/>
      <c r="BM1687" s="59"/>
      <c r="BN1687" s="59"/>
      <c r="BO1687" s="59"/>
      <c r="BP1687" s="59"/>
      <c r="BQ1687" s="59"/>
      <c r="BR1687" s="59"/>
      <c r="BS1687" s="59"/>
      <c r="BT1687" s="59"/>
      <c r="BU1687" s="59"/>
      <c r="BV1687" s="59"/>
      <c r="BW1687" s="59"/>
      <c r="BX1687" s="59"/>
      <c r="BY1687" s="59"/>
      <c r="BZ1687" s="59"/>
      <c r="CA1687" s="59"/>
      <c r="CB1687" s="59"/>
      <c r="CC1687" s="59"/>
      <c r="CD1687" s="59"/>
      <c r="CE1687" s="59"/>
      <c r="CF1687" s="59"/>
      <c r="CG1687" s="59"/>
      <c r="CH1687" s="59"/>
      <c r="CI1687" s="59"/>
      <c r="CJ1687" s="59"/>
      <c r="CK1687" s="59"/>
      <c r="CL1687" s="59"/>
      <c r="CM1687" s="59"/>
      <c r="CN1687" s="59"/>
      <c r="CO1687" s="59"/>
      <c r="CP1687" s="59"/>
      <c r="CQ1687" s="59"/>
      <c r="CR1687" s="59"/>
      <c r="CS1687" s="59"/>
      <c r="CT1687" s="59"/>
      <c r="CU1687" s="59"/>
      <c r="CV1687" s="59"/>
      <c r="CW1687" s="59"/>
      <c r="CX1687" s="59"/>
      <c r="CY1687" s="59"/>
      <c r="CZ1687" s="59"/>
      <c r="DA1687" s="59"/>
      <c r="DB1687" s="59"/>
      <c r="DC1687" s="59"/>
      <c r="DD1687" s="59"/>
      <c r="DE1687" s="59"/>
      <c r="DF1687" s="59"/>
      <c r="DG1687" s="59"/>
      <c r="DH1687" s="59"/>
      <c r="DI1687" s="59"/>
      <c r="DJ1687" s="59"/>
      <c r="DK1687" s="59"/>
      <c r="DL1687" s="59"/>
      <c r="DM1687" s="59"/>
      <c r="DN1687" s="59"/>
      <c r="DO1687" s="59"/>
      <c r="DP1687" s="59"/>
      <c r="DQ1687" s="59"/>
      <c r="DR1687" s="59"/>
      <c r="DS1687" s="59"/>
      <c r="DT1687" s="59"/>
      <c r="DU1687" s="59"/>
      <c r="DV1687" s="59"/>
      <c r="DW1687" s="59"/>
      <c r="DX1687" s="59"/>
      <c r="DY1687" s="59"/>
      <c r="DZ1687" s="59"/>
      <c r="EA1687" s="59"/>
      <c r="EB1687" s="59"/>
      <c r="EC1687" s="59"/>
      <c r="ED1687" s="59"/>
      <c r="EE1687" s="59"/>
      <c r="EF1687" s="59"/>
      <c r="EG1687" s="59"/>
      <c r="EH1687" s="59"/>
      <c r="EI1687" s="59"/>
      <c r="EJ1687" s="59"/>
      <c r="EK1687" s="59"/>
      <c r="EL1687" s="59"/>
      <c r="EM1687" s="59"/>
      <c r="EN1687" s="59"/>
      <c r="EO1687" s="59"/>
      <c r="EP1687" s="59"/>
      <c r="EQ1687" s="59"/>
      <c r="ER1687" s="59"/>
      <c r="ES1687" s="59"/>
      <c r="ET1687" s="59"/>
      <c r="EU1687" s="59"/>
      <c r="EV1687" s="59"/>
      <c r="EW1687" s="59"/>
      <c r="EX1687" s="59"/>
      <c r="EY1687" s="59"/>
      <c r="EZ1687" s="59"/>
      <c r="FA1687" s="59"/>
      <c r="FB1687" s="59"/>
      <c r="FC1687" s="59"/>
      <c r="FD1687" s="59"/>
      <c r="FE1687" s="59"/>
      <c r="FF1687" s="59"/>
      <c r="FG1687" s="59"/>
      <c r="FH1687" s="59"/>
      <c r="FI1687" s="59"/>
      <c r="FJ1687" s="59"/>
      <c r="FK1687" s="59"/>
      <c r="FL1687" s="59"/>
      <c r="FM1687" s="59"/>
      <c r="FN1687" s="59"/>
      <c r="FO1687" s="59"/>
      <c r="FP1687" s="59"/>
      <c r="FQ1687" s="59"/>
      <c r="FR1687" s="59"/>
      <c r="FS1687" s="59"/>
      <c r="FT1687" s="59"/>
      <c r="FU1687" s="59"/>
      <c r="FV1687" s="59"/>
      <c r="FW1687" s="59"/>
      <c r="FX1687" s="59"/>
      <c r="FY1687" s="59"/>
      <c r="FZ1687" s="59"/>
      <c r="GA1687" s="59"/>
      <c r="GB1687" s="59"/>
      <c r="GC1687" s="59"/>
    </row>
    <row r="1688">
      <c r="A1688" s="59"/>
      <c r="B1688" s="59"/>
      <c r="C1688" s="59"/>
      <c r="D1688" s="59"/>
      <c r="E1688" s="59"/>
      <c r="F1688" s="59"/>
      <c r="G1688" s="59"/>
      <c r="H1688" s="59"/>
      <c r="I1688" s="59"/>
      <c r="J1688" s="59"/>
      <c r="K1688" s="59"/>
      <c r="L1688" s="59"/>
      <c r="M1688" s="59"/>
      <c r="N1688" s="59"/>
      <c r="O1688" s="59"/>
      <c r="P1688" s="59"/>
      <c r="Q1688" s="59"/>
      <c r="R1688" s="59"/>
      <c r="S1688" s="59"/>
      <c r="T1688" s="59"/>
      <c r="U1688" s="59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59"/>
      <c r="AU1688" s="59"/>
      <c r="AV1688" s="59"/>
      <c r="AW1688" s="59"/>
      <c r="AX1688" s="59"/>
      <c r="AY1688" s="59"/>
      <c r="AZ1688" s="59"/>
      <c r="BA1688" s="59"/>
      <c r="BB1688" s="59"/>
      <c r="BC1688" s="59"/>
      <c r="BD1688" s="59"/>
      <c r="BE1688" s="59"/>
      <c r="BF1688" s="59"/>
      <c r="BG1688" s="59"/>
      <c r="BH1688" s="59"/>
      <c r="BI1688" s="59"/>
      <c r="BJ1688" s="59"/>
      <c r="BK1688" s="59"/>
      <c r="BL1688" s="59"/>
      <c r="BM1688" s="59"/>
      <c r="BN1688" s="59"/>
      <c r="BO1688" s="59"/>
      <c r="BP1688" s="59"/>
      <c r="BQ1688" s="59"/>
      <c r="BR1688" s="59"/>
      <c r="BS1688" s="59"/>
      <c r="BT1688" s="59"/>
      <c r="BU1688" s="59"/>
      <c r="BV1688" s="59"/>
      <c r="BW1688" s="59"/>
      <c r="BX1688" s="59"/>
      <c r="BY1688" s="59"/>
      <c r="BZ1688" s="59"/>
      <c r="CA1688" s="59"/>
      <c r="CB1688" s="59"/>
      <c r="CC1688" s="59"/>
      <c r="CD1688" s="59"/>
      <c r="CE1688" s="59"/>
      <c r="CF1688" s="59"/>
      <c r="CG1688" s="59"/>
      <c r="CH1688" s="59"/>
      <c r="CI1688" s="59"/>
      <c r="CJ1688" s="59"/>
      <c r="CK1688" s="59"/>
      <c r="CL1688" s="59"/>
      <c r="CM1688" s="59"/>
      <c r="CN1688" s="59"/>
      <c r="CO1688" s="59"/>
      <c r="CP1688" s="59"/>
      <c r="CQ1688" s="59"/>
      <c r="CR1688" s="59"/>
      <c r="CS1688" s="59"/>
      <c r="CT1688" s="59"/>
      <c r="CU1688" s="59"/>
      <c r="CV1688" s="59"/>
      <c r="CW1688" s="59"/>
      <c r="CX1688" s="59"/>
      <c r="CY1688" s="59"/>
      <c r="CZ1688" s="59"/>
      <c r="DA1688" s="59"/>
      <c r="DB1688" s="59"/>
      <c r="DC1688" s="59"/>
      <c r="DD1688" s="59"/>
      <c r="DE1688" s="59"/>
      <c r="DF1688" s="59"/>
      <c r="DG1688" s="59"/>
      <c r="DH1688" s="59"/>
      <c r="DI1688" s="59"/>
      <c r="DJ1688" s="59"/>
      <c r="DK1688" s="59"/>
      <c r="DL1688" s="59"/>
      <c r="DM1688" s="59"/>
      <c r="DN1688" s="59"/>
      <c r="DO1688" s="59"/>
      <c r="DP1688" s="59"/>
      <c r="DQ1688" s="59"/>
      <c r="DR1688" s="59"/>
      <c r="DS1688" s="59"/>
      <c r="DT1688" s="59"/>
      <c r="DU1688" s="59"/>
      <c r="DV1688" s="59"/>
      <c r="DW1688" s="59"/>
      <c r="DX1688" s="59"/>
      <c r="DY1688" s="59"/>
      <c r="DZ1688" s="59"/>
      <c r="EA1688" s="59"/>
      <c r="EB1688" s="59"/>
      <c r="EC1688" s="59"/>
      <c r="ED1688" s="59"/>
      <c r="EE1688" s="59"/>
      <c r="EF1688" s="59"/>
      <c r="EG1688" s="59"/>
      <c r="EH1688" s="59"/>
      <c r="EI1688" s="59"/>
      <c r="EJ1688" s="59"/>
      <c r="EK1688" s="59"/>
      <c r="EL1688" s="59"/>
      <c r="EM1688" s="59"/>
      <c r="EN1688" s="59"/>
      <c r="EO1688" s="59"/>
      <c r="EP1688" s="59"/>
      <c r="EQ1688" s="59"/>
      <c r="ER1688" s="59"/>
      <c r="ES1688" s="59"/>
      <c r="ET1688" s="59"/>
      <c r="EU1688" s="59"/>
      <c r="EV1688" s="59"/>
      <c r="EW1688" s="59"/>
      <c r="EX1688" s="59"/>
      <c r="EY1688" s="59"/>
      <c r="EZ1688" s="59"/>
      <c r="FA1688" s="59"/>
      <c r="FB1688" s="59"/>
      <c r="FC1688" s="59"/>
      <c r="FD1688" s="59"/>
      <c r="FE1688" s="59"/>
      <c r="FF1688" s="59"/>
      <c r="FG1688" s="59"/>
      <c r="FH1688" s="59"/>
      <c r="FI1688" s="59"/>
      <c r="FJ1688" s="59"/>
      <c r="FK1688" s="59"/>
      <c r="FL1688" s="59"/>
      <c r="FM1688" s="59"/>
      <c r="FN1688" s="59"/>
      <c r="FO1688" s="59"/>
      <c r="FP1688" s="59"/>
      <c r="FQ1688" s="59"/>
      <c r="FR1688" s="59"/>
      <c r="FS1688" s="59"/>
      <c r="FT1688" s="59"/>
      <c r="FU1688" s="59"/>
      <c r="FV1688" s="59"/>
      <c r="FW1688" s="59"/>
      <c r="FX1688" s="59"/>
      <c r="FY1688" s="59"/>
      <c r="FZ1688" s="59"/>
      <c r="GA1688" s="59"/>
      <c r="GB1688" s="59"/>
      <c r="GC1688" s="59"/>
    </row>
    <row r="1689">
      <c r="A1689" s="59"/>
      <c r="B1689" s="59"/>
      <c r="C1689" s="59"/>
      <c r="D1689" s="59"/>
      <c r="E1689" s="59"/>
      <c r="F1689" s="59"/>
      <c r="G1689" s="59"/>
      <c r="H1689" s="59"/>
      <c r="I1689" s="59"/>
      <c r="J1689" s="59"/>
      <c r="K1689" s="59"/>
      <c r="L1689" s="59"/>
      <c r="M1689" s="59"/>
      <c r="N1689" s="59"/>
      <c r="O1689" s="59"/>
      <c r="P1689" s="59"/>
      <c r="Q1689" s="59"/>
      <c r="R1689" s="59"/>
      <c r="S1689" s="59"/>
      <c r="T1689" s="59"/>
      <c r="U1689" s="59"/>
      <c r="V1689" s="59"/>
      <c r="W1689" s="59"/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9"/>
      <c r="AO1689" s="59"/>
      <c r="AP1689" s="59"/>
      <c r="AQ1689" s="59"/>
      <c r="AR1689" s="59"/>
      <c r="AS1689" s="59"/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  <c r="BH1689" s="59"/>
      <c r="BI1689" s="59"/>
      <c r="BJ1689" s="59"/>
      <c r="BK1689" s="59"/>
      <c r="BL1689" s="59"/>
      <c r="BM1689" s="59"/>
      <c r="BN1689" s="59"/>
      <c r="BO1689" s="59"/>
      <c r="BP1689" s="59"/>
      <c r="BQ1689" s="59"/>
      <c r="BR1689" s="59"/>
      <c r="BS1689" s="59"/>
      <c r="BT1689" s="59"/>
      <c r="BU1689" s="59"/>
      <c r="BV1689" s="59"/>
      <c r="BW1689" s="59"/>
      <c r="BX1689" s="59"/>
      <c r="BY1689" s="59"/>
      <c r="BZ1689" s="59"/>
      <c r="CA1689" s="59"/>
      <c r="CB1689" s="59"/>
      <c r="CC1689" s="59"/>
      <c r="CD1689" s="59"/>
      <c r="CE1689" s="59"/>
      <c r="CF1689" s="59"/>
      <c r="CG1689" s="59"/>
      <c r="CH1689" s="59"/>
      <c r="CI1689" s="59"/>
      <c r="CJ1689" s="59"/>
      <c r="CK1689" s="59"/>
      <c r="CL1689" s="59"/>
      <c r="CM1689" s="59"/>
      <c r="CN1689" s="59"/>
      <c r="CO1689" s="59"/>
      <c r="CP1689" s="59"/>
      <c r="CQ1689" s="59"/>
      <c r="CR1689" s="59"/>
      <c r="CS1689" s="59"/>
      <c r="CT1689" s="59"/>
      <c r="CU1689" s="59"/>
      <c r="CV1689" s="59"/>
      <c r="CW1689" s="59"/>
      <c r="CX1689" s="59"/>
      <c r="CY1689" s="59"/>
      <c r="CZ1689" s="59"/>
      <c r="DA1689" s="59"/>
      <c r="DB1689" s="59"/>
      <c r="DC1689" s="59"/>
      <c r="DD1689" s="59"/>
      <c r="DE1689" s="59"/>
      <c r="DF1689" s="59"/>
      <c r="DG1689" s="59"/>
      <c r="DH1689" s="59"/>
      <c r="DI1689" s="59"/>
      <c r="DJ1689" s="59"/>
      <c r="DK1689" s="59"/>
      <c r="DL1689" s="59"/>
      <c r="DM1689" s="59"/>
      <c r="DN1689" s="59"/>
      <c r="DO1689" s="59"/>
      <c r="DP1689" s="59"/>
      <c r="DQ1689" s="59"/>
      <c r="DR1689" s="59"/>
      <c r="DS1689" s="59"/>
      <c r="DT1689" s="59"/>
      <c r="DU1689" s="59"/>
      <c r="DV1689" s="59"/>
      <c r="DW1689" s="59"/>
      <c r="DX1689" s="59"/>
      <c r="DY1689" s="59"/>
      <c r="DZ1689" s="59"/>
      <c r="EA1689" s="59"/>
      <c r="EB1689" s="59"/>
      <c r="EC1689" s="59"/>
      <c r="ED1689" s="59"/>
      <c r="EE1689" s="59"/>
      <c r="EF1689" s="59"/>
      <c r="EG1689" s="59"/>
      <c r="EH1689" s="59"/>
      <c r="EI1689" s="59"/>
      <c r="EJ1689" s="59"/>
      <c r="EK1689" s="59"/>
      <c r="EL1689" s="59"/>
      <c r="EM1689" s="59"/>
      <c r="EN1689" s="59"/>
      <c r="EO1689" s="59"/>
      <c r="EP1689" s="59"/>
      <c r="EQ1689" s="59"/>
      <c r="ER1689" s="59"/>
      <c r="ES1689" s="59"/>
      <c r="ET1689" s="59"/>
      <c r="EU1689" s="59"/>
      <c r="EV1689" s="59"/>
      <c r="EW1689" s="59"/>
      <c r="EX1689" s="59"/>
      <c r="EY1689" s="59"/>
      <c r="EZ1689" s="59"/>
      <c r="FA1689" s="59"/>
      <c r="FB1689" s="59"/>
      <c r="FC1689" s="59"/>
      <c r="FD1689" s="59"/>
      <c r="FE1689" s="59"/>
      <c r="FF1689" s="59"/>
      <c r="FG1689" s="59"/>
      <c r="FH1689" s="59"/>
      <c r="FI1689" s="59"/>
      <c r="FJ1689" s="59"/>
      <c r="FK1689" s="59"/>
      <c r="FL1689" s="59"/>
      <c r="FM1689" s="59"/>
      <c r="FN1689" s="59"/>
      <c r="FO1689" s="59"/>
      <c r="FP1689" s="59"/>
      <c r="FQ1689" s="59"/>
      <c r="FR1689" s="59"/>
      <c r="FS1689" s="59"/>
      <c r="FT1689" s="59"/>
      <c r="FU1689" s="59"/>
      <c r="FV1689" s="59"/>
      <c r="FW1689" s="59"/>
      <c r="FX1689" s="59"/>
      <c r="FY1689" s="59"/>
      <c r="FZ1689" s="59"/>
      <c r="GA1689" s="59"/>
      <c r="GB1689" s="59"/>
      <c r="GC1689" s="59"/>
    </row>
    <row r="1690">
      <c r="A1690" s="59"/>
      <c r="B1690" s="59"/>
      <c r="C1690" s="59"/>
      <c r="D1690" s="59"/>
      <c r="E1690" s="59"/>
      <c r="F1690" s="59"/>
      <c r="G1690" s="59"/>
      <c r="H1690" s="59"/>
      <c r="I1690" s="59"/>
      <c r="J1690" s="59"/>
      <c r="K1690" s="59"/>
      <c r="L1690" s="59"/>
      <c r="M1690" s="59"/>
      <c r="N1690" s="59"/>
      <c r="O1690" s="59"/>
      <c r="P1690" s="59"/>
      <c r="Q1690" s="59"/>
      <c r="R1690" s="59"/>
      <c r="S1690" s="59"/>
      <c r="T1690" s="59"/>
      <c r="U1690" s="59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59"/>
      <c r="AU1690" s="59"/>
      <c r="AV1690" s="59"/>
      <c r="AW1690" s="59"/>
      <c r="AX1690" s="59"/>
      <c r="AY1690" s="59"/>
      <c r="AZ1690" s="59"/>
      <c r="BA1690" s="59"/>
      <c r="BB1690" s="59"/>
      <c r="BC1690" s="59"/>
      <c r="BD1690" s="59"/>
      <c r="BE1690" s="59"/>
      <c r="BF1690" s="59"/>
      <c r="BG1690" s="59"/>
      <c r="BH1690" s="59"/>
      <c r="BI1690" s="59"/>
      <c r="BJ1690" s="59"/>
      <c r="BK1690" s="59"/>
      <c r="BL1690" s="59"/>
      <c r="BM1690" s="59"/>
      <c r="BN1690" s="59"/>
      <c r="BO1690" s="59"/>
      <c r="BP1690" s="59"/>
      <c r="BQ1690" s="59"/>
      <c r="BR1690" s="59"/>
      <c r="BS1690" s="59"/>
      <c r="BT1690" s="59"/>
      <c r="BU1690" s="59"/>
      <c r="BV1690" s="59"/>
      <c r="BW1690" s="59"/>
      <c r="BX1690" s="59"/>
      <c r="BY1690" s="59"/>
      <c r="BZ1690" s="59"/>
      <c r="CA1690" s="59"/>
      <c r="CB1690" s="59"/>
      <c r="CC1690" s="59"/>
      <c r="CD1690" s="59"/>
      <c r="CE1690" s="59"/>
      <c r="CF1690" s="59"/>
      <c r="CG1690" s="59"/>
      <c r="CH1690" s="59"/>
      <c r="CI1690" s="59"/>
      <c r="CJ1690" s="59"/>
      <c r="CK1690" s="59"/>
      <c r="CL1690" s="59"/>
      <c r="CM1690" s="59"/>
      <c r="CN1690" s="59"/>
      <c r="CO1690" s="59"/>
      <c r="CP1690" s="59"/>
      <c r="CQ1690" s="59"/>
      <c r="CR1690" s="59"/>
      <c r="CS1690" s="59"/>
      <c r="CT1690" s="59"/>
      <c r="CU1690" s="59"/>
      <c r="CV1690" s="59"/>
      <c r="CW1690" s="59"/>
      <c r="CX1690" s="59"/>
      <c r="CY1690" s="59"/>
      <c r="CZ1690" s="59"/>
      <c r="DA1690" s="59"/>
      <c r="DB1690" s="59"/>
      <c r="DC1690" s="59"/>
      <c r="DD1690" s="59"/>
      <c r="DE1690" s="59"/>
      <c r="DF1690" s="59"/>
      <c r="DG1690" s="59"/>
      <c r="DH1690" s="59"/>
      <c r="DI1690" s="59"/>
      <c r="DJ1690" s="59"/>
      <c r="DK1690" s="59"/>
      <c r="DL1690" s="59"/>
      <c r="DM1690" s="59"/>
      <c r="DN1690" s="59"/>
      <c r="DO1690" s="59"/>
      <c r="DP1690" s="59"/>
      <c r="DQ1690" s="59"/>
      <c r="DR1690" s="59"/>
      <c r="DS1690" s="59"/>
      <c r="DT1690" s="59"/>
      <c r="DU1690" s="59"/>
      <c r="DV1690" s="59"/>
      <c r="DW1690" s="59"/>
      <c r="DX1690" s="59"/>
      <c r="DY1690" s="59"/>
      <c r="DZ1690" s="59"/>
      <c r="EA1690" s="59"/>
      <c r="EB1690" s="59"/>
      <c r="EC1690" s="59"/>
      <c r="ED1690" s="59"/>
      <c r="EE1690" s="59"/>
      <c r="EF1690" s="59"/>
      <c r="EG1690" s="59"/>
      <c r="EH1690" s="59"/>
      <c r="EI1690" s="59"/>
      <c r="EJ1690" s="59"/>
      <c r="EK1690" s="59"/>
      <c r="EL1690" s="59"/>
      <c r="EM1690" s="59"/>
      <c r="EN1690" s="59"/>
      <c r="EO1690" s="59"/>
      <c r="EP1690" s="59"/>
      <c r="EQ1690" s="59"/>
      <c r="ER1690" s="59"/>
      <c r="ES1690" s="59"/>
      <c r="ET1690" s="59"/>
      <c r="EU1690" s="59"/>
      <c r="EV1690" s="59"/>
      <c r="EW1690" s="59"/>
      <c r="EX1690" s="59"/>
      <c r="EY1690" s="59"/>
      <c r="EZ1690" s="59"/>
      <c r="FA1690" s="59"/>
      <c r="FB1690" s="59"/>
      <c r="FC1690" s="59"/>
      <c r="FD1690" s="59"/>
      <c r="FE1690" s="59"/>
      <c r="FF1690" s="59"/>
      <c r="FG1690" s="59"/>
      <c r="FH1690" s="59"/>
      <c r="FI1690" s="59"/>
      <c r="FJ1690" s="59"/>
      <c r="FK1690" s="59"/>
      <c r="FL1690" s="59"/>
      <c r="FM1690" s="59"/>
      <c r="FN1690" s="59"/>
      <c r="FO1690" s="59"/>
      <c r="FP1690" s="59"/>
      <c r="FQ1690" s="59"/>
      <c r="FR1690" s="59"/>
      <c r="FS1690" s="59"/>
      <c r="FT1690" s="59"/>
      <c r="FU1690" s="59"/>
      <c r="FV1690" s="59"/>
      <c r="FW1690" s="59"/>
      <c r="FX1690" s="59"/>
      <c r="FY1690" s="59"/>
      <c r="FZ1690" s="59"/>
      <c r="GA1690" s="59"/>
      <c r="GB1690" s="59"/>
      <c r="GC1690" s="59"/>
    </row>
    <row r="1691">
      <c r="A1691" s="59"/>
      <c r="B1691" s="59"/>
      <c r="C1691" s="59"/>
      <c r="D1691" s="59"/>
      <c r="E1691" s="59"/>
      <c r="F1691" s="59"/>
      <c r="G1691" s="59"/>
      <c r="H1691" s="59"/>
      <c r="I1691" s="59"/>
      <c r="J1691" s="59"/>
      <c r="K1691" s="59"/>
      <c r="L1691" s="59"/>
      <c r="M1691" s="59"/>
      <c r="N1691" s="59"/>
      <c r="O1691" s="59"/>
      <c r="P1691" s="59"/>
      <c r="Q1691" s="59"/>
      <c r="R1691" s="59"/>
      <c r="S1691" s="59"/>
      <c r="T1691" s="59"/>
      <c r="U1691" s="59"/>
      <c r="V1691" s="59"/>
      <c r="W1691" s="59"/>
      <c r="X1691" s="59"/>
      <c r="Y1691" s="59"/>
      <c r="Z1691" s="59"/>
      <c r="AA1691" s="59"/>
      <c r="AB1691" s="59"/>
      <c r="AC1691" s="59"/>
      <c r="AD1691" s="59"/>
      <c r="AE1691" s="59"/>
      <c r="AF1691" s="59"/>
      <c r="AG1691" s="59"/>
      <c r="AH1691" s="59"/>
      <c r="AI1691" s="59"/>
      <c r="AJ1691" s="59"/>
      <c r="AK1691" s="59"/>
      <c r="AL1691" s="59"/>
      <c r="AM1691" s="59"/>
      <c r="AN1691" s="59"/>
      <c r="AO1691" s="59"/>
      <c r="AP1691" s="59"/>
      <c r="AQ1691" s="59"/>
      <c r="AR1691" s="59"/>
      <c r="AS1691" s="59"/>
      <c r="AT1691" s="59"/>
      <c r="AU1691" s="59"/>
      <c r="AV1691" s="59"/>
      <c r="AW1691" s="59"/>
      <c r="AX1691" s="59"/>
      <c r="AY1691" s="59"/>
      <c r="AZ1691" s="59"/>
      <c r="BA1691" s="59"/>
      <c r="BB1691" s="59"/>
      <c r="BC1691" s="59"/>
      <c r="BD1691" s="59"/>
      <c r="BE1691" s="59"/>
      <c r="BF1691" s="59"/>
      <c r="BG1691" s="59"/>
      <c r="BH1691" s="59"/>
      <c r="BI1691" s="59"/>
      <c r="BJ1691" s="59"/>
      <c r="BK1691" s="59"/>
      <c r="BL1691" s="59"/>
      <c r="BM1691" s="59"/>
      <c r="BN1691" s="59"/>
      <c r="BO1691" s="59"/>
      <c r="BP1691" s="59"/>
      <c r="BQ1691" s="59"/>
      <c r="BR1691" s="59"/>
      <c r="BS1691" s="59"/>
      <c r="BT1691" s="59"/>
      <c r="BU1691" s="59"/>
      <c r="BV1691" s="59"/>
      <c r="BW1691" s="59"/>
      <c r="BX1691" s="59"/>
      <c r="BY1691" s="59"/>
      <c r="BZ1691" s="59"/>
      <c r="CA1691" s="59"/>
      <c r="CB1691" s="59"/>
      <c r="CC1691" s="59"/>
      <c r="CD1691" s="59"/>
      <c r="CE1691" s="59"/>
      <c r="CF1691" s="59"/>
      <c r="CG1691" s="59"/>
      <c r="CH1691" s="59"/>
      <c r="CI1691" s="59"/>
      <c r="CJ1691" s="59"/>
      <c r="CK1691" s="59"/>
      <c r="CL1691" s="59"/>
      <c r="CM1691" s="59"/>
      <c r="CN1691" s="59"/>
      <c r="CO1691" s="59"/>
      <c r="CP1691" s="59"/>
      <c r="CQ1691" s="59"/>
      <c r="CR1691" s="59"/>
      <c r="CS1691" s="59"/>
      <c r="CT1691" s="59"/>
      <c r="CU1691" s="59"/>
      <c r="CV1691" s="59"/>
      <c r="CW1691" s="59"/>
      <c r="CX1691" s="59"/>
      <c r="CY1691" s="59"/>
      <c r="CZ1691" s="59"/>
      <c r="DA1691" s="59"/>
      <c r="DB1691" s="59"/>
      <c r="DC1691" s="59"/>
      <c r="DD1691" s="59"/>
      <c r="DE1691" s="59"/>
      <c r="DF1691" s="59"/>
      <c r="DG1691" s="59"/>
      <c r="DH1691" s="59"/>
      <c r="DI1691" s="59"/>
      <c r="DJ1691" s="59"/>
      <c r="DK1691" s="59"/>
      <c r="DL1691" s="59"/>
      <c r="DM1691" s="59"/>
      <c r="DN1691" s="59"/>
      <c r="DO1691" s="59"/>
      <c r="DP1691" s="59"/>
      <c r="DQ1691" s="59"/>
      <c r="DR1691" s="59"/>
      <c r="DS1691" s="59"/>
      <c r="DT1691" s="59"/>
      <c r="DU1691" s="59"/>
      <c r="DV1691" s="59"/>
      <c r="DW1691" s="59"/>
      <c r="DX1691" s="59"/>
      <c r="DY1691" s="59"/>
      <c r="DZ1691" s="59"/>
      <c r="EA1691" s="59"/>
      <c r="EB1691" s="59"/>
      <c r="EC1691" s="59"/>
      <c r="ED1691" s="59"/>
      <c r="EE1691" s="59"/>
      <c r="EF1691" s="59"/>
      <c r="EG1691" s="59"/>
      <c r="EH1691" s="59"/>
      <c r="EI1691" s="59"/>
      <c r="EJ1691" s="59"/>
      <c r="EK1691" s="59"/>
      <c r="EL1691" s="59"/>
      <c r="EM1691" s="59"/>
      <c r="EN1691" s="59"/>
      <c r="EO1691" s="59"/>
      <c r="EP1691" s="59"/>
      <c r="EQ1691" s="59"/>
      <c r="ER1691" s="59"/>
      <c r="ES1691" s="59"/>
      <c r="ET1691" s="59"/>
      <c r="EU1691" s="59"/>
      <c r="EV1691" s="59"/>
      <c r="EW1691" s="59"/>
      <c r="EX1691" s="59"/>
      <c r="EY1691" s="59"/>
      <c r="EZ1691" s="59"/>
      <c r="FA1691" s="59"/>
      <c r="FB1691" s="59"/>
      <c r="FC1691" s="59"/>
      <c r="FD1691" s="59"/>
      <c r="FE1691" s="59"/>
      <c r="FF1691" s="59"/>
      <c r="FG1691" s="59"/>
      <c r="FH1691" s="59"/>
      <c r="FI1691" s="59"/>
      <c r="FJ1691" s="59"/>
      <c r="FK1691" s="59"/>
      <c r="FL1691" s="59"/>
      <c r="FM1691" s="59"/>
      <c r="FN1691" s="59"/>
      <c r="FO1691" s="59"/>
      <c r="FP1691" s="59"/>
      <c r="FQ1691" s="59"/>
      <c r="FR1691" s="59"/>
      <c r="FS1691" s="59"/>
      <c r="FT1691" s="59"/>
      <c r="FU1691" s="59"/>
      <c r="FV1691" s="59"/>
      <c r="FW1691" s="59"/>
      <c r="FX1691" s="59"/>
      <c r="FY1691" s="59"/>
      <c r="FZ1691" s="59"/>
      <c r="GA1691" s="59"/>
      <c r="GB1691" s="59"/>
      <c r="GC1691" s="59"/>
    </row>
    <row r="1692">
      <c r="A1692" s="59"/>
      <c r="B1692" s="59"/>
      <c r="C1692" s="59"/>
      <c r="D1692" s="59"/>
      <c r="E1692" s="59"/>
      <c r="F1692" s="59"/>
      <c r="G1692" s="59"/>
      <c r="H1692" s="59"/>
      <c r="I1692" s="59"/>
      <c r="J1692" s="59"/>
      <c r="K1692" s="59"/>
      <c r="L1692" s="59"/>
      <c r="M1692" s="59"/>
      <c r="N1692" s="59"/>
      <c r="O1692" s="59"/>
      <c r="P1692" s="59"/>
      <c r="Q1692" s="59"/>
      <c r="R1692" s="59"/>
      <c r="S1692" s="59"/>
      <c r="T1692" s="59"/>
      <c r="U1692" s="59"/>
      <c r="V1692" s="59"/>
      <c r="W1692" s="59"/>
      <c r="X1692" s="59"/>
      <c r="Y1692" s="59"/>
      <c r="Z1692" s="59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59"/>
      <c r="AU1692" s="59"/>
      <c r="AV1692" s="59"/>
      <c r="AW1692" s="59"/>
      <c r="AX1692" s="59"/>
      <c r="AY1692" s="59"/>
      <c r="AZ1692" s="59"/>
      <c r="BA1692" s="59"/>
      <c r="BB1692" s="59"/>
      <c r="BC1692" s="59"/>
      <c r="BD1692" s="59"/>
      <c r="BE1692" s="59"/>
      <c r="BF1692" s="59"/>
      <c r="BG1692" s="59"/>
      <c r="BH1692" s="59"/>
      <c r="BI1692" s="59"/>
      <c r="BJ1692" s="59"/>
      <c r="BK1692" s="59"/>
      <c r="BL1692" s="59"/>
      <c r="BM1692" s="59"/>
      <c r="BN1692" s="59"/>
      <c r="BO1692" s="59"/>
      <c r="BP1692" s="59"/>
      <c r="BQ1692" s="59"/>
      <c r="BR1692" s="59"/>
      <c r="BS1692" s="59"/>
      <c r="BT1692" s="59"/>
      <c r="BU1692" s="59"/>
      <c r="BV1692" s="59"/>
      <c r="BW1692" s="59"/>
      <c r="BX1692" s="59"/>
      <c r="BY1692" s="59"/>
      <c r="BZ1692" s="59"/>
      <c r="CA1692" s="59"/>
      <c r="CB1692" s="59"/>
      <c r="CC1692" s="59"/>
      <c r="CD1692" s="59"/>
      <c r="CE1692" s="59"/>
      <c r="CF1692" s="59"/>
      <c r="CG1692" s="59"/>
      <c r="CH1692" s="59"/>
      <c r="CI1692" s="59"/>
      <c r="CJ1692" s="59"/>
      <c r="CK1692" s="59"/>
      <c r="CL1692" s="59"/>
      <c r="CM1692" s="59"/>
      <c r="CN1692" s="59"/>
      <c r="CO1692" s="59"/>
      <c r="CP1692" s="59"/>
      <c r="CQ1692" s="59"/>
      <c r="CR1692" s="59"/>
      <c r="CS1692" s="59"/>
      <c r="CT1692" s="59"/>
      <c r="CU1692" s="59"/>
      <c r="CV1692" s="59"/>
      <c r="CW1692" s="59"/>
      <c r="CX1692" s="59"/>
      <c r="CY1692" s="59"/>
      <c r="CZ1692" s="59"/>
      <c r="DA1692" s="59"/>
      <c r="DB1692" s="59"/>
      <c r="DC1692" s="59"/>
      <c r="DD1692" s="59"/>
      <c r="DE1692" s="59"/>
      <c r="DF1692" s="59"/>
      <c r="DG1692" s="59"/>
      <c r="DH1692" s="59"/>
      <c r="DI1692" s="59"/>
      <c r="DJ1692" s="59"/>
      <c r="DK1692" s="59"/>
      <c r="DL1692" s="59"/>
      <c r="DM1692" s="59"/>
      <c r="DN1692" s="59"/>
      <c r="DO1692" s="59"/>
      <c r="DP1692" s="59"/>
      <c r="DQ1692" s="59"/>
      <c r="DR1692" s="59"/>
      <c r="DS1692" s="59"/>
      <c r="DT1692" s="59"/>
      <c r="DU1692" s="59"/>
      <c r="DV1692" s="59"/>
      <c r="DW1692" s="59"/>
      <c r="DX1692" s="59"/>
      <c r="DY1692" s="59"/>
      <c r="DZ1692" s="59"/>
      <c r="EA1692" s="59"/>
      <c r="EB1692" s="59"/>
      <c r="EC1692" s="59"/>
      <c r="ED1692" s="59"/>
      <c r="EE1692" s="59"/>
      <c r="EF1692" s="59"/>
      <c r="EG1692" s="59"/>
      <c r="EH1692" s="59"/>
      <c r="EI1692" s="59"/>
      <c r="EJ1692" s="59"/>
      <c r="EK1692" s="59"/>
      <c r="EL1692" s="59"/>
      <c r="EM1692" s="59"/>
      <c r="EN1692" s="59"/>
      <c r="EO1692" s="59"/>
      <c r="EP1692" s="59"/>
      <c r="EQ1692" s="59"/>
      <c r="ER1692" s="59"/>
      <c r="ES1692" s="59"/>
      <c r="ET1692" s="59"/>
      <c r="EU1692" s="59"/>
      <c r="EV1692" s="59"/>
      <c r="EW1692" s="59"/>
      <c r="EX1692" s="59"/>
      <c r="EY1692" s="59"/>
      <c r="EZ1692" s="59"/>
      <c r="FA1692" s="59"/>
      <c r="FB1692" s="59"/>
      <c r="FC1692" s="59"/>
      <c r="FD1692" s="59"/>
      <c r="FE1692" s="59"/>
      <c r="FF1692" s="59"/>
      <c r="FG1692" s="59"/>
      <c r="FH1692" s="59"/>
      <c r="FI1692" s="59"/>
      <c r="FJ1692" s="59"/>
      <c r="FK1692" s="59"/>
      <c r="FL1692" s="59"/>
      <c r="FM1692" s="59"/>
      <c r="FN1692" s="59"/>
      <c r="FO1692" s="59"/>
      <c r="FP1692" s="59"/>
      <c r="FQ1692" s="59"/>
      <c r="FR1692" s="59"/>
      <c r="FS1692" s="59"/>
      <c r="FT1692" s="59"/>
      <c r="FU1692" s="59"/>
      <c r="FV1692" s="59"/>
      <c r="FW1692" s="59"/>
      <c r="FX1692" s="59"/>
      <c r="FY1692" s="59"/>
      <c r="FZ1692" s="59"/>
      <c r="GA1692" s="59"/>
      <c r="GB1692" s="59"/>
      <c r="GC1692" s="59"/>
    </row>
    <row r="1693">
      <c r="A1693" s="59"/>
      <c r="B1693" s="59"/>
      <c r="C1693" s="59"/>
      <c r="D1693" s="59"/>
      <c r="E1693" s="59"/>
      <c r="F1693" s="59"/>
      <c r="G1693" s="59"/>
      <c r="H1693" s="59"/>
      <c r="I1693" s="59"/>
      <c r="J1693" s="59"/>
      <c r="K1693" s="59"/>
      <c r="L1693" s="59"/>
      <c r="M1693" s="59"/>
      <c r="N1693" s="59"/>
      <c r="O1693" s="59"/>
      <c r="P1693" s="59"/>
      <c r="Q1693" s="59"/>
      <c r="R1693" s="59"/>
      <c r="S1693" s="59"/>
      <c r="T1693" s="59"/>
      <c r="U1693" s="59"/>
      <c r="V1693" s="59"/>
      <c r="W1693" s="59"/>
      <c r="X1693" s="59"/>
      <c r="Y1693" s="59"/>
      <c r="Z1693" s="59"/>
      <c r="AA1693" s="59"/>
      <c r="AB1693" s="59"/>
      <c r="AC1693" s="59"/>
      <c r="AD1693" s="59"/>
      <c r="AE1693" s="59"/>
      <c r="AF1693" s="59"/>
      <c r="AG1693" s="59"/>
      <c r="AH1693" s="59"/>
      <c r="AI1693" s="59"/>
      <c r="AJ1693" s="59"/>
      <c r="AK1693" s="59"/>
      <c r="AL1693" s="59"/>
      <c r="AM1693" s="59"/>
      <c r="AN1693" s="59"/>
      <c r="AO1693" s="59"/>
      <c r="AP1693" s="59"/>
      <c r="AQ1693" s="59"/>
      <c r="AR1693" s="59"/>
      <c r="AS1693" s="59"/>
      <c r="AT1693" s="59"/>
      <c r="AU1693" s="59"/>
      <c r="AV1693" s="59"/>
      <c r="AW1693" s="59"/>
      <c r="AX1693" s="59"/>
      <c r="AY1693" s="59"/>
      <c r="AZ1693" s="59"/>
      <c r="BA1693" s="59"/>
      <c r="BB1693" s="59"/>
      <c r="BC1693" s="59"/>
      <c r="BD1693" s="59"/>
      <c r="BE1693" s="59"/>
      <c r="BF1693" s="59"/>
      <c r="BG1693" s="59"/>
      <c r="BH1693" s="59"/>
      <c r="BI1693" s="59"/>
      <c r="BJ1693" s="59"/>
      <c r="BK1693" s="59"/>
      <c r="BL1693" s="59"/>
      <c r="BM1693" s="59"/>
      <c r="BN1693" s="59"/>
      <c r="BO1693" s="59"/>
      <c r="BP1693" s="59"/>
      <c r="BQ1693" s="59"/>
      <c r="BR1693" s="59"/>
      <c r="BS1693" s="59"/>
      <c r="BT1693" s="59"/>
      <c r="BU1693" s="59"/>
      <c r="BV1693" s="59"/>
      <c r="BW1693" s="59"/>
      <c r="BX1693" s="59"/>
      <c r="BY1693" s="59"/>
      <c r="BZ1693" s="59"/>
      <c r="CA1693" s="59"/>
      <c r="CB1693" s="59"/>
      <c r="CC1693" s="59"/>
      <c r="CD1693" s="59"/>
      <c r="CE1693" s="59"/>
      <c r="CF1693" s="59"/>
      <c r="CG1693" s="59"/>
      <c r="CH1693" s="59"/>
      <c r="CI1693" s="59"/>
      <c r="CJ1693" s="59"/>
      <c r="CK1693" s="59"/>
      <c r="CL1693" s="59"/>
      <c r="CM1693" s="59"/>
      <c r="CN1693" s="59"/>
      <c r="CO1693" s="59"/>
      <c r="CP1693" s="59"/>
      <c r="CQ1693" s="59"/>
      <c r="CR1693" s="59"/>
      <c r="CS1693" s="59"/>
      <c r="CT1693" s="59"/>
      <c r="CU1693" s="59"/>
      <c r="CV1693" s="59"/>
      <c r="CW1693" s="59"/>
      <c r="CX1693" s="59"/>
      <c r="CY1693" s="59"/>
      <c r="CZ1693" s="59"/>
      <c r="DA1693" s="59"/>
      <c r="DB1693" s="59"/>
      <c r="DC1693" s="59"/>
      <c r="DD1693" s="59"/>
      <c r="DE1693" s="59"/>
      <c r="DF1693" s="59"/>
      <c r="DG1693" s="59"/>
      <c r="DH1693" s="59"/>
      <c r="DI1693" s="59"/>
      <c r="DJ1693" s="59"/>
      <c r="DK1693" s="59"/>
      <c r="DL1693" s="59"/>
      <c r="DM1693" s="59"/>
      <c r="DN1693" s="59"/>
      <c r="DO1693" s="59"/>
      <c r="DP1693" s="59"/>
      <c r="DQ1693" s="59"/>
      <c r="DR1693" s="59"/>
      <c r="DS1693" s="59"/>
      <c r="DT1693" s="59"/>
      <c r="DU1693" s="59"/>
      <c r="DV1693" s="59"/>
      <c r="DW1693" s="59"/>
      <c r="DX1693" s="59"/>
      <c r="DY1693" s="59"/>
      <c r="DZ1693" s="59"/>
      <c r="EA1693" s="59"/>
      <c r="EB1693" s="59"/>
      <c r="EC1693" s="59"/>
      <c r="ED1693" s="59"/>
      <c r="EE1693" s="59"/>
      <c r="EF1693" s="59"/>
      <c r="EG1693" s="59"/>
      <c r="EH1693" s="59"/>
      <c r="EI1693" s="59"/>
      <c r="EJ1693" s="59"/>
      <c r="EK1693" s="59"/>
      <c r="EL1693" s="59"/>
      <c r="EM1693" s="59"/>
      <c r="EN1693" s="59"/>
      <c r="EO1693" s="59"/>
      <c r="EP1693" s="59"/>
      <c r="EQ1693" s="59"/>
      <c r="ER1693" s="59"/>
      <c r="ES1693" s="59"/>
      <c r="ET1693" s="59"/>
      <c r="EU1693" s="59"/>
      <c r="EV1693" s="59"/>
      <c r="EW1693" s="59"/>
      <c r="EX1693" s="59"/>
      <c r="EY1693" s="59"/>
      <c r="EZ1693" s="59"/>
      <c r="FA1693" s="59"/>
      <c r="FB1693" s="59"/>
      <c r="FC1693" s="59"/>
      <c r="FD1693" s="59"/>
      <c r="FE1693" s="59"/>
      <c r="FF1693" s="59"/>
      <c r="FG1693" s="59"/>
      <c r="FH1693" s="59"/>
      <c r="FI1693" s="59"/>
      <c r="FJ1693" s="59"/>
      <c r="FK1693" s="59"/>
      <c r="FL1693" s="59"/>
      <c r="FM1693" s="59"/>
      <c r="FN1693" s="59"/>
      <c r="FO1693" s="59"/>
      <c r="FP1693" s="59"/>
      <c r="FQ1693" s="59"/>
      <c r="FR1693" s="59"/>
      <c r="FS1693" s="59"/>
      <c r="FT1693" s="59"/>
      <c r="FU1693" s="59"/>
      <c r="FV1693" s="59"/>
      <c r="FW1693" s="59"/>
      <c r="FX1693" s="59"/>
      <c r="FY1693" s="59"/>
      <c r="FZ1693" s="59"/>
      <c r="GA1693" s="59"/>
      <c r="GB1693" s="59"/>
      <c r="GC1693" s="59"/>
    </row>
    <row r="1694">
      <c r="A1694" s="59"/>
      <c r="B1694" s="59"/>
      <c r="C1694" s="59"/>
      <c r="D1694" s="59"/>
      <c r="E1694" s="59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  <c r="BJ1694" s="59"/>
      <c r="BK1694" s="59"/>
      <c r="BL1694" s="59"/>
      <c r="BM1694" s="59"/>
      <c r="BN1694" s="59"/>
      <c r="BO1694" s="59"/>
      <c r="BP1694" s="59"/>
      <c r="BQ1694" s="59"/>
      <c r="BR1694" s="59"/>
      <c r="BS1694" s="59"/>
      <c r="BT1694" s="59"/>
      <c r="BU1694" s="59"/>
      <c r="BV1694" s="59"/>
      <c r="BW1694" s="59"/>
      <c r="BX1694" s="59"/>
      <c r="BY1694" s="59"/>
      <c r="BZ1694" s="59"/>
      <c r="CA1694" s="59"/>
      <c r="CB1694" s="59"/>
      <c r="CC1694" s="59"/>
      <c r="CD1694" s="59"/>
      <c r="CE1694" s="59"/>
      <c r="CF1694" s="59"/>
      <c r="CG1694" s="59"/>
      <c r="CH1694" s="59"/>
      <c r="CI1694" s="59"/>
      <c r="CJ1694" s="59"/>
      <c r="CK1694" s="59"/>
      <c r="CL1694" s="59"/>
      <c r="CM1694" s="59"/>
      <c r="CN1694" s="59"/>
      <c r="CO1694" s="59"/>
      <c r="CP1694" s="59"/>
      <c r="CQ1694" s="59"/>
      <c r="CR1694" s="59"/>
      <c r="CS1694" s="59"/>
      <c r="CT1694" s="59"/>
      <c r="CU1694" s="59"/>
      <c r="CV1694" s="59"/>
      <c r="CW1694" s="59"/>
      <c r="CX1694" s="59"/>
      <c r="CY1694" s="59"/>
      <c r="CZ1694" s="59"/>
      <c r="DA1694" s="59"/>
      <c r="DB1694" s="59"/>
      <c r="DC1694" s="59"/>
      <c r="DD1694" s="59"/>
      <c r="DE1694" s="59"/>
      <c r="DF1694" s="59"/>
      <c r="DG1694" s="59"/>
      <c r="DH1694" s="59"/>
      <c r="DI1694" s="59"/>
      <c r="DJ1694" s="59"/>
      <c r="DK1694" s="59"/>
      <c r="DL1694" s="59"/>
      <c r="DM1694" s="59"/>
      <c r="DN1694" s="59"/>
      <c r="DO1694" s="59"/>
      <c r="DP1694" s="59"/>
      <c r="DQ1694" s="59"/>
      <c r="DR1694" s="59"/>
      <c r="DS1694" s="59"/>
      <c r="DT1694" s="59"/>
      <c r="DU1694" s="59"/>
      <c r="DV1694" s="59"/>
      <c r="DW1694" s="59"/>
      <c r="DX1694" s="59"/>
      <c r="DY1694" s="59"/>
      <c r="DZ1694" s="59"/>
      <c r="EA1694" s="59"/>
      <c r="EB1694" s="59"/>
      <c r="EC1694" s="59"/>
      <c r="ED1694" s="59"/>
      <c r="EE1694" s="59"/>
      <c r="EF1694" s="59"/>
      <c r="EG1694" s="59"/>
      <c r="EH1694" s="59"/>
      <c r="EI1694" s="59"/>
      <c r="EJ1694" s="59"/>
      <c r="EK1694" s="59"/>
      <c r="EL1694" s="59"/>
      <c r="EM1694" s="59"/>
      <c r="EN1694" s="59"/>
      <c r="EO1694" s="59"/>
      <c r="EP1694" s="59"/>
      <c r="EQ1694" s="59"/>
      <c r="ER1694" s="59"/>
      <c r="ES1694" s="59"/>
      <c r="ET1694" s="59"/>
      <c r="EU1694" s="59"/>
      <c r="EV1694" s="59"/>
      <c r="EW1694" s="59"/>
      <c r="EX1694" s="59"/>
      <c r="EY1694" s="59"/>
      <c r="EZ1694" s="59"/>
      <c r="FA1694" s="59"/>
      <c r="FB1694" s="59"/>
      <c r="FC1694" s="59"/>
      <c r="FD1694" s="59"/>
      <c r="FE1694" s="59"/>
      <c r="FF1694" s="59"/>
      <c r="FG1694" s="59"/>
      <c r="FH1694" s="59"/>
      <c r="FI1694" s="59"/>
      <c r="FJ1694" s="59"/>
      <c r="FK1694" s="59"/>
      <c r="FL1694" s="59"/>
      <c r="FM1694" s="59"/>
      <c r="FN1694" s="59"/>
      <c r="FO1694" s="59"/>
      <c r="FP1694" s="59"/>
      <c r="FQ1694" s="59"/>
      <c r="FR1694" s="59"/>
      <c r="FS1694" s="59"/>
      <c r="FT1694" s="59"/>
      <c r="FU1694" s="59"/>
      <c r="FV1694" s="59"/>
      <c r="FW1694" s="59"/>
      <c r="FX1694" s="59"/>
      <c r="FY1694" s="59"/>
      <c r="FZ1694" s="59"/>
      <c r="GA1694" s="59"/>
      <c r="GB1694" s="59"/>
      <c r="GC1694" s="59"/>
    </row>
    <row r="1695">
      <c r="A1695" s="59"/>
      <c r="B1695" s="59"/>
      <c r="C1695" s="59"/>
      <c r="D1695" s="59"/>
      <c r="E1695" s="59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  <c r="BJ1695" s="59"/>
      <c r="BK1695" s="59"/>
      <c r="BL1695" s="59"/>
      <c r="BM1695" s="59"/>
      <c r="BN1695" s="59"/>
      <c r="BO1695" s="59"/>
      <c r="BP1695" s="59"/>
      <c r="BQ1695" s="59"/>
      <c r="BR1695" s="59"/>
      <c r="BS1695" s="59"/>
      <c r="BT1695" s="59"/>
      <c r="BU1695" s="59"/>
      <c r="BV1695" s="59"/>
      <c r="BW1695" s="59"/>
      <c r="BX1695" s="59"/>
      <c r="BY1695" s="59"/>
      <c r="BZ1695" s="59"/>
      <c r="CA1695" s="59"/>
      <c r="CB1695" s="59"/>
      <c r="CC1695" s="59"/>
      <c r="CD1695" s="59"/>
      <c r="CE1695" s="59"/>
      <c r="CF1695" s="59"/>
      <c r="CG1695" s="59"/>
      <c r="CH1695" s="59"/>
      <c r="CI1695" s="59"/>
      <c r="CJ1695" s="59"/>
      <c r="CK1695" s="59"/>
      <c r="CL1695" s="59"/>
      <c r="CM1695" s="59"/>
      <c r="CN1695" s="59"/>
      <c r="CO1695" s="59"/>
      <c r="CP1695" s="59"/>
      <c r="CQ1695" s="59"/>
      <c r="CR1695" s="59"/>
      <c r="CS1695" s="59"/>
      <c r="CT1695" s="59"/>
      <c r="CU1695" s="59"/>
      <c r="CV1695" s="59"/>
      <c r="CW1695" s="59"/>
      <c r="CX1695" s="59"/>
      <c r="CY1695" s="59"/>
      <c r="CZ1695" s="59"/>
      <c r="DA1695" s="59"/>
      <c r="DB1695" s="59"/>
      <c r="DC1695" s="59"/>
      <c r="DD1695" s="59"/>
      <c r="DE1695" s="59"/>
      <c r="DF1695" s="59"/>
      <c r="DG1695" s="59"/>
      <c r="DH1695" s="59"/>
      <c r="DI1695" s="59"/>
      <c r="DJ1695" s="59"/>
      <c r="DK1695" s="59"/>
      <c r="DL1695" s="59"/>
      <c r="DM1695" s="59"/>
      <c r="DN1695" s="59"/>
      <c r="DO1695" s="59"/>
      <c r="DP1695" s="59"/>
      <c r="DQ1695" s="59"/>
      <c r="DR1695" s="59"/>
      <c r="DS1695" s="59"/>
      <c r="DT1695" s="59"/>
      <c r="DU1695" s="59"/>
      <c r="DV1695" s="59"/>
      <c r="DW1695" s="59"/>
      <c r="DX1695" s="59"/>
      <c r="DY1695" s="59"/>
      <c r="DZ1695" s="59"/>
      <c r="EA1695" s="59"/>
      <c r="EB1695" s="59"/>
      <c r="EC1695" s="59"/>
      <c r="ED1695" s="59"/>
      <c r="EE1695" s="59"/>
      <c r="EF1695" s="59"/>
      <c r="EG1695" s="59"/>
      <c r="EH1695" s="59"/>
      <c r="EI1695" s="59"/>
      <c r="EJ1695" s="59"/>
      <c r="EK1695" s="59"/>
      <c r="EL1695" s="59"/>
      <c r="EM1695" s="59"/>
      <c r="EN1695" s="59"/>
      <c r="EO1695" s="59"/>
      <c r="EP1695" s="59"/>
      <c r="EQ1695" s="59"/>
      <c r="ER1695" s="59"/>
      <c r="ES1695" s="59"/>
      <c r="ET1695" s="59"/>
      <c r="EU1695" s="59"/>
      <c r="EV1695" s="59"/>
      <c r="EW1695" s="59"/>
      <c r="EX1695" s="59"/>
      <c r="EY1695" s="59"/>
      <c r="EZ1695" s="59"/>
      <c r="FA1695" s="59"/>
      <c r="FB1695" s="59"/>
      <c r="FC1695" s="59"/>
      <c r="FD1695" s="59"/>
      <c r="FE1695" s="59"/>
      <c r="FF1695" s="59"/>
      <c r="FG1695" s="59"/>
      <c r="FH1695" s="59"/>
      <c r="FI1695" s="59"/>
      <c r="FJ1695" s="59"/>
      <c r="FK1695" s="59"/>
      <c r="FL1695" s="59"/>
      <c r="FM1695" s="59"/>
      <c r="FN1695" s="59"/>
      <c r="FO1695" s="59"/>
      <c r="FP1695" s="59"/>
      <c r="FQ1695" s="59"/>
      <c r="FR1695" s="59"/>
      <c r="FS1695" s="59"/>
      <c r="FT1695" s="59"/>
      <c r="FU1695" s="59"/>
      <c r="FV1695" s="59"/>
      <c r="FW1695" s="59"/>
      <c r="FX1695" s="59"/>
      <c r="FY1695" s="59"/>
      <c r="FZ1695" s="59"/>
      <c r="GA1695" s="59"/>
      <c r="GB1695" s="59"/>
      <c r="GC1695" s="59"/>
    </row>
    <row r="1696">
      <c r="A1696" s="59"/>
      <c r="B1696" s="59"/>
      <c r="C1696" s="59"/>
      <c r="D1696" s="59"/>
      <c r="E1696" s="59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  <c r="BJ1696" s="59"/>
      <c r="BK1696" s="59"/>
      <c r="BL1696" s="59"/>
      <c r="BM1696" s="59"/>
      <c r="BN1696" s="59"/>
      <c r="BO1696" s="59"/>
      <c r="BP1696" s="59"/>
      <c r="BQ1696" s="59"/>
      <c r="BR1696" s="59"/>
      <c r="BS1696" s="59"/>
      <c r="BT1696" s="59"/>
      <c r="BU1696" s="59"/>
      <c r="BV1696" s="59"/>
      <c r="BW1696" s="59"/>
      <c r="BX1696" s="59"/>
      <c r="BY1696" s="59"/>
      <c r="BZ1696" s="59"/>
      <c r="CA1696" s="59"/>
      <c r="CB1696" s="59"/>
      <c r="CC1696" s="59"/>
      <c r="CD1696" s="59"/>
      <c r="CE1696" s="59"/>
      <c r="CF1696" s="59"/>
      <c r="CG1696" s="59"/>
      <c r="CH1696" s="59"/>
      <c r="CI1696" s="59"/>
      <c r="CJ1696" s="59"/>
      <c r="CK1696" s="59"/>
      <c r="CL1696" s="59"/>
      <c r="CM1696" s="59"/>
      <c r="CN1696" s="59"/>
      <c r="CO1696" s="59"/>
      <c r="CP1696" s="59"/>
      <c r="CQ1696" s="59"/>
      <c r="CR1696" s="59"/>
      <c r="CS1696" s="59"/>
      <c r="CT1696" s="59"/>
      <c r="CU1696" s="59"/>
      <c r="CV1696" s="59"/>
      <c r="CW1696" s="59"/>
      <c r="CX1696" s="59"/>
      <c r="CY1696" s="59"/>
      <c r="CZ1696" s="59"/>
      <c r="DA1696" s="59"/>
      <c r="DB1696" s="59"/>
      <c r="DC1696" s="59"/>
      <c r="DD1696" s="59"/>
      <c r="DE1696" s="59"/>
      <c r="DF1696" s="59"/>
      <c r="DG1696" s="59"/>
      <c r="DH1696" s="59"/>
      <c r="DI1696" s="59"/>
      <c r="DJ1696" s="59"/>
      <c r="DK1696" s="59"/>
      <c r="DL1696" s="59"/>
      <c r="DM1696" s="59"/>
      <c r="DN1696" s="59"/>
      <c r="DO1696" s="59"/>
      <c r="DP1696" s="59"/>
      <c r="DQ1696" s="59"/>
      <c r="DR1696" s="59"/>
      <c r="DS1696" s="59"/>
      <c r="DT1696" s="59"/>
      <c r="DU1696" s="59"/>
      <c r="DV1696" s="59"/>
      <c r="DW1696" s="59"/>
      <c r="DX1696" s="59"/>
      <c r="DY1696" s="59"/>
      <c r="DZ1696" s="59"/>
      <c r="EA1696" s="59"/>
      <c r="EB1696" s="59"/>
      <c r="EC1696" s="59"/>
      <c r="ED1696" s="59"/>
      <c r="EE1696" s="59"/>
      <c r="EF1696" s="59"/>
      <c r="EG1696" s="59"/>
      <c r="EH1696" s="59"/>
      <c r="EI1696" s="59"/>
      <c r="EJ1696" s="59"/>
      <c r="EK1696" s="59"/>
      <c r="EL1696" s="59"/>
      <c r="EM1696" s="59"/>
      <c r="EN1696" s="59"/>
      <c r="EO1696" s="59"/>
      <c r="EP1696" s="59"/>
      <c r="EQ1696" s="59"/>
      <c r="ER1696" s="59"/>
      <c r="ES1696" s="59"/>
      <c r="ET1696" s="59"/>
      <c r="EU1696" s="59"/>
      <c r="EV1696" s="59"/>
      <c r="EW1696" s="59"/>
      <c r="EX1696" s="59"/>
      <c r="EY1696" s="59"/>
      <c r="EZ1696" s="59"/>
      <c r="FA1696" s="59"/>
      <c r="FB1696" s="59"/>
      <c r="FC1696" s="59"/>
      <c r="FD1696" s="59"/>
      <c r="FE1696" s="59"/>
      <c r="FF1696" s="59"/>
      <c r="FG1696" s="59"/>
      <c r="FH1696" s="59"/>
      <c r="FI1696" s="59"/>
      <c r="FJ1696" s="59"/>
      <c r="FK1696" s="59"/>
      <c r="FL1696" s="59"/>
      <c r="FM1696" s="59"/>
      <c r="FN1696" s="59"/>
      <c r="FO1696" s="59"/>
      <c r="FP1696" s="59"/>
      <c r="FQ1696" s="59"/>
      <c r="FR1696" s="59"/>
      <c r="FS1696" s="59"/>
      <c r="FT1696" s="59"/>
      <c r="FU1696" s="59"/>
      <c r="FV1696" s="59"/>
      <c r="FW1696" s="59"/>
      <c r="FX1696" s="59"/>
      <c r="FY1696" s="59"/>
      <c r="FZ1696" s="59"/>
      <c r="GA1696" s="59"/>
      <c r="GB1696" s="59"/>
      <c r="GC1696" s="59"/>
    </row>
    <row r="1697">
      <c r="A1697" s="59"/>
      <c r="B1697" s="59"/>
      <c r="C1697" s="59"/>
      <c r="D1697" s="59"/>
      <c r="E1697" s="59"/>
      <c r="F1697" s="59"/>
      <c r="G1697" s="59"/>
      <c r="H1697" s="59"/>
      <c r="I1697" s="59"/>
      <c r="J1697" s="59"/>
      <c r="K1697" s="59"/>
      <c r="L1697" s="59"/>
      <c r="M1697" s="59"/>
      <c r="N1697" s="59"/>
      <c r="O1697" s="59"/>
      <c r="P1697" s="59"/>
      <c r="Q1697" s="59"/>
      <c r="R1697" s="59"/>
      <c r="S1697" s="59"/>
      <c r="T1697" s="59"/>
      <c r="U1697" s="59"/>
      <c r="V1697" s="59"/>
      <c r="W1697" s="59"/>
      <c r="X1697" s="59"/>
      <c r="Y1697" s="59"/>
      <c r="Z1697" s="59"/>
      <c r="AA1697" s="59"/>
      <c r="AB1697" s="59"/>
      <c r="AC1697" s="59"/>
      <c r="AD1697" s="59"/>
      <c r="AE1697" s="59"/>
      <c r="AF1697" s="59"/>
      <c r="AG1697" s="59"/>
      <c r="AH1697" s="59"/>
      <c r="AI1697" s="59"/>
      <c r="AJ1697" s="59"/>
      <c r="AK1697" s="59"/>
      <c r="AL1697" s="59"/>
      <c r="AM1697" s="59"/>
      <c r="AN1697" s="59"/>
      <c r="AO1697" s="59"/>
      <c r="AP1697" s="59"/>
      <c r="AQ1697" s="59"/>
      <c r="AR1697" s="59"/>
      <c r="AS1697" s="59"/>
      <c r="AT1697" s="59"/>
      <c r="AU1697" s="59"/>
      <c r="AV1697" s="59"/>
      <c r="AW1697" s="59"/>
      <c r="AX1697" s="59"/>
      <c r="AY1697" s="59"/>
      <c r="AZ1697" s="59"/>
      <c r="BA1697" s="59"/>
      <c r="BB1697" s="59"/>
      <c r="BC1697" s="59"/>
      <c r="BD1697" s="59"/>
      <c r="BE1697" s="59"/>
      <c r="BF1697" s="59"/>
      <c r="BG1697" s="59"/>
      <c r="BH1697" s="59"/>
      <c r="BI1697" s="59"/>
      <c r="BJ1697" s="59"/>
      <c r="BK1697" s="59"/>
      <c r="BL1697" s="59"/>
      <c r="BM1697" s="59"/>
      <c r="BN1697" s="59"/>
      <c r="BO1697" s="59"/>
      <c r="BP1697" s="59"/>
      <c r="BQ1697" s="59"/>
      <c r="BR1697" s="59"/>
      <c r="BS1697" s="59"/>
      <c r="BT1697" s="59"/>
      <c r="BU1697" s="59"/>
      <c r="BV1697" s="59"/>
      <c r="BW1697" s="59"/>
      <c r="BX1697" s="59"/>
      <c r="BY1697" s="59"/>
      <c r="BZ1697" s="59"/>
      <c r="CA1697" s="59"/>
      <c r="CB1697" s="59"/>
      <c r="CC1697" s="59"/>
      <c r="CD1697" s="59"/>
      <c r="CE1697" s="59"/>
      <c r="CF1697" s="59"/>
      <c r="CG1697" s="59"/>
      <c r="CH1697" s="59"/>
      <c r="CI1697" s="59"/>
      <c r="CJ1697" s="59"/>
      <c r="CK1697" s="59"/>
      <c r="CL1697" s="59"/>
      <c r="CM1697" s="59"/>
      <c r="CN1697" s="59"/>
      <c r="CO1697" s="59"/>
      <c r="CP1697" s="59"/>
      <c r="CQ1697" s="59"/>
      <c r="CR1697" s="59"/>
      <c r="CS1697" s="59"/>
      <c r="CT1697" s="59"/>
      <c r="CU1697" s="59"/>
      <c r="CV1697" s="59"/>
      <c r="CW1697" s="59"/>
      <c r="CX1697" s="59"/>
      <c r="CY1697" s="59"/>
      <c r="CZ1697" s="59"/>
      <c r="DA1697" s="59"/>
      <c r="DB1697" s="59"/>
      <c r="DC1697" s="59"/>
      <c r="DD1697" s="59"/>
      <c r="DE1697" s="59"/>
      <c r="DF1697" s="59"/>
      <c r="DG1697" s="59"/>
      <c r="DH1697" s="59"/>
      <c r="DI1697" s="59"/>
      <c r="DJ1697" s="59"/>
      <c r="DK1697" s="59"/>
      <c r="DL1697" s="59"/>
      <c r="DM1697" s="59"/>
      <c r="DN1697" s="59"/>
      <c r="DO1697" s="59"/>
      <c r="DP1697" s="59"/>
      <c r="DQ1697" s="59"/>
      <c r="DR1697" s="59"/>
      <c r="DS1697" s="59"/>
      <c r="DT1697" s="59"/>
      <c r="DU1697" s="59"/>
      <c r="DV1697" s="59"/>
      <c r="DW1697" s="59"/>
      <c r="DX1697" s="59"/>
      <c r="DY1697" s="59"/>
      <c r="DZ1697" s="59"/>
      <c r="EA1697" s="59"/>
      <c r="EB1697" s="59"/>
      <c r="EC1697" s="59"/>
      <c r="ED1697" s="59"/>
      <c r="EE1697" s="59"/>
      <c r="EF1697" s="59"/>
      <c r="EG1697" s="59"/>
      <c r="EH1697" s="59"/>
      <c r="EI1697" s="59"/>
      <c r="EJ1697" s="59"/>
      <c r="EK1697" s="59"/>
      <c r="EL1697" s="59"/>
      <c r="EM1697" s="59"/>
      <c r="EN1697" s="59"/>
      <c r="EO1697" s="59"/>
      <c r="EP1697" s="59"/>
      <c r="EQ1697" s="59"/>
      <c r="ER1697" s="59"/>
      <c r="ES1697" s="59"/>
      <c r="ET1697" s="59"/>
      <c r="EU1697" s="59"/>
      <c r="EV1697" s="59"/>
      <c r="EW1697" s="59"/>
      <c r="EX1697" s="59"/>
      <c r="EY1697" s="59"/>
      <c r="EZ1697" s="59"/>
      <c r="FA1697" s="59"/>
      <c r="FB1697" s="59"/>
      <c r="FC1697" s="59"/>
      <c r="FD1697" s="59"/>
      <c r="FE1697" s="59"/>
      <c r="FF1697" s="59"/>
      <c r="FG1697" s="59"/>
      <c r="FH1697" s="59"/>
      <c r="FI1697" s="59"/>
      <c r="FJ1697" s="59"/>
      <c r="FK1697" s="59"/>
      <c r="FL1697" s="59"/>
      <c r="FM1697" s="59"/>
      <c r="FN1697" s="59"/>
      <c r="FO1697" s="59"/>
      <c r="FP1697" s="59"/>
      <c r="FQ1697" s="59"/>
      <c r="FR1697" s="59"/>
      <c r="FS1697" s="59"/>
      <c r="FT1697" s="59"/>
      <c r="FU1697" s="59"/>
      <c r="FV1697" s="59"/>
      <c r="FW1697" s="59"/>
      <c r="FX1697" s="59"/>
      <c r="FY1697" s="59"/>
      <c r="FZ1697" s="59"/>
      <c r="GA1697" s="59"/>
      <c r="GB1697" s="59"/>
      <c r="GC1697" s="59"/>
    </row>
    <row r="1698">
      <c r="A1698" s="59"/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  <c r="BJ1698" s="59"/>
      <c r="BK1698" s="59"/>
      <c r="BL1698" s="59"/>
      <c r="BM1698" s="59"/>
      <c r="BN1698" s="59"/>
      <c r="BO1698" s="59"/>
      <c r="BP1698" s="59"/>
      <c r="BQ1698" s="59"/>
      <c r="BR1698" s="59"/>
      <c r="BS1698" s="59"/>
      <c r="BT1698" s="59"/>
      <c r="BU1698" s="59"/>
      <c r="BV1698" s="59"/>
      <c r="BW1698" s="59"/>
      <c r="BX1698" s="59"/>
      <c r="BY1698" s="59"/>
      <c r="BZ1698" s="59"/>
      <c r="CA1698" s="59"/>
      <c r="CB1698" s="59"/>
      <c r="CC1698" s="59"/>
      <c r="CD1698" s="59"/>
      <c r="CE1698" s="59"/>
      <c r="CF1698" s="59"/>
      <c r="CG1698" s="59"/>
      <c r="CH1698" s="59"/>
      <c r="CI1698" s="59"/>
      <c r="CJ1698" s="59"/>
      <c r="CK1698" s="59"/>
      <c r="CL1698" s="59"/>
      <c r="CM1698" s="59"/>
      <c r="CN1698" s="59"/>
      <c r="CO1698" s="59"/>
      <c r="CP1698" s="59"/>
      <c r="CQ1698" s="59"/>
      <c r="CR1698" s="59"/>
      <c r="CS1698" s="59"/>
      <c r="CT1698" s="59"/>
      <c r="CU1698" s="59"/>
      <c r="CV1698" s="59"/>
      <c r="CW1698" s="59"/>
      <c r="CX1698" s="59"/>
      <c r="CY1698" s="59"/>
      <c r="CZ1698" s="59"/>
      <c r="DA1698" s="59"/>
      <c r="DB1698" s="59"/>
      <c r="DC1698" s="59"/>
      <c r="DD1698" s="59"/>
      <c r="DE1698" s="59"/>
      <c r="DF1698" s="59"/>
      <c r="DG1698" s="59"/>
      <c r="DH1698" s="59"/>
      <c r="DI1698" s="59"/>
      <c r="DJ1698" s="59"/>
      <c r="DK1698" s="59"/>
      <c r="DL1698" s="59"/>
      <c r="DM1698" s="59"/>
      <c r="DN1698" s="59"/>
      <c r="DO1698" s="59"/>
      <c r="DP1698" s="59"/>
      <c r="DQ1698" s="59"/>
      <c r="DR1698" s="59"/>
      <c r="DS1698" s="59"/>
      <c r="DT1698" s="59"/>
      <c r="DU1698" s="59"/>
      <c r="DV1698" s="59"/>
      <c r="DW1698" s="59"/>
      <c r="DX1698" s="59"/>
      <c r="DY1698" s="59"/>
      <c r="DZ1698" s="59"/>
      <c r="EA1698" s="59"/>
      <c r="EB1698" s="59"/>
      <c r="EC1698" s="59"/>
      <c r="ED1698" s="59"/>
      <c r="EE1698" s="59"/>
      <c r="EF1698" s="59"/>
      <c r="EG1698" s="59"/>
      <c r="EH1698" s="59"/>
      <c r="EI1698" s="59"/>
      <c r="EJ1698" s="59"/>
      <c r="EK1698" s="59"/>
      <c r="EL1698" s="59"/>
      <c r="EM1698" s="59"/>
      <c r="EN1698" s="59"/>
      <c r="EO1698" s="59"/>
      <c r="EP1698" s="59"/>
      <c r="EQ1698" s="59"/>
      <c r="ER1698" s="59"/>
      <c r="ES1698" s="59"/>
      <c r="ET1698" s="59"/>
      <c r="EU1698" s="59"/>
      <c r="EV1698" s="59"/>
      <c r="EW1698" s="59"/>
      <c r="EX1698" s="59"/>
      <c r="EY1698" s="59"/>
      <c r="EZ1698" s="59"/>
      <c r="FA1698" s="59"/>
      <c r="FB1698" s="59"/>
      <c r="FC1698" s="59"/>
      <c r="FD1698" s="59"/>
      <c r="FE1698" s="59"/>
      <c r="FF1698" s="59"/>
      <c r="FG1698" s="59"/>
      <c r="FH1698" s="59"/>
      <c r="FI1698" s="59"/>
      <c r="FJ1698" s="59"/>
      <c r="FK1698" s="59"/>
      <c r="FL1698" s="59"/>
      <c r="FM1698" s="59"/>
      <c r="FN1698" s="59"/>
      <c r="FO1698" s="59"/>
      <c r="FP1698" s="59"/>
      <c r="FQ1698" s="59"/>
      <c r="FR1698" s="59"/>
      <c r="FS1698" s="59"/>
      <c r="FT1698" s="59"/>
      <c r="FU1698" s="59"/>
      <c r="FV1698" s="59"/>
      <c r="FW1698" s="59"/>
      <c r="FX1698" s="59"/>
      <c r="FY1698" s="59"/>
      <c r="FZ1698" s="59"/>
      <c r="GA1698" s="59"/>
      <c r="GB1698" s="59"/>
      <c r="GC1698" s="59"/>
    </row>
    <row r="1699">
      <c r="A1699" s="59"/>
      <c r="B1699" s="59"/>
      <c r="C1699" s="59"/>
      <c r="D1699" s="59"/>
      <c r="E1699" s="59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  <c r="BJ1699" s="59"/>
      <c r="BK1699" s="59"/>
      <c r="BL1699" s="59"/>
      <c r="BM1699" s="59"/>
      <c r="BN1699" s="59"/>
      <c r="BO1699" s="59"/>
      <c r="BP1699" s="59"/>
      <c r="BQ1699" s="59"/>
      <c r="BR1699" s="59"/>
      <c r="BS1699" s="59"/>
      <c r="BT1699" s="59"/>
      <c r="BU1699" s="59"/>
      <c r="BV1699" s="59"/>
      <c r="BW1699" s="59"/>
      <c r="BX1699" s="59"/>
      <c r="BY1699" s="59"/>
      <c r="BZ1699" s="59"/>
      <c r="CA1699" s="59"/>
      <c r="CB1699" s="59"/>
      <c r="CC1699" s="59"/>
      <c r="CD1699" s="59"/>
      <c r="CE1699" s="59"/>
      <c r="CF1699" s="59"/>
      <c r="CG1699" s="59"/>
      <c r="CH1699" s="59"/>
      <c r="CI1699" s="59"/>
      <c r="CJ1699" s="59"/>
      <c r="CK1699" s="59"/>
      <c r="CL1699" s="59"/>
      <c r="CM1699" s="59"/>
      <c r="CN1699" s="59"/>
      <c r="CO1699" s="59"/>
      <c r="CP1699" s="59"/>
      <c r="CQ1699" s="59"/>
      <c r="CR1699" s="59"/>
      <c r="CS1699" s="59"/>
      <c r="CT1699" s="59"/>
      <c r="CU1699" s="59"/>
      <c r="CV1699" s="59"/>
      <c r="CW1699" s="59"/>
      <c r="CX1699" s="59"/>
      <c r="CY1699" s="59"/>
      <c r="CZ1699" s="59"/>
      <c r="DA1699" s="59"/>
      <c r="DB1699" s="59"/>
      <c r="DC1699" s="59"/>
      <c r="DD1699" s="59"/>
      <c r="DE1699" s="59"/>
      <c r="DF1699" s="59"/>
      <c r="DG1699" s="59"/>
      <c r="DH1699" s="59"/>
      <c r="DI1699" s="59"/>
      <c r="DJ1699" s="59"/>
      <c r="DK1699" s="59"/>
      <c r="DL1699" s="59"/>
      <c r="DM1699" s="59"/>
      <c r="DN1699" s="59"/>
      <c r="DO1699" s="59"/>
      <c r="DP1699" s="59"/>
      <c r="DQ1699" s="59"/>
      <c r="DR1699" s="59"/>
      <c r="DS1699" s="59"/>
      <c r="DT1699" s="59"/>
      <c r="DU1699" s="59"/>
      <c r="DV1699" s="59"/>
      <c r="DW1699" s="59"/>
      <c r="DX1699" s="59"/>
      <c r="DY1699" s="59"/>
      <c r="DZ1699" s="59"/>
      <c r="EA1699" s="59"/>
      <c r="EB1699" s="59"/>
      <c r="EC1699" s="59"/>
      <c r="ED1699" s="59"/>
      <c r="EE1699" s="59"/>
      <c r="EF1699" s="59"/>
      <c r="EG1699" s="59"/>
      <c r="EH1699" s="59"/>
      <c r="EI1699" s="59"/>
      <c r="EJ1699" s="59"/>
      <c r="EK1699" s="59"/>
      <c r="EL1699" s="59"/>
      <c r="EM1699" s="59"/>
      <c r="EN1699" s="59"/>
      <c r="EO1699" s="59"/>
      <c r="EP1699" s="59"/>
      <c r="EQ1699" s="59"/>
      <c r="ER1699" s="59"/>
      <c r="ES1699" s="59"/>
      <c r="ET1699" s="59"/>
      <c r="EU1699" s="59"/>
      <c r="EV1699" s="59"/>
      <c r="EW1699" s="59"/>
      <c r="EX1699" s="59"/>
      <c r="EY1699" s="59"/>
      <c r="EZ1699" s="59"/>
      <c r="FA1699" s="59"/>
      <c r="FB1699" s="59"/>
      <c r="FC1699" s="59"/>
      <c r="FD1699" s="59"/>
      <c r="FE1699" s="59"/>
      <c r="FF1699" s="59"/>
      <c r="FG1699" s="59"/>
      <c r="FH1699" s="59"/>
      <c r="FI1699" s="59"/>
      <c r="FJ1699" s="59"/>
      <c r="FK1699" s="59"/>
      <c r="FL1699" s="59"/>
      <c r="FM1699" s="59"/>
      <c r="FN1699" s="59"/>
      <c r="FO1699" s="59"/>
      <c r="FP1699" s="59"/>
      <c r="FQ1699" s="59"/>
      <c r="FR1699" s="59"/>
      <c r="FS1699" s="59"/>
      <c r="FT1699" s="59"/>
      <c r="FU1699" s="59"/>
      <c r="FV1699" s="59"/>
      <c r="FW1699" s="59"/>
      <c r="FX1699" s="59"/>
      <c r="FY1699" s="59"/>
      <c r="FZ1699" s="59"/>
      <c r="GA1699" s="59"/>
      <c r="GB1699" s="59"/>
      <c r="GC1699" s="59"/>
    </row>
    <row r="1700">
      <c r="A1700" s="59"/>
      <c r="B1700" s="59"/>
      <c r="C1700" s="59"/>
      <c r="D1700" s="59"/>
      <c r="E1700" s="59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  <c r="BJ1700" s="59"/>
      <c r="BK1700" s="59"/>
      <c r="BL1700" s="59"/>
      <c r="BM1700" s="59"/>
      <c r="BN1700" s="59"/>
      <c r="BO1700" s="59"/>
      <c r="BP1700" s="59"/>
      <c r="BQ1700" s="59"/>
      <c r="BR1700" s="59"/>
      <c r="BS1700" s="59"/>
      <c r="BT1700" s="59"/>
      <c r="BU1700" s="59"/>
      <c r="BV1700" s="59"/>
      <c r="BW1700" s="59"/>
      <c r="BX1700" s="59"/>
      <c r="BY1700" s="59"/>
      <c r="BZ1700" s="59"/>
      <c r="CA1700" s="59"/>
      <c r="CB1700" s="59"/>
      <c r="CC1700" s="59"/>
      <c r="CD1700" s="59"/>
      <c r="CE1700" s="59"/>
      <c r="CF1700" s="59"/>
      <c r="CG1700" s="59"/>
      <c r="CH1700" s="59"/>
      <c r="CI1700" s="59"/>
      <c r="CJ1700" s="59"/>
      <c r="CK1700" s="59"/>
      <c r="CL1700" s="59"/>
      <c r="CM1700" s="59"/>
      <c r="CN1700" s="59"/>
      <c r="CO1700" s="59"/>
      <c r="CP1700" s="59"/>
      <c r="CQ1700" s="59"/>
      <c r="CR1700" s="59"/>
      <c r="CS1700" s="59"/>
      <c r="CT1700" s="59"/>
      <c r="CU1700" s="59"/>
      <c r="CV1700" s="59"/>
      <c r="CW1700" s="59"/>
      <c r="CX1700" s="59"/>
      <c r="CY1700" s="59"/>
      <c r="CZ1700" s="59"/>
      <c r="DA1700" s="59"/>
      <c r="DB1700" s="59"/>
      <c r="DC1700" s="59"/>
      <c r="DD1700" s="59"/>
      <c r="DE1700" s="59"/>
      <c r="DF1700" s="59"/>
      <c r="DG1700" s="59"/>
      <c r="DH1700" s="59"/>
      <c r="DI1700" s="59"/>
      <c r="DJ1700" s="59"/>
      <c r="DK1700" s="59"/>
      <c r="DL1700" s="59"/>
      <c r="DM1700" s="59"/>
      <c r="DN1700" s="59"/>
      <c r="DO1700" s="59"/>
      <c r="DP1700" s="59"/>
      <c r="DQ1700" s="59"/>
      <c r="DR1700" s="59"/>
      <c r="DS1700" s="59"/>
      <c r="DT1700" s="59"/>
      <c r="DU1700" s="59"/>
      <c r="DV1700" s="59"/>
      <c r="DW1700" s="59"/>
      <c r="DX1700" s="59"/>
      <c r="DY1700" s="59"/>
      <c r="DZ1700" s="59"/>
      <c r="EA1700" s="59"/>
      <c r="EB1700" s="59"/>
      <c r="EC1700" s="59"/>
      <c r="ED1700" s="59"/>
      <c r="EE1700" s="59"/>
      <c r="EF1700" s="59"/>
      <c r="EG1700" s="59"/>
      <c r="EH1700" s="59"/>
      <c r="EI1700" s="59"/>
      <c r="EJ1700" s="59"/>
      <c r="EK1700" s="59"/>
      <c r="EL1700" s="59"/>
      <c r="EM1700" s="59"/>
      <c r="EN1700" s="59"/>
      <c r="EO1700" s="59"/>
      <c r="EP1700" s="59"/>
      <c r="EQ1700" s="59"/>
      <c r="ER1700" s="59"/>
      <c r="ES1700" s="59"/>
      <c r="ET1700" s="59"/>
      <c r="EU1700" s="59"/>
      <c r="EV1700" s="59"/>
      <c r="EW1700" s="59"/>
      <c r="EX1700" s="59"/>
      <c r="EY1700" s="59"/>
      <c r="EZ1700" s="59"/>
      <c r="FA1700" s="59"/>
      <c r="FB1700" s="59"/>
      <c r="FC1700" s="59"/>
      <c r="FD1700" s="59"/>
      <c r="FE1700" s="59"/>
      <c r="FF1700" s="59"/>
      <c r="FG1700" s="59"/>
      <c r="FH1700" s="59"/>
      <c r="FI1700" s="59"/>
      <c r="FJ1700" s="59"/>
      <c r="FK1700" s="59"/>
      <c r="FL1700" s="59"/>
      <c r="FM1700" s="59"/>
      <c r="FN1700" s="59"/>
      <c r="FO1700" s="59"/>
      <c r="FP1700" s="59"/>
      <c r="FQ1700" s="59"/>
      <c r="FR1700" s="59"/>
      <c r="FS1700" s="59"/>
      <c r="FT1700" s="59"/>
      <c r="FU1700" s="59"/>
      <c r="FV1700" s="59"/>
      <c r="FW1700" s="59"/>
      <c r="FX1700" s="59"/>
      <c r="FY1700" s="59"/>
      <c r="FZ1700" s="59"/>
      <c r="GA1700" s="59"/>
      <c r="GB1700" s="59"/>
      <c r="GC1700" s="59"/>
    </row>
    <row r="1701">
      <c r="A1701" s="59"/>
      <c r="B1701" s="59"/>
      <c r="C1701" s="59"/>
      <c r="D1701" s="59"/>
      <c r="E1701" s="59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  <c r="BJ1701" s="59"/>
      <c r="BK1701" s="59"/>
      <c r="BL1701" s="59"/>
      <c r="BM1701" s="59"/>
      <c r="BN1701" s="59"/>
      <c r="BO1701" s="59"/>
      <c r="BP1701" s="59"/>
      <c r="BQ1701" s="59"/>
      <c r="BR1701" s="59"/>
      <c r="BS1701" s="59"/>
      <c r="BT1701" s="59"/>
      <c r="BU1701" s="59"/>
      <c r="BV1701" s="59"/>
      <c r="BW1701" s="59"/>
      <c r="BX1701" s="59"/>
      <c r="BY1701" s="59"/>
      <c r="BZ1701" s="59"/>
      <c r="CA1701" s="59"/>
      <c r="CB1701" s="59"/>
      <c r="CC1701" s="59"/>
      <c r="CD1701" s="59"/>
      <c r="CE1701" s="59"/>
      <c r="CF1701" s="59"/>
      <c r="CG1701" s="59"/>
      <c r="CH1701" s="59"/>
      <c r="CI1701" s="59"/>
      <c r="CJ1701" s="59"/>
      <c r="CK1701" s="59"/>
      <c r="CL1701" s="59"/>
      <c r="CM1701" s="59"/>
      <c r="CN1701" s="59"/>
      <c r="CO1701" s="59"/>
      <c r="CP1701" s="59"/>
      <c r="CQ1701" s="59"/>
      <c r="CR1701" s="59"/>
      <c r="CS1701" s="59"/>
      <c r="CT1701" s="59"/>
      <c r="CU1701" s="59"/>
      <c r="CV1701" s="59"/>
      <c r="CW1701" s="59"/>
      <c r="CX1701" s="59"/>
      <c r="CY1701" s="59"/>
      <c r="CZ1701" s="59"/>
      <c r="DA1701" s="59"/>
      <c r="DB1701" s="59"/>
      <c r="DC1701" s="59"/>
      <c r="DD1701" s="59"/>
      <c r="DE1701" s="59"/>
      <c r="DF1701" s="59"/>
      <c r="DG1701" s="59"/>
      <c r="DH1701" s="59"/>
      <c r="DI1701" s="59"/>
      <c r="DJ1701" s="59"/>
      <c r="DK1701" s="59"/>
      <c r="DL1701" s="59"/>
      <c r="DM1701" s="59"/>
      <c r="DN1701" s="59"/>
      <c r="DO1701" s="59"/>
      <c r="DP1701" s="59"/>
      <c r="DQ1701" s="59"/>
      <c r="DR1701" s="59"/>
      <c r="DS1701" s="59"/>
      <c r="DT1701" s="59"/>
      <c r="DU1701" s="59"/>
      <c r="DV1701" s="59"/>
      <c r="DW1701" s="59"/>
      <c r="DX1701" s="59"/>
      <c r="DY1701" s="59"/>
      <c r="DZ1701" s="59"/>
      <c r="EA1701" s="59"/>
      <c r="EB1701" s="59"/>
      <c r="EC1701" s="59"/>
      <c r="ED1701" s="59"/>
      <c r="EE1701" s="59"/>
      <c r="EF1701" s="59"/>
      <c r="EG1701" s="59"/>
      <c r="EH1701" s="59"/>
      <c r="EI1701" s="59"/>
      <c r="EJ1701" s="59"/>
      <c r="EK1701" s="59"/>
      <c r="EL1701" s="59"/>
      <c r="EM1701" s="59"/>
      <c r="EN1701" s="59"/>
      <c r="EO1701" s="59"/>
      <c r="EP1701" s="59"/>
      <c r="EQ1701" s="59"/>
      <c r="ER1701" s="59"/>
      <c r="ES1701" s="59"/>
      <c r="ET1701" s="59"/>
      <c r="EU1701" s="59"/>
      <c r="EV1701" s="59"/>
      <c r="EW1701" s="59"/>
      <c r="EX1701" s="59"/>
      <c r="EY1701" s="59"/>
      <c r="EZ1701" s="59"/>
      <c r="FA1701" s="59"/>
      <c r="FB1701" s="59"/>
      <c r="FC1701" s="59"/>
      <c r="FD1701" s="59"/>
      <c r="FE1701" s="59"/>
      <c r="FF1701" s="59"/>
      <c r="FG1701" s="59"/>
      <c r="FH1701" s="59"/>
      <c r="FI1701" s="59"/>
      <c r="FJ1701" s="59"/>
      <c r="FK1701" s="59"/>
      <c r="FL1701" s="59"/>
      <c r="FM1701" s="59"/>
      <c r="FN1701" s="59"/>
      <c r="FO1701" s="59"/>
      <c r="FP1701" s="59"/>
      <c r="FQ1701" s="59"/>
      <c r="FR1701" s="59"/>
      <c r="FS1701" s="59"/>
      <c r="FT1701" s="59"/>
      <c r="FU1701" s="59"/>
      <c r="FV1701" s="59"/>
      <c r="FW1701" s="59"/>
      <c r="FX1701" s="59"/>
      <c r="FY1701" s="59"/>
      <c r="FZ1701" s="59"/>
      <c r="GA1701" s="59"/>
      <c r="GB1701" s="59"/>
      <c r="GC1701" s="59"/>
    </row>
    <row r="1702">
      <c r="A1702" s="59"/>
      <c r="B1702" s="59"/>
      <c r="C1702" s="59"/>
      <c r="D1702" s="59"/>
      <c r="E1702" s="59"/>
      <c r="F1702" s="59"/>
      <c r="G1702" s="59"/>
      <c r="H1702" s="59"/>
      <c r="I1702" s="59"/>
      <c r="J1702" s="59"/>
      <c r="K1702" s="59"/>
      <c r="L1702" s="59"/>
      <c r="M1702" s="59"/>
      <c r="N1702" s="59"/>
      <c r="O1702" s="59"/>
      <c r="P1702" s="59"/>
      <c r="Q1702" s="59"/>
      <c r="R1702" s="59"/>
      <c r="S1702" s="59"/>
      <c r="T1702" s="59"/>
      <c r="U1702" s="59"/>
      <c r="V1702" s="59"/>
      <c r="W1702" s="59"/>
      <c r="X1702" s="59"/>
      <c r="Y1702" s="59"/>
      <c r="Z1702" s="59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59"/>
      <c r="AU1702" s="59"/>
      <c r="AV1702" s="59"/>
      <c r="AW1702" s="59"/>
      <c r="AX1702" s="59"/>
      <c r="AY1702" s="59"/>
      <c r="AZ1702" s="59"/>
      <c r="BA1702" s="59"/>
      <c r="BB1702" s="59"/>
      <c r="BC1702" s="59"/>
      <c r="BD1702" s="59"/>
      <c r="BE1702" s="59"/>
      <c r="BF1702" s="59"/>
      <c r="BG1702" s="59"/>
      <c r="BH1702" s="59"/>
      <c r="BI1702" s="59"/>
      <c r="BJ1702" s="59"/>
      <c r="BK1702" s="59"/>
      <c r="BL1702" s="59"/>
      <c r="BM1702" s="59"/>
      <c r="BN1702" s="59"/>
      <c r="BO1702" s="59"/>
      <c r="BP1702" s="59"/>
      <c r="BQ1702" s="59"/>
      <c r="BR1702" s="59"/>
      <c r="BS1702" s="59"/>
      <c r="BT1702" s="59"/>
      <c r="BU1702" s="59"/>
      <c r="BV1702" s="59"/>
      <c r="BW1702" s="59"/>
      <c r="BX1702" s="59"/>
      <c r="BY1702" s="59"/>
      <c r="BZ1702" s="59"/>
      <c r="CA1702" s="59"/>
      <c r="CB1702" s="59"/>
      <c r="CC1702" s="59"/>
      <c r="CD1702" s="59"/>
      <c r="CE1702" s="59"/>
      <c r="CF1702" s="59"/>
      <c r="CG1702" s="59"/>
      <c r="CH1702" s="59"/>
      <c r="CI1702" s="59"/>
      <c r="CJ1702" s="59"/>
      <c r="CK1702" s="59"/>
      <c r="CL1702" s="59"/>
      <c r="CM1702" s="59"/>
      <c r="CN1702" s="59"/>
      <c r="CO1702" s="59"/>
      <c r="CP1702" s="59"/>
      <c r="CQ1702" s="59"/>
      <c r="CR1702" s="59"/>
      <c r="CS1702" s="59"/>
      <c r="CT1702" s="59"/>
      <c r="CU1702" s="59"/>
      <c r="CV1702" s="59"/>
      <c r="CW1702" s="59"/>
      <c r="CX1702" s="59"/>
      <c r="CY1702" s="59"/>
      <c r="CZ1702" s="59"/>
      <c r="DA1702" s="59"/>
      <c r="DB1702" s="59"/>
      <c r="DC1702" s="59"/>
      <c r="DD1702" s="59"/>
      <c r="DE1702" s="59"/>
      <c r="DF1702" s="59"/>
      <c r="DG1702" s="59"/>
      <c r="DH1702" s="59"/>
      <c r="DI1702" s="59"/>
      <c r="DJ1702" s="59"/>
      <c r="DK1702" s="59"/>
      <c r="DL1702" s="59"/>
      <c r="DM1702" s="59"/>
      <c r="DN1702" s="59"/>
      <c r="DO1702" s="59"/>
      <c r="DP1702" s="59"/>
      <c r="DQ1702" s="59"/>
      <c r="DR1702" s="59"/>
      <c r="DS1702" s="59"/>
      <c r="DT1702" s="59"/>
      <c r="DU1702" s="59"/>
      <c r="DV1702" s="59"/>
      <c r="DW1702" s="59"/>
      <c r="DX1702" s="59"/>
      <c r="DY1702" s="59"/>
      <c r="DZ1702" s="59"/>
      <c r="EA1702" s="59"/>
      <c r="EB1702" s="59"/>
      <c r="EC1702" s="59"/>
      <c r="ED1702" s="59"/>
      <c r="EE1702" s="59"/>
      <c r="EF1702" s="59"/>
      <c r="EG1702" s="59"/>
      <c r="EH1702" s="59"/>
      <c r="EI1702" s="59"/>
      <c r="EJ1702" s="59"/>
      <c r="EK1702" s="59"/>
      <c r="EL1702" s="59"/>
      <c r="EM1702" s="59"/>
      <c r="EN1702" s="59"/>
      <c r="EO1702" s="59"/>
      <c r="EP1702" s="59"/>
      <c r="EQ1702" s="59"/>
      <c r="ER1702" s="59"/>
      <c r="ES1702" s="59"/>
      <c r="ET1702" s="59"/>
      <c r="EU1702" s="59"/>
      <c r="EV1702" s="59"/>
      <c r="EW1702" s="59"/>
      <c r="EX1702" s="59"/>
      <c r="EY1702" s="59"/>
      <c r="EZ1702" s="59"/>
      <c r="FA1702" s="59"/>
      <c r="FB1702" s="59"/>
      <c r="FC1702" s="59"/>
      <c r="FD1702" s="59"/>
      <c r="FE1702" s="59"/>
      <c r="FF1702" s="59"/>
      <c r="FG1702" s="59"/>
      <c r="FH1702" s="59"/>
      <c r="FI1702" s="59"/>
      <c r="FJ1702" s="59"/>
      <c r="FK1702" s="59"/>
      <c r="FL1702" s="59"/>
      <c r="FM1702" s="59"/>
      <c r="FN1702" s="59"/>
      <c r="FO1702" s="59"/>
      <c r="FP1702" s="59"/>
      <c r="FQ1702" s="59"/>
      <c r="FR1702" s="59"/>
      <c r="FS1702" s="59"/>
      <c r="FT1702" s="59"/>
      <c r="FU1702" s="59"/>
      <c r="FV1702" s="59"/>
      <c r="FW1702" s="59"/>
      <c r="FX1702" s="59"/>
      <c r="FY1702" s="59"/>
      <c r="FZ1702" s="59"/>
      <c r="GA1702" s="59"/>
      <c r="GB1702" s="59"/>
      <c r="GC1702" s="59"/>
    </row>
    <row r="1703">
      <c r="A1703" s="59"/>
      <c r="B1703" s="59"/>
      <c r="C1703" s="59"/>
      <c r="D1703" s="59"/>
      <c r="E1703" s="59"/>
      <c r="F1703" s="59"/>
      <c r="G1703" s="59"/>
      <c r="H1703" s="59"/>
      <c r="I1703" s="59"/>
      <c r="J1703" s="59"/>
      <c r="K1703" s="59"/>
      <c r="L1703" s="59"/>
      <c r="M1703" s="59"/>
      <c r="N1703" s="59"/>
      <c r="O1703" s="59"/>
      <c r="P1703" s="59"/>
      <c r="Q1703" s="59"/>
      <c r="R1703" s="59"/>
      <c r="S1703" s="59"/>
      <c r="T1703" s="59"/>
      <c r="U1703" s="59"/>
      <c r="V1703" s="59"/>
      <c r="W1703" s="59"/>
      <c r="X1703" s="59"/>
      <c r="Y1703" s="59"/>
      <c r="Z1703" s="59"/>
      <c r="AA1703" s="59"/>
      <c r="AB1703" s="59"/>
      <c r="AC1703" s="59"/>
      <c r="AD1703" s="59"/>
      <c r="AE1703" s="59"/>
      <c r="AF1703" s="59"/>
      <c r="AG1703" s="59"/>
      <c r="AH1703" s="59"/>
      <c r="AI1703" s="59"/>
      <c r="AJ1703" s="59"/>
      <c r="AK1703" s="59"/>
      <c r="AL1703" s="59"/>
      <c r="AM1703" s="59"/>
      <c r="AN1703" s="59"/>
      <c r="AO1703" s="59"/>
      <c r="AP1703" s="59"/>
      <c r="AQ1703" s="59"/>
      <c r="AR1703" s="59"/>
      <c r="AS1703" s="59"/>
      <c r="AT1703" s="59"/>
      <c r="AU1703" s="59"/>
      <c r="AV1703" s="59"/>
      <c r="AW1703" s="59"/>
      <c r="AX1703" s="59"/>
      <c r="AY1703" s="59"/>
      <c r="AZ1703" s="59"/>
      <c r="BA1703" s="59"/>
      <c r="BB1703" s="59"/>
      <c r="BC1703" s="59"/>
      <c r="BD1703" s="59"/>
      <c r="BE1703" s="59"/>
      <c r="BF1703" s="59"/>
      <c r="BG1703" s="59"/>
      <c r="BH1703" s="59"/>
      <c r="BI1703" s="59"/>
      <c r="BJ1703" s="59"/>
      <c r="BK1703" s="59"/>
      <c r="BL1703" s="59"/>
      <c r="BM1703" s="59"/>
      <c r="BN1703" s="59"/>
      <c r="BO1703" s="59"/>
      <c r="BP1703" s="59"/>
      <c r="BQ1703" s="59"/>
      <c r="BR1703" s="59"/>
      <c r="BS1703" s="59"/>
      <c r="BT1703" s="59"/>
      <c r="BU1703" s="59"/>
      <c r="BV1703" s="59"/>
      <c r="BW1703" s="59"/>
      <c r="BX1703" s="59"/>
      <c r="BY1703" s="59"/>
      <c r="BZ1703" s="59"/>
      <c r="CA1703" s="59"/>
      <c r="CB1703" s="59"/>
      <c r="CC1703" s="59"/>
      <c r="CD1703" s="59"/>
      <c r="CE1703" s="59"/>
      <c r="CF1703" s="59"/>
      <c r="CG1703" s="59"/>
      <c r="CH1703" s="59"/>
      <c r="CI1703" s="59"/>
      <c r="CJ1703" s="59"/>
      <c r="CK1703" s="59"/>
      <c r="CL1703" s="59"/>
      <c r="CM1703" s="59"/>
      <c r="CN1703" s="59"/>
      <c r="CO1703" s="59"/>
      <c r="CP1703" s="59"/>
      <c r="CQ1703" s="59"/>
      <c r="CR1703" s="59"/>
      <c r="CS1703" s="59"/>
      <c r="CT1703" s="59"/>
      <c r="CU1703" s="59"/>
      <c r="CV1703" s="59"/>
      <c r="CW1703" s="59"/>
      <c r="CX1703" s="59"/>
      <c r="CY1703" s="59"/>
      <c r="CZ1703" s="59"/>
      <c r="DA1703" s="59"/>
      <c r="DB1703" s="59"/>
      <c r="DC1703" s="59"/>
      <c r="DD1703" s="59"/>
      <c r="DE1703" s="59"/>
      <c r="DF1703" s="59"/>
      <c r="DG1703" s="59"/>
      <c r="DH1703" s="59"/>
      <c r="DI1703" s="59"/>
      <c r="DJ1703" s="59"/>
      <c r="DK1703" s="59"/>
      <c r="DL1703" s="59"/>
      <c r="DM1703" s="59"/>
      <c r="DN1703" s="59"/>
      <c r="DO1703" s="59"/>
      <c r="DP1703" s="59"/>
      <c r="DQ1703" s="59"/>
      <c r="DR1703" s="59"/>
      <c r="DS1703" s="59"/>
      <c r="DT1703" s="59"/>
      <c r="DU1703" s="59"/>
      <c r="DV1703" s="59"/>
      <c r="DW1703" s="59"/>
      <c r="DX1703" s="59"/>
      <c r="DY1703" s="59"/>
      <c r="DZ1703" s="59"/>
      <c r="EA1703" s="59"/>
      <c r="EB1703" s="59"/>
      <c r="EC1703" s="59"/>
      <c r="ED1703" s="59"/>
      <c r="EE1703" s="59"/>
      <c r="EF1703" s="59"/>
      <c r="EG1703" s="59"/>
      <c r="EH1703" s="59"/>
      <c r="EI1703" s="59"/>
      <c r="EJ1703" s="59"/>
      <c r="EK1703" s="59"/>
      <c r="EL1703" s="59"/>
      <c r="EM1703" s="59"/>
      <c r="EN1703" s="59"/>
      <c r="EO1703" s="59"/>
      <c r="EP1703" s="59"/>
      <c r="EQ1703" s="59"/>
      <c r="ER1703" s="59"/>
      <c r="ES1703" s="59"/>
      <c r="ET1703" s="59"/>
      <c r="EU1703" s="59"/>
      <c r="EV1703" s="59"/>
      <c r="EW1703" s="59"/>
      <c r="EX1703" s="59"/>
      <c r="EY1703" s="59"/>
      <c r="EZ1703" s="59"/>
      <c r="FA1703" s="59"/>
      <c r="FB1703" s="59"/>
      <c r="FC1703" s="59"/>
      <c r="FD1703" s="59"/>
      <c r="FE1703" s="59"/>
      <c r="FF1703" s="59"/>
      <c r="FG1703" s="59"/>
      <c r="FH1703" s="59"/>
      <c r="FI1703" s="59"/>
      <c r="FJ1703" s="59"/>
      <c r="FK1703" s="59"/>
      <c r="FL1703" s="59"/>
      <c r="FM1703" s="59"/>
      <c r="FN1703" s="59"/>
      <c r="FO1703" s="59"/>
      <c r="FP1703" s="59"/>
      <c r="FQ1703" s="59"/>
      <c r="FR1703" s="59"/>
      <c r="FS1703" s="59"/>
      <c r="FT1703" s="59"/>
      <c r="FU1703" s="59"/>
      <c r="FV1703" s="59"/>
      <c r="FW1703" s="59"/>
      <c r="FX1703" s="59"/>
      <c r="FY1703" s="59"/>
      <c r="FZ1703" s="59"/>
      <c r="GA1703" s="59"/>
      <c r="GB1703" s="59"/>
      <c r="GC1703" s="59"/>
    </row>
    <row r="1704">
      <c r="A1704" s="59"/>
      <c r="B1704" s="59"/>
      <c r="C1704" s="59"/>
      <c r="D1704" s="59"/>
      <c r="E1704" s="59"/>
      <c r="F1704" s="59"/>
      <c r="G1704" s="59"/>
      <c r="H1704" s="59"/>
      <c r="I1704" s="59"/>
      <c r="J1704" s="59"/>
      <c r="K1704" s="59"/>
      <c r="L1704" s="59"/>
      <c r="M1704" s="59"/>
      <c r="N1704" s="59"/>
      <c r="O1704" s="59"/>
      <c r="P1704" s="59"/>
      <c r="Q1704" s="59"/>
      <c r="R1704" s="59"/>
      <c r="S1704" s="59"/>
      <c r="T1704" s="59"/>
      <c r="U1704" s="59"/>
      <c r="V1704" s="59"/>
      <c r="W1704" s="59"/>
      <c r="X1704" s="59"/>
      <c r="Y1704" s="59"/>
      <c r="Z1704" s="59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59"/>
      <c r="AU1704" s="59"/>
      <c r="AV1704" s="59"/>
      <c r="AW1704" s="59"/>
      <c r="AX1704" s="59"/>
      <c r="AY1704" s="59"/>
      <c r="AZ1704" s="59"/>
      <c r="BA1704" s="59"/>
      <c r="BB1704" s="59"/>
      <c r="BC1704" s="59"/>
      <c r="BD1704" s="59"/>
      <c r="BE1704" s="59"/>
      <c r="BF1704" s="59"/>
      <c r="BG1704" s="59"/>
      <c r="BH1704" s="59"/>
      <c r="BI1704" s="59"/>
      <c r="BJ1704" s="59"/>
      <c r="BK1704" s="59"/>
      <c r="BL1704" s="59"/>
      <c r="BM1704" s="59"/>
      <c r="BN1704" s="59"/>
      <c r="BO1704" s="59"/>
      <c r="BP1704" s="59"/>
      <c r="BQ1704" s="59"/>
      <c r="BR1704" s="59"/>
      <c r="BS1704" s="59"/>
      <c r="BT1704" s="59"/>
      <c r="BU1704" s="59"/>
      <c r="BV1704" s="59"/>
      <c r="BW1704" s="59"/>
      <c r="BX1704" s="59"/>
      <c r="BY1704" s="59"/>
      <c r="BZ1704" s="59"/>
      <c r="CA1704" s="59"/>
      <c r="CB1704" s="59"/>
      <c r="CC1704" s="59"/>
      <c r="CD1704" s="59"/>
      <c r="CE1704" s="59"/>
      <c r="CF1704" s="59"/>
      <c r="CG1704" s="59"/>
      <c r="CH1704" s="59"/>
      <c r="CI1704" s="59"/>
      <c r="CJ1704" s="59"/>
      <c r="CK1704" s="59"/>
      <c r="CL1704" s="59"/>
      <c r="CM1704" s="59"/>
      <c r="CN1704" s="59"/>
      <c r="CO1704" s="59"/>
      <c r="CP1704" s="59"/>
      <c r="CQ1704" s="59"/>
      <c r="CR1704" s="59"/>
      <c r="CS1704" s="59"/>
      <c r="CT1704" s="59"/>
      <c r="CU1704" s="59"/>
      <c r="CV1704" s="59"/>
      <c r="CW1704" s="59"/>
      <c r="CX1704" s="59"/>
      <c r="CY1704" s="59"/>
      <c r="CZ1704" s="59"/>
      <c r="DA1704" s="59"/>
      <c r="DB1704" s="59"/>
      <c r="DC1704" s="59"/>
      <c r="DD1704" s="59"/>
      <c r="DE1704" s="59"/>
      <c r="DF1704" s="59"/>
      <c r="DG1704" s="59"/>
      <c r="DH1704" s="59"/>
      <c r="DI1704" s="59"/>
      <c r="DJ1704" s="59"/>
      <c r="DK1704" s="59"/>
      <c r="DL1704" s="59"/>
      <c r="DM1704" s="59"/>
      <c r="DN1704" s="59"/>
      <c r="DO1704" s="59"/>
      <c r="DP1704" s="59"/>
      <c r="DQ1704" s="59"/>
      <c r="DR1704" s="59"/>
      <c r="DS1704" s="59"/>
      <c r="DT1704" s="59"/>
      <c r="DU1704" s="59"/>
      <c r="DV1704" s="59"/>
      <c r="DW1704" s="59"/>
      <c r="DX1704" s="59"/>
      <c r="DY1704" s="59"/>
      <c r="DZ1704" s="59"/>
      <c r="EA1704" s="59"/>
      <c r="EB1704" s="59"/>
      <c r="EC1704" s="59"/>
      <c r="ED1704" s="59"/>
      <c r="EE1704" s="59"/>
      <c r="EF1704" s="59"/>
      <c r="EG1704" s="59"/>
      <c r="EH1704" s="59"/>
      <c r="EI1704" s="59"/>
      <c r="EJ1704" s="59"/>
      <c r="EK1704" s="59"/>
      <c r="EL1704" s="59"/>
      <c r="EM1704" s="59"/>
      <c r="EN1704" s="59"/>
      <c r="EO1704" s="59"/>
      <c r="EP1704" s="59"/>
      <c r="EQ1704" s="59"/>
      <c r="ER1704" s="59"/>
      <c r="ES1704" s="59"/>
      <c r="ET1704" s="59"/>
      <c r="EU1704" s="59"/>
      <c r="EV1704" s="59"/>
      <c r="EW1704" s="59"/>
      <c r="EX1704" s="59"/>
      <c r="EY1704" s="59"/>
      <c r="EZ1704" s="59"/>
      <c r="FA1704" s="59"/>
      <c r="FB1704" s="59"/>
      <c r="FC1704" s="59"/>
      <c r="FD1704" s="59"/>
      <c r="FE1704" s="59"/>
      <c r="FF1704" s="59"/>
      <c r="FG1704" s="59"/>
      <c r="FH1704" s="59"/>
      <c r="FI1704" s="59"/>
      <c r="FJ1704" s="59"/>
      <c r="FK1704" s="59"/>
      <c r="FL1704" s="59"/>
      <c r="FM1704" s="59"/>
      <c r="FN1704" s="59"/>
      <c r="FO1704" s="59"/>
      <c r="FP1704" s="59"/>
      <c r="FQ1704" s="59"/>
      <c r="FR1704" s="59"/>
      <c r="FS1704" s="59"/>
      <c r="FT1704" s="59"/>
      <c r="FU1704" s="59"/>
      <c r="FV1704" s="59"/>
      <c r="FW1704" s="59"/>
      <c r="FX1704" s="59"/>
      <c r="FY1704" s="59"/>
      <c r="FZ1704" s="59"/>
      <c r="GA1704" s="59"/>
      <c r="GB1704" s="59"/>
      <c r="GC1704" s="59"/>
    </row>
    <row r="1705">
      <c r="A1705" s="59"/>
      <c r="B1705" s="59"/>
      <c r="C1705" s="59"/>
      <c r="D1705" s="59"/>
      <c r="E1705" s="59"/>
      <c r="F1705" s="59"/>
      <c r="G1705" s="59"/>
      <c r="H1705" s="59"/>
      <c r="I1705" s="59"/>
      <c r="J1705" s="59"/>
      <c r="K1705" s="59"/>
      <c r="L1705" s="59"/>
      <c r="M1705" s="59"/>
      <c r="N1705" s="59"/>
      <c r="O1705" s="59"/>
      <c r="P1705" s="59"/>
      <c r="Q1705" s="59"/>
      <c r="R1705" s="59"/>
      <c r="S1705" s="59"/>
      <c r="T1705" s="59"/>
      <c r="U1705" s="59"/>
      <c r="V1705" s="59"/>
      <c r="W1705" s="59"/>
      <c r="X1705" s="59"/>
      <c r="Y1705" s="59"/>
      <c r="Z1705" s="59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59"/>
      <c r="AO1705" s="59"/>
      <c r="AP1705" s="59"/>
      <c r="AQ1705" s="59"/>
      <c r="AR1705" s="59"/>
      <c r="AS1705" s="59"/>
      <c r="AT1705" s="59"/>
      <c r="AU1705" s="59"/>
      <c r="AV1705" s="59"/>
      <c r="AW1705" s="59"/>
      <c r="AX1705" s="59"/>
      <c r="AY1705" s="59"/>
      <c r="AZ1705" s="59"/>
      <c r="BA1705" s="59"/>
      <c r="BB1705" s="59"/>
      <c r="BC1705" s="59"/>
      <c r="BD1705" s="59"/>
      <c r="BE1705" s="59"/>
      <c r="BF1705" s="59"/>
      <c r="BG1705" s="59"/>
      <c r="BH1705" s="59"/>
      <c r="BI1705" s="59"/>
      <c r="BJ1705" s="59"/>
      <c r="BK1705" s="59"/>
      <c r="BL1705" s="59"/>
      <c r="BM1705" s="59"/>
      <c r="BN1705" s="59"/>
      <c r="BO1705" s="59"/>
      <c r="BP1705" s="59"/>
      <c r="BQ1705" s="59"/>
      <c r="BR1705" s="59"/>
      <c r="BS1705" s="59"/>
      <c r="BT1705" s="59"/>
      <c r="BU1705" s="59"/>
      <c r="BV1705" s="59"/>
      <c r="BW1705" s="59"/>
      <c r="BX1705" s="59"/>
      <c r="BY1705" s="59"/>
      <c r="BZ1705" s="59"/>
      <c r="CA1705" s="59"/>
      <c r="CB1705" s="59"/>
      <c r="CC1705" s="59"/>
      <c r="CD1705" s="59"/>
      <c r="CE1705" s="59"/>
      <c r="CF1705" s="59"/>
      <c r="CG1705" s="59"/>
      <c r="CH1705" s="59"/>
      <c r="CI1705" s="59"/>
      <c r="CJ1705" s="59"/>
      <c r="CK1705" s="59"/>
      <c r="CL1705" s="59"/>
      <c r="CM1705" s="59"/>
      <c r="CN1705" s="59"/>
      <c r="CO1705" s="59"/>
      <c r="CP1705" s="59"/>
      <c r="CQ1705" s="59"/>
      <c r="CR1705" s="59"/>
      <c r="CS1705" s="59"/>
      <c r="CT1705" s="59"/>
      <c r="CU1705" s="59"/>
      <c r="CV1705" s="59"/>
      <c r="CW1705" s="59"/>
      <c r="CX1705" s="59"/>
      <c r="CY1705" s="59"/>
      <c r="CZ1705" s="59"/>
      <c r="DA1705" s="59"/>
      <c r="DB1705" s="59"/>
      <c r="DC1705" s="59"/>
      <c r="DD1705" s="59"/>
      <c r="DE1705" s="59"/>
      <c r="DF1705" s="59"/>
      <c r="DG1705" s="59"/>
      <c r="DH1705" s="59"/>
      <c r="DI1705" s="59"/>
      <c r="DJ1705" s="59"/>
      <c r="DK1705" s="59"/>
      <c r="DL1705" s="59"/>
      <c r="DM1705" s="59"/>
      <c r="DN1705" s="59"/>
      <c r="DO1705" s="59"/>
      <c r="DP1705" s="59"/>
      <c r="DQ1705" s="59"/>
      <c r="DR1705" s="59"/>
      <c r="DS1705" s="59"/>
      <c r="DT1705" s="59"/>
      <c r="DU1705" s="59"/>
      <c r="DV1705" s="59"/>
      <c r="DW1705" s="59"/>
      <c r="DX1705" s="59"/>
      <c r="DY1705" s="59"/>
      <c r="DZ1705" s="59"/>
      <c r="EA1705" s="59"/>
      <c r="EB1705" s="59"/>
      <c r="EC1705" s="59"/>
      <c r="ED1705" s="59"/>
      <c r="EE1705" s="59"/>
      <c r="EF1705" s="59"/>
      <c r="EG1705" s="59"/>
      <c r="EH1705" s="59"/>
      <c r="EI1705" s="59"/>
      <c r="EJ1705" s="59"/>
      <c r="EK1705" s="59"/>
      <c r="EL1705" s="59"/>
      <c r="EM1705" s="59"/>
      <c r="EN1705" s="59"/>
      <c r="EO1705" s="59"/>
      <c r="EP1705" s="59"/>
      <c r="EQ1705" s="59"/>
      <c r="ER1705" s="59"/>
      <c r="ES1705" s="59"/>
      <c r="ET1705" s="59"/>
      <c r="EU1705" s="59"/>
      <c r="EV1705" s="59"/>
      <c r="EW1705" s="59"/>
      <c r="EX1705" s="59"/>
      <c r="EY1705" s="59"/>
      <c r="EZ1705" s="59"/>
      <c r="FA1705" s="59"/>
      <c r="FB1705" s="59"/>
      <c r="FC1705" s="59"/>
      <c r="FD1705" s="59"/>
      <c r="FE1705" s="59"/>
      <c r="FF1705" s="59"/>
      <c r="FG1705" s="59"/>
      <c r="FH1705" s="59"/>
      <c r="FI1705" s="59"/>
      <c r="FJ1705" s="59"/>
      <c r="FK1705" s="59"/>
      <c r="FL1705" s="59"/>
      <c r="FM1705" s="59"/>
      <c r="FN1705" s="59"/>
      <c r="FO1705" s="59"/>
      <c r="FP1705" s="59"/>
      <c r="FQ1705" s="59"/>
      <c r="FR1705" s="59"/>
      <c r="FS1705" s="59"/>
      <c r="FT1705" s="59"/>
      <c r="FU1705" s="59"/>
      <c r="FV1705" s="59"/>
      <c r="FW1705" s="59"/>
      <c r="FX1705" s="59"/>
      <c r="FY1705" s="59"/>
      <c r="FZ1705" s="59"/>
      <c r="GA1705" s="59"/>
      <c r="GB1705" s="59"/>
      <c r="GC1705" s="59"/>
    </row>
    <row r="1706">
      <c r="A1706" s="59"/>
      <c r="B1706" s="59"/>
      <c r="C1706" s="59"/>
      <c r="D1706" s="59"/>
      <c r="E1706" s="59"/>
      <c r="F1706" s="59"/>
      <c r="G1706" s="59"/>
      <c r="H1706" s="59"/>
      <c r="I1706" s="59"/>
      <c r="J1706" s="59"/>
      <c r="K1706" s="59"/>
      <c r="L1706" s="59"/>
      <c r="M1706" s="59"/>
      <c r="N1706" s="59"/>
      <c r="O1706" s="59"/>
      <c r="P1706" s="59"/>
      <c r="Q1706" s="59"/>
      <c r="R1706" s="59"/>
      <c r="S1706" s="59"/>
      <c r="T1706" s="59"/>
      <c r="U1706" s="59"/>
      <c r="V1706" s="59"/>
      <c r="W1706" s="59"/>
      <c r="X1706" s="59"/>
      <c r="Y1706" s="59"/>
      <c r="Z1706" s="59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59"/>
      <c r="AU1706" s="59"/>
      <c r="AV1706" s="59"/>
      <c r="AW1706" s="59"/>
      <c r="AX1706" s="59"/>
      <c r="AY1706" s="59"/>
      <c r="AZ1706" s="59"/>
      <c r="BA1706" s="59"/>
      <c r="BB1706" s="59"/>
      <c r="BC1706" s="59"/>
      <c r="BD1706" s="59"/>
      <c r="BE1706" s="59"/>
      <c r="BF1706" s="59"/>
      <c r="BG1706" s="59"/>
      <c r="BH1706" s="59"/>
      <c r="BI1706" s="59"/>
      <c r="BJ1706" s="59"/>
      <c r="BK1706" s="59"/>
      <c r="BL1706" s="59"/>
      <c r="BM1706" s="59"/>
      <c r="BN1706" s="59"/>
      <c r="BO1706" s="59"/>
      <c r="BP1706" s="59"/>
      <c r="BQ1706" s="59"/>
      <c r="BR1706" s="59"/>
      <c r="BS1706" s="59"/>
      <c r="BT1706" s="59"/>
      <c r="BU1706" s="59"/>
      <c r="BV1706" s="59"/>
      <c r="BW1706" s="59"/>
      <c r="BX1706" s="59"/>
      <c r="BY1706" s="59"/>
      <c r="BZ1706" s="59"/>
      <c r="CA1706" s="59"/>
      <c r="CB1706" s="59"/>
      <c r="CC1706" s="59"/>
      <c r="CD1706" s="59"/>
      <c r="CE1706" s="59"/>
      <c r="CF1706" s="59"/>
      <c r="CG1706" s="59"/>
      <c r="CH1706" s="59"/>
      <c r="CI1706" s="59"/>
      <c r="CJ1706" s="59"/>
      <c r="CK1706" s="59"/>
      <c r="CL1706" s="59"/>
      <c r="CM1706" s="59"/>
      <c r="CN1706" s="59"/>
      <c r="CO1706" s="59"/>
      <c r="CP1706" s="59"/>
      <c r="CQ1706" s="59"/>
      <c r="CR1706" s="59"/>
      <c r="CS1706" s="59"/>
      <c r="CT1706" s="59"/>
      <c r="CU1706" s="59"/>
      <c r="CV1706" s="59"/>
      <c r="CW1706" s="59"/>
      <c r="CX1706" s="59"/>
      <c r="CY1706" s="59"/>
      <c r="CZ1706" s="59"/>
      <c r="DA1706" s="59"/>
      <c r="DB1706" s="59"/>
      <c r="DC1706" s="59"/>
      <c r="DD1706" s="59"/>
      <c r="DE1706" s="59"/>
      <c r="DF1706" s="59"/>
      <c r="DG1706" s="59"/>
      <c r="DH1706" s="59"/>
      <c r="DI1706" s="59"/>
      <c r="DJ1706" s="59"/>
      <c r="DK1706" s="59"/>
      <c r="DL1706" s="59"/>
      <c r="DM1706" s="59"/>
      <c r="DN1706" s="59"/>
      <c r="DO1706" s="59"/>
      <c r="DP1706" s="59"/>
      <c r="DQ1706" s="59"/>
      <c r="DR1706" s="59"/>
      <c r="DS1706" s="59"/>
      <c r="DT1706" s="59"/>
      <c r="DU1706" s="59"/>
      <c r="DV1706" s="59"/>
      <c r="DW1706" s="59"/>
      <c r="DX1706" s="59"/>
      <c r="DY1706" s="59"/>
      <c r="DZ1706" s="59"/>
      <c r="EA1706" s="59"/>
      <c r="EB1706" s="59"/>
      <c r="EC1706" s="59"/>
      <c r="ED1706" s="59"/>
      <c r="EE1706" s="59"/>
      <c r="EF1706" s="59"/>
      <c r="EG1706" s="59"/>
      <c r="EH1706" s="59"/>
      <c r="EI1706" s="59"/>
      <c r="EJ1706" s="59"/>
      <c r="EK1706" s="59"/>
      <c r="EL1706" s="59"/>
      <c r="EM1706" s="59"/>
      <c r="EN1706" s="59"/>
      <c r="EO1706" s="59"/>
      <c r="EP1706" s="59"/>
      <c r="EQ1706" s="59"/>
      <c r="ER1706" s="59"/>
      <c r="ES1706" s="59"/>
      <c r="ET1706" s="59"/>
      <c r="EU1706" s="59"/>
      <c r="EV1706" s="59"/>
      <c r="EW1706" s="59"/>
      <c r="EX1706" s="59"/>
      <c r="EY1706" s="59"/>
      <c r="EZ1706" s="59"/>
      <c r="FA1706" s="59"/>
      <c r="FB1706" s="59"/>
      <c r="FC1706" s="59"/>
      <c r="FD1706" s="59"/>
      <c r="FE1706" s="59"/>
      <c r="FF1706" s="59"/>
      <c r="FG1706" s="59"/>
      <c r="FH1706" s="59"/>
      <c r="FI1706" s="59"/>
      <c r="FJ1706" s="59"/>
      <c r="FK1706" s="59"/>
      <c r="FL1706" s="59"/>
      <c r="FM1706" s="59"/>
      <c r="FN1706" s="59"/>
      <c r="FO1706" s="59"/>
      <c r="FP1706" s="59"/>
      <c r="FQ1706" s="59"/>
      <c r="FR1706" s="59"/>
      <c r="FS1706" s="59"/>
      <c r="FT1706" s="59"/>
      <c r="FU1706" s="59"/>
      <c r="FV1706" s="59"/>
      <c r="FW1706" s="59"/>
      <c r="FX1706" s="59"/>
      <c r="FY1706" s="59"/>
      <c r="FZ1706" s="59"/>
      <c r="GA1706" s="59"/>
      <c r="GB1706" s="59"/>
      <c r="GC1706" s="59"/>
    </row>
    <row r="1707">
      <c r="A1707" s="59"/>
      <c r="B1707" s="59"/>
      <c r="C1707" s="59"/>
      <c r="D1707" s="59"/>
      <c r="E1707" s="59"/>
      <c r="F1707" s="59"/>
      <c r="G1707" s="59"/>
      <c r="H1707" s="59"/>
      <c r="I1707" s="59"/>
      <c r="J1707" s="59"/>
      <c r="K1707" s="59"/>
      <c r="L1707" s="59"/>
      <c r="M1707" s="59"/>
      <c r="N1707" s="59"/>
      <c r="O1707" s="59"/>
      <c r="P1707" s="59"/>
      <c r="Q1707" s="59"/>
      <c r="R1707" s="59"/>
      <c r="S1707" s="59"/>
      <c r="T1707" s="59"/>
      <c r="U1707" s="59"/>
      <c r="V1707" s="59"/>
      <c r="W1707" s="59"/>
      <c r="X1707" s="59"/>
      <c r="Y1707" s="59"/>
      <c r="Z1707" s="59"/>
      <c r="AA1707" s="59"/>
      <c r="AB1707" s="59"/>
      <c r="AC1707" s="59"/>
      <c r="AD1707" s="59"/>
      <c r="AE1707" s="59"/>
      <c r="AF1707" s="59"/>
      <c r="AG1707" s="59"/>
      <c r="AH1707" s="59"/>
      <c r="AI1707" s="59"/>
      <c r="AJ1707" s="59"/>
      <c r="AK1707" s="59"/>
      <c r="AL1707" s="59"/>
      <c r="AM1707" s="59"/>
      <c r="AN1707" s="59"/>
      <c r="AO1707" s="59"/>
      <c r="AP1707" s="59"/>
      <c r="AQ1707" s="59"/>
      <c r="AR1707" s="59"/>
      <c r="AS1707" s="59"/>
      <c r="AT1707" s="59"/>
      <c r="AU1707" s="59"/>
      <c r="AV1707" s="59"/>
      <c r="AW1707" s="59"/>
      <c r="AX1707" s="59"/>
      <c r="AY1707" s="59"/>
      <c r="AZ1707" s="59"/>
      <c r="BA1707" s="59"/>
      <c r="BB1707" s="59"/>
      <c r="BC1707" s="59"/>
      <c r="BD1707" s="59"/>
      <c r="BE1707" s="59"/>
      <c r="BF1707" s="59"/>
      <c r="BG1707" s="59"/>
      <c r="BH1707" s="59"/>
      <c r="BI1707" s="59"/>
      <c r="BJ1707" s="59"/>
      <c r="BK1707" s="59"/>
      <c r="BL1707" s="59"/>
      <c r="BM1707" s="59"/>
      <c r="BN1707" s="59"/>
      <c r="BO1707" s="59"/>
      <c r="BP1707" s="59"/>
      <c r="BQ1707" s="59"/>
      <c r="BR1707" s="59"/>
      <c r="BS1707" s="59"/>
      <c r="BT1707" s="59"/>
      <c r="BU1707" s="59"/>
      <c r="BV1707" s="59"/>
      <c r="BW1707" s="59"/>
      <c r="BX1707" s="59"/>
      <c r="BY1707" s="59"/>
      <c r="BZ1707" s="59"/>
      <c r="CA1707" s="59"/>
      <c r="CB1707" s="59"/>
      <c r="CC1707" s="59"/>
      <c r="CD1707" s="59"/>
      <c r="CE1707" s="59"/>
      <c r="CF1707" s="59"/>
      <c r="CG1707" s="59"/>
      <c r="CH1707" s="59"/>
      <c r="CI1707" s="59"/>
      <c r="CJ1707" s="59"/>
      <c r="CK1707" s="59"/>
      <c r="CL1707" s="59"/>
      <c r="CM1707" s="59"/>
      <c r="CN1707" s="59"/>
      <c r="CO1707" s="59"/>
      <c r="CP1707" s="59"/>
      <c r="CQ1707" s="59"/>
      <c r="CR1707" s="59"/>
      <c r="CS1707" s="59"/>
      <c r="CT1707" s="59"/>
      <c r="CU1707" s="59"/>
      <c r="CV1707" s="59"/>
      <c r="CW1707" s="59"/>
      <c r="CX1707" s="59"/>
      <c r="CY1707" s="59"/>
      <c r="CZ1707" s="59"/>
      <c r="DA1707" s="59"/>
      <c r="DB1707" s="59"/>
      <c r="DC1707" s="59"/>
      <c r="DD1707" s="59"/>
      <c r="DE1707" s="59"/>
      <c r="DF1707" s="59"/>
      <c r="DG1707" s="59"/>
      <c r="DH1707" s="59"/>
      <c r="DI1707" s="59"/>
      <c r="DJ1707" s="59"/>
      <c r="DK1707" s="59"/>
      <c r="DL1707" s="59"/>
      <c r="DM1707" s="59"/>
      <c r="DN1707" s="59"/>
      <c r="DO1707" s="59"/>
      <c r="DP1707" s="59"/>
      <c r="DQ1707" s="59"/>
      <c r="DR1707" s="59"/>
      <c r="DS1707" s="59"/>
      <c r="DT1707" s="59"/>
      <c r="DU1707" s="59"/>
      <c r="DV1707" s="59"/>
      <c r="DW1707" s="59"/>
      <c r="DX1707" s="59"/>
      <c r="DY1707" s="59"/>
      <c r="DZ1707" s="59"/>
      <c r="EA1707" s="59"/>
      <c r="EB1707" s="59"/>
      <c r="EC1707" s="59"/>
      <c r="ED1707" s="59"/>
      <c r="EE1707" s="59"/>
      <c r="EF1707" s="59"/>
      <c r="EG1707" s="59"/>
      <c r="EH1707" s="59"/>
      <c r="EI1707" s="59"/>
      <c r="EJ1707" s="59"/>
      <c r="EK1707" s="59"/>
      <c r="EL1707" s="59"/>
      <c r="EM1707" s="59"/>
      <c r="EN1707" s="59"/>
      <c r="EO1707" s="59"/>
      <c r="EP1707" s="59"/>
      <c r="EQ1707" s="59"/>
      <c r="ER1707" s="59"/>
      <c r="ES1707" s="59"/>
      <c r="ET1707" s="59"/>
      <c r="EU1707" s="59"/>
      <c r="EV1707" s="59"/>
      <c r="EW1707" s="59"/>
      <c r="EX1707" s="59"/>
      <c r="EY1707" s="59"/>
      <c r="EZ1707" s="59"/>
      <c r="FA1707" s="59"/>
      <c r="FB1707" s="59"/>
      <c r="FC1707" s="59"/>
      <c r="FD1707" s="59"/>
      <c r="FE1707" s="59"/>
      <c r="FF1707" s="59"/>
      <c r="FG1707" s="59"/>
      <c r="FH1707" s="59"/>
      <c r="FI1707" s="59"/>
      <c r="FJ1707" s="59"/>
      <c r="FK1707" s="59"/>
      <c r="FL1707" s="59"/>
      <c r="FM1707" s="59"/>
      <c r="FN1707" s="59"/>
      <c r="FO1707" s="59"/>
      <c r="FP1707" s="59"/>
      <c r="FQ1707" s="59"/>
      <c r="FR1707" s="59"/>
      <c r="FS1707" s="59"/>
      <c r="FT1707" s="59"/>
      <c r="FU1707" s="59"/>
      <c r="FV1707" s="59"/>
      <c r="FW1707" s="59"/>
      <c r="FX1707" s="59"/>
      <c r="FY1707" s="59"/>
      <c r="FZ1707" s="59"/>
      <c r="GA1707" s="59"/>
      <c r="GB1707" s="59"/>
      <c r="GC1707" s="59"/>
    </row>
    <row r="1708">
      <c r="A1708" s="59"/>
      <c r="B1708" s="59"/>
      <c r="C1708" s="59"/>
      <c r="D1708" s="59"/>
      <c r="E1708" s="59"/>
      <c r="F1708" s="59"/>
      <c r="G1708" s="59"/>
      <c r="H1708" s="59"/>
      <c r="I1708" s="59"/>
      <c r="J1708" s="59"/>
      <c r="K1708" s="59"/>
      <c r="L1708" s="59"/>
      <c r="M1708" s="59"/>
      <c r="N1708" s="59"/>
      <c r="O1708" s="59"/>
      <c r="P1708" s="59"/>
      <c r="Q1708" s="59"/>
      <c r="R1708" s="59"/>
      <c r="S1708" s="59"/>
      <c r="T1708" s="59"/>
      <c r="U1708" s="59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59"/>
      <c r="AU1708" s="59"/>
      <c r="AV1708" s="59"/>
      <c r="AW1708" s="59"/>
      <c r="AX1708" s="59"/>
      <c r="AY1708" s="59"/>
      <c r="AZ1708" s="59"/>
      <c r="BA1708" s="59"/>
      <c r="BB1708" s="59"/>
      <c r="BC1708" s="59"/>
      <c r="BD1708" s="59"/>
      <c r="BE1708" s="59"/>
      <c r="BF1708" s="59"/>
      <c r="BG1708" s="59"/>
      <c r="BH1708" s="59"/>
      <c r="BI1708" s="59"/>
      <c r="BJ1708" s="59"/>
      <c r="BK1708" s="59"/>
      <c r="BL1708" s="59"/>
      <c r="BM1708" s="59"/>
      <c r="BN1708" s="59"/>
      <c r="BO1708" s="59"/>
      <c r="BP1708" s="59"/>
      <c r="BQ1708" s="59"/>
      <c r="BR1708" s="59"/>
      <c r="BS1708" s="59"/>
      <c r="BT1708" s="59"/>
      <c r="BU1708" s="59"/>
      <c r="BV1708" s="59"/>
      <c r="BW1708" s="59"/>
      <c r="BX1708" s="59"/>
      <c r="BY1708" s="59"/>
      <c r="BZ1708" s="59"/>
      <c r="CA1708" s="59"/>
      <c r="CB1708" s="59"/>
      <c r="CC1708" s="59"/>
      <c r="CD1708" s="59"/>
      <c r="CE1708" s="59"/>
      <c r="CF1708" s="59"/>
      <c r="CG1708" s="59"/>
      <c r="CH1708" s="59"/>
      <c r="CI1708" s="59"/>
      <c r="CJ1708" s="59"/>
      <c r="CK1708" s="59"/>
      <c r="CL1708" s="59"/>
      <c r="CM1708" s="59"/>
      <c r="CN1708" s="59"/>
      <c r="CO1708" s="59"/>
      <c r="CP1708" s="59"/>
      <c r="CQ1708" s="59"/>
      <c r="CR1708" s="59"/>
      <c r="CS1708" s="59"/>
      <c r="CT1708" s="59"/>
      <c r="CU1708" s="59"/>
      <c r="CV1708" s="59"/>
      <c r="CW1708" s="59"/>
      <c r="CX1708" s="59"/>
      <c r="CY1708" s="59"/>
      <c r="CZ1708" s="59"/>
      <c r="DA1708" s="59"/>
      <c r="DB1708" s="59"/>
      <c r="DC1708" s="59"/>
      <c r="DD1708" s="59"/>
      <c r="DE1708" s="59"/>
      <c r="DF1708" s="59"/>
      <c r="DG1708" s="59"/>
      <c r="DH1708" s="59"/>
      <c r="DI1708" s="59"/>
      <c r="DJ1708" s="59"/>
      <c r="DK1708" s="59"/>
      <c r="DL1708" s="59"/>
      <c r="DM1708" s="59"/>
      <c r="DN1708" s="59"/>
      <c r="DO1708" s="59"/>
      <c r="DP1708" s="59"/>
      <c r="DQ1708" s="59"/>
      <c r="DR1708" s="59"/>
      <c r="DS1708" s="59"/>
      <c r="DT1708" s="59"/>
      <c r="DU1708" s="59"/>
      <c r="DV1708" s="59"/>
      <c r="DW1708" s="59"/>
      <c r="DX1708" s="59"/>
      <c r="DY1708" s="59"/>
      <c r="DZ1708" s="59"/>
      <c r="EA1708" s="59"/>
      <c r="EB1708" s="59"/>
      <c r="EC1708" s="59"/>
      <c r="ED1708" s="59"/>
      <c r="EE1708" s="59"/>
      <c r="EF1708" s="59"/>
      <c r="EG1708" s="59"/>
      <c r="EH1708" s="59"/>
      <c r="EI1708" s="59"/>
      <c r="EJ1708" s="59"/>
      <c r="EK1708" s="59"/>
      <c r="EL1708" s="59"/>
      <c r="EM1708" s="59"/>
      <c r="EN1708" s="59"/>
      <c r="EO1708" s="59"/>
      <c r="EP1708" s="59"/>
      <c r="EQ1708" s="59"/>
      <c r="ER1708" s="59"/>
      <c r="ES1708" s="59"/>
      <c r="ET1708" s="59"/>
      <c r="EU1708" s="59"/>
      <c r="EV1708" s="59"/>
      <c r="EW1708" s="59"/>
      <c r="EX1708" s="59"/>
      <c r="EY1708" s="59"/>
      <c r="EZ1708" s="59"/>
      <c r="FA1708" s="59"/>
      <c r="FB1708" s="59"/>
      <c r="FC1708" s="59"/>
      <c r="FD1708" s="59"/>
      <c r="FE1708" s="59"/>
      <c r="FF1708" s="59"/>
      <c r="FG1708" s="59"/>
      <c r="FH1708" s="59"/>
      <c r="FI1708" s="59"/>
      <c r="FJ1708" s="59"/>
      <c r="FK1708" s="59"/>
      <c r="FL1708" s="59"/>
      <c r="FM1708" s="59"/>
      <c r="FN1708" s="59"/>
      <c r="FO1708" s="59"/>
      <c r="FP1708" s="59"/>
      <c r="FQ1708" s="59"/>
      <c r="FR1708" s="59"/>
      <c r="FS1708" s="59"/>
      <c r="FT1708" s="59"/>
      <c r="FU1708" s="59"/>
      <c r="FV1708" s="59"/>
      <c r="FW1708" s="59"/>
      <c r="FX1708" s="59"/>
      <c r="FY1708" s="59"/>
      <c r="FZ1708" s="59"/>
      <c r="GA1708" s="59"/>
      <c r="GB1708" s="59"/>
      <c r="GC1708" s="59"/>
    </row>
    <row r="1709">
      <c r="A1709" s="59"/>
      <c r="B1709" s="59"/>
      <c r="C1709" s="59"/>
      <c r="D1709" s="59"/>
      <c r="E1709" s="59"/>
      <c r="F1709" s="59"/>
      <c r="G1709" s="59"/>
      <c r="H1709" s="59"/>
      <c r="I1709" s="59"/>
      <c r="J1709" s="59"/>
      <c r="K1709" s="59"/>
      <c r="L1709" s="59"/>
      <c r="M1709" s="59"/>
      <c r="N1709" s="59"/>
      <c r="O1709" s="59"/>
      <c r="P1709" s="59"/>
      <c r="Q1709" s="59"/>
      <c r="R1709" s="59"/>
      <c r="S1709" s="59"/>
      <c r="T1709" s="59"/>
      <c r="U1709" s="59"/>
      <c r="V1709" s="59"/>
      <c r="W1709" s="59"/>
      <c r="X1709" s="59"/>
      <c r="Y1709" s="59"/>
      <c r="Z1709" s="59"/>
      <c r="AA1709" s="59"/>
      <c r="AB1709" s="59"/>
      <c r="AC1709" s="59"/>
      <c r="AD1709" s="59"/>
      <c r="AE1709" s="59"/>
      <c r="AF1709" s="59"/>
      <c r="AG1709" s="59"/>
      <c r="AH1709" s="59"/>
      <c r="AI1709" s="59"/>
      <c r="AJ1709" s="59"/>
      <c r="AK1709" s="59"/>
      <c r="AL1709" s="59"/>
      <c r="AM1709" s="59"/>
      <c r="AN1709" s="59"/>
      <c r="AO1709" s="59"/>
      <c r="AP1709" s="59"/>
      <c r="AQ1709" s="59"/>
      <c r="AR1709" s="59"/>
      <c r="AS1709" s="59"/>
      <c r="AT1709" s="59"/>
      <c r="AU1709" s="59"/>
      <c r="AV1709" s="59"/>
      <c r="AW1709" s="59"/>
      <c r="AX1709" s="59"/>
      <c r="AY1709" s="59"/>
      <c r="AZ1709" s="59"/>
      <c r="BA1709" s="59"/>
      <c r="BB1709" s="59"/>
      <c r="BC1709" s="59"/>
      <c r="BD1709" s="59"/>
      <c r="BE1709" s="59"/>
      <c r="BF1709" s="59"/>
      <c r="BG1709" s="59"/>
      <c r="BH1709" s="59"/>
      <c r="BI1709" s="59"/>
      <c r="BJ1709" s="59"/>
      <c r="BK1709" s="59"/>
      <c r="BL1709" s="59"/>
      <c r="BM1709" s="59"/>
      <c r="BN1709" s="59"/>
      <c r="BO1709" s="59"/>
      <c r="BP1709" s="59"/>
      <c r="BQ1709" s="59"/>
      <c r="BR1709" s="59"/>
      <c r="BS1709" s="59"/>
      <c r="BT1709" s="59"/>
      <c r="BU1709" s="59"/>
      <c r="BV1709" s="59"/>
      <c r="BW1709" s="59"/>
      <c r="BX1709" s="59"/>
      <c r="BY1709" s="59"/>
      <c r="BZ1709" s="59"/>
      <c r="CA1709" s="59"/>
      <c r="CB1709" s="59"/>
      <c r="CC1709" s="59"/>
      <c r="CD1709" s="59"/>
      <c r="CE1709" s="59"/>
      <c r="CF1709" s="59"/>
      <c r="CG1709" s="59"/>
      <c r="CH1709" s="59"/>
      <c r="CI1709" s="59"/>
      <c r="CJ1709" s="59"/>
      <c r="CK1709" s="59"/>
      <c r="CL1709" s="59"/>
      <c r="CM1709" s="59"/>
      <c r="CN1709" s="59"/>
      <c r="CO1709" s="59"/>
      <c r="CP1709" s="59"/>
      <c r="CQ1709" s="59"/>
      <c r="CR1709" s="59"/>
      <c r="CS1709" s="59"/>
      <c r="CT1709" s="59"/>
      <c r="CU1709" s="59"/>
      <c r="CV1709" s="59"/>
      <c r="CW1709" s="59"/>
      <c r="CX1709" s="59"/>
      <c r="CY1709" s="59"/>
      <c r="CZ1709" s="59"/>
      <c r="DA1709" s="59"/>
      <c r="DB1709" s="59"/>
      <c r="DC1709" s="59"/>
      <c r="DD1709" s="59"/>
      <c r="DE1709" s="59"/>
      <c r="DF1709" s="59"/>
      <c r="DG1709" s="59"/>
      <c r="DH1709" s="59"/>
      <c r="DI1709" s="59"/>
      <c r="DJ1709" s="59"/>
      <c r="DK1709" s="59"/>
      <c r="DL1709" s="59"/>
      <c r="DM1709" s="59"/>
      <c r="DN1709" s="59"/>
      <c r="DO1709" s="59"/>
      <c r="DP1709" s="59"/>
      <c r="DQ1709" s="59"/>
      <c r="DR1709" s="59"/>
      <c r="DS1709" s="59"/>
      <c r="DT1709" s="59"/>
      <c r="DU1709" s="59"/>
      <c r="DV1709" s="59"/>
      <c r="DW1709" s="59"/>
      <c r="DX1709" s="59"/>
      <c r="DY1709" s="59"/>
      <c r="DZ1709" s="59"/>
      <c r="EA1709" s="59"/>
      <c r="EB1709" s="59"/>
      <c r="EC1709" s="59"/>
      <c r="ED1709" s="59"/>
      <c r="EE1709" s="59"/>
      <c r="EF1709" s="59"/>
      <c r="EG1709" s="59"/>
      <c r="EH1709" s="59"/>
      <c r="EI1709" s="59"/>
      <c r="EJ1709" s="59"/>
      <c r="EK1709" s="59"/>
      <c r="EL1709" s="59"/>
      <c r="EM1709" s="59"/>
      <c r="EN1709" s="59"/>
      <c r="EO1709" s="59"/>
      <c r="EP1709" s="59"/>
      <c r="EQ1709" s="59"/>
      <c r="ER1709" s="59"/>
      <c r="ES1709" s="59"/>
      <c r="ET1709" s="59"/>
      <c r="EU1709" s="59"/>
      <c r="EV1709" s="59"/>
      <c r="EW1709" s="59"/>
      <c r="EX1709" s="59"/>
      <c r="EY1709" s="59"/>
      <c r="EZ1709" s="59"/>
      <c r="FA1709" s="59"/>
      <c r="FB1709" s="59"/>
      <c r="FC1709" s="59"/>
      <c r="FD1709" s="59"/>
      <c r="FE1709" s="59"/>
      <c r="FF1709" s="59"/>
      <c r="FG1709" s="59"/>
      <c r="FH1709" s="59"/>
      <c r="FI1709" s="59"/>
      <c r="FJ1709" s="59"/>
      <c r="FK1709" s="59"/>
      <c r="FL1709" s="59"/>
      <c r="FM1709" s="59"/>
      <c r="FN1709" s="59"/>
      <c r="FO1709" s="59"/>
      <c r="FP1709" s="59"/>
      <c r="FQ1709" s="59"/>
      <c r="FR1709" s="59"/>
      <c r="FS1709" s="59"/>
      <c r="FT1709" s="59"/>
      <c r="FU1709" s="59"/>
      <c r="FV1709" s="59"/>
      <c r="FW1709" s="59"/>
      <c r="FX1709" s="59"/>
      <c r="FY1709" s="59"/>
      <c r="FZ1709" s="59"/>
      <c r="GA1709" s="59"/>
      <c r="GB1709" s="59"/>
      <c r="GC1709" s="59"/>
    </row>
    <row r="1710">
      <c r="A1710" s="59"/>
      <c r="B1710" s="59"/>
      <c r="C1710" s="59"/>
      <c r="D1710" s="59"/>
      <c r="E1710" s="59"/>
      <c r="F1710" s="59"/>
      <c r="G1710" s="59"/>
      <c r="H1710" s="59"/>
      <c r="I1710" s="59"/>
      <c r="J1710" s="59"/>
      <c r="K1710" s="59"/>
      <c r="L1710" s="59"/>
      <c r="M1710" s="59"/>
      <c r="N1710" s="59"/>
      <c r="O1710" s="59"/>
      <c r="P1710" s="59"/>
      <c r="Q1710" s="59"/>
      <c r="R1710" s="59"/>
      <c r="S1710" s="59"/>
      <c r="T1710" s="59"/>
      <c r="U1710" s="59"/>
      <c r="V1710" s="59"/>
      <c r="W1710" s="59"/>
      <c r="X1710" s="59"/>
      <c r="Y1710" s="59"/>
      <c r="Z1710" s="59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59"/>
      <c r="AU1710" s="59"/>
      <c r="AV1710" s="59"/>
      <c r="AW1710" s="59"/>
      <c r="AX1710" s="59"/>
      <c r="AY1710" s="59"/>
      <c r="AZ1710" s="59"/>
      <c r="BA1710" s="59"/>
      <c r="BB1710" s="59"/>
      <c r="BC1710" s="59"/>
      <c r="BD1710" s="59"/>
      <c r="BE1710" s="59"/>
      <c r="BF1710" s="59"/>
      <c r="BG1710" s="59"/>
      <c r="BH1710" s="59"/>
      <c r="BI1710" s="59"/>
      <c r="BJ1710" s="59"/>
      <c r="BK1710" s="59"/>
      <c r="BL1710" s="59"/>
      <c r="BM1710" s="59"/>
      <c r="BN1710" s="59"/>
      <c r="BO1710" s="59"/>
      <c r="BP1710" s="59"/>
      <c r="BQ1710" s="59"/>
      <c r="BR1710" s="59"/>
      <c r="BS1710" s="59"/>
      <c r="BT1710" s="59"/>
      <c r="BU1710" s="59"/>
      <c r="BV1710" s="59"/>
      <c r="BW1710" s="59"/>
      <c r="BX1710" s="59"/>
      <c r="BY1710" s="59"/>
      <c r="BZ1710" s="59"/>
      <c r="CA1710" s="59"/>
      <c r="CB1710" s="59"/>
      <c r="CC1710" s="59"/>
      <c r="CD1710" s="59"/>
      <c r="CE1710" s="59"/>
      <c r="CF1710" s="59"/>
      <c r="CG1710" s="59"/>
      <c r="CH1710" s="59"/>
      <c r="CI1710" s="59"/>
      <c r="CJ1710" s="59"/>
      <c r="CK1710" s="59"/>
      <c r="CL1710" s="59"/>
      <c r="CM1710" s="59"/>
      <c r="CN1710" s="59"/>
      <c r="CO1710" s="59"/>
      <c r="CP1710" s="59"/>
      <c r="CQ1710" s="59"/>
      <c r="CR1710" s="59"/>
      <c r="CS1710" s="59"/>
      <c r="CT1710" s="59"/>
      <c r="CU1710" s="59"/>
      <c r="CV1710" s="59"/>
      <c r="CW1710" s="59"/>
      <c r="CX1710" s="59"/>
      <c r="CY1710" s="59"/>
      <c r="CZ1710" s="59"/>
      <c r="DA1710" s="59"/>
      <c r="DB1710" s="59"/>
      <c r="DC1710" s="59"/>
      <c r="DD1710" s="59"/>
      <c r="DE1710" s="59"/>
      <c r="DF1710" s="59"/>
      <c r="DG1710" s="59"/>
      <c r="DH1710" s="59"/>
      <c r="DI1710" s="59"/>
      <c r="DJ1710" s="59"/>
      <c r="DK1710" s="59"/>
      <c r="DL1710" s="59"/>
      <c r="DM1710" s="59"/>
      <c r="DN1710" s="59"/>
      <c r="DO1710" s="59"/>
      <c r="DP1710" s="59"/>
      <c r="DQ1710" s="59"/>
      <c r="DR1710" s="59"/>
      <c r="DS1710" s="59"/>
      <c r="DT1710" s="59"/>
      <c r="DU1710" s="59"/>
      <c r="DV1710" s="59"/>
      <c r="DW1710" s="59"/>
      <c r="DX1710" s="59"/>
      <c r="DY1710" s="59"/>
      <c r="DZ1710" s="59"/>
      <c r="EA1710" s="59"/>
      <c r="EB1710" s="59"/>
      <c r="EC1710" s="59"/>
      <c r="ED1710" s="59"/>
      <c r="EE1710" s="59"/>
      <c r="EF1710" s="59"/>
      <c r="EG1710" s="59"/>
      <c r="EH1710" s="59"/>
      <c r="EI1710" s="59"/>
      <c r="EJ1710" s="59"/>
      <c r="EK1710" s="59"/>
      <c r="EL1710" s="59"/>
      <c r="EM1710" s="59"/>
      <c r="EN1710" s="59"/>
      <c r="EO1710" s="59"/>
      <c r="EP1710" s="59"/>
      <c r="EQ1710" s="59"/>
      <c r="ER1710" s="59"/>
      <c r="ES1710" s="59"/>
      <c r="ET1710" s="59"/>
      <c r="EU1710" s="59"/>
      <c r="EV1710" s="59"/>
      <c r="EW1710" s="59"/>
      <c r="EX1710" s="59"/>
      <c r="EY1710" s="59"/>
      <c r="EZ1710" s="59"/>
      <c r="FA1710" s="59"/>
      <c r="FB1710" s="59"/>
      <c r="FC1710" s="59"/>
      <c r="FD1710" s="59"/>
      <c r="FE1710" s="59"/>
      <c r="FF1710" s="59"/>
      <c r="FG1710" s="59"/>
      <c r="FH1710" s="59"/>
      <c r="FI1710" s="59"/>
      <c r="FJ1710" s="59"/>
      <c r="FK1710" s="59"/>
      <c r="FL1710" s="59"/>
      <c r="FM1710" s="59"/>
      <c r="FN1710" s="59"/>
      <c r="FO1710" s="59"/>
      <c r="FP1710" s="59"/>
      <c r="FQ1710" s="59"/>
      <c r="FR1710" s="59"/>
      <c r="FS1710" s="59"/>
      <c r="FT1710" s="59"/>
      <c r="FU1710" s="59"/>
      <c r="FV1710" s="59"/>
      <c r="FW1710" s="59"/>
      <c r="FX1710" s="59"/>
      <c r="FY1710" s="59"/>
      <c r="FZ1710" s="59"/>
      <c r="GA1710" s="59"/>
      <c r="GB1710" s="59"/>
      <c r="GC1710" s="59"/>
    </row>
    <row r="1711">
      <c r="A1711" s="59"/>
      <c r="B1711" s="59"/>
      <c r="C1711" s="59"/>
      <c r="D1711" s="59"/>
      <c r="E1711" s="59"/>
      <c r="F1711" s="59"/>
      <c r="G1711" s="59"/>
      <c r="H1711" s="59"/>
      <c r="I1711" s="59"/>
      <c r="J1711" s="59"/>
      <c r="K1711" s="59"/>
      <c r="L1711" s="59"/>
      <c r="M1711" s="59"/>
      <c r="N1711" s="59"/>
      <c r="O1711" s="59"/>
      <c r="P1711" s="59"/>
      <c r="Q1711" s="59"/>
      <c r="R1711" s="59"/>
      <c r="S1711" s="59"/>
      <c r="T1711" s="59"/>
      <c r="U1711" s="59"/>
      <c r="V1711" s="59"/>
      <c r="W1711" s="59"/>
      <c r="X1711" s="59"/>
      <c r="Y1711" s="59"/>
      <c r="Z1711" s="59"/>
      <c r="AA1711" s="59"/>
      <c r="AB1711" s="59"/>
      <c r="AC1711" s="59"/>
      <c r="AD1711" s="59"/>
      <c r="AE1711" s="59"/>
      <c r="AF1711" s="59"/>
      <c r="AG1711" s="59"/>
      <c r="AH1711" s="59"/>
      <c r="AI1711" s="59"/>
      <c r="AJ1711" s="59"/>
      <c r="AK1711" s="59"/>
      <c r="AL1711" s="59"/>
      <c r="AM1711" s="59"/>
      <c r="AN1711" s="59"/>
      <c r="AO1711" s="59"/>
      <c r="AP1711" s="59"/>
      <c r="AQ1711" s="59"/>
      <c r="AR1711" s="59"/>
      <c r="AS1711" s="59"/>
      <c r="AT1711" s="59"/>
      <c r="AU1711" s="59"/>
      <c r="AV1711" s="59"/>
      <c r="AW1711" s="59"/>
      <c r="AX1711" s="59"/>
      <c r="AY1711" s="59"/>
      <c r="AZ1711" s="59"/>
      <c r="BA1711" s="59"/>
      <c r="BB1711" s="59"/>
      <c r="BC1711" s="59"/>
      <c r="BD1711" s="59"/>
      <c r="BE1711" s="59"/>
      <c r="BF1711" s="59"/>
      <c r="BG1711" s="59"/>
      <c r="BH1711" s="59"/>
      <c r="BI1711" s="59"/>
      <c r="BJ1711" s="59"/>
      <c r="BK1711" s="59"/>
      <c r="BL1711" s="59"/>
      <c r="BM1711" s="59"/>
      <c r="BN1711" s="59"/>
      <c r="BO1711" s="59"/>
      <c r="BP1711" s="59"/>
      <c r="BQ1711" s="59"/>
      <c r="BR1711" s="59"/>
      <c r="BS1711" s="59"/>
      <c r="BT1711" s="59"/>
      <c r="BU1711" s="59"/>
      <c r="BV1711" s="59"/>
      <c r="BW1711" s="59"/>
      <c r="BX1711" s="59"/>
      <c r="BY1711" s="59"/>
      <c r="BZ1711" s="59"/>
      <c r="CA1711" s="59"/>
      <c r="CB1711" s="59"/>
      <c r="CC1711" s="59"/>
      <c r="CD1711" s="59"/>
      <c r="CE1711" s="59"/>
      <c r="CF1711" s="59"/>
      <c r="CG1711" s="59"/>
      <c r="CH1711" s="59"/>
      <c r="CI1711" s="59"/>
      <c r="CJ1711" s="59"/>
      <c r="CK1711" s="59"/>
      <c r="CL1711" s="59"/>
      <c r="CM1711" s="59"/>
      <c r="CN1711" s="59"/>
      <c r="CO1711" s="59"/>
      <c r="CP1711" s="59"/>
      <c r="CQ1711" s="59"/>
      <c r="CR1711" s="59"/>
      <c r="CS1711" s="59"/>
      <c r="CT1711" s="59"/>
      <c r="CU1711" s="59"/>
      <c r="CV1711" s="59"/>
      <c r="CW1711" s="59"/>
      <c r="CX1711" s="59"/>
      <c r="CY1711" s="59"/>
      <c r="CZ1711" s="59"/>
      <c r="DA1711" s="59"/>
      <c r="DB1711" s="59"/>
      <c r="DC1711" s="59"/>
      <c r="DD1711" s="59"/>
      <c r="DE1711" s="59"/>
      <c r="DF1711" s="59"/>
      <c r="DG1711" s="59"/>
      <c r="DH1711" s="59"/>
      <c r="DI1711" s="59"/>
      <c r="DJ1711" s="59"/>
      <c r="DK1711" s="59"/>
      <c r="DL1711" s="59"/>
      <c r="DM1711" s="59"/>
      <c r="DN1711" s="59"/>
      <c r="DO1711" s="59"/>
      <c r="DP1711" s="59"/>
      <c r="DQ1711" s="59"/>
      <c r="DR1711" s="59"/>
      <c r="DS1711" s="59"/>
      <c r="DT1711" s="59"/>
      <c r="DU1711" s="59"/>
      <c r="DV1711" s="59"/>
      <c r="DW1711" s="59"/>
      <c r="DX1711" s="59"/>
      <c r="DY1711" s="59"/>
      <c r="DZ1711" s="59"/>
      <c r="EA1711" s="59"/>
      <c r="EB1711" s="59"/>
      <c r="EC1711" s="59"/>
      <c r="ED1711" s="59"/>
      <c r="EE1711" s="59"/>
      <c r="EF1711" s="59"/>
      <c r="EG1711" s="59"/>
      <c r="EH1711" s="59"/>
      <c r="EI1711" s="59"/>
      <c r="EJ1711" s="59"/>
      <c r="EK1711" s="59"/>
      <c r="EL1711" s="59"/>
      <c r="EM1711" s="59"/>
      <c r="EN1711" s="59"/>
      <c r="EO1711" s="59"/>
      <c r="EP1711" s="59"/>
      <c r="EQ1711" s="59"/>
      <c r="ER1711" s="59"/>
      <c r="ES1711" s="59"/>
      <c r="ET1711" s="59"/>
      <c r="EU1711" s="59"/>
      <c r="EV1711" s="59"/>
      <c r="EW1711" s="59"/>
      <c r="EX1711" s="59"/>
      <c r="EY1711" s="59"/>
      <c r="EZ1711" s="59"/>
      <c r="FA1711" s="59"/>
      <c r="FB1711" s="59"/>
      <c r="FC1711" s="59"/>
      <c r="FD1711" s="59"/>
      <c r="FE1711" s="59"/>
      <c r="FF1711" s="59"/>
      <c r="FG1711" s="59"/>
      <c r="FH1711" s="59"/>
      <c r="FI1711" s="59"/>
      <c r="FJ1711" s="59"/>
      <c r="FK1711" s="59"/>
      <c r="FL1711" s="59"/>
      <c r="FM1711" s="59"/>
      <c r="FN1711" s="59"/>
      <c r="FO1711" s="59"/>
      <c r="FP1711" s="59"/>
      <c r="FQ1711" s="59"/>
      <c r="FR1711" s="59"/>
      <c r="FS1711" s="59"/>
      <c r="FT1711" s="59"/>
      <c r="FU1711" s="59"/>
      <c r="FV1711" s="59"/>
      <c r="FW1711" s="59"/>
      <c r="FX1711" s="59"/>
      <c r="FY1711" s="59"/>
      <c r="FZ1711" s="59"/>
      <c r="GA1711" s="59"/>
      <c r="GB1711" s="59"/>
      <c r="GC1711" s="59"/>
    </row>
    <row r="1712">
      <c r="A1712" s="59"/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59"/>
      <c r="N1712" s="59"/>
      <c r="O1712" s="59"/>
      <c r="P1712" s="59"/>
      <c r="Q1712" s="59"/>
      <c r="R1712" s="59"/>
      <c r="S1712" s="59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59"/>
      <c r="AU1712" s="59"/>
      <c r="AV1712" s="59"/>
      <c r="AW1712" s="59"/>
      <c r="AX1712" s="59"/>
      <c r="AY1712" s="59"/>
      <c r="AZ1712" s="59"/>
      <c r="BA1712" s="59"/>
      <c r="BB1712" s="59"/>
      <c r="BC1712" s="59"/>
      <c r="BD1712" s="59"/>
      <c r="BE1712" s="59"/>
      <c r="BF1712" s="59"/>
      <c r="BG1712" s="59"/>
      <c r="BH1712" s="59"/>
      <c r="BI1712" s="59"/>
      <c r="BJ1712" s="59"/>
      <c r="BK1712" s="59"/>
      <c r="BL1712" s="59"/>
      <c r="BM1712" s="59"/>
      <c r="BN1712" s="59"/>
      <c r="BO1712" s="59"/>
      <c r="BP1712" s="59"/>
      <c r="BQ1712" s="59"/>
      <c r="BR1712" s="59"/>
      <c r="BS1712" s="59"/>
      <c r="BT1712" s="59"/>
      <c r="BU1712" s="59"/>
      <c r="BV1712" s="59"/>
      <c r="BW1712" s="59"/>
      <c r="BX1712" s="59"/>
      <c r="BY1712" s="59"/>
      <c r="BZ1712" s="59"/>
      <c r="CA1712" s="59"/>
      <c r="CB1712" s="59"/>
      <c r="CC1712" s="59"/>
      <c r="CD1712" s="59"/>
      <c r="CE1712" s="59"/>
      <c r="CF1712" s="59"/>
      <c r="CG1712" s="59"/>
      <c r="CH1712" s="59"/>
      <c r="CI1712" s="59"/>
      <c r="CJ1712" s="59"/>
      <c r="CK1712" s="59"/>
      <c r="CL1712" s="59"/>
      <c r="CM1712" s="59"/>
      <c r="CN1712" s="59"/>
      <c r="CO1712" s="59"/>
      <c r="CP1712" s="59"/>
      <c r="CQ1712" s="59"/>
      <c r="CR1712" s="59"/>
      <c r="CS1712" s="59"/>
      <c r="CT1712" s="59"/>
      <c r="CU1712" s="59"/>
      <c r="CV1712" s="59"/>
      <c r="CW1712" s="59"/>
      <c r="CX1712" s="59"/>
      <c r="CY1712" s="59"/>
      <c r="CZ1712" s="59"/>
      <c r="DA1712" s="59"/>
      <c r="DB1712" s="59"/>
      <c r="DC1712" s="59"/>
      <c r="DD1712" s="59"/>
      <c r="DE1712" s="59"/>
      <c r="DF1712" s="59"/>
      <c r="DG1712" s="59"/>
      <c r="DH1712" s="59"/>
      <c r="DI1712" s="59"/>
      <c r="DJ1712" s="59"/>
      <c r="DK1712" s="59"/>
      <c r="DL1712" s="59"/>
      <c r="DM1712" s="59"/>
      <c r="DN1712" s="59"/>
      <c r="DO1712" s="59"/>
      <c r="DP1712" s="59"/>
      <c r="DQ1712" s="59"/>
      <c r="DR1712" s="59"/>
      <c r="DS1712" s="59"/>
      <c r="DT1712" s="59"/>
      <c r="DU1712" s="59"/>
      <c r="DV1712" s="59"/>
      <c r="DW1712" s="59"/>
      <c r="DX1712" s="59"/>
      <c r="DY1712" s="59"/>
      <c r="DZ1712" s="59"/>
      <c r="EA1712" s="59"/>
      <c r="EB1712" s="59"/>
      <c r="EC1712" s="59"/>
      <c r="ED1712" s="59"/>
      <c r="EE1712" s="59"/>
      <c r="EF1712" s="59"/>
      <c r="EG1712" s="59"/>
      <c r="EH1712" s="59"/>
      <c r="EI1712" s="59"/>
      <c r="EJ1712" s="59"/>
      <c r="EK1712" s="59"/>
      <c r="EL1712" s="59"/>
      <c r="EM1712" s="59"/>
      <c r="EN1712" s="59"/>
      <c r="EO1712" s="59"/>
      <c r="EP1712" s="59"/>
      <c r="EQ1712" s="59"/>
      <c r="ER1712" s="59"/>
      <c r="ES1712" s="59"/>
      <c r="ET1712" s="59"/>
      <c r="EU1712" s="59"/>
      <c r="EV1712" s="59"/>
      <c r="EW1712" s="59"/>
      <c r="EX1712" s="59"/>
      <c r="EY1712" s="59"/>
      <c r="EZ1712" s="59"/>
      <c r="FA1712" s="59"/>
      <c r="FB1712" s="59"/>
      <c r="FC1712" s="59"/>
      <c r="FD1712" s="59"/>
      <c r="FE1712" s="59"/>
      <c r="FF1712" s="59"/>
      <c r="FG1712" s="59"/>
      <c r="FH1712" s="59"/>
      <c r="FI1712" s="59"/>
      <c r="FJ1712" s="59"/>
      <c r="FK1712" s="59"/>
      <c r="FL1712" s="59"/>
      <c r="FM1712" s="59"/>
      <c r="FN1712" s="59"/>
      <c r="FO1712" s="59"/>
      <c r="FP1712" s="59"/>
      <c r="FQ1712" s="59"/>
      <c r="FR1712" s="59"/>
      <c r="FS1712" s="59"/>
      <c r="FT1712" s="59"/>
      <c r="FU1712" s="59"/>
      <c r="FV1712" s="59"/>
      <c r="FW1712" s="59"/>
      <c r="FX1712" s="59"/>
      <c r="FY1712" s="59"/>
      <c r="FZ1712" s="59"/>
      <c r="GA1712" s="59"/>
      <c r="GB1712" s="59"/>
      <c r="GC1712" s="59"/>
    </row>
    <row r="1713">
      <c r="A1713" s="59"/>
      <c r="B1713" s="59"/>
      <c r="C1713" s="59"/>
      <c r="D1713" s="59"/>
      <c r="E1713" s="59"/>
      <c r="F1713" s="59"/>
      <c r="G1713" s="59"/>
      <c r="H1713" s="59"/>
      <c r="I1713" s="59"/>
      <c r="J1713" s="59"/>
      <c r="K1713" s="59"/>
      <c r="L1713" s="59"/>
      <c r="M1713" s="59"/>
      <c r="N1713" s="59"/>
      <c r="O1713" s="59"/>
      <c r="P1713" s="59"/>
      <c r="Q1713" s="59"/>
      <c r="R1713" s="59"/>
      <c r="S1713" s="59"/>
      <c r="T1713" s="59"/>
      <c r="U1713" s="59"/>
      <c r="V1713" s="59"/>
      <c r="W1713" s="59"/>
      <c r="X1713" s="59"/>
      <c r="Y1713" s="59"/>
      <c r="Z1713" s="59"/>
      <c r="AA1713" s="59"/>
      <c r="AB1713" s="59"/>
      <c r="AC1713" s="59"/>
      <c r="AD1713" s="59"/>
      <c r="AE1713" s="59"/>
      <c r="AF1713" s="59"/>
      <c r="AG1713" s="59"/>
      <c r="AH1713" s="59"/>
      <c r="AI1713" s="59"/>
      <c r="AJ1713" s="59"/>
      <c r="AK1713" s="59"/>
      <c r="AL1713" s="59"/>
      <c r="AM1713" s="59"/>
      <c r="AN1713" s="59"/>
      <c r="AO1713" s="59"/>
      <c r="AP1713" s="59"/>
      <c r="AQ1713" s="59"/>
      <c r="AR1713" s="59"/>
      <c r="AS1713" s="59"/>
      <c r="AT1713" s="59"/>
      <c r="AU1713" s="59"/>
      <c r="AV1713" s="59"/>
      <c r="AW1713" s="59"/>
      <c r="AX1713" s="59"/>
      <c r="AY1713" s="59"/>
      <c r="AZ1713" s="59"/>
      <c r="BA1713" s="59"/>
      <c r="BB1713" s="59"/>
      <c r="BC1713" s="59"/>
      <c r="BD1713" s="59"/>
      <c r="BE1713" s="59"/>
      <c r="BF1713" s="59"/>
      <c r="BG1713" s="59"/>
      <c r="BH1713" s="59"/>
      <c r="BI1713" s="59"/>
      <c r="BJ1713" s="59"/>
      <c r="BK1713" s="59"/>
      <c r="BL1713" s="59"/>
      <c r="BM1713" s="59"/>
      <c r="BN1713" s="59"/>
      <c r="BO1713" s="59"/>
      <c r="BP1713" s="59"/>
      <c r="BQ1713" s="59"/>
      <c r="BR1713" s="59"/>
      <c r="BS1713" s="59"/>
      <c r="BT1713" s="59"/>
      <c r="BU1713" s="59"/>
      <c r="BV1713" s="59"/>
      <c r="BW1713" s="59"/>
      <c r="BX1713" s="59"/>
      <c r="BY1713" s="59"/>
      <c r="BZ1713" s="59"/>
      <c r="CA1713" s="59"/>
      <c r="CB1713" s="59"/>
      <c r="CC1713" s="59"/>
      <c r="CD1713" s="59"/>
      <c r="CE1713" s="59"/>
      <c r="CF1713" s="59"/>
      <c r="CG1713" s="59"/>
      <c r="CH1713" s="59"/>
      <c r="CI1713" s="59"/>
      <c r="CJ1713" s="59"/>
      <c r="CK1713" s="59"/>
      <c r="CL1713" s="59"/>
      <c r="CM1713" s="59"/>
      <c r="CN1713" s="59"/>
      <c r="CO1713" s="59"/>
      <c r="CP1713" s="59"/>
      <c r="CQ1713" s="59"/>
      <c r="CR1713" s="59"/>
      <c r="CS1713" s="59"/>
      <c r="CT1713" s="59"/>
      <c r="CU1713" s="59"/>
      <c r="CV1713" s="59"/>
      <c r="CW1713" s="59"/>
      <c r="CX1713" s="59"/>
      <c r="CY1713" s="59"/>
      <c r="CZ1713" s="59"/>
      <c r="DA1713" s="59"/>
      <c r="DB1713" s="59"/>
      <c r="DC1713" s="59"/>
      <c r="DD1713" s="59"/>
      <c r="DE1713" s="59"/>
      <c r="DF1713" s="59"/>
      <c r="DG1713" s="59"/>
      <c r="DH1713" s="59"/>
      <c r="DI1713" s="59"/>
      <c r="DJ1713" s="59"/>
      <c r="DK1713" s="59"/>
      <c r="DL1713" s="59"/>
      <c r="DM1713" s="59"/>
      <c r="DN1713" s="59"/>
      <c r="DO1713" s="59"/>
      <c r="DP1713" s="59"/>
      <c r="DQ1713" s="59"/>
      <c r="DR1713" s="59"/>
      <c r="DS1713" s="59"/>
      <c r="DT1713" s="59"/>
      <c r="DU1713" s="59"/>
      <c r="DV1713" s="59"/>
      <c r="DW1713" s="59"/>
      <c r="DX1713" s="59"/>
      <c r="DY1713" s="59"/>
      <c r="DZ1713" s="59"/>
      <c r="EA1713" s="59"/>
      <c r="EB1713" s="59"/>
      <c r="EC1713" s="59"/>
      <c r="ED1713" s="59"/>
      <c r="EE1713" s="59"/>
      <c r="EF1713" s="59"/>
      <c r="EG1713" s="59"/>
      <c r="EH1713" s="59"/>
      <c r="EI1713" s="59"/>
      <c r="EJ1713" s="59"/>
      <c r="EK1713" s="59"/>
      <c r="EL1713" s="59"/>
      <c r="EM1713" s="59"/>
      <c r="EN1713" s="59"/>
      <c r="EO1713" s="59"/>
      <c r="EP1713" s="59"/>
      <c r="EQ1713" s="59"/>
      <c r="ER1713" s="59"/>
      <c r="ES1713" s="59"/>
      <c r="ET1713" s="59"/>
      <c r="EU1713" s="59"/>
      <c r="EV1713" s="59"/>
      <c r="EW1713" s="59"/>
      <c r="EX1713" s="59"/>
      <c r="EY1713" s="59"/>
      <c r="EZ1713" s="59"/>
      <c r="FA1713" s="59"/>
      <c r="FB1713" s="59"/>
      <c r="FC1713" s="59"/>
      <c r="FD1713" s="59"/>
      <c r="FE1713" s="59"/>
      <c r="FF1713" s="59"/>
      <c r="FG1713" s="59"/>
      <c r="FH1713" s="59"/>
      <c r="FI1713" s="59"/>
      <c r="FJ1713" s="59"/>
      <c r="FK1713" s="59"/>
      <c r="FL1713" s="59"/>
      <c r="FM1713" s="59"/>
      <c r="FN1713" s="59"/>
      <c r="FO1713" s="59"/>
      <c r="FP1713" s="59"/>
      <c r="FQ1713" s="59"/>
      <c r="FR1713" s="59"/>
      <c r="FS1713" s="59"/>
      <c r="FT1713" s="59"/>
      <c r="FU1713" s="59"/>
      <c r="FV1713" s="59"/>
      <c r="FW1713" s="59"/>
      <c r="FX1713" s="59"/>
      <c r="FY1713" s="59"/>
      <c r="FZ1713" s="59"/>
      <c r="GA1713" s="59"/>
      <c r="GB1713" s="59"/>
      <c r="GC1713" s="59"/>
    </row>
    <row r="1714">
      <c r="A1714" s="59"/>
      <c r="B1714" s="59"/>
      <c r="C1714" s="59"/>
      <c r="D1714" s="59"/>
      <c r="E1714" s="59"/>
      <c r="F1714" s="59"/>
      <c r="G1714" s="59"/>
      <c r="H1714" s="59"/>
      <c r="I1714" s="59"/>
      <c r="J1714" s="59"/>
      <c r="K1714" s="59"/>
      <c r="L1714" s="59"/>
      <c r="M1714" s="59"/>
      <c r="N1714" s="59"/>
      <c r="O1714" s="59"/>
      <c r="P1714" s="59"/>
      <c r="Q1714" s="59"/>
      <c r="R1714" s="59"/>
      <c r="S1714" s="59"/>
      <c r="T1714" s="59"/>
      <c r="U1714" s="59"/>
      <c r="V1714" s="59"/>
      <c r="W1714" s="59"/>
      <c r="X1714" s="59"/>
      <c r="Y1714" s="59"/>
      <c r="Z1714" s="59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59"/>
      <c r="AU1714" s="59"/>
      <c r="AV1714" s="59"/>
      <c r="AW1714" s="59"/>
      <c r="AX1714" s="59"/>
      <c r="AY1714" s="59"/>
      <c r="AZ1714" s="59"/>
      <c r="BA1714" s="59"/>
      <c r="BB1714" s="59"/>
      <c r="BC1714" s="59"/>
      <c r="BD1714" s="59"/>
      <c r="BE1714" s="59"/>
      <c r="BF1714" s="59"/>
      <c r="BG1714" s="59"/>
      <c r="BH1714" s="59"/>
      <c r="BI1714" s="59"/>
      <c r="BJ1714" s="59"/>
      <c r="BK1714" s="59"/>
      <c r="BL1714" s="59"/>
      <c r="BM1714" s="59"/>
      <c r="BN1714" s="59"/>
      <c r="BO1714" s="59"/>
      <c r="BP1714" s="59"/>
      <c r="BQ1714" s="59"/>
      <c r="BR1714" s="59"/>
      <c r="BS1714" s="59"/>
      <c r="BT1714" s="59"/>
      <c r="BU1714" s="59"/>
      <c r="BV1714" s="59"/>
      <c r="BW1714" s="59"/>
      <c r="BX1714" s="59"/>
      <c r="BY1714" s="59"/>
      <c r="BZ1714" s="59"/>
      <c r="CA1714" s="59"/>
      <c r="CB1714" s="59"/>
      <c r="CC1714" s="59"/>
      <c r="CD1714" s="59"/>
      <c r="CE1714" s="59"/>
      <c r="CF1714" s="59"/>
      <c r="CG1714" s="59"/>
      <c r="CH1714" s="59"/>
      <c r="CI1714" s="59"/>
      <c r="CJ1714" s="59"/>
      <c r="CK1714" s="59"/>
      <c r="CL1714" s="59"/>
      <c r="CM1714" s="59"/>
      <c r="CN1714" s="59"/>
      <c r="CO1714" s="59"/>
      <c r="CP1714" s="59"/>
      <c r="CQ1714" s="59"/>
      <c r="CR1714" s="59"/>
      <c r="CS1714" s="59"/>
      <c r="CT1714" s="59"/>
      <c r="CU1714" s="59"/>
      <c r="CV1714" s="59"/>
      <c r="CW1714" s="59"/>
      <c r="CX1714" s="59"/>
      <c r="CY1714" s="59"/>
      <c r="CZ1714" s="59"/>
      <c r="DA1714" s="59"/>
      <c r="DB1714" s="59"/>
      <c r="DC1714" s="59"/>
      <c r="DD1714" s="59"/>
      <c r="DE1714" s="59"/>
      <c r="DF1714" s="59"/>
      <c r="DG1714" s="59"/>
      <c r="DH1714" s="59"/>
      <c r="DI1714" s="59"/>
      <c r="DJ1714" s="59"/>
      <c r="DK1714" s="59"/>
      <c r="DL1714" s="59"/>
      <c r="DM1714" s="59"/>
      <c r="DN1714" s="59"/>
      <c r="DO1714" s="59"/>
      <c r="DP1714" s="59"/>
      <c r="DQ1714" s="59"/>
      <c r="DR1714" s="59"/>
      <c r="DS1714" s="59"/>
      <c r="DT1714" s="59"/>
      <c r="DU1714" s="59"/>
      <c r="DV1714" s="59"/>
      <c r="DW1714" s="59"/>
      <c r="DX1714" s="59"/>
      <c r="DY1714" s="59"/>
      <c r="DZ1714" s="59"/>
      <c r="EA1714" s="59"/>
      <c r="EB1714" s="59"/>
      <c r="EC1714" s="59"/>
      <c r="ED1714" s="59"/>
      <c r="EE1714" s="59"/>
      <c r="EF1714" s="59"/>
      <c r="EG1714" s="59"/>
      <c r="EH1714" s="59"/>
      <c r="EI1714" s="59"/>
      <c r="EJ1714" s="59"/>
      <c r="EK1714" s="59"/>
      <c r="EL1714" s="59"/>
      <c r="EM1714" s="59"/>
      <c r="EN1714" s="59"/>
      <c r="EO1714" s="59"/>
      <c r="EP1714" s="59"/>
      <c r="EQ1714" s="59"/>
      <c r="ER1714" s="59"/>
      <c r="ES1714" s="59"/>
      <c r="ET1714" s="59"/>
      <c r="EU1714" s="59"/>
      <c r="EV1714" s="59"/>
      <c r="EW1714" s="59"/>
      <c r="EX1714" s="59"/>
      <c r="EY1714" s="59"/>
      <c r="EZ1714" s="59"/>
      <c r="FA1714" s="59"/>
      <c r="FB1714" s="59"/>
      <c r="FC1714" s="59"/>
      <c r="FD1714" s="59"/>
      <c r="FE1714" s="59"/>
      <c r="FF1714" s="59"/>
      <c r="FG1714" s="59"/>
      <c r="FH1714" s="59"/>
      <c r="FI1714" s="59"/>
      <c r="FJ1714" s="59"/>
      <c r="FK1714" s="59"/>
      <c r="FL1714" s="59"/>
      <c r="FM1714" s="59"/>
      <c r="FN1714" s="59"/>
      <c r="FO1714" s="59"/>
      <c r="FP1714" s="59"/>
      <c r="FQ1714" s="59"/>
      <c r="FR1714" s="59"/>
      <c r="FS1714" s="59"/>
      <c r="FT1714" s="59"/>
      <c r="FU1714" s="59"/>
      <c r="FV1714" s="59"/>
      <c r="FW1714" s="59"/>
      <c r="FX1714" s="59"/>
      <c r="FY1714" s="59"/>
      <c r="FZ1714" s="59"/>
      <c r="GA1714" s="59"/>
      <c r="GB1714" s="59"/>
      <c r="GC1714" s="59"/>
    </row>
    <row r="1715">
      <c r="A1715" s="59"/>
      <c r="B1715" s="59"/>
      <c r="C1715" s="59"/>
      <c r="D1715" s="59"/>
      <c r="E1715" s="59"/>
      <c r="F1715" s="59"/>
      <c r="G1715" s="59"/>
      <c r="H1715" s="59"/>
      <c r="I1715" s="59"/>
      <c r="J1715" s="59"/>
      <c r="K1715" s="59"/>
      <c r="L1715" s="59"/>
      <c r="M1715" s="59"/>
      <c r="N1715" s="59"/>
      <c r="O1715" s="59"/>
      <c r="P1715" s="59"/>
      <c r="Q1715" s="59"/>
      <c r="R1715" s="59"/>
      <c r="S1715" s="59"/>
      <c r="T1715" s="59"/>
      <c r="U1715" s="59"/>
      <c r="V1715" s="59"/>
      <c r="W1715" s="59"/>
      <c r="X1715" s="59"/>
      <c r="Y1715" s="59"/>
      <c r="Z1715" s="59"/>
      <c r="AA1715" s="59"/>
      <c r="AB1715" s="59"/>
      <c r="AC1715" s="59"/>
      <c r="AD1715" s="59"/>
      <c r="AE1715" s="59"/>
      <c r="AF1715" s="59"/>
      <c r="AG1715" s="59"/>
      <c r="AH1715" s="59"/>
      <c r="AI1715" s="59"/>
      <c r="AJ1715" s="59"/>
      <c r="AK1715" s="59"/>
      <c r="AL1715" s="59"/>
      <c r="AM1715" s="59"/>
      <c r="AN1715" s="59"/>
      <c r="AO1715" s="59"/>
      <c r="AP1715" s="59"/>
      <c r="AQ1715" s="59"/>
      <c r="AR1715" s="59"/>
      <c r="AS1715" s="59"/>
      <c r="AT1715" s="59"/>
      <c r="AU1715" s="59"/>
      <c r="AV1715" s="59"/>
      <c r="AW1715" s="59"/>
      <c r="AX1715" s="59"/>
      <c r="AY1715" s="59"/>
      <c r="AZ1715" s="59"/>
      <c r="BA1715" s="59"/>
      <c r="BB1715" s="59"/>
      <c r="BC1715" s="59"/>
      <c r="BD1715" s="59"/>
      <c r="BE1715" s="59"/>
      <c r="BF1715" s="59"/>
      <c r="BG1715" s="59"/>
      <c r="BH1715" s="59"/>
      <c r="BI1715" s="59"/>
      <c r="BJ1715" s="59"/>
      <c r="BK1715" s="59"/>
      <c r="BL1715" s="59"/>
      <c r="BM1715" s="59"/>
      <c r="BN1715" s="59"/>
      <c r="BO1715" s="59"/>
      <c r="BP1715" s="59"/>
      <c r="BQ1715" s="59"/>
      <c r="BR1715" s="59"/>
      <c r="BS1715" s="59"/>
      <c r="BT1715" s="59"/>
      <c r="BU1715" s="59"/>
      <c r="BV1715" s="59"/>
      <c r="BW1715" s="59"/>
      <c r="BX1715" s="59"/>
      <c r="BY1715" s="59"/>
      <c r="BZ1715" s="59"/>
      <c r="CA1715" s="59"/>
      <c r="CB1715" s="59"/>
      <c r="CC1715" s="59"/>
      <c r="CD1715" s="59"/>
      <c r="CE1715" s="59"/>
      <c r="CF1715" s="59"/>
      <c r="CG1715" s="59"/>
      <c r="CH1715" s="59"/>
      <c r="CI1715" s="59"/>
      <c r="CJ1715" s="59"/>
      <c r="CK1715" s="59"/>
      <c r="CL1715" s="59"/>
      <c r="CM1715" s="59"/>
      <c r="CN1715" s="59"/>
      <c r="CO1715" s="59"/>
      <c r="CP1715" s="59"/>
      <c r="CQ1715" s="59"/>
      <c r="CR1715" s="59"/>
      <c r="CS1715" s="59"/>
      <c r="CT1715" s="59"/>
      <c r="CU1715" s="59"/>
      <c r="CV1715" s="59"/>
      <c r="CW1715" s="59"/>
      <c r="CX1715" s="59"/>
      <c r="CY1715" s="59"/>
      <c r="CZ1715" s="59"/>
      <c r="DA1715" s="59"/>
      <c r="DB1715" s="59"/>
      <c r="DC1715" s="59"/>
      <c r="DD1715" s="59"/>
      <c r="DE1715" s="59"/>
      <c r="DF1715" s="59"/>
      <c r="DG1715" s="59"/>
      <c r="DH1715" s="59"/>
      <c r="DI1715" s="59"/>
      <c r="DJ1715" s="59"/>
      <c r="DK1715" s="59"/>
      <c r="DL1715" s="59"/>
      <c r="DM1715" s="59"/>
      <c r="DN1715" s="59"/>
      <c r="DO1715" s="59"/>
      <c r="DP1715" s="59"/>
      <c r="DQ1715" s="59"/>
      <c r="DR1715" s="59"/>
      <c r="DS1715" s="59"/>
      <c r="DT1715" s="59"/>
      <c r="DU1715" s="59"/>
      <c r="DV1715" s="59"/>
      <c r="DW1715" s="59"/>
      <c r="DX1715" s="59"/>
      <c r="DY1715" s="59"/>
      <c r="DZ1715" s="59"/>
      <c r="EA1715" s="59"/>
      <c r="EB1715" s="59"/>
      <c r="EC1715" s="59"/>
      <c r="ED1715" s="59"/>
      <c r="EE1715" s="59"/>
      <c r="EF1715" s="59"/>
      <c r="EG1715" s="59"/>
      <c r="EH1715" s="59"/>
      <c r="EI1715" s="59"/>
      <c r="EJ1715" s="59"/>
      <c r="EK1715" s="59"/>
      <c r="EL1715" s="59"/>
      <c r="EM1715" s="59"/>
      <c r="EN1715" s="59"/>
      <c r="EO1715" s="59"/>
      <c r="EP1715" s="59"/>
      <c r="EQ1715" s="59"/>
      <c r="ER1715" s="59"/>
      <c r="ES1715" s="59"/>
      <c r="ET1715" s="59"/>
      <c r="EU1715" s="59"/>
      <c r="EV1715" s="59"/>
      <c r="EW1715" s="59"/>
      <c r="EX1715" s="59"/>
      <c r="EY1715" s="59"/>
      <c r="EZ1715" s="59"/>
      <c r="FA1715" s="59"/>
      <c r="FB1715" s="59"/>
      <c r="FC1715" s="59"/>
      <c r="FD1715" s="59"/>
      <c r="FE1715" s="59"/>
      <c r="FF1715" s="59"/>
      <c r="FG1715" s="59"/>
      <c r="FH1715" s="59"/>
      <c r="FI1715" s="59"/>
      <c r="FJ1715" s="59"/>
      <c r="FK1715" s="59"/>
      <c r="FL1715" s="59"/>
      <c r="FM1715" s="59"/>
      <c r="FN1715" s="59"/>
      <c r="FO1715" s="59"/>
      <c r="FP1715" s="59"/>
      <c r="FQ1715" s="59"/>
      <c r="FR1715" s="59"/>
      <c r="FS1715" s="59"/>
      <c r="FT1715" s="59"/>
      <c r="FU1715" s="59"/>
      <c r="FV1715" s="59"/>
      <c r="FW1715" s="59"/>
      <c r="FX1715" s="59"/>
      <c r="FY1715" s="59"/>
      <c r="FZ1715" s="59"/>
      <c r="GA1715" s="59"/>
      <c r="GB1715" s="59"/>
      <c r="GC1715" s="59"/>
    </row>
    <row r="1716">
      <c r="A1716" s="59"/>
      <c r="B1716" s="59"/>
      <c r="C1716" s="59"/>
      <c r="D1716" s="59"/>
      <c r="E1716" s="59"/>
      <c r="F1716" s="59"/>
      <c r="G1716" s="59"/>
      <c r="H1716" s="59"/>
      <c r="I1716" s="59"/>
      <c r="J1716" s="59"/>
      <c r="K1716" s="59"/>
      <c r="L1716" s="59"/>
      <c r="M1716" s="59"/>
      <c r="N1716" s="59"/>
      <c r="O1716" s="59"/>
      <c r="P1716" s="59"/>
      <c r="Q1716" s="59"/>
      <c r="R1716" s="59"/>
      <c r="S1716" s="59"/>
      <c r="T1716" s="59"/>
      <c r="U1716" s="59"/>
      <c r="V1716" s="59"/>
      <c r="W1716" s="59"/>
      <c r="X1716" s="59"/>
      <c r="Y1716" s="59"/>
      <c r="Z1716" s="59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59"/>
      <c r="AU1716" s="59"/>
      <c r="AV1716" s="59"/>
      <c r="AW1716" s="59"/>
      <c r="AX1716" s="59"/>
      <c r="AY1716" s="59"/>
      <c r="AZ1716" s="59"/>
      <c r="BA1716" s="59"/>
      <c r="BB1716" s="59"/>
      <c r="BC1716" s="59"/>
      <c r="BD1716" s="59"/>
      <c r="BE1716" s="59"/>
      <c r="BF1716" s="59"/>
      <c r="BG1716" s="59"/>
      <c r="BH1716" s="59"/>
      <c r="BI1716" s="59"/>
      <c r="BJ1716" s="59"/>
      <c r="BK1716" s="59"/>
      <c r="BL1716" s="59"/>
      <c r="BM1716" s="59"/>
      <c r="BN1716" s="59"/>
      <c r="BO1716" s="59"/>
      <c r="BP1716" s="59"/>
      <c r="BQ1716" s="59"/>
      <c r="BR1716" s="59"/>
      <c r="BS1716" s="59"/>
      <c r="BT1716" s="59"/>
      <c r="BU1716" s="59"/>
      <c r="BV1716" s="59"/>
      <c r="BW1716" s="59"/>
      <c r="BX1716" s="59"/>
      <c r="BY1716" s="59"/>
      <c r="BZ1716" s="59"/>
      <c r="CA1716" s="59"/>
      <c r="CB1716" s="59"/>
      <c r="CC1716" s="59"/>
      <c r="CD1716" s="59"/>
      <c r="CE1716" s="59"/>
      <c r="CF1716" s="59"/>
      <c r="CG1716" s="59"/>
      <c r="CH1716" s="59"/>
      <c r="CI1716" s="59"/>
      <c r="CJ1716" s="59"/>
      <c r="CK1716" s="59"/>
      <c r="CL1716" s="59"/>
      <c r="CM1716" s="59"/>
      <c r="CN1716" s="59"/>
      <c r="CO1716" s="59"/>
      <c r="CP1716" s="59"/>
      <c r="CQ1716" s="59"/>
      <c r="CR1716" s="59"/>
      <c r="CS1716" s="59"/>
      <c r="CT1716" s="59"/>
      <c r="CU1716" s="59"/>
      <c r="CV1716" s="59"/>
      <c r="CW1716" s="59"/>
      <c r="CX1716" s="59"/>
      <c r="CY1716" s="59"/>
      <c r="CZ1716" s="59"/>
      <c r="DA1716" s="59"/>
      <c r="DB1716" s="59"/>
      <c r="DC1716" s="59"/>
      <c r="DD1716" s="59"/>
      <c r="DE1716" s="59"/>
      <c r="DF1716" s="59"/>
      <c r="DG1716" s="59"/>
      <c r="DH1716" s="59"/>
      <c r="DI1716" s="59"/>
      <c r="DJ1716" s="59"/>
      <c r="DK1716" s="59"/>
      <c r="DL1716" s="59"/>
      <c r="DM1716" s="59"/>
      <c r="DN1716" s="59"/>
      <c r="DO1716" s="59"/>
      <c r="DP1716" s="59"/>
      <c r="DQ1716" s="59"/>
      <c r="DR1716" s="59"/>
      <c r="DS1716" s="59"/>
      <c r="DT1716" s="59"/>
      <c r="DU1716" s="59"/>
      <c r="DV1716" s="59"/>
      <c r="DW1716" s="59"/>
      <c r="DX1716" s="59"/>
      <c r="DY1716" s="59"/>
      <c r="DZ1716" s="59"/>
      <c r="EA1716" s="59"/>
      <c r="EB1716" s="59"/>
      <c r="EC1716" s="59"/>
      <c r="ED1716" s="59"/>
      <c r="EE1716" s="59"/>
      <c r="EF1716" s="59"/>
      <c r="EG1716" s="59"/>
      <c r="EH1716" s="59"/>
      <c r="EI1716" s="59"/>
      <c r="EJ1716" s="59"/>
      <c r="EK1716" s="59"/>
      <c r="EL1716" s="59"/>
      <c r="EM1716" s="59"/>
      <c r="EN1716" s="59"/>
      <c r="EO1716" s="59"/>
      <c r="EP1716" s="59"/>
      <c r="EQ1716" s="59"/>
      <c r="ER1716" s="59"/>
      <c r="ES1716" s="59"/>
      <c r="ET1716" s="59"/>
      <c r="EU1716" s="59"/>
      <c r="EV1716" s="59"/>
      <c r="EW1716" s="59"/>
      <c r="EX1716" s="59"/>
      <c r="EY1716" s="59"/>
      <c r="EZ1716" s="59"/>
      <c r="FA1716" s="59"/>
      <c r="FB1716" s="59"/>
      <c r="FC1716" s="59"/>
      <c r="FD1716" s="59"/>
      <c r="FE1716" s="59"/>
      <c r="FF1716" s="59"/>
      <c r="FG1716" s="59"/>
      <c r="FH1716" s="59"/>
      <c r="FI1716" s="59"/>
      <c r="FJ1716" s="59"/>
      <c r="FK1716" s="59"/>
      <c r="FL1716" s="59"/>
      <c r="FM1716" s="59"/>
      <c r="FN1716" s="59"/>
      <c r="FO1716" s="59"/>
      <c r="FP1716" s="59"/>
      <c r="FQ1716" s="59"/>
      <c r="FR1716" s="59"/>
      <c r="FS1716" s="59"/>
      <c r="FT1716" s="59"/>
      <c r="FU1716" s="59"/>
      <c r="FV1716" s="59"/>
      <c r="FW1716" s="59"/>
      <c r="FX1716" s="59"/>
      <c r="FY1716" s="59"/>
      <c r="FZ1716" s="59"/>
      <c r="GA1716" s="59"/>
      <c r="GB1716" s="59"/>
      <c r="GC1716" s="59"/>
    </row>
    <row r="1717">
      <c r="A1717" s="59"/>
      <c r="B1717" s="59"/>
      <c r="C1717" s="59"/>
      <c r="D1717" s="59"/>
      <c r="E1717" s="59"/>
      <c r="F1717" s="59"/>
      <c r="G1717" s="59"/>
      <c r="H1717" s="59"/>
      <c r="I1717" s="59"/>
      <c r="J1717" s="59"/>
      <c r="K1717" s="59"/>
      <c r="L1717" s="59"/>
      <c r="M1717" s="59"/>
      <c r="N1717" s="59"/>
      <c r="O1717" s="59"/>
      <c r="P1717" s="59"/>
      <c r="Q1717" s="59"/>
      <c r="R1717" s="59"/>
      <c r="S1717" s="59"/>
      <c r="T1717" s="59"/>
      <c r="U1717" s="59"/>
      <c r="V1717" s="59"/>
      <c r="W1717" s="59"/>
      <c r="X1717" s="59"/>
      <c r="Y1717" s="59"/>
      <c r="Z1717" s="59"/>
      <c r="AA1717" s="59"/>
      <c r="AB1717" s="59"/>
      <c r="AC1717" s="59"/>
      <c r="AD1717" s="59"/>
      <c r="AE1717" s="59"/>
      <c r="AF1717" s="59"/>
      <c r="AG1717" s="59"/>
      <c r="AH1717" s="59"/>
      <c r="AI1717" s="59"/>
      <c r="AJ1717" s="59"/>
      <c r="AK1717" s="59"/>
      <c r="AL1717" s="59"/>
      <c r="AM1717" s="59"/>
      <c r="AN1717" s="59"/>
      <c r="AO1717" s="59"/>
      <c r="AP1717" s="59"/>
      <c r="AQ1717" s="59"/>
      <c r="AR1717" s="59"/>
      <c r="AS1717" s="59"/>
      <c r="AT1717" s="59"/>
      <c r="AU1717" s="59"/>
      <c r="AV1717" s="59"/>
      <c r="AW1717" s="59"/>
      <c r="AX1717" s="59"/>
      <c r="AY1717" s="59"/>
      <c r="AZ1717" s="59"/>
      <c r="BA1717" s="59"/>
      <c r="BB1717" s="59"/>
      <c r="BC1717" s="59"/>
      <c r="BD1717" s="59"/>
      <c r="BE1717" s="59"/>
      <c r="BF1717" s="59"/>
      <c r="BG1717" s="59"/>
      <c r="BH1717" s="59"/>
      <c r="BI1717" s="59"/>
      <c r="BJ1717" s="59"/>
      <c r="BK1717" s="59"/>
      <c r="BL1717" s="59"/>
      <c r="BM1717" s="59"/>
      <c r="BN1717" s="59"/>
      <c r="BO1717" s="59"/>
      <c r="BP1717" s="59"/>
      <c r="BQ1717" s="59"/>
      <c r="BR1717" s="59"/>
      <c r="BS1717" s="59"/>
      <c r="BT1717" s="59"/>
      <c r="BU1717" s="59"/>
      <c r="BV1717" s="59"/>
      <c r="BW1717" s="59"/>
      <c r="BX1717" s="59"/>
      <c r="BY1717" s="59"/>
      <c r="BZ1717" s="59"/>
      <c r="CA1717" s="59"/>
      <c r="CB1717" s="59"/>
      <c r="CC1717" s="59"/>
      <c r="CD1717" s="59"/>
      <c r="CE1717" s="59"/>
      <c r="CF1717" s="59"/>
      <c r="CG1717" s="59"/>
      <c r="CH1717" s="59"/>
      <c r="CI1717" s="59"/>
      <c r="CJ1717" s="59"/>
      <c r="CK1717" s="59"/>
      <c r="CL1717" s="59"/>
      <c r="CM1717" s="59"/>
      <c r="CN1717" s="59"/>
      <c r="CO1717" s="59"/>
      <c r="CP1717" s="59"/>
      <c r="CQ1717" s="59"/>
      <c r="CR1717" s="59"/>
      <c r="CS1717" s="59"/>
      <c r="CT1717" s="59"/>
      <c r="CU1717" s="59"/>
      <c r="CV1717" s="59"/>
      <c r="CW1717" s="59"/>
      <c r="CX1717" s="59"/>
      <c r="CY1717" s="59"/>
      <c r="CZ1717" s="59"/>
      <c r="DA1717" s="59"/>
      <c r="DB1717" s="59"/>
      <c r="DC1717" s="59"/>
      <c r="DD1717" s="59"/>
      <c r="DE1717" s="59"/>
      <c r="DF1717" s="59"/>
      <c r="DG1717" s="59"/>
      <c r="DH1717" s="59"/>
      <c r="DI1717" s="59"/>
      <c r="DJ1717" s="59"/>
      <c r="DK1717" s="59"/>
      <c r="DL1717" s="59"/>
      <c r="DM1717" s="59"/>
      <c r="DN1717" s="59"/>
      <c r="DO1717" s="59"/>
      <c r="DP1717" s="59"/>
      <c r="DQ1717" s="59"/>
      <c r="DR1717" s="59"/>
      <c r="DS1717" s="59"/>
      <c r="DT1717" s="59"/>
      <c r="DU1717" s="59"/>
      <c r="DV1717" s="59"/>
      <c r="DW1717" s="59"/>
      <c r="DX1717" s="59"/>
      <c r="DY1717" s="59"/>
      <c r="DZ1717" s="59"/>
      <c r="EA1717" s="59"/>
      <c r="EB1717" s="59"/>
      <c r="EC1717" s="59"/>
      <c r="ED1717" s="59"/>
      <c r="EE1717" s="59"/>
      <c r="EF1717" s="59"/>
      <c r="EG1717" s="59"/>
      <c r="EH1717" s="59"/>
      <c r="EI1717" s="59"/>
      <c r="EJ1717" s="59"/>
      <c r="EK1717" s="59"/>
      <c r="EL1717" s="59"/>
      <c r="EM1717" s="59"/>
      <c r="EN1717" s="59"/>
      <c r="EO1717" s="59"/>
      <c r="EP1717" s="59"/>
      <c r="EQ1717" s="59"/>
      <c r="ER1717" s="59"/>
      <c r="ES1717" s="59"/>
      <c r="ET1717" s="59"/>
      <c r="EU1717" s="59"/>
      <c r="EV1717" s="59"/>
      <c r="EW1717" s="59"/>
      <c r="EX1717" s="59"/>
      <c r="EY1717" s="59"/>
      <c r="EZ1717" s="59"/>
      <c r="FA1717" s="59"/>
      <c r="FB1717" s="59"/>
      <c r="FC1717" s="59"/>
      <c r="FD1717" s="59"/>
      <c r="FE1717" s="59"/>
      <c r="FF1717" s="59"/>
      <c r="FG1717" s="59"/>
      <c r="FH1717" s="59"/>
      <c r="FI1717" s="59"/>
      <c r="FJ1717" s="59"/>
      <c r="FK1717" s="59"/>
      <c r="FL1717" s="59"/>
      <c r="FM1717" s="59"/>
      <c r="FN1717" s="59"/>
      <c r="FO1717" s="59"/>
      <c r="FP1717" s="59"/>
      <c r="FQ1717" s="59"/>
      <c r="FR1717" s="59"/>
      <c r="FS1717" s="59"/>
      <c r="FT1717" s="59"/>
      <c r="FU1717" s="59"/>
      <c r="FV1717" s="59"/>
      <c r="FW1717" s="59"/>
      <c r="FX1717" s="59"/>
      <c r="FY1717" s="59"/>
      <c r="FZ1717" s="59"/>
      <c r="GA1717" s="59"/>
      <c r="GB1717" s="59"/>
      <c r="GC1717" s="59"/>
    </row>
    <row r="1718">
      <c r="A1718" s="59"/>
      <c r="B1718" s="59"/>
      <c r="C1718" s="59"/>
      <c r="D1718" s="59"/>
      <c r="E1718" s="59"/>
      <c r="F1718" s="59"/>
      <c r="G1718" s="59"/>
      <c r="H1718" s="59"/>
      <c r="I1718" s="59"/>
      <c r="J1718" s="59"/>
      <c r="K1718" s="59"/>
      <c r="L1718" s="59"/>
      <c r="M1718" s="59"/>
      <c r="N1718" s="59"/>
      <c r="O1718" s="59"/>
      <c r="P1718" s="59"/>
      <c r="Q1718" s="59"/>
      <c r="R1718" s="59"/>
      <c r="S1718" s="59"/>
      <c r="T1718" s="59"/>
      <c r="U1718" s="59"/>
      <c r="V1718" s="59"/>
      <c r="W1718" s="59"/>
      <c r="X1718" s="59"/>
      <c r="Y1718" s="59"/>
      <c r="Z1718" s="59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59"/>
      <c r="AU1718" s="59"/>
      <c r="AV1718" s="59"/>
      <c r="AW1718" s="59"/>
      <c r="AX1718" s="59"/>
      <c r="AY1718" s="59"/>
      <c r="AZ1718" s="59"/>
      <c r="BA1718" s="59"/>
      <c r="BB1718" s="59"/>
      <c r="BC1718" s="59"/>
      <c r="BD1718" s="59"/>
      <c r="BE1718" s="59"/>
      <c r="BF1718" s="59"/>
      <c r="BG1718" s="59"/>
      <c r="BH1718" s="59"/>
      <c r="BI1718" s="59"/>
      <c r="BJ1718" s="59"/>
      <c r="BK1718" s="59"/>
      <c r="BL1718" s="59"/>
      <c r="BM1718" s="59"/>
      <c r="BN1718" s="59"/>
      <c r="BO1718" s="59"/>
      <c r="BP1718" s="59"/>
      <c r="BQ1718" s="59"/>
      <c r="BR1718" s="59"/>
      <c r="BS1718" s="59"/>
      <c r="BT1718" s="59"/>
      <c r="BU1718" s="59"/>
      <c r="BV1718" s="59"/>
      <c r="BW1718" s="59"/>
      <c r="BX1718" s="59"/>
      <c r="BY1718" s="59"/>
      <c r="BZ1718" s="59"/>
      <c r="CA1718" s="59"/>
      <c r="CB1718" s="59"/>
      <c r="CC1718" s="59"/>
      <c r="CD1718" s="59"/>
      <c r="CE1718" s="59"/>
      <c r="CF1718" s="59"/>
      <c r="CG1718" s="59"/>
      <c r="CH1718" s="59"/>
      <c r="CI1718" s="59"/>
      <c r="CJ1718" s="59"/>
      <c r="CK1718" s="59"/>
      <c r="CL1718" s="59"/>
      <c r="CM1718" s="59"/>
      <c r="CN1718" s="59"/>
      <c r="CO1718" s="59"/>
      <c r="CP1718" s="59"/>
      <c r="CQ1718" s="59"/>
      <c r="CR1718" s="59"/>
      <c r="CS1718" s="59"/>
      <c r="CT1718" s="59"/>
      <c r="CU1718" s="59"/>
      <c r="CV1718" s="59"/>
      <c r="CW1718" s="59"/>
      <c r="CX1718" s="59"/>
      <c r="CY1718" s="59"/>
      <c r="CZ1718" s="59"/>
      <c r="DA1718" s="59"/>
      <c r="DB1718" s="59"/>
      <c r="DC1718" s="59"/>
      <c r="DD1718" s="59"/>
      <c r="DE1718" s="59"/>
      <c r="DF1718" s="59"/>
      <c r="DG1718" s="59"/>
      <c r="DH1718" s="59"/>
      <c r="DI1718" s="59"/>
      <c r="DJ1718" s="59"/>
      <c r="DK1718" s="59"/>
      <c r="DL1718" s="59"/>
      <c r="DM1718" s="59"/>
      <c r="DN1718" s="59"/>
      <c r="DO1718" s="59"/>
      <c r="DP1718" s="59"/>
      <c r="DQ1718" s="59"/>
      <c r="DR1718" s="59"/>
      <c r="DS1718" s="59"/>
      <c r="DT1718" s="59"/>
      <c r="DU1718" s="59"/>
      <c r="DV1718" s="59"/>
      <c r="DW1718" s="59"/>
      <c r="DX1718" s="59"/>
      <c r="DY1718" s="59"/>
      <c r="DZ1718" s="59"/>
      <c r="EA1718" s="59"/>
      <c r="EB1718" s="59"/>
      <c r="EC1718" s="59"/>
      <c r="ED1718" s="59"/>
      <c r="EE1718" s="59"/>
      <c r="EF1718" s="59"/>
      <c r="EG1718" s="59"/>
      <c r="EH1718" s="59"/>
      <c r="EI1718" s="59"/>
      <c r="EJ1718" s="59"/>
      <c r="EK1718" s="59"/>
      <c r="EL1718" s="59"/>
      <c r="EM1718" s="59"/>
      <c r="EN1718" s="59"/>
      <c r="EO1718" s="59"/>
      <c r="EP1718" s="59"/>
      <c r="EQ1718" s="59"/>
      <c r="ER1718" s="59"/>
      <c r="ES1718" s="59"/>
      <c r="ET1718" s="59"/>
      <c r="EU1718" s="59"/>
      <c r="EV1718" s="59"/>
      <c r="EW1718" s="59"/>
      <c r="EX1718" s="59"/>
      <c r="EY1718" s="59"/>
      <c r="EZ1718" s="59"/>
      <c r="FA1718" s="59"/>
      <c r="FB1718" s="59"/>
      <c r="FC1718" s="59"/>
      <c r="FD1718" s="59"/>
      <c r="FE1718" s="59"/>
      <c r="FF1718" s="59"/>
      <c r="FG1718" s="59"/>
      <c r="FH1718" s="59"/>
      <c r="FI1718" s="59"/>
      <c r="FJ1718" s="59"/>
      <c r="FK1718" s="59"/>
      <c r="FL1718" s="59"/>
      <c r="FM1718" s="59"/>
      <c r="FN1718" s="59"/>
      <c r="FO1718" s="59"/>
      <c r="FP1718" s="59"/>
      <c r="FQ1718" s="59"/>
      <c r="FR1718" s="59"/>
      <c r="FS1718" s="59"/>
      <c r="FT1718" s="59"/>
      <c r="FU1718" s="59"/>
      <c r="FV1718" s="59"/>
      <c r="FW1718" s="59"/>
      <c r="FX1718" s="59"/>
      <c r="FY1718" s="59"/>
      <c r="FZ1718" s="59"/>
      <c r="GA1718" s="59"/>
      <c r="GB1718" s="59"/>
      <c r="GC1718" s="59"/>
    </row>
    <row r="1719">
      <c r="A1719" s="59"/>
      <c r="B1719" s="59"/>
      <c r="C1719" s="59"/>
      <c r="D1719" s="59"/>
      <c r="E1719" s="59"/>
      <c r="F1719" s="59"/>
      <c r="G1719" s="59"/>
      <c r="H1719" s="59"/>
      <c r="I1719" s="59"/>
      <c r="J1719" s="59"/>
      <c r="K1719" s="59"/>
      <c r="L1719" s="59"/>
      <c r="M1719" s="59"/>
      <c r="N1719" s="59"/>
      <c r="O1719" s="59"/>
      <c r="P1719" s="59"/>
      <c r="Q1719" s="59"/>
      <c r="R1719" s="59"/>
      <c r="S1719" s="59"/>
      <c r="T1719" s="59"/>
      <c r="U1719" s="59"/>
      <c r="V1719" s="59"/>
      <c r="W1719" s="59"/>
      <c r="X1719" s="59"/>
      <c r="Y1719" s="59"/>
      <c r="Z1719" s="59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59"/>
      <c r="AO1719" s="59"/>
      <c r="AP1719" s="59"/>
      <c r="AQ1719" s="59"/>
      <c r="AR1719" s="59"/>
      <c r="AS1719" s="59"/>
      <c r="AT1719" s="59"/>
      <c r="AU1719" s="59"/>
      <c r="AV1719" s="59"/>
      <c r="AW1719" s="59"/>
      <c r="AX1719" s="59"/>
      <c r="AY1719" s="59"/>
      <c r="AZ1719" s="59"/>
      <c r="BA1719" s="59"/>
      <c r="BB1719" s="59"/>
      <c r="BC1719" s="59"/>
      <c r="BD1719" s="59"/>
      <c r="BE1719" s="59"/>
      <c r="BF1719" s="59"/>
      <c r="BG1719" s="59"/>
      <c r="BH1719" s="59"/>
      <c r="BI1719" s="59"/>
      <c r="BJ1719" s="59"/>
      <c r="BK1719" s="59"/>
      <c r="BL1719" s="59"/>
      <c r="BM1719" s="59"/>
      <c r="BN1719" s="59"/>
      <c r="BO1719" s="59"/>
      <c r="BP1719" s="59"/>
      <c r="BQ1719" s="59"/>
      <c r="BR1719" s="59"/>
      <c r="BS1719" s="59"/>
      <c r="BT1719" s="59"/>
      <c r="BU1719" s="59"/>
      <c r="BV1719" s="59"/>
      <c r="BW1719" s="59"/>
      <c r="BX1719" s="59"/>
      <c r="BY1719" s="59"/>
      <c r="BZ1719" s="59"/>
      <c r="CA1719" s="59"/>
      <c r="CB1719" s="59"/>
      <c r="CC1719" s="59"/>
      <c r="CD1719" s="59"/>
      <c r="CE1719" s="59"/>
      <c r="CF1719" s="59"/>
      <c r="CG1719" s="59"/>
      <c r="CH1719" s="59"/>
      <c r="CI1719" s="59"/>
      <c r="CJ1719" s="59"/>
      <c r="CK1719" s="59"/>
      <c r="CL1719" s="59"/>
      <c r="CM1719" s="59"/>
      <c r="CN1719" s="59"/>
      <c r="CO1719" s="59"/>
      <c r="CP1719" s="59"/>
      <c r="CQ1719" s="59"/>
      <c r="CR1719" s="59"/>
      <c r="CS1719" s="59"/>
      <c r="CT1719" s="59"/>
      <c r="CU1719" s="59"/>
      <c r="CV1719" s="59"/>
      <c r="CW1719" s="59"/>
      <c r="CX1719" s="59"/>
      <c r="CY1719" s="59"/>
      <c r="CZ1719" s="59"/>
      <c r="DA1719" s="59"/>
      <c r="DB1719" s="59"/>
      <c r="DC1719" s="59"/>
      <c r="DD1719" s="59"/>
      <c r="DE1719" s="59"/>
      <c r="DF1719" s="59"/>
      <c r="DG1719" s="59"/>
      <c r="DH1719" s="59"/>
      <c r="DI1719" s="59"/>
      <c r="DJ1719" s="59"/>
      <c r="DK1719" s="59"/>
      <c r="DL1719" s="59"/>
      <c r="DM1719" s="59"/>
      <c r="DN1719" s="59"/>
      <c r="DO1719" s="59"/>
      <c r="DP1719" s="59"/>
      <c r="DQ1719" s="59"/>
      <c r="DR1719" s="59"/>
      <c r="DS1719" s="59"/>
      <c r="DT1719" s="59"/>
      <c r="DU1719" s="59"/>
      <c r="DV1719" s="59"/>
      <c r="DW1719" s="59"/>
      <c r="DX1719" s="59"/>
      <c r="DY1719" s="59"/>
      <c r="DZ1719" s="59"/>
      <c r="EA1719" s="59"/>
      <c r="EB1719" s="59"/>
      <c r="EC1719" s="59"/>
      <c r="ED1719" s="59"/>
      <c r="EE1719" s="59"/>
      <c r="EF1719" s="59"/>
      <c r="EG1719" s="59"/>
      <c r="EH1719" s="59"/>
      <c r="EI1719" s="59"/>
      <c r="EJ1719" s="59"/>
      <c r="EK1719" s="59"/>
      <c r="EL1719" s="59"/>
      <c r="EM1719" s="59"/>
      <c r="EN1719" s="59"/>
      <c r="EO1719" s="59"/>
      <c r="EP1719" s="59"/>
      <c r="EQ1719" s="59"/>
      <c r="ER1719" s="59"/>
      <c r="ES1719" s="59"/>
      <c r="ET1719" s="59"/>
      <c r="EU1719" s="59"/>
      <c r="EV1719" s="59"/>
      <c r="EW1719" s="59"/>
      <c r="EX1719" s="59"/>
      <c r="EY1719" s="59"/>
      <c r="EZ1719" s="59"/>
      <c r="FA1719" s="59"/>
      <c r="FB1719" s="59"/>
      <c r="FC1719" s="59"/>
      <c r="FD1719" s="59"/>
      <c r="FE1719" s="59"/>
      <c r="FF1719" s="59"/>
      <c r="FG1719" s="59"/>
      <c r="FH1719" s="59"/>
      <c r="FI1719" s="59"/>
      <c r="FJ1719" s="59"/>
      <c r="FK1719" s="59"/>
      <c r="FL1719" s="59"/>
      <c r="FM1719" s="59"/>
      <c r="FN1719" s="59"/>
      <c r="FO1719" s="59"/>
      <c r="FP1719" s="59"/>
      <c r="FQ1719" s="59"/>
      <c r="FR1719" s="59"/>
      <c r="FS1719" s="59"/>
      <c r="FT1719" s="59"/>
      <c r="FU1719" s="59"/>
      <c r="FV1719" s="59"/>
      <c r="FW1719" s="59"/>
      <c r="FX1719" s="59"/>
      <c r="FY1719" s="59"/>
      <c r="FZ1719" s="59"/>
      <c r="GA1719" s="59"/>
      <c r="GB1719" s="59"/>
      <c r="GC1719" s="59"/>
    </row>
    <row r="1720">
      <c r="A1720" s="59"/>
      <c r="B1720" s="59"/>
      <c r="C1720" s="59"/>
      <c r="D1720" s="59"/>
      <c r="E1720" s="59"/>
      <c r="F1720" s="59"/>
      <c r="G1720" s="59"/>
      <c r="H1720" s="59"/>
      <c r="I1720" s="59"/>
      <c r="J1720" s="59"/>
      <c r="K1720" s="59"/>
      <c r="L1720" s="59"/>
      <c r="M1720" s="59"/>
      <c r="N1720" s="59"/>
      <c r="O1720" s="59"/>
      <c r="P1720" s="59"/>
      <c r="Q1720" s="59"/>
      <c r="R1720" s="59"/>
      <c r="S1720" s="59"/>
      <c r="T1720" s="59"/>
      <c r="U1720" s="59"/>
      <c r="V1720" s="59"/>
      <c r="W1720" s="59"/>
      <c r="X1720" s="59"/>
      <c r="Y1720" s="59"/>
      <c r="Z1720" s="59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59"/>
      <c r="AU1720" s="59"/>
      <c r="AV1720" s="59"/>
      <c r="AW1720" s="59"/>
      <c r="AX1720" s="59"/>
      <c r="AY1720" s="59"/>
      <c r="AZ1720" s="59"/>
      <c r="BA1720" s="59"/>
      <c r="BB1720" s="59"/>
      <c r="BC1720" s="59"/>
      <c r="BD1720" s="59"/>
      <c r="BE1720" s="59"/>
      <c r="BF1720" s="59"/>
      <c r="BG1720" s="59"/>
      <c r="BH1720" s="59"/>
      <c r="BI1720" s="59"/>
      <c r="BJ1720" s="59"/>
      <c r="BK1720" s="59"/>
      <c r="BL1720" s="59"/>
      <c r="BM1720" s="59"/>
      <c r="BN1720" s="59"/>
      <c r="BO1720" s="59"/>
      <c r="BP1720" s="59"/>
      <c r="BQ1720" s="59"/>
      <c r="BR1720" s="59"/>
      <c r="BS1720" s="59"/>
      <c r="BT1720" s="59"/>
      <c r="BU1720" s="59"/>
      <c r="BV1720" s="59"/>
      <c r="BW1720" s="59"/>
      <c r="BX1720" s="59"/>
      <c r="BY1720" s="59"/>
      <c r="BZ1720" s="59"/>
      <c r="CA1720" s="59"/>
      <c r="CB1720" s="59"/>
      <c r="CC1720" s="59"/>
      <c r="CD1720" s="59"/>
      <c r="CE1720" s="59"/>
      <c r="CF1720" s="59"/>
      <c r="CG1720" s="59"/>
      <c r="CH1720" s="59"/>
      <c r="CI1720" s="59"/>
      <c r="CJ1720" s="59"/>
      <c r="CK1720" s="59"/>
      <c r="CL1720" s="59"/>
      <c r="CM1720" s="59"/>
      <c r="CN1720" s="59"/>
      <c r="CO1720" s="59"/>
      <c r="CP1720" s="59"/>
      <c r="CQ1720" s="59"/>
      <c r="CR1720" s="59"/>
      <c r="CS1720" s="59"/>
      <c r="CT1720" s="59"/>
      <c r="CU1720" s="59"/>
      <c r="CV1720" s="59"/>
      <c r="CW1720" s="59"/>
      <c r="CX1720" s="59"/>
      <c r="CY1720" s="59"/>
      <c r="CZ1720" s="59"/>
      <c r="DA1720" s="59"/>
      <c r="DB1720" s="59"/>
      <c r="DC1720" s="59"/>
      <c r="DD1720" s="59"/>
      <c r="DE1720" s="59"/>
      <c r="DF1720" s="59"/>
      <c r="DG1720" s="59"/>
      <c r="DH1720" s="59"/>
      <c r="DI1720" s="59"/>
      <c r="DJ1720" s="59"/>
      <c r="DK1720" s="59"/>
      <c r="DL1720" s="59"/>
      <c r="DM1720" s="59"/>
      <c r="DN1720" s="59"/>
      <c r="DO1720" s="59"/>
      <c r="DP1720" s="59"/>
      <c r="DQ1720" s="59"/>
      <c r="DR1720" s="59"/>
      <c r="DS1720" s="59"/>
      <c r="DT1720" s="59"/>
      <c r="DU1720" s="59"/>
      <c r="DV1720" s="59"/>
      <c r="DW1720" s="59"/>
      <c r="DX1720" s="59"/>
      <c r="DY1720" s="59"/>
      <c r="DZ1720" s="59"/>
      <c r="EA1720" s="59"/>
      <c r="EB1720" s="59"/>
      <c r="EC1720" s="59"/>
      <c r="ED1720" s="59"/>
      <c r="EE1720" s="59"/>
      <c r="EF1720" s="59"/>
      <c r="EG1720" s="59"/>
      <c r="EH1720" s="59"/>
      <c r="EI1720" s="59"/>
      <c r="EJ1720" s="59"/>
      <c r="EK1720" s="59"/>
      <c r="EL1720" s="59"/>
      <c r="EM1720" s="59"/>
      <c r="EN1720" s="59"/>
      <c r="EO1720" s="59"/>
      <c r="EP1720" s="59"/>
      <c r="EQ1720" s="59"/>
      <c r="ER1720" s="59"/>
      <c r="ES1720" s="59"/>
      <c r="ET1720" s="59"/>
      <c r="EU1720" s="59"/>
      <c r="EV1720" s="59"/>
      <c r="EW1720" s="59"/>
      <c r="EX1720" s="59"/>
      <c r="EY1720" s="59"/>
      <c r="EZ1720" s="59"/>
      <c r="FA1720" s="59"/>
      <c r="FB1720" s="59"/>
      <c r="FC1720" s="59"/>
      <c r="FD1720" s="59"/>
      <c r="FE1720" s="59"/>
      <c r="FF1720" s="59"/>
      <c r="FG1720" s="59"/>
      <c r="FH1720" s="59"/>
      <c r="FI1720" s="59"/>
      <c r="FJ1720" s="59"/>
      <c r="FK1720" s="59"/>
      <c r="FL1720" s="59"/>
      <c r="FM1720" s="59"/>
      <c r="FN1720" s="59"/>
      <c r="FO1720" s="59"/>
      <c r="FP1720" s="59"/>
      <c r="FQ1720" s="59"/>
      <c r="FR1720" s="59"/>
      <c r="FS1720" s="59"/>
      <c r="FT1720" s="59"/>
      <c r="FU1720" s="59"/>
      <c r="FV1720" s="59"/>
      <c r="FW1720" s="59"/>
      <c r="FX1720" s="59"/>
      <c r="FY1720" s="59"/>
      <c r="FZ1720" s="59"/>
      <c r="GA1720" s="59"/>
      <c r="GB1720" s="59"/>
      <c r="GC1720" s="59"/>
    </row>
    <row r="1721">
      <c r="A1721" s="59"/>
      <c r="B1721" s="59"/>
      <c r="C1721" s="59"/>
      <c r="D1721" s="59"/>
      <c r="E1721" s="59"/>
      <c r="F1721" s="59"/>
      <c r="G1721" s="59"/>
      <c r="H1721" s="59"/>
      <c r="I1721" s="59"/>
      <c r="J1721" s="59"/>
      <c r="K1721" s="59"/>
      <c r="L1721" s="59"/>
      <c r="M1721" s="59"/>
      <c r="N1721" s="59"/>
      <c r="O1721" s="59"/>
      <c r="P1721" s="59"/>
      <c r="Q1721" s="59"/>
      <c r="R1721" s="59"/>
      <c r="S1721" s="59"/>
      <c r="T1721" s="59"/>
      <c r="U1721" s="59"/>
      <c r="V1721" s="59"/>
      <c r="W1721" s="59"/>
      <c r="X1721" s="59"/>
      <c r="Y1721" s="59"/>
      <c r="Z1721" s="59"/>
      <c r="AA1721" s="59"/>
      <c r="AB1721" s="59"/>
      <c r="AC1721" s="59"/>
      <c r="AD1721" s="59"/>
      <c r="AE1721" s="59"/>
      <c r="AF1721" s="59"/>
      <c r="AG1721" s="59"/>
      <c r="AH1721" s="59"/>
      <c r="AI1721" s="59"/>
      <c r="AJ1721" s="59"/>
      <c r="AK1721" s="59"/>
      <c r="AL1721" s="59"/>
      <c r="AM1721" s="59"/>
      <c r="AN1721" s="59"/>
      <c r="AO1721" s="59"/>
      <c r="AP1721" s="59"/>
      <c r="AQ1721" s="59"/>
      <c r="AR1721" s="59"/>
      <c r="AS1721" s="59"/>
      <c r="AT1721" s="59"/>
      <c r="AU1721" s="59"/>
      <c r="AV1721" s="59"/>
      <c r="AW1721" s="59"/>
      <c r="AX1721" s="59"/>
      <c r="AY1721" s="59"/>
      <c r="AZ1721" s="59"/>
      <c r="BA1721" s="59"/>
      <c r="BB1721" s="59"/>
      <c r="BC1721" s="59"/>
      <c r="BD1721" s="59"/>
      <c r="BE1721" s="59"/>
      <c r="BF1721" s="59"/>
      <c r="BG1721" s="59"/>
      <c r="BH1721" s="59"/>
      <c r="BI1721" s="59"/>
      <c r="BJ1721" s="59"/>
      <c r="BK1721" s="59"/>
      <c r="BL1721" s="59"/>
      <c r="BM1721" s="59"/>
      <c r="BN1721" s="59"/>
      <c r="BO1721" s="59"/>
      <c r="BP1721" s="59"/>
      <c r="BQ1721" s="59"/>
      <c r="BR1721" s="59"/>
      <c r="BS1721" s="59"/>
      <c r="BT1721" s="59"/>
      <c r="BU1721" s="59"/>
      <c r="BV1721" s="59"/>
      <c r="BW1721" s="59"/>
      <c r="BX1721" s="59"/>
      <c r="BY1721" s="59"/>
      <c r="BZ1721" s="59"/>
      <c r="CA1721" s="59"/>
      <c r="CB1721" s="59"/>
      <c r="CC1721" s="59"/>
      <c r="CD1721" s="59"/>
      <c r="CE1721" s="59"/>
      <c r="CF1721" s="59"/>
      <c r="CG1721" s="59"/>
      <c r="CH1721" s="59"/>
      <c r="CI1721" s="59"/>
      <c r="CJ1721" s="59"/>
      <c r="CK1721" s="59"/>
      <c r="CL1721" s="59"/>
      <c r="CM1721" s="59"/>
      <c r="CN1721" s="59"/>
      <c r="CO1721" s="59"/>
      <c r="CP1721" s="59"/>
      <c r="CQ1721" s="59"/>
      <c r="CR1721" s="59"/>
      <c r="CS1721" s="59"/>
      <c r="CT1721" s="59"/>
      <c r="CU1721" s="59"/>
      <c r="CV1721" s="59"/>
      <c r="CW1721" s="59"/>
      <c r="CX1721" s="59"/>
      <c r="CY1721" s="59"/>
      <c r="CZ1721" s="59"/>
      <c r="DA1721" s="59"/>
      <c r="DB1721" s="59"/>
      <c r="DC1721" s="59"/>
      <c r="DD1721" s="59"/>
      <c r="DE1721" s="59"/>
      <c r="DF1721" s="59"/>
      <c r="DG1721" s="59"/>
      <c r="DH1721" s="59"/>
      <c r="DI1721" s="59"/>
      <c r="DJ1721" s="59"/>
      <c r="DK1721" s="59"/>
      <c r="DL1721" s="59"/>
      <c r="DM1721" s="59"/>
      <c r="DN1721" s="59"/>
      <c r="DO1721" s="59"/>
      <c r="DP1721" s="59"/>
      <c r="DQ1721" s="59"/>
      <c r="DR1721" s="59"/>
      <c r="DS1721" s="59"/>
      <c r="DT1721" s="59"/>
      <c r="DU1721" s="59"/>
      <c r="DV1721" s="59"/>
      <c r="DW1721" s="59"/>
      <c r="DX1721" s="59"/>
      <c r="DY1721" s="59"/>
      <c r="DZ1721" s="59"/>
      <c r="EA1721" s="59"/>
      <c r="EB1721" s="59"/>
      <c r="EC1721" s="59"/>
      <c r="ED1721" s="59"/>
      <c r="EE1721" s="59"/>
      <c r="EF1721" s="59"/>
      <c r="EG1721" s="59"/>
      <c r="EH1721" s="59"/>
      <c r="EI1721" s="59"/>
      <c r="EJ1721" s="59"/>
      <c r="EK1721" s="59"/>
      <c r="EL1721" s="59"/>
      <c r="EM1721" s="59"/>
      <c r="EN1721" s="59"/>
      <c r="EO1721" s="59"/>
      <c r="EP1721" s="59"/>
      <c r="EQ1721" s="59"/>
      <c r="ER1721" s="59"/>
      <c r="ES1721" s="59"/>
      <c r="ET1721" s="59"/>
      <c r="EU1721" s="59"/>
      <c r="EV1721" s="59"/>
      <c r="EW1721" s="59"/>
      <c r="EX1721" s="59"/>
      <c r="EY1721" s="59"/>
      <c r="EZ1721" s="59"/>
      <c r="FA1721" s="59"/>
      <c r="FB1721" s="59"/>
      <c r="FC1721" s="59"/>
      <c r="FD1721" s="59"/>
      <c r="FE1721" s="59"/>
      <c r="FF1721" s="59"/>
      <c r="FG1721" s="59"/>
      <c r="FH1721" s="59"/>
      <c r="FI1721" s="59"/>
      <c r="FJ1721" s="59"/>
      <c r="FK1721" s="59"/>
      <c r="FL1721" s="59"/>
      <c r="FM1721" s="59"/>
      <c r="FN1721" s="59"/>
      <c r="FO1721" s="59"/>
      <c r="FP1721" s="59"/>
      <c r="FQ1721" s="59"/>
      <c r="FR1721" s="59"/>
      <c r="FS1721" s="59"/>
      <c r="FT1721" s="59"/>
      <c r="FU1721" s="59"/>
      <c r="FV1721" s="59"/>
      <c r="FW1721" s="59"/>
      <c r="FX1721" s="59"/>
      <c r="FY1721" s="59"/>
      <c r="FZ1721" s="59"/>
      <c r="GA1721" s="59"/>
      <c r="GB1721" s="59"/>
      <c r="GC1721" s="59"/>
    </row>
    <row r="1722">
      <c r="A1722" s="59"/>
      <c r="B1722" s="59"/>
      <c r="C1722" s="59"/>
      <c r="D1722" s="59"/>
      <c r="E1722" s="59"/>
      <c r="F1722" s="59"/>
      <c r="G1722" s="59"/>
      <c r="H1722" s="59"/>
      <c r="I1722" s="59"/>
      <c r="J1722" s="59"/>
      <c r="K1722" s="59"/>
      <c r="L1722" s="59"/>
      <c r="M1722" s="59"/>
      <c r="N1722" s="59"/>
      <c r="O1722" s="59"/>
      <c r="P1722" s="59"/>
      <c r="Q1722" s="59"/>
      <c r="R1722" s="59"/>
      <c r="S1722" s="59"/>
      <c r="T1722" s="59"/>
      <c r="U1722" s="59"/>
      <c r="V1722" s="59"/>
      <c r="W1722" s="59"/>
      <c r="X1722" s="59"/>
      <c r="Y1722" s="59"/>
      <c r="Z1722" s="59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59"/>
      <c r="AU1722" s="59"/>
      <c r="AV1722" s="59"/>
      <c r="AW1722" s="59"/>
      <c r="AX1722" s="59"/>
      <c r="AY1722" s="59"/>
      <c r="AZ1722" s="59"/>
      <c r="BA1722" s="59"/>
      <c r="BB1722" s="59"/>
      <c r="BC1722" s="59"/>
      <c r="BD1722" s="59"/>
      <c r="BE1722" s="59"/>
      <c r="BF1722" s="59"/>
      <c r="BG1722" s="59"/>
      <c r="BH1722" s="59"/>
      <c r="BI1722" s="59"/>
      <c r="BJ1722" s="59"/>
      <c r="BK1722" s="59"/>
      <c r="BL1722" s="59"/>
      <c r="BM1722" s="59"/>
      <c r="BN1722" s="59"/>
      <c r="BO1722" s="59"/>
      <c r="BP1722" s="59"/>
      <c r="BQ1722" s="59"/>
      <c r="BR1722" s="59"/>
      <c r="BS1722" s="59"/>
      <c r="BT1722" s="59"/>
      <c r="BU1722" s="59"/>
      <c r="BV1722" s="59"/>
      <c r="BW1722" s="59"/>
      <c r="BX1722" s="59"/>
      <c r="BY1722" s="59"/>
      <c r="BZ1722" s="59"/>
      <c r="CA1722" s="59"/>
      <c r="CB1722" s="59"/>
      <c r="CC1722" s="59"/>
      <c r="CD1722" s="59"/>
      <c r="CE1722" s="59"/>
      <c r="CF1722" s="59"/>
      <c r="CG1722" s="59"/>
      <c r="CH1722" s="59"/>
      <c r="CI1722" s="59"/>
      <c r="CJ1722" s="59"/>
      <c r="CK1722" s="59"/>
      <c r="CL1722" s="59"/>
      <c r="CM1722" s="59"/>
      <c r="CN1722" s="59"/>
      <c r="CO1722" s="59"/>
      <c r="CP1722" s="59"/>
      <c r="CQ1722" s="59"/>
      <c r="CR1722" s="59"/>
      <c r="CS1722" s="59"/>
      <c r="CT1722" s="59"/>
      <c r="CU1722" s="59"/>
      <c r="CV1722" s="59"/>
      <c r="CW1722" s="59"/>
      <c r="CX1722" s="59"/>
      <c r="CY1722" s="59"/>
      <c r="CZ1722" s="59"/>
      <c r="DA1722" s="59"/>
      <c r="DB1722" s="59"/>
      <c r="DC1722" s="59"/>
      <c r="DD1722" s="59"/>
      <c r="DE1722" s="59"/>
      <c r="DF1722" s="59"/>
      <c r="DG1722" s="59"/>
      <c r="DH1722" s="59"/>
      <c r="DI1722" s="59"/>
      <c r="DJ1722" s="59"/>
      <c r="DK1722" s="59"/>
      <c r="DL1722" s="59"/>
      <c r="DM1722" s="59"/>
      <c r="DN1722" s="59"/>
      <c r="DO1722" s="59"/>
      <c r="DP1722" s="59"/>
      <c r="DQ1722" s="59"/>
      <c r="DR1722" s="59"/>
      <c r="DS1722" s="59"/>
      <c r="DT1722" s="59"/>
      <c r="DU1722" s="59"/>
      <c r="DV1722" s="59"/>
      <c r="DW1722" s="59"/>
      <c r="DX1722" s="59"/>
      <c r="DY1722" s="59"/>
      <c r="DZ1722" s="59"/>
      <c r="EA1722" s="59"/>
      <c r="EB1722" s="59"/>
      <c r="EC1722" s="59"/>
      <c r="ED1722" s="59"/>
      <c r="EE1722" s="59"/>
      <c r="EF1722" s="59"/>
      <c r="EG1722" s="59"/>
      <c r="EH1722" s="59"/>
      <c r="EI1722" s="59"/>
      <c r="EJ1722" s="59"/>
      <c r="EK1722" s="59"/>
      <c r="EL1722" s="59"/>
      <c r="EM1722" s="59"/>
      <c r="EN1722" s="59"/>
      <c r="EO1722" s="59"/>
      <c r="EP1722" s="59"/>
      <c r="EQ1722" s="59"/>
      <c r="ER1722" s="59"/>
      <c r="ES1722" s="59"/>
      <c r="ET1722" s="59"/>
      <c r="EU1722" s="59"/>
      <c r="EV1722" s="59"/>
      <c r="EW1722" s="59"/>
      <c r="EX1722" s="59"/>
      <c r="EY1722" s="59"/>
      <c r="EZ1722" s="59"/>
      <c r="FA1722" s="59"/>
      <c r="FB1722" s="59"/>
      <c r="FC1722" s="59"/>
      <c r="FD1722" s="59"/>
      <c r="FE1722" s="59"/>
      <c r="FF1722" s="59"/>
      <c r="FG1722" s="59"/>
      <c r="FH1722" s="59"/>
      <c r="FI1722" s="59"/>
      <c r="FJ1722" s="59"/>
      <c r="FK1722" s="59"/>
      <c r="FL1722" s="59"/>
      <c r="FM1722" s="59"/>
      <c r="FN1722" s="59"/>
      <c r="FO1722" s="59"/>
      <c r="FP1722" s="59"/>
      <c r="FQ1722" s="59"/>
      <c r="FR1722" s="59"/>
      <c r="FS1722" s="59"/>
      <c r="FT1722" s="59"/>
      <c r="FU1722" s="59"/>
      <c r="FV1722" s="59"/>
      <c r="FW1722" s="59"/>
      <c r="FX1722" s="59"/>
      <c r="FY1722" s="59"/>
      <c r="FZ1722" s="59"/>
      <c r="GA1722" s="59"/>
      <c r="GB1722" s="59"/>
      <c r="GC1722" s="59"/>
    </row>
    <row r="1723">
      <c r="A1723" s="59"/>
      <c r="B1723" s="59"/>
      <c r="C1723" s="59"/>
      <c r="D1723" s="59"/>
      <c r="E1723" s="59"/>
      <c r="F1723" s="59"/>
      <c r="G1723" s="59"/>
      <c r="H1723" s="59"/>
      <c r="I1723" s="59"/>
      <c r="J1723" s="59"/>
      <c r="K1723" s="59"/>
      <c r="L1723" s="59"/>
      <c r="M1723" s="59"/>
      <c r="N1723" s="59"/>
      <c r="O1723" s="59"/>
      <c r="P1723" s="59"/>
      <c r="Q1723" s="59"/>
      <c r="R1723" s="59"/>
      <c r="S1723" s="59"/>
      <c r="T1723" s="59"/>
      <c r="U1723" s="59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59"/>
      <c r="AG1723" s="59"/>
      <c r="AH1723" s="59"/>
      <c r="AI1723" s="59"/>
      <c r="AJ1723" s="59"/>
      <c r="AK1723" s="59"/>
      <c r="AL1723" s="59"/>
      <c r="AM1723" s="59"/>
      <c r="AN1723" s="59"/>
      <c r="AO1723" s="59"/>
      <c r="AP1723" s="59"/>
      <c r="AQ1723" s="59"/>
      <c r="AR1723" s="59"/>
      <c r="AS1723" s="59"/>
      <c r="AT1723" s="59"/>
      <c r="AU1723" s="59"/>
      <c r="AV1723" s="59"/>
      <c r="AW1723" s="59"/>
      <c r="AX1723" s="59"/>
      <c r="AY1723" s="59"/>
      <c r="AZ1723" s="59"/>
      <c r="BA1723" s="59"/>
      <c r="BB1723" s="59"/>
      <c r="BC1723" s="59"/>
      <c r="BD1723" s="59"/>
      <c r="BE1723" s="59"/>
      <c r="BF1723" s="59"/>
      <c r="BG1723" s="59"/>
      <c r="BH1723" s="59"/>
      <c r="BI1723" s="59"/>
      <c r="BJ1723" s="59"/>
      <c r="BK1723" s="59"/>
      <c r="BL1723" s="59"/>
      <c r="BM1723" s="59"/>
      <c r="BN1723" s="59"/>
      <c r="BO1723" s="59"/>
      <c r="BP1723" s="59"/>
      <c r="BQ1723" s="59"/>
      <c r="BR1723" s="59"/>
      <c r="BS1723" s="59"/>
      <c r="BT1723" s="59"/>
      <c r="BU1723" s="59"/>
      <c r="BV1723" s="59"/>
      <c r="BW1723" s="59"/>
      <c r="BX1723" s="59"/>
      <c r="BY1723" s="59"/>
      <c r="BZ1723" s="59"/>
      <c r="CA1723" s="59"/>
      <c r="CB1723" s="59"/>
      <c r="CC1723" s="59"/>
      <c r="CD1723" s="59"/>
      <c r="CE1723" s="59"/>
      <c r="CF1723" s="59"/>
      <c r="CG1723" s="59"/>
      <c r="CH1723" s="59"/>
      <c r="CI1723" s="59"/>
      <c r="CJ1723" s="59"/>
      <c r="CK1723" s="59"/>
      <c r="CL1723" s="59"/>
      <c r="CM1723" s="59"/>
      <c r="CN1723" s="59"/>
      <c r="CO1723" s="59"/>
      <c r="CP1723" s="59"/>
      <c r="CQ1723" s="59"/>
      <c r="CR1723" s="59"/>
      <c r="CS1723" s="59"/>
      <c r="CT1723" s="59"/>
      <c r="CU1723" s="59"/>
      <c r="CV1723" s="59"/>
      <c r="CW1723" s="59"/>
      <c r="CX1723" s="59"/>
      <c r="CY1723" s="59"/>
      <c r="CZ1723" s="59"/>
      <c r="DA1723" s="59"/>
      <c r="DB1723" s="59"/>
      <c r="DC1723" s="59"/>
      <c r="DD1723" s="59"/>
      <c r="DE1723" s="59"/>
      <c r="DF1723" s="59"/>
      <c r="DG1723" s="59"/>
      <c r="DH1723" s="59"/>
      <c r="DI1723" s="59"/>
      <c r="DJ1723" s="59"/>
      <c r="DK1723" s="59"/>
      <c r="DL1723" s="59"/>
      <c r="DM1723" s="59"/>
      <c r="DN1723" s="59"/>
      <c r="DO1723" s="59"/>
      <c r="DP1723" s="59"/>
      <c r="DQ1723" s="59"/>
      <c r="DR1723" s="59"/>
      <c r="DS1723" s="59"/>
      <c r="DT1723" s="59"/>
      <c r="DU1723" s="59"/>
      <c r="DV1723" s="59"/>
      <c r="DW1723" s="59"/>
      <c r="DX1723" s="59"/>
      <c r="DY1723" s="59"/>
      <c r="DZ1723" s="59"/>
      <c r="EA1723" s="59"/>
      <c r="EB1723" s="59"/>
      <c r="EC1723" s="59"/>
      <c r="ED1723" s="59"/>
      <c r="EE1723" s="59"/>
      <c r="EF1723" s="59"/>
      <c r="EG1723" s="59"/>
      <c r="EH1723" s="59"/>
      <c r="EI1723" s="59"/>
      <c r="EJ1723" s="59"/>
      <c r="EK1723" s="59"/>
      <c r="EL1723" s="59"/>
      <c r="EM1723" s="59"/>
      <c r="EN1723" s="59"/>
      <c r="EO1723" s="59"/>
      <c r="EP1723" s="59"/>
      <c r="EQ1723" s="59"/>
      <c r="ER1723" s="59"/>
      <c r="ES1723" s="59"/>
      <c r="ET1723" s="59"/>
      <c r="EU1723" s="59"/>
      <c r="EV1723" s="59"/>
      <c r="EW1723" s="59"/>
      <c r="EX1723" s="59"/>
      <c r="EY1723" s="59"/>
      <c r="EZ1723" s="59"/>
      <c r="FA1723" s="59"/>
      <c r="FB1723" s="59"/>
      <c r="FC1723" s="59"/>
      <c r="FD1723" s="59"/>
      <c r="FE1723" s="59"/>
      <c r="FF1723" s="59"/>
      <c r="FG1723" s="59"/>
      <c r="FH1723" s="59"/>
      <c r="FI1723" s="59"/>
      <c r="FJ1723" s="59"/>
      <c r="FK1723" s="59"/>
      <c r="FL1723" s="59"/>
      <c r="FM1723" s="59"/>
      <c r="FN1723" s="59"/>
      <c r="FO1723" s="59"/>
      <c r="FP1723" s="59"/>
      <c r="FQ1723" s="59"/>
      <c r="FR1723" s="59"/>
      <c r="FS1723" s="59"/>
      <c r="FT1723" s="59"/>
      <c r="FU1723" s="59"/>
      <c r="FV1723" s="59"/>
      <c r="FW1723" s="59"/>
      <c r="FX1723" s="59"/>
      <c r="FY1723" s="59"/>
      <c r="FZ1723" s="59"/>
      <c r="GA1723" s="59"/>
      <c r="GB1723" s="59"/>
      <c r="GC1723" s="59"/>
    </row>
    <row r="1724">
      <c r="A1724" s="59"/>
      <c r="B1724" s="59"/>
      <c r="C1724" s="59"/>
      <c r="D1724" s="59"/>
      <c r="E1724" s="59"/>
      <c r="F1724" s="59"/>
      <c r="G1724" s="59"/>
      <c r="H1724" s="59"/>
      <c r="I1724" s="59"/>
      <c r="J1724" s="59"/>
      <c r="K1724" s="59"/>
      <c r="L1724" s="59"/>
      <c r="M1724" s="59"/>
      <c r="N1724" s="59"/>
      <c r="O1724" s="59"/>
      <c r="P1724" s="59"/>
      <c r="Q1724" s="59"/>
      <c r="R1724" s="59"/>
      <c r="S1724" s="59"/>
      <c r="T1724" s="59"/>
      <c r="U1724" s="59"/>
      <c r="V1724" s="59"/>
      <c r="W1724" s="59"/>
      <c r="X1724" s="59"/>
      <c r="Y1724" s="59"/>
      <c r="Z1724" s="59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59"/>
      <c r="AU1724" s="59"/>
      <c r="AV1724" s="59"/>
      <c r="AW1724" s="59"/>
      <c r="AX1724" s="59"/>
      <c r="AY1724" s="59"/>
      <c r="AZ1724" s="59"/>
      <c r="BA1724" s="59"/>
      <c r="BB1724" s="59"/>
      <c r="BC1724" s="59"/>
      <c r="BD1724" s="59"/>
      <c r="BE1724" s="59"/>
      <c r="BF1724" s="59"/>
      <c r="BG1724" s="59"/>
      <c r="BH1724" s="59"/>
      <c r="BI1724" s="59"/>
      <c r="BJ1724" s="59"/>
      <c r="BK1724" s="59"/>
      <c r="BL1724" s="59"/>
      <c r="BM1724" s="59"/>
      <c r="BN1724" s="59"/>
      <c r="BO1724" s="59"/>
      <c r="BP1724" s="59"/>
      <c r="BQ1724" s="59"/>
      <c r="BR1724" s="59"/>
      <c r="BS1724" s="59"/>
      <c r="BT1724" s="59"/>
      <c r="BU1724" s="59"/>
      <c r="BV1724" s="59"/>
      <c r="BW1724" s="59"/>
      <c r="BX1724" s="59"/>
      <c r="BY1724" s="59"/>
      <c r="BZ1724" s="59"/>
      <c r="CA1724" s="59"/>
      <c r="CB1724" s="59"/>
      <c r="CC1724" s="59"/>
      <c r="CD1724" s="59"/>
      <c r="CE1724" s="59"/>
      <c r="CF1724" s="59"/>
      <c r="CG1724" s="59"/>
      <c r="CH1724" s="59"/>
      <c r="CI1724" s="59"/>
      <c r="CJ1724" s="59"/>
      <c r="CK1724" s="59"/>
      <c r="CL1724" s="59"/>
      <c r="CM1724" s="59"/>
      <c r="CN1724" s="59"/>
      <c r="CO1724" s="59"/>
      <c r="CP1724" s="59"/>
      <c r="CQ1724" s="59"/>
      <c r="CR1724" s="59"/>
      <c r="CS1724" s="59"/>
      <c r="CT1724" s="59"/>
      <c r="CU1724" s="59"/>
      <c r="CV1724" s="59"/>
      <c r="CW1724" s="59"/>
      <c r="CX1724" s="59"/>
      <c r="CY1724" s="59"/>
      <c r="CZ1724" s="59"/>
      <c r="DA1724" s="59"/>
      <c r="DB1724" s="59"/>
      <c r="DC1724" s="59"/>
      <c r="DD1724" s="59"/>
      <c r="DE1724" s="59"/>
      <c r="DF1724" s="59"/>
      <c r="DG1724" s="59"/>
      <c r="DH1724" s="59"/>
      <c r="DI1724" s="59"/>
      <c r="DJ1724" s="59"/>
      <c r="DK1724" s="59"/>
      <c r="DL1724" s="59"/>
      <c r="DM1724" s="59"/>
      <c r="DN1724" s="59"/>
      <c r="DO1724" s="59"/>
      <c r="DP1724" s="59"/>
      <c r="DQ1724" s="59"/>
      <c r="DR1724" s="59"/>
      <c r="DS1724" s="59"/>
      <c r="DT1724" s="59"/>
      <c r="DU1724" s="59"/>
      <c r="DV1724" s="59"/>
      <c r="DW1724" s="59"/>
      <c r="DX1724" s="59"/>
      <c r="DY1724" s="59"/>
      <c r="DZ1724" s="59"/>
      <c r="EA1724" s="59"/>
      <c r="EB1724" s="59"/>
      <c r="EC1724" s="59"/>
      <c r="ED1724" s="59"/>
      <c r="EE1724" s="59"/>
      <c r="EF1724" s="59"/>
      <c r="EG1724" s="59"/>
      <c r="EH1724" s="59"/>
      <c r="EI1724" s="59"/>
      <c r="EJ1724" s="59"/>
      <c r="EK1724" s="59"/>
      <c r="EL1724" s="59"/>
      <c r="EM1724" s="59"/>
      <c r="EN1724" s="59"/>
      <c r="EO1724" s="59"/>
      <c r="EP1724" s="59"/>
      <c r="EQ1724" s="59"/>
      <c r="ER1724" s="59"/>
      <c r="ES1724" s="59"/>
      <c r="ET1724" s="59"/>
      <c r="EU1724" s="59"/>
      <c r="EV1724" s="59"/>
      <c r="EW1724" s="59"/>
      <c r="EX1724" s="59"/>
      <c r="EY1724" s="59"/>
      <c r="EZ1724" s="59"/>
      <c r="FA1724" s="59"/>
      <c r="FB1724" s="59"/>
      <c r="FC1724" s="59"/>
      <c r="FD1724" s="59"/>
      <c r="FE1724" s="59"/>
      <c r="FF1724" s="59"/>
      <c r="FG1724" s="59"/>
      <c r="FH1724" s="59"/>
      <c r="FI1724" s="59"/>
      <c r="FJ1724" s="59"/>
      <c r="FK1724" s="59"/>
      <c r="FL1724" s="59"/>
      <c r="FM1724" s="59"/>
      <c r="FN1724" s="59"/>
      <c r="FO1724" s="59"/>
      <c r="FP1724" s="59"/>
      <c r="FQ1724" s="59"/>
      <c r="FR1724" s="59"/>
      <c r="FS1724" s="59"/>
      <c r="FT1724" s="59"/>
      <c r="FU1724" s="59"/>
      <c r="FV1724" s="59"/>
      <c r="FW1724" s="59"/>
      <c r="FX1724" s="59"/>
      <c r="FY1724" s="59"/>
      <c r="FZ1724" s="59"/>
      <c r="GA1724" s="59"/>
      <c r="GB1724" s="59"/>
      <c r="GC1724" s="59"/>
    </row>
    <row r="1725">
      <c r="A1725" s="59"/>
      <c r="B1725" s="59"/>
      <c r="C1725" s="59"/>
      <c r="D1725" s="59"/>
      <c r="E1725" s="59"/>
      <c r="F1725" s="59"/>
      <c r="G1725" s="59"/>
      <c r="H1725" s="59"/>
      <c r="I1725" s="59"/>
      <c r="J1725" s="59"/>
      <c r="K1725" s="59"/>
      <c r="L1725" s="59"/>
      <c r="M1725" s="59"/>
      <c r="N1725" s="59"/>
      <c r="O1725" s="59"/>
      <c r="P1725" s="59"/>
      <c r="Q1725" s="59"/>
      <c r="R1725" s="59"/>
      <c r="S1725" s="59"/>
      <c r="T1725" s="59"/>
      <c r="U1725" s="59"/>
      <c r="V1725" s="59"/>
      <c r="W1725" s="59"/>
      <c r="X1725" s="59"/>
      <c r="Y1725" s="59"/>
      <c r="Z1725" s="59"/>
      <c r="AA1725" s="59"/>
      <c r="AB1725" s="59"/>
      <c r="AC1725" s="59"/>
      <c r="AD1725" s="59"/>
      <c r="AE1725" s="59"/>
      <c r="AF1725" s="59"/>
      <c r="AG1725" s="59"/>
      <c r="AH1725" s="59"/>
      <c r="AI1725" s="59"/>
      <c r="AJ1725" s="59"/>
      <c r="AK1725" s="59"/>
      <c r="AL1725" s="59"/>
      <c r="AM1725" s="59"/>
      <c r="AN1725" s="59"/>
      <c r="AO1725" s="59"/>
      <c r="AP1725" s="59"/>
      <c r="AQ1725" s="59"/>
      <c r="AR1725" s="59"/>
      <c r="AS1725" s="59"/>
      <c r="AT1725" s="59"/>
      <c r="AU1725" s="59"/>
      <c r="AV1725" s="59"/>
      <c r="AW1725" s="59"/>
      <c r="AX1725" s="59"/>
      <c r="AY1725" s="59"/>
      <c r="AZ1725" s="59"/>
      <c r="BA1725" s="59"/>
      <c r="BB1725" s="59"/>
      <c r="BC1725" s="59"/>
      <c r="BD1725" s="59"/>
      <c r="BE1725" s="59"/>
      <c r="BF1725" s="59"/>
      <c r="BG1725" s="59"/>
      <c r="BH1725" s="59"/>
      <c r="BI1725" s="59"/>
      <c r="BJ1725" s="59"/>
      <c r="BK1725" s="59"/>
      <c r="BL1725" s="59"/>
      <c r="BM1725" s="59"/>
      <c r="BN1725" s="59"/>
      <c r="BO1725" s="59"/>
      <c r="BP1725" s="59"/>
      <c r="BQ1725" s="59"/>
      <c r="BR1725" s="59"/>
      <c r="BS1725" s="59"/>
      <c r="BT1725" s="59"/>
      <c r="BU1725" s="59"/>
      <c r="BV1725" s="59"/>
      <c r="BW1725" s="59"/>
      <c r="BX1725" s="59"/>
      <c r="BY1725" s="59"/>
      <c r="BZ1725" s="59"/>
      <c r="CA1725" s="59"/>
      <c r="CB1725" s="59"/>
      <c r="CC1725" s="59"/>
      <c r="CD1725" s="59"/>
      <c r="CE1725" s="59"/>
      <c r="CF1725" s="59"/>
      <c r="CG1725" s="59"/>
      <c r="CH1725" s="59"/>
      <c r="CI1725" s="59"/>
      <c r="CJ1725" s="59"/>
      <c r="CK1725" s="59"/>
      <c r="CL1725" s="59"/>
      <c r="CM1725" s="59"/>
      <c r="CN1725" s="59"/>
      <c r="CO1725" s="59"/>
      <c r="CP1725" s="59"/>
      <c r="CQ1725" s="59"/>
      <c r="CR1725" s="59"/>
      <c r="CS1725" s="59"/>
      <c r="CT1725" s="59"/>
      <c r="CU1725" s="59"/>
      <c r="CV1725" s="59"/>
      <c r="CW1725" s="59"/>
      <c r="CX1725" s="59"/>
      <c r="CY1725" s="59"/>
      <c r="CZ1725" s="59"/>
      <c r="DA1725" s="59"/>
      <c r="DB1725" s="59"/>
      <c r="DC1725" s="59"/>
      <c r="DD1725" s="59"/>
      <c r="DE1725" s="59"/>
      <c r="DF1725" s="59"/>
      <c r="DG1725" s="59"/>
      <c r="DH1725" s="59"/>
      <c r="DI1725" s="59"/>
      <c r="DJ1725" s="59"/>
      <c r="DK1725" s="59"/>
      <c r="DL1725" s="59"/>
      <c r="DM1725" s="59"/>
      <c r="DN1725" s="59"/>
      <c r="DO1725" s="59"/>
      <c r="DP1725" s="59"/>
      <c r="DQ1725" s="59"/>
      <c r="DR1725" s="59"/>
      <c r="DS1725" s="59"/>
      <c r="DT1725" s="59"/>
      <c r="DU1725" s="59"/>
      <c r="DV1725" s="59"/>
      <c r="DW1725" s="59"/>
      <c r="DX1725" s="59"/>
      <c r="DY1725" s="59"/>
      <c r="DZ1725" s="59"/>
      <c r="EA1725" s="59"/>
      <c r="EB1725" s="59"/>
      <c r="EC1725" s="59"/>
      <c r="ED1725" s="59"/>
      <c r="EE1725" s="59"/>
      <c r="EF1725" s="59"/>
      <c r="EG1725" s="59"/>
      <c r="EH1725" s="59"/>
      <c r="EI1725" s="59"/>
      <c r="EJ1725" s="59"/>
      <c r="EK1725" s="59"/>
      <c r="EL1725" s="59"/>
      <c r="EM1725" s="59"/>
      <c r="EN1725" s="59"/>
      <c r="EO1725" s="59"/>
      <c r="EP1725" s="59"/>
      <c r="EQ1725" s="59"/>
      <c r="ER1725" s="59"/>
      <c r="ES1725" s="59"/>
      <c r="ET1725" s="59"/>
      <c r="EU1725" s="59"/>
      <c r="EV1725" s="59"/>
      <c r="EW1725" s="59"/>
      <c r="EX1725" s="59"/>
      <c r="EY1725" s="59"/>
      <c r="EZ1725" s="59"/>
      <c r="FA1725" s="59"/>
      <c r="FB1725" s="59"/>
      <c r="FC1725" s="59"/>
      <c r="FD1725" s="59"/>
      <c r="FE1725" s="59"/>
      <c r="FF1725" s="59"/>
      <c r="FG1725" s="59"/>
      <c r="FH1725" s="59"/>
      <c r="FI1725" s="59"/>
      <c r="FJ1725" s="59"/>
      <c r="FK1725" s="59"/>
      <c r="FL1725" s="59"/>
      <c r="FM1725" s="59"/>
      <c r="FN1725" s="59"/>
      <c r="FO1725" s="59"/>
      <c r="FP1725" s="59"/>
      <c r="FQ1725" s="59"/>
      <c r="FR1725" s="59"/>
      <c r="FS1725" s="59"/>
      <c r="FT1725" s="59"/>
      <c r="FU1725" s="59"/>
      <c r="FV1725" s="59"/>
      <c r="FW1725" s="59"/>
      <c r="FX1725" s="59"/>
      <c r="FY1725" s="59"/>
      <c r="FZ1725" s="59"/>
      <c r="GA1725" s="59"/>
      <c r="GB1725" s="59"/>
      <c r="GC1725" s="59"/>
    </row>
    <row r="1726">
      <c r="A1726" s="59"/>
      <c r="B1726" s="59"/>
      <c r="C1726" s="59"/>
      <c r="D1726" s="59"/>
      <c r="E1726" s="59"/>
      <c r="F1726" s="59"/>
      <c r="G1726" s="59"/>
      <c r="H1726" s="59"/>
      <c r="I1726" s="59"/>
      <c r="J1726" s="59"/>
      <c r="K1726" s="59"/>
      <c r="L1726" s="59"/>
      <c r="M1726" s="59"/>
      <c r="N1726" s="59"/>
      <c r="O1726" s="59"/>
      <c r="P1726" s="59"/>
      <c r="Q1726" s="59"/>
      <c r="R1726" s="59"/>
      <c r="S1726" s="59"/>
      <c r="T1726" s="59"/>
      <c r="U1726" s="59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59"/>
      <c r="AU1726" s="59"/>
      <c r="AV1726" s="59"/>
      <c r="AW1726" s="59"/>
      <c r="AX1726" s="59"/>
      <c r="AY1726" s="59"/>
      <c r="AZ1726" s="59"/>
      <c r="BA1726" s="59"/>
      <c r="BB1726" s="59"/>
      <c r="BC1726" s="59"/>
      <c r="BD1726" s="59"/>
      <c r="BE1726" s="59"/>
      <c r="BF1726" s="59"/>
      <c r="BG1726" s="59"/>
      <c r="BH1726" s="59"/>
      <c r="BI1726" s="59"/>
      <c r="BJ1726" s="59"/>
      <c r="BK1726" s="59"/>
      <c r="BL1726" s="59"/>
      <c r="BM1726" s="59"/>
      <c r="BN1726" s="59"/>
      <c r="BO1726" s="59"/>
      <c r="BP1726" s="59"/>
      <c r="BQ1726" s="59"/>
      <c r="BR1726" s="59"/>
      <c r="BS1726" s="59"/>
      <c r="BT1726" s="59"/>
      <c r="BU1726" s="59"/>
      <c r="BV1726" s="59"/>
      <c r="BW1726" s="59"/>
      <c r="BX1726" s="59"/>
      <c r="BY1726" s="59"/>
      <c r="BZ1726" s="59"/>
      <c r="CA1726" s="59"/>
      <c r="CB1726" s="59"/>
      <c r="CC1726" s="59"/>
      <c r="CD1726" s="59"/>
      <c r="CE1726" s="59"/>
      <c r="CF1726" s="59"/>
      <c r="CG1726" s="59"/>
      <c r="CH1726" s="59"/>
      <c r="CI1726" s="59"/>
      <c r="CJ1726" s="59"/>
      <c r="CK1726" s="59"/>
      <c r="CL1726" s="59"/>
      <c r="CM1726" s="59"/>
      <c r="CN1726" s="59"/>
      <c r="CO1726" s="59"/>
      <c r="CP1726" s="59"/>
      <c r="CQ1726" s="59"/>
      <c r="CR1726" s="59"/>
      <c r="CS1726" s="59"/>
      <c r="CT1726" s="59"/>
      <c r="CU1726" s="59"/>
      <c r="CV1726" s="59"/>
      <c r="CW1726" s="59"/>
      <c r="CX1726" s="59"/>
      <c r="CY1726" s="59"/>
      <c r="CZ1726" s="59"/>
      <c r="DA1726" s="59"/>
      <c r="DB1726" s="59"/>
      <c r="DC1726" s="59"/>
      <c r="DD1726" s="59"/>
      <c r="DE1726" s="59"/>
      <c r="DF1726" s="59"/>
      <c r="DG1726" s="59"/>
      <c r="DH1726" s="59"/>
      <c r="DI1726" s="59"/>
      <c r="DJ1726" s="59"/>
      <c r="DK1726" s="59"/>
      <c r="DL1726" s="59"/>
      <c r="DM1726" s="59"/>
      <c r="DN1726" s="59"/>
      <c r="DO1726" s="59"/>
      <c r="DP1726" s="59"/>
      <c r="DQ1726" s="59"/>
      <c r="DR1726" s="59"/>
      <c r="DS1726" s="59"/>
      <c r="DT1726" s="59"/>
      <c r="DU1726" s="59"/>
      <c r="DV1726" s="59"/>
      <c r="DW1726" s="59"/>
      <c r="DX1726" s="59"/>
      <c r="DY1726" s="59"/>
      <c r="DZ1726" s="59"/>
      <c r="EA1726" s="59"/>
      <c r="EB1726" s="59"/>
      <c r="EC1726" s="59"/>
      <c r="ED1726" s="59"/>
      <c r="EE1726" s="59"/>
      <c r="EF1726" s="59"/>
      <c r="EG1726" s="59"/>
      <c r="EH1726" s="59"/>
      <c r="EI1726" s="59"/>
      <c r="EJ1726" s="59"/>
      <c r="EK1726" s="59"/>
      <c r="EL1726" s="59"/>
      <c r="EM1726" s="59"/>
      <c r="EN1726" s="59"/>
      <c r="EO1726" s="59"/>
      <c r="EP1726" s="59"/>
      <c r="EQ1726" s="59"/>
      <c r="ER1726" s="59"/>
      <c r="ES1726" s="59"/>
      <c r="ET1726" s="59"/>
      <c r="EU1726" s="59"/>
      <c r="EV1726" s="59"/>
      <c r="EW1726" s="59"/>
      <c r="EX1726" s="59"/>
      <c r="EY1726" s="59"/>
      <c r="EZ1726" s="59"/>
      <c r="FA1726" s="59"/>
      <c r="FB1726" s="59"/>
      <c r="FC1726" s="59"/>
      <c r="FD1726" s="59"/>
      <c r="FE1726" s="59"/>
      <c r="FF1726" s="59"/>
      <c r="FG1726" s="59"/>
      <c r="FH1726" s="59"/>
      <c r="FI1726" s="59"/>
      <c r="FJ1726" s="59"/>
      <c r="FK1726" s="59"/>
      <c r="FL1726" s="59"/>
      <c r="FM1726" s="59"/>
      <c r="FN1726" s="59"/>
      <c r="FO1726" s="59"/>
      <c r="FP1726" s="59"/>
      <c r="FQ1726" s="59"/>
      <c r="FR1726" s="59"/>
      <c r="FS1726" s="59"/>
      <c r="FT1726" s="59"/>
      <c r="FU1726" s="59"/>
      <c r="FV1726" s="59"/>
      <c r="FW1726" s="59"/>
      <c r="FX1726" s="59"/>
      <c r="FY1726" s="59"/>
      <c r="FZ1726" s="59"/>
      <c r="GA1726" s="59"/>
      <c r="GB1726" s="59"/>
      <c r="GC1726" s="59"/>
    </row>
    <row r="1727">
      <c r="A1727" s="59"/>
      <c r="B1727" s="59"/>
      <c r="C1727" s="59"/>
      <c r="D1727" s="59"/>
      <c r="E1727" s="59"/>
      <c r="F1727" s="59"/>
      <c r="G1727" s="59"/>
      <c r="H1727" s="59"/>
      <c r="I1727" s="59"/>
      <c r="J1727" s="59"/>
      <c r="K1727" s="59"/>
      <c r="L1727" s="59"/>
      <c r="M1727" s="59"/>
      <c r="N1727" s="59"/>
      <c r="O1727" s="59"/>
      <c r="P1727" s="59"/>
      <c r="Q1727" s="59"/>
      <c r="R1727" s="59"/>
      <c r="S1727" s="59"/>
      <c r="T1727" s="59"/>
      <c r="U1727" s="59"/>
      <c r="V1727" s="59"/>
      <c r="W1727" s="59"/>
      <c r="X1727" s="59"/>
      <c r="Y1727" s="59"/>
      <c r="Z1727" s="59"/>
      <c r="AA1727" s="59"/>
      <c r="AB1727" s="59"/>
      <c r="AC1727" s="59"/>
      <c r="AD1727" s="59"/>
      <c r="AE1727" s="59"/>
      <c r="AF1727" s="59"/>
      <c r="AG1727" s="59"/>
      <c r="AH1727" s="59"/>
      <c r="AI1727" s="59"/>
      <c r="AJ1727" s="59"/>
      <c r="AK1727" s="59"/>
      <c r="AL1727" s="59"/>
      <c r="AM1727" s="59"/>
      <c r="AN1727" s="59"/>
      <c r="AO1727" s="59"/>
      <c r="AP1727" s="59"/>
      <c r="AQ1727" s="59"/>
      <c r="AR1727" s="59"/>
      <c r="AS1727" s="59"/>
      <c r="AT1727" s="59"/>
      <c r="AU1727" s="59"/>
      <c r="AV1727" s="59"/>
      <c r="AW1727" s="59"/>
      <c r="AX1727" s="59"/>
      <c r="AY1727" s="59"/>
      <c r="AZ1727" s="59"/>
      <c r="BA1727" s="59"/>
      <c r="BB1727" s="59"/>
      <c r="BC1727" s="59"/>
      <c r="BD1727" s="59"/>
      <c r="BE1727" s="59"/>
      <c r="BF1727" s="59"/>
      <c r="BG1727" s="59"/>
      <c r="BH1727" s="59"/>
      <c r="BI1727" s="59"/>
      <c r="BJ1727" s="59"/>
      <c r="BK1727" s="59"/>
      <c r="BL1727" s="59"/>
      <c r="BM1727" s="59"/>
      <c r="BN1727" s="59"/>
      <c r="BO1727" s="59"/>
      <c r="BP1727" s="59"/>
      <c r="BQ1727" s="59"/>
      <c r="BR1727" s="59"/>
      <c r="BS1727" s="59"/>
      <c r="BT1727" s="59"/>
      <c r="BU1727" s="59"/>
      <c r="BV1727" s="59"/>
      <c r="BW1727" s="59"/>
      <c r="BX1727" s="59"/>
      <c r="BY1727" s="59"/>
      <c r="BZ1727" s="59"/>
      <c r="CA1727" s="59"/>
      <c r="CB1727" s="59"/>
      <c r="CC1727" s="59"/>
      <c r="CD1727" s="59"/>
      <c r="CE1727" s="59"/>
      <c r="CF1727" s="59"/>
      <c r="CG1727" s="59"/>
      <c r="CH1727" s="59"/>
      <c r="CI1727" s="59"/>
      <c r="CJ1727" s="59"/>
      <c r="CK1727" s="59"/>
      <c r="CL1727" s="59"/>
      <c r="CM1727" s="59"/>
      <c r="CN1727" s="59"/>
      <c r="CO1727" s="59"/>
      <c r="CP1727" s="59"/>
      <c r="CQ1727" s="59"/>
      <c r="CR1727" s="59"/>
      <c r="CS1727" s="59"/>
      <c r="CT1727" s="59"/>
      <c r="CU1727" s="59"/>
      <c r="CV1727" s="59"/>
      <c r="CW1727" s="59"/>
      <c r="CX1727" s="59"/>
      <c r="CY1727" s="59"/>
      <c r="CZ1727" s="59"/>
      <c r="DA1727" s="59"/>
      <c r="DB1727" s="59"/>
      <c r="DC1727" s="59"/>
      <c r="DD1727" s="59"/>
      <c r="DE1727" s="59"/>
      <c r="DF1727" s="59"/>
      <c r="DG1727" s="59"/>
      <c r="DH1727" s="59"/>
      <c r="DI1727" s="59"/>
      <c r="DJ1727" s="59"/>
      <c r="DK1727" s="59"/>
      <c r="DL1727" s="59"/>
      <c r="DM1727" s="59"/>
      <c r="DN1727" s="59"/>
      <c r="DO1727" s="59"/>
      <c r="DP1727" s="59"/>
      <c r="DQ1727" s="59"/>
      <c r="DR1727" s="59"/>
      <c r="DS1727" s="59"/>
      <c r="DT1727" s="59"/>
      <c r="DU1727" s="59"/>
      <c r="DV1727" s="59"/>
      <c r="DW1727" s="59"/>
      <c r="DX1727" s="59"/>
      <c r="DY1727" s="59"/>
      <c r="DZ1727" s="59"/>
      <c r="EA1727" s="59"/>
      <c r="EB1727" s="59"/>
      <c r="EC1727" s="59"/>
      <c r="ED1727" s="59"/>
      <c r="EE1727" s="59"/>
      <c r="EF1727" s="59"/>
      <c r="EG1727" s="59"/>
      <c r="EH1727" s="59"/>
      <c r="EI1727" s="59"/>
      <c r="EJ1727" s="59"/>
      <c r="EK1727" s="59"/>
      <c r="EL1727" s="59"/>
      <c r="EM1727" s="59"/>
      <c r="EN1727" s="59"/>
      <c r="EO1727" s="59"/>
      <c r="EP1727" s="59"/>
      <c r="EQ1727" s="59"/>
      <c r="ER1727" s="59"/>
      <c r="ES1727" s="59"/>
      <c r="ET1727" s="59"/>
      <c r="EU1727" s="59"/>
      <c r="EV1727" s="59"/>
      <c r="EW1727" s="59"/>
      <c r="EX1727" s="59"/>
      <c r="EY1727" s="59"/>
      <c r="EZ1727" s="59"/>
      <c r="FA1727" s="59"/>
      <c r="FB1727" s="59"/>
      <c r="FC1727" s="59"/>
      <c r="FD1727" s="59"/>
      <c r="FE1727" s="59"/>
      <c r="FF1727" s="59"/>
      <c r="FG1727" s="59"/>
      <c r="FH1727" s="59"/>
      <c r="FI1727" s="59"/>
      <c r="FJ1727" s="59"/>
      <c r="FK1727" s="59"/>
      <c r="FL1727" s="59"/>
      <c r="FM1727" s="59"/>
      <c r="FN1727" s="59"/>
      <c r="FO1727" s="59"/>
      <c r="FP1727" s="59"/>
      <c r="FQ1727" s="59"/>
      <c r="FR1727" s="59"/>
      <c r="FS1727" s="59"/>
      <c r="FT1727" s="59"/>
      <c r="FU1727" s="59"/>
      <c r="FV1727" s="59"/>
      <c r="FW1727" s="59"/>
      <c r="FX1727" s="59"/>
      <c r="FY1727" s="59"/>
      <c r="FZ1727" s="59"/>
      <c r="GA1727" s="59"/>
      <c r="GB1727" s="59"/>
      <c r="GC1727" s="59"/>
    </row>
    <row r="1728">
      <c r="A1728" s="59"/>
      <c r="B1728" s="59"/>
      <c r="C1728" s="59"/>
      <c r="D1728" s="59"/>
      <c r="E1728" s="59"/>
      <c r="F1728" s="59"/>
      <c r="G1728" s="59"/>
      <c r="H1728" s="59"/>
      <c r="I1728" s="59"/>
      <c r="J1728" s="59"/>
      <c r="K1728" s="59"/>
      <c r="L1728" s="59"/>
      <c r="M1728" s="59"/>
      <c r="N1728" s="59"/>
      <c r="O1728" s="59"/>
      <c r="P1728" s="59"/>
      <c r="Q1728" s="59"/>
      <c r="R1728" s="59"/>
      <c r="S1728" s="59"/>
      <c r="T1728" s="59"/>
      <c r="U1728" s="59"/>
      <c r="V1728" s="59"/>
      <c r="W1728" s="59"/>
      <c r="X1728" s="59"/>
      <c r="Y1728" s="59"/>
      <c r="Z1728" s="59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59"/>
      <c r="AU1728" s="59"/>
      <c r="AV1728" s="59"/>
      <c r="AW1728" s="59"/>
      <c r="AX1728" s="59"/>
      <c r="AY1728" s="59"/>
      <c r="AZ1728" s="59"/>
      <c r="BA1728" s="59"/>
      <c r="BB1728" s="59"/>
      <c r="BC1728" s="59"/>
      <c r="BD1728" s="59"/>
      <c r="BE1728" s="59"/>
      <c r="BF1728" s="59"/>
      <c r="BG1728" s="59"/>
      <c r="BH1728" s="59"/>
      <c r="BI1728" s="59"/>
      <c r="BJ1728" s="59"/>
      <c r="BK1728" s="59"/>
      <c r="BL1728" s="59"/>
      <c r="BM1728" s="59"/>
      <c r="BN1728" s="59"/>
      <c r="BO1728" s="59"/>
      <c r="BP1728" s="59"/>
      <c r="BQ1728" s="59"/>
      <c r="BR1728" s="59"/>
      <c r="BS1728" s="59"/>
      <c r="BT1728" s="59"/>
      <c r="BU1728" s="59"/>
      <c r="BV1728" s="59"/>
      <c r="BW1728" s="59"/>
      <c r="BX1728" s="59"/>
      <c r="BY1728" s="59"/>
      <c r="BZ1728" s="59"/>
      <c r="CA1728" s="59"/>
      <c r="CB1728" s="59"/>
      <c r="CC1728" s="59"/>
      <c r="CD1728" s="59"/>
      <c r="CE1728" s="59"/>
      <c r="CF1728" s="59"/>
      <c r="CG1728" s="59"/>
      <c r="CH1728" s="59"/>
      <c r="CI1728" s="59"/>
      <c r="CJ1728" s="59"/>
      <c r="CK1728" s="59"/>
      <c r="CL1728" s="59"/>
      <c r="CM1728" s="59"/>
      <c r="CN1728" s="59"/>
      <c r="CO1728" s="59"/>
      <c r="CP1728" s="59"/>
      <c r="CQ1728" s="59"/>
      <c r="CR1728" s="59"/>
      <c r="CS1728" s="59"/>
      <c r="CT1728" s="59"/>
      <c r="CU1728" s="59"/>
      <c r="CV1728" s="59"/>
      <c r="CW1728" s="59"/>
      <c r="CX1728" s="59"/>
      <c r="CY1728" s="59"/>
      <c r="CZ1728" s="59"/>
      <c r="DA1728" s="59"/>
      <c r="DB1728" s="59"/>
      <c r="DC1728" s="59"/>
      <c r="DD1728" s="59"/>
      <c r="DE1728" s="59"/>
      <c r="DF1728" s="59"/>
      <c r="DG1728" s="59"/>
      <c r="DH1728" s="59"/>
      <c r="DI1728" s="59"/>
      <c r="DJ1728" s="59"/>
      <c r="DK1728" s="59"/>
      <c r="DL1728" s="59"/>
      <c r="DM1728" s="59"/>
      <c r="DN1728" s="59"/>
      <c r="DO1728" s="59"/>
      <c r="DP1728" s="59"/>
      <c r="DQ1728" s="59"/>
      <c r="DR1728" s="59"/>
      <c r="DS1728" s="59"/>
      <c r="DT1728" s="59"/>
      <c r="DU1728" s="59"/>
      <c r="DV1728" s="59"/>
      <c r="DW1728" s="59"/>
      <c r="DX1728" s="59"/>
      <c r="DY1728" s="59"/>
      <c r="DZ1728" s="59"/>
      <c r="EA1728" s="59"/>
      <c r="EB1728" s="59"/>
      <c r="EC1728" s="59"/>
      <c r="ED1728" s="59"/>
      <c r="EE1728" s="59"/>
      <c r="EF1728" s="59"/>
      <c r="EG1728" s="59"/>
      <c r="EH1728" s="59"/>
      <c r="EI1728" s="59"/>
      <c r="EJ1728" s="59"/>
      <c r="EK1728" s="59"/>
      <c r="EL1728" s="59"/>
      <c r="EM1728" s="59"/>
      <c r="EN1728" s="59"/>
      <c r="EO1728" s="59"/>
      <c r="EP1728" s="59"/>
      <c r="EQ1728" s="59"/>
      <c r="ER1728" s="59"/>
      <c r="ES1728" s="59"/>
      <c r="ET1728" s="59"/>
      <c r="EU1728" s="59"/>
      <c r="EV1728" s="59"/>
      <c r="EW1728" s="59"/>
      <c r="EX1728" s="59"/>
      <c r="EY1728" s="59"/>
      <c r="EZ1728" s="59"/>
      <c r="FA1728" s="59"/>
      <c r="FB1728" s="59"/>
      <c r="FC1728" s="59"/>
      <c r="FD1728" s="59"/>
      <c r="FE1728" s="59"/>
      <c r="FF1728" s="59"/>
      <c r="FG1728" s="59"/>
      <c r="FH1728" s="59"/>
      <c r="FI1728" s="59"/>
      <c r="FJ1728" s="59"/>
      <c r="FK1728" s="59"/>
      <c r="FL1728" s="59"/>
      <c r="FM1728" s="59"/>
      <c r="FN1728" s="59"/>
      <c r="FO1728" s="59"/>
      <c r="FP1728" s="59"/>
      <c r="FQ1728" s="59"/>
      <c r="FR1728" s="59"/>
      <c r="FS1728" s="59"/>
      <c r="FT1728" s="59"/>
      <c r="FU1728" s="59"/>
      <c r="FV1728" s="59"/>
      <c r="FW1728" s="59"/>
      <c r="FX1728" s="59"/>
      <c r="FY1728" s="59"/>
      <c r="FZ1728" s="59"/>
      <c r="GA1728" s="59"/>
      <c r="GB1728" s="59"/>
      <c r="GC1728" s="59"/>
    </row>
    <row r="1729">
      <c r="A1729" s="59"/>
      <c r="B1729" s="59"/>
      <c r="C1729" s="59"/>
      <c r="D1729" s="59"/>
      <c r="E1729" s="59"/>
      <c r="F1729" s="59"/>
      <c r="G1729" s="59"/>
      <c r="H1729" s="59"/>
      <c r="I1729" s="59"/>
      <c r="J1729" s="59"/>
      <c r="K1729" s="59"/>
      <c r="L1729" s="59"/>
      <c r="M1729" s="59"/>
      <c r="N1729" s="59"/>
      <c r="O1729" s="59"/>
      <c r="P1729" s="59"/>
      <c r="Q1729" s="59"/>
      <c r="R1729" s="59"/>
      <c r="S1729" s="59"/>
      <c r="T1729" s="59"/>
      <c r="U1729" s="59"/>
      <c r="V1729" s="59"/>
      <c r="W1729" s="59"/>
      <c r="X1729" s="59"/>
      <c r="Y1729" s="59"/>
      <c r="Z1729" s="59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9"/>
      <c r="AO1729" s="59"/>
      <c r="AP1729" s="59"/>
      <c r="AQ1729" s="59"/>
      <c r="AR1729" s="59"/>
      <c r="AS1729" s="59"/>
      <c r="AT1729" s="59"/>
      <c r="AU1729" s="59"/>
      <c r="AV1729" s="59"/>
      <c r="AW1729" s="59"/>
      <c r="AX1729" s="59"/>
      <c r="AY1729" s="59"/>
      <c r="AZ1729" s="59"/>
      <c r="BA1729" s="59"/>
      <c r="BB1729" s="59"/>
      <c r="BC1729" s="59"/>
      <c r="BD1729" s="59"/>
      <c r="BE1729" s="59"/>
      <c r="BF1729" s="59"/>
      <c r="BG1729" s="59"/>
      <c r="BH1729" s="59"/>
      <c r="BI1729" s="59"/>
      <c r="BJ1729" s="59"/>
      <c r="BK1729" s="59"/>
      <c r="BL1729" s="59"/>
      <c r="BM1729" s="59"/>
      <c r="BN1729" s="59"/>
      <c r="BO1729" s="59"/>
      <c r="BP1729" s="59"/>
      <c r="BQ1729" s="59"/>
      <c r="BR1729" s="59"/>
      <c r="BS1729" s="59"/>
      <c r="BT1729" s="59"/>
      <c r="BU1729" s="59"/>
      <c r="BV1729" s="59"/>
      <c r="BW1729" s="59"/>
      <c r="BX1729" s="59"/>
      <c r="BY1729" s="59"/>
      <c r="BZ1729" s="59"/>
      <c r="CA1729" s="59"/>
      <c r="CB1729" s="59"/>
      <c r="CC1729" s="59"/>
      <c r="CD1729" s="59"/>
      <c r="CE1729" s="59"/>
      <c r="CF1729" s="59"/>
      <c r="CG1729" s="59"/>
      <c r="CH1729" s="59"/>
      <c r="CI1729" s="59"/>
      <c r="CJ1729" s="59"/>
      <c r="CK1729" s="59"/>
      <c r="CL1729" s="59"/>
      <c r="CM1729" s="59"/>
      <c r="CN1729" s="59"/>
      <c r="CO1729" s="59"/>
      <c r="CP1729" s="59"/>
      <c r="CQ1729" s="59"/>
      <c r="CR1729" s="59"/>
      <c r="CS1729" s="59"/>
      <c r="CT1729" s="59"/>
      <c r="CU1729" s="59"/>
      <c r="CV1729" s="59"/>
      <c r="CW1729" s="59"/>
      <c r="CX1729" s="59"/>
      <c r="CY1729" s="59"/>
      <c r="CZ1729" s="59"/>
      <c r="DA1729" s="59"/>
      <c r="DB1729" s="59"/>
      <c r="DC1729" s="59"/>
      <c r="DD1729" s="59"/>
      <c r="DE1729" s="59"/>
      <c r="DF1729" s="59"/>
      <c r="DG1729" s="59"/>
      <c r="DH1729" s="59"/>
      <c r="DI1729" s="59"/>
      <c r="DJ1729" s="59"/>
      <c r="DK1729" s="59"/>
      <c r="DL1729" s="59"/>
      <c r="DM1729" s="59"/>
      <c r="DN1729" s="59"/>
      <c r="DO1729" s="59"/>
      <c r="DP1729" s="59"/>
      <c r="DQ1729" s="59"/>
      <c r="DR1729" s="59"/>
      <c r="DS1729" s="59"/>
      <c r="DT1729" s="59"/>
      <c r="DU1729" s="59"/>
      <c r="DV1729" s="59"/>
      <c r="DW1729" s="59"/>
      <c r="DX1729" s="59"/>
      <c r="DY1729" s="59"/>
      <c r="DZ1729" s="59"/>
      <c r="EA1729" s="59"/>
      <c r="EB1729" s="59"/>
      <c r="EC1729" s="59"/>
      <c r="ED1729" s="59"/>
      <c r="EE1729" s="59"/>
      <c r="EF1729" s="59"/>
      <c r="EG1729" s="59"/>
      <c r="EH1729" s="59"/>
      <c r="EI1729" s="59"/>
      <c r="EJ1729" s="59"/>
      <c r="EK1729" s="59"/>
      <c r="EL1729" s="59"/>
      <c r="EM1729" s="59"/>
      <c r="EN1729" s="59"/>
      <c r="EO1729" s="59"/>
      <c r="EP1729" s="59"/>
      <c r="EQ1729" s="59"/>
      <c r="ER1729" s="59"/>
      <c r="ES1729" s="59"/>
      <c r="ET1729" s="59"/>
      <c r="EU1729" s="59"/>
      <c r="EV1729" s="59"/>
      <c r="EW1729" s="59"/>
      <c r="EX1729" s="59"/>
      <c r="EY1729" s="59"/>
      <c r="EZ1729" s="59"/>
      <c r="FA1729" s="59"/>
      <c r="FB1729" s="59"/>
      <c r="FC1729" s="59"/>
      <c r="FD1729" s="59"/>
      <c r="FE1729" s="59"/>
      <c r="FF1729" s="59"/>
      <c r="FG1729" s="59"/>
      <c r="FH1729" s="59"/>
      <c r="FI1729" s="59"/>
      <c r="FJ1729" s="59"/>
      <c r="FK1729" s="59"/>
      <c r="FL1729" s="59"/>
      <c r="FM1729" s="59"/>
      <c r="FN1729" s="59"/>
      <c r="FO1729" s="59"/>
      <c r="FP1729" s="59"/>
      <c r="FQ1729" s="59"/>
      <c r="FR1729" s="59"/>
      <c r="FS1729" s="59"/>
      <c r="FT1729" s="59"/>
      <c r="FU1729" s="59"/>
      <c r="FV1729" s="59"/>
      <c r="FW1729" s="59"/>
      <c r="FX1729" s="59"/>
      <c r="FY1729" s="59"/>
      <c r="FZ1729" s="59"/>
      <c r="GA1729" s="59"/>
      <c r="GB1729" s="59"/>
      <c r="GC1729" s="59"/>
    </row>
    <row r="1730">
      <c r="A1730" s="59"/>
      <c r="B1730" s="59"/>
      <c r="C1730" s="59"/>
      <c r="D1730" s="59"/>
      <c r="E1730" s="59"/>
      <c r="F1730" s="59"/>
      <c r="G1730" s="59"/>
      <c r="H1730" s="59"/>
      <c r="I1730" s="59"/>
      <c r="J1730" s="59"/>
      <c r="K1730" s="59"/>
      <c r="L1730" s="59"/>
      <c r="M1730" s="59"/>
      <c r="N1730" s="59"/>
      <c r="O1730" s="59"/>
      <c r="P1730" s="59"/>
      <c r="Q1730" s="59"/>
      <c r="R1730" s="59"/>
      <c r="S1730" s="59"/>
      <c r="T1730" s="59"/>
      <c r="U1730" s="59"/>
      <c r="V1730" s="59"/>
      <c r="W1730" s="59"/>
      <c r="X1730" s="59"/>
      <c r="Y1730" s="59"/>
      <c r="Z1730" s="59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59"/>
      <c r="AU1730" s="59"/>
      <c r="AV1730" s="59"/>
      <c r="AW1730" s="59"/>
      <c r="AX1730" s="59"/>
      <c r="AY1730" s="59"/>
      <c r="AZ1730" s="59"/>
      <c r="BA1730" s="59"/>
      <c r="BB1730" s="59"/>
      <c r="BC1730" s="59"/>
      <c r="BD1730" s="59"/>
      <c r="BE1730" s="59"/>
      <c r="BF1730" s="59"/>
      <c r="BG1730" s="59"/>
      <c r="BH1730" s="59"/>
      <c r="BI1730" s="59"/>
      <c r="BJ1730" s="59"/>
      <c r="BK1730" s="59"/>
      <c r="BL1730" s="59"/>
      <c r="BM1730" s="59"/>
      <c r="BN1730" s="59"/>
      <c r="BO1730" s="59"/>
      <c r="BP1730" s="59"/>
      <c r="BQ1730" s="59"/>
      <c r="BR1730" s="59"/>
      <c r="BS1730" s="59"/>
      <c r="BT1730" s="59"/>
      <c r="BU1730" s="59"/>
      <c r="BV1730" s="59"/>
      <c r="BW1730" s="59"/>
      <c r="BX1730" s="59"/>
      <c r="BY1730" s="59"/>
      <c r="BZ1730" s="59"/>
      <c r="CA1730" s="59"/>
      <c r="CB1730" s="59"/>
      <c r="CC1730" s="59"/>
      <c r="CD1730" s="59"/>
      <c r="CE1730" s="59"/>
      <c r="CF1730" s="59"/>
      <c r="CG1730" s="59"/>
      <c r="CH1730" s="59"/>
      <c r="CI1730" s="59"/>
      <c r="CJ1730" s="59"/>
      <c r="CK1730" s="59"/>
      <c r="CL1730" s="59"/>
      <c r="CM1730" s="59"/>
      <c r="CN1730" s="59"/>
      <c r="CO1730" s="59"/>
      <c r="CP1730" s="59"/>
      <c r="CQ1730" s="59"/>
      <c r="CR1730" s="59"/>
      <c r="CS1730" s="59"/>
      <c r="CT1730" s="59"/>
      <c r="CU1730" s="59"/>
      <c r="CV1730" s="59"/>
      <c r="CW1730" s="59"/>
      <c r="CX1730" s="59"/>
      <c r="CY1730" s="59"/>
      <c r="CZ1730" s="59"/>
      <c r="DA1730" s="59"/>
      <c r="DB1730" s="59"/>
      <c r="DC1730" s="59"/>
      <c r="DD1730" s="59"/>
      <c r="DE1730" s="59"/>
      <c r="DF1730" s="59"/>
      <c r="DG1730" s="59"/>
      <c r="DH1730" s="59"/>
      <c r="DI1730" s="59"/>
      <c r="DJ1730" s="59"/>
      <c r="DK1730" s="59"/>
      <c r="DL1730" s="59"/>
      <c r="DM1730" s="59"/>
      <c r="DN1730" s="59"/>
      <c r="DO1730" s="59"/>
      <c r="DP1730" s="59"/>
      <c r="DQ1730" s="59"/>
      <c r="DR1730" s="59"/>
      <c r="DS1730" s="59"/>
      <c r="DT1730" s="59"/>
      <c r="DU1730" s="59"/>
      <c r="DV1730" s="59"/>
      <c r="DW1730" s="59"/>
      <c r="DX1730" s="59"/>
      <c r="DY1730" s="59"/>
      <c r="DZ1730" s="59"/>
      <c r="EA1730" s="59"/>
      <c r="EB1730" s="59"/>
      <c r="EC1730" s="59"/>
      <c r="ED1730" s="59"/>
      <c r="EE1730" s="59"/>
      <c r="EF1730" s="59"/>
      <c r="EG1730" s="59"/>
      <c r="EH1730" s="59"/>
      <c r="EI1730" s="59"/>
      <c r="EJ1730" s="59"/>
      <c r="EK1730" s="59"/>
      <c r="EL1730" s="59"/>
      <c r="EM1730" s="59"/>
      <c r="EN1730" s="59"/>
      <c r="EO1730" s="59"/>
      <c r="EP1730" s="59"/>
      <c r="EQ1730" s="59"/>
      <c r="ER1730" s="59"/>
      <c r="ES1730" s="59"/>
      <c r="ET1730" s="59"/>
      <c r="EU1730" s="59"/>
      <c r="EV1730" s="59"/>
      <c r="EW1730" s="59"/>
      <c r="EX1730" s="59"/>
      <c r="EY1730" s="59"/>
      <c r="EZ1730" s="59"/>
      <c r="FA1730" s="59"/>
      <c r="FB1730" s="59"/>
      <c r="FC1730" s="59"/>
      <c r="FD1730" s="59"/>
      <c r="FE1730" s="59"/>
      <c r="FF1730" s="59"/>
      <c r="FG1730" s="59"/>
      <c r="FH1730" s="59"/>
      <c r="FI1730" s="59"/>
      <c r="FJ1730" s="59"/>
      <c r="FK1730" s="59"/>
      <c r="FL1730" s="59"/>
      <c r="FM1730" s="59"/>
      <c r="FN1730" s="59"/>
      <c r="FO1730" s="59"/>
      <c r="FP1730" s="59"/>
      <c r="FQ1730" s="59"/>
      <c r="FR1730" s="59"/>
      <c r="FS1730" s="59"/>
      <c r="FT1730" s="59"/>
      <c r="FU1730" s="59"/>
      <c r="FV1730" s="59"/>
      <c r="FW1730" s="59"/>
      <c r="FX1730" s="59"/>
      <c r="FY1730" s="59"/>
      <c r="FZ1730" s="59"/>
      <c r="GA1730" s="59"/>
      <c r="GB1730" s="59"/>
      <c r="GC1730" s="59"/>
    </row>
    <row r="1731">
      <c r="A1731" s="59"/>
      <c r="B1731" s="59"/>
      <c r="C1731" s="59"/>
      <c r="D1731" s="59"/>
      <c r="E1731" s="59"/>
      <c r="F1731" s="59"/>
      <c r="G1731" s="59"/>
      <c r="H1731" s="59"/>
      <c r="I1731" s="59"/>
      <c r="J1731" s="59"/>
      <c r="K1731" s="59"/>
      <c r="L1731" s="59"/>
      <c r="M1731" s="59"/>
      <c r="N1731" s="59"/>
      <c r="O1731" s="59"/>
      <c r="P1731" s="59"/>
      <c r="Q1731" s="59"/>
      <c r="R1731" s="59"/>
      <c r="S1731" s="59"/>
      <c r="T1731" s="59"/>
      <c r="U1731" s="59"/>
      <c r="V1731" s="59"/>
      <c r="W1731" s="59"/>
      <c r="X1731" s="59"/>
      <c r="Y1731" s="59"/>
      <c r="Z1731" s="59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9"/>
      <c r="AO1731" s="59"/>
      <c r="AP1731" s="59"/>
      <c r="AQ1731" s="59"/>
      <c r="AR1731" s="59"/>
      <c r="AS1731" s="59"/>
      <c r="AT1731" s="59"/>
      <c r="AU1731" s="59"/>
      <c r="AV1731" s="59"/>
      <c r="AW1731" s="59"/>
      <c r="AX1731" s="59"/>
      <c r="AY1731" s="59"/>
      <c r="AZ1731" s="59"/>
      <c r="BA1731" s="59"/>
      <c r="BB1731" s="59"/>
      <c r="BC1731" s="59"/>
      <c r="BD1731" s="59"/>
      <c r="BE1731" s="59"/>
      <c r="BF1731" s="59"/>
      <c r="BG1731" s="59"/>
      <c r="BH1731" s="59"/>
      <c r="BI1731" s="59"/>
      <c r="BJ1731" s="59"/>
      <c r="BK1731" s="59"/>
      <c r="BL1731" s="59"/>
      <c r="BM1731" s="59"/>
      <c r="BN1731" s="59"/>
      <c r="BO1731" s="59"/>
      <c r="BP1731" s="59"/>
      <c r="BQ1731" s="59"/>
      <c r="BR1731" s="59"/>
      <c r="BS1731" s="59"/>
      <c r="BT1731" s="59"/>
      <c r="BU1731" s="59"/>
      <c r="BV1731" s="59"/>
      <c r="BW1731" s="59"/>
      <c r="BX1731" s="59"/>
      <c r="BY1731" s="59"/>
      <c r="BZ1731" s="59"/>
      <c r="CA1731" s="59"/>
      <c r="CB1731" s="59"/>
      <c r="CC1731" s="59"/>
      <c r="CD1731" s="59"/>
      <c r="CE1731" s="59"/>
      <c r="CF1731" s="59"/>
      <c r="CG1731" s="59"/>
      <c r="CH1731" s="59"/>
      <c r="CI1731" s="59"/>
      <c r="CJ1731" s="59"/>
      <c r="CK1731" s="59"/>
      <c r="CL1731" s="59"/>
      <c r="CM1731" s="59"/>
      <c r="CN1731" s="59"/>
      <c r="CO1731" s="59"/>
      <c r="CP1731" s="59"/>
      <c r="CQ1731" s="59"/>
      <c r="CR1731" s="59"/>
      <c r="CS1731" s="59"/>
      <c r="CT1731" s="59"/>
      <c r="CU1731" s="59"/>
      <c r="CV1731" s="59"/>
      <c r="CW1731" s="59"/>
      <c r="CX1731" s="59"/>
      <c r="CY1731" s="59"/>
      <c r="CZ1731" s="59"/>
      <c r="DA1731" s="59"/>
      <c r="DB1731" s="59"/>
      <c r="DC1731" s="59"/>
      <c r="DD1731" s="59"/>
      <c r="DE1731" s="59"/>
      <c r="DF1731" s="59"/>
      <c r="DG1731" s="59"/>
      <c r="DH1731" s="59"/>
      <c r="DI1731" s="59"/>
      <c r="DJ1731" s="59"/>
      <c r="DK1731" s="59"/>
      <c r="DL1731" s="59"/>
      <c r="DM1731" s="59"/>
      <c r="DN1731" s="59"/>
      <c r="DO1731" s="59"/>
      <c r="DP1731" s="59"/>
      <c r="DQ1731" s="59"/>
      <c r="DR1731" s="59"/>
      <c r="DS1731" s="59"/>
      <c r="DT1731" s="59"/>
      <c r="DU1731" s="59"/>
      <c r="DV1731" s="59"/>
      <c r="DW1731" s="59"/>
      <c r="DX1731" s="59"/>
      <c r="DY1731" s="59"/>
      <c r="DZ1731" s="59"/>
      <c r="EA1731" s="59"/>
      <c r="EB1731" s="59"/>
      <c r="EC1731" s="59"/>
      <c r="ED1731" s="59"/>
      <c r="EE1731" s="59"/>
      <c r="EF1731" s="59"/>
      <c r="EG1731" s="59"/>
      <c r="EH1731" s="59"/>
      <c r="EI1731" s="59"/>
      <c r="EJ1731" s="59"/>
      <c r="EK1731" s="59"/>
      <c r="EL1731" s="59"/>
      <c r="EM1731" s="59"/>
      <c r="EN1731" s="59"/>
      <c r="EO1731" s="59"/>
      <c r="EP1731" s="59"/>
      <c r="EQ1731" s="59"/>
      <c r="ER1731" s="59"/>
      <c r="ES1731" s="59"/>
      <c r="ET1731" s="59"/>
      <c r="EU1731" s="59"/>
      <c r="EV1731" s="59"/>
      <c r="EW1731" s="59"/>
      <c r="EX1731" s="59"/>
      <c r="EY1731" s="59"/>
      <c r="EZ1731" s="59"/>
      <c r="FA1731" s="59"/>
      <c r="FB1731" s="59"/>
      <c r="FC1731" s="59"/>
      <c r="FD1731" s="59"/>
      <c r="FE1731" s="59"/>
      <c r="FF1731" s="59"/>
      <c r="FG1731" s="59"/>
      <c r="FH1731" s="59"/>
      <c r="FI1731" s="59"/>
      <c r="FJ1731" s="59"/>
      <c r="FK1731" s="59"/>
      <c r="FL1731" s="59"/>
      <c r="FM1731" s="59"/>
      <c r="FN1731" s="59"/>
      <c r="FO1731" s="59"/>
      <c r="FP1731" s="59"/>
      <c r="FQ1731" s="59"/>
      <c r="FR1731" s="59"/>
      <c r="FS1731" s="59"/>
      <c r="FT1731" s="59"/>
      <c r="FU1731" s="59"/>
      <c r="FV1731" s="59"/>
      <c r="FW1731" s="59"/>
      <c r="FX1731" s="59"/>
      <c r="FY1731" s="59"/>
      <c r="FZ1731" s="59"/>
      <c r="GA1731" s="59"/>
      <c r="GB1731" s="59"/>
      <c r="GC1731" s="59"/>
    </row>
    <row r="1732">
      <c r="A1732" s="59"/>
      <c r="B1732" s="59"/>
      <c r="C1732" s="59"/>
      <c r="D1732" s="59"/>
      <c r="E1732" s="59"/>
      <c r="F1732" s="59"/>
      <c r="G1732" s="59"/>
      <c r="H1732" s="59"/>
      <c r="I1732" s="59"/>
      <c r="J1732" s="59"/>
      <c r="K1732" s="59"/>
      <c r="L1732" s="59"/>
      <c r="M1732" s="59"/>
      <c r="N1732" s="59"/>
      <c r="O1732" s="59"/>
      <c r="P1732" s="59"/>
      <c r="Q1732" s="59"/>
      <c r="R1732" s="59"/>
      <c r="S1732" s="59"/>
      <c r="T1732" s="59"/>
      <c r="U1732" s="59"/>
      <c r="V1732" s="59"/>
      <c r="W1732" s="59"/>
      <c r="X1732" s="59"/>
      <c r="Y1732" s="59"/>
      <c r="Z1732" s="59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59"/>
      <c r="AU1732" s="59"/>
      <c r="AV1732" s="59"/>
      <c r="AW1732" s="59"/>
      <c r="AX1732" s="59"/>
      <c r="AY1732" s="59"/>
      <c r="AZ1732" s="59"/>
      <c r="BA1732" s="59"/>
      <c r="BB1732" s="59"/>
      <c r="BC1732" s="59"/>
      <c r="BD1732" s="59"/>
      <c r="BE1732" s="59"/>
      <c r="BF1732" s="59"/>
      <c r="BG1732" s="59"/>
      <c r="BH1732" s="59"/>
      <c r="BI1732" s="59"/>
      <c r="BJ1732" s="59"/>
      <c r="BK1732" s="59"/>
      <c r="BL1732" s="59"/>
      <c r="BM1732" s="59"/>
      <c r="BN1732" s="59"/>
      <c r="BO1732" s="59"/>
      <c r="BP1732" s="59"/>
      <c r="BQ1732" s="59"/>
      <c r="BR1732" s="59"/>
      <c r="BS1732" s="59"/>
      <c r="BT1732" s="59"/>
      <c r="BU1732" s="59"/>
      <c r="BV1732" s="59"/>
      <c r="BW1732" s="59"/>
      <c r="BX1732" s="59"/>
      <c r="BY1732" s="59"/>
      <c r="BZ1732" s="59"/>
      <c r="CA1732" s="59"/>
      <c r="CB1732" s="59"/>
      <c r="CC1732" s="59"/>
      <c r="CD1732" s="59"/>
      <c r="CE1732" s="59"/>
      <c r="CF1732" s="59"/>
      <c r="CG1732" s="59"/>
      <c r="CH1732" s="59"/>
      <c r="CI1732" s="59"/>
      <c r="CJ1732" s="59"/>
      <c r="CK1732" s="59"/>
      <c r="CL1732" s="59"/>
      <c r="CM1732" s="59"/>
      <c r="CN1732" s="59"/>
      <c r="CO1732" s="59"/>
      <c r="CP1732" s="59"/>
      <c r="CQ1732" s="59"/>
      <c r="CR1732" s="59"/>
      <c r="CS1732" s="59"/>
      <c r="CT1732" s="59"/>
      <c r="CU1732" s="59"/>
      <c r="CV1732" s="59"/>
      <c r="CW1732" s="59"/>
      <c r="CX1732" s="59"/>
      <c r="CY1732" s="59"/>
      <c r="CZ1732" s="59"/>
      <c r="DA1732" s="59"/>
      <c r="DB1732" s="59"/>
      <c r="DC1732" s="59"/>
      <c r="DD1732" s="59"/>
      <c r="DE1732" s="59"/>
      <c r="DF1732" s="59"/>
      <c r="DG1732" s="59"/>
      <c r="DH1732" s="59"/>
      <c r="DI1732" s="59"/>
      <c r="DJ1732" s="59"/>
      <c r="DK1732" s="59"/>
      <c r="DL1732" s="59"/>
      <c r="DM1732" s="59"/>
      <c r="DN1732" s="59"/>
      <c r="DO1732" s="59"/>
      <c r="DP1732" s="59"/>
      <c r="DQ1732" s="59"/>
      <c r="DR1732" s="59"/>
      <c r="DS1732" s="59"/>
      <c r="DT1732" s="59"/>
      <c r="DU1732" s="59"/>
      <c r="DV1732" s="59"/>
      <c r="DW1732" s="59"/>
      <c r="DX1732" s="59"/>
      <c r="DY1732" s="59"/>
      <c r="DZ1732" s="59"/>
      <c r="EA1732" s="59"/>
      <c r="EB1732" s="59"/>
      <c r="EC1732" s="59"/>
      <c r="ED1732" s="59"/>
      <c r="EE1732" s="59"/>
      <c r="EF1732" s="59"/>
      <c r="EG1732" s="59"/>
      <c r="EH1732" s="59"/>
      <c r="EI1732" s="59"/>
      <c r="EJ1732" s="59"/>
      <c r="EK1732" s="59"/>
      <c r="EL1732" s="59"/>
      <c r="EM1732" s="59"/>
      <c r="EN1732" s="59"/>
      <c r="EO1732" s="59"/>
      <c r="EP1732" s="59"/>
      <c r="EQ1732" s="59"/>
      <c r="ER1732" s="59"/>
      <c r="ES1732" s="59"/>
      <c r="ET1732" s="59"/>
      <c r="EU1732" s="59"/>
      <c r="EV1732" s="59"/>
      <c r="EW1732" s="59"/>
      <c r="EX1732" s="59"/>
      <c r="EY1732" s="59"/>
      <c r="EZ1732" s="59"/>
      <c r="FA1732" s="59"/>
      <c r="FB1732" s="59"/>
      <c r="FC1732" s="59"/>
      <c r="FD1732" s="59"/>
      <c r="FE1732" s="59"/>
      <c r="FF1732" s="59"/>
      <c r="FG1732" s="59"/>
      <c r="FH1732" s="59"/>
      <c r="FI1732" s="59"/>
      <c r="FJ1732" s="59"/>
      <c r="FK1732" s="59"/>
      <c r="FL1732" s="59"/>
      <c r="FM1732" s="59"/>
      <c r="FN1732" s="59"/>
      <c r="FO1732" s="59"/>
      <c r="FP1732" s="59"/>
      <c r="FQ1732" s="59"/>
      <c r="FR1732" s="59"/>
      <c r="FS1732" s="59"/>
      <c r="FT1732" s="59"/>
      <c r="FU1732" s="59"/>
      <c r="FV1732" s="59"/>
      <c r="FW1732" s="59"/>
      <c r="FX1732" s="59"/>
      <c r="FY1732" s="59"/>
      <c r="FZ1732" s="59"/>
      <c r="GA1732" s="59"/>
      <c r="GB1732" s="59"/>
      <c r="GC1732" s="59"/>
    </row>
    <row r="1733">
      <c r="A1733" s="59"/>
      <c r="B1733" s="59"/>
      <c r="C1733" s="59"/>
      <c r="D1733" s="59"/>
      <c r="E1733" s="59"/>
      <c r="F1733" s="59"/>
      <c r="G1733" s="59"/>
      <c r="H1733" s="59"/>
      <c r="I1733" s="59"/>
      <c r="J1733" s="59"/>
      <c r="K1733" s="59"/>
      <c r="L1733" s="59"/>
      <c r="M1733" s="59"/>
      <c r="N1733" s="59"/>
      <c r="O1733" s="59"/>
      <c r="P1733" s="59"/>
      <c r="Q1733" s="59"/>
      <c r="R1733" s="59"/>
      <c r="S1733" s="59"/>
      <c r="T1733" s="59"/>
      <c r="U1733" s="59"/>
      <c r="V1733" s="59"/>
      <c r="W1733" s="59"/>
      <c r="X1733" s="59"/>
      <c r="Y1733" s="59"/>
      <c r="Z1733" s="59"/>
      <c r="AA1733" s="59"/>
      <c r="AB1733" s="59"/>
      <c r="AC1733" s="59"/>
      <c r="AD1733" s="59"/>
      <c r="AE1733" s="59"/>
      <c r="AF1733" s="59"/>
      <c r="AG1733" s="59"/>
      <c r="AH1733" s="59"/>
      <c r="AI1733" s="59"/>
      <c r="AJ1733" s="59"/>
      <c r="AK1733" s="59"/>
      <c r="AL1733" s="59"/>
      <c r="AM1733" s="59"/>
      <c r="AN1733" s="59"/>
      <c r="AO1733" s="59"/>
      <c r="AP1733" s="59"/>
      <c r="AQ1733" s="59"/>
      <c r="AR1733" s="59"/>
      <c r="AS1733" s="59"/>
      <c r="AT1733" s="59"/>
      <c r="AU1733" s="59"/>
      <c r="AV1733" s="59"/>
      <c r="AW1733" s="59"/>
      <c r="AX1733" s="59"/>
      <c r="AY1733" s="59"/>
      <c r="AZ1733" s="59"/>
      <c r="BA1733" s="59"/>
      <c r="BB1733" s="59"/>
      <c r="BC1733" s="59"/>
      <c r="BD1733" s="59"/>
      <c r="BE1733" s="59"/>
      <c r="BF1733" s="59"/>
      <c r="BG1733" s="59"/>
      <c r="BH1733" s="59"/>
      <c r="BI1733" s="59"/>
      <c r="BJ1733" s="59"/>
      <c r="BK1733" s="59"/>
      <c r="BL1733" s="59"/>
      <c r="BM1733" s="59"/>
      <c r="BN1733" s="59"/>
      <c r="BO1733" s="59"/>
      <c r="BP1733" s="59"/>
      <c r="BQ1733" s="59"/>
      <c r="BR1733" s="59"/>
      <c r="BS1733" s="59"/>
      <c r="BT1733" s="59"/>
      <c r="BU1733" s="59"/>
      <c r="BV1733" s="59"/>
      <c r="BW1733" s="59"/>
      <c r="BX1733" s="59"/>
      <c r="BY1733" s="59"/>
      <c r="BZ1733" s="59"/>
      <c r="CA1733" s="59"/>
      <c r="CB1733" s="59"/>
      <c r="CC1733" s="59"/>
      <c r="CD1733" s="59"/>
      <c r="CE1733" s="59"/>
      <c r="CF1733" s="59"/>
      <c r="CG1733" s="59"/>
      <c r="CH1733" s="59"/>
      <c r="CI1733" s="59"/>
      <c r="CJ1733" s="59"/>
      <c r="CK1733" s="59"/>
      <c r="CL1733" s="59"/>
      <c r="CM1733" s="59"/>
      <c r="CN1733" s="59"/>
      <c r="CO1733" s="59"/>
      <c r="CP1733" s="59"/>
      <c r="CQ1733" s="59"/>
      <c r="CR1733" s="59"/>
      <c r="CS1733" s="59"/>
      <c r="CT1733" s="59"/>
      <c r="CU1733" s="59"/>
      <c r="CV1733" s="59"/>
      <c r="CW1733" s="59"/>
      <c r="CX1733" s="59"/>
      <c r="CY1733" s="59"/>
      <c r="CZ1733" s="59"/>
      <c r="DA1733" s="59"/>
      <c r="DB1733" s="59"/>
      <c r="DC1733" s="59"/>
      <c r="DD1733" s="59"/>
      <c r="DE1733" s="59"/>
      <c r="DF1733" s="59"/>
      <c r="DG1733" s="59"/>
      <c r="DH1733" s="59"/>
      <c r="DI1733" s="59"/>
      <c r="DJ1733" s="59"/>
      <c r="DK1733" s="59"/>
      <c r="DL1733" s="59"/>
      <c r="DM1733" s="59"/>
      <c r="DN1733" s="59"/>
      <c r="DO1733" s="59"/>
      <c r="DP1733" s="59"/>
      <c r="DQ1733" s="59"/>
      <c r="DR1733" s="59"/>
      <c r="DS1733" s="59"/>
      <c r="DT1733" s="59"/>
      <c r="DU1733" s="59"/>
      <c r="DV1733" s="59"/>
      <c r="DW1733" s="59"/>
      <c r="DX1733" s="59"/>
      <c r="DY1733" s="59"/>
      <c r="DZ1733" s="59"/>
      <c r="EA1733" s="59"/>
      <c r="EB1733" s="59"/>
      <c r="EC1733" s="59"/>
      <c r="ED1733" s="59"/>
      <c r="EE1733" s="59"/>
      <c r="EF1733" s="59"/>
      <c r="EG1733" s="59"/>
      <c r="EH1733" s="59"/>
      <c r="EI1733" s="59"/>
      <c r="EJ1733" s="59"/>
      <c r="EK1733" s="59"/>
      <c r="EL1733" s="59"/>
      <c r="EM1733" s="59"/>
      <c r="EN1733" s="59"/>
      <c r="EO1733" s="59"/>
      <c r="EP1733" s="59"/>
      <c r="EQ1733" s="59"/>
      <c r="ER1733" s="59"/>
      <c r="ES1733" s="59"/>
      <c r="ET1733" s="59"/>
      <c r="EU1733" s="59"/>
      <c r="EV1733" s="59"/>
      <c r="EW1733" s="59"/>
      <c r="EX1733" s="59"/>
      <c r="EY1733" s="59"/>
      <c r="EZ1733" s="59"/>
      <c r="FA1733" s="59"/>
      <c r="FB1733" s="59"/>
      <c r="FC1733" s="59"/>
      <c r="FD1733" s="59"/>
      <c r="FE1733" s="59"/>
      <c r="FF1733" s="59"/>
      <c r="FG1733" s="59"/>
      <c r="FH1733" s="59"/>
      <c r="FI1733" s="59"/>
      <c r="FJ1733" s="59"/>
      <c r="FK1733" s="59"/>
      <c r="FL1733" s="59"/>
      <c r="FM1733" s="59"/>
      <c r="FN1733" s="59"/>
      <c r="FO1733" s="59"/>
      <c r="FP1733" s="59"/>
      <c r="FQ1733" s="59"/>
      <c r="FR1733" s="59"/>
      <c r="FS1733" s="59"/>
      <c r="FT1733" s="59"/>
      <c r="FU1733" s="59"/>
      <c r="FV1733" s="59"/>
      <c r="FW1733" s="59"/>
      <c r="FX1733" s="59"/>
      <c r="FY1733" s="59"/>
      <c r="FZ1733" s="59"/>
      <c r="GA1733" s="59"/>
      <c r="GB1733" s="59"/>
      <c r="GC1733" s="59"/>
    </row>
    <row r="1734">
      <c r="A1734" s="59"/>
      <c r="B1734" s="59"/>
      <c r="C1734" s="59"/>
      <c r="D1734" s="59"/>
      <c r="E1734" s="59"/>
      <c r="F1734" s="59"/>
      <c r="G1734" s="59"/>
      <c r="H1734" s="59"/>
      <c r="I1734" s="59"/>
      <c r="J1734" s="59"/>
      <c r="K1734" s="59"/>
      <c r="L1734" s="59"/>
      <c r="M1734" s="59"/>
      <c r="N1734" s="59"/>
      <c r="O1734" s="59"/>
      <c r="P1734" s="59"/>
      <c r="Q1734" s="59"/>
      <c r="R1734" s="59"/>
      <c r="S1734" s="59"/>
      <c r="T1734" s="59"/>
      <c r="U1734" s="59"/>
      <c r="V1734" s="59"/>
      <c r="W1734" s="59"/>
      <c r="X1734" s="59"/>
      <c r="Y1734" s="59"/>
      <c r="Z1734" s="59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59"/>
      <c r="AU1734" s="59"/>
      <c r="AV1734" s="59"/>
      <c r="AW1734" s="59"/>
      <c r="AX1734" s="59"/>
      <c r="AY1734" s="59"/>
      <c r="AZ1734" s="59"/>
      <c r="BA1734" s="59"/>
      <c r="BB1734" s="59"/>
      <c r="BC1734" s="59"/>
      <c r="BD1734" s="59"/>
      <c r="BE1734" s="59"/>
      <c r="BF1734" s="59"/>
      <c r="BG1734" s="59"/>
      <c r="BH1734" s="59"/>
      <c r="BI1734" s="59"/>
      <c r="BJ1734" s="59"/>
      <c r="BK1734" s="59"/>
      <c r="BL1734" s="59"/>
      <c r="BM1734" s="59"/>
      <c r="BN1734" s="59"/>
      <c r="BO1734" s="59"/>
      <c r="BP1734" s="59"/>
      <c r="BQ1734" s="59"/>
      <c r="BR1734" s="59"/>
      <c r="BS1734" s="59"/>
      <c r="BT1734" s="59"/>
      <c r="BU1734" s="59"/>
      <c r="BV1734" s="59"/>
      <c r="BW1734" s="59"/>
      <c r="BX1734" s="59"/>
      <c r="BY1734" s="59"/>
      <c r="BZ1734" s="59"/>
      <c r="CA1734" s="59"/>
      <c r="CB1734" s="59"/>
      <c r="CC1734" s="59"/>
      <c r="CD1734" s="59"/>
      <c r="CE1734" s="59"/>
      <c r="CF1734" s="59"/>
      <c r="CG1734" s="59"/>
      <c r="CH1734" s="59"/>
      <c r="CI1734" s="59"/>
      <c r="CJ1734" s="59"/>
      <c r="CK1734" s="59"/>
      <c r="CL1734" s="59"/>
      <c r="CM1734" s="59"/>
      <c r="CN1734" s="59"/>
      <c r="CO1734" s="59"/>
      <c r="CP1734" s="59"/>
      <c r="CQ1734" s="59"/>
      <c r="CR1734" s="59"/>
      <c r="CS1734" s="59"/>
      <c r="CT1734" s="59"/>
      <c r="CU1734" s="59"/>
      <c r="CV1734" s="59"/>
      <c r="CW1734" s="59"/>
      <c r="CX1734" s="59"/>
      <c r="CY1734" s="59"/>
      <c r="CZ1734" s="59"/>
      <c r="DA1734" s="59"/>
      <c r="DB1734" s="59"/>
      <c r="DC1734" s="59"/>
      <c r="DD1734" s="59"/>
      <c r="DE1734" s="59"/>
      <c r="DF1734" s="59"/>
      <c r="DG1734" s="59"/>
      <c r="DH1734" s="59"/>
      <c r="DI1734" s="59"/>
      <c r="DJ1734" s="59"/>
      <c r="DK1734" s="59"/>
      <c r="DL1734" s="59"/>
      <c r="DM1734" s="59"/>
      <c r="DN1734" s="59"/>
      <c r="DO1734" s="59"/>
      <c r="DP1734" s="59"/>
      <c r="DQ1734" s="59"/>
      <c r="DR1734" s="59"/>
      <c r="DS1734" s="59"/>
      <c r="DT1734" s="59"/>
      <c r="DU1734" s="59"/>
      <c r="DV1734" s="59"/>
      <c r="DW1734" s="59"/>
      <c r="DX1734" s="59"/>
      <c r="DY1734" s="59"/>
      <c r="DZ1734" s="59"/>
      <c r="EA1734" s="59"/>
      <c r="EB1734" s="59"/>
      <c r="EC1734" s="59"/>
      <c r="ED1734" s="59"/>
      <c r="EE1734" s="59"/>
      <c r="EF1734" s="59"/>
      <c r="EG1734" s="59"/>
      <c r="EH1734" s="59"/>
      <c r="EI1734" s="59"/>
      <c r="EJ1734" s="59"/>
      <c r="EK1734" s="59"/>
      <c r="EL1734" s="59"/>
      <c r="EM1734" s="59"/>
      <c r="EN1734" s="59"/>
      <c r="EO1734" s="59"/>
      <c r="EP1734" s="59"/>
      <c r="EQ1734" s="59"/>
      <c r="ER1734" s="59"/>
      <c r="ES1734" s="59"/>
      <c r="ET1734" s="59"/>
      <c r="EU1734" s="59"/>
      <c r="EV1734" s="59"/>
      <c r="EW1734" s="59"/>
      <c r="EX1734" s="59"/>
      <c r="EY1734" s="59"/>
      <c r="EZ1734" s="59"/>
      <c r="FA1734" s="59"/>
      <c r="FB1734" s="59"/>
      <c r="FC1734" s="59"/>
      <c r="FD1734" s="59"/>
      <c r="FE1734" s="59"/>
      <c r="FF1734" s="59"/>
      <c r="FG1734" s="59"/>
      <c r="FH1734" s="59"/>
      <c r="FI1734" s="59"/>
      <c r="FJ1734" s="59"/>
      <c r="FK1734" s="59"/>
      <c r="FL1734" s="59"/>
      <c r="FM1734" s="59"/>
      <c r="FN1734" s="59"/>
      <c r="FO1734" s="59"/>
      <c r="FP1734" s="59"/>
      <c r="FQ1734" s="59"/>
      <c r="FR1734" s="59"/>
      <c r="FS1734" s="59"/>
      <c r="FT1734" s="59"/>
      <c r="FU1734" s="59"/>
      <c r="FV1734" s="59"/>
      <c r="FW1734" s="59"/>
      <c r="FX1734" s="59"/>
      <c r="FY1734" s="59"/>
      <c r="FZ1734" s="59"/>
      <c r="GA1734" s="59"/>
      <c r="GB1734" s="59"/>
      <c r="GC1734" s="59"/>
    </row>
    <row r="1735">
      <c r="A1735" s="59"/>
      <c r="B1735" s="59"/>
      <c r="C1735" s="59"/>
      <c r="D1735" s="59"/>
      <c r="E1735" s="59"/>
      <c r="F1735" s="59"/>
      <c r="G1735" s="59"/>
      <c r="H1735" s="59"/>
      <c r="I1735" s="59"/>
      <c r="J1735" s="59"/>
      <c r="K1735" s="59"/>
      <c r="L1735" s="59"/>
      <c r="M1735" s="59"/>
      <c r="N1735" s="59"/>
      <c r="O1735" s="59"/>
      <c r="P1735" s="59"/>
      <c r="Q1735" s="59"/>
      <c r="R1735" s="59"/>
      <c r="S1735" s="59"/>
      <c r="T1735" s="59"/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59"/>
      <c r="AE1735" s="59"/>
      <c r="AF1735" s="59"/>
      <c r="AG1735" s="59"/>
      <c r="AH1735" s="59"/>
      <c r="AI1735" s="59"/>
      <c r="AJ1735" s="59"/>
      <c r="AK1735" s="59"/>
      <c r="AL1735" s="59"/>
      <c r="AM1735" s="59"/>
      <c r="AN1735" s="59"/>
      <c r="AO1735" s="59"/>
      <c r="AP1735" s="59"/>
      <c r="AQ1735" s="59"/>
      <c r="AR1735" s="59"/>
      <c r="AS1735" s="59"/>
      <c r="AT1735" s="59"/>
      <c r="AU1735" s="59"/>
      <c r="AV1735" s="59"/>
      <c r="AW1735" s="59"/>
      <c r="AX1735" s="59"/>
      <c r="AY1735" s="59"/>
      <c r="AZ1735" s="59"/>
      <c r="BA1735" s="59"/>
      <c r="BB1735" s="59"/>
      <c r="BC1735" s="59"/>
      <c r="BD1735" s="59"/>
      <c r="BE1735" s="59"/>
      <c r="BF1735" s="59"/>
      <c r="BG1735" s="59"/>
      <c r="BH1735" s="59"/>
      <c r="BI1735" s="59"/>
      <c r="BJ1735" s="59"/>
      <c r="BK1735" s="59"/>
      <c r="BL1735" s="59"/>
      <c r="BM1735" s="59"/>
      <c r="BN1735" s="59"/>
      <c r="BO1735" s="59"/>
      <c r="BP1735" s="59"/>
      <c r="BQ1735" s="59"/>
      <c r="BR1735" s="59"/>
      <c r="BS1735" s="59"/>
      <c r="BT1735" s="59"/>
      <c r="BU1735" s="59"/>
      <c r="BV1735" s="59"/>
      <c r="BW1735" s="59"/>
      <c r="BX1735" s="59"/>
      <c r="BY1735" s="59"/>
      <c r="BZ1735" s="59"/>
      <c r="CA1735" s="59"/>
      <c r="CB1735" s="59"/>
      <c r="CC1735" s="59"/>
      <c r="CD1735" s="59"/>
      <c r="CE1735" s="59"/>
      <c r="CF1735" s="59"/>
      <c r="CG1735" s="59"/>
      <c r="CH1735" s="59"/>
      <c r="CI1735" s="59"/>
      <c r="CJ1735" s="59"/>
      <c r="CK1735" s="59"/>
      <c r="CL1735" s="59"/>
      <c r="CM1735" s="59"/>
      <c r="CN1735" s="59"/>
      <c r="CO1735" s="59"/>
      <c r="CP1735" s="59"/>
      <c r="CQ1735" s="59"/>
      <c r="CR1735" s="59"/>
      <c r="CS1735" s="59"/>
      <c r="CT1735" s="59"/>
      <c r="CU1735" s="59"/>
      <c r="CV1735" s="59"/>
      <c r="CW1735" s="59"/>
      <c r="CX1735" s="59"/>
      <c r="CY1735" s="59"/>
      <c r="CZ1735" s="59"/>
      <c r="DA1735" s="59"/>
      <c r="DB1735" s="59"/>
      <c r="DC1735" s="59"/>
      <c r="DD1735" s="59"/>
      <c r="DE1735" s="59"/>
      <c r="DF1735" s="59"/>
      <c r="DG1735" s="59"/>
      <c r="DH1735" s="59"/>
      <c r="DI1735" s="59"/>
      <c r="DJ1735" s="59"/>
      <c r="DK1735" s="59"/>
      <c r="DL1735" s="59"/>
      <c r="DM1735" s="59"/>
      <c r="DN1735" s="59"/>
      <c r="DO1735" s="59"/>
      <c r="DP1735" s="59"/>
      <c r="DQ1735" s="59"/>
      <c r="DR1735" s="59"/>
      <c r="DS1735" s="59"/>
      <c r="DT1735" s="59"/>
      <c r="DU1735" s="59"/>
      <c r="DV1735" s="59"/>
      <c r="DW1735" s="59"/>
      <c r="DX1735" s="59"/>
      <c r="DY1735" s="59"/>
      <c r="DZ1735" s="59"/>
      <c r="EA1735" s="59"/>
      <c r="EB1735" s="59"/>
      <c r="EC1735" s="59"/>
      <c r="ED1735" s="59"/>
      <c r="EE1735" s="59"/>
      <c r="EF1735" s="59"/>
      <c r="EG1735" s="59"/>
      <c r="EH1735" s="59"/>
      <c r="EI1735" s="59"/>
      <c r="EJ1735" s="59"/>
      <c r="EK1735" s="59"/>
      <c r="EL1735" s="59"/>
      <c r="EM1735" s="59"/>
      <c r="EN1735" s="59"/>
      <c r="EO1735" s="59"/>
      <c r="EP1735" s="59"/>
      <c r="EQ1735" s="59"/>
      <c r="ER1735" s="59"/>
      <c r="ES1735" s="59"/>
      <c r="ET1735" s="59"/>
      <c r="EU1735" s="59"/>
      <c r="EV1735" s="59"/>
      <c r="EW1735" s="59"/>
      <c r="EX1735" s="59"/>
      <c r="EY1735" s="59"/>
      <c r="EZ1735" s="59"/>
      <c r="FA1735" s="59"/>
      <c r="FB1735" s="59"/>
      <c r="FC1735" s="59"/>
      <c r="FD1735" s="59"/>
      <c r="FE1735" s="59"/>
      <c r="FF1735" s="59"/>
      <c r="FG1735" s="59"/>
      <c r="FH1735" s="59"/>
      <c r="FI1735" s="59"/>
      <c r="FJ1735" s="59"/>
      <c r="FK1735" s="59"/>
      <c r="FL1735" s="59"/>
      <c r="FM1735" s="59"/>
      <c r="FN1735" s="59"/>
      <c r="FO1735" s="59"/>
      <c r="FP1735" s="59"/>
      <c r="FQ1735" s="59"/>
      <c r="FR1735" s="59"/>
      <c r="FS1735" s="59"/>
      <c r="FT1735" s="59"/>
      <c r="FU1735" s="59"/>
      <c r="FV1735" s="59"/>
      <c r="FW1735" s="59"/>
      <c r="FX1735" s="59"/>
      <c r="FY1735" s="59"/>
      <c r="FZ1735" s="59"/>
      <c r="GA1735" s="59"/>
      <c r="GB1735" s="59"/>
      <c r="GC1735" s="59"/>
    </row>
    <row r="1736">
      <c r="A1736" s="59"/>
      <c r="B1736" s="59"/>
      <c r="C1736" s="59"/>
      <c r="D1736" s="59"/>
      <c r="E1736" s="59"/>
      <c r="F1736" s="59"/>
      <c r="G1736" s="59"/>
      <c r="H1736" s="59"/>
      <c r="I1736" s="59"/>
      <c r="J1736" s="59"/>
      <c r="K1736" s="59"/>
      <c r="L1736" s="59"/>
      <c r="M1736" s="59"/>
      <c r="N1736" s="59"/>
      <c r="O1736" s="59"/>
      <c r="P1736" s="59"/>
      <c r="Q1736" s="59"/>
      <c r="R1736" s="59"/>
      <c r="S1736" s="59"/>
      <c r="T1736" s="59"/>
      <c r="U1736" s="59"/>
      <c r="V1736" s="59"/>
      <c r="W1736" s="59"/>
      <c r="X1736" s="59"/>
      <c r="Y1736" s="59"/>
      <c r="Z1736" s="59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59"/>
      <c r="AU1736" s="59"/>
      <c r="AV1736" s="59"/>
      <c r="AW1736" s="59"/>
      <c r="AX1736" s="59"/>
      <c r="AY1736" s="59"/>
      <c r="AZ1736" s="59"/>
      <c r="BA1736" s="59"/>
      <c r="BB1736" s="59"/>
      <c r="BC1736" s="59"/>
      <c r="BD1736" s="59"/>
      <c r="BE1736" s="59"/>
      <c r="BF1736" s="59"/>
      <c r="BG1736" s="59"/>
      <c r="BH1736" s="59"/>
      <c r="BI1736" s="59"/>
      <c r="BJ1736" s="59"/>
      <c r="BK1736" s="59"/>
      <c r="BL1736" s="59"/>
      <c r="BM1736" s="59"/>
      <c r="BN1736" s="59"/>
      <c r="BO1736" s="59"/>
      <c r="BP1736" s="59"/>
      <c r="BQ1736" s="59"/>
      <c r="BR1736" s="59"/>
      <c r="BS1736" s="59"/>
      <c r="BT1736" s="59"/>
      <c r="BU1736" s="59"/>
      <c r="BV1736" s="59"/>
      <c r="BW1736" s="59"/>
      <c r="BX1736" s="59"/>
      <c r="BY1736" s="59"/>
      <c r="BZ1736" s="59"/>
      <c r="CA1736" s="59"/>
      <c r="CB1736" s="59"/>
      <c r="CC1736" s="59"/>
      <c r="CD1736" s="59"/>
      <c r="CE1736" s="59"/>
      <c r="CF1736" s="59"/>
      <c r="CG1736" s="59"/>
      <c r="CH1736" s="59"/>
      <c r="CI1736" s="59"/>
      <c r="CJ1736" s="59"/>
      <c r="CK1736" s="59"/>
      <c r="CL1736" s="59"/>
      <c r="CM1736" s="59"/>
      <c r="CN1736" s="59"/>
      <c r="CO1736" s="59"/>
      <c r="CP1736" s="59"/>
      <c r="CQ1736" s="59"/>
      <c r="CR1736" s="59"/>
      <c r="CS1736" s="59"/>
      <c r="CT1736" s="59"/>
      <c r="CU1736" s="59"/>
      <c r="CV1736" s="59"/>
      <c r="CW1736" s="59"/>
      <c r="CX1736" s="59"/>
      <c r="CY1736" s="59"/>
      <c r="CZ1736" s="59"/>
      <c r="DA1736" s="59"/>
      <c r="DB1736" s="59"/>
      <c r="DC1736" s="59"/>
      <c r="DD1736" s="59"/>
      <c r="DE1736" s="59"/>
      <c r="DF1736" s="59"/>
      <c r="DG1736" s="59"/>
      <c r="DH1736" s="59"/>
      <c r="DI1736" s="59"/>
      <c r="DJ1736" s="59"/>
      <c r="DK1736" s="59"/>
      <c r="DL1736" s="59"/>
      <c r="DM1736" s="59"/>
      <c r="DN1736" s="59"/>
      <c r="DO1736" s="59"/>
      <c r="DP1736" s="59"/>
      <c r="DQ1736" s="59"/>
      <c r="DR1736" s="59"/>
      <c r="DS1736" s="59"/>
      <c r="DT1736" s="59"/>
      <c r="DU1736" s="59"/>
      <c r="DV1736" s="59"/>
      <c r="DW1736" s="59"/>
      <c r="DX1736" s="59"/>
      <c r="DY1736" s="59"/>
      <c r="DZ1736" s="59"/>
      <c r="EA1736" s="59"/>
      <c r="EB1736" s="59"/>
      <c r="EC1736" s="59"/>
      <c r="ED1736" s="59"/>
      <c r="EE1736" s="59"/>
      <c r="EF1736" s="59"/>
      <c r="EG1736" s="59"/>
      <c r="EH1736" s="59"/>
      <c r="EI1736" s="59"/>
      <c r="EJ1736" s="59"/>
      <c r="EK1736" s="59"/>
      <c r="EL1736" s="59"/>
      <c r="EM1736" s="59"/>
      <c r="EN1736" s="59"/>
      <c r="EO1736" s="59"/>
      <c r="EP1736" s="59"/>
      <c r="EQ1736" s="59"/>
      <c r="ER1736" s="59"/>
      <c r="ES1736" s="59"/>
      <c r="ET1736" s="59"/>
      <c r="EU1736" s="59"/>
      <c r="EV1736" s="59"/>
      <c r="EW1736" s="59"/>
      <c r="EX1736" s="59"/>
      <c r="EY1736" s="59"/>
      <c r="EZ1736" s="59"/>
      <c r="FA1736" s="59"/>
      <c r="FB1736" s="59"/>
      <c r="FC1736" s="59"/>
      <c r="FD1736" s="59"/>
      <c r="FE1736" s="59"/>
      <c r="FF1736" s="59"/>
      <c r="FG1736" s="59"/>
      <c r="FH1736" s="59"/>
      <c r="FI1736" s="59"/>
      <c r="FJ1736" s="59"/>
      <c r="FK1736" s="59"/>
      <c r="FL1736" s="59"/>
      <c r="FM1736" s="59"/>
      <c r="FN1736" s="59"/>
      <c r="FO1736" s="59"/>
      <c r="FP1736" s="59"/>
      <c r="FQ1736" s="59"/>
      <c r="FR1736" s="59"/>
      <c r="FS1736" s="59"/>
      <c r="FT1736" s="59"/>
      <c r="FU1736" s="59"/>
      <c r="FV1736" s="59"/>
      <c r="FW1736" s="59"/>
      <c r="FX1736" s="59"/>
      <c r="FY1736" s="59"/>
      <c r="FZ1736" s="59"/>
      <c r="GA1736" s="59"/>
      <c r="GB1736" s="59"/>
      <c r="GC1736" s="59"/>
    </row>
    <row r="1737">
      <c r="A1737" s="59"/>
      <c r="B1737" s="59"/>
      <c r="C1737" s="59"/>
      <c r="D1737" s="59"/>
      <c r="E1737" s="59"/>
      <c r="F1737" s="59"/>
      <c r="G1737" s="59"/>
      <c r="H1737" s="59"/>
      <c r="I1737" s="59"/>
      <c r="J1737" s="59"/>
      <c r="K1737" s="59"/>
      <c r="L1737" s="59"/>
      <c r="M1737" s="59"/>
      <c r="N1737" s="59"/>
      <c r="O1737" s="59"/>
      <c r="P1737" s="59"/>
      <c r="Q1737" s="59"/>
      <c r="R1737" s="59"/>
      <c r="S1737" s="59"/>
      <c r="T1737" s="59"/>
      <c r="U1737" s="59"/>
      <c r="V1737" s="59"/>
      <c r="W1737" s="59"/>
      <c r="X1737" s="59"/>
      <c r="Y1737" s="59"/>
      <c r="Z1737" s="59"/>
      <c r="AA1737" s="59"/>
      <c r="AB1737" s="59"/>
      <c r="AC1737" s="59"/>
      <c r="AD1737" s="59"/>
      <c r="AE1737" s="59"/>
      <c r="AF1737" s="59"/>
      <c r="AG1737" s="59"/>
      <c r="AH1737" s="59"/>
      <c r="AI1737" s="59"/>
      <c r="AJ1737" s="59"/>
      <c r="AK1737" s="59"/>
      <c r="AL1737" s="59"/>
      <c r="AM1737" s="59"/>
      <c r="AN1737" s="59"/>
      <c r="AO1737" s="59"/>
      <c r="AP1737" s="59"/>
      <c r="AQ1737" s="59"/>
      <c r="AR1737" s="59"/>
      <c r="AS1737" s="59"/>
      <c r="AT1737" s="59"/>
      <c r="AU1737" s="59"/>
      <c r="AV1737" s="59"/>
      <c r="AW1737" s="59"/>
      <c r="AX1737" s="59"/>
      <c r="AY1737" s="59"/>
      <c r="AZ1737" s="59"/>
      <c r="BA1737" s="59"/>
      <c r="BB1737" s="59"/>
      <c r="BC1737" s="59"/>
      <c r="BD1737" s="59"/>
      <c r="BE1737" s="59"/>
      <c r="BF1737" s="59"/>
      <c r="BG1737" s="59"/>
      <c r="BH1737" s="59"/>
      <c r="BI1737" s="59"/>
      <c r="BJ1737" s="59"/>
      <c r="BK1737" s="59"/>
      <c r="BL1737" s="59"/>
      <c r="BM1737" s="59"/>
      <c r="BN1737" s="59"/>
      <c r="BO1737" s="59"/>
      <c r="BP1737" s="59"/>
      <c r="BQ1737" s="59"/>
      <c r="BR1737" s="59"/>
      <c r="BS1737" s="59"/>
      <c r="BT1737" s="59"/>
      <c r="BU1737" s="59"/>
      <c r="BV1737" s="59"/>
      <c r="BW1737" s="59"/>
      <c r="BX1737" s="59"/>
      <c r="BY1737" s="59"/>
      <c r="BZ1737" s="59"/>
      <c r="CA1737" s="59"/>
      <c r="CB1737" s="59"/>
      <c r="CC1737" s="59"/>
      <c r="CD1737" s="59"/>
      <c r="CE1737" s="59"/>
      <c r="CF1737" s="59"/>
      <c r="CG1737" s="59"/>
      <c r="CH1737" s="59"/>
      <c r="CI1737" s="59"/>
      <c r="CJ1737" s="59"/>
      <c r="CK1737" s="59"/>
      <c r="CL1737" s="59"/>
      <c r="CM1737" s="59"/>
      <c r="CN1737" s="59"/>
      <c r="CO1737" s="59"/>
      <c r="CP1737" s="59"/>
      <c r="CQ1737" s="59"/>
      <c r="CR1737" s="59"/>
      <c r="CS1737" s="59"/>
      <c r="CT1737" s="59"/>
      <c r="CU1737" s="59"/>
      <c r="CV1737" s="59"/>
      <c r="CW1737" s="59"/>
      <c r="CX1737" s="59"/>
      <c r="CY1737" s="59"/>
      <c r="CZ1737" s="59"/>
      <c r="DA1737" s="59"/>
      <c r="DB1737" s="59"/>
      <c r="DC1737" s="59"/>
      <c r="DD1737" s="59"/>
      <c r="DE1737" s="59"/>
      <c r="DF1737" s="59"/>
      <c r="DG1737" s="59"/>
      <c r="DH1737" s="59"/>
      <c r="DI1737" s="59"/>
      <c r="DJ1737" s="59"/>
      <c r="DK1737" s="59"/>
      <c r="DL1737" s="59"/>
      <c r="DM1737" s="59"/>
      <c r="DN1737" s="59"/>
      <c r="DO1737" s="59"/>
      <c r="DP1737" s="59"/>
      <c r="DQ1737" s="59"/>
      <c r="DR1737" s="59"/>
      <c r="DS1737" s="59"/>
      <c r="DT1737" s="59"/>
      <c r="DU1737" s="59"/>
      <c r="DV1737" s="59"/>
      <c r="DW1737" s="59"/>
      <c r="DX1737" s="59"/>
      <c r="DY1737" s="59"/>
      <c r="DZ1737" s="59"/>
      <c r="EA1737" s="59"/>
      <c r="EB1737" s="59"/>
      <c r="EC1737" s="59"/>
      <c r="ED1737" s="59"/>
      <c r="EE1737" s="59"/>
      <c r="EF1737" s="59"/>
      <c r="EG1737" s="59"/>
      <c r="EH1737" s="59"/>
      <c r="EI1737" s="59"/>
      <c r="EJ1737" s="59"/>
      <c r="EK1737" s="59"/>
      <c r="EL1737" s="59"/>
      <c r="EM1737" s="59"/>
      <c r="EN1737" s="59"/>
      <c r="EO1737" s="59"/>
      <c r="EP1737" s="59"/>
      <c r="EQ1737" s="59"/>
      <c r="ER1737" s="59"/>
      <c r="ES1737" s="59"/>
      <c r="ET1737" s="59"/>
      <c r="EU1737" s="59"/>
      <c r="EV1737" s="59"/>
      <c r="EW1737" s="59"/>
      <c r="EX1737" s="59"/>
      <c r="EY1737" s="59"/>
      <c r="EZ1737" s="59"/>
      <c r="FA1737" s="59"/>
      <c r="FB1737" s="59"/>
      <c r="FC1737" s="59"/>
      <c r="FD1737" s="59"/>
      <c r="FE1737" s="59"/>
      <c r="FF1737" s="59"/>
      <c r="FG1737" s="59"/>
      <c r="FH1737" s="59"/>
      <c r="FI1737" s="59"/>
      <c r="FJ1737" s="59"/>
      <c r="FK1737" s="59"/>
      <c r="FL1737" s="59"/>
      <c r="FM1737" s="59"/>
      <c r="FN1737" s="59"/>
      <c r="FO1737" s="59"/>
      <c r="FP1737" s="59"/>
      <c r="FQ1737" s="59"/>
      <c r="FR1737" s="59"/>
      <c r="FS1737" s="59"/>
      <c r="FT1737" s="59"/>
      <c r="FU1737" s="59"/>
      <c r="FV1737" s="59"/>
      <c r="FW1737" s="59"/>
      <c r="FX1737" s="59"/>
      <c r="FY1737" s="59"/>
      <c r="FZ1737" s="59"/>
      <c r="GA1737" s="59"/>
      <c r="GB1737" s="59"/>
      <c r="GC1737" s="59"/>
    </row>
    <row r="1738">
      <c r="A1738" s="59"/>
      <c r="B1738" s="59"/>
      <c r="C1738" s="59"/>
      <c r="D1738" s="59"/>
      <c r="E1738" s="59"/>
      <c r="F1738" s="59"/>
      <c r="G1738" s="59"/>
      <c r="H1738" s="59"/>
      <c r="I1738" s="59"/>
      <c r="J1738" s="59"/>
      <c r="K1738" s="59"/>
      <c r="L1738" s="59"/>
      <c r="M1738" s="59"/>
      <c r="N1738" s="59"/>
      <c r="O1738" s="59"/>
      <c r="P1738" s="59"/>
      <c r="Q1738" s="59"/>
      <c r="R1738" s="59"/>
      <c r="S1738" s="59"/>
      <c r="T1738" s="59"/>
      <c r="U1738" s="59"/>
      <c r="V1738" s="59"/>
      <c r="W1738" s="59"/>
      <c r="X1738" s="59"/>
      <c r="Y1738" s="59"/>
      <c r="Z1738" s="59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59"/>
      <c r="AU1738" s="59"/>
      <c r="AV1738" s="59"/>
      <c r="AW1738" s="59"/>
      <c r="AX1738" s="59"/>
      <c r="AY1738" s="59"/>
      <c r="AZ1738" s="59"/>
      <c r="BA1738" s="59"/>
      <c r="BB1738" s="59"/>
      <c r="BC1738" s="59"/>
      <c r="BD1738" s="59"/>
      <c r="BE1738" s="59"/>
      <c r="BF1738" s="59"/>
      <c r="BG1738" s="59"/>
      <c r="BH1738" s="59"/>
      <c r="BI1738" s="59"/>
      <c r="BJ1738" s="59"/>
      <c r="BK1738" s="59"/>
      <c r="BL1738" s="59"/>
      <c r="BM1738" s="59"/>
      <c r="BN1738" s="59"/>
      <c r="BO1738" s="59"/>
      <c r="BP1738" s="59"/>
      <c r="BQ1738" s="59"/>
      <c r="BR1738" s="59"/>
      <c r="BS1738" s="59"/>
      <c r="BT1738" s="59"/>
      <c r="BU1738" s="59"/>
      <c r="BV1738" s="59"/>
      <c r="BW1738" s="59"/>
      <c r="BX1738" s="59"/>
      <c r="BY1738" s="59"/>
      <c r="BZ1738" s="59"/>
      <c r="CA1738" s="59"/>
      <c r="CB1738" s="59"/>
      <c r="CC1738" s="59"/>
      <c r="CD1738" s="59"/>
      <c r="CE1738" s="59"/>
      <c r="CF1738" s="59"/>
      <c r="CG1738" s="59"/>
      <c r="CH1738" s="59"/>
      <c r="CI1738" s="59"/>
      <c r="CJ1738" s="59"/>
      <c r="CK1738" s="59"/>
      <c r="CL1738" s="59"/>
      <c r="CM1738" s="59"/>
      <c r="CN1738" s="59"/>
      <c r="CO1738" s="59"/>
      <c r="CP1738" s="59"/>
      <c r="CQ1738" s="59"/>
      <c r="CR1738" s="59"/>
      <c r="CS1738" s="59"/>
      <c r="CT1738" s="59"/>
      <c r="CU1738" s="59"/>
      <c r="CV1738" s="59"/>
      <c r="CW1738" s="59"/>
      <c r="CX1738" s="59"/>
      <c r="CY1738" s="59"/>
      <c r="CZ1738" s="59"/>
      <c r="DA1738" s="59"/>
      <c r="DB1738" s="59"/>
      <c r="DC1738" s="59"/>
      <c r="DD1738" s="59"/>
      <c r="DE1738" s="59"/>
      <c r="DF1738" s="59"/>
      <c r="DG1738" s="59"/>
      <c r="DH1738" s="59"/>
      <c r="DI1738" s="59"/>
      <c r="DJ1738" s="59"/>
      <c r="DK1738" s="59"/>
      <c r="DL1738" s="59"/>
      <c r="DM1738" s="59"/>
      <c r="DN1738" s="59"/>
      <c r="DO1738" s="59"/>
      <c r="DP1738" s="59"/>
      <c r="DQ1738" s="59"/>
      <c r="DR1738" s="59"/>
      <c r="DS1738" s="59"/>
      <c r="DT1738" s="59"/>
      <c r="DU1738" s="59"/>
      <c r="DV1738" s="59"/>
      <c r="DW1738" s="59"/>
      <c r="DX1738" s="59"/>
      <c r="DY1738" s="59"/>
      <c r="DZ1738" s="59"/>
      <c r="EA1738" s="59"/>
      <c r="EB1738" s="59"/>
      <c r="EC1738" s="59"/>
      <c r="ED1738" s="59"/>
      <c r="EE1738" s="59"/>
      <c r="EF1738" s="59"/>
      <c r="EG1738" s="59"/>
      <c r="EH1738" s="59"/>
      <c r="EI1738" s="59"/>
      <c r="EJ1738" s="59"/>
      <c r="EK1738" s="59"/>
      <c r="EL1738" s="59"/>
      <c r="EM1738" s="59"/>
      <c r="EN1738" s="59"/>
      <c r="EO1738" s="59"/>
      <c r="EP1738" s="59"/>
      <c r="EQ1738" s="59"/>
      <c r="ER1738" s="59"/>
      <c r="ES1738" s="59"/>
      <c r="ET1738" s="59"/>
      <c r="EU1738" s="59"/>
      <c r="EV1738" s="59"/>
      <c r="EW1738" s="59"/>
      <c r="EX1738" s="59"/>
      <c r="EY1738" s="59"/>
      <c r="EZ1738" s="59"/>
      <c r="FA1738" s="59"/>
      <c r="FB1738" s="59"/>
      <c r="FC1738" s="59"/>
      <c r="FD1738" s="59"/>
      <c r="FE1738" s="59"/>
      <c r="FF1738" s="59"/>
      <c r="FG1738" s="59"/>
      <c r="FH1738" s="59"/>
      <c r="FI1738" s="59"/>
      <c r="FJ1738" s="59"/>
      <c r="FK1738" s="59"/>
      <c r="FL1738" s="59"/>
      <c r="FM1738" s="59"/>
      <c r="FN1738" s="59"/>
      <c r="FO1738" s="59"/>
      <c r="FP1738" s="59"/>
      <c r="FQ1738" s="59"/>
      <c r="FR1738" s="59"/>
      <c r="FS1738" s="59"/>
      <c r="FT1738" s="59"/>
      <c r="FU1738" s="59"/>
      <c r="FV1738" s="59"/>
      <c r="FW1738" s="59"/>
      <c r="FX1738" s="59"/>
      <c r="FY1738" s="59"/>
      <c r="FZ1738" s="59"/>
      <c r="GA1738" s="59"/>
      <c r="GB1738" s="59"/>
      <c r="GC1738" s="59"/>
    </row>
    <row r="1739">
      <c r="A1739" s="59"/>
      <c r="B1739" s="59"/>
      <c r="C1739" s="59"/>
      <c r="D1739" s="59"/>
      <c r="E1739" s="59"/>
      <c r="F1739" s="59"/>
      <c r="G1739" s="59"/>
      <c r="H1739" s="59"/>
      <c r="I1739" s="59"/>
      <c r="J1739" s="59"/>
      <c r="K1739" s="59"/>
      <c r="L1739" s="59"/>
      <c r="M1739" s="59"/>
      <c r="N1739" s="59"/>
      <c r="O1739" s="59"/>
      <c r="P1739" s="59"/>
      <c r="Q1739" s="59"/>
      <c r="R1739" s="59"/>
      <c r="S1739" s="59"/>
      <c r="T1739" s="59"/>
      <c r="U1739" s="59"/>
      <c r="V1739" s="59"/>
      <c r="W1739" s="59"/>
      <c r="X1739" s="59"/>
      <c r="Y1739" s="59"/>
      <c r="Z1739" s="59"/>
      <c r="AA1739" s="59"/>
      <c r="AB1739" s="59"/>
      <c r="AC1739" s="59"/>
      <c r="AD1739" s="59"/>
      <c r="AE1739" s="59"/>
      <c r="AF1739" s="59"/>
      <c r="AG1739" s="59"/>
      <c r="AH1739" s="59"/>
      <c r="AI1739" s="59"/>
      <c r="AJ1739" s="59"/>
      <c r="AK1739" s="59"/>
      <c r="AL1739" s="59"/>
      <c r="AM1739" s="59"/>
      <c r="AN1739" s="59"/>
      <c r="AO1739" s="59"/>
      <c r="AP1739" s="59"/>
      <c r="AQ1739" s="59"/>
      <c r="AR1739" s="59"/>
      <c r="AS1739" s="59"/>
      <c r="AT1739" s="59"/>
      <c r="AU1739" s="59"/>
      <c r="AV1739" s="59"/>
      <c r="AW1739" s="59"/>
      <c r="AX1739" s="59"/>
      <c r="AY1739" s="59"/>
      <c r="AZ1739" s="59"/>
      <c r="BA1739" s="59"/>
      <c r="BB1739" s="59"/>
      <c r="BC1739" s="59"/>
      <c r="BD1739" s="59"/>
      <c r="BE1739" s="59"/>
      <c r="BF1739" s="59"/>
      <c r="BG1739" s="59"/>
      <c r="BH1739" s="59"/>
      <c r="BI1739" s="59"/>
      <c r="BJ1739" s="59"/>
      <c r="BK1739" s="59"/>
      <c r="BL1739" s="59"/>
      <c r="BM1739" s="59"/>
      <c r="BN1739" s="59"/>
      <c r="BO1739" s="59"/>
      <c r="BP1739" s="59"/>
      <c r="BQ1739" s="59"/>
      <c r="BR1739" s="59"/>
      <c r="BS1739" s="59"/>
      <c r="BT1739" s="59"/>
      <c r="BU1739" s="59"/>
      <c r="BV1739" s="59"/>
      <c r="BW1739" s="59"/>
      <c r="BX1739" s="59"/>
      <c r="BY1739" s="59"/>
      <c r="BZ1739" s="59"/>
      <c r="CA1739" s="59"/>
      <c r="CB1739" s="59"/>
      <c r="CC1739" s="59"/>
      <c r="CD1739" s="59"/>
      <c r="CE1739" s="59"/>
      <c r="CF1739" s="59"/>
      <c r="CG1739" s="59"/>
      <c r="CH1739" s="59"/>
      <c r="CI1739" s="59"/>
      <c r="CJ1739" s="59"/>
      <c r="CK1739" s="59"/>
      <c r="CL1739" s="59"/>
      <c r="CM1739" s="59"/>
      <c r="CN1739" s="59"/>
      <c r="CO1739" s="59"/>
      <c r="CP1739" s="59"/>
      <c r="CQ1739" s="59"/>
      <c r="CR1739" s="59"/>
      <c r="CS1739" s="59"/>
      <c r="CT1739" s="59"/>
      <c r="CU1739" s="59"/>
      <c r="CV1739" s="59"/>
      <c r="CW1739" s="59"/>
      <c r="CX1739" s="59"/>
      <c r="CY1739" s="59"/>
      <c r="CZ1739" s="59"/>
      <c r="DA1739" s="59"/>
      <c r="DB1739" s="59"/>
      <c r="DC1739" s="59"/>
      <c r="DD1739" s="59"/>
      <c r="DE1739" s="59"/>
      <c r="DF1739" s="59"/>
      <c r="DG1739" s="59"/>
      <c r="DH1739" s="59"/>
      <c r="DI1739" s="59"/>
      <c r="DJ1739" s="59"/>
      <c r="DK1739" s="59"/>
      <c r="DL1739" s="59"/>
      <c r="DM1739" s="59"/>
      <c r="DN1739" s="59"/>
      <c r="DO1739" s="59"/>
      <c r="DP1739" s="59"/>
      <c r="DQ1739" s="59"/>
      <c r="DR1739" s="59"/>
      <c r="DS1739" s="59"/>
      <c r="DT1739" s="59"/>
      <c r="DU1739" s="59"/>
      <c r="DV1739" s="59"/>
      <c r="DW1739" s="59"/>
      <c r="DX1739" s="59"/>
      <c r="DY1739" s="59"/>
      <c r="DZ1739" s="59"/>
      <c r="EA1739" s="59"/>
      <c r="EB1739" s="59"/>
      <c r="EC1739" s="59"/>
      <c r="ED1739" s="59"/>
      <c r="EE1739" s="59"/>
      <c r="EF1739" s="59"/>
      <c r="EG1739" s="59"/>
      <c r="EH1739" s="59"/>
      <c r="EI1739" s="59"/>
      <c r="EJ1739" s="59"/>
      <c r="EK1739" s="59"/>
      <c r="EL1739" s="59"/>
      <c r="EM1739" s="59"/>
      <c r="EN1739" s="59"/>
      <c r="EO1739" s="59"/>
      <c r="EP1739" s="59"/>
      <c r="EQ1739" s="59"/>
      <c r="ER1739" s="59"/>
      <c r="ES1739" s="59"/>
      <c r="ET1739" s="59"/>
      <c r="EU1739" s="59"/>
      <c r="EV1739" s="59"/>
      <c r="EW1739" s="59"/>
      <c r="EX1739" s="59"/>
      <c r="EY1739" s="59"/>
      <c r="EZ1739" s="59"/>
      <c r="FA1739" s="59"/>
      <c r="FB1739" s="59"/>
      <c r="FC1739" s="59"/>
      <c r="FD1739" s="59"/>
      <c r="FE1739" s="59"/>
      <c r="FF1739" s="59"/>
      <c r="FG1739" s="59"/>
      <c r="FH1739" s="59"/>
      <c r="FI1739" s="59"/>
      <c r="FJ1739" s="59"/>
      <c r="FK1739" s="59"/>
      <c r="FL1739" s="59"/>
      <c r="FM1739" s="59"/>
      <c r="FN1739" s="59"/>
      <c r="FO1739" s="59"/>
      <c r="FP1739" s="59"/>
      <c r="FQ1739" s="59"/>
      <c r="FR1739" s="59"/>
      <c r="FS1739" s="59"/>
      <c r="FT1739" s="59"/>
      <c r="FU1739" s="59"/>
      <c r="FV1739" s="59"/>
      <c r="FW1739" s="59"/>
      <c r="FX1739" s="59"/>
      <c r="FY1739" s="59"/>
      <c r="FZ1739" s="59"/>
      <c r="GA1739" s="59"/>
      <c r="GB1739" s="59"/>
      <c r="GC1739" s="59"/>
    </row>
    <row r="1740">
      <c r="A1740" s="59"/>
      <c r="B1740" s="59"/>
      <c r="C1740" s="59"/>
      <c r="D1740" s="59"/>
      <c r="E1740" s="59"/>
      <c r="F1740" s="59"/>
      <c r="G1740" s="59"/>
      <c r="H1740" s="59"/>
      <c r="I1740" s="59"/>
      <c r="J1740" s="59"/>
      <c r="K1740" s="59"/>
      <c r="L1740" s="59"/>
      <c r="M1740" s="59"/>
      <c r="N1740" s="59"/>
      <c r="O1740" s="59"/>
      <c r="P1740" s="59"/>
      <c r="Q1740" s="59"/>
      <c r="R1740" s="59"/>
      <c r="S1740" s="59"/>
      <c r="T1740" s="59"/>
      <c r="U1740" s="59"/>
      <c r="V1740" s="59"/>
      <c r="W1740" s="59"/>
      <c r="X1740" s="59"/>
      <c r="Y1740" s="59"/>
      <c r="Z1740" s="59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59"/>
      <c r="AU1740" s="59"/>
      <c r="AV1740" s="59"/>
      <c r="AW1740" s="59"/>
      <c r="AX1740" s="59"/>
      <c r="AY1740" s="59"/>
      <c r="AZ1740" s="59"/>
      <c r="BA1740" s="59"/>
      <c r="BB1740" s="59"/>
      <c r="BC1740" s="59"/>
      <c r="BD1740" s="59"/>
      <c r="BE1740" s="59"/>
      <c r="BF1740" s="59"/>
      <c r="BG1740" s="59"/>
      <c r="BH1740" s="59"/>
      <c r="BI1740" s="59"/>
      <c r="BJ1740" s="59"/>
      <c r="BK1740" s="59"/>
      <c r="BL1740" s="59"/>
      <c r="BM1740" s="59"/>
      <c r="BN1740" s="59"/>
      <c r="BO1740" s="59"/>
      <c r="BP1740" s="59"/>
      <c r="BQ1740" s="59"/>
      <c r="BR1740" s="59"/>
      <c r="BS1740" s="59"/>
      <c r="BT1740" s="59"/>
      <c r="BU1740" s="59"/>
      <c r="BV1740" s="59"/>
      <c r="BW1740" s="59"/>
      <c r="BX1740" s="59"/>
      <c r="BY1740" s="59"/>
      <c r="BZ1740" s="59"/>
      <c r="CA1740" s="59"/>
      <c r="CB1740" s="59"/>
      <c r="CC1740" s="59"/>
      <c r="CD1740" s="59"/>
      <c r="CE1740" s="59"/>
      <c r="CF1740" s="59"/>
      <c r="CG1740" s="59"/>
      <c r="CH1740" s="59"/>
      <c r="CI1740" s="59"/>
      <c r="CJ1740" s="59"/>
      <c r="CK1740" s="59"/>
      <c r="CL1740" s="59"/>
      <c r="CM1740" s="59"/>
      <c r="CN1740" s="59"/>
      <c r="CO1740" s="59"/>
      <c r="CP1740" s="59"/>
      <c r="CQ1740" s="59"/>
      <c r="CR1740" s="59"/>
      <c r="CS1740" s="59"/>
      <c r="CT1740" s="59"/>
      <c r="CU1740" s="59"/>
      <c r="CV1740" s="59"/>
      <c r="CW1740" s="59"/>
      <c r="CX1740" s="59"/>
      <c r="CY1740" s="59"/>
      <c r="CZ1740" s="59"/>
      <c r="DA1740" s="59"/>
      <c r="DB1740" s="59"/>
      <c r="DC1740" s="59"/>
      <c r="DD1740" s="59"/>
      <c r="DE1740" s="59"/>
      <c r="DF1740" s="59"/>
      <c r="DG1740" s="59"/>
      <c r="DH1740" s="59"/>
      <c r="DI1740" s="59"/>
      <c r="DJ1740" s="59"/>
      <c r="DK1740" s="59"/>
      <c r="DL1740" s="59"/>
      <c r="DM1740" s="59"/>
      <c r="DN1740" s="59"/>
      <c r="DO1740" s="59"/>
      <c r="DP1740" s="59"/>
      <c r="DQ1740" s="59"/>
      <c r="DR1740" s="59"/>
      <c r="DS1740" s="59"/>
      <c r="DT1740" s="59"/>
      <c r="DU1740" s="59"/>
      <c r="DV1740" s="59"/>
      <c r="DW1740" s="59"/>
      <c r="DX1740" s="59"/>
      <c r="DY1740" s="59"/>
      <c r="DZ1740" s="59"/>
      <c r="EA1740" s="59"/>
      <c r="EB1740" s="59"/>
      <c r="EC1740" s="59"/>
      <c r="ED1740" s="59"/>
      <c r="EE1740" s="59"/>
      <c r="EF1740" s="59"/>
      <c r="EG1740" s="59"/>
      <c r="EH1740" s="59"/>
      <c r="EI1740" s="59"/>
      <c r="EJ1740" s="59"/>
      <c r="EK1740" s="59"/>
      <c r="EL1740" s="59"/>
      <c r="EM1740" s="59"/>
      <c r="EN1740" s="59"/>
      <c r="EO1740" s="59"/>
      <c r="EP1740" s="59"/>
      <c r="EQ1740" s="59"/>
      <c r="ER1740" s="59"/>
      <c r="ES1740" s="59"/>
      <c r="ET1740" s="59"/>
      <c r="EU1740" s="59"/>
      <c r="EV1740" s="59"/>
      <c r="EW1740" s="59"/>
      <c r="EX1740" s="59"/>
      <c r="EY1740" s="59"/>
      <c r="EZ1740" s="59"/>
      <c r="FA1740" s="59"/>
      <c r="FB1740" s="59"/>
      <c r="FC1740" s="59"/>
      <c r="FD1740" s="59"/>
      <c r="FE1740" s="59"/>
      <c r="FF1740" s="59"/>
      <c r="FG1740" s="59"/>
      <c r="FH1740" s="59"/>
      <c r="FI1740" s="59"/>
      <c r="FJ1740" s="59"/>
      <c r="FK1740" s="59"/>
      <c r="FL1740" s="59"/>
      <c r="FM1740" s="59"/>
      <c r="FN1740" s="59"/>
      <c r="FO1740" s="59"/>
      <c r="FP1740" s="59"/>
      <c r="FQ1740" s="59"/>
      <c r="FR1740" s="59"/>
      <c r="FS1740" s="59"/>
      <c r="FT1740" s="59"/>
      <c r="FU1740" s="59"/>
      <c r="FV1740" s="59"/>
      <c r="FW1740" s="59"/>
      <c r="FX1740" s="59"/>
      <c r="FY1740" s="59"/>
      <c r="FZ1740" s="59"/>
      <c r="GA1740" s="59"/>
      <c r="GB1740" s="59"/>
      <c r="GC1740" s="59"/>
    </row>
    <row r="1741">
      <c r="A1741" s="59"/>
      <c r="B1741" s="59"/>
      <c r="C1741" s="59"/>
      <c r="D1741" s="59"/>
      <c r="E1741" s="59"/>
      <c r="F1741" s="59"/>
      <c r="G1741" s="59"/>
      <c r="H1741" s="59"/>
      <c r="I1741" s="59"/>
      <c r="J1741" s="59"/>
      <c r="K1741" s="59"/>
      <c r="L1741" s="59"/>
      <c r="M1741" s="59"/>
      <c r="N1741" s="59"/>
      <c r="O1741" s="59"/>
      <c r="P1741" s="59"/>
      <c r="Q1741" s="59"/>
      <c r="R1741" s="59"/>
      <c r="S1741" s="59"/>
      <c r="T1741" s="59"/>
      <c r="U1741" s="59"/>
      <c r="V1741" s="59"/>
      <c r="W1741" s="59"/>
      <c r="X1741" s="59"/>
      <c r="Y1741" s="59"/>
      <c r="Z1741" s="59"/>
      <c r="AA1741" s="59"/>
      <c r="AB1741" s="59"/>
      <c r="AC1741" s="59"/>
      <c r="AD1741" s="59"/>
      <c r="AE1741" s="59"/>
      <c r="AF1741" s="59"/>
      <c r="AG1741" s="59"/>
      <c r="AH1741" s="59"/>
      <c r="AI1741" s="59"/>
      <c r="AJ1741" s="59"/>
      <c r="AK1741" s="59"/>
      <c r="AL1741" s="59"/>
      <c r="AM1741" s="59"/>
      <c r="AN1741" s="59"/>
      <c r="AO1741" s="59"/>
      <c r="AP1741" s="59"/>
      <c r="AQ1741" s="59"/>
      <c r="AR1741" s="59"/>
      <c r="AS1741" s="59"/>
      <c r="AT1741" s="59"/>
      <c r="AU1741" s="59"/>
      <c r="AV1741" s="59"/>
      <c r="AW1741" s="59"/>
      <c r="AX1741" s="59"/>
      <c r="AY1741" s="59"/>
      <c r="AZ1741" s="59"/>
      <c r="BA1741" s="59"/>
      <c r="BB1741" s="59"/>
      <c r="BC1741" s="59"/>
      <c r="BD1741" s="59"/>
      <c r="BE1741" s="59"/>
      <c r="BF1741" s="59"/>
      <c r="BG1741" s="59"/>
      <c r="BH1741" s="59"/>
      <c r="BI1741" s="59"/>
      <c r="BJ1741" s="59"/>
      <c r="BK1741" s="59"/>
      <c r="BL1741" s="59"/>
      <c r="BM1741" s="59"/>
      <c r="BN1741" s="59"/>
      <c r="BO1741" s="59"/>
      <c r="BP1741" s="59"/>
      <c r="BQ1741" s="59"/>
      <c r="BR1741" s="59"/>
      <c r="BS1741" s="59"/>
      <c r="BT1741" s="59"/>
      <c r="BU1741" s="59"/>
      <c r="BV1741" s="59"/>
      <c r="BW1741" s="59"/>
      <c r="BX1741" s="59"/>
      <c r="BY1741" s="59"/>
      <c r="BZ1741" s="59"/>
      <c r="CA1741" s="59"/>
      <c r="CB1741" s="59"/>
      <c r="CC1741" s="59"/>
      <c r="CD1741" s="59"/>
      <c r="CE1741" s="59"/>
      <c r="CF1741" s="59"/>
      <c r="CG1741" s="59"/>
      <c r="CH1741" s="59"/>
      <c r="CI1741" s="59"/>
      <c r="CJ1741" s="59"/>
      <c r="CK1741" s="59"/>
      <c r="CL1741" s="59"/>
      <c r="CM1741" s="59"/>
      <c r="CN1741" s="59"/>
      <c r="CO1741" s="59"/>
      <c r="CP1741" s="59"/>
      <c r="CQ1741" s="59"/>
      <c r="CR1741" s="59"/>
      <c r="CS1741" s="59"/>
      <c r="CT1741" s="59"/>
      <c r="CU1741" s="59"/>
      <c r="CV1741" s="59"/>
      <c r="CW1741" s="59"/>
      <c r="CX1741" s="59"/>
      <c r="CY1741" s="59"/>
      <c r="CZ1741" s="59"/>
      <c r="DA1741" s="59"/>
      <c r="DB1741" s="59"/>
      <c r="DC1741" s="59"/>
      <c r="DD1741" s="59"/>
      <c r="DE1741" s="59"/>
      <c r="DF1741" s="59"/>
      <c r="DG1741" s="59"/>
      <c r="DH1741" s="59"/>
      <c r="DI1741" s="59"/>
      <c r="DJ1741" s="59"/>
      <c r="DK1741" s="59"/>
      <c r="DL1741" s="59"/>
      <c r="DM1741" s="59"/>
      <c r="DN1741" s="59"/>
      <c r="DO1741" s="59"/>
      <c r="DP1741" s="59"/>
      <c r="DQ1741" s="59"/>
      <c r="DR1741" s="59"/>
      <c r="DS1741" s="59"/>
      <c r="DT1741" s="59"/>
      <c r="DU1741" s="59"/>
      <c r="DV1741" s="59"/>
      <c r="DW1741" s="59"/>
      <c r="DX1741" s="59"/>
      <c r="DY1741" s="59"/>
      <c r="DZ1741" s="59"/>
      <c r="EA1741" s="59"/>
      <c r="EB1741" s="59"/>
      <c r="EC1741" s="59"/>
      <c r="ED1741" s="59"/>
      <c r="EE1741" s="59"/>
      <c r="EF1741" s="59"/>
      <c r="EG1741" s="59"/>
      <c r="EH1741" s="59"/>
      <c r="EI1741" s="59"/>
      <c r="EJ1741" s="59"/>
      <c r="EK1741" s="59"/>
      <c r="EL1741" s="59"/>
      <c r="EM1741" s="59"/>
      <c r="EN1741" s="59"/>
      <c r="EO1741" s="59"/>
      <c r="EP1741" s="59"/>
      <c r="EQ1741" s="59"/>
      <c r="ER1741" s="59"/>
      <c r="ES1741" s="59"/>
      <c r="ET1741" s="59"/>
      <c r="EU1741" s="59"/>
      <c r="EV1741" s="59"/>
      <c r="EW1741" s="59"/>
      <c r="EX1741" s="59"/>
      <c r="EY1741" s="59"/>
      <c r="EZ1741" s="59"/>
      <c r="FA1741" s="59"/>
      <c r="FB1741" s="59"/>
      <c r="FC1741" s="59"/>
      <c r="FD1741" s="59"/>
      <c r="FE1741" s="59"/>
      <c r="FF1741" s="59"/>
      <c r="FG1741" s="59"/>
      <c r="FH1741" s="59"/>
      <c r="FI1741" s="59"/>
      <c r="FJ1741" s="59"/>
      <c r="FK1741" s="59"/>
      <c r="FL1741" s="59"/>
      <c r="FM1741" s="59"/>
      <c r="FN1741" s="59"/>
      <c r="FO1741" s="59"/>
      <c r="FP1741" s="59"/>
      <c r="FQ1741" s="59"/>
      <c r="FR1741" s="59"/>
      <c r="FS1741" s="59"/>
      <c r="FT1741" s="59"/>
      <c r="FU1741" s="59"/>
      <c r="FV1741" s="59"/>
      <c r="FW1741" s="59"/>
      <c r="FX1741" s="59"/>
      <c r="FY1741" s="59"/>
      <c r="FZ1741" s="59"/>
      <c r="GA1741" s="59"/>
      <c r="GB1741" s="59"/>
      <c r="GC1741" s="59"/>
    </row>
    <row r="1742">
      <c r="A1742" s="59"/>
      <c r="B1742" s="59"/>
      <c r="C1742" s="59"/>
      <c r="D1742" s="59"/>
      <c r="E1742" s="59"/>
      <c r="F1742" s="59"/>
      <c r="G1742" s="59"/>
      <c r="H1742" s="59"/>
      <c r="I1742" s="59"/>
      <c r="J1742" s="59"/>
      <c r="K1742" s="59"/>
      <c r="L1742" s="59"/>
      <c r="M1742" s="59"/>
      <c r="N1742" s="59"/>
      <c r="O1742" s="59"/>
      <c r="P1742" s="59"/>
      <c r="Q1742" s="59"/>
      <c r="R1742" s="59"/>
      <c r="S1742" s="59"/>
      <c r="T1742" s="59"/>
      <c r="U1742" s="59"/>
      <c r="V1742" s="59"/>
      <c r="W1742" s="59"/>
      <c r="X1742" s="59"/>
      <c r="Y1742" s="59"/>
      <c r="Z1742" s="59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59"/>
      <c r="AU1742" s="59"/>
      <c r="AV1742" s="59"/>
      <c r="AW1742" s="59"/>
      <c r="AX1742" s="59"/>
      <c r="AY1742" s="59"/>
      <c r="AZ1742" s="59"/>
      <c r="BA1742" s="59"/>
      <c r="BB1742" s="59"/>
      <c r="BC1742" s="59"/>
      <c r="BD1742" s="59"/>
      <c r="BE1742" s="59"/>
      <c r="BF1742" s="59"/>
      <c r="BG1742" s="59"/>
      <c r="BH1742" s="59"/>
      <c r="BI1742" s="59"/>
      <c r="BJ1742" s="59"/>
      <c r="BK1742" s="59"/>
      <c r="BL1742" s="59"/>
      <c r="BM1742" s="59"/>
      <c r="BN1742" s="59"/>
      <c r="BO1742" s="59"/>
      <c r="BP1742" s="59"/>
      <c r="BQ1742" s="59"/>
      <c r="BR1742" s="59"/>
      <c r="BS1742" s="59"/>
      <c r="BT1742" s="59"/>
      <c r="BU1742" s="59"/>
      <c r="BV1742" s="59"/>
      <c r="BW1742" s="59"/>
      <c r="BX1742" s="59"/>
      <c r="BY1742" s="59"/>
      <c r="BZ1742" s="59"/>
      <c r="CA1742" s="59"/>
      <c r="CB1742" s="59"/>
      <c r="CC1742" s="59"/>
      <c r="CD1742" s="59"/>
      <c r="CE1742" s="59"/>
      <c r="CF1742" s="59"/>
      <c r="CG1742" s="59"/>
      <c r="CH1742" s="59"/>
      <c r="CI1742" s="59"/>
      <c r="CJ1742" s="59"/>
      <c r="CK1742" s="59"/>
      <c r="CL1742" s="59"/>
      <c r="CM1742" s="59"/>
      <c r="CN1742" s="59"/>
      <c r="CO1742" s="59"/>
      <c r="CP1742" s="59"/>
      <c r="CQ1742" s="59"/>
      <c r="CR1742" s="59"/>
      <c r="CS1742" s="59"/>
      <c r="CT1742" s="59"/>
      <c r="CU1742" s="59"/>
      <c r="CV1742" s="59"/>
      <c r="CW1742" s="59"/>
      <c r="CX1742" s="59"/>
      <c r="CY1742" s="59"/>
      <c r="CZ1742" s="59"/>
      <c r="DA1742" s="59"/>
      <c r="DB1742" s="59"/>
      <c r="DC1742" s="59"/>
      <c r="DD1742" s="59"/>
      <c r="DE1742" s="59"/>
      <c r="DF1742" s="59"/>
      <c r="DG1742" s="59"/>
      <c r="DH1742" s="59"/>
      <c r="DI1742" s="59"/>
      <c r="DJ1742" s="59"/>
      <c r="DK1742" s="59"/>
      <c r="DL1742" s="59"/>
      <c r="DM1742" s="59"/>
      <c r="DN1742" s="59"/>
      <c r="DO1742" s="59"/>
      <c r="DP1742" s="59"/>
      <c r="DQ1742" s="59"/>
      <c r="DR1742" s="59"/>
      <c r="DS1742" s="59"/>
      <c r="DT1742" s="59"/>
      <c r="DU1742" s="59"/>
      <c r="DV1742" s="59"/>
      <c r="DW1742" s="59"/>
      <c r="DX1742" s="59"/>
      <c r="DY1742" s="59"/>
      <c r="DZ1742" s="59"/>
      <c r="EA1742" s="59"/>
      <c r="EB1742" s="59"/>
      <c r="EC1742" s="59"/>
      <c r="ED1742" s="59"/>
      <c r="EE1742" s="59"/>
      <c r="EF1742" s="59"/>
      <c r="EG1742" s="59"/>
      <c r="EH1742" s="59"/>
      <c r="EI1742" s="59"/>
      <c r="EJ1742" s="59"/>
      <c r="EK1742" s="59"/>
      <c r="EL1742" s="59"/>
      <c r="EM1742" s="59"/>
      <c r="EN1742" s="59"/>
      <c r="EO1742" s="59"/>
      <c r="EP1742" s="59"/>
      <c r="EQ1742" s="59"/>
      <c r="ER1742" s="59"/>
      <c r="ES1742" s="59"/>
      <c r="ET1742" s="59"/>
      <c r="EU1742" s="59"/>
      <c r="EV1742" s="59"/>
      <c r="EW1742" s="59"/>
      <c r="EX1742" s="59"/>
      <c r="EY1742" s="59"/>
      <c r="EZ1742" s="59"/>
      <c r="FA1742" s="59"/>
      <c r="FB1742" s="59"/>
      <c r="FC1742" s="59"/>
      <c r="FD1742" s="59"/>
      <c r="FE1742" s="59"/>
      <c r="FF1742" s="59"/>
      <c r="FG1742" s="59"/>
      <c r="FH1742" s="59"/>
      <c r="FI1742" s="59"/>
      <c r="FJ1742" s="59"/>
      <c r="FK1742" s="59"/>
      <c r="FL1742" s="59"/>
      <c r="FM1742" s="59"/>
      <c r="FN1742" s="59"/>
      <c r="FO1742" s="59"/>
      <c r="FP1742" s="59"/>
      <c r="FQ1742" s="59"/>
      <c r="FR1742" s="59"/>
      <c r="FS1742" s="59"/>
      <c r="FT1742" s="59"/>
      <c r="FU1742" s="59"/>
      <c r="FV1742" s="59"/>
      <c r="FW1742" s="59"/>
      <c r="FX1742" s="59"/>
      <c r="FY1742" s="59"/>
      <c r="FZ1742" s="59"/>
      <c r="GA1742" s="59"/>
      <c r="GB1742" s="59"/>
      <c r="GC1742" s="59"/>
    </row>
    <row r="1743">
      <c r="A1743" s="59"/>
      <c r="B1743" s="59"/>
      <c r="C1743" s="59"/>
      <c r="D1743" s="59"/>
      <c r="E1743" s="59"/>
      <c r="F1743" s="59"/>
      <c r="G1743" s="59"/>
      <c r="H1743" s="59"/>
      <c r="I1743" s="59"/>
      <c r="J1743" s="59"/>
      <c r="K1743" s="59"/>
      <c r="L1743" s="59"/>
      <c r="M1743" s="59"/>
      <c r="N1743" s="59"/>
      <c r="O1743" s="59"/>
      <c r="P1743" s="59"/>
      <c r="Q1743" s="59"/>
      <c r="R1743" s="59"/>
      <c r="S1743" s="59"/>
      <c r="T1743" s="59"/>
      <c r="U1743" s="59"/>
      <c r="V1743" s="59"/>
      <c r="W1743" s="59"/>
      <c r="X1743" s="59"/>
      <c r="Y1743" s="59"/>
      <c r="Z1743" s="59"/>
      <c r="AA1743" s="59"/>
      <c r="AB1743" s="59"/>
      <c r="AC1743" s="59"/>
      <c r="AD1743" s="59"/>
      <c r="AE1743" s="59"/>
      <c r="AF1743" s="59"/>
      <c r="AG1743" s="59"/>
      <c r="AH1743" s="59"/>
      <c r="AI1743" s="59"/>
      <c r="AJ1743" s="59"/>
      <c r="AK1743" s="59"/>
      <c r="AL1743" s="59"/>
      <c r="AM1743" s="59"/>
      <c r="AN1743" s="59"/>
      <c r="AO1743" s="59"/>
      <c r="AP1743" s="59"/>
      <c r="AQ1743" s="59"/>
      <c r="AR1743" s="59"/>
      <c r="AS1743" s="59"/>
      <c r="AT1743" s="59"/>
      <c r="AU1743" s="59"/>
      <c r="AV1743" s="59"/>
      <c r="AW1743" s="59"/>
      <c r="AX1743" s="59"/>
      <c r="AY1743" s="59"/>
      <c r="AZ1743" s="59"/>
      <c r="BA1743" s="59"/>
      <c r="BB1743" s="59"/>
      <c r="BC1743" s="59"/>
      <c r="BD1743" s="59"/>
      <c r="BE1743" s="59"/>
      <c r="BF1743" s="59"/>
      <c r="BG1743" s="59"/>
      <c r="BH1743" s="59"/>
      <c r="BI1743" s="59"/>
      <c r="BJ1743" s="59"/>
      <c r="BK1743" s="59"/>
      <c r="BL1743" s="59"/>
      <c r="BM1743" s="59"/>
      <c r="BN1743" s="59"/>
      <c r="BO1743" s="59"/>
      <c r="BP1743" s="59"/>
      <c r="BQ1743" s="59"/>
      <c r="BR1743" s="59"/>
      <c r="BS1743" s="59"/>
      <c r="BT1743" s="59"/>
      <c r="BU1743" s="59"/>
      <c r="BV1743" s="59"/>
      <c r="BW1743" s="59"/>
      <c r="BX1743" s="59"/>
      <c r="BY1743" s="59"/>
      <c r="BZ1743" s="59"/>
      <c r="CA1743" s="59"/>
      <c r="CB1743" s="59"/>
      <c r="CC1743" s="59"/>
      <c r="CD1743" s="59"/>
      <c r="CE1743" s="59"/>
      <c r="CF1743" s="59"/>
      <c r="CG1743" s="59"/>
      <c r="CH1743" s="59"/>
      <c r="CI1743" s="59"/>
      <c r="CJ1743" s="59"/>
      <c r="CK1743" s="59"/>
      <c r="CL1743" s="59"/>
      <c r="CM1743" s="59"/>
      <c r="CN1743" s="59"/>
      <c r="CO1743" s="59"/>
      <c r="CP1743" s="59"/>
      <c r="CQ1743" s="59"/>
      <c r="CR1743" s="59"/>
      <c r="CS1743" s="59"/>
      <c r="CT1743" s="59"/>
      <c r="CU1743" s="59"/>
      <c r="CV1743" s="59"/>
      <c r="CW1743" s="59"/>
      <c r="CX1743" s="59"/>
      <c r="CY1743" s="59"/>
      <c r="CZ1743" s="59"/>
      <c r="DA1743" s="59"/>
      <c r="DB1743" s="59"/>
      <c r="DC1743" s="59"/>
      <c r="DD1743" s="59"/>
      <c r="DE1743" s="59"/>
      <c r="DF1743" s="59"/>
      <c r="DG1743" s="59"/>
      <c r="DH1743" s="59"/>
      <c r="DI1743" s="59"/>
      <c r="DJ1743" s="59"/>
      <c r="DK1743" s="59"/>
      <c r="DL1743" s="59"/>
      <c r="DM1743" s="59"/>
      <c r="DN1743" s="59"/>
      <c r="DO1743" s="59"/>
      <c r="DP1743" s="59"/>
      <c r="DQ1743" s="59"/>
      <c r="DR1743" s="59"/>
      <c r="DS1743" s="59"/>
      <c r="DT1743" s="59"/>
      <c r="DU1743" s="59"/>
      <c r="DV1743" s="59"/>
      <c r="DW1743" s="59"/>
      <c r="DX1743" s="59"/>
      <c r="DY1743" s="59"/>
      <c r="DZ1743" s="59"/>
      <c r="EA1743" s="59"/>
      <c r="EB1743" s="59"/>
      <c r="EC1743" s="59"/>
      <c r="ED1743" s="59"/>
      <c r="EE1743" s="59"/>
      <c r="EF1743" s="59"/>
      <c r="EG1743" s="59"/>
      <c r="EH1743" s="59"/>
      <c r="EI1743" s="59"/>
      <c r="EJ1743" s="59"/>
      <c r="EK1743" s="59"/>
      <c r="EL1743" s="59"/>
      <c r="EM1743" s="59"/>
      <c r="EN1743" s="59"/>
      <c r="EO1743" s="59"/>
      <c r="EP1743" s="59"/>
      <c r="EQ1743" s="59"/>
      <c r="ER1743" s="59"/>
      <c r="ES1743" s="59"/>
      <c r="ET1743" s="59"/>
      <c r="EU1743" s="59"/>
      <c r="EV1743" s="59"/>
      <c r="EW1743" s="59"/>
      <c r="EX1743" s="59"/>
      <c r="EY1743" s="59"/>
      <c r="EZ1743" s="59"/>
      <c r="FA1743" s="59"/>
      <c r="FB1743" s="59"/>
      <c r="FC1743" s="59"/>
      <c r="FD1743" s="59"/>
      <c r="FE1743" s="59"/>
      <c r="FF1743" s="59"/>
      <c r="FG1743" s="59"/>
      <c r="FH1743" s="59"/>
      <c r="FI1743" s="59"/>
      <c r="FJ1743" s="59"/>
      <c r="FK1743" s="59"/>
      <c r="FL1743" s="59"/>
      <c r="FM1743" s="59"/>
      <c r="FN1743" s="59"/>
      <c r="FO1743" s="59"/>
      <c r="FP1743" s="59"/>
      <c r="FQ1743" s="59"/>
      <c r="FR1743" s="59"/>
      <c r="FS1743" s="59"/>
      <c r="FT1743" s="59"/>
      <c r="FU1743" s="59"/>
      <c r="FV1743" s="59"/>
      <c r="FW1743" s="59"/>
      <c r="FX1743" s="59"/>
      <c r="FY1743" s="59"/>
      <c r="FZ1743" s="59"/>
      <c r="GA1743" s="59"/>
      <c r="GB1743" s="59"/>
      <c r="GC1743" s="59"/>
    </row>
    <row r="1744">
      <c r="A1744" s="59"/>
      <c r="B1744" s="59"/>
      <c r="C1744" s="59"/>
      <c r="D1744" s="59"/>
      <c r="E1744" s="59"/>
      <c r="F1744" s="59"/>
      <c r="G1744" s="59"/>
      <c r="H1744" s="59"/>
      <c r="I1744" s="59"/>
      <c r="J1744" s="59"/>
      <c r="K1744" s="59"/>
      <c r="L1744" s="59"/>
      <c r="M1744" s="59"/>
      <c r="N1744" s="59"/>
      <c r="O1744" s="59"/>
      <c r="P1744" s="59"/>
      <c r="Q1744" s="59"/>
      <c r="R1744" s="59"/>
      <c r="S1744" s="59"/>
      <c r="T1744" s="59"/>
      <c r="U1744" s="59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59"/>
      <c r="AU1744" s="59"/>
      <c r="AV1744" s="59"/>
      <c r="AW1744" s="59"/>
      <c r="AX1744" s="59"/>
      <c r="AY1744" s="59"/>
      <c r="AZ1744" s="59"/>
      <c r="BA1744" s="59"/>
      <c r="BB1744" s="59"/>
      <c r="BC1744" s="59"/>
      <c r="BD1744" s="59"/>
      <c r="BE1744" s="59"/>
      <c r="BF1744" s="59"/>
      <c r="BG1744" s="59"/>
      <c r="BH1744" s="59"/>
      <c r="BI1744" s="59"/>
      <c r="BJ1744" s="59"/>
      <c r="BK1744" s="59"/>
      <c r="BL1744" s="59"/>
      <c r="BM1744" s="59"/>
      <c r="BN1744" s="59"/>
      <c r="BO1744" s="59"/>
      <c r="BP1744" s="59"/>
      <c r="BQ1744" s="59"/>
      <c r="BR1744" s="59"/>
      <c r="BS1744" s="59"/>
      <c r="BT1744" s="59"/>
      <c r="BU1744" s="59"/>
      <c r="BV1744" s="59"/>
      <c r="BW1744" s="59"/>
      <c r="BX1744" s="59"/>
      <c r="BY1744" s="59"/>
      <c r="BZ1744" s="59"/>
      <c r="CA1744" s="59"/>
      <c r="CB1744" s="59"/>
      <c r="CC1744" s="59"/>
      <c r="CD1744" s="59"/>
      <c r="CE1744" s="59"/>
      <c r="CF1744" s="59"/>
      <c r="CG1744" s="59"/>
      <c r="CH1744" s="59"/>
      <c r="CI1744" s="59"/>
      <c r="CJ1744" s="59"/>
      <c r="CK1744" s="59"/>
      <c r="CL1744" s="59"/>
      <c r="CM1744" s="59"/>
      <c r="CN1744" s="59"/>
      <c r="CO1744" s="59"/>
      <c r="CP1744" s="59"/>
      <c r="CQ1744" s="59"/>
      <c r="CR1744" s="59"/>
      <c r="CS1744" s="59"/>
      <c r="CT1744" s="59"/>
      <c r="CU1744" s="59"/>
      <c r="CV1744" s="59"/>
      <c r="CW1744" s="59"/>
      <c r="CX1744" s="59"/>
      <c r="CY1744" s="59"/>
      <c r="CZ1744" s="59"/>
      <c r="DA1744" s="59"/>
      <c r="DB1744" s="59"/>
      <c r="DC1744" s="59"/>
      <c r="DD1744" s="59"/>
      <c r="DE1744" s="59"/>
      <c r="DF1744" s="59"/>
      <c r="DG1744" s="59"/>
      <c r="DH1744" s="59"/>
      <c r="DI1744" s="59"/>
      <c r="DJ1744" s="59"/>
      <c r="DK1744" s="59"/>
      <c r="DL1744" s="59"/>
      <c r="DM1744" s="59"/>
      <c r="DN1744" s="59"/>
      <c r="DO1744" s="59"/>
      <c r="DP1744" s="59"/>
      <c r="DQ1744" s="59"/>
      <c r="DR1744" s="59"/>
      <c r="DS1744" s="59"/>
      <c r="DT1744" s="59"/>
      <c r="DU1744" s="59"/>
      <c r="DV1744" s="59"/>
      <c r="DW1744" s="59"/>
      <c r="DX1744" s="59"/>
      <c r="DY1744" s="59"/>
      <c r="DZ1744" s="59"/>
      <c r="EA1744" s="59"/>
      <c r="EB1744" s="59"/>
      <c r="EC1744" s="59"/>
      <c r="ED1744" s="59"/>
      <c r="EE1744" s="59"/>
      <c r="EF1744" s="59"/>
      <c r="EG1744" s="59"/>
      <c r="EH1744" s="59"/>
      <c r="EI1744" s="59"/>
      <c r="EJ1744" s="59"/>
      <c r="EK1744" s="59"/>
      <c r="EL1744" s="59"/>
      <c r="EM1744" s="59"/>
      <c r="EN1744" s="59"/>
      <c r="EO1744" s="59"/>
      <c r="EP1744" s="59"/>
      <c r="EQ1744" s="59"/>
      <c r="ER1744" s="59"/>
      <c r="ES1744" s="59"/>
      <c r="ET1744" s="59"/>
      <c r="EU1744" s="59"/>
      <c r="EV1744" s="59"/>
      <c r="EW1744" s="59"/>
      <c r="EX1744" s="59"/>
      <c r="EY1744" s="59"/>
      <c r="EZ1744" s="59"/>
      <c r="FA1744" s="59"/>
      <c r="FB1744" s="59"/>
      <c r="FC1744" s="59"/>
      <c r="FD1744" s="59"/>
      <c r="FE1744" s="59"/>
      <c r="FF1744" s="59"/>
      <c r="FG1744" s="59"/>
      <c r="FH1744" s="59"/>
      <c r="FI1744" s="59"/>
      <c r="FJ1744" s="59"/>
      <c r="FK1744" s="59"/>
      <c r="FL1744" s="59"/>
      <c r="FM1744" s="59"/>
      <c r="FN1744" s="59"/>
      <c r="FO1744" s="59"/>
      <c r="FP1744" s="59"/>
      <c r="FQ1744" s="59"/>
      <c r="FR1744" s="59"/>
      <c r="FS1744" s="59"/>
      <c r="FT1744" s="59"/>
      <c r="FU1744" s="59"/>
      <c r="FV1744" s="59"/>
      <c r="FW1744" s="59"/>
      <c r="FX1744" s="59"/>
      <c r="FY1744" s="59"/>
      <c r="FZ1744" s="59"/>
      <c r="GA1744" s="59"/>
      <c r="GB1744" s="59"/>
      <c r="GC1744" s="59"/>
    </row>
    <row r="1745">
      <c r="A1745" s="59"/>
      <c r="B1745" s="59"/>
      <c r="C1745" s="59"/>
      <c r="D1745" s="59"/>
      <c r="E1745" s="59"/>
      <c r="F1745" s="59"/>
      <c r="G1745" s="59"/>
      <c r="H1745" s="59"/>
      <c r="I1745" s="59"/>
      <c r="J1745" s="59"/>
      <c r="K1745" s="59"/>
      <c r="L1745" s="59"/>
      <c r="M1745" s="59"/>
      <c r="N1745" s="59"/>
      <c r="O1745" s="59"/>
      <c r="P1745" s="59"/>
      <c r="Q1745" s="59"/>
      <c r="R1745" s="59"/>
      <c r="S1745" s="59"/>
      <c r="T1745" s="59"/>
      <c r="U1745" s="59"/>
      <c r="V1745" s="59"/>
      <c r="W1745" s="59"/>
      <c r="X1745" s="59"/>
      <c r="Y1745" s="59"/>
      <c r="Z1745" s="59"/>
      <c r="AA1745" s="59"/>
      <c r="AB1745" s="59"/>
      <c r="AC1745" s="59"/>
      <c r="AD1745" s="59"/>
      <c r="AE1745" s="59"/>
      <c r="AF1745" s="59"/>
      <c r="AG1745" s="59"/>
      <c r="AH1745" s="59"/>
      <c r="AI1745" s="59"/>
      <c r="AJ1745" s="59"/>
      <c r="AK1745" s="59"/>
      <c r="AL1745" s="59"/>
      <c r="AM1745" s="59"/>
      <c r="AN1745" s="59"/>
      <c r="AO1745" s="59"/>
      <c r="AP1745" s="59"/>
      <c r="AQ1745" s="59"/>
      <c r="AR1745" s="59"/>
      <c r="AS1745" s="59"/>
      <c r="AT1745" s="59"/>
      <c r="AU1745" s="59"/>
      <c r="AV1745" s="59"/>
      <c r="AW1745" s="59"/>
      <c r="AX1745" s="59"/>
      <c r="AY1745" s="59"/>
      <c r="AZ1745" s="59"/>
      <c r="BA1745" s="59"/>
      <c r="BB1745" s="59"/>
      <c r="BC1745" s="59"/>
      <c r="BD1745" s="59"/>
      <c r="BE1745" s="59"/>
      <c r="BF1745" s="59"/>
      <c r="BG1745" s="59"/>
      <c r="BH1745" s="59"/>
      <c r="BI1745" s="59"/>
      <c r="BJ1745" s="59"/>
      <c r="BK1745" s="59"/>
      <c r="BL1745" s="59"/>
      <c r="BM1745" s="59"/>
      <c r="BN1745" s="59"/>
      <c r="BO1745" s="59"/>
      <c r="BP1745" s="59"/>
      <c r="BQ1745" s="59"/>
      <c r="BR1745" s="59"/>
      <c r="BS1745" s="59"/>
      <c r="BT1745" s="59"/>
      <c r="BU1745" s="59"/>
      <c r="BV1745" s="59"/>
      <c r="BW1745" s="59"/>
      <c r="BX1745" s="59"/>
      <c r="BY1745" s="59"/>
      <c r="BZ1745" s="59"/>
      <c r="CA1745" s="59"/>
      <c r="CB1745" s="59"/>
      <c r="CC1745" s="59"/>
      <c r="CD1745" s="59"/>
      <c r="CE1745" s="59"/>
      <c r="CF1745" s="59"/>
      <c r="CG1745" s="59"/>
      <c r="CH1745" s="59"/>
      <c r="CI1745" s="59"/>
      <c r="CJ1745" s="59"/>
      <c r="CK1745" s="59"/>
      <c r="CL1745" s="59"/>
      <c r="CM1745" s="59"/>
      <c r="CN1745" s="59"/>
      <c r="CO1745" s="59"/>
      <c r="CP1745" s="59"/>
      <c r="CQ1745" s="59"/>
      <c r="CR1745" s="59"/>
      <c r="CS1745" s="59"/>
      <c r="CT1745" s="59"/>
      <c r="CU1745" s="59"/>
      <c r="CV1745" s="59"/>
      <c r="CW1745" s="59"/>
      <c r="CX1745" s="59"/>
      <c r="CY1745" s="59"/>
      <c r="CZ1745" s="59"/>
      <c r="DA1745" s="59"/>
      <c r="DB1745" s="59"/>
      <c r="DC1745" s="59"/>
      <c r="DD1745" s="59"/>
      <c r="DE1745" s="59"/>
      <c r="DF1745" s="59"/>
      <c r="DG1745" s="59"/>
      <c r="DH1745" s="59"/>
      <c r="DI1745" s="59"/>
      <c r="DJ1745" s="59"/>
      <c r="DK1745" s="59"/>
      <c r="DL1745" s="59"/>
      <c r="DM1745" s="59"/>
      <c r="DN1745" s="59"/>
      <c r="DO1745" s="59"/>
      <c r="DP1745" s="59"/>
      <c r="DQ1745" s="59"/>
      <c r="DR1745" s="59"/>
      <c r="DS1745" s="59"/>
      <c r="DT1745" s="59"/>
      <c r="DU1745" s="59"/>
      <c r="DV1745" s="59"/>
      <c r="DW1745" s="59"/>
      <c r="DX1745" s="59"/>
      <c r="DY1745" s="59"/>
      <c r="DZ1745" s="59"/>
      <c r="EA1745" s="59"/>
      <c r="EB1745" s="59"/>
      <c r="EC1745" s="59"/>
      <c r="ED1745" s="59"/>
      <c r="EE1745" s="59"/>
      <c r="EF1745" s="59"/>
      <c r="EG1745" s="59"/>
      <c r="EH1745" s="59"/>
      <c r="EI1745" s="59"/>
      <c r="EJ1745" s="59"/>
      <c r="EK1745" s="59"/>
      <c r="EL1745" s="59"/>
      <c r="EM1745" s="59"/>
      <c r="EN1745" s="59"/>
      <c r="EO1745" s="59"/>
      <c r="EP1745" s="59"/>
      <c r="EQ1745" s="59"/>
      <c r="ER1745" s="59"/>
      <c r="ES1745" s="59"/>
      <c r="ET1745" s="59"/>
      <c r="EU1745" s="59"/>
      <c r="EV1745" s="59"/>
      <c r="EW1745" s="59"/>
      <c r="EX1745" s="59"/>
      <c r="EY1745" s="59"/>
      <c r="EZ1745" s="59"/>
      <c r="FA1745" s="59"/>
      <c r="FB1745" s="59"/>
      <c r="FC1745" s="59"/>
      <c r="FD1745" s="59"/>
      <c r="FE1745" s="59"/>
      <c r="FF1745" s="59"/>
      <c r="FG1745" s="59"/>
      <c r="FH1745" s="59"/>
      <c r="FI1745" s="59"/>
      <c r="FJ1745" s="59"/>
      <c r="FK1745" s="59"/>
      <c r="FL1745" s="59"/>
      <c r="FM1745" s="59"/>
      <c r="FN1745" s="59"/>
      <c r="FO1745" s="59"/>
      <c r="FP1745" s="59"/>
      <c r="FQ1745" s="59"/>
      <c r="FR1745" s="59"/>
      <c r="FS1745" s="59"/>
      <c r="FT1745" s="59"/>
      <c r="FU1745" s="59"/>
      <c r="FV1745" s="59"/>
      <c r="FW1745" s="59"/>
      <c r="FX1745" s="59"/>
      <c r="FY1745" s="59"/>
      <c r="FZ1745" s="59"/>
      <c r="GA1745" s="59"/>
      <c r="GB1745" s="59"/>
      <c r="GC1745" s="59"/>
    </row>
    <row r="1746">
      <c r="A1746" s="59"/>
      <c r="B1746" s="59"/>
      <c r="C1746" s="59"/>
      <c r="D1746" s="59"/>
      <c r="E1746" s="59"/>
      <c r="F1746" s="59"/>
      <c r="G1746" s="59"/>
      <c r="H1746" s="59"/>
      <c r="I1746" s="59"/>
      <c r="J1746" s="59"/>
      <c r="K1746" s="59"/>
      <c r="L1746" s="59"/>
      <c r="M1746" s="59"/>
      <c r="N1746" s="59"/>
      <c r="O1746" s="59"/>
      <c r="P1746" s="59"/>
      <c r="Q1746" s="59"/>
      <c r="R1746" s="59"/>
      <c r="S1746" s="59"/>
      <c r="T1746" s="59"/>
      <c r="U1746" s="59"/>
      <c r="V1746" s="59"/>
      <c r="W1746" s="59"/>
      <c r="X1746" s="59"/>
      <c r="Y1746" s="59"/>
      <c r="Z1746" s="59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59"/>
      <c r="AU1746" s="59"/>
      <c r="AV1746" s="59"/>
      <c r="AW1746" s="59"/>
      <c r="AX1746" s="59"/>
      <c r="AY1746" s="59"/>
      <c r="AZ1746" s="59"/>
      <c r="BA1746" s="59"/>
      <c r="BB1746" s="59"/>
      <c r="BC1746" s="59"/>
      <c r="BD1746" s="59"/>
      <c r="BE1746" s="59"/>
      <c r="BF1746" s="59"/>
      <c r="BG1746" s="59"/>
      <c r="BH1746" s="59"/>
      <c r="BI1746" s="59"/>
      <c r="BJ1746" s="59"/>
      <c r="BK1746" s="59"/>
      <c r="BL1746" s="59"/>
      <c r="BM1746" s="59"/>
      <c r="BN1746" s="59"/>
      <c r="BO1746" s="59"/>
      <c r="BP1746" s="59"/>
      <c r="BQ1746" s="59"/>
      <c r="BR1746" s="59"/>
      <c r="BS1746" s="59"/>
      <c r="BT1746" s="59"/>
      <c r="BU1746" s="59"/>
      <c r="BV1746" s="59"/>
      <c r="BW1746" s="59"/>
      <c r="BX1746" s="59"/>
      <c r="BY1746" s="59"/>
      <c r="BZ1746" s="59"/>
      <c r="CA1746" s="59"/>
      <c r="CB1746" s="59"/>
      <c r="CC1746" s="59"/>
      <c r="CD1746" s="59"/>
      <c r="CE1746" s="59"/>
      <c r="CF1746" s="59"/>
      <c r="CG1746" s="59"/>
      <c r="CH1746" s="59"/>
      <c r="CI1746" s="59"/>
      <c r="CJ1746" s="59"/>
      <c r="CK1746" s="59"/>
      <c r="CL1746" s="59"/>
      <c r="CM1746" s="59"/>
      <c r="CN1746" s="59"/>
      <c r="CO1746" s="59"/>
      <c r="CP1746" s="59"/>
      <c r="CQ1746" s="59"/>
      <c r="CR1746" s="59"/>
      <c r="CS1746" s="59"/>
      <c r="CT1746" s="59"/>
      <c r="CU1746" s="59"/>
      <c r="CV1746" s="59"/>
      <c r="CW1746" s="59"/>
      <c r="CX1746" s="59"/>
      <c r="CY1746" s="59"/>
      <c r="CZ1746" s="59"/>
      <c r="DA1746" s="59"/>
      <c r="DB1746" s="59"/>
      <c r="DC1746" s="59"/>
      <c r="DD1746" s="59"/>
      <c r="DE1746" s="59"/>
      <c r="DF1746" s="59"/>
      <c r="DG1746" s="59"/>
      <c r="DH1746" s="59"/>
      <c r="DI1746" s="59"/>
      <c r="DJ1746" s="59"/>
      <c r="DK1746" s="59"/>
      <c r="DL1746" s="59"/>
      <c r="DM1746" s="59"/>
      <c r="DN1746" s="59"/>
      <c r="DO1746" s="59"/>
      <c r="DP1746" s="59"/>
      <c r="DQ1746" s="59"/>
      <c r="DR1746" s="59"/>
      <c r="DS1746" s="59"/>
      <c r="DT1746" s="59"/>
      <c r="DU1746" s="59"/>
      <c r="DV1746" s="59"/>
      <c r="DW1746" s="59"/>
      <c r="DX1746" s="59"/>
      <c r="DY1746" s="59"/>
      <c r="DZ1746" s="59"/>
      <c r="EA1746" s="59"/>
      <c r="EB1746" s="59"/>
      <c r="EC1746" s="59"/>
      <c r="ED1746" s="59"/>
      <c r="EE1746" s="59"/>
      <c r="EF1746" s="59"/>
      <c r="EG1746" s="59"/>
      <c r="EH1746" s="59"/>
      <c r="EI1746" s="59"/>
      <c r="EJ1746" s="59"/>
      <c r="EK1746" s="59"/>
      <c r="EL1746" s="59"/>
      <c r="EM1746" s="59"/>
      <c r="EN1746" s="59"/>
      <c r="EO1746" s="59"/>
      <c r="EP1746" s="59"/>
      <c r="EQ1746" s="59"/>
      <c r="ER1746" s="59"/>
      <c r="ES1746" s="59"/>
      <c r="ET1746" s="59"/>
      <c r="EU1746" s="59"/>
      <c r="EV1746" s="59"/>
      <c r="EW1746" s="59"/>
      <c r="EX1746" s="59"/>
      <c r="EY1746" s="59"/>
      <c r="EZ1746" s="59"/>
      <c r="FA1746" s="59"/>
      <c r="FB1746" s="59"/>
      <c r="FC1746" s="59"/>
      <c r="FD1746" s="59"/>
      <c r="FE1746" s="59"/>
      <c r="FF1746" s="59"/>
      <c r="FG1746" s="59"/>
      <c r="FH1746" s="59"/>
      <c r="FI1746" s="59"/>
      <c r="FJ1746" s="59"/>
      <c r="FK1746" s="59"/>
      <c r="FL1746" s="59"/>
      <c r="FM1746" s="59"/>
      <c r="FN1746" s="59"/>
      <c r="FO1746" s="59"/>
      <c r="FP1746" s="59"/>
      <c r="FQ1746" s="59"/>
      <c r="FR1746" s="59"/>
      <c r="FS1746" s="59"/>
      <c r="FT1746" s="59"/>
      <c r="FU1746" s="59"/>
      <c r="FV1746" s="59"/>
      <c r="FW1746" s="59"/>
      <c r="FX1746" s="59"/>
      <c r="FY1746" s="59"/>
      <c r="FZ1746" s="59"/>
      <c r="GA1746" s="59"/>
      <c r="GB1746" s="59"/>
      <c r="GC1746" s="59"/>
    </row>
    <row r="1747">
      <c r="A1747" s="59"/>
      <c r="B1747" s="59"/>
      <c r="C1747" s="59"/>
      <c r="D1747" s="59"/>
      <c r="E1747" s="59"/>
      <c r="F1747" s="59"/>
      <c r="G1747" s="59"/>
      <c r="H1747" s="59"/>
      <c r="I1747" s="59"/>
      <c r="J1747" s="59"/>
      <c r="K1747" s="59"/>
      <c r="L1747" s="59"/>
      <c r="M1747" s="59"/>
      <c r="N1747" s="59"/>
      <c r="O1747" s="59"/>
      <c r="P1747" s="59"/>
      <c r="Q1747" s="59"/>
      <c r="R1747" s="59"/>
      <c r="S1747" s="59"/>
      <c r="T1747" s="59"/>
      <c r="U1747" s="59"/>
      <c r="V1747" s="59"/>
      <c r="W1747" s="59"/>
      <c r="X1747" s="59"/>
      <c r="Y1747" s="59"/>
      <c r="Z1747" s="59"/>
      <c r="AA1747" s="59"/>
      <c r="AB1747" s="59"/>
      <c r="AC1747" s="59"/>
      <c r="AD1747" s="59"/>
      <c r="AE1747" s="59"/>
      <c r="AF1747" s="59"/>
      <c r="AG1747" s="59"/>
      <c r="AH1747" s="59"/>
      <c r="AI1747" s="59"/>
      <c r="AJ1747" s="59"/>
      <c r="AK1747" s="59"/>
      <c r="AL1747" s="59"/>
      <c r="AM1747" s="59"/>
      <c r="AN1747" s="59"/>
      <c r="AO1747" s="59"/>
      <c r="AP1747" s="59"/>
      <c r="AQ1747" s="59"/>
      <c r="AR1747" s="59"/>
      <c r="AS1747" s="59"/>
      <c r="AT1747" s="59"/>
      <c r="AU1747" s="59"/>
      <c r="AV1747" s="59"/>
      <c r="AW1747" s="59"/>
      <c r="AX1747" s="59"/>
      <c r="AY1747" s="59"/>
      <c r="AZ1747" s="59"/>
      <c r="BA1747" s="59"/>
      <c r="BB1747" s="59"/>
      <c r="BC1747" s="59"/>
      <c r="BD1747" s="59"/>
      <c r="BE1747" s="59"/>
      <c r="BF1747" s="59"/>
      <c r="BG1747" s="59"/>
      <c r="BH1747" s="59"/>
      <c r="BI1747" s="59"/>
      <c r="BJ1747" s="59"/>
      <c r="BK1747" s="59"/>
      <c r="BL1747" s="59"/>
      <c r="BM1747" s="59"/>
      <c r="BN1747" s="59"/>
      <c r="BO1747" s="59"/>
      <c r="BP1747" s="59"/>
      <c r="BQ1747" s="59"/>
      <c r="BR1747" s="59"/>
      <c r="BS1747" s="59"/>
      <c r="BT1747" s="59"/>
      <c r="BU1747" s="59"/>
      <c r="BV1747" s="59"/>
      <c r="BW1747" s="59"/>
      <c r="BX1747" s="59"/>
      <c r="BY1747" s="59"/>
      <c r="BZ1747" s="59"/>
      <c r="CA1747" s="59"/>
      <c r="CB1747" s="59"/>
      <c r="CC1747" s="59"/>
      <c r="CD1747" s="59"/>
      <c r="CE1747" s="59"/>
      <c r="CF1747" s="59"/>
      <c r="CG1747" s="59"/>
      <c r="CH1747" s="59"/>
      <c r="CI1747" s="59"/>
      <c r="CJ1747" s="59"/>
      <c r="CK1747" s="59"/>
      <c r="CL1747" s="59"/>
      <c r="CM1747" s="59"/>
      <c r="CN1747" s="59"/>
      <c r="CO1747" s="59"/>
      <c r="CP1747" s="59"/>
      <c r="CQ1747" s="59"/>
      <c r="CR1747" s="59"/>
      <c r="CS1747" s="59"/>
      <c r="CT1747" s="59"/>
      <c r="CU1747" s="59"/>
      <c r="CV1747" s="59"/>
      <c r="CW1747" s="59"/>
      <c r="CX1747" s="59"/>
      <c r="CY1747" s="59"/>
      <c r="CZ1747" s="59"/>
      <c r="DA1747" s="59"/>
      <c r="DB1747" s="59"/>
      <c r="DC1747" s="59"/>
      <c r="DD1747" s="59"/>
      <c r="DE1747" s="59"/>
      <c r="DF1747" s="59"/>
      <c r="DG1747" s="59"/>
      <c r="DH1747" s="59"/>
      <c r="DI1747" s="59"/>
      <c r="DJ1747" s="59"/>
      <c r="DK1747" s="59"/>
      <c r="DL1747" s="59"/>
      <c r="DM1747" s="59"/>
      <c r="DN1747" s="59"/>
      <c r="DO1747" s="59"/>
      <c r="DP1747" s="59"/>
      <c r="DQ1747" s="59"/>
      <c r="DR1747" s="59"/>
      <c r="DS1747" s="59"/>
      <c r="DT1747" s="59"/>
      <c r="DU1747" s="59"/>
      <c r="DV1747" s="59"/>
      <c r="DW1747" s="59"/>
      <c r="DX1747" s="59"/>
      <c r="DY1747" s="59"/>
      <c r="DZ1747" s="59"/>
      <c r="EA1747" s="59"/>
      <c r="EB1747" s="59"/>
      <c r="EC1747" s="59"/>
      <c r="ED1747" s="59"/>
      <c r="EE1747" s="59"/>
      <c r="EF1747" s="59"/>
      <c r="EG1747" s="59"/>
      <c r="EH1747" s="59"/>
      <c r="EI1747" s="59"/>
      <c r="EJ1747" s="59"/>
      <c r="EK1747" s="59"/>
      <c r="EL1747" s="59"/>
      <c r="EM1747" s="59"/>
      <c r="EN1747" s="59"/>
      <c r="EO1747" s="59"/>
      <c r="EP1747" s="59"/>
      <c r="EQ1747" s="59"/>
      <c r="ER1747" s="59"/>
      <c r="ES1747" s="59"/>
      <c r="ET1747" s="59"/>
      <c r="EU1747" s="59"/>
      <c r="EV1747" s="59"/>
      <c r="EW1747" s="59"/>
      <c r="EX1747" s="59"/>
      <c r="EY1747" s="59"/>
      <c r="EZ1747" s="59"/>
      <c r="FA1747" s="59"/>
      <c r="FB1747" s="59"/>
      <c r="FC1747" s="59"/>
      <c r="FD1747" s="59"/>
      <c r="FE1747" s="59"/>
      <c r="FF1747" s="59"/>
      <c r="FG1747" s="59"/>
      <c r="FH1747" s="59"/>
      <c r="FI1747" s="59"/>
      <c r="FJ1747" s="59"/>
      <c r="FK1747" s="59"/>
      <c r="FL1747" s="59"/>
      <c r="FM1747" s="59"/>
      <c r="FN1747" s="59"/>
      <c r="FO1747" s="59"/>
      <c r="FP1747" s="59"/>
      <c r="FQ1747" s="59"/>
      <c r="FR1747" s="59"/>
      <c r="FS1747" s="59"/>
      <c r="FT1747" s="59"/>
      <c r="FU1747" s="59"/>
      <c r="FV1747" s="59"/>
      <c r="FW1747" s="59"/>
      <c r="FX1747" s="59"/>
      <c r="FY1747" s="59"/>
      <c r="FZ1747" s="59"/>
      <c r="GA1747" s="59"/>
      <c r="GB1747" s="59"/>
      <c r="GC1747" s="59"/>
    </row>
    <row r="1748">
      <c r="A1748" s="59"/>
      <c r="B1748" s="59"/>
      <c r="C1748" s="59"/>
      <c r="D1748" s="59"/>
      <c r="E1748" s="59"/>
      <c r="F1748" s="59"/>
      <c r="G1748" s="59"/>
      <c r="H1748" s="59"/>
      <c r="I1748" s="59"/>
      <c r="J1748" s="59"/>
      <c r="K1748" s="59"/>
      <c r="L1748" s="59"/>
      <c r="M1748" s="59"/>
      <c r="N1748" s="59"/>
      <c r="O1748" s="59"/>
      <c r="P1748" s="59"/>
      <c r="Q1748" s="59"/>
      <c r="R1748" s="59"/>
      <c r="S1748" s="59"/>
      <c r="T1748" s="59"/>
      <c r="U1748" s="59"/>
      <c r="V1748" s="59"/>
      <c r="W1748" s="59"/>
      <c r="X1748" s="59"/>
      <c r="Y1748" s="59"/>
      <c r="Z1748" s="59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59"/>
      <c r="AU1748" s="59"/>
      <c r="AV1748" s="59"/>
      <c r="AW1748" s="59"/>
      <c r="AX1748" s="59"/>
      <c r="AY1748" s="59"/>
      <c r="AZ1748" s="59"/>
      <c r="BA1748" s="59"/>
      <c r="BB1748" s="59"/>
      <c r="BC1748" s="59"/>
      <c r="BD1748" s="59"/>
      <c r="BE1748" s="59"/>
      <c r="BF1748" s="59"/>
      <c r="BG1748" s="59"/>
      <c r="BH1748" s="59"/>
      <c r="BI1748" s="59"/>
      <c r="BJ1748" s="59"/>
      <c r="BK1748" s="59"/>
      <c r="BL1748" s="59"/>
      <c r="BM1748" s="59"/>
      <c r="BN1748" s="59"/>
      <c r="BO1748" s="59"/>
      <c r="BP1748" s="59"/>
      <c r="BQ1748" s="59"/>
      <c r="BR1748" s="59"/>
      <c r="BS1748" s="59"/>
      <c r="BT1748" s="59"/>
      <c r="BU1748" s="59"/>
      <c r="BV1748" s="59"/>
      <c r="BW1748" s="59"/>
      <c r="BX1748" s="59"/>
      <c r="BY1748" s="59"/>
      <c r="BZ1748" s="59"/>
      <c r="CA1748" s="59"/>
      <c r="CB1748" s="59"/>
      <c r="CC1748" s="59"/>
      <c r="CD1748" s="59"/>
      <c r="CE1748" s="59"/>
      <c r="CF1748" s="59"/>
      <c r="CG1748" s="59"/>
      <c r="CH1748" s="59"/>
      <c r="CI1748" s="59"/>
      <c r="CJ1748" s="59"/>
      <c r="CK1748" s="59"/>
      <c r="CL1748" s="59"/>
      <c r="CM1748" s="59"/>
      <c r="CN1748" s="59"/>
      <c r="CO1748" s="59"/>
      <c r="CP1748" s="59"/>
      <c r="CQ1748" s="59"/>
      <c r="CR1748" s="59"/>
      <c r="CS1748" s="59"/>
      <c r="CT1748" s="59"/>
      <c r="CU1748" s="59"/>
      <c r="CV1748" s="59"/>
      <c r="CW1748" s="59"/>
      <c r="CX1748" s="59"/>
      <c r="CY1748" s="59"/>
      <c r="CZ1748" s="59"/>
      <c r="DA1748" s="59"/>
      <c r="DB1748" s="59"/>
      <c r="DC1748" s="59"/>
      <c r="DD1748" s="59"/>
      <c r="DE1748" s="59"/>
      <c r="DF1748" s="59"/>
      <c r="DG1748" s="59"/>
      <c r="DH1748" s="59"/>
      <c r="DI1748" s="59"/>
      <c r="DJ1748" s="59"/>
      <c r="DK1748" s="59"/>
      <c r="DL1748" s="59"/>
      <c r="DM1748" s="59"/>
      <c r="DN1748" s="59"/>
      <c r="DO1748" s="59"/>
      <c r="DP1748" s="59"/>
      <c r="DQ1748" s="59"/>
      <c r="DR1748" s="59"/>
      <c r="DS1748" s="59"/>
      <c r="DT1748" s="59"/>
      <c r="DU1748" s="59"/>
      <c r="DV1748" s="59"/>
      <c r="DW1748" s="59"/>
      <c r="DX1748" s="59"/>
      <c r="DY1748" s="59"/>
      <c r="DZ1748" s="59"/>
      <c r="EA1748" s="59"/>
      <c r="EB1748" s="59"/>
      <c r="EC1748" s="59"/>
      <c r="ED1748" s="59"/>
      <c r="EE1748" s="59"/>
      <c r="EF1748" s="59"/>
      <c r="EG1748" s="59"/>
      <c r="EH1748" s="59"/>
      <c r="EI1748" s="59"/>
      <c r="EJ1748" s="59"/>
      <c r="EK1748" s="59"/>
      <c r="EL1748" s="59"/>
      <c r="EM1748" s="59"/>
      <c r="EN1748" s="59"/>
      <c r="EO1748" s="59"/>
      <c r="EP1748" s="59"/>
      <c r="EQ1748" s="59"/>
      <c r="ER1748" s="59"/>
      <c r="ES1748" s="59"/>
      <c r="ET1748" s="59"/>
      <c r="EU1748" s="59"/>
      <c r="EV1748" s="59"/>
      <c r="EW1748" s="59"/>
      <c r="EX1748" s="59"/>
      <c r="EY1748" s="59"/>
      <c r="EZ1748" s="59"/>
      <c r="FA1748" s="59"/>
      <c r="FB1748" s="59"/>
      <c r="FC1748" s="59"/>
      <c r="FD1748" s="59"/>
      <c r="FE1748" s="59"/>
      <c r="FF1748" s="59"/>
      <c r="FG1748" s="59"/>
      <c r="FH1748" s="59"/>
      <c r="FI1748" s="59"/>
      <c r="FJ1748" s="59"/>
      <c r="FK1748" s="59"/>
      <c r="FL1748" s="59"/>
      <c r="FM1748" s="59"/>
      <c r="FN1748" s="59"/>
      <c r="FO1748" s="59"/>
      <c r="FP1748" s="59"/>
      <c r="FQ1748" s="59"/>
      <c r="FR1748" s="59"/>
      <c r="FS1748" s="59"/>
      <c r="FT1748" s="59"/>
      <c r="FU1748" s="59"/>
      <c r="FV1748" s="59"/>
      <c r="FW1748" s="59"/>
      <c r="FX1748" s="59"/>
      <c r="FY1748" s="59"/>
      <c r="FZ1748" s="59"/>
      <c r="GA1748" s="59"/>
      <c r="GB1748" s="59"/>
      <c r="GC1748" s="59"/>
    </row>
    <row r="1749">
      <c r="A1749" s="59"/>
      <c r="B1749" s="59"/>
      <c r="C1749" s="59"/>
      <c r="D1749" s="59"/>
      <c r="E1749" s="59"/>
      <c r="F1749" s="59"/>
      <c r="G1749" s="59"/>
      <c r="H1749" s="59"/>
      <c r="I1749" s="59"/>
      <c r="J1749" s="59"/>
      <c r="K1749" s="59"/>
      <c r="L1749" s="59"/>
      <c r="M1749" s="59"/>
      <c r="N1749" s="59"/>
      <c r="O1749" s="59"/>
      <c r="P1749" s="59"/>
      <c r="Q1749" s="59"/>
      <c r="R1749" s="59"/>
      <c r="S1749" s="59"/>
      <c r="T1749" s="59"/>
      <c r="U1749" s="59"/>
      <c r="V1749" s="59"/>
      <c r="W1749" s="59"/>
      <c r="X1749" s="59"/>
      <c r="Y1749" s="59"/>
      <c r="Z1749" s="59"/>
      <c r="AA1749" s="59"/>
      <c r="AB1749" s="59"/>
      <c r="AC1749" s="59"/>
      <c r="AD1749" s="59"/>
      <c r="AE1749" s="59"/>
      <c r="AF1749" s="59"/>
      <c r="AG1749" s="59"/>
      <c r="AH1749" s="59"/>
      <c r="AI1749" s="59"/>
      <c r="AJ1749" s="59"/>
      <c r="AK1749" s="59"/>
      <c r="AL1749" s="59"/>
      <c r="AM1749" s="59"/>
      <c r="AN1749" s="59"/>
      <c r="AO1749" s="59"/>
      <c r="AP1749" s="59"/>
      <c r="AQ1749" s="59"/>
      <c r="AR1749" s="59"/>
      <c r="AS1749" s="59"/>
      <c r="AT1749" s="59"/>
      <c r="AU1749" s="59"/>
      <c r="AV1749" s="59"/>
      <c r="AW1749" s="59"/>
      <c r="AX1749" s="59"/>
      <c r="AY1749" s="59"/>
      <c r="AZ1749" s="59"/>
      <c r="BA1749" s="59"/>
      <c r="BB1749" s="59"/>
      <c r="BC1749" s="59"/>
      <c r="BD1749" s="59"/>
      <c r="BE1749" s="59"/>
      <c r="BF1749" s="59"/>
      <c r="BG1749" s="59"/>
      <c r="BH1749" s="59"/>
      <c r="BI1749" s="59"/>
      <c r="BJ1749" s="59"/>
      <c r="BK1749" s="59"/>
      <c r="BL1749" s="59"/>
      <c r="BM1749" s="59"/>
      <c r="BN1749" s="59"/>
      <c r="BO1749" s="59"/>
      <c r="BP1749" s="59"/>
      <c r="BQ1749" s="59"/>
      <c r="BR1749" s="59"/>
      <c r="BS1749" s="59"/>
      <c r="BT1749" s="59"/>
      <c r="BU1749" s="59"/>
      <c r="BV1749" s="59"/>
      <c r="BW1749" s="59"/>
      <c r="BX1749" s="59"/>
      <c r="BY1749" s="59"/>
      <c r="BZ1749" s="59"/>
      <c r="CA1749" s="59"/>
      <c r="CB1749" s="59"/>
      <c r="CC1749" s="59"/>
      <c r="CD1749" s="59"/>
      <c r="CE1749" s="59"/>
      <c r="CF1749" s="59"/>
      <c r="CG1749" s="59"/>
      <c r="CH1749" s="59"/>
      <c r="CI1749" s="59"/>
      <c r="CJ1749" s="59"/>
      <c r="CK1749" s="59"/>
      <c r="CL1749" s="59"/>
      <c r="CM1749" s="59"/>
      <c r="CN1749" s="59"/>
      <c r="CO1749" s="59"/>
      <c r="CP1749" s="59"/>
      <c r="CQ1749" s="59"/>
      <c r="CR1749" s="59"/>
      <c r="CS1749" s="59"/>
      <c r="CT1749" s="59"/>
      <c r="CU1749" s="59"/>
      <c r="CV1749" s="59"/>
      <c r="CW1749" s="59"/>
      <c r="CX1749" s="59"/>
      <c r="CY1749" s="59"/>
      <c r="CZ1749" s="59"/>
      <c r="DA1749" s="59"/>
      <c r="DB1749" s="59"/>
      <c r="DC1749" s="59"/>
      <c r="DD1749" s="59"/>
      <c r="DE1749" s="59"/>
      <c r="DF1749" s="59"/>
      <c r="DG1749" s="59"/>
      <c r="DH1749" s="59"/>
      <c r="DI1749" s="59"/>
      <c r="DJ1749" s="59"/>
      <c r="DK1749" s="59"/>
      <c r="DL1749" s="59"/>
      <c r="DM1749" s="59"/>
      <c r="DN1749" s="59"/>
      <c r="DO1749" s="59"/>
      <c r="DP1749" s="59"/>
      <c r="DQ1749" s="59"/>
      <c r="DR1749" s="59"/>
      <c r="DS1749" s="59"/>
      <c r="DT1749" s="59"/>
      <c r="DU1749" s="59"/>
      <c r="DV1749" s="59"/>
      <c r="DW1749" s="59"/>
      <c r="DX1749" s="59"/>
      <c r="DY1749" s="59"/>
      <c r="DZ1749" s="59"/>
      <c r="EA1749" s="59"/>
      <c r="EB1749" s="59"/>
      <c r="EC1749" s="59"/>
      <c r="ED1749" s="59"/>
      <c r="EE1749" s="59"/>
      <c r="EF1749" s="59"/>
      <c r="EG1749" s="59"/>
      <c r="EH1749" s="59"/>
      <c r="EI1749" s="59"/>
      <c r="EJ1749" s="59"/>
      <c r="EK1749" s="59"/>
      <c r="EL1749" s="59"/>
      <c r="EM1749" s="59"/>
      <c r="EN1749" s="59"/>
      <c r="EO1749" s="59"/>
      <c r="EP1749" s="59"/>
      <c r="EQ1749" s="59"/>
      <c r="ER1749" s="59"/>
      <c r="ES1749" s="59"/>
      <c r="ET1749" s="59"/>
      <c r="EU1749" s="59"/>
      <c r="EV1749" s="59"/>
      <c r="EW1749" s="59"/>
      <c r="EX1749" s="59"/>
      <c r="EY1749" s="59"/>
      <c r="EZ1749" s="59"/>
      <c r="FA1749" s="59"/>
      <c r="FB1749" s="59"/>
      <c r="FC1749" s="59"/>
      <c r="FD1749" s="59"/>
      <c r="FE1749" s="59"/>
      <c r="FF1749" s="59"/>
      <c r="FG1749" s="59"/>
      <c r="FH1749" s="59"/>
      <c r="FI1749" s="59"/>
      <c r="FJ1749" s="59"/>
      <c r="FK1749" s="59"/>
      <c r="FL1749" s="59"/>
      <c r="FM1749" s="59"/>
      <c r="FN1749" s="59"/>
      <c r="FO1749" s="59"/>
      <c r="FP1749" s="59"/>
      <c r="FQ1749" s="59"/>
      <c r="FR1749" s="59"/>
      <c r="FS1749" s="59"/>
      <c r="FT1749" s="59"/>
      <c r="FU1749" s="59"/>
      <c r="FV1749" s="59"/>
      <c r="FW1749" s="59"/>
      <c r="FX1749" s="59"/>
      <c r="FY1749" s="59"/>
      <c r="FZ1749" s="59"/>
      <c r="GA1749" s="59"/>
      <c r="GB1749" s="59"/>
      <c r="GC1749" s="59"/>
    </row>
    <row r="1750">
      <c r="A1750" s="59"/>
      <c r="B1750" s="59"/>
      <c r="C1750" s="59"/>
      <c r="D1750" s="59"/>
      <c r="E1750" s="59"/>
      <c r="F1750" s="59"/>
      <c r="G1750" s="59"/>
      <c r="H1750" s="59"/>
      <c r="I1750" s="59"/>
      <c r="J1750" s="59"/>
      <c r="K1750" s="59"/>
      <c r="L1750" s="59"/>
      <c r="M1750" s="59"/>
      <c r="N1750" s="59"/>
      <c r="O1750" s="59"/>
      <c r="P1750" s="59"/>
      <c r="Q1750" s="59"/>
      <c r="R1750" s="59"/>
      <c r="S1750" s="59"/>
      <c r="T1750" s="59"/>
      <c r="U1750" s="59"/>
      <c r="V1750" s="59"/>
      <c r="W1750" s="59"/>
      <c r="X1750" s="59"/>
      <c r="Y1750" s="59"/>
      <c r="Z1750" s="59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59"/>
      <c r="AU1750" s="59"/>
      <c r="AV1750" s="59"/>
      <c r="AW1750" s="59"/>
      <c r="AX1750" s="59"/>
      <c r="AY1750" s="59"/>
      <c r="AZ1750" s="59"/>
      <c r="BA1750" s="59"/>
      <c r="BB1750" s="59"/>
      <c r="BC1750" s="59"/>
      <c r="BD1750" s="59"/>
      <c r="BE1750" s="59"/>
      <c r="BF1750" s="59"/>
      <c r="BG1750" s="59"/>
      <c r="BH1750" s="59"/>
      <c r="BI1750" s="59"/>
      <c r="BJ1750" s="59"/>
      <c r="BK1750" s="59"/>
      <c r="BL1750" s="59"/>
      <c r="BM1750" s="59"/>
      <c r="BN1750" s="59"/>
      <c r="BO1750" s="59"/>
      <c r="BP1750" s="59"/>
      <c r="BQ1750" s="59"/>
      <c r="BR1750" s="59"/>
      <c r="BS1750" s="59"/>
      <c r="BT1750" s="59"/>
      <c r="BU1750" s="59"/>
      <c r="BV1750" s="59"/>
      <c r="BW1750" s="59"/>
      <c r="BX1750" s="59"/>
      <c r="BY1750" s="59"/>
      <c r="BZ1750" s="59"/>
      <c r="CA1750" s="59"/>
      <c r="CB1750" s="59"/>
      <c r="CC1750" s="59"/>
      <c r="CD1750" s="59"/>
      <c r="CE1750" s="59"/>
      <c r="CF1750" s="59"/>
      <c r="CG1750" s="59"/>
      <c r="CH1750" s="59"/>
      <c r="CI1750" s="59"/>
      <c r="CJ1750" s="59"/>
      <c r="CK1750" s="59"/>
      <c r="CL1750" s="59"/>
      <c r="CM1750" s="59"/>
      <c r="CN1750" s="59"/>
      <c r="CO1750" s="59"/>
      <c r="CP1750" s="59"/>
      <c r="CQ1750" s="59"/>
      <c r="CR1750" s="59"/>
      <c r="CS1750" s="59"/>
      <c r="CT1750" s="59"/>
      <c r="CU1750" s="59"/>
      <c r="CV1750" s="59"/>
      <c r="CW1750" s="59"/>
      <c r="CX1750" s="59"/>
      <c r="CY1750" s="59"/>
      <c r="CZ1750" s="59"/>
      <c r="DA1750" s="59"/>
      <c r="DB1750" s="59"/>
      <c r="DC1750" s="59"/>
      <c r="DD1750" s="59"/>
      <c r="DE1750" s="59"/>
      <c r="DF1750" s="59"/>
      <c r="DG1750" s="59"/>
      <c r="DH1750" s="59"/>
      <c r="DI1750" s="59"/>
      <c r="DJ1750" s="59"/>
      <c r="DK1750" s="59"/>
      <c r="DL1750" s="59"/>
      <c r="DM1750" s="59"/>
      <c r="DN1750" s="59"/>
      <c r="DO1750" s="59"/>
      <c r="DP1750" s="59"/>
      <c r="DQ1750" s="59"/>
      <c r="DR1750" s="59"/>
      <c r="DS1750" s="59"/>
      <c r="DT1750" s="59"/>
      <c r="DU1750" s="59"/>
      <c r="DV1750" s="59"/>
      <c r="DW1750" s="59"/>
      <c r="DX1750" s="59"/>
      <c r="DY1750" s="59"/>
      <c r="DZ1750" s="59"/>
      <c r="EA1750" s="59"/>
      <c r="EB1750" s="59"/>
      <c r="EC1750" s="59"/>
      <c r="ED1750" s="59"/>
      <c r="EE1750" s="59"/>
      <c r="EF1750" s="59"/>
      <c r="EG1750" s="59"/>
      <c r="EH1750" s="59"/>
      <c r="EI1750" s="59"/>
      <c r="EJ1750" s="59"/>
      <c r="EK1750" s="59"/>
      <c r="EL1750" s="59"/>
      <c r="EM1750" s="59"/>
      <c r="EN1750" s="59"/>
      <c r="EO1750" s="59"/>
      <c r="EP1750" s="59"/>
      <c r="EQ1750" s="59"/>
      <c r="ER1750" s="59"/>
      <c r="ES1750" s="59"/>
      <c r="ET1750" s="59"/>
      <c r="EU1750" s="59"/>
      <c r="EV1750" s="59"/>
      <c r="EW1750" s="59"/>
      <c r="EX1750" s="59"/>
      <c r="EY1750" s="59"/>
      <c r="EZ1750" s="59"/>
      <c r="FA1750" s="59"/>
      <c r="FB1750" s="59"/>
      <c r="FC1750" s="59"/>
      <c r="FD1750" s="59"/>
      <c r="FE1750" s="59"/>
      <c r="FF1750" s="59"/>
      <c r="FG1750" s="59"/>
      <c r="FH1750" s="59"/>
      <c r="FI1750" s="59"/>
      <c r="FJ1750" s="59"/>
      <c r="FK1750" s="59"/>
      <c r="FL1750" s="59"/>
      <c r="FM1750" s="59"/>
      <c r="FN1750" s="59"/>
      <c r="FO1750" s="59"/>
      <c r="FP1750" s="59"/>
      <c r="FQ1750" s="59"/>
      <c r="FR1750" s="59"/>
      <c r="FS1750" s="59"/>
      <c r="FT1750" s="59"/>
      <c r="FU1750" s="59"/>
      <c r="FV1750" s="59"/>
      <c r="FW1750" s="59"/>
      <c r="FX1750" s="59"/>
      <c r="FY1750" s="59"/>
      <c r="FZ1750" s="59"/>
      <c r="GA1750" s="59"/>
      <c r="GB1750" s="59"/>
      <c r="GC1750" s="59"/>
    </row>
    <row r="1751">
      <c r="A1751" s="59"/>
      <c r="B1751" s="59"/>
      <c r="C1751" s="59"/>
      <c r="D1751" s="59"/>
      <c r="E1751" s="59"/>
      <c r="F1751" s="59"/>
      <c r="G1751" s="59"/>
      <c r="H1751" s="59"/>
      <c r="I1751" s="59"/>
      <c r="J1751" s="59"/>
      <c r="K1751" s="59"/>
      <c r="L1751" s="59"/>
      <c r="M1751" s="59"/>
      <c r="N1751" s="59"/>
      <c r="O1751" s="59"/>
      <c r="P1751" s="59"/>
      <c r="Q1751" s="59"/>
      <c r="R1751" s="59"/>
      <c r="S1751" s="59"/>
      <c r="T1751" s="59"/>
      <c r="U1751" s="59"/>
      <c r="V1751" s="59"/>
      <c r="W1751" s="59"/>
      <c r="X1751" s="59"/>
      <c r="Y1751" s="59"/>
      <c r="Z1751" s="59"/>
      <c r="AA1751" s="59"/>
      <c r="AB1751" s="59"/>
      <c r="AC1751" s="59"/>
      <c r="AD1751" s="59"/>
      <c r="AE1751" s="59"/>
      <c r="AF1751" s="59"/>
      <c r="AG1751" s="59"/>
      <c r="AH1751" s="59"/>
      <c r="AI1751" s="59"/>
      <c r="AJ1751" s="59"/>
      <c r="AK1751" s="59"/>
      <c r="AL1751" s="59"/>
      <c r="AM1751" s="59"/>
      <c r="AN1751" s="59"/>
      <c r="AO1751" s="59"/>
      <c r="AP1751" s="59"/>
      <c r="AQ1751" s="59"/>
      <c r="AR1751" s="59"/>
      <c r="AS1751" s="59"/>
      <c r="AT1751" s="59"/>
      <c r="AU1751" s="59"/>
      <c r="AV1751" s="59"/>
      <c r="AW1751" s="59"/>
      <c r="AX1751" s="59"/>
      <c r="AY1751" s="59"/>
      <c r="AZ1751" s="59"/>
      <c r="BA1751" s="59"/>
      <c r="BB1751" s="59"/>
      <c r="BC1751" s="59"/>
      <c r="BD1751" s="59"/>
      <c r="BE1751" s="59"/>
      <c r="BF1751" s="59"/>
      <c r="BG1751" s="59"/>
      <c r="BH1751" s="59"/>
      <c r="BI1751" s="59"/>
      <c r="BJ1751" s="59"/>
      <c r="BK1751" s="59"/>
      <c r="BL1751" s="59"/>
      <c r="BM1751" s="59"/>
      <c r="BN1751" s="59"/>
      <c r="BO1751" s="59"/>
      <c r="BP1751" s="59"/>
      <c r="BQ1751" s="59"/>
      <c r="BR1751" s="59"/>
      <c r="BS1751" s="59"/>
      <c r="BT1751" s="59"/>
      <c r="BU1751" s="59"/>
      <c r="BV1751" s="59"/>
      <c r="BW1751" s="59"/>
      <c r="BX1751" s="59"/>
      <c r="BY1751" s="59"/>
      <c r="BZ1751" s="59"/>
      <c r="CA1751" s="59"/>
      <c r="CB1751" s="59"/>
      <c r="CC1751" s="59"/>
      <c r="CD1751" s="59"/>
      <c r="CE1751" s="59"/>
      <c r="CF1751" s="59"/>
      <c r="CG1751" s="59"/>
      <c r="CH1751" s="59"/>
      <c r="CI1751" s="59"/>
      <c r="CJ1751" s="59"/>
      <c r="CK1751" s="59"/>
      <c r="CL1751" s="59"/>
      <c r="CM1751" s="59"/>
      <c r="CN1751" s="59"/>
      <c r="CO1751" s="59"/>
      <c r="CP1751" s="59"/>
      <c r="CQ1751" s="59"/>
      <c r="CR1751" s="59"/>
      <c r="CS1751" s="59"/>
      <c r="CT1751" s="59"/>
      <c r="CU1751" s="59"/>
      <c r="CV1751" s="59"/>
      <c r="CW1751" s="59"/>
      <c r="CX1751" s="59"/>
      <c r="CY1751" s="59"/>
      <c r="CZ1751" s="59"/>
      <c r="DA1751" s="59"/>
      <c r="DB1751" s="59"/>
      <c r="DC1751" s="59"/>
      <c r="DD1751" s="59"/>
      <c r="DE1751" s="59"/>
      <c r="DF1751" s="59"/>
      <c r="DG1751" s="59"/>
      <c r="DH1751" s="59"/>
      <c r="DI1751" s="59"/>
      <c r="DJ1751" s="59"/>
      <c r="DK1751" s="59"/>
      <c r="DL1751" s="59"/>
      <c r="DM1751" s="59"/>
      <c r="DN1751" s="59"/>
      <c r="DO1751" s="59"/>
      <c r="DP1751" s="59"/>
      <c r="DQ1751" s="59"/>
      <c r="DR1751" s="59"/>
      <c r="DS1751" s="59"/>
      <c r="DT1751" s="59"/>
      <c r="DU1751" s="59"/>
      <c r="DV1751" s="59"/>
      <c r="DW1751" s="59"/>
      <c r="DX1751" s="59"/>
      <c r="DY1751" s="59"/>
      <c r="DZ1751" s="59"/>
      <c r="EA1751" s="59"/>
      <c r="EB1751" s="59"/>
      <c r="EC1751" s="59"/>
      <c r="ED1751" s="59"/>
      <c r="EE1751" s="59"/>
      <c r="EF1751" s="59"/>
      <c r="EG1751" s="59"/>
      <c r="EH1751" s="59"/>
      <c r="EI1751" s="59"/>
      <c r="EJ1751" s="59"/>
      <c r="EK1751" s="59"/>
      <c r="EL1751" s="59"/>
      <c r="EM1751" s="59"/>
      <c r="EN1751" s="59"/>
      <c r="EO1751" s="59"/>
      <c r="EP1751" s="59"/>
      <c r="EQ1751" s="59"/>
      <c r="ER1751" s="59"/>
      <c r="ES1751" s="59"/>
      <c r="ET1751" s="59"/>
      <c r="EU1751" s="59"/>
      <c r="EV1751" s="59"/>
      <c r="EW1751" s="59"/>
      <c r="EX1751" s="59"/>
      <c r="EY1751" s="59"/>
      <c r="EZ1751" s="59"/>
      <c r="FA1751" s="59"/>
      <c r="FB1751" s="59"/>
      <c r="FC1751" s="59"/>
      <c r="FD1751" s="59"/>
      <c r="FE1751" s="59"/>
      <c r="FF1751" s="59"/>
      <c r="FG1751" s="59"/>
      <c r="FH1751" s="59"/>
      <c r="FI1751" s="59"/>
      <c r="FJ1751" s="59"/>
      <c r="FK1751" s="59"/>
      <c r="FL1751" s="59"/>
      <c r="FM1751" s="59"/>
      <c r="FN1751" s="59"/>
      <c r="FO1751" s="59"/>
      <c r="FP1751" s="59"/>
      <c r="FQ1751" s="59"/>
      <c r="FR1751" s="59"/>
      <c r="FS1751" s="59"/>
      <c r="FT1751" s="59"/>
      <c r="FU1751" s="59"/>
      <c r="FV1751" s="59"/>
      <c r="FW1751" s="59"/>
      <c r="FX1751" s="59"/>
      <c r="FY1751" s="59"/>
      <c r="FZ1751" s="59"/>
      <c r="GA1751" s="59"/>
      <c r="GB1751" s="59"/>
      <c r="GC1751" s="59"/>
    </row>
    <row r="1752">
      <c r="A1752" s="59"/>
      <c r="B1752" s="59"/>
      <c r="C1752" s="59"/>
      <c r="D1752" s="59"/>
      <c r="E1752" s="59"/>
      <c r="F1752" s="59"/>
      <c r="G1752" s="59"/>
      <c r="H1752" s="59"/>
      <c r="I1752" s="59"/>
      <c r="J1752" s="59"/>
      <c r="K1752" s="59"/>
      <c r="L1752" s="59"/>
      <c r="M1752" s="59"/>
      <c r="N1752" s="59"/>
      <c r="O1752" s="59"/>
      <c r="P1752" s="59"/>
      <c r="Q1752" s="59"/>
      <c r="R1752" s="59"/>
      <c r="S1752" s="59"/>
      <c r="T1752" s="59"/>
      <c r="U1752" s="59"/>
      <c r="V1752" s="59"/>
      <c r="W1752" s="59"/>
      <c r="X1752" s="59"/>
      <c r="Y1752" s="59"/>
      <c r="Z1752" s="59"/>
      <c r="AA1752" s="59"/>
      <c r="AB1752" s="59"/>
      <c r="AC1752" s="59"/>
      <c r="AD1752" s="59"/>
      <c r="AE1752" s="59"/>
      <c r="AF1752" s="59"/>
      <c r="AG1752" s="59"/>
      <c r="AH1752" s="59"/>
      <c r="AI1752" s="59"/>
      <c r="AJ1752" s="59"/>
      <c r="AK1752" s="59"/>
      <c r="AL1752" s="59"/>
      <c r="AM1752" s="59"/>
      <c r="AN1752" s="59"/>
      <c r="AO1752" s="59"/>
      <c r="AP1752" s="59"/>
      <c r="AQ1752" s="59"/>
      <c r="AR1752" s="59"/>
      <c r="AS1752" s="59"/>
      <c r="AT1752" s="59"/>
      <c r="AU1752" s="59"/>
      <c r="AV1752" s="59"/>
      <c r="AW1752" s="59"/>
      <c r="AX1752" s="59"/>
      <c r="AY1752" s="59"/>
      <c r="AZ1752" s="59"/>
      <c r="BA1752" s="59"/>
      <c r="BB1752" s="59"/>
      <c r="BC1752" s="59"/>
      <c r="BD1752" s="59"/>
      <c r="BE1752" s="59"/>
      <c r="BF1752" s="59"/>
      <c r="BG1752" s="59"/>
      <c r="BH1752" s="59"/>
      <c r="BI1752" s="59"/>
      <c r="BJ1752" s="59"/>
      <c r="BK1752" s="59"/>
      <c r="BL1752" s="59"/>
      <c r="BM1752" s="59"/>
      <c r="BN1752" s="59"/>
      <c r="BO1752" s="59"/>
      <c r="BP1752" s="59"/>
      <c r="BQ1752" s="59"/>
      <c r="BR1752" s="59"/>
      <c r="BS1752" s="59"/>
      <c r="BT1752" s="59"/>
      <c r="BU1752" s="59"/>
      <c r="BV1752" s="59"/>
      <c r="BW1752" s="59"/>
      <c r="BX1752" s="59"/>
      <c r="BY1752" s="59"/>
      <c r="BZ1752" s="59"/>
      <c r="CA1752" s="59"/>
      <c r="CB1752" s="59"/>
      <c r="CC1752" s="59"/>
      <c r="CD1752" s="59"/>
      <c r="CE1752" s="59"/>
      <c r="CF1752" s="59"/>
      <c r="CG1752" s="59"/>
      <c r="CH1752" s="59"/>
      <c r="CI1752" s="59"/>
      <c r="CJ1752" s="59"/>
      <c r="CK1752" s="59"/>
      <c r="CL1752" s="59"/>
      <c r="CM1752" s="59"/>
      <c r="CN1752" s="59"/>
      <c r="CO1752" s="59"/>
      <c r="CP1752" s="59"/>
      <c r="CQ1752" s="59"/>
      <c r="CR1752" s="59"/>
      <c r="CS1752" s="59"/>
      <c r="CT1752" s="59"/>
      <c r="CU1752" s="59"/>
      <c r="CV1752" s="59"/>
      <c r="CW1752" s="59"/>
      <c r="CX1752" s="59"/>
      <c r="CY1752" s="59"/>
      <c r="CZ1752" s="59"/>
      <c r="DA1752" s="59"/>
      <c r="DB1752" s="59"/>
      <c r="DC1752" s="59"/>
      <c r="DD1752" s="59"/>
      <c r="DE1752" s="59"/>
      <c r="DF1752" s="59"/>
      <c r="DG1752" s="59"/>
      <c r="DH1752" s="59"/>
      <c r="DI1752" s="59"/>
      <c r="DJ1752" s="59"/>
      <c r="DK1752" s="59"/>
      <c r="DL1752" s="59"/>
      <c r="DM1752" s="59"/>
      <c r="DN1752" s="59"/>
      <c r="DO1752" s="59"/>
      <c r="DP1752" s="59"/>
      <c r="DQ1752" s="59"/>
      <c r="DR1752" s="59"/>
      <c r="DS1752" s="59"/>
      <c r="DT1752" s="59"/>
      <c r="DU1752" s="59"/>
      <c r="DV1752" s="59"/>
      <c r="DW1752" s="59"/>
      <c r="DX1752" s="59"/>
      <c r="DY1752" s="59"/>
      <c r="DZ1752" s="59"/>
      <c r="EA1752" s="59"/>
      <c r="EB1752" s="59"/>
      <c r="EC1752" s="59"/>
      <c r="ED1752" s="59"/>
      <c r="EE1752" s="59"/>
      <c r="EF1752" s="59"/>
      <c r="EG1752" s="59"/>
      <c r="EH1752" s="59"/>
      <c r="EI1752" s="59"/>
      <c r="EJ1752" s="59"/>
      <c r="EK1752" s="59"/>
      <c r="EL1752" s="59"/>
      <c r="EM1752" s="59"/>
      <c r="EN1752" s="59"/>
      <c r="EO1752" s="59"/>
      <c r="EP1752" s="59"/>
      <c r="EQ1752" s="59"/>
      <c r="ER1752" s="59"/>
      <c r="ES1752" s="59"/>
      <c r="ET1752" s="59"/>
      <c r="EU1752" s="59"/>
      <c r="EV1752" s="59"/>
      <c r="EW1752" s="59"/>
      <c r="EX1752" s="59"/>
      <c r="EY1752" s="59"/>
      <c r="EZ1752" s="59"/>
      <c r="FA1752" s="59"/>
      <c r="FB1752" s="59"/>
      <c r="FC1752" s="59"/>
      <c r="FD1752" s="59"/>
      <c r="FE1752" s="59"/>
      <c r="FF1752" s="59"/>
      <c r="FG1752" s="59"/>
      <c r="FH1752" s="59"/>
      <c r="FI1752" s="59"/>
      <c r="FJ1752" s="59"/>
      <c r="FK1752" s="59"/>
      <c r="FL1752" s="59"/>
      <c r="FM1752" s="59"/>
      <c r="FN1752" s="59"/>
      <c r="FO1752" s="59"/>
      <c r="FP1752" s="59"/>
      <c r="FQ1752" s="59"/>
      <c r="FR1752" s="59"/>
      <c r="FS1752" s="59"/>
      <c r="FT1752" s="59"/>
      <c r="FU1752" s="59"/>
      <c r="FV1752" s="59"/>
      <c r="FW1752" s="59"/>
      <c r="FX1752" s="59"/>
      <c r="FY1752" s="59"/>
      <c r="FZ1752" s="59"/>
      <c r="GA1752" s="59"/>
      <c r="GB1752" s="59"/>
      <c r="GC1752" s="59"/>
    </row>
    <row r="1753">
      <c r="A1753" s="59"/>
      <c r="B1753" s="59"/>
      <c r="C1753" s="59"/>
      <c r="D1753" s="59"/>
      <c r="E1753" s="59"/>
      <c r="F1753" s="59"/>
      <c r="G1753" s="59"/>
      <c r="H1753" s="59"/>
      <c r="I1753" s="59"/>
      <c r="J1753" s="59"/>
      <c r="K1753" s="59"/>
      <c r="L1753" s="59"/>
      <c r="M1753" s="59"/>
      <c r="N1753" s="59"/>
      <c r="O1753" s="59"/>
      <c r="P1753" s="59"/>
      <c r="Q1753" s="59"/>
      <c r="R1753" s="59"/>
      <c r="S1753" s="59"/>
      <c r="T1753" s="59"/>
      <c r="U1753" s="59"/>
      <c r="V1753" s="59"/>
      <c r="W1753" s="59"/>
      <c r="X1753" s="59"/>
      <c r="Y1753" s="59"/>
      <c r="Z1753" s="59"/>
      <c r="AA1753" s="59"/>
      <c r="AB1753" s="59"/>
      <c r="AC1753" s="59"/>
      <c r="AD1753" s="59"/>
      <c r="AE1753" s="59"/>
      <c r="AF1753" s="59"/>
      <c r="AG1753" s="59"/>
      <c r="AH1753" s="59"/>
      <c r="AI1753" s="59"/>
      <c r="AJ1753" s="59"/>
      <c r="AK1753" s="59"/>
      <c r="AL1753" s="59"/>
      <c r="AM1753" s="59"/>
      <c r="AN1753" s="59"/>
      <c r="AO1753" s="59"/>
      <c r="AP1753" s="59"/>
      <c r="AQ1753" s="59"/>
      <c r="AR1753" s="59"/>
      <c r="AS1753" s="59"/>
      <c r="AT1753" s="59"/>
      <c r="AU1753" s="59"/>
      <c r="AV1753" s="59"/>
      <c r="AW1753" s="59"/>
      <c r="AX1753" s="59"/>
      <c r="AY1753" s="59"/>
      <c r="AZ1753" s="59"/>
      <c r="BA1753" s="59"/>
      <c r="BB1753" s="59"/>
      <c r="BC1753" s="59"/>
      <c r="BD1753" s="59"/>
      <c r="BE1753" s="59"/>
      <c r="BF1753" s="59"/>
      <c r="BG1753" s="59"/>
      <c r="BH1753" s="59"/>
      <c r="BI1753" s="59"/>
      <c r="BJ1753" s="59"/>
      <c r="BK1753" s="59"/>
      <c r="BL1753" s="59"/>
      <c r="BM1753" s="59"/>
      <c r="BN1753" s="59"/>
      <c r="BO1753" s="59"/>
      <c r="BP1753" s="59"/>
      <c r="BQ1753" s="59"/>
      <c r="BR1753" s="59"/>
      <c r="BS1753" s="59"/>
      <c r="BT1753" s="59"/>
      <c r="BU1753" s="59"/>
      <c r="BV1753" s="59"/>
      <c r="BW1753" s="59"/>
      <c r="BX1753" s="59"/>
      <c r="BY1753" s="59"/>
      <c r="BZ1753" s="59"/>
      <c r="CA1753" s="59"/>
      <c r="CB1753" s="59"/>
      <c r="CC1753" s="59"/>
      <c r="CD1753" s="59"/>
      <c r="CE1753" s="59"/>
      <c r="CF1753" s="59"/>
      <c r="CG1753" s="59"/>
      <c r="CH1753" s="59"/>
      <c r="CI1753" s="59"/>
      <c r="CJ1753" s="59"/>
      <c r="CK1753" s="59"/>
      <c r="CL1753" s="59"/>
      <c r="CM1753" s="59"/>
      <c r="CN1753" s="59"/>
      <c r="CO1753" s="59"/>
      <c r="CP1753" s="59"/>
      <c r="CQ1753" s="59"/>
      <c r="CR1753" s="59"/>
      <c r="CS1753" s="59"/>
      <c r="CT1753" s="59"/>
      <c r="CU1753" s="59"/>
      <c r="CV1753" s="59"/>
      <c r="CW1753" s="59"/>
      <c r="CX1753" s="59"/>
      <c r="CY1753" s="59"/>
      <c r="CZ1753" s="59"/>
      <c r="DA1753" s="59"/>
      <c r="DB1753" s="59"/>
      <c r="DC1753" s="59"/>
      <c r="DD1753" s="59"/>
      <c r="DE1753" s="59"/>
      <c r="DF1753" s="59"/>
      <c r="DG1753" s="59"/>
      <c r="DH1753" s="59"/>
      <c r="DI1753" s="59"/>
      <c r="DJ1753" s="59"/>
      <c r="DK1753" s="59"/>
      <c r="DL1753" s="59"/>
      <c r="DM1753" s="59"/>
      <c r="DN1753" s="59"/>
      <c r="DO1753" s="59"/>
      <c r="DP1753" s="59"/>
      <c r="DQ1753" s="59"/>
      <c r="DR1753" s="59"/>
      <c r="DS1753" s="59"/>
      <c r="DT1753" s="59"/>
      <c r="DU1753" s="59"/>
      <c r="DV1753" s="59"/>
      <c r="DW1753" s="59"/>
      <c r="DX1753" s="59"/>
      <c r="DY1753" s="59"/>
      <c r="DZ1753" s="59"/>
      <c r="EA1753" s="59"/>
      <c r="EB1753" s="59"/>
      <c r="EC1753" s="59"/>
      <c r="ED1753" s="59"/>
      <c r="EE1753" s="59"/>
      <c r="EF1753" s="59"/>
      <c r="EG1753" s="59"/>
      <c r="EH1753" s="59"/>
      <c r="EI1753" s="59"/>
      <c r="EJ1753" s="59"/>
      <c r="EK1753" s="59"/>
      <c r="EL1753" s="59"/>
      <c r="EM1753" s="59"/>
      <c r="EN1753" s="59"/>
      <c r="EO1753" s="59"/>
      <c r="EP1753" s="59"/>
      <c r="EQ1753" s="59"/>
      <c r="ER1753" s="59"/>
      <c r="ES1753" s="59"/>
      <c r="ET1753" s="59"/>
      <c r="EU1753" s="59"/>
      <c r="EV1753" s="59"/>
      <c r="EW1753" s="59"/>
      <c r="EX1753" s="59"/>
      <c r="EY1753" s="59"/>
      <c r="EZ1753" s="59"/>
      <c r="FA1753" s="59"/>
      <c r="FB1753" s="59"/>
      <c r="FC1753" s="59"/>
      <c r="FD1753" s="59"/>
      <c r="FE1753" s="59"/>
      <c r="FF1753" s="59"/>
      <c r="FG1753" s="59"/>
      <c r="FH1753" s="59"/>
      <c r="FI1753" s="59"/>
      <c r="FJ1753" s="59"/>
      <c r="FK1753" s="59"/>
      <c r="FL1753" s="59"/>
      <c r="FM1753" s="59"/>
      <c r="FN1753" s="59"/>
      <c r="FO1753" s="59"/>
      <c r="FP1753" s="59"/>
      <c r="FQ1753" s="59"/>
      <c r="FR1753" s="59"/>
      <c r="FS1753" s="59"/>
      <c r="FT1753" s="59"/>
      <c r="FU1753" s="59"/>
      <c r="FV1753" s="59"/>
      <c r="FW1753" s="59"/>
      <c r="FX1753" s="59"/>
      <c r="FY1753" s="59"/>
      <c r="FZ1753" s="59"/>
      <c r="GA1753" s="59"/>
      <c r="GB1753" s="59"/>
      <c r="GC1753" s="59"/>
    </row>
    <row r="1754">
      <c r="A1754" s="59"/>
      <c r="B1754" s="59"/>
      <c r="C1754" s="59"/>
      <c r="D1754" s="59"/>
      <c r="E1754" s="59"/>
      <c r="F1754" s="59"/>
      <c r="G1754" s="59"/>
      <c r="H1754" s="59"/>
      <c r="I1754" s="59"/>
      <c r="J1754" s="59"/>
      <c r="K1754" s="59"/>
      <c r="L1754" s="59"/>
      <c r="M1754" s="59"/>
      <c r="N1754" s="59"/>
      <c r="O1754" s="59"/>
      <c r="P1754" s="59"/>
      <c r="Q1754" s="59"/>
      <c r="R1754" s="59"/>
      <c r="S1754" s="59"/>
      <c r="T1754" s="59"/>
      <c r="U1754" s="59"/>
      <c r="V1754" s="59"/>
      <c r="W1754" s="59"/>
      <c r="X1754" s="59"/>
      <c r="Y1754" s="59"/>
      <c r="Z1754" s="59"/>
      <c r="AA1754" s="59"/>
      <c r="AB1754" s="59"/>
      <c r="AC1754" s="59"/>
      <c r="AD1754" s="59"/>
      <c r="AE1754" s="59"/>
      <c r="AF1754" s="59"/>
      <c r="AG1754" s="59"/>
      <c r="AH1754" s="59"/>
      <c r="AI1754" s="59"/>
      <c r="AJ1754" s="59"/>
      <c r="AK1754" s="59"/>
      <c r="AL1754" s="59"/>
      <c r="AM1754" s="59"/>
      <c r="AN1754" s="59"/>
      <c r="AO1754" s="59"/>
      <c r="AP1754" s="59"/>
      <c r="AQ1754" s="59"/>
      <c r="AR1754" s="59"/>
      <c r="AS1754" s="59"/>
      <c r="AT1754" s="59"/>
      <c r="AU1754" s="59"/>
      <c r="AV1754" s="59"/>
      <c r="AW1754" s="59"/>
      <c r="AX1754" s="59"/>
      <c r="AY1754" s="59"/>
      <c r="AZ1754" s="59"/>
      <c r="BA1754" s="59"/>
      <c r="BB1754" s="59"/>
      <c r="BC1754" s="59"/>
      <c r="BD1754" s="59"/>
      <c r="BE1754" s="59"/>
      <c r="BF1754" s="59"/>
      <c r="BG1754" s="59"/>
      <c r="BH1754" s="59"/>
      <c r="BI1754" s="59"/>
      <c r="BJ1754" s="59"/>
      <c r="BK1754" s="59"/>
      <c r="BL1754" s="59"/>
      <c r="BM1754" s="59"/>
      <c r="BN1754" s="59"/>
      <c r="BO1754" s="59"/>
      <c r="BP1754" s="59"/>
      <c r="BQ1754" s="59"/>
      <c r="BR1754" s="59"/>
      <c r="BS1754" s="59"/>
      <c r="BT1754" s="59"/>
      <c r="BU1754" s="59"/>
      <c r="BV1754" s="59"/>
      <c r="BW1754" s="59"/>
      <c r="BX1754" s="59"/>
      <c r="BY1754" s="59"/>
      <c r="BZ1754" s="59"/>
      <c r="CA1754" s="59"/>
      <c r="CB1754" s="59"/>
      <c r="CC1754" s="59"/>
      <c r="CD1754" s="59"/>
      <c r="CE1754" s="59"/>
      <c r="CF1754" s="59"/>
      <c r="CG1754" s="59"/>
      <c r="CH1754" s="59"/>
      <c r="CI1754" s="59"/>
      <c r="CJ1754" s="59"/>
      <c r="CK1754" s="59"/>
      <c r="CL1754" s="59"/>
      <c r="CM1754" s="59"/>
      <c r="CN1754" s="59"/>
      <c r="CO1754" s="59"/>
      <c r="CP1754" s="59"/>
      <c r="CQ1754" s="59"/>
      <c r="CR1754" s="59"/>
      <c r="CS1754" s="59"/>
      <c r="CT1754" s="59"/>
      <c r="CU1754" s="59"/>
      <c r="CV1754" s="59"/>
      <c r="CW1754" s="59"/>
      <c r="CX1754" s="59"/>
      <c r="CY1754" s="59"/>
      <c r="CZ1754" s="59"/>
      <c r="DA1754" s="59"/>
      <c r="DB1754" s="59"/>
      <c r="DC1754" s="59"/>
      <c r="DD1754" s="59"/>
      <c r="DE1754" s="59"/>
      <c r="DF1754" s="59"/>
      <c r="DG1754" s="59"/>
      <c r="DH1754" s="59"/>
      <c r="DI1754" s="59"/>
      <c r="DJ1754" s="59"/>
      <c r="DK1754" s="59"/>
      <c r="DL1754" s="59"/>
      <c r="DM1754" s="59"/>
      <c r="DN1754" s="59"/>
      <c r="DO1754" s="59"/>
      <c r="DP1754" s="59"/>
      <c r="DQ1754" s="59"/>
      <c r="DR1754" s="59"/>
      <c r="DS1754" s="59"/>
      <c r="DT1754" s="59"/>
      <c r="DU1754" s="59"/>
      <c r="DV1754" s="59"/>
      <c r="DW1754" s="59"/>
      <c r="DX1754" s="59"/>
      <c r="DY1754" s="59"/>
      <c r="DZ1754" s="59"/>
      <c r="EA1754" s="59"/>
      <c r="EB1754" s="59"/>
      <c r="EC1754" s="59"/>
      <c r="ED1754" s="59"/>
      <c r="EE1754" s="59"/>
      <c r="EF1754" s="59"/>
      <c r="EG1754" s="59"/>
      <c r="EH1754" s="59"/>
      <c r="EI1754" s="59"/>
      <c r="EJ1754" s="59"/>
      <c r="EK1754" s="59"/>
      <c r="EL1754" s="59"/>
      <c r="EM1754" s="59"/>
      <c r="EN1754" s="59"/>
      <c r="EO1754" s="59"/>
      <c r="EP1754" s="59"/>
      <c r="EQ1754" s="59"/>
      <c r="ER1754" s="59"/>
      <c r="ES1754" s="59"/>
      <c r="ET1754" s="59"/>
      <c r="EU1754" s="59"/>
      <c r="EV1754" s="59"/>
      <c r="EW1754" s="59"/>
      <c r="EX1754" s="59"/>
      <c r="EY1754" s="59"/>
      <c r="EZ1754" s="59"/>
      <c r="FA1754" s="59"/>
      <c r="FB1754" s="59"/>
      <c r="FC1754" s="59"/>
      <c r="FD1754" s="59"/>
      <c r="FE1754" s="59"/>
      <c r="FF1754" s="59"/>
      <c r="FG1754" s="59"/>
      <c r="FH1754" s="59"/>
      <c r="FI1754" s="59"/>
      <c r="FJ1754" s="59"/>
      <c r="FK1754" s="59"/>
      <c r="FL1754" s="59"/>
      <c r="FM1754" s="59"/>
      <c r="FN1754" s="59"/>
      <c r="FO1754" s="59"/>
      <c r="FP1754" s="59"/>
      <c r="FQ1754" s="59"/>
      <c r="FR1754" s="59"/>
      <c r="FS1754" s="59"/>
      <c r="FT1754" s="59"/>
      <c r="FU1754" s="59"/>
      <c r="FV1754" s="59"/>
      <c r="FW1754" s="59"/>
      <c r="FX1754" s="59"/>
      <c r="FY1754" s="59"/>
      <c r="FZ1754" s="59"/>
      <c r="GA1754" s="59"/>
      <c r="GB1754" s="59"/>
      <c r="GC1754" s="59"/>
    </row>
    <row r="1755">
      <c r="A1755" s="59"/>
      <c r="B1755" s="59"/>
      <c r="C1755" s="59"/>
      <c r="D1755" s="59"/>
      <c r="E1755" s="59"/>
      <c r="F1755" s="59"/>
      <c r="G1755" s="59"/>
      <c r="H1755" s="59"/>
      <c r="I1755" s="59"/>
      <c r="J1755" s="59"/>
      <c r="K1755" s="59"/>
      <c r="L1755" s="59"/>
      <c r="M1755" s="59"/>
      <c r="N1755" s="59"/>
      <c r="O1755" s="59"/>
      <c r="P1755" s="59"/>
      <c r="Q1755" s="59"/>
      <c r="R1755" s="59"/>
      <c r="S1755" s="59"/>
      <c r="T1755" s="59"/>
      <c r="U1755" s="59"/>
      <c r="V1755" s="59"/>
      <c r="W1755" s="59"/>
      <c r="X1755" s="59"/>
      <c r="Y1755" s="59"/>
      <c r="Z1755" s="59"/>
      <c r="AA1755" s="59"/>
      <c r="AB1755" s="59"/>
      <c r="AC1755" s="59"/>
      <c r="AD1755" s="59"/>
      <c r="AE1755" s="59"/>
      <c r="AF1755" s="59"/>
      <c r="AG1755" s="59"/>
      <c r="AH1755" s="59"/>
      <c r="AI1755" s="59"/>
      <c r="AJ1755" s="59"/>
      <c r="AK1755" s="59"/>
      <c r="AL1755" s="59"/>
      <c r="AM1755" s="59"/>
      <c r="AN1755" s="59"/>
      <c r="AO1755" s="59"/>
      <c r="AP1755" s="59"/>
      <c r="AQ1755" s="59"/>
      <c r="AR1755" s="59"/>
      <c r="AS1755" s="59"/>
      <c r="AT1755" s="59"/>
      <c r="AU1755" s="59"/>
      <c r="AV1755" s="59"/>
      <c r="AW1755" s="59"/>
      <c r="AX1755" s="59"/>
      <c r="AY1755" s="59"/>
      <c r="AZ1755" s="59"/>
      <c r="BA1755" s="59"/>
      <c r="BB1755" s="59"/>
      <c r="BC1755" s="59"/>
      <c r="BD1755" s="59"/>
      <c r="BE1755" s="59"/>
      <c r="BF1755" s="59"/>
      <c r="BG1755" s="59"/>
      <c r="BH1755" s="59"/>
      <c r="BI1755" s="59"/>
      <c r="BJ1755" s="59"/>
      <c r="BK1755" s="59"/>
      <c r="BL1755" s="59"/>
      <c r="BM1755" s="59"/>
      <c r="BN1755" s="59"/>
      <c r="BO1755" s="59"/>
      <c r="BP1755" s="59"/>
      <c r="BQ1755" s="59"/>
      <c r="BR1755" s="59"/>
      <c r="BS1755" s="59"/>
      <c r="BT1755" s="59"/>
      <c r="BU1755" s="59"/>
      <c r="BV1755" s="59"/>
      <c r="BW1755" s="59"/>
      <c r="BX1755" s="59"/>
      <c r="BY1755" s="59"/>
      <c r="BZ1755" s="59"/>
      <c r="CA1755" s="59"/>
      <c r="CB1755" s="59"/>
      <c r="CC1755" s="59"/>
      <c r="CD1755" s="59"/>
      <c r="CE1755" s="59"/>
      <c r="CF1755" s="59"/>
      <c r="CG1755" s="59"/>
      <c r="CH1755" s="59"/>
      <c r="CI1755" s="59"/>
      <c r="CJ1755" s="59"/>
      <c r="CK1755" s="59"/>
      <c r="CL1755" s="59"/>
      <c r="CM1755" s="59"/>
      <c r="CN1755" s="59"/>
      <c r="CO1755" s="59"/>
      <c r="CP1755" s="59"/>
      <c r="CQ1755" s="59"/>
      <c r="CR1755" s="59"/>
      <c r="CS1755" s="59"/>
      <c r="CT1755" s="59"/>
      <c r="CU1755" s="59"/>
      <c r="CV1755" s="59"/>
      <c r="CW1755" s="59"/>
      <c r="CX1755" s="59"/>
      <c r="CY1755" s="59"/>
      <c r="CZ1755" s="59"/>
      <c r="DA1755" s="59"/>
      <c r="DB1755" s="59"/>
      <c r="DC1755" s="59"/>
      <c r="DD1755" s="59"/>
      <c r="DE1755" s="59"/>
      <c r="DF1755" s="59"/>
      <c r="DG1755" s="59"/>
      <c r="DH1755" s="59"/>
      <c r="DI1755" s="59"/>
      <c r="DJ1755" s="59"/>
      <c r="DK1755" s="59"/>
      <c r="DL1755" s="59"/>
      <c r="DM1755" s="59"/>
      <c r="DN1755" s="59"/>
      <c r="DO1755" s="59"/>
      <c r="DP1755" s="59"/>
      <c r="DQ1755" s="59"/>
      <c r="DR1755" s="59"/>
      <c r="DS1755" s="59"/>
      <c r="DT1755" s="59"/>
      <c r="DU1755" s="59"/>
      <c r="DV1755" s="59"/>
      <c r="DW1755" s="59"/>
      <c r="DX1755" s="59"/>
      <c r="DY1755" s="59"/>
      <c r="DZ1755" s="59"/>
      <c r="EA1755" s="59"/>
      <c r="EB1755" s="59"/>
      <c r="EC1755" s="59"/>
      <c r="ED1755" s="59"/>
      <c r="EE1755" s="59"/>
      <c r="EF1755" s="59"/>
      <c r="EG1755" s="59"/>
      <c r="EH1755" s="59"/>
      <c r="EI1755" s="59"/>
      <c r="EJ1755" s="59"/>
      <c r="EK1755" s="59"/>
      <c r="EL1755" s="59"/>
      <c r="EM1755" s="59"/>
      <c r="EN1755" s="59"/>
      <c r="EO1755" s="59"/>
      <c r="EP1755" s="59"/>
      <c r="EQ1755" s="59"/>
      <c r="ER1755" s="59"/>
      <c r="ES1755" s="59"/>
      <c r="ET1755" s="59"/>
      <c r="EU1755" s="59"/>
      <c r="EV1755" s="59"/>
      <c r="EW1755" s="59"/>
      <c r="EX1755" s="59"/>
      <c r="EY1755" s="59"/>
      <c r="EZ1755" s="59"/>
      <c r="FA1755" s="59"/>
      <c r="FB1755" s="59"/>
      <c r="FC1755" s="59"/>
      <c r="FD1755" s="59"/>
      <c r="FE1755" s="59"/>
      <c r="FF1755" s="59"/>
      <c r="FG1755" s="59"/>
      <c r="FH1755" s="59"/>
      <c r="FI1755" s="59"/>
      <c r="FJ1755" s="59"/>
      <c r="FK1755" s="59"/>
      <c r="FL1755" s="59"/>
      <c r="FM1755" s="59"/>
      <c r="FN1755" s="59"/>
      <c r="FO1755" s="59"/>
      <c r="FP1755" s="59"/>
      <c r="FQ1755" s="59"/>
      <c r="FR1755" s="59"/>
      <c r="FS1755" s="59"/>
      <c r="FT1755" s="59"/>
      <c r="FU1755" s="59"/>
      <c r="FV1755" s="59"/>
      <c r="FW1755" s="59"/>
      <c r="FX1755" s="59"/>
      <c r="FY1755" s="59"/>
      <c r="FZ1755" s="59"/>
      <c r="GA1755" s="59"/>
      <c r="GB1755" s="59"/>
      <c r="GC1755" s="59"/>
    </row>
    <row r="1756">
      <c r="A1756" s="59"/>
      <c r="B1756" s="59"/>
      <c r="C1756" s="59"/>
      <c r="D1756" s="59"/>
      <c r="E1756" s="59"/>
      <c r="F1756" s="59"/>
      <c r="G1756" s="59"/>
      <c r="H1756" s="59"/>
      <c r="I1756" s="59"/>
      <c r="J1756" s="59"/>
      <c r="K1756" s="59"/>
      <c r="L1756" s="59"/>
      <c r="M1756" s="59"/>
      <c r="N1756" s="59"/>
      <c r="O1756" s="59"/>
      <c r="P1756" s="59"/>
      <c r="Q1756" s="59"/>
      <c r="R1756" s="59"/>
      <c r="S1756" s="59"/>
      <c r="T1756" s="59"/>
      <c r="U1756" s="59"/>
      <c r="V1756" s="59"/>
      <c r="W1756" s="59"/>
      <c r="X1756" s="59"/>
      <c r="Y1756" s="59"/>
      <c r="Z1756" s="59"/>
      <c r="AA1756" s="59"/>
      <c r="AB1756" s="59"/>
      <c r="AC1756" s="59"/>
      <c r="AD1756" s="59"/>
      <c r="AE1756" s="59"/>
      <c r="AF1756" s="59"/>
      <c r="AG1756" s="59"/>
      <c r="AH1756" s="59"/>
      <c r="AI1756" s="59"/>
      <c r="AJ1756" s="59"/>
      <c r="AK1756" s="59"/>
      <c r="AL1756" s="59"/>
      <c r="AM1756" s="59"/>
      <c r="AN1756" s="59"/>
      <c r="AO1756" s="59"/>
      <c r="AP1756" s="59"/>
      <c r="AQ1756" s="59"/>
      <c r="AR1756" s="59"/>
      <c r="AS1756" s="59"/>
      <c r="AT1756" s="59"/>
      <c r="AU1756" s="59"/>
      <c r="AV1756" s="59"/>
      <c r="AW1756" s="59"/>
      <c r="AX1756" s="59"/>
      <c r="AY1756" s="59"/>
      <c r="AZ1756" s="59"/>
      <c r="BA1756" s="59"/>
      <c r="BB1756" s="59"/>
      <c r="BC1756" s="59"/>
      <c r="BD1756" s="59"/>
      <c r="BE1756" s="59"/>
      <c r="BF1756" s="59"/>
      <c r="BG1756" s="59"/>
      <c r="BH1756" s="59"/>
      <c r="BI1756" s="59"/>
      <c r="BJ1756" s="59"/>
      <c r="BK1756" s="59"/>
      <c r="BL1756" s="59"/>
      <c r="BM1756" s="59"/>
      <c r="BN1756" s="59"/>
      <c r="BO1756" s="59"/>
      <c r="BP1756" s="59"/>
      <c r="BQ1756" s="59"/>
      <c r="BR1756" s="59"/>
      <c r="BS1756" s="59"/>
      <c r="BT1756" s="59"/>
      <c r="BU1756" s="59"/>
      <c r="BV1756" s="59"/>
      <c r="BW1756" s="59"/>
      <c r="BX1756" s="59"/>
      <c r="BY1756" s="59"/>
      <c r="BZ1756" s="59"/>
      <c r="CA1756" s="59"/>
      <c r="CB1756" s="59"/>
      <c r="CC1756" s="59"/>
      <c r="CD1756" s="59"/>
      <c r="CE1756" s="59"/>
      <c r="CF1756" s="59"/>
      <c r="CG1756" s="59"/>
      <c r="CH1756" s="59"/>
      <c r="CI1756" s="59"/>
      <c r="CJ1756" s="59"/>
      <c r="CK1756" s="59"/>
      <c r="CL1756" s="59"/>
      <c r="CM1756" s="59"/>
      <c r="CN1756" s="59"/>
      <c r="CO1756" s="59"/>
      <c r="CP1756" s="59"/>
      <c r="CQ1756" s="59"/>
      <c r="CR1756" s="59"/>
      <c r="CS1756" s="59"/>
      <c r="CT1756" s="59"/>
      <c r="CU1756" s="59"/>
      <c r="CV1756" s="59"/>
      <c r="CW1756" s="59"/>
      <c r="CX1756" s="59"/>
      <c r="CY1756" s="59"/>
      <c r="CZ1756" s="59"/>
      <c r="DA1756" s="59"/>
      <c r="DB1756" s="59"/>
      <c r="DC1756" s="59"/>
      <c r="DD1756" s="59"/>
      <c r="DE1756" s="59"/>
      <c r="DF1756" s="59"/>
      <c r="DG1756" s="59"/>
      <c r="DH1756" s="59"/>
      <c r="DI1756" s="59"/>
      <c r="DJ1756" s="59"/>
      <c r="DK1756" s="59"/>
      <c r="DL1756" s="59"/>
      <c r="DM1756" s="59"/>
      <c r="DN1756" s="59"/>
      <c r="DO1756" s="59"/>
      <c r="DP1756" s="59"/>
      <c r="DQ1756" s="59"/>
      <c r="DR1756" s="59"/>
      <c r="DS1756" s="59"/>
      <c r="DT1756" s="59"/>
      <c r="DU1756" s="59"/>
      <c r="DV1756" s="59"/>
      <c r="DW1756" s="59"/>
      <c r="DX1756" s="59"/>
      <c r="DY1756" s="59"/>
      <c r="DZ1756" s="59"/>
      <c r="EA1756" s="59"/>
      <c r="EB1756" s="59"/>
      <c r="EC1756" s="59"/>
      <c r="ED1756" s="59"/>
      <c r="EE1756" s="59"/>
      <c r="EF1756" s="59"/>
      <c r="EG1756" s="59"/>
      <c r="EH1756" s="59"/>
      <c r="EI1756" s="59"/>
      <c r="EJ1756" s="59"/>
      <c r="EK1756" s="59"/>
      <c r="EL1756" s="59"/>
      <c r="EM1756" s="59"/>
      <c r="EN1756" s="59"/>
      <c r="EO1756" s="59"/>
      <c r="EP1756" s="59"/>
      <c r="EQ1756" s="59"/>
      <c r="ER1756" s="59"/>
      <c r="ES1756" s="59"/>
      <c r="ET1756" s="59"/>
      <c r="EU1756" s="59"/>
      <c r="EV1756" s="59"/>
      <c r="EW1756" s="59"/>
      <c r="EX1756" s="59"/>
      <c r="EY1756" s="59"/>
      <c r="EZ1756" s="59"/>
      <c r="FA1756" s="59"/>
      <c r="FB1756" s="59"/>
      <c r="FC1756" s="59"/>
      <c r="FD1756" s="59"/>
      <c r="FE1756" s="59"/>
      <c r="FF1756" s="59"/>
      <c r="FG1756" s="59"/>
      <c r="FH1756" s="59"/>
      <c r="FI1756" s="59"/>
      <c r="FJ1756" s="59"/>
      <c r="FK1756" s="59"/>
      <c r="FL1756" s="59"/>
      <c r="FM1756" s="59"/>
      <c r="FN1756" s="59"/>
      <c r="FO1756" s="59"/>
      <c r="FP1756" s="59"/>
      <c r="FQ1756" s="59"/>
      <c r="FR1756" s="59"/>
      <c r="FS1756" s="59"/>
      <c r="FT1756" s="59"/>
      <c r="FU1756" s="59"/>
      <c r="FV1756" s="59"/>
      <c r="FW1756" s="59"/>
      <c r="FX1756" s="59"/>
      <c r="FY1756" s="59"/>
      <c r="FZ1756" s="59"/>
      <c r="GA1756" s="59"/>
      <c r="GB1756" s="59"/>
      <c r="GC1756" s="59"/>
    </row>
    <row r="1757">
      <c r="A1757" s="59"/>
      <c r="B1757" s="59"/>
      <c r="C1757" s="59"/>
      <c r="D1757" s="59"/>
      <c r="E1757" s="59"/>
      <c r="F1757" s="59"/>
      <c r="G1757" s="59"/>
      <c r="H1757" s="59"/>
      <c r="I1757" s="59"/>
      <c r="J1757" s="59"/>
      <c r="K1757" s="59"/>
      <c r="L1757" s="59"/>
      <c r="M1757" s="59"/>
      <c r="N1757" s="59"/>
      <c r="O1757" s="59"/>
      <c r="P1757" s="59"/>
      <c r="Q1757" s="59"/>
      <c r="R1757" s="59"/>
      <c r="S1757" s="59"/>
      <c r="T1757" s="59"/>
      <c r="U1757" s="59"/>
      <c r="V1757" s="59"/>
      <c r="W1757" s="59"/>
      <c r="X1757" s="59"/>
      <c r="Y1757" s="59"/>
      <c r="Z1757" s="59"/>
      <c r="AA1757" s="59"/>
      <c r="AB1757" s="59"/>
      <c r="AC1757" s="59"/>
      <c r="AD1757" s="59"/>
      <c r="AE1757" s="59"/>
      <c r="AF1757" s="59"/>
      <c r="AG1757" s="59"/>
      <c r="AH1757" s="59"/>
      <c r="AI1757" s="59"/>
      <c r="AJ1757" s="59"/>
      <c r="AK1757" s="59"/>
      <c r="AL1757" s="59"/>
      <c r="AM1757" s="59"/>
      <c r="AN1757" s="59"/>
      <c r="AO1757" s="59"/>
      <c r="AP1757" s="59"/>
      <c r="AQ1757" s="59"/>
      <c r="AR1757" s="59"/>
      <c r="AS1757" s="59"/>
      <c r="AT1757" s="59"/>
      <c r="AU1757" s="59"/>
      <c r="AV1757" s="59"/>
      <c r="AW1757" s="59"/>
      <c r="AX1757" s="59"/>
      <c r="AY1757" s="59"/>
      <c r="AZ1757" s="59"/>
      <c r="BA1757" s="59"/>
      <c r="BB1757" s="59"/>
      <c r="BC1757" s="59"/>
      <c r="BD1757" s="59"/>
      <c r="BE1757" s="59"/>
      <c r="BF1757" s="59"/>
      <c r="BG1757" s="59"/>
      <c r="BH1757" s="59"/>
      <c r="BI1757" s="59"/>
      <c r="BJ1757" s="59"/>
      <c r="BK1757" s="59"/>
      <c r="BL1757" s="59"/>
      <c r="BM1757" s="59"/>
      <c r="BN1757" s="59"/>
      <c r="BO1757" s="59"/>
      <c r="BP1757" s="59"/>
      <c r="BQ1757" s="59"/>
      <c r="BR1757" s="59"/>
      <c r="BS1757" s="59"/>
      <c r="BT1757" s="59"/>
      <c r="BU1757" s="59"/>
      <c r="BV1757" s="59"/>
      <c r="BW1757" s="59"/>
      <c r="BX1757" s="59"/>
      <c r="BY1757" s="59"/>
      <c r="BZ1757" s="59"/>
      <c r="CA1757" s="59"/>
      <c r="CB1757" s="59"/>
      <c r="CC1757" s="59"/>
      <c r="CD1757" s="59"/>
      <c r="CE1757" s="59"/>
      <c r="CF1757" s="59"/>
      <c r="CG1757" s="59"/>
      <c r="CH1757" s="59"/>
      <c r="CI1757" s="59"/>
      <c r="CJ1757" s="59"/>
      <c r="CK1757" s="59"/>
      <c r="CL1757" s="59"/>
      <c r="CM1757" s="59"/>
      <c r="CN1757" s="59"/>
      <c r="CO1757" s="59"/>
      <c r="CP1757" s="59"/>
      <c r="CQ1757" s="59"/>
      <c r="CR1757" s="59"/>
      <c r="CS1757" s="59"/>
      <c r="CT1757" s="59"/>
      <c r="CU1757" s="59"/>
      <c r="CV1757" s="59"/>
      <c r="CW1757" s="59"/>
      <c r="CX1757" s="59"/>
      <c r="CY1757" s="59"/>
      <c r="CZ1757" s="59"/>
      <c r="DA1757" s="59"/>
      <c r="DB1757" s="59"/>
      <c r="DC1757" s="59"/>
      <c r="DD1757" s="59"/>
      <c r="DE1757" s="59"/>
      <c r="DF1757" s="59"/>
      <c r="DG1757" s="59"/>
      <c r="DH1757" s="59"/>
      <c r="DI1757" s="59"/>
      <c r="DJ1757" s="59"/>
      <c r="DK1757" s="59"/>
      <c r="DL1757" s="59"/>
      <c r="DM1757" s="59"/>
      <c r="DN1757" s="59"/>
      <c r="DO1757" s="59"/>
      <c r="DP1757" s="59"/>
      <c r="DQ1757" s="59"/>
      <c r="DR1757" s="59"/>
      <c r="DS1757" s="59"/>
      <c r="DT1757" s="59"/>
      <c r="DU1757" s="59"/>
      <c r="DV1757" s="59"/>
      <c r="DW1757" s="59"/>
      <c r="DX1757" s="59"/>
      <c r="DY1757" s="59"/>
      <c r="DZ1757" s="59"/>
      <c r="EA1757" s="59"/>
      <c r="EB1757" s="59"/>
      <c r="EC1757" s="59"/>
      <c r="ED1757" s="59"/>
      <c r="EE1757" s="59"/>
      <c r="EF1757" s="59"/>
      <c r="EG1757" s="59"/>
      <c r="EH1757" s="59"/>
      <c r="EI1757" s="59"/>
      <c r="EJ1757" s="59"/>
      <c r="EK1757" s="59"/>
      <c r="EL1757" s="59"/>
      <c r="EM1757" s="59"/>
      <c r="EN1757" s="59"/>
      <c r="EO1757" s="59"/>
      <c r="EP1757" s="59"/>
      <c r="EQ1757" s="59"/>
      <c r="ER1757" s="59"/>
      <c r="ES1757" s="59"/>
      <c r="ET1757" s="59"/>
      <c r="EU1757" s="59"/>
      <c r="EV1757" s="59"/>
      <c r="EW1757" s="59"/>
      <c r="EX1757" s="59"/>
      <c r="EY1757" s="59"/>
      <c r="EZ1757" s="59"/>
      <c r="FA1757" s="59"/>
      <c r="FB1757" s="59"/>
      <c r="FC1757" s="59"/>
      <c r="FD1757" s="59"/>
      <c r="FE1757" s="59"/>
      <c r="FF1757" s="59"/>
      <c r="FG1757" s="59"/>
      <c r="FH1757" s="59"/>
      <c r="FI1757" s="59"/>
      <c r="FJ1757" s="59"/>
      <c r="FK1757" s="59"/>
      <c r="FL1757" s="59"/>
      <c r="FM1757" s="59"/>
      <c r="FN1757" s="59"/>
      <c r="FO1757" s="59"/>
      <c r="FP1757" s="59"/>
      <c r="FQ1757" s="59"/>
      <c r="FR1757" s="59"/>
      <c r="FS1757" s="59"/>
      <c r="FT1757" s="59"/>
      <c r="FU1757" s="59"/>
      <c r="FV1757" s="59"/>
      <c r="FW1757" s="59"/>
      <c r="FX1757" s="59"/>
      <c r="FY1757" s="59"/>
      <c r="FZ1757" s="59"/>
      <c r="GA1757" s="59"/>
      <c r="GB1757" s="59"/>
      <c r="GC1757" s="59"/>
    </row>
    <row r="1758">
      <c r="A1758" s="59"/>
      <c r="B1758" s="59"/>
      <c r="C1758" s="59"/>
      <c r="D1758" s="59"/>
      <c r="E1758" s="59"/>
      <c r="F1758" s="59"/>
      <c r="G1758" s="59"/>
      <c r="H1758" s="59"/>
      <c r="I1758" s="59"/>
      <c r="J1758" s="59"/>
      <c r="K1758" s="59"/>
      <c r="L1758" s="59"/>
      <c r="M1758" s="59"/>
      <c r="N1758" s="59"/>
      <c r="O1758" s="59"/>
      <c r="P1758" s="59"/>
      <c r="Q1758" s="59"/>
      <c r="R1758" s="59"/>
      <c r="S1758" s="59"/>
      <c r="T1758" s="59"/>
      <c r="U1758" s="59"/>
      <c r="V1758" s="59"/>
      <c r="W1758" s="59"/>
      <c r="X1758" s="59"/>
      <c r="Y1758" s="59"/>
      <c r="Z1758" s="59"/>
      <c r="AA1758" s="59"/>
      <c r="AB1758" s="59"/>
      <c r="AC1758" s="59"/>
      <c r="AD1758" s="59"/>
      <c r="AE1758" s="59"/>
      <c r="AF1758" s="59"/>
      <c r="AG1758" s="59"/>
      <c r="AH1758" s="59"/>
      <c r="AI1758" s="59"/>
      <c r="AJ1758" s="59"/>
      <c r="AK1758" s="59"/>
      <c r="AL1758" s="59"/>
      <c r="AM1758" s="59"/>
      <c r="AN1758" s="59"/>
      <c r="AO1758" s="59"/>
      <c r="AP1758" s="59"/>
      <c r="AQ1758" s="59"/>
      <c r="AR1758" s="59"/>
      <c r="AS1758" s="59"/>
      <c r="AT1758" s="59"/>
      <c r="AU1758" s="59"/>
      <c r="AV1758" s="59"/>
      <c r="AW1758" s="59"/>
      <c r="AX1758" s="59"/>
      <c r="AY1758" s="59"/>
      <c r="AZ1758" s="59"/>
      <c r="BA1758" s="59"/>
      <c r="BB1758" s="59"/>
      <c r="BC1758" s="59"/>
      <c r="BD1758" s="59"/>
      <c r="BE1758" s="59"/>
      <c r="BF1758" s="59"/>
      <c r="BG1758" s="59"/>
      <c r="BH1758" s="59"/>
      <c r="BI1758" s="59"/>
      <c r="BJ1758" s="59"/>
      <c r="BK1758" s="59"/>
      <c r="BL1758" s="59"/>
      <c r="BM1758" s="59"/>
      <c r="BN1758" s="59"/>
      <c r="BO1758" s="59"/>
      <c r="BP1758" s="59"/>
      <c r="BQ1758" s="59"/>
      <c r="BR1758" s="59"/>
      <c r="BS1758" s="59"/>
      <c r="BT1758" s="59"/>
      <c r="BU1758" s="59"/>
      <c r="BV1758" s="59"/>
      <c r="BW1758" s="59"/>
      <c r="BX1758" s="59"/>
      <c r="BY1758" s="59"/>
      <c r="BZ1758" s="59"/>
      <c r="CA1758" s="59"/>
      <c r="CB1758" s="59"/>
      <c r="CC1758" s="59"/>
      <c r="CD1758" s="59"/>
      <c r="CE1758" s="59"/>
      <c r="CF1758" s="59"/>
      <c r="CG1758" s="59"/>
      <c r="CH1758" s="59"/>
      <c r="CI1758" s="59"/>
      <c r="CJ1758" s="59"/>
      <c r="CK1758" s="59"/>
      <c r="CL1758" s="59"/>
      <c r="CM1758" s="59"/>
      <c r="CN1758" s="59"/>
      <c r="CO1758" s="59"/>
      <c r="CP1758" s="59"/>
      <c r="CQ1758" s="59"/>
      <c r="CR1758" s="59"/>
      <c r="CS1758" s="59"/>
      <c r="CT1758" s="59"/>
      <c r="CU1758" s="59"/>
      <c r="CV1758" s="59"/>
      <c r="CW1758" s="59"/>
      <c r="CX1758" s="59"/>
      <c r="CY1758" s="59"/>
      <c r="CZ1758" s="59"/>
      <c r="DA1758" s="59"/>
      <c r="DB1758" s="59"/>
      <c r="DC1758" s="59"/>
      <c r="DD1758" s="59"/>
      <c r="DE1758" s="59"/>
      <c r="DF1758" s="59"/>
      <c r="DG1758" s="59"/>
      <c r="DH1758" s="59"/>
      <c r="DI1758" s="59"/>
      <c r="DJ1758" s="59"/>
      <c r="DK1758" s="59"/>
      <c r="DL1758" s="59"/>
      <c r="DM1758" s="59"/>
      <c r="DN1758" s="59"/>
      <c r="DO1758" s="59"/>
      <c r="DP1758" s="59"/>
      <c r="DQ1758" s="59"/>
      <c r="DR1758" s="59"/>
      <c r="DS1758" s="59"/>
      <c r="DT1758" s="59"/>
      <c r="DU1758" s="59"/>
      <c r="DV1758" s="59"/>
      <c r="DW1758" s="59"/>
      <c r="DX1758" s="59"/>
      <c r="DY1758" s="59"/>
      <c r="DZ1758" s="59"/>
      <c r="EA1758" s="59"/>
      <c r="EB1758" s="59"/>
      <c r="EC1758" s="59"/>
      <c r="ED1758" s="59"/>
      <c r="EE1758" s="59"/>
      <c r="EF1758" s="59"/>
      <c r="EG1758" s="59"/>
      <c r="EH1758" s="59"/>
      <c r="EI1758" s="59"/>
      <c r="EJ1758" s="59"/>
      <c r="EK1758" s="59"/>
      <c r="EL1758" s="59"/>
      <c r="EM1758" s="59"/>
      <c r="EN1758" s="59"/>
      <c r="EO1758" s="59"/>
      <c r="EP1758" s="59"/>
      <c r="EQ1758" s="59"/>
      <c r="ER1758" s="59"/>
      <c r="ES1758" s="59"/>
      <c r="ET1758" s="59"/>
      <c r="EU1758" s="59"/>
      <c r="EV1758" s="59"/>
      <c r="EW1758" s="59"/>
      <c r="EX1758" s="59"/>
      <c r="EY1758" s="59"/>
      <c r="EZ1758" s="59"/>
      <c r="FA1758" s="59"/>
      <c r="FB1758" s="59"/>
      <c r="FC1758" s="59"/>
      <c r="FD1758" s="59"/>
      <c r="FE1758" s="59"/>
      <c r="FF1758" s="59"/>
      <c r="FG1758" s="59"/>
      <c r="FH1758" s="59"/>
      <c r="FI1758" s="59"/>
      <c r="FJ1758" s="59"/>
      <c r="FK1758" s="59"/>
      <c r="FL1758" s="59"/>
      <c r="FM1758" s="59"/>
      <c r="FN1758" s="59"/>
      <c r="FO1758" s="59"/>
      <c r="FP1758" s="59"/>
      <c r="FQ1758" s="59"/>
      <c r="FR1758" s="59"/>
      <c r="FS1758" s="59"/>
      <c r="FT1758" s="59"/>
      <c r="FU1758" s="59"/>
      <c r="FV1758" s="59"/>
      <c r="FW1758" s="59"/>
      <c r="FX1758" s="59"/>
      <c r="FY1758" s="59"/>
      <c r="FZ1758" s="59"/>
      <c r="GA1758" s="59"/>
      <c r="GB1758" s="59"/>
      <c r="GC1758" s="59"/>
    </row>
    <row r="1759">
      <c r="A1759" s="59"/>
      <c r="B1759" s="59"/>
      <c r="C1759" s="59"/>
      <c r="D1759" s="59"/>
      <c r="E1759" s="59"/>
      <c r="F1759" s="59"/>
      <c r="G1759" s="59"/>
      <c r="H1759" s="59"/>
      <c r="I1759" s="59"/>
      <c r="J1759" s="59"/>
      <c r="K1759" s="59"/>
      <c r="L1759" s="59"/>
      <c r="M1759" s="59"/>
      <c r="N1759" s="59"/>
      <c r="O1759" s="59"/>
      <c r="P1759" s="59"/>
      <c r="Q1759" s="59"/>
      <c r="R1759" s="59"/>
      <c r="S1759" s="59"/>
      <c r="T1759" s="59"/>
      <c r="U1759" s="59"/>
      <c r="V1759" s="59"/>
      <c r="W1759" s="59"/>
      <c r="X1759" s="59"/>
      <c r="Y1759" s="59"/>
      <c r="Z1759" s="59"/>
      <c r="AA1759" s="59"/>
      <c r="AB1759" s="59"/>
      <c r="AC1759" s="59"/>
      <c r="AD1759" s="59"/>
      <c r="AE1759" s="59"/>
      <c r="AF1759" s="59"/>
      <c r="AG1759" s="59"/>
      <c r="AH1759" s="59"/>
      <c r="AI1759" s="59"/>
      <c r="AJ1759" s="59"/>
      <c r="AK1759" s="59"/>
      <c r="AL1759" s="59"/>
      <c r="AM1759" s="59"/>
      <c r="AN1759" s="59"/>
      <c r="AO1759" s="59"/>
      <c r="AP1759" s="59"/>
      <c r="AQ1759" s="59"/>
      <c r="AR1759" s="59"/>
      <c r="AS1759" s="59"/>
      <c r="AT1759" s="59"/>
      <c r="AU1759" s="59"/>
      <c r="AV1759" s="59"/>
      <c r="AW1759" s="59"/>
      <c r="AX1759" s="59"/>
      <c r="AY1759" s="59"/>
      <c r="AZ1759" s="59"/>
      <c r="BA1759" s="59"/>
      <c r="BB1759" s="59"/>
      <c r="BC1759" s="59"/>
      <c r="BD1759" s="59"/>
      <c r="BE1759" s="59"/>
      <c r="BF1759" s="59"/>
      <c r="BG1759" s="59"/>
      <c r="BH1759" s="59"/>
      <c r="BI1759" s="59"/>
      <c r="BJ1759" s="59"/>
      <c r="BK1759" s="59"/>
      <c r="BL1759" s="59"/>
      <c r="BM1759" s="59"/>
      <c r="BN1759" s="59"/>
      <c r="BO1759" s="59"/>
      <c r="BP1759" s="59"/>
      <c r="BQ1759" s="59"/>
      <c r="BR1759" s="59"/>
      <c r="BS1759" s="59"/>
      <c r="BT1759" s="59"/>
      <c r="BU1759" s="59"/>
      <c r="BV1759" s="59"/>
      <c r="BW1759" s="59"/>
      <c r="BX1759" s="59"/>
      <c r="BY1759" s="59"/>
      <c r="BZ1759" s="59"/>
      <c r="CA1759" s="59"/>
      <c r="CB1759" s="59"/>
      <c r="CC1759" s="59"/>
      <c r="CD1759" s="59"/>
      <c r="CE1759" s="59"/>
      <c r="CF1759" s="59"/>
      <c r="CG1759" s="59"/>
      <c r="CH1759" s="59"/>
      <c r="CI1759" s="59"/>
      <c r="CJ1759" s="59"/>
      <c r="CK1759" s="59"/>
      <c r="CL1759" s="59"/>
      <c r="CM1759" s="59"/>
      <c r="CN1759" s="59"/>
      <c r="CO1759" s="59"/>
      <c r="CP1759" s="59"/>
      <c r="CQ1759" s="59"/>
      <c r="CR1759" s="59"/>
      <c r="CS1759" s="59"/>
      <c r="CT1759" s="59"/>
      <c r="CU1759" s="59"/>
      <c r="CV1759" s="59"/>
      <c r="CW1759" s="59"/>
      <c r="CX1759" s="59"/>
      <c r="CY1759" s="59"/>
      <c r="CZ1759" s="59"/>
      <c r="DA1759" s="59"/>
      <c r="DB1759" s="59"/>
      <c r="DC1759" s="59"/>
      <c r="DD1759" s="59"/>
      <c r="DE1759" s="59"/>
      <c r="DF1759" s="59"/>
      <c r="DG1759" s="59"/>
      <c r="DH1759" s="59"/>
      <c r="DI1759" s="59"/>
      <c r="DJ1759" s="59"/>
      <c r="DK1759" s="59"/>
      <c r="DL1759" s="59"/>
      <c r="DM1759" s="59"/>
      <c r="DN1759" s="59"/>
      <c r="DO1759" s="59"/>
      <c r="DP1759" s="59"/>
      <c r="DQ1759" s="59"/>
      <c r="DR1759" s="59"/>
      <c r="DS1759" s="59"/>
      <c r="DT1759" s="59"/>
      <c r="DU1759" s="59"/>
      <c r="DV1759" s="59"/>
      <c r="DW1759" s="59"/>
      <c r="DX1759" s="59"/>
      <c r="DY1759" s="59"/>
      <c r="DZ1759" s="59"/>
      <c r="EA1759" s="59"/>
      <c r="EB1759" s="59"/>
      <c r="EC1759" s="59"/>
      <c r="ED1759" s="59"/>
      <c r="EE1759" s="59"/>
      <c r="EF1759" s="59"/>
      <c r="EG1759" s="59"/>
      <c r="EH1759" s="59"/>
      <c r="EI1759" s="59"/>
      <c r="EJ1759" s="59"/>
      <c r="EK1759" s="59"/>
      <c r="EL1759" s="59"/>
      <c r="EM1759" s="59"/>
      <c r="EN1759" s="59"/>
      <c r="EO1759" s="59"/>
      <c r="EP1759" s="59"/>
      <c r="EQ1759" s="59"/>
      <c r="ER1759" s="59"/>
      <c r="ES1759" s="59"/>
      <c r="ET1759" s="59"/>
      <c r="EU1759" s="59"/>
      <c r="EV1759" s="59"/>
      <c r="EW1759" s="59"/>
      <c r="EX1759" s="59"/>
      <c r="EY1759" s="59"/>
      <c r="EZ1759" s="59"/>
      <c r="FA1759" s="59"/>
      <c r="FB1759" s="59"/>
      <c r="FC1759" s="59"/>
      <c r="FD1759" s="59"/>
      <c r="FE1759" s="59"/>
      <c r="FF1759" s="59"/>
      <c r="FG1759" s="59"/>
      <c r="FH1759" s="59"/>
      <c r="FI1759" s="59"/>
      <c r="FJ1759" s="59"/>
      <c r="FK1759" s="59"/>
      <c r="FL1759" s="59"/>
      <c r="FM1759" s="59"/>
      <c r="FN1759" s="59"/>
      <c r="FO1759" s="59"/>
      <c r="FP1759" s="59"/>
      <c r="FQ1759" s="59"/>
      <c r="FR1759" s="59"/>
      <c r="FS1759" s="59"/>
      <c r="FT1759" s="59"/>
      <c r="FU1759" s="59"/>
      <c r="FV1759" s="59"/>
      <c r="FW1759" s="59"/>
      <c r="FX1759" s="59"/>
      <c r="FY1759" s="59"/>
      <c r="FZ1759" s="59"/>
      <c r="GA1759" s="59"/>
      <c r="GB1759" s="59"/>
      <c r="GC1759" s="59"/>
    </row>
    <row r="1760">
      <c r="A1760" s="59"/>
      <c r="B1760" s="59"/>
      <c r="C1760" s="59"/>
      <c r="D1760" s="59"/>
      <c r="E1760" s="59"/>
      <c r="F1760" s="59"/>
      <c r="G1760" s="59"/>
      <c r="H1760" s="59"/>
      <c r="I1760" s="59"/>
      <c r="J1760" s="59"/>
      <c r="K1760" s="59"/>
      <c r="L1760" s="59"/>
      <c r="M1760" s="59"/>
      <c r="N1760" s="59"/>
      <c r="O1760" s="59"/>
      <c r="P1760" s="59"/>
      <c r="Q1760" s="59"/>
      <c r="R1760" s="59"/>
      <c r="S1760" s="59"/>
      <c r="T1760" s="59"/>
      <c r="U1760" s="59"/>
      <c r="V1760" s="59"/>
      <c r="W1760" s="59"/>
      <c r="X1760" s="59"/>
      <c r="Y1760" s="59"/>
      <c r="Z1760" s="59"/>
      <c r="AA1760" s="59"/>
      <c r="AB1760" s="59"/>
      <c r="AC1760" s="59"/>
      <c r="AD1760" s="59"/>
      <c r="AE1760" s="59"/>
      <c r="AF1760" s="59"/>
      <c r="AG1760" s="59"/>
      <c r="AH1760" s="59"/>
      <c r="AI1760" s="59"/>
      <c r="AJ1760" s="59"/>
      <c r="AK1760" s="59"/>
      <c r="AL1760" s="59"/>
      <c r="AM1760" s="59"/>
      <c r="AN1760" s="59"/>
      <c r="AO1760" s="59"/>
      <c r="AP1760" s="59"/>
      <c r="AQ1760" s="59"/>
      <c r="AR1760" s="59"/>
      <c r="AS1760" s="59"/>
      <c r="AT1760" s="59"/>
      <c r="AU1760" s="59"/>
      <c r="AV1760" s="59"/>
      <c r="AW1760" s="59"/>
      <c r="AX1760" s="59"/>
      <c r="AY1760" s="59"/>
      <c r="AZ1760" s="59"/>
      <c r="BA1760" s="59"/>
      <c r="BB1760" s="59"/>
      <c r="BC1760" s="59"/>
      <c r="BD1760" s="59"/>
      <c r="BE1760" s="59"/>
      <c r="BF1760" s="59"/>
      <c r="BG1760" s="59"/>
      <c r="BH1760" s="59"/>
      <c r="BI1760" s="59"/>
      <c r="BJ1760" s="59"/>
      <c r="BK1760" s="59"/>
      <c r="BL1760" s="59"/>
      <c r="BM1760" s="59"/>
      <c r="BN1760" s="59"/>
      <c r="BO1760" s="59"/>
      <c r="BP1760" s="59"/>
      <c r="BQ1760" s="59"/>
      <c r="BR1760" s="59"/>
      <c r="BS1760" s="59"/>
      <c r="BT1760" s="59"/>
      <c r="BU1760" s="59"/>
      <c r="BV1760" s="59"/>
      <c r="BW1760" s="59"/>
      <c r="BX1760" s="59"/>
      <c r="BY1760" s="59"/>
      <c r="BZ1760" s="59"/>
      <c r="CA1760" s="59"/>
      <c r="CB1760" s="59"/>
      <c r="CC1760" s="59"/>
      <c r="CD1760" s="59"/>
      <c r="CE1760" s="59"/>
      <c r="CF1760" s="59"/>
      <c r="CG1760" s="59"/>
      <c r="CH1760" s="59"/>
      <c r="CI1760" s="59"/>
      <c r="CJ1760" s="59"/>
      <c r="CK1760" s="59"/>
      <c r="CL1760" s="59"/>
      <c r="CM1760" s="59"/>
      <c r="CN1760" s="59"/>
      <c r="CO1760" s="59"/>
      <c r="CP1760" s="59"/>
      <c r="CQ1760" s="59"/>
      <c r="CR1760" s="59"/>
      <c r="CS1760" s="59"/>
      <c r="CT1760" s="59"/>
      <c r="CU1760" s="59"/>
      <c r="CV1760" s="59"/>
      <c r="CW1760" s="59"/>
      <c r="CX1760" s="59"/>
      <c r="CY1760" s="59"/>
      <c r="CZ1760" s="59"/>
      <c r="DA1760" s="59"/>
      <c r="DB1760" s="59"/>
      <c r="DC1760" s="59"/>
      <c r="DD1760" s="59"/>
      <c r="DE1760" s="59"/>
      <c r="DF1760" s="59"/>
      <c r="DG1760" s="59"/>
      <c r="DH1760" s="59"/>
      <c r="DI1760" s="59"/>
      <c r="DJ1760" s="59"/>
      <c r="DK1760" s="59"/>
      <c r="DL1760" s="59"/>
      <c r="DM1760" s="59"/>
      <c r="DN1760" s="59"/>
      <c r="DO1760" s="59"/>
      <c r="DP1760" s="59"/>
      <c r="DQ1760" s="59"/>
      <c r="DR1760" s="59"/>
      <c r="DS1760" s="59"/>
      <c r="DT1760" s="59"/>
      <c r="DU1760" s="59"/>
      <c r="DV1760" s="59"/>
      <c r="DW1760" s="59"/>
      <c r="DX1760" s="59"/>
      <c r="DY1760" s="59"/>
      <c r="DZ1760" s="59"/>
      <c r="EA1760" s="59"/>
      <c r="EB1760" s="59"/>
      <c r="EC1760" s="59"/>
      <c r="ED1760" s="59"/>
      <c r="EE1760" s="59"/>
      <c r="EF1760" s="59"/>
      <c r="EG1760" s="59"/>
      <c r="EH1760" s="59"/>
      <c r="EI1760" s="59"/>
      <c r="EJ1760" s="59"/>
      <c r="EK1760" s="59"/>
      <c r="EL1760" s="59"/>
      <c r="EM1760" s="59"/>
      <c r="EN1760" s="59"/>
      <c r="EO1760" s="59"/>
      <c r="EP1760" s="59"/>
      <c r="EQ1760" s="59"/>
      <c r="ER1760" s="59"/>
      <c r="ES1760" s="59"/>
      <c r="ET1760" s="59"/>
      <c r="EU1760" s="59"/>
      <c r="EV1760" s="59"/>
      <c r="EW1760" s="59"/>
      <c r="EX1760" s="59"/>
      <c r="EY1760" s="59"/>
      <c r="EZ1760" s="59"/>
      <c r="FA1760" s="59"/>
      <c r="FB1760" s="59"/>
      <c r="FC1760" s="59"/>
      <c r="FD1760" s="59"/>
      <c r="FE1760" s="59"/>
      <c r="FF1760" s="59"/>
      <c r="FG1760" s="59"/>
      <c r="FH1760" s="59"/>
      <c r="FI1760" s="59"/>
      <c r="FJ1760" s="59"/>
      <c r="FK1760" s="59"/>
      <c r="FL1760" s="59"/>
      <c r="FM1760" s="59"/>
      <c r="FN1760" s="59"/>
      <c r="FO1760" s="59"/>
      <c r="FP1760" s="59"/>
      <c r="FQ1760" s="59"/>
      <c r="FR1760" s="59"/>
      <c r="FS1760" s="59"/>
      <c r="FT1760" s="59"/>
      <c r="FU1760" s="59"/>
      <c r="FV1760" s="59"/>
      <c r="FW1760" s="59"/>
      <c r="FX1760" s="59"/>
      <c r="FY1760" s="59"/>
      <c r="FZ1760" s="59"/>
      <c r="GA1760" s="59"/>
      <c r="GB1760" s="59"/>
      <c r="GC1760" s="59"/>
    </row>
    <row r="1761">
      <c r="A1761" s="59"/>
      <c r="B1761" s="59"/>
      <c r="C1761" s="59"/>
      <c r="D1761" s="59"/>
      <c r="E1761" s="59"/>
      <c r="F1761" s="59"/>
      <c r="G1761" s="59"/>
      <c r="H1761" s="59"/>
      <c r="I1761" s="59"/>
      <c r="J1761" s="59"/>
      <c r="K1761" s="59"/>
      <c r="L1761" s="59"/>
      <c r="M1761" s="59"/>
      <c r="N1761" s="59"/>
      <c r="O1761" s="59"/>
      <c r="P1761" s="59"/>
      <c r="Q1761" s="59"/>
      <c r="R1761" s="59"/>
      <c r="S1761" s="59"/>
      <c r="T1761" s="59"/>
      <c r="U1761" s="59"/>
      <c r="V1761" s="59"/>
      <c r="W1761" s="59"/>
      <c r="X1761" s="59"/>
      <c r="Y1761" s="59"/>
      <c r="Z1761" s="59"/>
      <c r="AA1761" s="59"/>
      <c r="AB1761" s="59"/>
      <c r="AC1761" s="59"/>
      <c r="AD1761" s="59"/>
      <c r="AE1761" s="59"/>
      <c r="AF1761" s="59"/>
      <c r="AG1761" s="59"/>
      <c r="AH1761" s="59"/>
      <c r="AI1761" s="59"/>
      <c r="AJ1761" s="59"/>
      <c r="AK1761" s="59"/>
      <c r="AL1761" s="59"/>
      <c r="AM1761" s="59"/>
      <c r="AN1761" s="59"/>
      <c r="AO1761" s="59"/>
      <c r="AP1761" s="59"/>
      <c r="AQ1761" s="59"/>
      <c r="AR1761" s="59"/>
      <c r="AS1761" s="59"/>
      <c r="AT1761" s="59"/>
      <c r="AU1761" s="59"/>
      <c r="AV1761" s="59"/>
      <c r="AW1761" s="59"/>
      <c r="AX1761" s="59"/>
      <c r="AY1761" s="59"/>
      <c r="AZ1761" s="59"/>
      <c r="BA1761" s="59"/>
      <c r="BB1761" s="59"/>
      <c r="BC1761" s="59"/>
      <c r="BD1761" s="59"/>
      <c r="BE1761" s="59"/>
      <c r="BF1761" s="59"/>
      <c r="BG1761" s="59"/>
      <c r="BH1761" s="59"/>
      <c r="BI1761" s="59"/>
      <c r="BJ1761" s="59"/>
      <c r="BK1761" s="59"/>
      <c r="BL1761" s="59"/>
      <c r="BM1761" s="59"/>
      <c r="BN1761" s="59"/>
      <c r="BO1761" s="59"/>
      <c r="BP1761" s="59"/>
      <c r="BQ1761" s="59"/>
      <c r="BR1761" s="59"/>
      <c r="BS1761" s="59"/>
      <c r="BT1761" s="59"/>
      <c r="BU1761" s="59"/>
      <c r="BV1761" s="59"/>
      <c r="BW1761" s="59"/>
      <c r="BX1761" s="59"/>
      <c r="BY1761" s="59"/>
      <c r="BZ1761" s="59"/>
      <c r="CA1761" s="59"/>
      <c r="CB1761" s="59"/>
      <c r="CC1761" s="59"/>
      <c r="CD1761" s="59"/>
      <c r="CE1761" s="59"/>
      <c r="CF1761" s="59"/>
      <c r="CG1761" s="59"/>
      <c r="CH1761" s="59"/>
      <c r="CI1761" s="59"/>
      <c r="CJ1761" s="59"/>
      <c r="CK1761" s="59"/>
      <c r="CL1761" s="59"/>
      <c r="CM1761" s="59"/>
      <c r="CN1761" s="59"/>
      <c r="CO1761" s="59"/>
      <c r="CP1761" s="59"/>
      <c r="CQ1761" s="59"/>
      <c r="CR1761" s="59"/>
      <c r="CS1761" s="59"/>
      <c r="CT1761" s="59"/>
      <c r="CU1761" s="59"/>
      <c r="CV1761" s="59"/>
      <c r="CW1761" s="59"/>
      <c r="CX1761" s="59"/>
      <c r="CY1761" s="59"/>
      <c r="CZ1761" s="59"/>
      <c r="DA1761" s="59"/>
      <c r="DB1761" s="59"/>
      <c r="DC1761" s="59"/>
      <c r="DD1761" s="59"/>
      <c r="DE1761" s="59"/>
      <c r="DF1761" s="59"/>
      <c r="DG1761" s="59"/>
      <c r="DH1761" s="59"/>
      <c r="DI1761" s="59"/>
      <c r="DJ1761" s="59"/>
      <c r="DK1761" s="59"/>
      <c r="DL1761" s="59"/>
      <c r="DM1761" s="59"/>
      <c r="DN1761" s="59"/>
      <c r="DO1761" s="59"/>
      <c r="DP1761" s="59"/>
      <c r="DQ1761" s="59"/>
      <c r="DR1761" s="59"/>
      <c r="DS1761" s="59"/>
      <c r="DT1761" s="59"/>
      <c r="DU1761" s="59"/>
      <c r="DV1761" s="59"/>
      <c r="DW1761" s="59"/>
      <c r="DX1761" s="59"/>
      <c r="DY1761" s="59"/>
      <c r="DZ1761" s="59"/>
      <c r="EA1761" s="59"/>
      <c r="EB1761" s="59"/>
      <c r="EC1761" s="59"/>
      <c r="ED1761" s="59"/>
      <c r="EE1761" s="59"/>
      <c r="EF1761" s="59"/>
      <c r="EG1761" s="59"/>
      <c r="EH1761" s="59"/>
      <c r="EI1761" s="59"/>
      <c r="EJ1761" s="59"/>
      <c r="EK1761" s="59"/>
      <c r="EL1761" s="59"/>
      <c r="EM1761" s="59"/>
      <c r="EN1761" s="59"/>
      <c r="EO1761" s="59"/>
      <c r="EP1761" s="59"/>
      <c r="EQ1761" s="59"/>
      <c r="ER1761" s="59"/>
      <c r="ES1761" s="59"/>
      <c r="ET1761" s="59"/>
      <c r="EU1761" s="59"/>
      <c r="EV1761" s="59"/>
      <c r="EW1761" s="59"/>
      <c r="EX1761" s="59"/>
      <c r="EY1761" s="59"/>
      <c r="EZ1761" s="59"/>
      <c r="FA1761" s="59"/>
      <c r="FB1761" s="59"/>
      <c r="FC1761" s="59"/>
      <c r="FD1761" s="59"/>
      <c r="FE1761" s="59"/>
      <c r="FF1761" s="59"/>
      <c r="FG1761" s="59"/>
      <c r="FH1761" s="59"/>
      <c r="FI1761" s="59"/>
      <c r="FJ1761" s="59"/>
      <c r="FK1761" s="59"/>
      <c r="FL1761" s="59"/>
      <c r="FM1761" s="59"/>
      <c r="FN1761" s="59"/>
      <c r="FO1761" s="59"/>
      <c r="FP1761" s="59"/>
      <c r="FQ1761" s="59"/>
      <c r="FR1761" s="59"/>
      <c r="FS1761" s="59"/>
      <c r="FT1761" s="59"/>
      <c r="FU1761" s="59"/>
      <c r="FV1761" s="59"/>
      <c r="FW1761" s="59"/>
      <c r="FX1761" s="59"/>
      <c r="FY1761" s="59"/>
      <c r="FZ1761" s="59"/>
      <c r="GA1761" s="59"/>
      <c r="GB1761" s="59"/>
      <c r="GC1761" s="59"/>
    </row>
    <row r="1762">
      <c r="A1762" s="59"/>
      <c r="B1762" s="59"/>
      <c r="C1762" s="59"/>
      <c r="D1762" s="59"/>
      <c r="E1762" s="59"/>
      <c r="F1762" s="59"/>
      <c r="G1762" s="59"/>
      <c r="H1762" s="59"/>
      <c r="I1762" s="59"/>
      <c r="J1762" s="59"/>
      <c r="K1762" s="59"/>
      <c r="L1762" s="59"/>
      <c r="M1762" s="59"/>
      <c r="N1762" s="59"/>
      <c r="O1762" s="59"/>
      <c r="P1762" s="59"/>
      <c r="Q1762" s="59"/>
      <c r="R1762" s="59"/>
      <c r="S1762" s="59"/>
      <c r="T1762" s="59"/>
      <c r="U1762" s="59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59"/>
      <c r="AG1762" s="59"/>
      <c r="AH1762" s="59"/>
      <c r="AI1762" s="59"/>
      <c r="AJ1762" s="59"/>
      <c r="AK1762" s="59"/>
      <c r="AL1762" s="59"/>
      <c r="AM1762" s="59"/>
      <c r="AN1762" s="59"/>
      <c r="AO1762" s="59"/>
      <c r="AP1762" s="59"/>
      <c r="AQ1762" s="59"/>
      <c r="AR1762" s="59"/>
      <c r="AS1762" s="59"/>
      <c r="AT1762" s="59"/>
      <c r="AU1762" s="59"/>
      <c r="AV1762" s="59"/>
      <c r="AW1762" s="59"/>
      <c r="AX1762" s="59"/>
      <c r="AY1762" s="59"/>
      <c r="AZ1762" s="59"/>
      <c r="BA1762" s="59"/>
      <c r="BB1762" s="59"/>
      <c r="BC1762" s="59"/>
      <c r="BD1762" s="59"/>
      <c r="BE1762" s="59"/>
      <c r="BF1762" s="59"/>
      <c r="BG1762" s="59"/>
      <c r="BH1762" s="59"/>
      <c r="BI1762" s="59"/>
      <c r="BJ1762" s="59"/>
      <c r="BK1762" s="59"/>
      <c r="BL1762" s="59"/>
      <c r="BM1762" s="59"/>
      <c r="BN1762" s="59"/>
      <c r="BO1762" s="59"/>
      <c r="BP1762" s="59"/>
      <c r="BQ1762" s="59"/>
      <c r="BR1762" s="59"/>
      <c r="BS1762" s="59"/>
      <c r="BT1762" s="59"/>
      <c r="BU1762" s="59"/>
      <c r="BV1762" s="59"/>
      <c r="BW1762" s="59"/>
      <c r="BX1762" s="59"/>
      <c r="BY1762" s="59"/>
      <c r="BZ1762" s="59"/>
      <c r="CA1762" s="59"/>
      <c r="CB1762" s="59"/>
      <c r="CC1762" s="59"/>
      <c r="CD1762" s="59"/>
      <c r="CE1762" s="59"/>
      <c r="CF1762" s="59"/>
      <c r="CG1762" s="59"/>
      <c r="CH1762" s="59"/>
      <c r="CI1762" s="59"/>
      <c r="CJ1762" s="59"/>
      <c r="CK1762" s="59"/>
      <c r="CL1762" s="59"/>
      <c r="CM1762" s="59"/>
      <c r="CN1762" s="59"/>
      <c r="CO1762" s="59"/>
      <c r="CP1762" s="59"/>
      <c r="CQ1762" s="59"/>
      <c r="CR1762" s="59"/>
      <c r="CS1762" s="59"/>
      <c r="CT1762" s="59"/>
      <c r="CU1762" s="59"/>
      <c r="CV1762" s="59"/>
      <c r="CW1762" s="59"/>
      <c r="CX1762" s="59"/>
      <c r="CY1762" s="59"/>
      <c r="CZ1762" s="59"/>
      <c r="DA1762" s="59"/>
      <c r="DB1762" s="59"/>
      <c r="DC1762" s="59"/>
      <c r="DD1762" s="59"/>
      <c r="DE1762" s="59"/>
      <c r="DF1762" s="59"/>
      <c r="DG1762" s="59"/>
      <c r="DH1762" s="59"/>
      <c r="DI1762" s="59"/>
      <c r="DJ1762" s="59"/>
      <c r="DK1762" s="59"/>
      <c r="DL1762" s="59"/>
      <c r="DM1762" s="59"/>
      <c r="DN1762" s="59"/>
      <c r="DO1762" s="59"/>
      <c r="DP1762" s="59"/>
      <c r="DQ1762" s="59"/>
      <c r="DR1762" s="59"/>
      <c r="DS1762" s="59"/>
      <c r="DT1762" s="59"/>
      <c r="DU1762" s="59"/>
      <c r="DV1762" s="59"/>
      <c r="DW1762" s="59"/>
      <c r="DX1762" s="59"/>
      <c r="DY1762" s="59"/>
      <c r="DZ1762" s="59"/>
      <c r="EA1762" s="59"/>
      <c r="EB1762" s="59"/>
      <c r="EC1762" s="59"/>
      <c r="ED1762" s="59"/>
      <c r="EE1762" s="59"/>
      <c r="EF1762" s="59"/>
      <c r="EG1762" s="59"/>
      <c r="EH1762" s="59"/>
      <c r="EI1762" s="59"/>
      <c r="EJ1762" s="59"/>
      <c r="EK1762" s="59"/>
      <c r="EL1762" s="59"/>
      <c r="EM1762" s="59"/>
      <c r="EN1762" s="59"/>
      <c r="EO1762" s="59"/>
      <c r="EP1762" s="59"/>
      <c r="EQ1762" s="59"/>
      <c r="ER1762" s="59"/>
      <c r="ES1762" s="59"/>
      <c r="ET1762" s="59"/>
      <c r="EU1762" s="59"/>
      <c r="EV1762" s="59"/>
      <c r="EW1762" s="59"/>
      <c r="EX1762" s="59"/>
      <c r="EY1762" s="59"/>
      <c r="EZ1762" s="59"/>
      <c r="FA1762" s="59"/>
      <c r="FB1762" s="59"/>
      <c r="FC1762" s="59"/>
      <c r="FD1762" s="59"/>
      <c r="FE1762" s="59"/>
      <c r="FF1762" s="59"/>
      <c r="FG1762" s="59"/>
      <c r="FH1762" s="59"/>
      <c r="FI1762" s="59"/>
      <c r="FJ1762" s="59"/>
      <c r="FK1762" s="59"/>
      <c r="FL1762" s="59"/>
      <c r="FM1762" s="59"/>
      <c r="FN1762" s="59"/>
      <c r="FO1762" s="59"/>
      <c r="FP1762" s="59"/>
      <c r="FQ1762" s="59"/>
      <c r="FR1762" s="59"/>
      <c r="FS1762" s="59"/>
      <c r="FT1762" s="59"/>
      <c r="FU1762" s="59"/>
      <c r="FV1762" s="59"/>
      <c r="FW1762" s="59"/>
      <c r="FX1762" s="59"/>
      <c r="FY1762" s="59"/>
      <c r="FZ1762" s="59"/>
      <c r="GA1762" s="59"/>
      <c r="GB1762" s="59"/>
      <c r="GC1762" s="59"/>
    </row>
    <row r="1763">
      <c r="A1763" s="59"/>
      <c r="B1763" s="59"/>
      <c r="C1763" s="59"/>
      <c r="D1763" s="59"/>
      <c r="E1763" s="59"/>
      <c r="F1763" s="59"/>
      <c r="G1763" s="59"/>
      <c r="H1763" s="59"/>
      <c r="I1763" s="59"/>
      <c r="J1763" s="59"/>
      <c r="K1763" s="59"/>
      <c r="L1763" s="59"/>
      <c r="M1763" s="59"/>
      <c r="N1763" s="59"/>
      <c r="O1763" s="59"/>
      <c r="P1763" s="59"/>
      <c r="Q1763" s="59"/>
      <c r="R1763" s="59"/>
      <c r="S1763" s="59"/>
      <c r="T1763" s="59"/>
      <c r="U1763" s="59"/>
      <c r="V1763" s="59"/>
      <c r="W1763" s="59"/>
      <c r="X1763" s="59"/>
      <c r="Y1763" s="59"/>
      <c r="Z1763" s="59"/>
      <c r="AA1763" s="59"/>
      <c r="AB1763" s="59"/>
      <c r="AC1763" s="59"/>
      <c r="AD1763" s="59"/>
      <c r="AE1763" s="59"/>
      <c r="AF1763" s="59"/>
      <c r="AG1763" s="59"/>
      <c r="AH1763" s="59"/>
      <c r="AI1763" s="59"/>
      <c r="AJ1763" s="59"/>
      <c r="AK1763" s="59"/>
      <c r="AL1763" s="59"/>
      <c r="AM1763" s="59"/>
      <c r="AN1763" s="59"/>
      <c r="AO1763" s="59"/>
      <c r="AP1763" s="59"/>
      <c r="AQ1763" s="59"/>
      <c r="AR1763" s="59"/>
      <c r="AS1763" s="59"/>
      <c r="AT1763" s="59"/>
      <c r="AU1763" s="59"/>
      <c r="AV1763" s="59"/>
      <c r="AW1763" s="59"/>
      <c r="AX1763" s="59"/>
      <c r="AY1763" s="59"/>
      <c r="AZ1763" s="59"/>
      <c r="BA1763" s="59"/>
      <c r="BB1763" s="59"/>
      <c r="BC1763" s="59"/>
      <c r="BD1763" s="59"/>
      <c r="BE1763" s="59"/>
      <c r="BF1763" s="59"/>
      <c r="BG1763" s="59"/>
      <c r="BH1763" s="59"/>
      <c r="BI1763" s="59"/>
      <c r="BJ1763" s="59"/>
      <c r="BK1763" s="59"/>
      <c r="BL1763" s="59"/>
      <c r="BM1763" s="59"/>
      <c r="BN1763" s="59"/>
      <c r="BO1763" s="59"/>
      <c r="BP1763" s="59"/>
      <c r="BQ1763" s="59"/>
      <c r="BR1763" s="59"/>
      <c r="BS1763" s="59"/>
      <c r="BT1763" s="59"/>
      <c r="BU1763" s="59"/>
      <c r="BV1763" s="59"/>
      <c r="BW1763" s="59"/>
      <c r="BX1763" s="59"/>
      <c r="BY1763" s="59"/>
      <c r="BZ1763" s="59"/>
      <c r="CA1763" s="59"/>
      <c r="CB1763" s="59"/>
      <c r="CC1763" s="59"/>
      <c r="CD1763" s="59"/>
      <c r="CE1763" s="59"/>
      <c r="CF1763" s="59"/>
      <c r="CG1763" s="59"/>
      <c r="CH1763" s="59"/>
      <c r="CI1763" s="59"/>
      <c r="CJ1763" s="59"/>
      <c r="CK1763" s="59"/>
      <c r="CL1763" s="59"/>
      <c r="CM1763" s="59"/>
      <c r="CN1763" s="59"/>
      <c r="CO1763" s="59"/>
      <c r="CP1763" s="59"/>
      <c r="CQ1763" s="59"/>
      <c r="CR1763" s="59"/>
      <c r="CS1763" s="59"/>
      <c r="CT1763" s="59"/>
      <c r="CU1763" s="59"/>
      <c r="CV1763" s="59"/>
      <c r="CW1763" s="59"/>
      <c r="CX1763" s="59"/>
      <c r="CY1763" s="59"/>
      <c r="CZ1763" s="59"/>
      <c r="DA1763" s="59"/>
      <c r="DB1763" s="59"/>
      <c r="DC1763" s="59"/>
      <c r="DD1763" s="59"/>
      <c r="DE1763" s="59"/>
      <c r="DF1763" s="59"/>
      <c r="DG1763" s="59"/>
      <c r="DH1763" s="59"/>
      <c r="DI1763" s="59"/>
      <c r="DJ1763" s="59"/>
      <c r="DK1763" s="59"/>
      <c r="DL1763" s="59"/>
      <c r="DM1763" s="59"/>
      <c r="DN1763" s="59"/>
      <c r="DO1763" s="59"/>
      <c r="DP1763" s="59"/>
      <c r="DQ1763" s="59"/>
      <c r="DR1763" s="59"/>
      <c r="DS1763" s="59"/>
      <c r="DT1763" s="59"/>
      <c r="DU1763" s="59"/>
      <c r="DV1763" s="59"/>
      <c r="DW1763" s="59"/>
      <c r="DX1763" s="59"/>
      <c r="DY1763" s="59"/>
      <c r="DZ1763" s="59"/>
      <c r="EA1763" s="59"/>
      <c r="EB1763" s="59"/>
      <c r="EC1763" s="59"/>
      <c r="ED1763" s="59"/>
      <c r="EE1763" s="59"/>
      <c r="EF1763" s="59"/>
      <c r="EG1763" s="59"/>
      <c r="EH1763" s="59"/>
      <c r="EI1763" s="59"/>
      <c r="EJ1763" s="59"/>
      <c r="EK1763" s="59"/>
      <c r="EL1763" s="59"/>
      <c r="EM1763" s="59"/>
      <c r="EN1763" s="59"/>
      <c r="EO1763" s="59"/>
      <c r="EP1763" s="59"/>
      <c r="EQ1763" s="59"/>
      <c r="ER1763" s="59"/>
      <c r="ES1763" s="59"/>
      <c r="ET1763" s="59"/>
      <c r="EU1763" s="59"/>
      <c r="EV1763" s="59"/>
      <c r="EW1763" s="59"/>
      <c r="EX1763" s="59"/>
      <c r="EY1763" s="59"/>
      <c r="EZ1763" s="59"/>
      <c r="FA1763" s="59"/>
      <c r="FB1763" s="59"/>
      <c r="FC1763" s="59"/>
      <c r="FD1763" s="59"/>
      <c r="FE1763" s="59"/>
      <c r="FF1763" s="59"/>
      <c r="FG1763" s="59"/>
      <c r="FH1763" s="59"/>
      <c r="FI1763" s="59"/>
      <c r="FJ1763" s="59"/>
      <c r="FK1763" s="59"/>
      <c r="FL1763" s="59"/>
      <c r="FM1763" s="59"/>
      <c r="FN1763" s="59"/>
      <c r="FO1763" s="59"/>
      <c r="FP1763" s="59"/>
      <c r="FQ1763" s="59"/>
      <c r="FR1763" s="59"/>
      <c r="FS1763" s="59"/>
      <c r="FT1763" s="59"/>
      <c r="FU1763" s="59"/>
      <c r="FV1763" s="59"/>
      <c r="FW1763" s="59"/>
      <c r="FX1763" s="59"/>
      <c r="FY1763" s="59"/>
      <c r="FZ1763" s="59"/>
      <c r="GA1763" s="59"/>
      <c r="GB1763" s="59"/>
      <c r="GC1763" s="59"/>
    </row>
    <row r="1764">
      <c r="A1764" s="59"/>
      <c r="B1764" s="59"/>
      <c r="C1764" s="59"/>
      <c r="D1764" s="59"/>
      <c r="E1764" s="59"/>
      <c r="F1764" s="59"/>
      <c r="G1764" s="59"/>
      <c r="H1764" s="59"/>
      <c r="I1764" s="59"/>
      <c r="J1764" s="59"/>
      <c r="K1764" s="59"/>
      <c r="L1764" s="59"/>
      <c r="M1764" s="59"/>
      <c r="N1764" s="59"/>
      <c r="O1764" s="59"/>
      <c r="P1764" s="59"/>
      <c r="Q1764" s="59"/>
      <c r="R1764" s="59"/>
      <c r="S1764" s="59"/>
      <c r="T1764" s="59"/>
      <c r="U1764" s="59"/>
      <c r="V1764" s="59"/>
      <c r="W1764" s="59"/>
      <c r="X1764" s="59"/>
      <c r="Y1764" s="59"/>
      <c r="Z1764" s="59"/>
      <c r="AA1764" s="59"/>
      <c r="AB1764" s="59"/>
      <c r="AC1764" s="59"/>
      <c r="AD1764" s="59"/>
      <c r="AE1764" s="59"/>
      <c r="AF1764" s="59"/>
      <c r="AG1764" s="59"/>
      <c r="AH1764" s="59"/>
      <c r="AI1764" s="59"/>
      <c r="AJ1764" s="59"/>
      <c r="AK1764" s="59"/>
      <c r="AL1764" s="59"/>
      <c r="AM1764" s="59"/>
      <c r="AN1764" s="59"/>
      <c r="AO1764" s="59"/>
      <c r="AP1764" s="59"/>
      <c r="AQ1764" s="59"/>
      <c r="AR1764" s="59"/>
      <c r="AS1764" s="59"/>
      <c r="AT1764" s="59"/>
      <c r="AU1764" s="59"/>
      <c r="AV1764" s="59"/>
      <c r="AW1764" s="59"/>
      <c r="AX1764" s="59"/>
      <c r="AY1764" s="59"/>
      <c r="AZ1764" s="59"/>
      <c r="BA1764" s="59"/>
      <c r="BB1764" s="59"/>
      <c r="BC1764" s="59"/>
      <c r="BD1764" s="59"/>
      <c r="BE1764" s="59"/>
      <c r="BF1764" s="59"/>
      <c r="BG1764" s="59"/>
      <c r="BH1764" s="59"/>
      <c r="BI1764" s="59"/>
      <c r="BJ1764" s="59"/>
      <c r="BK1764" s="59"/>
      <c r="BL1764" s="59"/>
      <c r="BM1764" s="59"/>
      <c r="BN1764" s="59"/>
      <c r="BO1764" s="59"/>
      <c r="BP1764" s="59"/>
      <c r="BQ1764" s="59"/>
      <c r="BR1764" s="59"/>
      <c r="BS1764" s="59"/>
      <c r="BT1764" s="59"/>
      <c r="BU1764" s="59"/>
      <c r="BV1764" s="59"/>
      <c r="BW1764" s="59"/>
      <c r="BX1764" s="59"/>
      <c r="BY1764" s="59"/>
      <c r="BZ1764" s="59"/>
      <c r="CA1764" s="59"/>
      <c r="CB1764" s="59"/>
      <c r="CC1764" s="59"/>
      <c r="CD1764" s="59"/>
      <c r="CE1764" s="59"/>
      <c r="CF1764" s="59"/>
      <c r="CG1764" s="59"/>
      <c r="CH1764" s="59"/>
      <c r="CI1764" s="59"/>
      <c r="CJ1764" s="59"/>
      <c r="CK1764" s="59"/>
      <c r="CL1764" s="59"/>
      <c r="CM1764" s="59"/>
      <c r="CN1764" s="59"/>
      <c r="CO1764" s="59"/>
      <c r="CP1764" s="59"/>
      <c r="CQ1764" s="59"/>
      <c r="CR1764" s="59"/>
      <c r="CS1764" s="59"/>
      <c r="CT1764" s="59"/>
      <c r="CU1764" s="59"/>
      <c r="CV1764" s="59"/>
      <c r="CW1764" s="59"/>
      <c r="CX1764" s="59"/>
      <c r="CY1764" s="59"/>
      <c r="CZ1764" s="59"/>
      <c r="DA1764" s="59"/>
      <c r="DB1764" s="59"/>
      <c r="DC1764" s="59"/>
      <c r="DD1764" s="59"/>
      <c r="DE1764" s="59"/>
      <c r="DF1764" s="59"/>
      <c r="DG1764" s="59"/>
      <c r="DH1764" s="59"/>
      <c r="DI1764" s="59"/>
      <c r="DJ1764" s="59"/>
      <c r="DK1764" s="59"/>
      <c r="DL1764" s="59"/>
      <c r="DM1764" s="59"/>
      <c r="DN1764" s="59"/>
      <c r="DO1764" s="59"/>
      <c r="DP1764" s="59"/>
      <c r="DQ1764" s="59"/>
      <c r="DR1764" s="59"/>
      <c r="DS1764" s="59"/>
      <c r="DT1764" s="59"/>
      <c r="DU1764" s="59"/>
      <c r="DV1764" s="59"/>
      <c r="DW1764" s="59"/>
      <c r="DX1764" s="59"/>
      <c r="DY1764" s="59"/>
      <c r="DZ1764" s="59"/>
      <c r="EA1764" s="59"/>
      <c r="EB1764" s="59"/>
      <c r="EC1764" s="59"/>
      <c r="ED1764" s="59"/>
      <c r="EE1764" s="59"/>
      <c r="EF1764" s="59"/>
      <c r="EG1764" s="59"/>
      <c r="EH1764" s="59"/>
      <c r="EI1764" s="59"/>
      <c r="EJ1764" s="59"/>
      <c r="EK1764" s="59"/>
      <c r="EL1764" s="59"/>
      <c r="EM1764" s="59"/>
      <c r="EN1764" s="59"/>
      <c r="EO1764" s="59"/>
      <c r="EP1764" s="59"/>
      <c r="EQ1764" s="59"/>
      <c r="ER1764" s="59"/>
      <c r="ES1764" s="59"/>
      <c r="ET1764" s="59"/>
      <c r="EU1764" s="59"/>
      <c r="EV1764" s="59"/>
      <c r="EW1764" s="59"/>
      <c r="EX1764" s="59"/>
      <c r="EY1764" s="59"/>
      <c r="EZ1764" s="59"/>
      <c r="FA1764" s="59"/>
      <c r="FB1764" s="59"/>
      <c r="FC1764" s="59"/>
      <c r="FD1764" s="59"/>
      <c r="FE1764" s="59"/>
      <c r="FF1764" s="59"/>
      <c r="FG1764" s="59"/>
      <c r="FH1764" s="59"/>
      <c r="FI1764" s="59"/>
      <c r="FJ1764" s="59"/>
      <c r="FK1764" s="59"/>
      <c r="FL1764" s="59"/>
      <c r="FM1764" s="59"/>
      <c r="FN1764" s="59"/>
      <c r="FO1764" s="59"/>
      <c r="FP1764" s="59"/>
      <c r="FQ1764" s="59"/>
      <c r="FR1764" s="59"/>
      <c r="FS1764" s="59"/>
      <c r="FT1764" s="59"/>
      <c r="FU1764" s="59"/>
      <c r="FV1764" s="59"/>
      <c r="FW1764" s="59"/>
      <c r="FX1764" s="59"/>
      <c r="FY1764" s="59"/>
      <c r="FZ1764" s="59"/>
      <c r="GA1764" s="59"/>
      <c r="GB1764" s="59"/>
      <c r="GC1764" s="59"/>
    </row>
    <row r="1765">
      <c r="A1765" s="59"/>
      <c r="B1765" s="59"/>
      <c r="C1765" s="59"/>
      <c r="D1765" s="59"/>
      <c r="E1765" s="59"/>
      <c r="F1765" s="59"/>
      <c r="G1765" s="59"/>
      <c r="H1765" s="59"/>
      <c r="I1765" s="59"/>
      <c r="J1765" s="59"/>
      <c r="K1765" s="59"/>
      <c r="L1765" s="59"/>
      <c r="M1765" s="59"/>
      <c r="N1765" s="59"/>
      <c r="O1765" s="59"/>
      <c r="P1765" s="59"/>
      <c r="Q1765" s="59"/>
      <c r="R1765" s="59"/>
      <c r="S1765" s="59"/>
      <c r="T1765" s="59"/>
      <c r="U1765" s="59"/>
      <c r="V1765" s="59"/>
      <c r="W1765" s="59"/>
      <c r="X1765" s="59"/>
      <c r="Y1765" s="59"/>
      <c r="Z1765" s="59"/>
      <c r="AA1765" s="59"/>
      <c r="AB1765" s="59"/>
      <c r="AC1765" s="59"/>
      <c r="AD1765" s="59"/>
      <c r="AE1765" s="59"/>
      <c r="AF1765" s="59"/>
      <c r="AG1765" s="59"/>
      <c r="AH1765" s="59"/>
      <c r="AI1765" s="59"/>
      <c r="AJ1765" s="59"/>
      <c r="AK1765" s="59"/>
      <c r="AL1765" s="59"/>
      <c r="AM1765" s="59"/>
      <c r="AN1765" s="59"/>
      <c r="AO1765" s="59"/>
      <c r="AP1765" s="59"/>
      <c r="AQ1765" s="59"/>
      <c r="AR1765" s="59"/>
      <c r="AS1765" s="59"/>
      <c r="AT1765" s="59"/>
      <c r="AU1765" s="59"/>
      <c r="AV1765" s="59"/>
      <c r="AW1765" s="59"/>
      <c r="AX1765" s="59"/>
      <c r="AY1765" s="59"/>
      <c r="AZ1765" s="59"/>
      <c r="BA1765" s="59"/>
      <c r="BB1765" s="59"/>
      <c r="BC1765" s="59"/>
      <c r="BD1765" s="59"/>
      <c r="BE1765" s="59"/>
      <c r="BF1765" s="59"/>
      <c r="BG1765" s="59"/>
      <c r="BH1765" s="59"/>
      <c r="BI1765" s="59"/>
      <c r="BJ1765" s="59"/>
      <c r="BK1765" s="59"/>
      <c r="BL1765" s="59"/>
      <c r="BM1765" s="59"/>
      <c r="BN1765" s="59"/>
      <c r="BO1765" s="59"/>
      <c r="BP1765" s="59"/>
      <c r="BQ1765" s="59"/>
      <c r="BR1765" s="59"/>
      <c r="BS1765" s="59"/>
      <c r="BT1765" s="59"/>
      <c r="BU1765" s="59"/>
      <c r="BV1765" s="59"/>
      <c r="BW1765" s="59"/>
      <c r="BX1765" s="59"/>
      <c r="BY1765" s="59"/>
      <c r="BZ1765" s="59"/>
      <c r="CA1765" s="59"/>
      <c r="CB1765" s="59"/>
      <c r="CC1765" s="59"/>
      <c r="CD1765" s="59"/>
      <c r="CE1765" s="59"/>
      <c r="CF1765" s="59"/>
      <c r="CG1765" s="59"/>
      <c r="CH1765" s="59"/>
      <c r="CI1765" s="59"/>
      <c r="CJ1765" s="59"/>
      <c r="CK1765" s="59"/>
      <c r="CL1765" s="59"/>
      <c r="CM1765" s="59"/>
      <c r="CN1765" s="59"/>
      <c r="CO1765" s="59"/>
      <c r="CP1765" s="59"/>
      <c r="CQ1765" s="59"/>
      <c r="CR1765" s="59"/>
      <c r="CS1765" s="59"/>
      <c r="CT1765" s="59"/>
      <c r="CU1765" s="59"/>
      <c r="CV1765" s="59"/>
      <c r="CW1765" s="59"/>
      <c r="CX1765" s="59"/>
      <c r="CY1765" s="59"/>
      <c r="CZ1765" s="59"/>
      <c r="DA1765" s="59"/>
      <c r="DB1765" s="59"/>
      <c r="DC1765" s="59"/>
      <c r="DD1765" s="59"/>
      <c r="DE1765" s="59"/>
      <c r="DF1765" s="59"/>
      <c r="DG1765" s="59"/>
      <c r="DH1765" s="59"/>
      <c r="DI1765" s="59"/>
      <c r="DJ1765" s="59"/>
      <c r="DK1765" s="59"/>
      <c r="DL1765" s="59"/>
      <c r="DM1765" s="59"/>
      <c r="DN1765" s="59"/>
      <c r="DO1765" s="59"/>
      <c r="DP1765" s="59"/>
      <c r="DQ1765" s="59"/>
      <c r="DR1765" s="59"/>
      <c r="DS1765" s="59"/>
      <c r="DT1765" s="59"/>
      <c r="DU1765" s="59"/>
      <c r="DV1765" s="59"/>
      <c r="DW1765" s="59"/>
      <c r="DX1765" s="59"/>
      <c r="DY1765" s="59"/>
      <c r="DZ1765" s="59"/>
      <c r="EA1765" s="59"/>
      <c r="EB1765" s="59"/>
      <c r="EC1765" s="59"/>
      <c r="ED1765" s="59"/>
      <c r="EE1765" s="59"/>
      <c r="EF1765" s="59"/>
      <c r="EG1765" s="59"/>
      <c r="EH1765" s="59"/>
      <c r="EI1765" s="59"/>
      <c r="EJ1765" s="59"/>
      <c r="EK1765" s="59"/>
      <c r="EL1765" s="59"/>
      <c r="EM1765" s="59"/>
      <c r="EN1765" s="59"/>
      <c r="EO1765" s="59"/>
      <c r="EP1765" s="59"/>
      <c r="EQ1765" s="59"/>
      <c r="ER1765" s="59"/>
      <c r="ES1765" s="59"/>
      <c r="ET1765" s="59"/>
      <c r="EU1765" s="59"/>
      <c r="EV1765" s="59"/>
      <c r="EW1765" s="59"/>
      <c r="EX1765" s="59"/>
      <c r="EY1765" s="59"/>
      <c r="EZ1765" s="59"/>
      <c r="FA1765" s="59"/>
      <c r="FB1765" s="59"/>
      <c r="FC1765" s="59"/>
      <c r="FD1765" s="59"/>
      <c r="FE1765" s="59"/>
      <c r="FF1765" s="59"/>
      <c r="FG1765" s="59"/>
      <c r="FH1765" s="59"/>
      <c r="FI1765" s="59"/>
      <c r="FJ1765" s="59"/>
      <c r="FK1765" s="59"/>
      <c r="FL1765" s="59"/>
      <c r="FM1765" s="59"/>
      <c r="FN1765" s="59"/>
      <c r="FO1765" s="59"/>
      <c r="FP1765" s="59"/>
      <c r="FQ1765" s="59"/>
      <c r="FR1765" s="59"/>
      <c r="FS1765" s="59"/>
      <c r="FT1765" s="59"/>
      <c r="FU1765" s="59"/>
      <c r="FV1765" s="59"/>
      <c r="FW1765" s="59"/>
      <c r="FX1765" s="59"/>
      <c r="FY1765" s="59"/>
      <c r="FZ1765" s="59"/>
      <c r="GA1765" s="59"/>
      <c r="GB1765" s="59"/>
      <c r="GC1765" s="59"/>
    </row>
    <row r="1766">
      <c r="A1766" s="59"/>
      <c r="B1766" s="59"/>
      <c r="C1766" s="59"/>
      <c r="D1766" s="59"/>
      <c r="E1766" s="59"/>
      <c r="F1766" s="59"/>
      <c r="G1766" s="59"/>
      <c r="H1766" s="59"/>
      <c r="I1766" s="59"/>
      <c r="J1766" s="59"/>
      <c r="K1766" s="59"/>
      <c r="L1766" s="59"/>
      <c r="M1766" s="59"/>
      <c r="N1766" s="59"/>
      <c r="O1766" s="59"/>
      <c r="P1766" s="59"/>
      <c r="Q1766" s="59"/>
      <c r="R1766" s="59"/>
      <c r="S1766" s="59"/>
      <c r="T1766" s="59"/>
      <c r="U1766" s="59"/>
      <c r="V1766" s="59"/>
      <c r="W1766" s="59"/>
      <c r="X1766" s="59"/>
      <c r="Y1766" s="59"/>
      <c r="Z1766" s="59"/>
      <c r="AA1766" s="59"/>
      <c r="AB1766" s="59"/>
      <c r="AC1766" s="59"/>
      <c r="AD1766" s="59"/>
      <c r="AE1766" s="59"/>
      <c r="AF1766" s="59"/>
      <c r="AG1766" s="59"/>
      <c r="AH1766" s="59"/>
      <c r="AI1766" s="59"/>
      <c r="AJ1766" s="59"/>
      <c r="AK1766" s="59"/>
      <c r="AL1766" s="59"/>
      <c r="AM1766" s="59"/>
      <c r="AN1766" s="59"/>
      <c r="AO1766" s="59"/>
      <c r="AP1766" s="59"/>
      <c r="AQ1766" s="59"/>
      <c r="AR1766" s="59"/>
      <c r="AS1766" s="59"/>
      <c r="AT1766" s="59"/>
      <c r="AU1766" s="59"/>
      <c r="AV1766" s="59"/>
      <c r="AW1766" s="59"/>
      <c r="AX1766" s="59"/>
      <c r="AY1766" s="59"/>
      <c r="AZ1766" s="59"/>
      <c r="BA1766" s="59"/>
      <c r="BB1766" s="59"/>
      <c r="BC1766" s="59"/>
      <c r="BD1766" s="59"/>
      <c r="BE1766" s="59"/>
      <c r="BF1766" s="59"/>
      <c r="BG1766" s="59"/>
      <c r="BH1766" s="59"/>
      <c r="BI1766" s="59"/>
      <c r="BJ1766" s="59"/>
      <c r="BK1766" s="59"/>
      <c r="BL1766" s="59"/>
      <c r="BM1766" s="59"/>
      <c r="BN1766" s="59"/>
      <c r="BO1766" s="59"/>
      <c r="BP1766" s="59"/>
      <c r="BQ1766" s="59"/>
      <c r="BR1766" s="59"/>
      <c r="BS1766" s="59"/>
      <c r="BT1766" s="59"/>
      <c r="BU1766" s="59"/>
      <c r="BV1766" s="59"/>
      <c r="BW1766" s="59"/>
      <c r="BX1766" s="59"/>
      <c r="BY1766" s="59"/>
      <c r="BZ1766" s="59"/>
      <c r="CA1766" s="59"/>
      <c r="CB1766" s="59"/>
      <c r="CC1766" s="59"/>
      <c r="CD1766" s="59"/>
      <c r="CE1766" s="59"/>
      <c r="CF1766" s="59"/>
      <c r="CG1766" s="59"/>
      <c r="CH1766" s="59"/>
      <c r="CI1766" s="59"/>
      <c r="CJ1766" s="59"/>
      <c r="CK1766" s="59"/>
      <c r="CL1766" s="59"/>
      <c r="CM1766" s="59"/>
      <c r="CN1766" s="59"/>
      <c r="CO1766" s="59"/>
      <c r="CP1766" s="59"/>
      <c r="CQ1766" s="59"/>
      <c r="CR1766" s="59"/>
      <c r="CS1766" s="59"/>
      <c r="CT1766" s="59"/>
      <c r="CU1766" s="59"/>
      <c r="CV1766" s="59"/>
      <c r="CW1766" s="59"/>
      <c r="CX1766" s="59"/>
      <c r="CY1766" s="59"/>
      <c r="CZ1766" s="59"/>
      <c r="DA1766" s="59"/>
      <c r="DB1766" s="59"/>
      <c r="DC1766" s="59"/>
      <c r="DD1766" s="59"/>
      <c r="DE1766" s="59"/>
      <c r="DF1766" s="59"/>
      <c r="DG1766" s="59"/>
      <c r="DH1766" s="59"/>
      <c r="DI1766" s="59"/>
      <c r="DJ1766" s="59"/>
      <c r="DK1766" s="59"/>
      <c r="DL1766" s="59"/>
      <c r="DM1766" s="59"/>
      <c r="DN1766" s="59"/>
      <c r="DO1766" s="59"/>
      <c r="DP1766" s="59"/>
      <c r="DQ1766" s="59"/>
      <c r="DR1766" s="59"/>
      <c r="DS1766" s="59"/>
      <c r="DT1766" s="59"/>
      <c r="DU1766" s="59"/>
      <c r="DV1766" s="59"/>
      <c r="DW1766" s="59"/>
      <c r="DX1766" s="59"/>
      <c r="DY1766" s="59"/>
      <c r="DZ1766" s="59"/>
      <c r="EA1766" s="59"/>
      <c r="EB1766" s="59"/>
      <c r="EC1766" s="59"/>
      <c r="ED1766" s="59"/>
      <c r="EE1766" s="59"/>
      <c r="EF1766" s="59"/>
      <c r="EG1766" s="59"/>
      <c r="EH1766" s="59"/>
      <c r="EI1766" s="59"/>
      <c r="EJ1766" s="59"/>
      <c r="EK1766" s="59"/>
      <c r="EL1766" s="59"/>
      <c r="EM1766" s="59"/>
      <c r="EN1766" s="59"/>
      <c r="EO1766" s="59"/>
      <c r="EP1766" s="59"/>
      <c r="EQ1766" s="59"/>
      <c r="ER1766" s="59"/>
      <c r="ES1766" s="59"/>
      <c r="ET1766" s="59"/>
      <c r="EU1766" s="59"/>
      <c r="EV1766" s="59"/>
      <c r="EW1766" s="59"/>
      <c r="EX1766" s="59"/>
      <c r="EY1766" s="59"/>
      <c r="EZ1766" s="59"/>
      <c r="FA1766" s="59"/>
      <c r="FB1766" s="59"/>
      <c r="FC1766" s="59"/>
      <c r="FD1766" s="59"/>
      <c r="FE1766" s="59"/>
      <c r="FF1766" s="59"/>
      <c r="FG1766" s="59"/>
      <c r="FH1766" s="59"/>
      <c r="FI1766" s="59"/>
      <c r="FJ1766" s="59"/>
      <c r="FK1766" s="59"/>
      <c r="FL1766" s="59"/>
      <c r="FM1766" s="59"/>
      <c r="FN1766" s="59"/>
      <c r="FO1766" s="59"/>
      <c r="FP1766" s="59"/>
      <c r="FQ1766" s="59"/>
      <c r="FR1766" s="59"/>
      <c r="FS1766" s="59"/>
      <c r="FT1766" s="59"/>
      <c r="FU1766" s="59"/>
      <c r="FV1766" s="59"/>
      <c r="FW1766" s="59"/>
      <c r="FX1766" s="59"/>
      <c r="FY1766" s="59"/>
      <c r="FZ1766" s="59"/>
      <c r="GA1766" s="59"/>
      <c r="GB1766" s="59"/>
      <c r="GC1766" s="59"/>
    </row>
    <row r="1767">
      <c r="A1767" s="59"/>
      <c r="B1767" s="59"/>
      <c r="C1767" s="59"/>
      <c r="D1767" s="59"/>
      <c r="E1767" s="59"/>
      <c r="F1767" s="59"/>
      <c r="G1767" s="59"/>
      <c r="H1767" s="59"/>
      <c r="I1767" s="59"/>
      <c r="J1767" s="59"/>
      <c r="K1767" s="59"/>
      <c r="L1767" s="59"/>
      <c r="M1767" s="59"/>
      <c r="N1767" s="59"/>
      <c r="O1767" s="59"/>
      <c r="P1767" s="59"/>
      <c r="Q1767" s="59"/>
      <c r="R1767" s="59"/>
      <c r="S1767" s="59"/>
      <c r="T1767" s="59"/>
      <c r="U1767" s="59"/>
      <c r="V1767" s="59"/>
      <c r="W1767" s="59"/>
      <c r="X1767" s="59"/>
      <c r="Y1767" s="59"/>
      <c r="Z1767" s="59"/>
      <c r="AA1767" s="59"/>
      <c r="AB1767" s="59"/>
      <c r="AC1767" s="59"/>
      <c r="AD1767" s="59"/>
      <c r="AE1767" s="59"/>
      <c r="AF1767" s="59"/>
      <c r="AG1767" s="59"/>
      <c r="AH1767" s="59"/>
      <c r="AI1767" s="59"/>
      <c r="AJ1767" s="59"/>
      <c r="AK1767" s="59"/>
      <c r="AL1767" s="59"/>
      <c r="AM1767" s="59"/>
      <c r="AN1767" s="59"/>
      <c r="AO1767" s="59"/>
      <c r="AP1767" s="59"/>
      <c r="AQ1767" s="59"/>
      <c r="AR1767" s="59"/>
      <c r="AS1767" s="59"/>
      <c r="AT1767" s="59"/>
      <c r="AU1767" s="59"/>
      <c r="AV1767" s="59"/>
      <c r="AW1767" s="59"/>
      <c r="AX1767" s="59"/>
      <c r="AY1767" s="59"/>
      <c r="AZ1767" s="59"/>
      <c r="BA1767" s="59"/>
      <c r="BB1767" s="59"/>
      <c r="BC1767" s="59"/>
      <c r="BD1767" s="59"/>
      <c r="BE1767" s="59"/>
      <c r="BF1767" s="59"/>
      <c r="BG1767" s="59"/>
      <c r="BH1767" s="59"/>
      <c r="BI1767" s="59"/>
      <c r="BJ1767" s="59"/>
      <c r="BK1767" s="59"/>
      <c r="BL1767" s="59"/>
      <c r="BM1767" s="59"/>
      <c r="BN1767" s="59"/>
      <c r="BO1767" s="59"/>
      <c r="BP1767" s="59"/>
      <c r="BQ1767" s="59"/>
      <c r="BR1767" s="59"/>
      <c r="BS1767" s="59"/>
      <c r="BT1767" s="59"/>
      <c r="BU1767" s="59"/>
      <c r="BV1767" s="59"/>
      <c r="BW1767" s="59"/>
      <c r="BX1767" s="59"/>
      <c r="BY1767" s="59"/>
      <c r="BZ1767" s="59"/>
      <c r="CA1767" s="59"/>
      <c r="CB1767" s="59"/>
      <c r="CC1767" s="59"/>
      <c r="CD1767" s="59"/>
      <c r="CE1767" s="59"/>
      <c r="CF1767" s="59"/>
      <c r="CG1767" s="59"/>
      <c r="CH1767" s="59"/>
      <c r="CI1767" s="59"/>
      <c r="CJ1767" s="59"/>
      <c r="CK1767" s="59"/>
      <c r="CL1767" s="59"/>
      <c r="CM1767" s="59"/>
      <c r="CN1767" s="59"/>
      <c r="CO1767" s="59"/>
      <c r="CP1767" s="59"/>
      <c r="CQ1767" s="59"/>
      <c r="CR1767" s="59"/>
      <c r="CS1767" s="59"/>
      <c r="CT1767" s="59"/>
      <c r="CU1767" s="59"/>
      <c r="CV1767" s="59"/>
      <c r="CW1767" s="59"/>
      <c r="CX1767" s="59"/>
      <c r="CY1767" s="59"/>
      <c r="CZ1767" s="59"/>
      <c r="DA1767" s="59"/>
      <c r="DB1767" s="59"/>
      <c r="DC1767" s="59"/>
      <c r="DD1767" s="59"/>
      <c r="DE1767" s="59"/>
      <c r="DF1767" s="59"/>
      <c r="DG1767" s="59"/>
      <c r="DH1767" s="59"/>
      <c r="DI1767" s="59"/>
      <c r="DJ1767" s="59"/>
      <c r="DK1767" s="59"/>
      <c r="DL1767" s="59"/>
      <c r="DM1767" s="59"/>
      <c r="DN1767" s="59"/>
      <c r="DO1767" s="59"/>
      <c r="DP1767" s="59"/>
      <c r="DQ1767" s="59"/>
      <c r="DR1767" s="59"/>
      <c r="DS1767" s="59"/>
      <c r="DT1767" s="59"/>
      <c r="DU1767" s="59"/>
      <c r="DV1767" s="59"/>
      <c r="DW1767" s="59"/>
      <c r="DX1767" s="59"/>
      <c r="DY1767" s="59"/>
      <c r="DZ1767" s="59"/>
      <c r="EA1767" s="59"/>
      <c r="EB1767" s="59"/>
      <c r="EC1767" s="59"/>
      <c r="ED1767" s="59"/>
      <c r="EE1767" s="59"/>
      <c r="EF1767" s="59"/>
      <c r="EG1767" s="59"/>
      <c r="EH1767" s="59"/>
      <c r="EI1767" s="59"/>
      <c r="EJ1767" s="59"/>
      <c r="EK1767" s="59"/>
      <c r="EL1767" s="59"/>
      <c r="EM1767" s="59"/>
      <c r="EN1767" s="59"/>
      <c r="EO1767" s="59"/>
      <c r="EP1767" s="59"/>
      <c r="EQ1767" s="59"/>
      <c r="ER1767" s="59"/>
      <c r="ES1767" s="59"/>
      <c r="ET1767" s="59"/>
      <c r="EU1767" s="59"/>
      <c r="EV1767" s="59"/>
      <c r="EW1767" s="59"/>
      <c r="EX1767" s="59"/>
      <c r="EY1767" s="59"/>
      <c r="EZ1767" s="59"/>
      <c r="FA1767" s="59"/>
      <c r="FB1767" s="59"/>
      <c r="FC1767" s="59"/>
      <c r="FD1767" s="59"/>
      <c r="FE1767" s="59"/>
      <c r="FF1767" s="59"/>
      <c r="FG1767" s="59"/>
      <c r="FH1767" s="59"/>
      <c r="FI1767" s="59"/>
      <c r="FJ1767" s="59"/>
      <c r="FK1767" s="59"/>
      <c r="FL1767" s="59"/>
      <c r="FM1767" s="59"/>
      <c r="FN1767" s="59"/>
      <c r="FO1767" s="59"/>
      <c r="FP1767" s="59"/>
      <c r="FQ1767" s="59"/>
      <c r="FR1767" s="59"/>
      <c r="FS1767" s="59"/>
      <c r="FT1767" s="59"/>
      <c r="FU1767" s="59"/>
      <c r="FV1767" s="59"/>
      <c r="FW1767" s="59"/>
      <c r="FX1767" s="59"/>
      <c r="FY1767" s="59"/>
      <c r="FZ1767" s="59"/>
      <c r="GA1767" s="59"/>
      <c r="GB1767" s="59"/>
      <c r="GC1767" s="59"/>
    </row>
    <row r="1768">
      <c r="A1768" s="59"/>
      <c r="B1768" s="59"/>
      <c r="C1768" s="59"/>
      <c r="D1768" s="59"/>
      <c r="E1768" s="59"/>
      <c r="F1768" s="59"/>
      <c r="G1768" s="59"/>
      <c r="H1768" s="59"/>
      <c r="I1768" s="59"/>
      <c r="J1768" s="59"/>
      <c r="K1768" s="59"/>
      <c r="L1768" s="59"/>
      <c r="M1768" s="59"/>
      <c r="N1768" s="59"/>
      <c r="O1768" s="59"/>
      <c r="P1768" s="59"/>
      <c r="Q1768" s="59"/>
      <c r="R1768" s="59"/>
      <c r="S1768" s="59"/>
      <c r="T1768" s="59"/>
      <c r="U1768" s="59"/>
      <c r="V1768" s="59"/>
      <c r="W1768" s="59"/>
      <c r="X1768" s="59"/>
      <c r="Y1768" s="59"/>
      <c r="Z1768" s="59"/>
      <c r="AA1768" s="59"/>
      <c r="AB1768" s="59"/>
      <c r="AC1768" s="59"/>
      <c r="AD1768" s="59"/>
      <c r="AE1768" s="59"/>
      <c r="AF1768" s="59"/>
      <c r="AG1768" s="59"/>
      <c r="AH1768" s="59"/>
      <c r="AI1768" s="59"/>
      <c r="AJ1768" s="59"/>
      <c r="AK1768" s="59"/>
      <c r="AL1768" s="59"/>
      <c r="AM1768" s="59"/>
      <c r="AN1768" s="59"/>
      <c r="AO1768" s="59"/>
      <c r="AP1768" s="59"/>
      <c r="AQ1768" s="59"/>
      <c r="AR1768" s="59"/>
      <c r="AS1768" s="59"/>
      <c r="AT1768" s="59"/>
      <c r="AU1768" s="59"/>
      <c r="AV1768" s="59"/>
      <c r="AW1768" s="59"/>
      <c r="AX1768" s="59"/>
      <c r="AY1768" s="59"/>
      <c r="AZ1768" s="59"/>
      <c r="BA1768" s="59"/>
      <c r="BB1768" s="59"/>
      <c r="BC1768" s="59"/>
      <c r="BD1768" s="59"/>
      <c r="BE1768" s="59"/>
      <c r="BF1768" s="59"/>
      <c r="BG1768" s="59"/>
      <c r="BH1768" s="59"/>
      <c r="BI1768" s="59"/>
      <c r="BJ1768" s="59"/>
      <c r="BK1768" s="59"/>
      <c r="BL1768" s="59"/>
      <c r="BM1768" s="59"/>
      <c r="BN1768" s="59"/>
      <c r="BO1768" s="59"/>
      <c r="BP1768" s="59"/>
      <c r="BQ1768" s="59"/>
      <c r="BR1768" s="59"/>
      <c r="BS1768" s="59"/>
      <c r="BT1768" s="59"/>
      <c r="BU1768" s="59"/>
      <c r="BV1768" s="59"/>
      <c r="BW1768" s="59"/>
      <c r="BX1768" s="59"/>
      <c r="BY1768" s="59"/>
      <c r="BZ1768" s="59"/>
      <c r="CA1768" s="59"/>
      <c r="CB1768" s="59"/>
      <c r="CC1768" s="59"/>
      <c r="CD1768" s="59"/>
      <c r="CE1768" s="59"/>
      <c r="CF1768" s="59"/>
      <c r="CG1768" s="59"/>
      <c r="CH1768" s="59"/>
      <c r="CI1768" s="59"/>
      <c r="CJ1768" s="59"/>
      <c r="CK1768" s="59"/>
      <c r="CL1768" s="59"/>
      <c r="CM1768" s="59"/>
      <c r="CN1768" s="59"/>
      <c r="CO1768" s="59"/>
      <c r="CP1768" s="59"/>
      <c r="CQ1768" s="59"/>
      <c r="CR1768" s="59"/>
      <c r="CS1768" s="59"/>
      <c r="CT1768" s="59"/>
      <c r="CU1768" s="59"/>
      <c r="CV1768" s="59"/>
      <c r="CW1768" s="59"/>
      <c r="CX1768" s="59"/>
      <c r="CY1768" s="59"/>
      <c r="CZ1768" s="59"/>
      <c r="DA1768" s="59"/>
      <c r="DB1768" s="59"/>
      <c r="DC1768" s="59"/>
      <c r="DD1768" s="59"/>
      <c r="DE1768" s="59"/>
      <c r="DF1768" s="59"/>
      <c r="DG1768" s="59"/>
      <c r="DH1768" s="59"/>
      <c r="DI1768" s="59"/>
      <c r="DJ1768" s="59"/>
      <c r="DK1768" s="59"/>
      <c r="DL1768" s="59"/>
      <c r="DM1768" s="59"/>
      <c r="DN1768" s="59"/>
      <c r="DO1768" s="59"/>
      <c r="DP1768" s="59"/>
      <c r="DQ1768" s="59"/>
      <c r="DR1768" s="59"/>
      <c r="DS1768" s="59"/>
      <c r="DT1768" s="59"/>
      <c r="DU1768" s="59"/>
      <c r="DV1768" s="59"/>
      <c r="DW1768" s="59"/>
      <c r="DX1768" s="59"/>
      <c r="DY1768" s="59"/>
      <c r="DZ1768" s="59"/>
      <c r="EA1768" s="59"/>
      <c r="EB1768" s="59"/>
      <c r="EC1768" s="59"/>
      <c r="ED1768" s="59"/>
      <c r="EE1768" s="59"/>
      <c r="EF1768" s="59"/>
      <c r="EG1768" s="59"/>
      <c r="EH1768" s="59"/>
      <c r="EI1768" s="59"/>
      <c r="EJ1768" s="59"/>
      <c r="EK1768" s="59"/>
      <c r="EL1768" s="59"/>
      <c r="EM1768" s="59"/>
      <c r="EN1768" s="59"/>
      <c r="EO1768" s="59"/>
      <c r="EP1768" s="59"/>
      <c r="EQ1768" s="59"/>
      <c r="ER1768" s="59"/>
      <c r="ES1768" s="59"/>
      <c r="ET1768" s="59"/>
      <c r="EU1768" s="59"/>
      <c r="EV1768" s="59"/>
      <c r="EW1768" s="59"/>
      <c r="EX1768" s="59"/>
      <c r="EY1768" s="59"/>
      <c r="EZ1768" s="59"/>
      <c r="FA1768" s="59"/>
      <c r="FB1768" s="59"/>
      <c r="FC1768" s="59"/>
      <c r="FD1768" s="59"/>
      <c r="FE1768" s="59"/>
      <c r="FF1768" s="59"/>
      <c r="FG1768" s="59"/>
      <c r="FH1768" s="59"/>
      <c r="FI1768" s="59"/>
      <c r="FJ1768" s="59"/>
      <c r="FK1768" s="59"/>
      <c r="FL1768" s="59"/>
      <c r="FM1768" s="59"/>
      <c r="FN1768" s="59"/>
      <c r="FO1768" s="59"/>
      <c r="FP1768" s="59"/>
      <c r="FQ1768" s="59"/>
      <c r="FR1768" s="59"/>
      <c r="FS1768" s="59"/>
      <c r="FT1768" s="59"/>
      <c r="FU1768" s="59"/>
      <c r="FV1768" s="59"/>
      <c r="FW1768" s="59"/>
      <c r="FX1768" s="59"/>
      <c r="FY1768" s="59"/>
      <c r="FZ1768" s="59"/>
      <c r="GA1768" s="59"/>
      <c r="GB1768" s="59"/>
      <c r="GC1768" s="59"/>
    </row>
    <row r="1769">
      <c r="A1769" s="59"/>
      <c r="B1769" s="59"/>
      <c r="C1769" s="59"/>
      <c r="D1769" s="59"/>
      <c r="E1769" s="59"/>
      <c r="F1769" s="59"/>
      <c r="G1769" s="59"/>
      <c r="H1769" s="59"/>
      <c r="I1769" s="59"/>
      <c r="J1769" s="59"/>
      <c r="K1769" s="59"/>
      <c r="L1769" s="59"/>
      <c r="M1769" s="59"/>
      <c r="N1769" s="59"/>
      <c r="O1769" s="59"/>
      <c r="P1769" s="59"/>
      <c r="Q1769" s="59"/>
      <c r="R1769" s="59"/>
      <c r="S1769" s="59"/>
      <c r="T1769" s="59"/>
      <c r="U1769" s="59"/>
      <c r="V1769" s="59"/>
      <c r="W1769" s="59"/>
      <c r="X1769" s="59"/>
      <c r="Y1769" s="59"/>
      <c r="Z1769" s="59"/>
      <c r="AA1769" s="59"/>
      <c r="AB1769" s="59"/>
      <c r="AC1769" s="59"/>
      <c r="AD1769" s="59"/>
      <c r="AE1769" s="59"/>
      <c r="AF1769" s="59"/>
      <c r="AG1769" s="59"/>
      <c r="AH1769" s="59"/>
      <c r="AI1769" s="59"/>
      <c r="AJ1769" s="59"/>
      <c r="AK1769" s="59"/>
      <c r="AL1769" s="59"/>
      <c r="AM1769" s="59"/>
      <c r="AN1769" s="59"/>
      <c r="AO1769" s="59"/>
      <c r="AP1769" s="59"/>
      <c r="AQ1769" s="59"/>
      <c r="AR1769" s="59"/>
      <c r="AS1769" s="59"/>
      <c r="AT1769" s="59"/>
      <c r="AU1769" s="59"/>
      <c r="AV1769" s="59"/>
      <c r="AW1769" s="59"/>
      <c r="AX1769" s="59"/>
      <c r="AY1769" s="59"/>
      <c r="AZ1769" s="59"/>
      <c r="BA1769" s="59"/>
      <c r="BB1769" s="59"/>
      <c r="BC1769" s="59"/>
      <c r="BD1769" s="59"/>
      <c r="BE1769" s="59"/>
      <c r="BF1769" s="59"/>
      <c r="BG1769" s="59"/>
      <c r="BH1769" s="59"/>
      <c r="BI1769" s="59"/>
      <c r="BJ1769" s="59"/>
      <c r="BK1769" s="59"/>
      <c r="BL1769" s="59"/>
      <c r="BM1769" s="59"/>
      <c r="BN1769" s="59"/>
      <c r="BO1769" s="59"/>
      <c r="BP1769" s="59"/>
      <c r="BQ1769" s="59"/>
      <c r="BR1769" s="59"/>
      <c r="BS1769" s="59"/>
      <c r="BT1769" s="59"/>
      <c r="BU1769" s="59"/>
      <c r="BV1769" s="59"/>
      <c r="BW1769" s="59"/>
      <c r="BX1769" s="59"/>
      <c r="BY1769" s="59"/>
      <c r="BZ1769" s="59"/>
      <c r="CA1769" s="59"/>
      <c r="CB1769" s="59"/>
      <c r="CC1769" s="59"/>
      <c r="CD1769" s="59"/>
      <c r="CE1769" s="59"/>
      <c r="CF1769" s="59"/>
      <c r="CG1769" s="59"/>
      <c r="CH1769" s="59"/>
      <c r="CI1769" s="59"/>
      <c r="CJ1769" s="59"/>
      <c r="CK1769" s="59"/>
      <c r="CL1769" s="59"/>
      <c r="CM1769" s="59"/>
      <c r="CN1769" s="59"/>
      <c r="CO1769" s="59"/>
      <c r="CP1769" s="59"/>
      <c r="CQ1769" s="59"/>
      <c r="CR1769" s="59"/>
      <c r="CS1769" s="59"/>
      <c r="CT1769" s="59"/>
      <c r="CU1769" s="59"/>
      <c r="CV1769" s="59"/>
      <c r="CW1769" s="59"/>
      <c r="CX1769" s="59"/>
      <c r="CY1769" s="59"/>
      <c r="CZ1769" s="59"/>
      <c r="DA1769" s="59"/>
      <c r="DB1769" s="59"/>
      <c r="DC1769" s="59"/>
      <c r="DD1769" s="59"/>
      <c r="DE1769" s="59"/>
      <c r="DF1769" s="59"/>
      <c r="DG1769" s="59"/>
      <c r="DH1769" s="59"/>
      <c r="DI1769" s="59"/>
      <c r="DJ1769" s="59"/>
      <c r="DK1769" s="59"/>
      <c r="DL1769" s="59"/>
      <c r="DM1769" s="59"/>
      <c r="DN1769" s="59"/>
      <c r="DO1769" s="59"/>
      <c r="DP1769" s="59"/>
      <c r="DQ1769" s="59"/>
      <c r="DR1769" s="59"/>
      <c r="DS1769" s="59"/>
      <c r="DT1769" s="59"/>
      <c r="DU1769" s="59"/>
      <c r="DV1769" s="59"/>
      <c r="DW1769" s="59"/>
      <c r="DX1769" s="59"/>
      <c r="DY1769" s="59"/>
      <c r="DZ1769" s="59"/>
      <c r="EA1769" s="59"/>
      <c r="EB1769" s="59"/>
      <c r="EC1769" s="59"/>
      <c r="ED1769" s="59"/>
      <c r="EE1769" s="59"/>
      <c r="EF1769" s="59"/>
      <c r="EG1769" s="59"/>
      <c r="EH1769" s="59"/>
      <c r="EI1769" s="59"/>
      <c r="EJ1769" s="59"/>
      <c r="EK1769" s="59"/>
      <c r="EL1769" s="59"/>
      <c r="EM1769" s="59"/>
      <c r="EN1769" s="59"/>
      <c r="EO1769" s="59"/>
      <c r="EP1769" s="59"/>
      <c r="EQ1769" s="59"/>
      <c r="ER1769" s="59"/>
      <c r="ES1769" s="59"/>
      <c r="ET1769" s="59"/>
      <c r="EU1769" s="59"/>
      <c r="EV1769" s="59"/>
      <c r="EW1769" s="59"/>
      <c r="EX1769" s="59"/>
      <c r="EY1769" s="59"/>
      <c r="EZ1769" s="59"/>
      <c r="FA1769" s="59"/>
      <c r="FB1769" s="59"/>
      <c r="FC1769" s="59"/>
      <c r="FD1769" s="59"/>
      <c r="FE1769" s="59"/>
      <c r="FF1769" s="59"/>
      <c r="FG1769" s="59"/>
      <c r="FH1769" s="59"/>
      <c r="FI1769" s="59"/>
      <c r="FJ1769" s="59"/>
      <c r="FK1769" s="59"/>
      <c r="FL1769" s="59"/>
      <c r="FM1769" s="59"/>
      <c r="FN1769" s="59"/>
      <c r="FO1769" s="59"/>
      <c r="FP1769" s="59"/>
      <c r="FQ1769" s="59"/>
      <c r="FR1769" s="59"/>
      <c r="FS1769" s="59"/>
      <c r="FT1769" s="59"/>
      <c r="FU1769" s="59"/>
      <c r="FV1769" s="59"/>
      <c r="FW1769" s="59"/>
      <c r="FX1769" s="59"/>
      <c r="FY1769" s="59"/>
      <c r="FZ1769" s="59"/>
      <c r="GA1769" s="59"/>
      <c r="GB1769" s="59"/>
      <c r="GC1769" s="59"/>
    </row>
    <row r="1770">
      <c r="A1770" s="59"/>
      <c r="B1770" s="59"/>
      <c r="C1770" s="59"/>
      <c r="D1770" s="59"/>
      <c r="E1770" s="59"/>
      <c r="F1770" s="59"/>
      <c r="G1770" s="59"/>
      <c r="H1770" s="59"/>
      <c r="I1770" s="59"/>
      <c r="J1770" s="59"/>
      <c r="K1770" s="59"/>
      <c r="L1770" s="59"/>
      <c r="M1770" s="59"/>
      <c r="N1770" s="59"/>
      <c r="O1770" s="59"/>
      <c r="P1770" s="59"/>
      <c r="Q1770" s="59"/>
      <c r="R1770" s="59"/>
      <c r="S1770" s="59"/>
      <c r="T1770" s="59"/>
      <c r="U1770" s="59"/>
      <c r="V1770" s="59"/>
      <c r="W1770" s="59"/>
      <c r="X1770" s="59"/>
      <c r="Y1770" s="59"/>
      <c r="Z1770" s="59"/>
      <c r="AA1770" s="59"/>
      <c r="AB1770" s="59"/>
      <c r="AC1770" s="59"/>
      <c r="AD1770" s="59"/>
      <c r="AE1770" s="59"/>
      <c r="AF1770" s="59"/>
      <c r="AG1770" s="59"/>
      <c r="AH1770" s="59"/>
      <c r="AI1770" s="59"/>
      <c r="AJ1770" s="59"/>
      <c r="AK1770" s="59"/>
      <c r="AL1770" s="59"/>
      <c r="AM1770" s="59"/>
      <c r="AN1770" s="59"/>
      <c r="AO1770" s="59"/>
      <c r="AP1770" s="59"/>
      <c r="AQ1770" s="59"/>
      <c r="AR1770" s="59"/>
      <c r="AS1770" s="59"/>
      <c r="AT1770" s="59"/>
      <c r="AU1770" s="59"/>
      <c r="AV1770" s="59"/>
      <c r="AW1770" s="59"/>
      <c r="AX1770" s="59"/>
      <c r="AY1770" s="59"/>
      <c r="AZ1770" s="59"/>
      <c r="BA1770" s="59"/>
      <c r="BB1770" s="59"/>
      <c r="BC1770" s="59"/>
      <c r="BD1770" s="59"/>
      <c r="BE1770" s="59"/>
      <c r="BF1770" s="59"/>
      <c r="BG1770" s="59"/>
      <c r="BH1770" s="59"/>
      <c r="BI1770" s="59"/>
      <c r="BJ1770" s="59"/>
      <c r="BK1770" s="59"/>
      <c r="BL1770" s="59"/>
      <c r="BM1770" s="59"/>
      <c r="BN1770" s="59"/>
      <c r="BO1770" s="59"/>
      <c r="BP1770" s="59"/>
      <c r="BQ1770" s="59"/>
      <c r="BR1770" s="59"/>
      <c r="BS1770" s="59"/>
      <c r="BT1770" s="59"/>
      <c r="BU1770" s="59"/>
      <c r="BV1770" s="59"/>
      <c r="BW1770" s="59"/>
      <c r="BX1770" s="59"/>
      <c r="BY1770" s="59"/>
      <c r="BZ1770" s="59"/>
      <c r="CA1770" s="59"/>
      <c r="CB1770" s="59"/>
      <c r="CC1770" s="59"/>
      <c r="CD1770" s="59"/>
      <c r="CE1770" s="59"/>
      <c r="CF1770" s="59"/>
      <c r="CG1770" s="59"/>
      <c r="CH1770" s="59"/>
      <c r="CI1770" s="59"/>
      <c r="CJ1770" s="59"/>
      <c r="CK1770" s="59"/>
      <c r="CL1770" s="59"/>
      <c r="CM1770" s="59"/>
      <c r="CN1770" s="59"/>
      <c r="CO1770" s="59"/>
      <c r="CP1770" s="59"/>
      <c r="CQ1770" s="59"/>
      <c r="CR1770" s="59"/>
      <c r="CS1770" s="59"/>
      <c r="CT1770" s="59"/>
      <c r="CU1770" s="59"/>
      <c r="CV1770" s="59"/>
      <c r="CW1770" s="59"/>
      <c r="CX1770" s="59"/>
      <c r="CY1770" s="59"/>
      <c r="CZ1770" s="59"/>
      <c r="DA1770" s="59"/>
      <c r="DB1770" s="59"/>
      <c r="DC1770" s="59"/>
      <c r="DD1770" s="59"/>
      <c r="DE1770" s="59"/>
      <c r="DF1770" s="59"/>
      <c r="DG1770" s="59"/>
      <c r="DH1770" s="59"/>
      <c r="DI1770" s="59"/>
      <c r="DJ1770" s="59"/>
      <c r="DK1770" s="59"/>
      <c r="DL1770" s="59"/>
      <c r="DM1770" s="59"/>
      <c r="DN1770" s="59"/>
      <c r="DO1770" s="59"/>
      <c r="DP1770" s="59"/>
      <c r="DQ1770" s="59"/>
      <c r="DR1770" s="59"/>
      <c r="DS1770" s="59"/>
      <c r="DT1770" s="59"/>
      <c r="DU1770" s="59"/>
      <c r="DV1770" s="59"/>
      <c r="DW1770" s="59"/>
      <c r="DX1770" s="59"/>
      <c r="DY1770" s="59"/>
      <c r="DZ1770" s="59"/>
      <c r="EA1770" s="59"/>
      <c r="EB1770" s="59"/>
      <c r="EC1770" s="59"/>
      <c r="ED1770" s="59"/>
      <c r="EE1770" s="59"/>
      <c r="EF1770" s="59"/>
      <c r="EG1770" s="59"/>
      <c r="EH1770" s="59"/>
      <c r="EI1770" s="59"/>
      <c r="EJ1770" s="59"/>
      <c r="EK1770" s="59"/>
      <c r="EL1770" s="59"/>
      <c r="EM1770" s="59"/>
      <c r="EN1770" s="59"/>
      <c r="EO1770" s="59"/>
      <c r="EP1770" s="59"/>
      <c r="EQ1770" s="59"/>
      <c r="ER1770" s="59"/>
      <c r="ES1770" s="59"/>
      <c r="ET1770" s="59"/>
      <c r="EU1770" s="59"/>
      <c r="EV1770" s="59"/>
      <c r="EW1770" s="59"/>
      <c r="EX1770" s="59"/>
      <c r="EY1770" s="59"/>
      <c r="EZ1770" s="59"/>
      <c r="FA1770" s="59"/>
      <c r="FB1770" s="59"/>
      <c r="FC1770" s="59"/>
      <c r="FD1770" s="59"/>
      <c r="FE1770" s="59"/>
      <c r="FF1770" s="59"/>
      <c r="FG1770" s="59"/>
      <c r="FH1770" s="59"/>
      <c r="FI1770" s="59"/>
      <c r="FJ1770" s="59"/>
      <c r="FK1770" s="59"/>
      <c r="FL1770" s="59"/>
      <c r="FM1770" s="59"/>
      <c r="FN1770" s="59"/>
      <c r="FO1770" s="59"/>
      <c r="FP1770" s="59"/>
      <c r="FQ1770" s="59"/>
      <c r="FR1770" s="59"/>
      <c r="FS1770" s="59"/>
      <c r="FT1770" s="59"/>
      <c r="FU1770" s="59"/>
      <c r="FV1770" s="59"/>
      <c r="FW1770" s="59"/>
      <c r="FX1770" s="59"/>
      <c r="FY1770" s="59"/>
      <c r="FZ1770" s="59"/>
      <c r="GA1770" s="59"/>
      <c r="GB1770" s="59"/>
      <c r="GC1770" s="59"/>
    </row>
    <row r="1771">
      <c r="A1771" s="59"/>
      <c r="B1771" s="59"/>
      <c r="C1771" s="59"/>
      <c r="D1771" s="59"/>
      <c r="E1771" s="59"/>
      <c r="F1771" s="59"/>
      <c r="G1771" s="59"/>
      <c r="H1771" s="59"/>
      <c r="I1771" s="59"/>
      <c r="J1771" s="59"/>
      <c r="K1771" s="59"/>
      <c r="L1771" s="59"/>
      <c r="M1771" s="59"/>
      <c r="N1771" s="59"/>
      <c r="O1771" s="59"/>
      <c r="P1771" s="59"/>
      <c r="Q1771" s="59"/>
      <c r="R1771" s="59"/>
      <c r="S1771" s="59"/>
      <c r="T1771" s="59"/>
      <c r="U1771" s="59"/>
      <c r="V1771" s="59"/>
      <c r="W1771" s="59"/>
      <c r="X1771" s="59"/>
      <c r="Y1771" s="59"/>
      <c r="Z1771" s="59"/>
      <c r="AA1771" s="59"/>
      <c r="AB1771" s="59"/>
      <c r="AC1771" s="59"/>
      <c r="AD1771" s="59"/>
      <c r="AE1771" s="59"/>
      <c r="AF1771" s="59"/>
      <c r="AG1771" s="59"/>
      <c r="AH1771" s="59"/>
      <c r="AI1771" s="59"/>
      <c r="AJ1771" s="59"/>
      <c r="AK1771" s="59"/>
      <c r="AL1771" s="59"/>
      <c r="AM1771" s="59"/>
      <c r="AN1771" s="59"/>
      <c r="AO1771" s="59"/>
      <c r="AP1771" s="59"/>
      <c r="AQ1771" s="59"/>
      <c r="AR1771" s="59"/>
      <c r="AS1771" s="59"/>
      <c r="AT1771" s="59"/>
      <c r="AU1771" s="59"/>
      <c r="AV1771" s="59"/>
      <c r="AW1771" s="59"/>
      <c r="AX1771" s="59"/>
      <c r="AY1771" s="59"/>
      <c r="AZ1771" s="59"/>
      <c r="BA1771" s="59"/>
      <c r="BB1771" s="59"/>
      <c r="BC1771" s="59"/>
      <c r="BD1771" s="59"/>
      <c r="BE1771" s="59"/>
      <c r="BF1771" s="59"/>
      <c r="BG1771" s="59"/>
      <c r="BH1771" s="59"/>
      <c r="BI1771" s="59"/>
      <c r="BJ1771" s="59"/>
      <c r="BK1771" s="59"/>
      <c r="BL1771" s="59"/>
      <c r="BM1771" s="59"/>
      <c r="BN1771" s="59"/>
      <c r="BO1771" s="59"/>
      <c r="BP1771" s="59"/>
      <c r="BQ1771" s="59"/>
      <c r="BR1771" s="59"/>
      <c r="BS1771" s="59"/>
      <c r="BT1771" s="59"/>
      <c r="BU1771" s="59"/>
      <c r="BV1771" s="59"/>
      <c r="BW1771" s="59"/>
      <c r="BX1771" s="59"/>
      <c r="BY1771" s="59"/>
      <c r="BZ1771" s="59"/>
      <c r="CA1771" s="59"/>
      <c r="CB1771" s="59"/>
      <c r="CC1771" s="59"/>
      <c r="CD1771" s="59"/>
      <c r="CE1771" s="59"/>
      <c r="CF1771" s="59"/>
      <c r="CG1771" s="59"/>
      <c r="CH1771" s="59"/>
      <c r="CI1771" s="59"/>
      <c r="CJ1771" s="59"/>
      <c r="CK1771" s="59"/>
      <c r="CL1771" s="59"/>
      <c r="CM1771" s="59"/>
      <c r="CN1771" s="59"/>
      <c r="CO1771" s="59"/>
      <c r="CP1771" s="59"/>
      <c r="CQ1771" s="59"/>
      <c r="CR1771" s="59"/>
      <c r="CS1771" s="59"/>
      <c r="CT1771" s="59"/>
      <c r="CU1771" s="59"/>
      <c r="CV1771" s="59"/>
      <c r="CW1771" s="59"/>
      <c r="CX1771" s="59"/>
      <c r="CY1771" s="59"/>
      <c r="CZ1771" s="59"/>
      <c r="DA1771" s="59"/>
      <c r="DB1771" s="59"/>
      <c r="DC1771" s="59"/>
      <c r="DD1771" s="59"/>
      <c r="DE1771" s="59"/>
      <c r="DF1771" s="59"/>
      <c r="DG1771" s="59"/>
      <c r="DH1771" s="59"/>
      <c r="DI1771" s="59"/>
      <c r="DJ1771" s="59"/>
      <c r="DK1771" s="59"/>
      <c r="DL1771" s="59"/>
      <c r="DM1771" s="59"/>
      <c r="DN1771" s="59"/>
      <c r="DO1771" s="59"/>
      <c r="DP1771" s="59"/>
      <c r="DQ1771" s="59"/>
      <c r="DR1771" s="59"/>
      <c r="DS1771" s="59"/>
      <c r="DT1771" s="59"/>
      <c r="DU1771" s="59"/>
      <c r="DV1771" s="59"/>
      <c r="DW1771" s="59"/>
      <c r="DX1771" s="59"/>
      <c r="DY1771" s="59"/>
      <c r="DZ1771" s="59"/>
      <c r="EA1771" s="59"/>
      <c r="EB1771" s="59"/>
      <c r="EC1771" s="59"/>
      <c r="ED1771" s="59"/>
      <c r="EE1771" s="59"/>
      <c r="EF1771" s="59"/>
      <c r="EG1771" s="59"/>
      <c r="EH1771" s="59"/>
      <c r="EI1771" s="59"/>
      <c r="EJ1771" s="59"/>
      <c r="EK1771" s="59"/>
      <c r="EL1771" s="59"/>
      <c r="EM1771" s="59"/>
      <c r="EN1771" s="59"/>
      <c r="EO1771" s="59"/>
      <c r="EP1771" s="59"/>
      <c r="EQ1771" s="59"/>
      <c r="ER1771" s="59"/>
      <c r="ES1771" s="59"/>
      <c r="ET1771" s="59"/>
      <c r="EU1771" s="59"/>
      <c r="EV1771" s="59"/>
      <c r="EW1771" s="59"/>
      <c r="EX1771" s="59"/>
      <c r="EY1771" s="59"/>
      <c r="EZ1771" s="59"/>
      <c r="FA1771" s="59"/>
      <c r="FB1771" s="59"/>
      <c r="FC1771" s="59"/>
      <c r="FD1771" s="59"/>
      <c r="FE1771" s="59"/>
      <c r="FF1771" s="59"/>
      <c r="FG1771" s="59"/>
      <c r="FH1771" s="59"/>
      <c r="FI1771" s="59"/>
      <c r="FJ1771" s="59"/>
      <c r="FK1771" s="59"/>
      <c r="FL1771" s="59"/>
      <c r="FM1771" s="59"/>
      <c r="FN1771" s="59"/>
      <c r="FO1771" s="59"/>
      <c r="FP1771" s="59"/>
      <c r="FQ1771" s="59"/>
      <c r="FR1771" s="59"/>
      <c r="FS1771" s="59"/>
      <c r="FT1771" s="59"/>
      <c r="FU1771" s="59"/>
      <c r="FV1771" s="59"/>
      <c r="FW1771" s="59"/>
      <c r="FX1771" s="59"/>
      <c r="FY1771" s="59"/>
      <c r="FZ1771" s="59"/>
      <c r="GA1771" s="59"/>
      <c r="GB1771" s="59"/>
      <c r="GC1771" s="59"/>
    </row>
    <row r="1772">
      <c r="A1772" s="59"/>
      <c r="B1772" s="59"/>
      <c r="C1772" s="59"/>
      <c r="D1772" s="59"/>
      <c r="E1772" s="59"/>
      <c r="F1772" s="59"/>
      <c r="G1772" s="59"/>
      <c r="H1772" s="59"/>
      <c r="I1772" s="59"/>
      <c r="J1772" s="59"/>
      <c r="K1772" s="59"/>
      <c r="L1772" s="59"/>
      <c r="M1772" s="59"/>
      <c r="N1772" s="59"/>
      <c r="O1772" s="59"/>
      <c r="P1772" s="59"/>
      <c r="Q1772" s="59"/>
      <c r="R1772" s="59"/>
      <c r="S1772" s="59"/>
      <c r="T1772" s="59"/>
      <c r="U1772" s="59"/>
      <c r="V1772" s="59"/>
      <c r="W1772" s="59"/>
      <c r="X1772" s="59"/>
      <c r="Y1772" s="59"/>
      <c r="Z1772" s="59"/>
      <c r="AA1772" s="59"/>
      <c r="AB1772" s="59"/>
      <c r="AC1772" s="59"/>
      <c r="AD1772" s="59"/>
      <c r="AE1772" s="59"/>
      <c r="AF1772" s="59"/>
      <c r="AG1772" s="59"/>
      <c r="AH1772" s="59"/>
      <c r="AI1772" s="59"/>
      <c r="AJ1772" s="59"/>
      <c r="AK1772" s="59"/>
      <c r="AL1772" s="59"/>
      <c r="AM1772" s="59"/>
      <c r="AN1772" s="59"/>
      <c r="AO1772" s="59"/>
      <c r="AP1772" s="59"/>
      <c r="AQ1772" s="59"/>
      <c r="AR1772" s="59"/>
      <c r="AS1772" s="59"/>
      <c r="AT1772" s="59"/>
      <c r="AU1772" s="59"/>
      <c r="AV1772" s="59"/>
      <c r="AW1772" s="59"/>
      <c r="AX1772" s="59"/>
      <c r="AY1772" s="59"/>
      <c r="AZ1772" s="59"/>
      <c r="BA1772" s="59"/>
      <c r="BB1772" s="59"/>
      <c r="BC1772" s="59"/>
      <c r="BD1772" s="59"/>
      <c r="BE1772" s="59"/>
      <c r="BF1772" s="59"/>
      <c r="BG1772" s="59"/>
      <c r="BH1772" s="59"/>
      <c r="BI1772" s="59"/>
      <c r="BJ1772" s="59"/>
      <c r="BK1772" s="59"/>
      <c r="BL1772" s="59"/>
      <c r="BM1772" s="59"/>
      <c r="BN1772" s="59"/>
      <c r="BO1772" s="59"/>
      <c r="BP1772" s="59"/>
      <c r="BQ1772" s="59"/>
      <c r="BR1772" s="59"/>
      <c r="BS1772" s="59"/>
      <c r="BT1772" s="59"/>
      <c r="BU1772" s="59"/>
      <c r="BV1772" s="59"/>
      <c r="BW1772" s="59"/>
      <c r="BX1772" s="59"/>
      <c r="BY1772" s="59"/>
      <c r="BZ1772" s="59"/>
      <c r="CA1772" s="59"/>
      <c r="CB1772" s="59"/>
      <c r="CC1772" s="59"/>
      <c r="CD1772" s="59"/>
      <c r="CE1772" s="59"/>
      <c r="CF1772" s="59"/>
      <c r="CG1772" s="59"/>
      <c r="CH1772" s="59"/>
      <c r="CI1772" s="59"/>
      <c r="CJ1772" s="59"/>
      <c r="CK1772" s="59"/>
      <c r="CL1772" s="59"/>
      <c r="CM1772" s="59"/>
      <c r="CN1772" s="59"/>
      <c r="CO1772" s="59"/>
      <c r="CP1772" s="59"/>
      <c r="CQ1772" s="59"/>
      <c r="CR1772" s="59"/>
      <c r="CS1772" s="59"/>
      <c r="CT1772" s="59"/>
      <c r="CU1772" s="59"/>
      <c r="CV1772" s="59"/>
      <c r="CW1772" s="59"/>
      <c r="CX1772" s="59"/>
      <c r="CY1772" s="59"/>
      <c r="CZ1772" s="59"/>
      <c r="DA1772" s="59"/>
      <c r="DB1772" s="59"/>
      <c r="DC1772" s="59"/>
      <c r="DD1772" s="59"/>
      <c r="DE1772" s="59"/>
      <c r="DF1772" s="59"/>
      <c r="DG1772" s="59"/>
      <c r="DH1772" s="59"/>
      <c r="DI1772" s="59"/>
      <c r="DJ1772" s="59"/>
      <c r="DK1772" s="59"/>
      <c r="DL1772" s="59"/>
      <c r="DM1772" s="59"/>
      <c r="DN1772" s="59"/>
      <c r="DO1772" s="59"/>
      <c r="DP1772" s="59"/>
      <c r="DQ1772" s="59"/>
      <c r="DR1772" s="59"/>
      <c r="DS1772" s="59"/>
      <c r="DT1772" s="59"/>
      <c r="DU1772" s="59"/>
      <c r="DV1772" s="59"/>
      <c r="DW1772" s="59"/>
      <c r="DX1772" s="59"/>
      <c r="DY1772" s="59"/>
      <c r="DZ1772" s="59"/>
      <c r="EA1772" s="59"/>
      <c r="EB1772" s="59"/>
      <c r="EC1772" s="59"/>
      <c r="ED1772" s="59"/>
      <c r="EE1772" s="59"/>
      <c r="EF1772" s="59"/>
      <c r="EG1772" s="59"/>
      <c r="EH1772" s="59"/>
      <c r="EI1772" s="59"/>
      <c r="EJ1772" s="59"/>
      <c r="EK1772" s="59"/>
      <c r="EL1772" s="59"/>
      <c r="EM1772" s="59"/>
      <c r="EN1772" s="59"/>
      <c r="EO1772" s="59"/>
      <c r="EP1772" s="59"/>
      <c r="EQ1772" s="59"/>
      <c r="ER1772" s="59"/>
      <c r="ES1772" s="59"/>
      <c r="ET1772" s="59"/>
      <c r="EU1772" s="59"/>
      <c r="EV1772" s="59"/>
      <c r="EW1772" s="59"/>
      <c r="EX1772" s="59"/>
      <c r="EY1772" s="59"/>
      <c r="EZ1772" s="59"/>
      <c r="FA1772" s="59"/>
      <c r="FB1772" s="59"/>
      <c r="FC1772" s="59"/>
      <c r="FD1772" s="59"/>
      <c r="FE1772" s="59"/>
      <c r="FF1772" s="59"/>
      <c r="FG1772" s="59"/>
      <c r="FH1772" s="59"/>
      <c r="FI1772" s="59"/>
      <c r="FJ1772" s="59"/>
      <c r="FK1772" s="59"/>
      <c r="FL1772" s="59"/>
      <c r="FM1772" s="59"/>
      <c r="FN1772" s="59"/>
      <c r="FO1772" s="59"/>
      <c r="FP1772" s="59"/>
      <c r="FQ1772" s="59"/>
      <c r="FR1772" s="59"/>
      <c r="FS1772" s="59"/>
      <c r="FT1772" s="59"/>
      <c r="FU1772" s="59"/>
      <c r="FV1772" s="59"/>
      <c r="FW1772" s="59"/>
      <c r="FX1772" s="59"/>
      <c r="FY1772" s="59"/>
      <c r="FZ1772" s="59"/>
      <c r="GA1772" s="59"/>
      <c r="GB1772" s="59"/>
      <c r="GC1772" s="59"/>
    </row>
    <row r="1773">
      <c r="A1773" s="59"/>
      <c r="B1773" s="59"/>
      <c r="C1773" s="59"/>
      <c r="D1773" s="59"/>
      <c r="E1773" s="59"/>
      <c r="F1773" s="59"/>
      <c r="G1773" s="59"/>
      <c r="H1773" s="59"/>
      <c r="I1773" s="59"/>
      <c r="J1773" s="59"/>
      <c r="K1773" s="59"/>
      <c r="L1773" s="59"/>
      <c r="M1773" s="59"/>
      <c r="N1773" s="59"/>
      <c r="O1773" s="59"/>
      <c r="P1773" s="59"/>
      <c r="Q1773" s="59"/>
      <c r="R1773" s="59"/>
      <c r="S1773" s="59"/>
      <c r="T1773" s="59"/>
      <c r="U1773" s="59"/>
      <c r="V1773" s="59"/>
      <c r="W1773" s="59"/>
      <c r="X1773" s="59"/>
      <c r="Y1773" s="59"/>
      <c r="Z1773" s="59"/>
      <c r="AA1773" s="59"/>
      <c r="AB1773" s="59"/>
      <c r="AC1773" s="59"/>
      <c r="AD1773" s="59"/>
      <c r="AE1773" s="59"/>
      <c r="AF1773" s="59"/>
      <c r="AG1773" s="59"/>
      <c r="AH1773" s="59"/>
      <c r="AI1773" s="59"/>
      <c r="AJ1773" s="59"/>
      <c r="AK1773" s="59"/>
      <c r="AL1773" s="59"/>
      <c r="AM1773" s="59"/>
      <c r="AN1773" s="59"/>
      <c r="AO1773" s="59"/>
      <c r="AP1773" s="59"/>
      <c r="AQ1773" s="59"/>
      <c r="AR1773" s="59"/>
      <c r="AS1773" s="59"/>
      <c r="AT1773" s="59"/>
      <c r="AU1773" s="59"/>
      <c r="AV1773" s="59"/>
      <c r="AW1773" s="59"/>
      <c r="AX1773" s="59"/>
      <c r="AY1773" s="59"/>
      <c r="AZ1773" s="59"/>
      <c r="BA1773" s="59"/>
      <c r="BB1773" s="59"/>
      <c r="BC1773" s="59"/>
      <c r="BD1773" s="59"/>
      <c r="BE1773" s="59"/>
      <c r="BF1773" s="59"/>
      <c r="BG1773" s="59"/>
      <c r="BH1773" s="59"/>
      <c r="BI1773" s="59"/>
      <c r="BJ1773" s="59"/>
      <c r="BK1773" s="59"/>
      <c r="BL1773" s="59"/>
      <c r="BM1773" s="59"/>
      <c r="BN1773" s="59"/>
      <c r="BO1773" s="59"/>
      <c r="BP1773" s="59"/>
      <c r="BQ1773" s="59"/>
      <c r="BR1773" s="59"/>
      <c r="BS1773" s="59"/>
      <c r="BT1773" s="59"/>
      <c r="BU1773" s="59"/>
      <c r="BV1773" s="59"/>
      <c r="BW1773" s="59"/>
      <c r="BX1773" s="59"/>
      <c r="BY1773" s="59"/>
      <c r="BZ1773" s="59"/>
      <c r="CA1773" s="59"/>
      <c r="CB1773" s="59"/>
      <c r="CC1773" s="59"/>
      <c r="CD1773" s="59"/>
      <c r="CE1773" s="59"/>
      <c r="CF1773" s="59"/>
      <c r="CG1773" s="59"/>
      <c r="CH1773" s="59"/>
      <c r="CI1773" s="59"/>
      <c r="CJ1773" s="59"/>
      <c r="CK1773" s="59"/>
      <c r="CL1773" s="59"/>
      <c r="CM1773" s="59"/>
      <c r="CN1773" s="59"/>
      <c r="CO1773" s="59"/>
      <c r="CP1773" s="59"/>
      <c r="CQ1773" s="59"/>
      <c r="CR1773" s="59"/>
      <c r="CS1773" s="59"/>
      <c r="CT1773" s="59"/>
      <c r="CU1773" s="59"/>
      <c r="CV1773" s="59"/>
      <c r="CW1773" s="59"/>
      <c r="CX1773" s="59"/>
      <c r="CY1773" s="59"/>
      <c r="CZ1773" s="59"/>
      <c r="DA1773" s="59"/>
      <c r="DB1773" s="59"/>
      <c r="DC1773" s="59"/>
      <c r="DD1773" s="59"/>
      <c r="DE1773" s="59"/>
      <c r="DF1773" s="59"/>
      <c r="DG1773" s="59"/>
      <c r="DH1773" s="59"/>
      <c r="DI1773" s="59"/>
      <c r="DJ1773" s="59"/>
      <c r="DK1773" s="59"/>
      <c r="DL1773" s="59"/>
      <c r="DM1773" s="59"/>
      <c r="DN1773" s="59"/>
      <c r="DO1773" s="59"/>
      <c r="DP1773" s="59"/>
      <c r="DQ1773" s="59"/>
      <c r="DR1773" s="59"/>
      <c r="DS1773" s="59"/>
      <c r="DT1773" s="59"/>
      <c r="DU1773" s="59"/>
      <c r="DV1773" s="59"/>
      <c r="DW1773" s="59"/>
      <c r="DX1773" s="59"/>
      <c r="DY1773" s="59"/>
      <c r="DZ1773" s="59"/>
      <c r="EA1773" s="59"/>
      <c r="EB1773" s="59"/>
      <c r="EC1773" s="59"/>
      <c r="ED1773" s="59"/>
      <c r="EE1773" s="59"/>
      <c r="EF1773" s="59"/>
      <c r="EG1773" s="59"/>
      <c r="EH1773" s="59"/>
      <c r="EI1773" s="59"/>
      <c r="EJ1773" s="59"/>
      <c r="EK1773" s="59"/>
      <c r="EL1773" s="59"/>
      <c r="EM1773" s="59"/>
      <c r="EN1773" s="59"/>
      <c r="EO1773" s="59"/>
      <c r="EP1773" s="59"/>
      <c r="EQ1773" s="59"/>
      <c r="ER1773" s="59"/>
      <c r="ES1773" s="59"/>
      <c r="ET1773" s="59"/>
      <c r="EU1773" s="59"/>
      <c r="EV1773" s="59"/>
      <c r="EW1773" s="59"/>
      <c r="EX1773" s="59"/>
      <c r="EY1773" s="59"/>
      <c r="EZ1773" s="59"/>
      <c r="FA1773" s="59"/>
      <c r="FB1773" s="59"/>
      <c r="FC1773" s="59"/>
      <c r="FD1773" s="59"/>
      <c r="FE1773" s="59"/>
      <c r="FF1773" s="59"/>
      <c r="FG1773" s="59"/>
      <c r="FH1773" s="59"/>
      <c r="FI1773" s="59"/>
      <c r="FJ1773" s="59"/>
      <c r="FK1773" s="59"/>
      <c r="FL1773" s="59"/>
      <c r="FM1773" s="59"/>
      <c r="FN1773" s="59"/>
      <c r="FO1773" s="59"/>
      <c r="FP1773" s="59"/>
      <c r="FQ1773" s="59"/>
      <c r="FR1773" s="59"/>
      <c r="FS1773" s="59"/>
      <c r="FT1773" s="59"/>
      <c r="FU1773" s="59"/>
      <c r="FV1773" s="59"/>
      <c r="FW1773" s="59"/>
      <c r="FX1773" s="59"/>
      <c r="FY1773" s="59"/>
      <c r="FZ1773" s="59"/>
      <c r="GA1773" s="59"/>
      <c r="GB1773" s="59"/>
      <c r="GC1773" s="59"/>
    </row>
    <row r="1774">
      <c r="A1774" s="59"/>
      <c r="B1774" s="59"/>
      <c r="C1774" s="59"/>
      <c r="D1774" s="59"/>
      <c r="E1774" s="59"/>
      <c r="F1774" s="59"/>
      <c r="G1774" s="59"/>
      <c r="H1774" s="59"/>
      <c r="I1774" s="59"/>
      <c r="J1774" s="59"/>
      <c r="K1774" s="59"/>
      <c r="L1774" s="59"/>
      <c r="M1774" s="59"/>
      <c r="N1774" s="59"/>
      <c r="O1774" s="59"/>
      <c r="P1774" s="59"/>
      <c r="Q1774" s="59"/>
      <c r="R1774" s="59"/>
      <c r="S1774" s="59"/>
      <c r="T1774" s="59"/>
      <c r="U1774" s="59"/>
      <c r="V1774" s="59"/>
      <c r="W1774" s="59"/>
      <c r="X1774" s="59"/>
      <c r="Y1774" s="59"/>
      <c r="Z1774" s="59"/>
      <c r="AA1774" s="59"/>
      <c r="AB1774" s="59"/>
      <c r="AC1774" s="59"/>
      <c r="AD1774" s="59"/>
      <c r="AE1774" s="59"/>
      <c r="AF1774" s="59"/>
      <c r="AG1774" s="59"/>
      <c r="AH1774" s="59"/>
      <c r="AI1774" s="59"/>
      <c r="AJ1774" s="59"/>
      <c r="AK1774" s="59"/>
      <c r="AL1774" s="59"/>
      <c r="AM1774" s="59"/>
      <c r="AN1774" s="59"/>
      <c r="AO1774" s="59"/>
      <c r="AP1774" s="59"/>
      <c r="AQ1774" s="59"/>
      <c r="AR1774" s="59"/>
      <c r="AS1774" s="59"/>
      <c r="AT1774" s="59"/>
      <c r="AU1774" s="59"/>
      <c r="AV1774" s="59"/>
      <c r="AW1774" s="59"/>
      <c r="AX1774" s="59"/>
      <c r="AY1774" s="59"/>
      <c r="AZ1774" s="59"/>
      <c r="BA1774" s="59"/>
      <c r="BB1774" s="59"/>
      <c r="BC1774" s="59"/>
      <c r="BD1774" s="59"/>
      <c r="BE1774" s="59"/>
      <c r="BF1774" s="59"/>
      <c r="BG1774" s="59"/>
      <c r="BH1774" s="59"/>
      <c r="BI1774" s="59"/>
      <c r="BJ1774" s="59"/>
      <c r="BK1774" s="59"/>
      <c r="BL1774" s="59"/>
      <c r="BM1774" s="59"/>
      <c r="BN1774" s="59"/>
      <c r="BO1774" s="59"/>
      <c r="BP1774" s="59"/>
      <c r="BQ1774" s="59"/>
      <c r="BR1774" s="59"/>
      <c r="BS1774" s="59"/>
      <c r="BT1774" s="59"/>
      <c r="BU1774" s="59"/>
      <c r="BV1774" s="59"/>
      <c r="BW1774" s="59"/>
      <c r="BX1774" s="59"/>
      <c r="BY1774" s="59"/>
      <c r="BZ1774" s="59"/>
      <c r="CA1774" s="59"/>
      <c r="CB1774" s="59"/>
      <c r="CC1774" s="59"/>
      <c r="CD1774" s="59"/>
      <c r="CE1774" s="59"/>
      <c r="CF1774" s="59"/>
      <c r="CG1774" s="59"/>
      <c r="CH1774" s="59"/>
      <c r="CI1774" s="59"/>
      <c r="CJ1774" s="59"/>
      <c r="CK1774" s="59"/>
      <c r="CL1774" s="59"/>
      <c r="CM1774" s="59"/>
      <c r="CN1774" s="59"/>
      <c r="CO1774" s="59"/>
      <c r="CP1774" s="59"/>
      <c r="CQ1774" s="59"/>
      <c r="CR1774" s="59"/>
      <c r="CS1774" s="59"/>
      <c r="CT1774" s="59"/>
      <c r="CU1774" s="59"/>
      <c r="CV1774" s="59"/>
      <c r="CW1774" s="59"/>
      <c r="CX1774" s="59"/>
      <c r="CY1774" s="59"/>
      <c r="CZ1774" s="59"/>
      <c r="DA1774" s="59"/>
      <c r="DB1774" s="59"/>
      <c r="DC1774" s="59"/>
      <c r="DD1774" s="59"/>
      <c r="DE1774" s="59"/>
      <c r="DF1774" s="59"/>
      <c r="DG1774" s="59"/>
      <c r="DH1774" s="59"/>
      <c r="DI1774" s="59"/>
      <c r="DJ1774" s="59"/>
      <c r="DK1774" s="59"/>
      <c r="DL1774" s="59"/>
      <c r="DM1774" s="59"/>
      <c r="DN1774" s="59"/>
      <c r="DO1774" s="59"/>
      <c r="DP1774" s="59"/>
      <c r="DQ1774" s="59"/>
      <c r="DR1774" s="59"/>
      <c r="DS1774" s="59"/>
      <c r="DT1774" s="59"/>
      <c r="DU1774" s="59"/>
      <c r="DV1774" s="59"/>
      <c r="DW1774" s="59"/>
      <c r="DX1774" s="59"/>
      <c r="DY1774" s="59"/>
      <c r="DZ1774" s="59"/>
      <c r="EA1774" s="59"/>
      <c r="EB1774" s="59"/>
      <c r="EC1774" s="59"/>
      <c r="ED1774" s="59"/>
      <c r="EE1774" s="59"/>
      <c r="EF1774" s="59"/>
      <c r="EG1774" s="59"/>
      <c r="EH1774" s="59"/>
      <c r="EI1774" s="59"/>
      <c r="EJ1774" s="59"/>
      <c r="EK1774" s="59"/>
      <c r="EL1774" s="59"/>
      <c r="EM1774" s="59"/>
      <c r="EN1774" s="59"/>
      <c r="EO1774" s="59"/>
      <c r="EP1774" s="59"/>
      <c r="EQ1774" s="59"/>
      <c r="ER1774" s="59"/>
      <c r="ES1774" s="59"/>
      <c r="ET1774" s="59"/>
      <c r="EU1774" s="59"/>
      <c r="EV1774" s="59"/>
      <c r="EW1774" s="59"/>
      <c r="EX1774" s="59"/>
      <c r="EY1774" s="59"/>
      <c r="EZ1774" s="59"/>
      <c r="FA1774" s="59"/>
      <c r="FB1774" s="59"/>
      <c r="FC1774" s="59"/>
      <c r="FD1774" s="59"/>
      <c r="FE1774" s="59"/>
      <c r="FF1774" s="59"/>
      <c r="FG1774" s="59"/>
      <c r="FH1774" s="59"/>
      <c r="FI1774" s="59"/>
      <c r="FJ1774" s="59"/>
      <c r="FK1774" s="59"/>
      <c r="FL1774" s="59"/>
      <c r="FM1774" s="59"/>
      <c r="FN1774" s="59"/>
      <c r="FO1774" s="59"/>
      <c r="FP1774" s="59"/>
      <c r="FQ1774" s="59"/>
      <c r="FR1774" s="59"/>
      <c r="FS1774" s="59"/>
      <c r="FT1774" s="59"/>
      <c r="FU1774" s="59"/>
      <c r="FV1774" s="59"/>
      <c r="FW1774" s="59"/>
      <c r="FX1774" s="59"/>
      <c r="FY1774" s="59"/>
      <c r="FZ1774" s="59"/>
      <c r="GA1774" s="59"/>
      <c r="GB1774" s="59"/>
      <c r="GC1774" s="59"/>
    </row>
    <row r="1775">
      <c r="A1775" s="59"/>
      <c r="B1775" s="59"/>
      <c r="C1775" s="59"/>
      <c r="D1775" s="59"/>
      <c r="E1775" s="59"/>
      <c r="F1775" s="59"/>
      <c r="G1775" s="59"/>
      <c r="H1775" s="59"/>
      <c r="I1775" s="59"/>
      <c r="J1775" s="59"/>
      <c r="K1775" s="59"/>
      <c r="L1775" s="59"/>
      <c r="M1775" s="59"/>
      <c r="N1775" s="59"/>
      <c r="O1775" s="59"/>
      <c r="P1775" s="59"/>
      <c r="Q1775" s="59"/>
      <c r="R1775" s="59"/>
      <c r="S1775" s="59"/>
      <c r="T1775" s="59"/>
      <c r="U1775" s="59"/>
      <c r="V1775" s="59"/>
      <c r="W1775" s="59"/>
      <c r="X1775" s="59"/>
      <c r="Y1775" s="59"/>
      <c r="Z1775" s="59"/>
      <c r="AA1775" s="59"/>
      <c r="AB1775" s="59"/>
      <c r="AC1775" s="59"/>
      <c r="AD1775" s="59"/>
      <c r="AE1775" s="59"/>
      <c r="AF1775" s="59"/>
      <c r="AG1775" s="59"/>
      <c r="AH1775" s="59"/>
      <c r="AI1775" s="59"/>
      <c r="AJ1775" s="59"/>
      <c r="AK1775" s="59"/>
      <c r="AL1775" s="59"/>
      <c r="AM1775" s="59"/>
      <c r="AN1775" s="59"/>
      <c r="AO1775" s="59"/>
      <c r="AP1775" s="59"/>
      <c r="AQ1775" s="59"/>
      <c r="AR1775" s="59"/>
      <c r="AS1775" s="59"/>
      <c r="AT1775" s="59"/>
      <c r="AU1775" s="59"/>
      <c r="AV1775" s="59"/>
      <c r="AW1775" s="59"/>
      <c r="AX1775" s="59"/>
      <c r="AY1775" s="59"/>
      <c r="AZ1775" s="59"/>
      <c r="BA1775" s="59"/>
      <c r="BB1775" s="59"/>
      <c r="BC1775" s="59"/>
      <c r="BD1775" s="59"/>
      <c r="BE1775" s="59"/>
      <c r="BF1775" s="59"/>
      <c r="BG1775" s="59"/>
      <c r="BH1775" s="59"/>
      <c r="BI1775" s="59"/>
      <c r="BJ1775" s="59"/>
      <c r="BK1775" s="59"/>
      <c r="BL1775" s="59"/>
      <c r="BM1775" s="59"/>
      <c r="BN1775" s="59"/>
      <c r="BO1775" s="59"/>
      <c r="BP1775" s="59"/>
      <c r="BQ1775" s="59"/>
      <c r="BR1775" s="59"/>
      <c r="BS1775" s="59"/>
      <c r="BT1775" s="59"/>
      <c r="BU1775" s="59"/>
      <c r="BV1775" s="59"/>
      <c r="BW1775" s="59"/>
      <c r="BX1775" s="59"/>
      <c r="BY1775" s="59"/>
      <c r="BZ1775" s="59"/>
      <c r="CA1775" s="59"/>
      <c r="CB1775" s="59"/>
      <c r="CC1775" s="59"/>
      <c r="CD1775" s="59"/>
      <c r="CE1775" s="59"/>
      <c r="CF1775" s="59"/>
      <c r="CG1775" s="59"/>
      <c r="CH1775" s="59"/>
      <c r="CI1775" s="59"/>
      <c r="CJ1775" s="59"/>
      <c r="CK1775" s="59"/>
      <c r="CL1775" s="59"/>
      <c r="CM1775" s="59"/>
      <c r="CN1775" s="59"/>
      <c r="CO1775" s="59"/>
      <c r="CP1775" s="59"/>
      <c r="CQ1775" s="59"/>
      <c r="CR1775" s="59"/>
      <c r="CS1775" s="59"/>
      <c r="CT1775" s="59"/>
      <c r="CU1775" s="59"/>
      <c r="CV1775" s="59"/>
      <c r="CW1775" s="59"/>
      <c r="CX1775" s="59"/>
      <c r="CY1775" s="59"/>
      <c r="CZ1775" s="59"/>
      <c r="DA1775" s="59"/>
      <c r="DB1775" s="59"/>
      <c r="DC1775" s="59"/>
      <c r="DD1775" s="59"/>
      <c r="DE1775" s="59"/>
      <c r="DF1775" s="59"/>
      <c r="DG1775" s="59"/>
      <c r="DH1775" s="59"/>
      <c r="DI1775" s="59"/>
      <c r="DJ1775" s="59"/>
      <c r="DK1775" s="59"/>
      <c r="DL1775" s="59"/>
      <c r="DM1775" s="59"/>
      <c r="DN1775" s="59"/>
      <c r="DO1775" s="59"/>
      <c r="DP1775" s="59"/>
      <c r="DQ1775" s="59"/>
      <c r="DR1775" s="59"/>
      <c r="DS1775" s="59"/>
      <c r="DT1775" s="59"/>
      <c r="DU1775" s="59"/>
      <c r="DV1775" s="59"/>
      <c r="DW1775" s="59"/>
      <c r="DX1775" s="59"/>
      <c r="DY1775" s="59"/>
      <c r="DZ1775" s="59"/>
      <c r="EA1775" s="59"/>
      <c r="EB1775" s="59"/>
      <c r="EC1775" s="59"/>
      <c r="ED1775" s="59"/>
      <c r="EE1775" s="59"/>
      <c r="EF1775" s="59"/>
      <c r="EG1775" s="59"/>
      <c r="EH1775" s="59"/>
      <c r="EI1775" s="59"/>
      <c r="EJ1775" s="59"/>
      <c r="EK1775" s="59"/>
      <c r="EL1775" s="59"/>
      <c r="EM1775" s="59"/>
      <c r="EN1775" s="59"/>
      <c r="EO1775" s="59"/>
      <c r="EP1775" s="59"/>
      <c r="EQ1775" s="59"/>
      <c r="ER1775" s="59"/>
      <c r="ES1775" s="59"/>
      <c r="ET1775" s="59"/>
      <c r="EU1775" s="59"/>
      <c r="EV1775" s="59"/>
      <c r="EW1775" s="59"/>
      <c r="EX1775" s="59"/>
      <c r="EY1775" s="59"/>
      <c r="EZ1775" s="59"/>
      <c r="FA1775" s="59"/>
      <c r="FB1775" s="59"/>
      <c r="FC1775" s="59"/>
      <c r="FD1775" s="59"/>
      <c r="FE1775" s="59"/>
      <c r="FF1775" s="59"/>
      <c r="FG1775" s="59"/>
      <c r="FH1775" s="59"/>
      <c r="FI1775" s="59"/>
      <c r="FJ1775" s="59"/>
      <c r="FK1775" s="59"/>
      <c r="FL1775" s="59"/>
      <c r="FM1775" s="59"/>
      <c r="FN1775" s="59"/>
      <c r="FO1775" s="59"/>
      <c r="FP1775" s="59"/>
      <c r="FQ1775" s="59"/>
      <c r="FR1775" s="59"/>
      <c r="FS1775" s="59"/>
      <c r="FT1775" s="59"/>
      <c r="FU1775" s="59"/>
      <c r="FV1775" s="59"/>
      <c r="FW1775" s="59"/>
      <c r="FX1775" s="59"/>
      <c r="FY1775" s="59"/>
      <c r="FZ1775" s="59"/>
      <c r="GA1775" s="59"/>
      <c r="GB1775" s="59"/>
      <c r="GC1775" s="59"/>
    </row>
    <row r="1776">
      <c r="A1776" s="59"/>
      <c r="B1776" s="59"/>
      <c r="C1776" s="59"/>
      <c r="D1776" s="59"/>
      <c r="E1776" s="59"/>
      <c r="F1776" s="59"/>
      <c r="G1776" s="59"/>
      <c r="H1776" s="59"/>
      <c r="I1776" s="59"/>
      <c r="J1776" s="59"/>
      <c r="K1776" s="59"/>
      <c r="L1776" s="59"/>
      <c r="M1776" s="59"/>
      <c r="N1776" s="59"/>
      <c r="O1776" s="59"/>
      <c r="P1776" s="59"/>
      <c r="Q1776" s="59"/>
      <c r="R1776" s="59"/>
      <c r="S1776" s="59"/>
      <c r="T1776" s="59"/>
      <c r="U1776" s="59"/>
      <c r="V1776" s="59"/>
      <c r="W1776" s="59"/>
      <c r="X1776" s="59"/>
      <c r="Y1776" s="59"/>
      <c r="Z1776" s="59"/>
      <c r="AA1776" s="59"/>
      <c r="AB1776" s="59"/>
      <c r="AC1776" s="59"/>
      <c r="AD1776" s="59"/>
      <c r="AE1776" s="59"/>
      <c r="AF1776" s="59"/>
      <c r="AG1776" s="59"/>
      <c r="AH1776" s="59"/>
      <c r="AI1776" s="59"/>
      <c r="AJ1776" s="59"/>
      <c r="AK1776" s="59"/>
      <c r="AL1776" s="59"/>
      <c r="AM1776" s="59"/>
      <c r="AN1776" s="59"/>
      <c r="AO1776" s="59"/>
      <c r="AP1776" s="59"/>
      <c r="AQ1776" s="59"/>
      <c r="AR1776" s="59"/>
      <c r="AS1776" s="59"/>
      <c r="AT1776" s="59"/>
      <c r="AU1776" s="59"/>
      <c r="AV1776" s="59"/>
      <c r="AW1776" s="59"/>
      <c r="AX1776" s="59"/>
      <c r="AY1776" s="59"/>
      <c r="AZ1776" s="59"/>
      <c r="BA1776" s="59"/>
      <c r="BB1776" s="59"/>
      <c r="BC1776" s="59"/>
      <c r="BD1776" s="59"/>
      <c r="BE1776" s="59"/>
      <c r="BF1776" s="59"/>
      <c r="BG1776" s="59"/>
      <c r="BH1776" s="59"/>
      <c r="BI1776" s="59"/>
      <c r="BJ1776" s="59"/>
      <c r="BK1776" s="59"/>
      <c r="BL1776" s="59"/>
      <c r="BM1776" s="59"/>
      <c r="BN1776" s="59"/>
      <c r="BO1776" s="59"/>
      <c r="BP1776" s="59"/>
      <c r="BQ1776" s="59"/>
      <c r="BR1776" s="59"/>
      <c r="BS1776" s="59"/>
      <c r="BT1776" s="59"/>
      <c r="BU1776" s="59"/>
      <c r="BV1776" s="59"/>
      <c r="BW1776" s="59"/>
      <c r="BX1776" s="59"/>
      <c r="BY1776" s="59"/>
      <c r="BZ1776" s="59"/>
      <c r="CA1776" s="59"/>
      <c r="CB1776" s="59"/>
      <c r="CC1776" s="59"/>
      <c r="CD1776" s="59"/>
      <c r="CE1776" s="59"/>
      <c r="CF1776" s="59"/>
      <c r="CG1776" s="59"/>
      <c r="CH1776" s="59"/>
      <c r="CI1776" s="59"/>
      <c r="CJ1776" s="59"/>
      <c r="CK1776" s="59"/>
      <c r="CL1776" s="59"/>
      <c r="CM1776" s="59"/>
      <c r="CN1776" s="59"/>
      <c r="CO1776" s="59"/>
      <c r="CP1776" s="59"/>
      <c r="CQ1776" s="59"/>
      <c r="CR1776" s="59"/>
      <c r="CS1776" s="59"/>
      <c r="CT1776" s="59"/>
      <c r="CU1776" s="59"/>
      <c r="CV1776" s="59"/>
      <c r="CW1776" s="59"/>
      <c r="CX1776" s="59"/>
      <c r="CY1776" s="59"/>
      <c r="CZ1776" s="59"/>
      <c r="DA1776" s="59"/>
      <c r="DB1776" s="59"/>
      <c r="DC1776" s="59"/>
      <c r="DD1776" s="59"/>
      <c r="DE1776" s="59"/>
      <c r="DF1776" s="59"/>
      <c r="DG1776" s="59"/>
      <c r="DH1776" s="59"/>
      <c r="DI1776" s="59"/>
      <c r="DJ1776" s="59"/>
      <c r="DK1776" s="59"/>
      <c r="DL1776" s="59"/>
      <c r="DM1776" s="59"/>
      <c r="DN1776" s="59"/>
      <c r="DO1776" s="59"/>
      <c r="DP1776" s="59"/>
      <c r="DQ1776" s="59"/>
      <c r="DR1776" s="59"/>
      <c r="DS1776" s="59"/>
      <c r="DT1776" s="59"/>
      <c r="DU1776" s="59"/>
      <c r="DV1776" s="59"/>
      <c r="DW1776" s="59"/>
      <c r="DX1776" s="59"/>
      <c r="DY1776" s="59"/>
      <c r="DZ1776" s="59"/>
      <c r="EA1776" s="59"/>
      <c r="EB1776" s="59"/>
      <c r="EC1776" s="59"/>
      <c r="ED1776" s="59"/>
      <c r="EE1776" s="59"/>
      <c r="EF1776" s="59"/>
      <c r="EG1776" s="59"/>
      <c r="EH1776" s="59"/>
      <c r="EI1776" s="59"/>
      <c r="EJ1776" s="59"/>
      <c r="EK1776" s="59"/>
      <c r="EL1776" s="59"/>
      <c r="EM1776" s="59"/>
      <c r="EN1776" s="59"/>
      <c r="EO1776" s="59"/>
      <c r="EP1776" s="59"/>
      <c r="EQ1776" s="59"/>
      <c r="ER1776" s="59"/>
      <c r="ES1776" s="59"/>
      <c r="ET1776" s="59"/>
      <c r="EU1776" s="59"/>
      <c r="EV1776" s="59"/>
      <c r="EW1776" s="59"/>
      <c r="EX1776" s="59"/>
      <c r="EY1776" s="59"/>
      <c r="EZ1776" s="59"/>
      <c r="FA1776" s="59"/>
      <c r="FB1776" s="59"/>
      <c r="FC1776" s="59"/>
      <c r="FD1776" s="59"/>
      <c r="FE1776" s="59"/>
      <c r="FF1776" s="59"/>
      <c r="FG1776" s="59"/>
      <c r="FH1776" s="59"/>
      <c r="FI1776" s="59"/>
      <c r="FJ1776" s="59"/>
      <c r="FK1776" s="59"/>
      <c r="FL1776" s="59"/>
      <c r="FM1776" s="59"/>
      <c r="FN1776" s="59"/>
      <c r="FO1776" s="59"/>
      <c r="FP1776" s="59"/>
      <c r="FQ1776" s="59"/>
      <c r="FR1776" s="59"/>
      <c r="FS1776" s="59"/>
      <c r="FT1776" s="59"/>
      <c r="FU1776" s="59"/>
      <c r="FV1776" s="59"/>
      <c r="FW1776" s="59"/>
      <c r="FX1776" s="59"/>
      <c r="FY1776" s="59"/>
      <c r="FZ1776" s="59"/>
      <c r="GA1776" s="59"/>
      <c r="GB1776" s="59"/>
      <c r="GC1776" s="59"/>
    </row>
    <row r="1777">
      <c r="A1777" s="59"/>
      <c r="B1777" s="59"/>
      <c r="C1777" s="59"/>
      <c r="D1777" s="59"/>
      <c r="E1777" s="59"/>
      <c r="F1777" s="59"/>
      <c r="G1777" s="59"/>
      <c r="H1777" s="59"/>
      <c r="I1777" s="59"/>
      <c r="J1777" s="59"/>
      <c r="K1777" s="59"/>
      <c r="L1777" s="59"/>
      <c r="M1777" s="59"/>
      <c r="N1777" s="59"/>
      <c r="O1777" s="59"/>
      <c r="P1777" s="59"/>
      <c r="Q1777" s="59"/>
      <c r="R1777" s="59"/>
      <c r="S1777" s="59"/>
      <c r="T1777" s="59"/>
      <c r="U1777" s="59"/>
      <c r="V1777" s="59"/>
      <c r="W1777" s="59"/>
      <c r="X1777" s="59"/>
      <c r="Y1777" s="59"/>
      <c r="Z1777" s="59"/>
      <c r="AA1777" s="59"/>
      <c r="AB1777" s="59"/>
      <c r="AC1777" s="59"/>
      <c r="AD1777" s="59"/>
      <c r="AE1777" s="59"/>
      <c r="AF1777" s="59"/>
      <c r="AG1777" s="59"/>
      <c r="AH1777" s="59"/>
      <c r="AI1777" s="59"/>
      <c r="AJ1777" s="59"/>
      <c r="AK1777" s="59"/>
      <c r="AL1777" s="59"/>
      <c r="AM1777" s="59"/>
      <c r="AN1777" s="59"/>
      <c r="AO1777" s="59"/>
      <c r="AP1777" s="59"/>
      <c r="AQ1777" s="59"/>
      <c r="AR1777" s="59"/>
      <c r="AS1777" s="59"/>
      <c r="AT1777" s="59"/>
      <c r="AU1777" s="59"/>
      <c r="AV1777" s="59"/>
      <c r="AW1777" s="59"/>
      <c r="AX1777" s="59"/>
      <c r="AY1777" s="59"/>
      <c r="AZ1777" s="59"/>
      <c r="BA1777" s="59"/>
      <c r="BB1777" s="59"/>
      <c r="BC1777" s="59"/>
      <c r="BD1777" s="59"/>
      <c r="BE1777" s="59"/>
      <c r="BF1777" s="59"/>
      <c r="BG1777" s="59"/>
      <c r="BH1777" s="59"/>
      <c r="BI1777" s="59"/>
      <c r="BJ1777" s="59"/>
      <c r="BK1777" s="59"/>
      <c r="BL1777" s="59"/>
      <c r="BM1777" s="59"/>
      <c r="BN1777" s="59"/>
      <c r="BO1777" s="59"/>
      <c r="BP1777" s="59"/>
      <c r="BQ1777" s="59"/>
      <c r="BR1777" s="59"/>
      <c r="BS1777" s="59"/>
      <c r="BT1777" s="59"/>
      <c r="BU1777" s="59"/>
      <c r="BV1777" s="59"/>
      <c r="BW1777" s="59"/>
      <c r="BX1777" s="59"/>
      <c r="BY1777" s="59"/>
      <c r="BZ1777" s="59"/>
      <c r="CA1777" s="59"/>
      <c r="CB1777" s="59"/>
      <c r="CC1777" s="59"/>
      <c r="CD1777" s="59"/>
      <c r="CE1777" s="59"/>
      <c r="CF1777" s="59"/>
      <c r="CG1777" s="59"/>
      <c r="CH1777" s="59"/>
      <c r="CI1777" s="59"/>
      <c r="CJ1777" s="59"/>
      <c r="CK1777" s="59"/>
      <c r="CL1777" s="59"/>
      <c r="CM1777" s="59"/>
      <c r="CN1777" s="59"/>
      <c r="CO1777" s="59"/>
      <c r="CP1777" s="59"/>
      <c r="CQ1777" s="59"/>
      <c r="CR1777" s="59"/>
      <c r="CS1777" s="59"/>
      <c r="CT1777" s="59"/>
      <c r="CU1777" s="59"/>
      <c r="CV1777" s="59"/>
      <c r="CW1777" s="59"/>
      <c r="CX1777" s="59"/>
      <c r="CY1777" s="59"/>
      <c r="CZ1777" s="59"/>
      <c r="DA1777" s="59"/>
      <c r="DB1777" s="59"/>
      <c r="DC1777" s="59"/>
      <c r="DD1777" s="59"/>
      <c r="DE1777" s="59"/>
      <c r="DF1777" s="59"/>
      <c r="DG1777" s="59"/>
      <c r="DH1777" s="59"/>
      <c r="DI1777" s="59"/>
      <c r="DJ1777" s="59"/>
      <c r="DK1777" s="59"/>
      <c r="DL1777" s="59"/>
      <c r="DM1777" s="59"/>
      <c r="DN1777" s="59"/>
      <c r="DO1777" s="59"/>
      <c r="DP1777" s="59"/>
      <c r="DQ1777" s="59"/>
      <c r="DR1777" s="59"/>
      <c r="DS1777" s="59"/>
      <c r="DT1777" s="59"/>
      <c r="DU1777" s="59"/>
      <c r="DV1777" s="59"/>
      <c r="DW1777" s="59"/>
      <c r="DX1777" s="59"/>
      <c r="DY1777" s="59"/>
      <c r="DZ1777" s="59"/>
      <c r="EA1777" s="59"/>
      <c r="EB1777" s="59"/>
      <c r="EC1777" s="59"/>
      <c r="ED1777" s="59"/>
      <c r="EE1777" s="59"/>
      <c r="EF1777" s="59"/>
      <c r="EG1777" s="59"/>
      <c r="EH1777" s="59"/>
      <c r="EI1777" s="59"/>
      <c r="EJ1777" s="59"/>
      <c r="EK1777" s="59"/>
      <c r="EL1777" s="59"/>
      <c r="EM1777" s="59"/>
      <c r="EN1777" s="59"/>
      <c r="EO1777" s="59"/>
      <c r="EP1777" s="59"/>
      <c r="EQ1777" s="59"/>
      <c r="ER1777" s="59"/>
      <c r="ES1777" s="59"/>
      <c r="ET1777" s="59"/>
      <c r="EU1777" s="59"/>
      <c r="EV1777" s="59"/>
      <c r="EW1777" s="59"/>
      <c r="EX1777" s="59"/>
      <c r="EY1777" s="59"/>
      <c r="EZ1777" s="59"/>
      <c r="FA1777" s="59"/>
      <c r="FB1777" s="59"/>
      <c r="FC1777" s="59"/>
      <c r="FD1777" s="59"/>
      <c r="FE1777" s="59"/>
      <c r="FF1777" s="59"/>
      <c r="FG1777" s="59"/>
      <c r="FH1777" s="59"/>
      <c r="FI1777" s="59"/>
      <c r="FJ1777" s="59"/>
      <c r="FK1777" s="59"/>
      <c r="FL1777" s="59"/>
      <c r="FM1777" s="59"/>
      <c r="FN1777" s="59"/>
      <c r="FO1777" s="59"/>
      <c r="FP1777" s="59"/>
      <c r="FQ1777" s="59"/>
      <c r="FR1777" s="59"/>
      <c r="FS1777" s="59"/>
      <c r="FT1777" s="59"/>
      <c r="FU1777" s="59"/>
      <c r="FV1777" s="59"/>
      <c r="FW1777" s="59"/>
      <c r="FX1777" s="59"/>
      <c r="FY1777" s="59"/>
      <c r="FZ1777" s="59"/>
      <c r="GA1777" s="59"/>
      <c r="GB1777" s="59"/>
      <c r="GC1777" s="59"/>
    </row>
    <row r="1778">
      <c r="A1778" s="59"/>
      <c r="B1778" s="59"/>
      <c r="C1778" s="59"/>
      <c r="D1778" s="59"/>
      <c r="E1778" s="59"/>
      <c r="F1778" s="59"/>
      <c r="G1778" s="59"/>
      <c r="H1778" s="59"/>
      <c r="I1778" s="59"/>
      <c r="J1778" s="59"/>
      <c r="K1778" s="59"/>
      <c r="L1778" s="59"/>
      <c r="M1778" s="59"/>
      <c r="N1778" s="59"/>
      <c r="O1778" s="59"/>
      <c r="P1778" s="59"/>
      <c r="Q1778" s="59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59"/>
      <c r="AG1778" s="59"/>
      <c r="AH1778" s="59"/>
      <c r="AI1778" s="59"/>
      <c r="AJ1778" s="59"/>
      <c r="AK1778" s="59"/>
      <c r="AL1778" s="59"/>
      <c r="AM1778" s="59"/>
      <c r="AN1778" s="59"/>
      <c r="AO1778" s="59"/>
      <c r="AP1778" s="59"/>
      <c r="AQ1778" s="59"/>
      <c r="AR1778" s="59"/>
      <c r="AS1778" s="59"/>
      <c r="AT1778" s="59"/>
      <c r="AU1778" s="59"/>
      <c r="AV1778" s="59"/>
      <c r="AW1778" s="59"/>
      <c r="AX1778" s="59"/>
      <c r="AY1778" s="59"/>
      <c r="AZ1778" s="59"/>
      <c r="BA1778" s="59"/>
      <c r="BB1778" s="59"/>
      <c r="BC1778" s="59"/>
      <c r="BD1778" s="59"/>
      <c r="BE1778" s="59"/>
      <c r="BF1778" s="59"/>
      <c r="BG1778" s="59"/>
      <c r="BH1778" s="59"/>
      <c r="BI1778" s="59"/>
      <c r="BJ1778" s="59"/>
      <c r="BK1778" s="59"/>
      <c r="BL1778" s="59"/>
      <c r="BM1778" s="59"/>
      <c r="BN1778" s="59"/>
      <c r="BO1778" s="59"/>
      <c r="BP1778" s="59"/>
      <c r="BQ1778" s="59"/>
      <c r="BR1778" s="59"/>
      <c r="BS1778" s="59"/>
      <c r="BT1778" s="59"/>
      <c r="BU1778" s="59"/>
      <c r="BV1778" s="59"/>
      <c r="BW1778" s="59"/>
      <c r="BX1778" s="59"/>
      <c r="BY1778" s="59"/>
      <c r="BZ1778" s="59"/>
      <c r="CA1778" s="59"/>
      <c r="CB1778" s="59"/>
      <c r="CC1778" s="59"/>
      <c r="CD1778" s="59"/>
      <c r="CE1778" s="59"/>
      <c r="CF1778" s="59"/>
      <c r="CG1778" s="59"/>
      <c r="CH1778" s="59"/>
      <c r="CI1778" s="59"/>
      <c r="CJ1778" s="59"/>
      <c r="CK1778" s="59"/>
      <c r="CL1778" s="59"/>
      <c r="CM1778" s="59"/>
      <c r="CN1778" s="59"/>
      <c r="CO1778" s="59"/>
      <c r="CP1778" s="59"/>
      <c r="CQ1778" s="59"/>
      <c r="CR1778" s="59"/>
      <c r="CS1778" s="59"/>
      <c r="CT1778" s="59"/>
      <c r="CU1778" s="59"/>
      <c r="CV1778" s="59"/>
      <c r="CW1778" s="59"/>
      <c r="CX1778" s="59"/>
      <c r="CY1778" s="59"/>
      <c r="CZ1778" s="59"/>
      <c r="DA1778" s="59"/>
      <c r="DB1778" s="59"/>
      <c r="DC1778" s="59"/>
      <c r="DD1778" s="59"/>
      <c r="DE1778" s="59"/>
      <c r="DF1778" s="59"/>
      <c r="DG1778" s="59"/>
      <c r="DH1778" s="59"/>
      <c r="DI1778" s="59"/>
      <c r="DJ1778" s="59"/>
      <c r="DK1778" s="59"/>
      <c r="DL1778" s="59"/>
      <c r="DM1778" s="59"/>
      <c r="DN1778" s="59"/>
      <c r="DO1778" s="59"/>
      <c r="DP1778" s="59"/>
      <c r="DQ1778" s="59"/>
      <c r="DR1778" s="59"/>
      <c r="DS1778" s="59"/>
      <c r="DT1778" s="59"/>
      <c r="DU1778" s="59"/>
      <c r="DV1778" s="59"/>
      <c r="DW1778" s="59"/>
      <c r="DX1778" s="59"/>
      <c r="DY1778" s="59"/>
      <c r="DZ1778" s="59"/>
      <c r="EA1778" s="59"/>
      <c r="EB1778" s="59"/>
      <c r="EC1778" s="59"/>
      <c r="ED1778" s="59"/>
      <c r="EE1778" s="59"/>
      <c r="EF1778" s="59"/>
      <c r="EG1778" s="59"/>
      <c r="EH1778" s="59"/>
      <c r="EI1778" s="59"/>
      <c r="EJ1778" s="59"/>
      <c r="EK1778" s="59"/>
      <c r="EL1778" s="59"/>
      <c r="EM1778" s="59"/>
      <c r="EN1778" s="59"/>
      <c r="EO1778" s="59"/>
      <c r="EP1778" s="59"/>
      <c r="EQ1778" s="59"/>
      <c r="ER1778" s="59"/>
      <c r="ES1778" s="59"/>
      <c r="ET1778" s="59"/>
      <c r="EU1778" s="59"/>
      <c r="EV1778" s="59"/>
      <c r="EW1778" s="59"/>
      <c r="EX1778" s="59"/>
      <c r="EY1778" s="59"/>
      <c r="EZ1778" s="59"/>
      <c r="FA1778" s="59"/>
      <c r="FB1778" s="59"/>
      <c r="FC1778" s="59"/>
      <c r="FD1778" s="59"/>
      <c r="FE1778" s="59"/>
      <c r="FF1778" s="59"/>
      <c r="FG1778" s="59"/>
      <c r="FH1778" s="59"/>
      <c r="FI1778" s="59"/>
      <c r="FJ1778" s="59"/>
      <c r="FK1778" s="59"/>
      <c r="FL1778" s="59"/>
      <c r="FM1778" s="59"/>
      <c r="FN1778" s="59"/>
      <c r="FO1778" s="59"/>
      <c r="FP1778" s="59"/>
      <c r="FQ1778" s="59"/>
      <c r="FR1778" s="59"/>
      <c r="FS1778" s="59"/>
      <c r="FT1778" s="59"/>
      <c r="FU1778" s="59"/>
      <c r="FV1778" s="59"/>
      <c r="FW1778" s="59"/>
      <c r="FX1778" s="59"/>
      <c r="FY1778" s="59"/>
      <c r="FZ1778" s="59"/>
      <c r="GA1778" s="59"/>
      <c r="GB1778" s="59"/>
      <c r="GC1778" s="59"/>
    </row>
    <row r="1779">
      <c r="A1779" s="59"/>
      <c r="B1779" s="59"/>
      <c r="C1779" s="59"/>
      <c r="D1779" s="59"/>
      <c r="E1779" s="59"/>
      <c r="F1779" s="59"/>
      <c r="G1779" s="59"/>
      <c r="H1779" s="59"/>
      <c r="I1779" s="59"/>
      <c r="J1779" s="59"/>
      <c r="K1779" s="59"/>
      <c r="L1779" s="59"/>
      <c r="M1779" s="59"/>
      <c r="N1779" s="59"/>
      <c r="O1779" s="59"/>
      <c r="P1779" s="59"/>
      <c r="Q1779" s="59"/>
      <c r="R1779" s="59"/>
      <c r="S1779" s="59"/>
      <c r="T1779" s="59"/>
      <c r="U1779" s="59"/>
      <c r="V1779" s="59"/>
      <c r="W1779" s="59"/>
      <c r="X1779" s="59"/>
      <c r="Y1779" s="59"/>
      <c r="Z1779" s="59"/>
      <c r="AA1779" s="59"/>
      <c r="AB1779" s="59"/>
      <c r="AC1779" s="59"/>
      <c r="AD1779" s="59"/>
      <c r="AE1779" s="59"/>
      <c r="AF1779" s="59"/>
      <c r="AG1779" s="59"/>
      <c r="AH1779" s="59"/>
      <c r="AI1779" s="59"/>
      <c r="AJ1779" s="59"/>
      <c r="AK1779" s="59"/>
      <c r="AL1779" s="59"/>
      <c r="AM1779" s="59"/>
      <c r="AN1779" s="59"/>
      <c r="AO1779" s="59"/>
      <c r="AP1779" s="59"/>
      <c r="AQ1779" s="59"/>
      <c r="AR1779" s="59"/>
      <c r="AS1779" s="59"/>
      <c r="AT1779" s="59"/>
      <c r="AU1779" s="59"/>
      <c r="AV1779" s="59"/>
      <c r="AW1779" s="59"/>
      <c r="AX1779" s="59"/>
      <c r="AY1779" s="59"/>
      <c r="AZ1779" s="59"/>
      <c r="BA1779" s="59"/>
      <c r="BB1779" s="59"/>
      <c r="BC1779" s="59"/>
      <c r="BD1779" s="59"/>
      <c r="BE1779" s="59"/>
      <c r="BF1779" s="59"/>
      <c r="BG1779" s="59"/>
      <c r="BH1779" s="59"/>
      <c r="BI1779" s="59"/>
      <c r="BJ1779" s="59"/>
      <c r="BK1779" s="59"/>
      <c r="BL1779" s="59"/>
      <c r="BM1779" s="59"/>
      <c r="BN1779" s="59"/>
      <c r="BO1779" s="59"/>
      <c r="BP1779" s="59"/>
      <c r="BQ1779" s="59"/>
      <c r="BR1779" s="59"/>
      <c r="BS1779" s="59"/>
      <c r="BT1779" s="59"/>
      <c r="BU1779" s="59"/>
      <c r="BV1779" s="59"/>
      <c r="BW1779" s="59"/>
      <c r="BX1779" s="59"/>
      <c r="BY1779" s="59"/>
      <c r="BZ1779" s="59"/>
      <c r="CA1779" s="59"/>
      <c r="CB1779" s="59"/>
      <c r="CC1779" s="59"/>
      <c r="CD1779" s="59"/>
      <c r="CE1779" s="59"/>
      <c r="CF1779" s="59"/>
      <c r="CG1779" s="59"/>
      <c r="CH1779" s="59"/>
      <c r="CI1779" s="59"/>
      <c r="CJ1779" s="59"/>
      <c r="CK1779" s="59"/>
      <c r="CL1779" s="59"/>
      <c r="CM1779" s="59"/>
      <c r="CN1779" s="59"/>
      <c r="CO1779" s="59"/>
      <c r="CP1779" s="59"/>
      <c r="CQ1779" s="59"/>
      <c r="CR1779" s="59"/>
      <c r="CS1779" s="59"/>
      <c r="CT1779" s="59"/>
      <c r="CU1779" s="59"/>
      <c r="CV1779" s="59"/>
      <c r="CW1779" s="59"/>
      <c r="CX1779" s="59"/>
      <c r="CY1779" s="59"/>
      <c r="CZ1779" s="59"/>
      <c r="DA1779" s="59"/>
      <c r="DB1779" s="59"/>
      <c r="DC1779" s="59"/>
      <c r="DD1779" s="59"/>
      <c r="DE1779" s="59"/>
      <c r="DF1779" s="59"/>
      <c r="DG1779" s="59"/>
      <c r="DH1779" s="59"/>
      <c r="DI1779" s="59"/>
      <c r="DJ1779" s="59"/>
      <c r="DK1779" s="59"/>
      <c r="DL1779" s="59"/>
      <c r="DM1779" s="59"/>
      <c r="DN1779" s="59"/>
      <c r="DO1779" s="59"/>
      <c r="DP1779" s="59"/>
      <c r="DQ1779" s="59"/>
      <c r="DR1779" s="59"/>
      <c r="DS1779" s="59"/>
      <c r="DT1779" s="59"/>
      <c r="DU1779" s="59"/>
      <c r="DV1779" s="59"/>
      <c r="DW1779" s="59"/>
      <c r="DX1779" s="59"/>
      <c r="DY1779" s="59"/>
      <c r="DZ1779" s="59"/>
      <c r="EA1779" s="59"/>
      <c r="EB1779" s="59"/>
      <c r="EC1779" s="59"/>
      <c r="ED1779" s="59"/>
      <c r="EE1779" s="59"/>
      <c r="EF1779" s="59"/>
      <c r="EG1779" s="59"/>
      <c r="EH1779" s="59"/>
      <c r="EI1779" s="59"/>
      <c r="EJ1779" s="59"/>
      <c r="EK1779" s="59"/>
      <c r="EL1779" s="59"/>
      <c r="EM1779" s="59"/>
      <c r="EN1779" s="59"/>
      <c r="EO1779" s="59"/>
      <c r="EP1779" s="59"/>
      <c r="EQ1779" s="59"/>
      <c r="ER1779" s="59"/>
      <c r="ES1779" s="59"/>
      <c r="ET1779" s="59"/>
      <c r="EU1779" s="59"/>
      <c r="EV1779" s="59"/>
      <c r="EW1779" s="59"/>
      <c r="EX1779" s="59"/>
      <c r="EY1779" s="59"/>
      <c r="EZ1779" s="59"/>
      <c r="FA1779" s="59"/>
      <c r="FB1779" s="59"/>
      <c r="FC1779" s="59"/>
      <c r="FD1779" s="59"/>
      <c r="FE1779" s="59"/>
      <c r="FF1779" s="59"/>
      <c r="FG1779" s="59"/>
      <c r="FH1779" s="59"/>
      <c r="FI1779" s="59"/>
      <c r="FJ1779" s="59"/>
      <c r="FK1779" s="59"/>
      <c r="FL1779" s="59"/>
      <c r="FM1779" s="59"/>
      <c r="FN1779" s="59"/>
      <c r="FO1779" s="59"/>
      <c r="FP1779" s="59"/>
      <c r="FQ1779" s="59"/>
      <c r="FR1779" s="59"/>
      <c r="FS1779" s="59"/>
      <c r="FT1779" s="59"/>
      <c r="FU1779" s="59"/>
      <c r="FV1779" s="59"/>
      <c r="FW1779" s="59"/>
      <c r="FX1779" s="59"/>
      <c r="FY1779" s="59"/>
      <c r="FZ1779" s="59"/>
      <c r="GA1779" s="59"/>
      <c r="GB1779" s="59"/>
      <c r="GC1779" s="59"/>
    </row>
    <row r="1780">
      <c r="A1780" s="59"/>
      <c r="B1780" s="59"/>
      <c r="C1780" s="59"/>
      <c r="D1780" s="59"/>
      <c r="E1780" s="59"/>
      <c r="F1780" s="59"/>
      <c r="G1780" s="59"/>
      <c r="H1780" s="59"/>
      <c r="I1780" s="59"/>
      <c r="J1780" s="59"/>
      <c r="K1780" s="59"/>
      <c r="L1780" s="59"/>
      <c r="M1780" s="59"/>
      <c r="N1780" s="59"/>
      <c r="O1780" s="59"/>
      <c r="P1780" s="59"/>
      <c r="Q1780" s="59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59"/>
      <c r="AG1780" s="59"/>
      <c r="AH1780" s="59"/>
      <c r="AI1780" s="59"/>
      <c r="AJ1780" s="59"/>
      <c r="AK1780" s="59"/>
      <c r="AL1780" s="59"/>
      <c r="AM1780" s="59"/>
      <c r="AN1780" s="59"/>
      <c r="AO1780" s="59"/>
      <c r="AP1780" s="59"/>
      <c r="AQ1780" s="59"/>
      <c r="AR1780" s="59"/>
      <c r="AS1780" s="59"/>
      <c r="AT1780" s="59"/>
      <c r="AU1780" s="59"/>
      <c r="AV1780" s="59"/>
      <c r="AW1780" s="59"/>
      <c r="AX1780" s="59"/>
      <c r="AY1780" s="59"/>
      <c r="AZ1780" s="59"/>
      <c r="BA1780" s="59"/>
      <c r="BB1780" s="59"/>
      <c r="BC1780" s="59"/>
      <c r="BD1780" s="59"/>
      <c r="BE1780" s="59"/>
      <c r="BF1780" s="59"/>
      <c r="BG1780" s="59"/>
      <c r="BH1780" s="59"/>
      <c r="BI1780" s="59"/>
      <c r="BJ1780" s="59"/>
      <c r="BK1780" s="59"/>
      <c r="BL1780" s="59"/>
      <c r="BM1780" s="59"/>
      <c r="BN1780" s="59"/>
      <c r="BO1780" s="59"/>
      <c r="BP1780" s="59"/>
      <c r="BQ1780" s="59"/>
      <c r="BR1780" s="59"/>
      <c r="BS1780" s="59"/>
      <c r="BT1780" s="59"/>
      <c r="BU1780" s="59"/>
      <c r="BV1780" s="59"/>
      <c r="BW1780" s="59"/>
      <c r="BX1780" s="59"/>
      <c r="BY1780" s="59"/>
      <c r="BZ1780" s="59"/>
      <c r="CA1780" s="59"/>
      <c r="CB1780" s="59"/>
      <c r="CC1780" s="59"/>
      <c r="CD1780" s="59"/>
      <c r="CE1780" s="59"/>
      <c r="CF1780" s="59"/>
      <c r="CG1780" s="59"/>
      <c r="CH1780" s="59"/>
      <c r="CI1780" s="59"/>
      <c r="CJ1780" s="59"/>
      <c r="CK1780" s="59"/>
      <c r="CL1780" s="59"/>
      <c r="CM1780" s="59"/>
      <c r="CN1780" s="59"/>
      <c r="CO1780" s="59"/>
      <c r="CP1780" s="59"/>
      <c r="CQ1780" s="59"/>
      <c r="CR1780" s="59"/>
      <c r="CS1780" s="59"/>
      <c r="CT1780" s="59"/>
      <c r="CU1780" s="59"/>
      <c r="CV1780" s="59"/>
      <c r="CW1780" s="59"/>
      <c r="CX1780" s="59"/>
      <c r="CY1780" s="59"/>
      <c r="CZ1780" s="59"/>
      <c r="DA1780" s="59"/>
      <c r="DB1780" s="59"/>
      <c r="DC1780" s="59"/>
      <c r="DD1780" s="59"/>
      <c r="DE1780" s="59"/>
      <c r="DF1780" s="59"/>
      <c r="DG1780" s="59"/>
      <c r="DH1780" s="59"/>
      <c r="DI1780" s="59"/>
      <c r="DJ1780" s="59"/>
      <c r="DK1780" s="59"/>
      <c r="DL1780" s="59"/>
      <c r="DM1780" s="59"/>
      <c r="DN1780" s="59"/>
      <c r="DO1780" s="59"/>
      <c r="DP1780" s="59"/>
      <c r="DQ1780" s="59"/>
      <c r="DR1780" s="59"/>
      <c r="DS1780" s="59"/>
      <c r="DT1780" s="59"/>
      <c r="DU1780" s="59"/>
      <c r="DV1780" s="59"/>
      <c r="DW1780" s="59"/>
      <c r="DX1780" s="59"/>
      <c r="DY1780" s="59"/>
      <c r="DZ1780" s="59"/>
      <c r="EA1780" s="59"/>
      <c r="EB1780" s="59"/>
      <c r="EC1780" s="59"/>
      <c r="ED1780" s="59"/>
      <c r="EE1780" s="59"/>
      <c r="EF1780" s="59"/>
      <c r="EG1780" s="59"/>
      <c r="EH1780" s="59"/>
      <c r="EI1780" s="59"/>
      <c r="EJ1780" s="59"/>
      <c r="EK1780" s="59"/>
      <c r="EL1780" s="59"/>
      <c r="EM1780" s="59"/>
      <c r="EN1780" s="59"/>
      <c r="EO1780" s="59"/>
      <c r="EP1780" s="59"/>
      <c r="EQ1780" s="59"/>
      <c r="ER1780" s="59"/>
      <c r="ES1780" s="59"/>
      <c r="ET1780" s="59"/>
      <c r="EU1780" s="59"/>
      <c r="EV1780" s="59"/>
      <c r="EW1780" s="59"/>
      <c r="EX1780" s="59"/>
      <c r="EY1780" s="59"/>
      <c r="EZ1780" s="59"/>
      <c r="FA1780" s="59"/>
      <c r="FB1780" s="59"/>
      <c r="FC1780" s="59"/>
      <c r="FD1780" s="59"/>
      <c r="FE1780" s="59"/>
      <c r="FF1780" s="59"/>
      <c r="FG1780" s="59"/>
      <c r="FH1780" s="59"/>
      <c r="FI1780" s="59"/>
      <c r="FJ1780" s="59"/>
      <c r="FK1780" s="59"/>
      <c r="FL1780" s="59"/>
      <c r="FM1780" s="59"/>
      <c r="FN1780" s="59"/>
      <c r="FO1780" s="59"/>
      <c r="FP1780" s="59"/>
      <c r="FQ1780" s="59"/>
      <c r="FR1780" s="59"/>
      <c r="FS1780" s="59"/>
      <c r="FT1780" s="59"/>
      <c r="FU1780" s="59"/>
      <c r="FV1780" s="59"/>
      <c r="FW1780" s="59"/>
      <c r="FX1780" s="59"/>
      <c r="FY1780" s="59"/>
      <c r="FZ1780" s="59"/>
      <c r="GA1780" s="59"/>
      <c r="GB1780" s="59"/>
      <c r="GC1780" s="59"/>
    </row>
    <row r="1781">
      <c r="A1781" s="59"/>
      <c r="B1781" s="59"/>
      <c r="C1781" s="59"/>
      <c r="D1781" s="59"/>
      <c r="E1781" s="59"/>
      <c r="F1781" s="59"/>
      <c r="G1781" s="59"/>
      <c r="H1781" s="59"/>
      <c r="I1781" s="59"/>
      <c r="J1781" s="59"/>
      <c r="K1781" s="59"/>
      <c r="L1781" s="59"/>
      <c r="M1781" s="59"/>
      <c r="N1781" s="59"/>
      <c r="O1781" s="59"/>
      <c r="P1781" s="59"/>
      <c r="Q1781" s="59"/>
      <c r="R1781" s="59"/>
      <c r="S1781" s="59"/>
      <c r="T1781" s="59"/>
      <c r="U1781" s="59"/>
      <c r="V1781" s="59"/>
      <c r="W1781" s="59"/>
      <c r="X1781" s="59"/>
      <c r="Y1781" s="59"/>
      <c r="Z1781" s="59"/>
      <c r="AA1781" s="59"/>
      <c r="AB1781" s="59"/>
      <c r="AC1781" s="59"/>
      <c r="AD1781" s="59"/>
      <c r="AE1781" s="59"/>
      <c r="AF1781" s="59"/>
      <c r="AG1781" s="59"/>
      <c r="AH1781" s="59"/>
      <c r="AI1781" s="59"/>
      <c r="AJ1781" s="59"/>
      <c r="AK1781" s="59"/>
      <c r="AL1781" s="59"/>
      <c r="AM1781" s="59"/>
      <c r="AN1781" s="59"/>
      <c r="AO1781" s="59"/>
      <c r="AP1781" s="59"/>
      <c r="AQ1781" s="59"/>
      <c r="AR1781" s="59"/>
      <c r="AS1781" s="59"/>
      <c r="AT1781" s="59"/>
      <c r="AU1781" s="59"/>
      <c r="AV1781" s="59"/>
      <c r="AW1781" s="59"/>
      <c r="AX1781" s="59"/>
      <c r="AY1781" s="59"/>
      <c r="AZ1781" s="59"/>
      <c r="BA1781" s="59"/>
      <c r="BB1781" s="59"/>
      <c r="BC1781" s="59"/>
      <c r="BD1781" s="59"/>
      <c r="BE1781" s="59"/>
      <c r="BF1781" s="59"/>
      <c r="BG1781" s="59"/>
      <c r="BH1781" s="59"/>
      <c r="BI1781" s="59"/>
      <c r="BJ1781" s="59"/>
      <c r="BK1781" s="59"/>
      <c r="BL1781" s="59"/>
      <c r="BM1781" s="59"/>
      <c r="BN1781" s="59"/>
      <c r="BO1781" s="59"/>
      <c r="BP1781" s="59"/>
      <c r="BQ1781" s="59"/>
      <c r="BR1781" s="59"/>
      <c r="BS1781" s="59"/>
      <c r="BT1781" s="59"/>
      <c r="BU1781" s="59"/>
      <c r="BV1781" s="59"/>
      <c r="BW1781" s="59"/>
      <c r="BX1781" s="59"/>
      <c r="BY1781" s="59"/>
      <c r="BZ1781" s="59"/>
      <c r="CA1781" s="59"/>
      <c r="CB1781" s="59"/>
      <c r="CC1781" s="59"/>
      <c r="CD1781" s="59"/>
      <c r="CE1781" s="59"/>
      <c r="CF1781" s="59"/>
      <c r="CG1781" s="59"/>
      <c r="CH1781" s="59"/>
      <c r="CI1781" s="59"/>
      <c r="CJ1781" s="59"/>
      <c r="CK1781" s="59"/>
      <c r="CL1781" s="59"/>
      <c r="CM1781" s="59"/>
      <c r="CN1781" s="59"/>
      <c r="CO1781" s="59"/>
      <c r="CP1781" s="59"/>
      <c r="CQ1781" s="59"/>
      <c r="CR1781" s="59"/>
      <c r="CS1781" s="59"/>
      <c r="CT1781" s="59"/>
      <c r="CU1781" s="59"/>
      <c r="CV1781" s="59"/>
      <c r="CW1781" s="59"/>
      <c r="CX1781" s="59"/>
      <c r="CY1781" s="59"/>
      <c r="CZ1781" s="59"/>
      <c r="DA1781" s="59"/>
      <c r="DB1781" s="59"/>
      <c r="DC1781" s="59"/>
      <c r="DD1781" s="59"/>
      <c r="DE1781" s="59"/>
      <c r="DF1781" s="59"/>
      <c r="DG1781" s="59"/>
      <c r="DH1781" s="59"/>
      <c r="DI1781" s="59"/>
      <c r="DJ1781" s="59"/>
      <c r="DK1781" s="59"/>
      <c r="DL1781" s="59"/>
      <c r="DM1781" s="59"/>
      <c r="DN1781" s="59"/>
      <c r="DO1781" s="59"/>
      <c r="DP1781" s="59"/>
      <c r="DQ1781" s="59"/>
      <c r="DR1781" s="59"/>
      <c r="DS1781" s="59"/>
      <c r="DT1781" s="59"/>
      <c r="DU1781" s="59"/>
      <c r="DV1781" s="59"/>
      <c r="DW1781" s="59"/>
      <c r="DX1781" s="59"/>
      <c r="DY1781" s="59"/>
      <c r="DZ1781" s="59"/>
      <c r="EA1781" s="59"/>
      <c r="EB1781" s="59"/>
      <c r="EC1781" s="59"/>
      <c r="ED1781" s="59"/>
      <c r="EE1781" s="59"/>
      <c r="EF1781" s="59"/>
      <c r="EG1781" s="59"/>
      <c r="EH1781" s="59"/>
      <c r="EI1781" s="59"/>
      <c r="EJ1781" s="59"/>
      <c r="EK1781" s="59"/>
      <c r="EL1781" s="59"/>
      <c r="EM1781" s="59"/>
      <c r="EN1781" s="59"/>
      <c r="EO1781" s="59"/>
      <c r="EP1781" s="59"/>
      <c r="EQ1781" s="59"/>
      <c r="ER1781" s="59"/>
      <c r="ES1781" s="59"/>
      <c r="ET1781" s="59"/>
      <c r="EU1781" s="59"/>
      <c r="EV1781" s="59"/>
      <c r="EW1781" s="59"/>
      <c r="EX1781" s="59"/>
      <c r="EY1781" s="59"/>
      <c r="EZ1781" s="59"/>
      <c r="FA1781" s="59"/>
      <c r="FB1781" s="59"/>
      <c r="FC1781" s="59"/>
      <c r="FD1781" s="59"/>
      <c r="FE1781" s="59"/>
      <c r="FF1781" s="59"/>
      <c r="FG1781" s="59"/>
      <c r="FH1781" s="59"/>
      <c r="FI1781" s="59"/>
      <c r="FJ1781" s="59"/>
      <c r="FK1781" s="59"/>
      <c r="FL1781" s="59"/>
      <c r="FM1781" s="59"/>
      <c r="FN1781" s="59"/>
      <c r="FO1781" s="59"/>
      <c r="FP1781" s="59"/>
      <c r="FQ1781" s="59"/>
      <c r="FR1781" s="59"/>
      <c r="FS1781" s="59"/>
      <c r="FT1781" s="59"/>
      <c r="FU1781" s="59"/>
      <c r="FV1781" s="59"/>
      <c r="FW1781" s="59"/>
      <c r="FX1781" s="59"/>
      <c r="FY1781" s="59"/>
      <c r="FZ1781" s="59"/>
      <c r="GA1781" s="59"/>
      <c r="GB1781" s="59"/>
      <c r="GC1781" s="59"/>
    </row>
    <row r="1782">
      <c r="A1782" s="59"/>
      <c r="B1782" s="59"/>
      <c r="C1782" s="59"/>
      <c r="D1782" s="59"/>
      <c r="E1782" s="59"/>
      <c r="F1782" s="59"/>
      <c r="G1782" s="59"/>
      <c r="H1782" s="59"/>
      <c r="I1782" s="59"/>
      <c r="J1782" s="59"/>
      <c r="K1782" s="59"/>
      <c r="L1782" s="59"/>
      <c r="M1782" s="59"/>
      <c r="N1782" s="59"/>
      <c r="O1782" s="59"/>
      <c r="P1782" s="59"/>
      <c r="Q1782" s="59"/>
      <c r="R1782" s="59"/>
      <c r="S1782" s="59"/>
      <c r="T1782" s="59"/>
      <c r="U1782" s="59"/>
      <c r="V1782" s="59"/>
      <c r="W1782" s="59"/>
      <c r="X1782" s="59"/>
      <c r="Y1782" s="59"/>
      <c r="Z1782" s="59"/>
      <c r="AA1782" s="59"/>
      <c r="AB1782" s="59"/>
      <c r="AC1782" s="59"/>
      <c r="AD1782" s="59"/>
      <c r="AE1782" s="59"/>
      <c r="AF1782" s="59"/>
      <c r="AG1782" s="59"/>
      <c r="AH1782" s="59"/>
      <c r="AI1782" s="59"/>
      <c r="AJ1782" s="59"/>
      <c r="AK1782" s="59"/>
      <c r="AL1782" s="59"/>
      <c r="AM1782" s="59"/>
      <c r="AN1782" s="59"/>
      <c r="AO1782" s="59"/>
      <c r="AP1782" s="59"/>
      <c r="AQ1782" s="59"/>
      <c r="AR1782" s="59"/>
      <c r="AS1782" s="59"/>
      <c r="AT1782" s="59"/>
      <c r="AU1782" s="59"/>
      <c r="AV1782" s="59"/>
      <c r="AW1782" s="59"/>
      <c r="AX1782" s="59"/>
      <c r="AY1782" s="59"/>
      <c r="AZ1782" s="59"/>
      <c r="BA1782" s="59"/>
      <c r="BB1782" s="59"/>
      <c r="BC1782" s="59"/>
      <c r="BD1782" s="59"/>
      <c r="BE1782" s="59"/>
      <c r="BF1782" s="59"/>
      <c r="BG1782" s="59"/>
      <c r="BH1782" s="59"/>
      <c r="BI1782" s="59"/>
      <c r="BJ1782" s="59"/>
      <c r="BK1782" s="59"/>
      <c r="BL1782" s="59"/>
      <c r="BM1782" s="59"/>
      <c r="BN1782" s="59"/>
      <c r="BO1782" s="59"/>
      <c r="BP1782" s="59"/>
      <c r="BQ1782" s="59"/>
      <c r="BR1782" s="59"/>
      <c r="BS1782" s="59"/>
      <c r="BT1782" s="59"/>
      <c r="BU1782" s="59"/>
      <c r="BV1782" s="59"/>
      <c r="BW1782" s="59"/>
      <c r="BX1782" s="59"/>
      <c r="BY1782" s="59"/>
      <c r="BZ1782" s="59"/>
      <c r="CA1782" s="59"/>
      <c r="CB1782" s="59"/>
      <c r="CC1782" s="59"/>
      <c r="CD1782" s="59"/>
      <c r="CE1782" s="59"/>
      <c r="CF1782" s="59"/>
      <c r="CG1782" s="59"/>
      <c r="CH1782" s="59"/>
      <c r="CI1782" s="59"/>
      <c r="CJ1782" s="59"/>
      <c r="CK1782" s="59"/>
      <c r="CL1782" s="59"/>
      <c r="CM1782" s="59"/>
      <c r="CN1782" s="59"/>
      <c r="CO1782" s="59"/>
      <c r="CP1782" s="59"/>
      <c r="CQ1782" s="59"/>
      <c r="CR1782" s="59"/>
      <c r="CS1782" s="59"/>
      <c r="CT1782" s="59"/>
      <c r="CU1782" s="59"/>
      <c r="CV1782" s="59"/>
      <c r="CW1782" s="59"/>
      <c r="CX1782" s="59"/>
      <c r="CY1782" s="59"/>
      <c r="CZ1782" s="59"/>
      <c r="DA1782" s="59"/>
      <c r="DB1782" s="59"/>
      <c r="DC1782" s="59"/>
      <c r="DD1782" s="59"/>
      <c r="DE1782" s="59"/>
      <c r="DF1782" s="59"/>
      <c r="DG1782" s="59"/>
      <c r="DH1782" s="59"/>
      <c r="DI1782" s="59"/>
      <c r="DJ1782" s="59"/>
      <c r="DK1782" s="59"/>
      <c r="DL1782" s="59"/>
      <c r="DM1782" s="59"/>
      <c r="DN1782" s="59"/>
      <c r="DO1782" s="59"/>
      <c r="DP1782" s="59"/>
      <c r="DQ1782" s="59"/>
      <c r="DR1782" s="59"/>
      <c r="DS1782" s="59"/>
      <c r="DT1782" s="59"/>
      <c r="DU1782" s="59"/>
      <c r="DV1782" s="59"/>
      <c r="DW1782" s="59"/>
      <c r="DX1782" s="59"/>
      <c r="DY1782" s="59"/>
      <c r="DZ1782" s="59"/>
      <c r="EA1782" s="59"/>
      <c r="EB1782" s="59"/>
      <c r="EC1782" s="59"/>
      <c r="ED1782" s="59"/>
      <c r="EE1782" s="59"/>
      <c r="EF1782" s="59"/>
      <c r="EG1782" s="59"/>
      <c r="EH1782" s="59"/>
      <c r="EI1782" s="59"/>
      <c r="EJ1782" s="59"/>
      <c r="EK1782" s="59"/>
      <c r="EL1782" s="59"/>
      <c r="EM1782" s="59"/>
      <c r="EN1782" s="59"/>
      <c r="EO1782" s="59"/>
      <c r="EP1782" s="59"/>
      <c r="EQ1782" s="59"/>
      <c r="ER1782" s="59"/>
      <c r="ES1782" s="59"/>
      <c r="ET1782" s="59"/>
      <c r="EU1782" s="59"/>
      <c r="EV1782" s="59"/>
      <c r="EW1782" s="59"/>
      <c r="EX1782" s="59"/>
      <c r="EY1782" s="59"/>
      <c r="EZ1782" s="59"/>
      <c r="FA1782" s="59"/>
      <c r="FB1782" s="59"/>
      <c r="FC1782" s="59"/>
      <c r="FD1782" s="59"/>
      <c r="FE1782" s="59"/>
      <c r="FF1782" s="59"/>
      <c r="FG1782" s="59"/>
      <c r="FH1782" s="59"/>
      <c r="FI1782" s="59"/>
      <c r="FJ1782" s="59"/>
      <c r="FK1782" s="59"/>
      <c r="FL1782" s="59"/>
      <c r="FM1782" s="59"/>
      <c r="FN1782" s="59"/>
      <c r="FO1782" s="59"/>
      <c r="FP1782" s="59"/>
      <c r="FQ1782" s="59"/>
      <c r="FR1782" s="59"/>
      <c r="FS1782" s="59"/>
      <c r="FT1782" s="59"/>
      <c r="FU1782" s="59"/>
      <c r="FV1782" s="59"/>
      <c r="FW1782" s="59"/>
      <c r="FX1782" s="59"/>
      <c r="FY1782" s="59"/>
      <c r="FZ1782" s="59"/>
      <c r="GA1782" s="59"/>
      <c r="GB1782" s="59"/>
      <c r="GC1782" s="59"/>
    </row>
    <row r="1783">
      <c r="A1783" s="59"/>
      <c r="B1783" s="59"/>
      <c r="C1783" s="59"/>
      <c r="D1783" s="59"/>
      <c r="E1783" s="59"/>
      <c r="F1783" s="59"/>
      <c r="G1783" s="59"/>
      <c r="H1783" s="59"/>
      <c r="I1783" s="59"/>
      <c r="J1783" s="59"/>
      <c r="K1783" s="59"/>
      <c r="L1783" s="59"/>
      <c r="M1783" s="59"/>
      <c r="N1783" s="59"/>
      <c r="O1783" s="59"/>
      <c r="P1783" s="59"/>
      <c r="Q1783" s="59"/>
      <c r="R1783" s="59"/>
      <c r="S1783" s="59"/>
      <c r="T1783" s="59"/>
      <c r="U1783" s="59"/>
      <c r="V1783" s="59"/>
      <c r="W1783" s="59"/>
      <c r="X1783" s="59"/>
      <c r="Y1783" s="59"/>
      <c r="Z1783" s="59"/>
      <c r="AA1783" s="59"/>
      <c r="AB1783" s="59"/>
      <c r="AC1783" s="59"/>
      <c r="AD1783" s="59"/>
      <c r="AE1783" s="59"/>
      <c r="AF1783" s="59"/>
      <c r="AG1783" s="59"/>
      <c r="AH1783" s="59"/>
      <c r="AI1783" s="59"/>
      <c r="AJ1783" s="59"/>
      <c r="AK1783" s="59"/>
      <c r="AL1783" s="59"/>
      <c r="AM1783" s="59"/>
      <c r="AN1783" s="59"/>
      <c r="AO1783" s="59"/>
      <c r="AP1783" s="59"/>
      <c r="AQ1783" s="59"/>
      <c r="AR1783" s="59"/>
      <c r="AS1783" s="59"/>
      <c r="AT1783" s="59"/>
      <c r="AU1783" s="59"/>
      <c r="AV1783" s="59"/>
      <c r="AW1783" s="59"/>
      <c r="AX1783" s="59"/>
      <c r="AY1783" s="59"/>
      <c r="AZ1783" s="59"/>
      <c r="BA1783" s="59"/>
      <c r="BB1783" s="59"/>
      <c r="BC1783" s="59"/>
      <c r="BD1783" s="59"/>
      <c r="BE1783" s="59"/>
      <c r="BF1783" s="59"/>
      <c r="BG1783" s="59"/>
      <c r="BH1783" s="59"/>
      <c r="BI1783" s="59"/>
      <c r="BJ1783" s="59"/>
      <c r="BK1783" s="59"/>
      <c r="BL1783" s="59"/>
      <c r="BM1783" s="59"/>
      <c r="BN1783" s="59"/>
      <c r="BO1783" s="59"/>
      <c r="BP1783" s="59"/>
      <c r="BQ1783" s="59"/>
      <c r="BR1783" s="59"/>
      <c r="BS1783" s="59"/>
      <c r="BT1783" s="59"/>
      <c r="BU1783" s="59"/>
      <c r="BV1783" s="59"/>
      <c r="BW1783" s="59"/>
      <c r="BX1783" s="59"/>
      <c r="BY1783" s="59"/>
      <c r="BZ1783" s="59"/>
      <c r="CA1783" s="59"/>
      <c r="CB1783" s="59"/>
      <c r="CC1783" s="59"/>
      <c r="CD1783" s="59"/>
      <c r="CE1783" s="59"/>
      <c r="CF1783" s="59"/>
      <c r="CG1783" s="59"/>
      <c r="CH1783" s="59"/>
      <c r="CI1783" s="59"/>
      <c r="CJ1783" s="59"/>
      <c r="CK1783" s="59"/>
      <c r="CL1783" s="59"/>
      <c r="CM1783" s="59"/>
      <c r="CN1783" s="59"/>
      <c r="CO1783" s="59"/>
      <c r="CP1783" s="59"/>
      <c r="CQ1783" s="59"/>
      <c r="CR1783" s="59"/>
      <c r="CS1783" s="59"/>
      <c r="CT1783" s="59"/>
      <c r="CU1783" s="59"/>
      <c r="CV1783" s="59"/>
      <c r="CW1783" s="59"/>
      <c r="CX1783" s="59"/>
      <c r="CY1783" s="59"/>
      <c r="CZ1783" s="59"/>
      <c r="DA1783" s="59"/>
      <c r="DB1783" s="59"/>
      <c r="DC1783" s="59"/>
      <c r="DD1783" s="59"/>
      <c r="DE1783" s="59"/>
      <c r="DF1783" s="59"/>
      <c r="DG1783" s="59"/>
      <c r="DH1783" s="59"/>
      <c r="DI1783" s="59"/>
      <c r="DJ1783" s="59"/>
      <c r="DK1783" s="59"/>
      <c r="DL1783" s="59"/>
      <c r="DM1783" s="59"/>
      <c r="DN1783" s="59"/>
      <c r="DO1783" s="59"/>
      <c r="DP1783" s="59"/>
      <c r="DQ1783" s="59"/>
      <c r="DR1783" s="59"/>
      <c r="DS1783" s="59"/>
      <c r="DT1783" s="59"/>
      <c r="DU1783" s="59"/>
      <c r="DV1783" s="59"/>
      <c r="DW1783" s="59"/>
      <c r="DX1783" s="59"/>
      <c r="DY1783" s="59"/>
      <c r="DZ1783" s="59"/>
      <c r="EA1783" s="59"/>
      <c r="EB1783" s="59"/>
      <c r="EC1783" s="59"/>
      <c r="ED1783" s="59"/>
      <c r="EE1783" s="59"/>
      <c r="EF1783" s="59"/>
      <c r="EG1783" s="59"/>
      <c r="EH1783" s="59"/>
      <c r="EI1783" s="59"/>
      <c r="EJ1783" s="59"/>
      <c r="EK1783" s="59"/>
      <c r="EL1783" s="59"/>
      <c r="EM1783" s="59"/>
      <c r="EN1783" s="59"/>
      <c r="EO1783" s="59"/>
      <c r="EP1783" s="59"/>
      <c r="EQ1783" s="59"/>
      <c r="ER1783" s="59"/>
      <c r="ES1783" s="59"/>
      <c r="ET1783" s="59"/>
      <c r="EU1783" s="59"/>
      <c r="EV1783" s="59"/>
      <c r="EW1783" s="59"/>
      <c r="EX1783" s="59"/>
      <c r="EY1783" s="59"/>
      <c r="EZ1783" s="59"/>
      <c r="FA1783" s="59"/>
      <c r="FB1783" s="59"/>
      <c r="FC1783" s="59"/>
      <c r="FD1783" s="59"/>
      <c r="FE1783" s="59"/>
      <c r="FF1783" s="59"/>
      <c r="FG1783" s="59"/>
      <c r="FH1783" s="59"/>
      <c r="FI1783" s="59"/>
      <c r="FJ1783" s="59"/>
      <c r="FK1783" s="59"/>
      <c r="FL1783" s="59"/>
      <c r="FM1783" s="59"/>
      <c r="FN1783" s="59"/>
      <c r="FO1783" s="59"/>
      <c r="FP1783" s="59"/>
      <c r="FQ1783" s="59"/>
      <c r="FR1783" s="59"/>
      <c r="FS1783" s="59"/>
      <c r="FT1783" s="59"/>
      <c r="FU1783" s="59"/>
      <c r="FV1783" s="59"/>
      <c r="FW1783" s="59"/>
      <c r="FX1783" s="59"/>
      <c r="FY1783" s="59"/>
      <c r="FZ1783" s="59"/>
      <c r="GA1783" s="59"/>
      <c r="GB1783" s="59"/>
      <c r="GC1783" s="59"/>
    </row>
    <row r="1784">
      <c r="A1784" s="59"/>
      <c r="B1784" s="59"/>
      <c r="C1784" s="59"/>
      <c r="D1784" s="59"/>
      <c r="E1784" s="59"/>
      <c r="F1784" s="59"/>
      <c r="G1784" s="59"/>
      <c r="H1784" s="59"/>
      <c r="I1784" s="59"/>
      <c r="J1784" s="59"/>
      <c r="K1784" s="59"/>
      <c r="L1784" s="59"/>
      <c r="M1784" s="59"/>
      <c r="N1784" s="59"/>
      <c r="O1784" s="59"/>
      <c r="P1784" s="59"/>
      <c r="Q1784" s="59"/>
      <c r="R1784" s="59"/>
      <c r="S1784" s="59"/>
      <c r="T1784" s="59"/>
      <c r="U1784" s="59"/>
      <c r="V1784" s="59"/>
      <c r="W1784" s="59"/>
      <c r="X1784" s="59"/>
      <c r="Y1784" s="59"/>
      <c r="Z1784" s="59"/>
      <c r="AA1784" s="59"/>
      <c r="AB1784" s="59"/>
      <c r="AC1784" s="59"/>
      <c r="AD1784" s="59"/>
      <c r="AE1784" s="59"/>
      <c r="AF1784" s="59"/>
      <c r="AG1784" s="59"/>
      <c r="AH1784" s="59"/>
      <c r="AI1784" s="59"/>
      <c r="AJ1784" s="59"/>
      <c r="AK1784" s="59"/>
      <c r="AL1784" s="59"/>
      <c r="AM1784" s="59"/>
      <c r="AN1784" s="59"/>
      <c r="AO1784" s="59"/>
      <c r="AP1784" s="59"/>
      <c r="AQ1784" s="59"/>
      <c r="AR1784" s="59"/>
      <c r="AS1784" s="59"/>
      <c r="AT1784" s="59"/>
      <c r="AU1784" s="59"/>
      <c r="AV1784" s="59"/>
      <c r="AW1784" s="59"/>
      <c r="AX1784" s="59"/>
      <c r="AY1784" s="59"/>
      <c r="AZ1784" s="59"/>
      <c r="BA1784" s="59"/>
      <c r="BB1784" s="59"/>
      <c r="BC1784" s="59"/>
      <c r="BD1784" s="59"/>
      <c r="BE1784" s="59"/>
      <c r="BF1784" s="59"/>
      <c r="BG1784" s="59"/>
      <c r="BH1784" s="59"/>
      <c r="BI1784" s="59"/>
      <c r="BJ1784" s="59"/>
      <c r="BK1784" s="59"/>
      <c r="BL1784" s="59"/>
      <c r="BM1784" s="59"/>
      <c r="BN1784" s="59"/>
      <c r="BO1784" s="59"/>
      <c r="BP1784" s="59"/>
      <c r="BQ1784" s="59"/>
      <c r="BR1784" s="59"/>
      <c r="BS1784" s="59"/>
      <c r="BT1784" s="59"/>
      <c r="BU1784" s="59"/>
      <c r="BV1784" s="59"/>
      <c r="BW1784" s="59"/>
      <c r="BX1784" s="59"/>
      <c r="BY1784" s="59"/>
      <c r="BZ1784" s="59"/>
      <c r="CA1784" s="59"/>
      <c r="CB1784" s="59"/>
      <c r="CC1784" s="59"/>
      <c r="CD1784" s="59"/>
      <c r="CE1784" s="59"/>
      <c r="CF1784" s="59"/>
      <c r="CG1784" s="59"/>
      <c r="CH1784" s="59"/>
      <c r="CI1784" s="59"/>
      <c r="CJ1784" s="59"/>
      <c r="CK1784" s="59"/>
      <c r="CL1784" s="59"/>
      <c r="CM1784" s="59"/>
      <c r="CN1784" s="59"/>
      <c r="CO1784" s="59"/>
      <c r="CP1784" s="59"/>
      <c r="CQ1784" s="59"/>
      <c r="CR1784" s="59"/>
      <c r="CS1784" s="59"/>
      <c r="CT1784" s="59"/>
      <c r="CU1784" s="59"/>
      <c r="CV1784" s="59"/>
      <c r="CW1784" s="59"/>
      <c r="CX1784" s="59"/>
      <c r="CY1784" s="59"/>
      <c r="CZ1784" s="59"/>
      <c r="DA1784" s="59"/>
      <c r="DB1784" s="59"/>
      <c r="DC1784" s="59"/>
      <c r="DD1784" s="59"/>
      <c r="DE1784" s="59"/>
      <c r="DF1784" s="59"/>
      <c r="DG1784" s="59"/>
      <c r="DH1784" s="59"/>
      <c r="DI1784" s="59"/>
      <c r="DJ1784" s="59"/>
      <c r="DK1784" s="59"/>
      <c r="DL1784" s="59"/>
      <c r="DM1784" s="59"/>
      <c r="DN1784" s="59"/>
      <c r="DO1784" s="59"/>
      <c r="DP1784" s="59"/>
      <c r="DQ1784" s="59"/>
      <c r="DR1784" s="59"/>
      <c r="DS1784" s="59"/>
      <c r="DT1784" s="59"/>
      <c r="DU1784" s="59"/>
      <c r="DV1784" s="59"/>
      <c r="DW1784" s="59"/>
      <c r="DX1784" s="59"/>
      <c r="DY1784" s="59"/>
      <c r="DZ1784" s="59"/>
      <c r="EA1784" s="59"/>
      <c r="EB1784" s="59"/>
      <c r="EC1784" s="59"/>
      <c r="ED1784" s="59"/>
      <c r="EE1784" s="59"/>
      <c r="EF1784" s="59"/>
      <c r="EG1784" s="59"/>
      <c r="EH1784" s="59"/>
      <c r="EI1784" s="59"/>
      <c r="EJ1784" s="59"/>
      <c r="EK1784" s="59"/>
      <c r="EL1784" s="59"/>
      <c r="EM1784" s="59"/>
      <c r="EN1784" s="59"/>
      <c r="EO1784" s="59"/>
      <c r="EP1784" s="59"/>
      <c r="EQ1784" s="59"/>
      <c r="ER1784" s="59"/>
      <c r="ES1784" s="59"/>
      <c r="ET1784" s="59"/>
      <c r="EU1784" s="59"/>
      <c r="EV1784" s="59"/>
      <c r="EW1784" s="59"/>
      <c r="EX1784" s="59"/>
      <c r="EY1784" s="59"/>
      <c r="EZ1784" s="59"/>
      <c r="FA1784" s="59"/>
      <c r="FB1784" s="59"/>
      <c r="FC1784" s="59"/>
      <c r="FD1784" s="59"/>
      <c r="FE1784" s="59"/>
      <c r="FF1784" s="59"/>
      <c r="FG1784" s="59"/>
      <c r="FH1784" s="59"/>
      <c r="FI1784" s="59"/>
      <c r="FJ1784" s="59"/>
      <c r="FK1784" s="59"/>
      <c r="FL1784" s="59"/>
      <c r="FM1784" s="59"/>
      <c r="FN1784" s="59"/>
      <c r="FO1784" s="59"/>
      <c r="FP1784" s="59"/>
      <c r="FQ1784" s="59"/>
      <c r="FR1784" s="59"/>
      <c r="FS1784" s="59"/>
      <c r="FT1784" s="59"/>
      <c r="FU1784" s="59"/>
      <c r="FV1784" s="59"/>
      <c r="FW1784" s="59"/>
      <c r="FX1784" s="59"/>
      <c r="FY1784" s="59"/>
      <c r="FZ1784" s="59"/>
      <c r="GA1784" s="59"/>
      <c r="GB1784" s="59"/>
      <c r="GC1784" s="59"/>
    </row>
    <row r="1785">
      <c r="A1785" s="59"/>
      <c r="B1785" s="59"/>
      <c r="C1785" s="59"/>
      <c r="D1785" s="59"/>
      <c r="E1785" s="59"/>
      <c r="F1785" s="59"/>
      <c r="G1785" s="59"/>
      <c r="H1785" s="59"/>
      <c r="I1785" s="59"/>
      <c r="J1785" s="59"/>
      <c r="K1785" s="59"/>
      <c r="L1785" s="59"/>
      <c r="M1785" s="59"/>
      <c r="N1785" s="59"/>
      <c r="O1785" s="59"/>
      <c r="P1785" s="59"/>
      <c r="Q1785" s="59"/>
      <c r="R1785" s="59"/>
      <c r="S1785" s="59"/>
      <c r="T1785" s="59"/>
      <c r="U1785" s="59"/>
      <c r="V1785" s="59"/>
      <c r="W1785" s="59"/>
      <c r="X1785" s="59"/>
      <c r="Y1785" s="59"/>
      <c r="Z1785" s="59"/>
      <c r="AA1785" s="59"/>
      <c r="AB1785" s="59"/>
      <c r="AC1785" s="59"/>
      <c r="AD1785" s="59"/>
      <c r="AE1785" s="59"/>
      <c r="AF1785" s="59"/>
      <c r="AG1785" s="59"/>
      <c r="AH1785" s="59"/>
      <c r="AI1785" s="59"/>
      <c r="AJ1785" s="59"/>
      <c r="AK1785" s="59"/>
      <c r="AL1785" s="59"/>
      <c r="AM1785" s="59"/>
      <c r="AN1785" s="59"/>
      <c r="AO1785" s="59"/>
      <c r="AP1785" s="59"/>
      <c r="AQ1785" s="59"/>
      <c r="AR1785" s="59"/>
      <c r="AS1785" s="59"/>
      <c r="AT1785" s="59"/>
      <c r="AU1785" s="59"/>
      <c r="AV1785" s="59"/>
      <c r="AW1785" s="59"/>
      <c r="AX1785" s="59"/>
      <c r="AY1785" s="59"/>
      <c r="AZ1785" s="59"/>
      <c r="BA1785" s="59"/>
      <c r="BB1785" s="59"/>
      <c r="BC1785" s="59"/>
      <c r="BD1785" s="59"/>
      <c r="BE1785" s="59"/>
      <c r="BF1785" s="59"/>
      <c r="BG1785" s="59"/>
      <c r="BH1785" s="59"/>
      <c r="BI1785" s="59"/>
      <c r="BJ1785" s="59"/>
      <c r="BK1785" s="59"/>
      <c r="BL1785" s="59"/>
      <c r="BM1785" s="59"/>
      <c r="BN1785" s="59"/>
      <c r="BO1785" s="59"/>
      <c r="BP1785" s="59"/>
      <c r="BQ1785" s="59"/>
      <c r="BR1785" s="59"/>
      <c r="BS1785" s="59"/>
      <c r="BT1785" s="59"/>
      <c r="BU1785" s="59"/>
      <c r="BV1785" s="59"/>
      <c r="BW1785" s="59"/>
      <c r="BX1785" s="59"/>
      <c r="BY1785" s="59"/>
      <c r="BZ1785" s="59"/>
      <c r="CA1785" s="59"/>
      <c r="CB1785" s="59"/>
      <c r="CC1785" s="59"/>
      <c r="CD1785" s="59"/>
      <c r="CE1785" s="59"/>
      <c r="CF1785" s="59"/>
      <c r="CG1785" s="59"/>
      <c r="CH1785" s="59"/>
      <c r="CI1785" s="59"/>
      <c r="CJ1785" s="59"/>
      <c r="CK1785" s="59"/>
      <c r="CL1785" s="59"/>
      <c r="CM1785" s="59"/>
      <c r="CN1785" s="59"/>
      <c r="CO1785" s="59"/>
      <c r="CP1785" s="59"/>
      <c r="CQ1785" s="59"/>
      <c r="CR1785" s="59"/>
      <c r="CS1785" s="59"/>
      <c r="CT1785" s="59"/>
      <c r="CU1785" s="59"/>
      <c r="CV1785" s="59"/>
      <c r="CW1785" s="59"/>
      <c r="CX1785" s="59"/>
      <c r="CY1785" s="59"/>
      <c r="CZ1785" s="59"/>
      <c r="DA1785" s="59"/>
      <c r="DB1785" s="59"/>
      <c r="DC1785" s="59"/>
      <c r="DD1785" s="59"/>
      <c r="DE1785" s="59"/>
      <c r="DF1785" s="59"/>
      <c r="DG1785" s="59"/>
      <c r="DH1785" s="59"/>
      <c r="DI1785" s="59"/>
      <c r="DJ1785" s="59"/>
      <c r="DK1785" s="59"/>
      <c r="DL1785" s="59"/>
      <c r="DM1785" s="59"/>
      <c r="DN1785" s="59"/>
      <c r="DO1785" s="59"/>
      <c r="DP1785" s="59"/>
      <c r="DQ1785" s="59"/>
      <c r="DR1785" s="59"/>
      <c r="DS1785" s="59"/>
      <c r="DT1785" s="59"/>
      <c r="DU1785" s="59"/>
      <c r="DV1785" s="59"/>
      <c r="DW1785" s="59"/>
      <c r="DX1785" s="59"/>
      <c r="DY1785" s="59"/>
      <c r="DZ1785" s="59"/>
      <c r="EA1785" s="59"/>
      <c r="EB1785" s="59"/>
      <c r="EC1785" s="59"/>
      <c r="ED1785" s="59"/>
      <c r="EE1785" s="59"/>
      <c r="EF1785" s="59"/>
      <c r="EG1785" s="59"/>
      <c r="EH1785" s="59"/>
      <c r="EI1785" s="59"/>
      <c r="EJ1785" s="59"/>
      <c r="EK1785" s="59"/>
      <c r="EL1785" s="59"/>
      <c r="EM1785" s="59"/>
      <c r="EN1785" s="59"/>
      <c r="EO1785" s="59"/>
      <c r="EP1785" s="59"/>
      <c r="EQ1785" s="59"/>
      <c r="ER1785" s="59"/>
      <c r="ES1785" s="59"/>
      <c r="ET1785" s="59"/>
      <c r="EU1785" s="59"/>
      <c r="EV1785" s="59"/>
      <c r="EW1785" s="59"/>
      <c r="EX1785" s="59"/>
      <c r="EY1785" s="59"/>
      <c r="EZ1785" s="59"/>
      <c r="FA1785" s="59"/>
      <c r="FB1785" s="59"/>
      <c r="FC1785" s="59"/>
      <c r="FD1785" s="59"/>
      <c r="FE1785" s="59"/>
      <c r="FF1785" s="59"/>
      <c r="FG1785" s="59"/>
      <c r="FH1785" s="59"/>
      <c r="FI1785" s="59"/>
      <c r="FJ1785" s="59"/>
      <c r="FK1785" s="59"/>
      <c r="FL1785" s="59"/>
      <c r="FM1785" s="59"/>
      <c r="FN1785" s="59"/>
      <c r="FO1785" s="59"/>
      <c r="FP1785" s="59"/>
      <c r="FQ1785" s="59"/>
      <c r="FR1785" s="59"/>
      <c r="FS1785" s="59"/>
      <c r="FT1785" s="59"/>
      <c r="FU1785" s="59"/>
      <c r="FV1785" s="59"/>
      <c r="FW1785" s="59"/>
      <c r="FX1785" s="59"/>
      <c r="FY1785" s="59"/>
      <c r="FZ1785" s="59"/>
      <c r="GA1785" s="59"/>
      <c r="GB1785" s="59"/>
      <c r="GC1785" s="59"/>
    </row>
    <row r="1786">
      <c r="A1786" s="59"/>
      <c r="B1786" s="59"/>
      <c r="C1786" s="59"/>
      <c r="D1786" s="59"/>
      <c r="E1786" s="59"/>
      <c r="F1786" s="59"/>
      <c r="G1786" s="59"/>
      <c r="H1786" s="59"/>
      <c r="I1786" s="59"/>
      <c r="J1786" s="59"/>
      <c r="K1786" s="59"/>
      <c r="L1786" s="59"/>
      <c r="M1786" s="59"/>
      <c r="N1786" s="59"/>
      <c r="O1786" s="59"/>
      <c r="P1786" s="59"/>
      <c r="Q1786" s="59"/>
      <c r="R1786" s="59"/>
      <c r="S1786" s="59"/>
      <c r="T1786" s="59"/>
      <c r="U1786" s="59"/>
      <c r="V1786" s="59"/>
      <c r="W1786" s="59"/>
      <c r="X1786" s="59"/>
      <c r="Y1786" s="59"/>
      <c r="Z1786" s="59"/>
      <c r="AA1786" s="59"/>
      <c r="AB1786" s="59"/>
      <c r="AC1786" s="59"/>
      <c r="AD1786" s="59"/>
      <c r="AE1786" s="59"/>
      <c r="AF1786" s="59"/>
      <c r="AG1786" s="59"/>
      <c r="AH1786" s="59"/>
      <c r="AI1786" s="59"/>
      <c r="AJ1786" s="59"/>
      <c r="AK1786" s="59"/>
      <c r="AL1786" s="59"/>
      <c r="AM1786" s="59"/>
      <c r="AN1786" s="59"/>
      <c r="AO1786" s="59"/>
      <c r="AP1786" s="59"/>
      <c r="AQ1786" s="59"/>
      <c r="AR1786" s="59"/>
      <c r="AS1786" s="59"/>
      <c r="AT1786" s="59"/>
      <c r="AU1786" s="59"/>
      <c r="AV1786" s="59"/>
      <c r="AW1786" s="59"/>
      <c r="AX1786" s="59"/>
      <c r="AY1786" s="59"/>
      <c r="AZ1786" s="59"/>
      <c r="BA1786" s="59"/>
      <c r="BB1786" s="59"/>
      <c r="BC1786" s="59"/>
      <c r="BD1786" s="59"/>
      <c r="BE1786" s="59"/>
      <c r="BF1786" s="59"/>
      <c r="BG1786" s="59"/>
      <c r="BH1786" s="59"/>
      <c r="BI1786" s="59"/>
      <c r="BJ1786" s="59"/>
      <c r="BK1786" s="59"/>
      <c r="BL1786" s="59"/>
      <c r="BM1786" s="59"/>
      <c r="BN1786" s="59"/>
      <c r="BO1786" s="59"/>
      <c r="BP1786" s="59"/>
      <c r="BQ1786" s="59"/>
      <c r="BR1786" s="59"/>
      <c r="BS1786" s="59"/>
      <c r="BT1786" s="59"/>
      <c r="BU1786" s="59"/>
      <c r="BV1786" s="59"/>
      <c r="BW1786" s="59"/>
      <c r="BX1786" s="59"/>
      <c r="BY1786" s="59"/>
      <c r="BZ1786" s="59"/>
      <c r="CA1786" s="59"/>
      <c r="CB1786" s="59"/>
      <c r="CC1786" s="59"/>
      <c r="CD1786" s="59"/>
      <c r="CE1786" s="59"/>
      <c r="CF1786" s="59"/>
      <c r="CG1786" s="59"/>
      <c r="CH1786" s="59"/>
      <c r="CI1786" s="59"/>
      <c r="CJ1786" s="59"/>
      <c r="CK1786" s="59"/>
      <c r="CL1786" s="59"/>
      <c r="CM1786" s="59"/>
      <c r="CN1786" s="59"/>
      <c r="CO1786" s="59"/>
      <c r="CP1786" s="59"/>
      <c r="CQ1786" s="59"/>
      <c r="CR1786" s="59"/>
      <c r="CS1786" s="59"/>
      <c r="CT1786" s="59"/>
      <c r="CU1786" s="59"/>
      <c r="CV1786" s="59"/>
      <c r="CW1786" s="59"/>
      <c r="CX1786" s="59"/>
      <c r="CY1786" s="59"/>
      <c r="CZ1786" s="59"/>
      <c r="DA1786" s="59"/>
      <c r="DB1786" s="59"/>
      <c r="DC1786" s="59"/>
      <c r="DD1786" s="59"/>
      <c r="DE1786" s="59"/>
      <c r="DF1786" s="59"/>
      <c r="DG1786" s="59"/>
      <c r="DH1786" s="59"/>
      <c r="DI1786" s="59"/>
      <c r="DJ1786" s="59"/>
      <c r="DK1786" s="59"/>
      <c r="DL1786" s="59"/>
      <c r="DM1786" s="59"/>
      <c r="DN1786" s="59"/>
      <c r="DO1786" s="59"/>
      <c r="DP1786" s="59"/>
      <c r="DQ1786" s="59"/>
      <c r="DR1786" s="59"/>
      <c r="DS1786" s="59"/>
      <c r="DT1786" s="59"/>
      <c r="DU1786" s="59"/>
      <c r="DV1786" s="59"/>
      <c r="DW1786" s="59"/>
      <c r="DX1786" s="59"/>
      <c r="DY1786" s="59"/>
      <c r="DZ1786" s="59"/>
      <c r="EA1786" s="59"/>
      <c r="EB1786" s="59"/>
      <c r="EC1786" s="59"/>
      <c r="ED1786" s="59"/>
      <c r="EE1786" s="59"/>
      <c r="EF1786" s="59"/>
      <c r="EG1786" s="59"/>
      <c r="EH1786" s="59"/>
      <c r="EI1786" s="59"/>
      <c r="EJ1786" s="59"/>
      <c r="EK1786" s="59"/>
      <c r="EL1786" s="59"/>
      <c r="EM1786" s="59"/>
      <c r="EN1786" s="59"/>
      <c r="EO1786" s="59"/>
      <c r="EP1786" s="59"/>
      <c r="EQ1786" s="59"/>
      <c r="ER1786" s="59"/>
      <c r="ES1786" s="59"/>
      <c r="ET1786" s="59"/>
      <c r="EU1786" s="59"/>
      <c r="EV1786" s="59"/>
      <c r="EW1786" s="59"/>
      <c r="EX1786" s="59"/>
      <c r="EY1786" s="59"/>
      <c r="EZ1786" s="59"/>
      <c r="FA1786" s="59"/>
      <c r="FB1786" s="59"/>
      <c r="FC1786" s="59"/>
      <c r="FD1786" s="59"/>
      <c r="FE1786" s="59"/>
      <c r="FF1786" s="59"/>
      <c r="FG1786" s="59"/>
      <c r="FH1786" s="59"/>
      <c r="FI1786" s="59"/>
      <c r="FJ1786" s="59"/>
      <c r="FK1786" s="59"/>
      <c r="FL1786" s="59"/>
      <c r="FM1786" s="59"/>
      <c r="FN1786" s="59"/>
      <c r="FO1786" s="59"/>
      <c r="FP1786" s="59"/>
      <c r="FQ1786" s="59"/>
      <c r="FR1786" s="59"/>
      <c r="FS1786" s="59"/>
      <c r="FT1786" s="59"/>
      <c r="FU1786" s="59"/>
      <c r="FV1786" s="59"/>
      <c r="FW1786" s="59"/>
      <c r="FX1786" s="59"/>
      <c r="FY1786" s="59"/>
      <c r="FZ1786" s="59"/>
      <c r="GA1786" s="59"/>
      <c r="GB1786" s="59"/>
      <c r="GC1786" s="59"/>
    </row>
    <row r="1787">
      <c r="A1787" s="59"/>
      <c r="B1787" s="59"/>
      <c r="C1787" s="59"/>
      <c r="D1787" s="59"/>
      <c r="E1787" s="59"/>
      <c r="F1787" s="59"/>
      <c r="G1787" s="59"/>
      <c r="H1787" s="59"/>
      <c r="I1787" s="59"/>
      <c r="J1787" s="59"/>
      <c r="K1787" s="59"/>
      <c r="L1787" s="59"/>
      <c r="M1787" s="59"/>
      <c r="N1787" s="59"/>
      <c r="O1787" s="59"/>
      <c r="P1787" s="59"/>
      <c r="Q1787" s="59"/>
      <c r="R1787" s="59"/>
      <c r="S1787" s="59"/>
      <c r="T1787" s="59"/>
      <c r="U1787" s="59"/>
      <c r="V1787" s="59"/>
      <c r="W1787" s="59"/>
      <c r="X1787" s="59"/>
      <c r="Y1787" s="59"/>
      <c r="Z1787" s="59"/>
      <c r="AA1787" s="59"/>
      <c r="AB1787" s="59"/>
      <c r="AC1787" s="59"/>
      <c r="AD1787" s="59"/>
      <c r="AE1787" s="59"/>
      <c r="AF1787" s="59"/>
      <c r="AG1787" s="59"/>
      <c r="AH1787" s="59"/>
      <c r="AI1787" s="59"/>
      <c r="AJ1787" s="59"/>
      <c r="AK1787" s="59"/>
      <c r="AL1787" s="59"/>
      <c r="AM1787" s="59"/>
      <c r="AN1787" s="59"/>
      <c r="AO1787" s="59"/>
      <c r="AP1787" s="59"/>
      <c r="AQ1787" s="59"/>
      <c r="AR1787" s="59"/>
      <c r="AS1787" s="59"/>
      <c r="AT1787" s="59"/>
      <c r="AU1787" s="59"/>
      <c r="AV1787" s="59"/>
      <c r="AW1787" s="59"/>
      <c r="AX1787" s="59"/>
      <c r="AY1787" s="59"/>
      <c r="AZ1787" s="59"/>
      <c r="BA1787" s="59"/>
      <c r="BB1787" s="59"/>
      <c r="BC1787" s="59"/>
      <c r="BD1787" s="59"/>
      <c r="BE1787" s="59"/>
      <c r="BF1787" s="59"/>
      <c r="BG1787" s="59"/>
      <c r="BH1787" s="59"/>
      <c r="BI1787" s="59"/>
      <c r="BJ1787" s="59"/>
      <c r="BK1787" s="59"/>
      <c r="BL1787" s="59"/>
      <c r="BM1787" s="59"/>
      <c r="BN1787" s="59"/>
      <c r="BO1787" s="59"/>
      <c r="BP1787" s="59"/>
      <c r="BQ1787" s="59"/>
      <c r="BR1787" s="59"/>
      <c r="BS1787" s="59"/>
      <c r="BT1787" s="59"/>
      <c r="BU1787" s="59"/>
      <c r="BV1787" s="59"/>
      <c r="BW1787" s="59"/>
      <c r="BX1787" s="59"/>
      <c r="BY1787" s="59"/>
      <c r="BZ1787" s="59"/>
      <c r="CA1787" s="59"/>
      <c r="CB1787" s="59"/>
      <c r="CC1787" s="59"/>
      <c r="CD1787" s="59"/>
      <c r="CE1787" s="59"/>
      <c r="CF1787" s="59"/>
      <c r="CG1787" s="59"/>
      <c r="CH1787" s="59"/>
      <c r="CI1787" s="59"/>
      <c r="CJ1787" s="59"/>
      <c r="CK1787" s="59"/>
      <c r="CL1787" s="59"/>
      <c r="CM1787" s="59"/>
      <c r="CN1787" s="59"/>
      <c r="CO1787" s="59"/>
      <c r="CP1787" s="59"/>
      <c r="CQ1787" s="59"/>
      <c r="CR1787" s="59"/>
      <c r="CS1787" s="59"/>
      <c r="CT1787" s="59"/>
      <c r="CU1787" s="59"/>
      <c r="CV1787" s="59"/>
      <c r="CW1787" s="59"/>
      <c r="CX1787" s="59"/>
      <c r="CY1787" s="59"/>
      <c r="CZ1787" s="59"/>
      <c r="DA1787" s="59"/>
      <c r="DB1787" s="59"/>
      <c r="DC1787" s="59"/>
      <c r="DD1787" s="59"/>
      <c r="DE1787" s="59"/>
      <c r="DF1787" s="59"/>
      <c r="DG1787" s="59"/>
      <c r="DH1787" s="59"/>
      <c r="DI1787" s="59"/>
      <c r="DJ1787" s="59"/>
      <c r="DK1787" s="59"/>
      <c r="DL1787" s="59"/>
      <c r="DM1787" s="59"/>
      <c r="DN1787" s="59"/>
      <c r="DO1787" s="59"/>
      <c r="DP1787" s="59"/>
      <c r="DQ1787" s="59"/>
      <c r="DR1787" s="59"/>
      <c r="DS1787" s="59"/>
      <c r="DT1787" s="59"/>
      <c r="DU1787" s="59"/>
      <c r="DV1787" s="59"/>
      <c r="DW1787" s="59"/>
      <c r="DX1787" s="59"/>
      <c r="DY1787" s="59"/>
      <c r="DZ1787" s="59"/>
      <c r="EA1787" s="59"/>
      <c r="EB1787" s="59"/>
      <c r="EC1787" s="59"/>
      <c r="ED1787" s="59"/>
      <c r="EE1787" s="59"/>
      <c r="EF1787" s="59"/>
      <c r="EG1787" s="59"/>
      <c r="EH1787" s="59"/>
      <c r="EI1787" s="59"/>
      <c r="EJ1787" s="59"/>
      <c r="EK1787" s="59"/>
      <c r="EL1787" s="59"/>
      <c r="EM1787" s="59"/>
      <c r="EN1787" s="59"/>
      <c r="EO1787" s="59"/>
      <c r="EP1787" s="59"/>
      <c r="EQ1787" s="59"/>
      <c r="ER1787" s="59"/>
      <c r="ES1787" s="59"/>
      <c r="ET1787" s="59"/>
      <c r="EU1787" s="59"/>
      <c r="EV1787" s="59"/>
      <c r="EW1787" s="59"/>
      <c r="EX1787" s="59"/>
      <c r="EY1787" s="59"/>
      <c r="EZ1787" s="59"/>
      <c r="FA1787" s="59"/>
      <c r="FB1787" s="59"/>
      <c r="FC1787" s="59"/>
      <c r="FD1787" s="59"/>
      <c r="FE1787" s="59"/>
      <c r="FF1787" s="59"/>
      <c r="FG1787" s="59"/>
      <c r="FH1787" s="59"/>
      <c r="FI1787" s="59"/>
      <c r="FJ1787" s="59"/>
      <c r="FK1787" s="59"/>
      <c r="FL1787" s="59"/>
      <c r="FM1787" s="59"/>
      <c r="FN1787" s="59"/>
      <c r="FO1787" s="59"/>
      <c r="FP1787" s="59"/>
      <c r="FQ1787" s="59"/>
      <c r="FR1787" s="59"/>
      <c r="FS1787" s="59"/>
      <c r="FT1787" s="59"/>
      <c r="FU1787" s="59"/>
      <c r="FV1787" s="59"/>
      <c r="FW1787" s="59"/>
      <c r="FX1787" s="59"/>
      <c r="FY1787" s="59"/>
      <c r="FZ1787" s="59"/>
      <c r="GA1787" s="59"/>
      <c r="GB1787" s="59"/>
      <c r="GC1787" s="59"/>
    </row>
    <row r="1788">
      <c r="A1788" s="59"/>
      <c r="B1788" s="59"/>
      <c r="C1788" s="59"/>
      <c r="D1788" s="59"/>
      <c r="E1788" s="59"/>
      <c r="F1788" s="59"/>
      <c r="G1788" s="59"/>
      <c r="H1788" s="59"/>
      <c r="I1788" s="59"/>
      <c r="J1788" s="59"/>
      <c r="K1788" s="59"/>
      <c r="L1788" s="59"/>
      <c r="M1788" s="59"/>
      <c r="N1788" s="59"/>
      <c r="O1788" s="59"/>
      <c r="P1788" s="59"/>
      <c r="Q1788" s="59"/>
      <c r="R1788" s="59"/>
      <c r="S1788" s="59"/>
      <c r="T1788" s="59"/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59"/>
      <c r="AE1788" s="59"/>
      <c r="AF1788" s="59"/>
      <c r="AG1788" s="59"/>
      <c r="AH1788" s="59"/>
      <c r="AI1788" s="59"/>
      <c r="AJ1788" s="59"/>
      <c r="AK1788" s="59"/>
      <c r="AL1788" s="59"/>
      <c r="AM1788" s="59"/>
      <c r="AN1788" s="59"/>
      <c r="AO1788" s="59"/>
      <c r="AP1788" s="59"/>
      <c r="AQ1788" s="59"/>
      <c r="AR1788" s="59"/>
      <c r="AS1788" s="59"/>
      <c r="AT1788" s="59"/>
      <c r="AU1788" s="59"/>
      <c r="AV1788" s="59"/>
      <c r="AW1788" s="59"/>
      <c r="AX1788" s="59"/>
      <c r="AY1788" s="59"/>
      <c r="AZ1788" s="59"/>
      <c r="BA1788" s="59"/>
      <c r="BB1788" s="59"/>
      <c r="BC1788" s="59"/>
      <c r="BD1788" s="59"/>
      <c r="BE1788" s="59"/>
      <c r="BF1788" s="59"/>
      <c r="BG1788" s="59"/>
      <c r="BH1788" s="59"/>
      <c r="BI1788" s="59"/>
      <c r="BJ1788" s="59"/>
      <c r="BK1788" s="59"/>
      <c r="BL1788" s="59"/>
      <c r="BM1788" s="59"/>
      <c r="BN1788" s="59"/>
      <c r="BO1788" s="59"/>
      <c r="BP1788" s="59"/>
      <c r="BQ1788" s="59"/>
      <c r="BR1788" s="59"/>
      <c r="BS1788" s="59"/>
      <c r="BT1788" s="59"/>
      <c r="BU1788" s="59"/>
      <c r="BV1788" s="59"/>
      <c r="BW1788" s="59"/>
      <c r="BX1788" s="59"/>
      <c r="BY1788" s="59"/>
      <c r="BZ1788" s="59"/>
      <c r="CA1788" s="59"/>
      <c r="CB1788" s="59"/>
      <c r="CC1788" s="59"/>
      <c r="CD1788" s="59"/>
      <c r="CE1788" s="59"/>
      <c r="CF1788" s="59"/>
      <c r="CG1788" s="59"/>
      <c r="CH1788" s="59"/>
      <c r="CI1788" s="59"/>
      <c r="CJ1788" s="59"/>
      <c r="CK1788" s="59"/>
      <c r="CL1788" s="59"/>
      <c r="CM1788" s="59"/>
      <c r="CN1788" s="59"/>
      <c r="CO1788" s="59"/>
      <c r="CP1788" s="59"/>
      <c r="CQ1788" s="59"/>
      <c r="CR1788" s="59"/>
      <c r="CS1788" s="59"/>
      <c r="CT1788" s="59"/>
      <c r="CU1788" s="59"/>
      <c r="CV1788" s="59"/>
      <c r="CW1788" s="59"/>
      <c r="CX1788" s="59"/>
      <c r="CY1788" s="59"/>
      <c r="CZ1788" s="59"/>
      <c r="DA1788" s="59"/>
      <c r="DB1788" s="59"/>
      <c r="DC1788" s="59"/>
      <c r="DD1788" s="59"/>
      <c r="DE1788" s="59"/>
      <c r="DF1788" s="59"/>
      <c r="DG1788" s="59"/>
      <c r="DH1788" s="59"/>
      <c r="DI1788" s="59"/>
      <c r="DJ1788" s="59"/>
      <c r="DK1788" s="59"/>
      <c r="DL1788" s="59"/>
      <c r="DM1788" s="59"/>
      <c r="DN1788" s="59"/>
      <c r="DO1788" s="59"/>
      <c r="DP1788" s="59"/>
      <c r="DQ1788" s="59"/>
      <c r="DR1788" s="59"/>
      <c r="DS1788" s="59"/>
      <c r="DT1788" s="59"/>
      <c r="DU1788" s="59"/>
      <c r="DV1788" s="59"/>
      <c r="DW1788" s="59"/>
      <c r="DX1788" s="59"/>
      <c r="DY1788" s="59"/>
      <c r="DZ1788" s="59"/>
      <c r="EA1788" s="59"/>
      <c r="EB1788" s="59"/>
      <c r="EC1788" s="59"/>
      <c r="ED1788" s="59"/>
      <c r="EE1788" s="59"/>
      <c r="EF1788" s="59"/>
      <c r="EG1788" s="59"/>
      <c r="EH1788" s="59"/>
      <c r="EI1788" s="59"/>
      <c r="EJ1788" s="59"/>
      <c r="EK1788" s="59"/>
      <c r="EL1788" s="59"/>
      <c r="EM1788" s="59"/>
      <c r="EN1788" s="59"/>
      <c r="EO1788" s="59"/>
      <c r="EP1788" s="59"/>
      <c r="EQ1788" s="59"/>
      <c r="ER1788" s="59"/>
      <c r="ES1788" s="59"/>
      <c r="ET1788" s="59"/>
      <c r="EU1788" s="59"/>
      <c r="EV1788" s="59"/>
      <c r="EW1788" s="59"/>
      <c r="EX1788" s="59"/>
      <c r="EY1788" s="59"/>
      <c r="EZ1788" s="59"/>
      <c r="FA1788" s="59"/>
      <c r="FB1788" s="59"/>
      <c r="FC1788" s="59"/>
      <c r="FD1788" s="59"/>
      <c r="FE1788" s="59"/>
      <c r="FF1788" s="59"/>
      <c r="FG1788" s="59"/>
      <c r="FH1788" s="59"/>
      <c r="FI1788" s="59"/>
      <c r="FJ1788" s="59"/>
      <c r="FK1788" s="59"/>
      <c r="FL1788" s="59"/>
      <c r="FM1788" s="59"/>
      <c r="FN1788" s="59"/>
      <c r="FO1788" s="59"/>
      <c r="FP1788" s="59"/>
      <c r="FQ1788" s="59"/>
      <c r="FR1788" s="59"/>
      <c r="FS1788" s="59"/>
      <c r="FT1788" s="59"/>
      <c r="FU1788" s="59"/>
      <c r="FV1788" s="59"/>
      <c r="FW1788" s="59"/>
      <c r="FX1788" s="59"/>
      <c r="FY1788" s="59"/>
      <c r="FZ1788" s="59"/>
      <c r="GA1788" s="59"/>
      <c r="GB1788" s="59"/>
      <c r="GC1788" s="59"/>
    </row>
    <row r="1789">
      <c r="A1789" s="59"/>
      <c r="B1789" s="59"/>
      <c r="C1789" s="59"/>
      <c r="D1789" s="59"/>
      <c r="E1789" s="59"/>
      <c r="F1789" s="59"/>
      <c r="G1789" s="59"/>
      <c r="H1789" s="59"/>
      <c r="I1789" s="59"/>
      <c r="J1789" s="59"/>
      <c r="K1789" s="59"/>
      <c r="L1789" s="59"/>
      <c r="M1789" s="59"/>
      <c r="N1789" s="59"/>
      <c r="O1789" s="59"/>
      <c r="P1789" s="59"/>
      <c r="Q1789" s="59"/>
      <c r="R1789" s="59"/>
      <c r="S1789" s="59"/>
      <c r="T1789" s="59"/>
      <c r="U1789" s="59"/>
      <c r="V1789" s="59"/>
      <c r="W1789" s="59"/>
      <c r="X1789" s="59"/>
      <c r="Y1789" s="59"/>
      <c r="Z1789" s="59"/>
      <c r="AA1789" s="59"/>
      <c r="AB1789" s="59"/>
      <c r="AC1789" s="59"/>
      <c r="AD1789" s="59"/>
      <c r="AE1789" s="59"/>
      <c r="AF1789" s="59"/>
      <c r="AG1789" s="59"/>
      <c r="AH1789" s="59"/>
      <c r="AI1789" s="59"/>
      <c r="AJ1789" s="59"/>
      <c r="AK1789" s="59"/>
      <c r="AL1789" s="59"/>
      <c r="AM1789" s="59"/>
      <c r="AN1789" s="59"/>
      <c r="AO1789" s="59"/>
      <c r="AP1789" s="59"/>
      <c r="AQ1789" s="59"/>
      <c r="AR1789" s="59"/>
      <c r="AS1789" s="59"/>
      <c r="AT1789" s="59"/>
      <c r="AU1789" s="59"/>
      <c r="AV1789" s="59"/>
      <c r="AW1789" s="59"/>
      <c r="AX1789" s="59"/>
      <c r="AY1789" s="59"/>
      <c r="AZ1789" s="59"/>
      <c r="BA1789" s="59"/>
      <c r="BB1789" s="59"/>
      <c r="BC1789" s="59"/>
      <c r="BD1789" s="59"/>
      <c r="BE1789" s="59"/>
      <c r="BF1789" s="59"/>
      <c r="BG1789" s="59"/>
      <c r="BH1789" s="59"/>
      <c r="BI1789" s="59"/>
      <c r="BJ1789" s="59"/>
      <c r="BK1789" s="59"/>
      <c r="BL1789" s="59"/>
      <c r="BM1789" s="59"/>
      <c r="BN1789" s="59"/>
      <c r="BO1789" s="59"/>
      <c r="BP1789" s="59"/>
      <c r="BQ1789" s="59"/>
      <c r="BR1789" s="59"/>
      <c r="BS1789" s="59"/>
      <c r="BT1789" s="59"/>
      <c r="BU1789" s="59"/>
      <c r="BV1789" s="59"/>
      <c r="BW1789" s="59"/>
      <c r="BX1789" s="59"/>
      <c r="BY1789" s="59"/>
      <c r="BZ1789" s="59"/>
      <c r="CA1789" s="59"/>
      <c r="CB1789" s="59"/>
      <c r="CC1789" s="59"/>
      <c r="CD1789" s="59"/>
      <c r="CE1789" s="59"/>
      <c r="CF1789" s="59"/>
      <c r="CG1789" s="59"/>
      <c r="CH1789" s="59"/>
      <c r="CI1789" s="59"/>
      <c r="CJ1789" s="59"/>
      <c r="CK1789" s="59"/>
      <c r="CL1789" s="59"/>
      <c r="CM1789" s="59"/>
      <c r="CN1789" s="59"/>
      <c r="CO1789" s="59"/>
      <c r="CP1789" s="59"/>
      <c r="CQ1789" s="59"/>
      <c r="CR1789" s="59"/>
      <c r="CS1789" s="59"/>
      <c r="CT1789" s="59"/>
      <c r="CU1789" s="59"/>
      <c r="CV1789" s="59"/>
      <c r="CW1789" s="59"/>
      <c r="CX1789" s="59"/>
      <c r="CY1789" s="59"/>
      <c r="CZ1789" s="59"/>
      <c r="DA1789" s="59"/>
      <c r="DB1789" s="59"/>
      <c r="DC1789" s="59"/>
      <c r="DD1789" s="59"/>
      <c r="DE1789" s="59"/>
      <c r="DF1789" s="59"/>
      <c r="DG1789" s="59"/>
      <c r="DH1789" s="59"/>
      <c r="DI1789" s="59"/>
      <c r="DJ1789" s="59"/>
      <c r="DK1789" s="59"/>
      <c r="DL1789" s="59"/>
      <c r="DM1789" s="59"/>
      <c r="DN1789" s="59"/>
      <c r="DO1789" s="59"/>
      <c r="DP1789" s="59"/>
      <c r="DQ1789" s="59"/>
      <c r="DR1789" s="59"/>
      <c r="DS1789" s="59"/>
      <c r="DT1789" s="59"/>
      <c r="DU1789" s="59"/>
      <c r="DV1789" s="59"/>
      <c r="DW1789" s="59"/>
      <c r="DX1789" s="59"/>
      <c r="DY1789" s="59"/>
      <c r="DZ1789" s="59"/>
      <c r="EA1789" s="59"/>
      <c r="EB1789" s="59"/>
      <c r="EC1789" s="59"/>
      <c r="ED1789" s="59"/>
      <c r="EE1789" s="59"/>
      <c r="EF1789" s="59"/>
      <c r="EG1789" s="59"/>
      <c r="EH1789" s="59"/>
      <c r="EI1789" s="59"/>
      <c r="EJ1789" s="59"/>
      <c r="EK1789" s="59"/>
      <c r="EL1789" s="59"/>
      <c r="EM1789" s="59"/>
      <c r="EN1789" s="59"/>
      <c r="EO1789" s="59"/>
      <c r="EP1789" s="59"/>
      <c r="EQ1789" s="59"/>
      <c r="ER1789" s="59"/>
      <c r="ES1789" s="59"/>
      <c r="ET1789" s="59"/>
      <c r="EU1789" s="59"/>
      <c r="EV1789" s="59"/>
      <c r="EW1789" s="59"/>
      <c r="EX1789" s="59"/>
      <c r="EY1789" s="59"/>
      <c r="EZ1789" s="59"/>
      <c r="FA1789" s="59"/>
      <c r="FB1789" s="59"/>
      <c r="FC1789" s="59"/>
      <c r="FD1789" s="59"/>
      <c r="FE1789" s="59"/>
      <c r="FF1789" s="59"/>
      <c r="FG1789" s="59"/>
      <c r="FH1789" s="59"/>
      <c r="FI1789" s="59"/>
      <c r="FJ1789" s="59"/>
      <c r="FK1789" s="59"/>
      <c r="FL1789" s="59"/>
      <c r="FM1789" s="59"/>
      <c r="FN1789" s="59"/>
      <c r="FO1789" s="59"/>
      <c r="FP1789" s="59"/>
      <c r="FQ1789" s="59"/>
      <c r="FR1789" s="59"/>
      <c r="FS1789" s="59"/>
      <c r="FT1789" s="59"/>
      <c r="FU1789" s="59"/>
      <c r="FV1789" s="59"/>
      <c r="FW1789" s="59"/>
      <c r="FX1789" s="59"/>
      <c r="FY1789" s="59"/>
      <c r="FZ1789" s="59"/>
      <c r="GA1789" s="59"/>
      <c r="GB1789" s="59"/>
      <c r="GC1789" s="59"/>
    </row>
    <row r="1790">
      <c r="A1790" s="59"/>
      <c r="B1790" s="59"/>
      <c r="C1790" s="59"/>
      <c r="D1790" s="59"/>
      <c r="E1790" s="59"/>
      <c r="F1790" s="59"/>
      <c r="G1790" s="59"/>
      <c r="H1790" s="59"/>
      <c r="I1790" s="59"/>
      <c r="J1790" s="59"/>
      <c r="K1790" s="59"/>
      <c r="L1790" s="59"/>
      <c r="M1790" s="59"/>
      <c r="N1790" s="59"/>
      <c r="O1790" s="59"/>
      <c r="P1790" s="59"/>
      <c r="Q1790" s="59"/>
      <c r="R1790" s="59"/>
      <c r="S1790" s="59"/>
      <c r="T1790" s="59"/>
      <c r="U1790" s="59"/>
      <c r="V1790" s="59"/>
      <c r="W1790" s="59"/>
      <c r="X1790" s="59"/>
      <c r="Y1790" s="59"/>
      <c r="Z1790" s="59"/>
      <c r="AA1790" s="59"/>
      <c r="AB1790" s="59"/>
      <c r="AC1790" s="59"/>
      <c r="AD1790" s="59"/>
      <c r="AE1790" s="59"/>
      <c r="AF1790" s="59"/>
      <c r="AG1790" s="59"/>
      <c r="AH1790" s="59"/>
      <c r="AI1790" s="59"/>
      <c r="AJ1790" s="59"/>
      <c r="AK1790" s="59"/>
      <c r="AL1790" s="59"/>
      <c r="AM1790" s="59"/>
      <c r="AN1790" s="59"/>
      <c r="AO1790" s="59"/>
      <c r="AP1790" s="59"/>
      <c r="AQ1790" s="59"/>
      <c r="AR1790" s="59"/>
      <c r="AS1790" s="59"/>
      <c r="AT1790" s="59"/>
      <c r="AU1790" s="59"/>
      <c r="AV1790" s="59"/>
      <c r="AW1790" s="59"/>
      <c r="AX1790" s="59"/>
      <c r="AY1790" s="59"/>
      <c r="AZ1790" s="59"/>
      <c r="BA1790" s="59"/>
      <c r="BB1790" s="59"/>
      <c r="BC1790" s="59"/>
      <c r="BD1790" s="59"/>
      <c r="BE1790" s="59"/>
      <c r="BF1790" s="59"/>
      <c r="BG1790" s="59"/>
      <c r="BH1790" s="59"/>
      <c r="BI1790" s="59"/>
      <c r="BJ1790" s="59"/>
      <c r="BK1790" s="59"/>
      <c r="BL1790" s="59"/>
      <c r="BM1790" s="59"/>
      <c r="BN1790" s="59"/>
      <c r="BO1790" s="59"/>
      <c r="BP1790" s="59"/>
      <c r="BQ1790" s="59"/>
      <c r="BR1790" s="59"/>
      <c r="BS1790" s="59"/>
      <c r="BT1790" s="59"/>
      <c r="BU1790" s="59"/>
      <c r="BV1790" s="59"/>
      <c r="BW1790" s="59"/>
      <c r="BX1790" s="59"/>
      <c r="BY1790" s="59"/>
      <c r="BZ1790" s="59"/>
      <c r="CA1790" s="59"/>
      <c r="CB1790" s="59"/>
      <c r="CC1790" s="59"/>
      <c r="CD1790" s="59"/>
      <c r="CE1790" s="59"/>
      <c r="CF1790" s="59"/>
      <c r="CG1790" s="59"/>
      <c r="CH1790" s="59"/>
      <c r="CI1790" s="59"/>
      <c r="CJ1790" s="59"/>
      <c r="CK1790" s="59"/>
      <c r="CL1790" s="59"/>
      <c r="CM1790" s="59"/>
      <c r="CN1790" s="59"/>
      <c r="CO1790" s="59"/>
      <c r="CP1790" s="59"/>
      <c r="CQ1790" s="59"/>
      <c r="CR1790" s="59"/>
      <c r="CS1790" s="59"/>
      <c r="CT1790" s="59"/>
      <c r="CU1790" s="59"/>
      <c r="CV1790" s="59"/>
      <c r="CW1790" s="59"/>
      <c r="CX1790" s="59"/>
      <c r="CY1790" s="59"/>
      <c r="CZ1790" s="59"/>
      <c r="DA1790" s="59"/>
      <c r="DB1790" s="59"/>
      <c r="DC1790" s="59"/>
      <c r="DD1790" s="59"/>
      <c r="DE1790" s="59"/>
      <c r="DF1790" s="59"/>
      <c r="DG1790" s="59"/>
      <c r="DH1790" s="59"/>
      <c r="DI1790" s="59"/>
      <c r="DJ1790" s="59"/>
      <c r="DK1790" s="59"/>
      <c r="DL1790" s="59"/>
      <c r="DM1790" s="59"/>
      <c r="DN1790" s="59"/>
      <c r="DO1790" s="59"/>
      <c r="DP1790" s="59"/>
      <c r="DQ1790" s="59"/>
      <c r="DR1790" s="59"/>
      <c r="DS1790" s="59"/>
      <c r="DT1790" s="59"/>
      <c r="DU1790" s="59"/>
      <c r="DV1790" s="59"/>
      <c r="DW1790" s="59"/>
      <c r="DX1790" s="59"/>
      <c r="DY1790" s="59"/>
      <c r="DZ1790" s="59"/>
      <c r="EA1790" s="59"/>
      <c r="EB1790" s="59"/>
      <c r="EC1790" s="59"/>
      <c r="ED1790" s="59"/>
      <c r="EE1790" s="59"/>
      <c r="EF1790" s="59"/>
      <c r="EG1790" s="59"/>
      <c r="EH1790" s="59"/>
      <c r="EI1790" s="59"/>
      <c r="EJ1790" s="59"/>
      <c r="EK1790" s="59"/>
      <c r="EL1790" s="59"/>
      <c r="EM1790" s="59"/>
      <c r="EN1790" s="59"/>
      <c r="EO1790" s="59"/>
      <c r="EP1790" s="59"/>
      <c r="EQ1790" s="59"/>
      <c r="ER1790" s="59"/>
      <c r="ES1790" s="59"/>
      <c r="ET1790" s="59"/>
      <c r="EU1790" s="59"/>
      <c r="EV1790" s="59"/>
      <c r="EW1790" s="59"/>
      <c r="EX1790" s="59"/>
      <c r="EY1790" s="59"/>
      <c r="EZ1790" s="59"/>
      <c r="FA1790" s="59"/>
      <c r="FB1790" s="59"/>
      <c r="FC1790" s="59"/>
      <c r="FD1790" s="59"/>
      <c r="FE1790" s="59"/>
      <c r="FF1790" s="59"/>
      <c r="FG1790" s="59"/>
      <c r="FH1790" s="59"/>
      <c r="FI1790" s="59"/>
      <c r="FJ1790" s="59"/>
      <c r="FK1790" s="59"/>
      <c r="FL1790" s="59"/>
      <c r="FM1790" s="59"/>
      <c r="FN1790" s="59"/>
      <c r="FO1790" s="59"/>
      <c r="FP1790" s="59"/>
      <c r="FQ1790" s="59"/>
      <c r="FR1790" s="59"/>
      <c r="FS1790" s="59"/>
      <c r="FT1790" s="59"/>
      <c r="FU1790" s="59"/>
      <c r="FV1790" s="59"/>
      <c r="FW1790" s="59"/>
      <c r="FX1790" s="59"/>
      <c r="FY1790" s="59"/>
      <c r="FZ1790" s="59"/>
      <c r="GA1790" s="59"/>
      <c r="GB1790" s="59"/>
      <c r="GC1790" s="59"/>
    </row>
    <row r="1791">
      <c r="A1791" s="59"/>
      <c r="B1791" s="59"/>
      <c r="C1791" s="59"/>
      <c r="D1791" s="59"/>
      <c r="E1791" s="59"/>
      <c r="F1791" s="59"/>
      <c r="G1791" s="59"/>
      <c r="H1791" s="59"/>
      <c r="I1791" s="59"/>
      <c r="J1791" s="59"/>
      <c r="K1791" s="59"/>
      <c r="L1791" s="59"/>
      <c r="M1791" s="59"/>
      <c r="N1791" s="59"/>
      <c r="O1791" s="59"/>
      <c r="P1791" s="59"/>
      <c r="Q1791" s="59"/>
      <c r="R1791" s="59"/>
      <c r="S1791" s="59"/>
      <c r="T1791" s="59"/>
      <c r="U1791" s="59"/>
      <c r="V1791" s="59"/>
      <c r="W1791" s="59"/>
      <c r="X1791" s="59"/>
      <c r="Y1791" s="59"/>
      <c r="Z1791" s="59"/>
      <c r="AA1791" s="59"/>
      <c r="AB1791" s="59"/>
      <c r="AC1791" s="59"/>
      <c r="AD1791" s="59"/>
      <c r="AE1791" s="59"/>
      <c r="AF1791" s="59"/>
      <c r="AG1791" s="59"/>
      <c r="AH1791" s="59"/>
      <c r="AI1791" s="59"/>
      <c r="AJ1791" s="59"/>
      <c r="AK1791" s="59"/>
      <c r="AL1791" s="59"/>
      <c r="AM1791" s="59"/>
      <c r="AN1791" s="59"/>
      <c r="AO1791" s="59"/>
      <c r="AP1791" s="59"/>
      <c r="AQ1791" s="59"/>
      <c r="AR1791" s="59"/>
      <c r="AS1791" s="59"/>
      <c r="AT1791" s="59"/>
      <c r="AU1791" s="59"/>
      <c r="AV1791" s="59"/>
      <c r="AW1791" s="59"/>
      <c r="AX1791" s="59"/>
      <c r="AY1791" s="59"/>
      <c r="AZ1791" s="59"/>
      <c r="BA1791" s="59"/>
      <c r="BB1791" s="59"/>
      <c r="BC1791" s="59"/>
      <c r="BD1791" s="59"/>
      <c r="BE1791" s="59"/>
      <c r="BF1791" s="59"/>
      <c r="BG1791" s="59"/>
      <c r="BH1791" s="59"/>
      <c r="BI1791" s="59"/>
      <c r="BJ1791" s="59"/>
      <c r="BK1791" s="59"/>
      <c r="BL1791" s="59"/>
      <c r="BM1791" s="59"/>
      <c r="BN1791" s="59"/>
      <c r="BO1791" s="59"/>
      <c r="BP1791" s="59"/>
      <c r="BQ1791" s="59"/>
      <c r="BR1791" s="59"/>
      <c r="BS1791" s="59"/>
      <c r="BT1791" s="59"/>
      <c r="BU1791" s="59"/>
      <c r="BV1791" s="59"/>
      <c r="BW1791" s="59"/>
      <c r="BX1791" s="59"/>
      <c r="BY1791" s="59"/>
      <c r="BZ1791" s="59"/>
      <c r="CA1791" s="59"/>
      <c r="CB1791" s="59"/>
      <c r="CC1791" s="59"/>
      <c r="CD1791" s="59"/>
      <c r="CE1791" s="59"/>
      <c r="CF1791" s="59"/>
      <c r="CG1791" s="59"/>
      <c r="CH1791" s="59"/>
      <c r="CI1791" s="59"/>
      <c r="CJ1791" s="59"/>
      <c r="CK1791" s="59"/>
      <c r="CL1791" s="59"/>
      <c r="CM1791" s="59"/>
      <c r="CN1791" s="59"/>
      <c r="CO1791" s="59"/>
      <c r="CP1791" s="59"/>
      <c r="CQ1791" s="59"/>
      <c r="CR1791" s="59"/>
      <c r="CS1791" s="59"/>
      <c r="CT1791" s="59"/>
      <c r="CU1791" s="59"/>
      <c r="CV1791" s="59"/>
      <c r="CW1791" s="59"/>
      <c r="CX1791" s="59"/>
      <c r="CY1791" s="59"/>
      <c r="CZ1791" s="59"/>
      <c r="DA1791" s="59"/>
      <c r="DB1791" s="59"/>
      <c r="DC1791" s="59"/>
      <c r="DD1791" s="59"/>
      <c r="DE1791" s="59"/>
      <c r="DF1791" s="59"/>
      <c r="DG1791" s="59"/>
      <c r="DH1791" s="59"/>
      <c r="DI1791" s="59"/>
      <c r="DJ1791" s="59"/>
      <c r="DK1791" s="59"/>
      <c r="DL1791" s="59"/>
      <c r="DM1791" s="59"/>
      <c r="DN1791" s="59"/>
      <c r="DO1791" s="59"/>
      <c r="DP1791" s="59"/>
      <c r="DQ1791" s="59"/>
      <c r="DR1791" s="59"/>
      <c r="DS1791" s="59"/>
      <c r="DT1791" s="59"/>
      <c r="DU1791" s="59"/>
      <c r="DV1791" s="59"/>
      <c r="DW1791" s="59"/>
      <c r="DX1791" s="59"/>
      <c r="DY1791" s="59"/>
      <c r="DZ1791" s="59"/>
      <c r="EA1791" s="59"/>
      <c r="EB1791" s="59"/>
      <c r="EC1791" s="59"/>
      <c r="ED1791" s="59"/>
      <c r="EE1791" s="59"/>
      <c r="EF1791" s="59"/>
      <c r="EG1791" s="59"/>
      <c r="EH1791" s="59"/>
      <c r="EI1791" s="59"/>
      <c r="EJ1791" s="59"/>
      <c r="EK1791" s="59"/>
      <c r="EL1791" s="59"/>
      <c r="EM1791" s="59"/>
      <c r="EN1791" s="59"/>
      <c r="EO1791" s="59"/>
      <c r="EP1791" s="59"/>
      <c r="EQ1791" s="59"/>
      <c r="ER1791" s="59"/>
      <c r="ES1791" s="59"/>
      <c r="ET1791" s="59"/>
      <c r="EU1791" s="59"/>
      <c r="EV1791" s="59"/>
      <c r="EW1791" s="59"/>
      <c r="EX1791" s="59"/>
      <c r="EY1791" s="59"/>
      <c r="EZ1791" s="59"/>
      <c r="FA1791" s="59"/>
      <c r="FB1791" s="59"/>
      <c r="FC1791" s="59"/>
      <c r="FD1791" s="59"/>
      <c r="FE1791" s="59"/>
      <c r="FF1791" s="59"/>
      <c r="FG1791" s="59"/>
      <c r="FH1791" s="59"/>
      <c r="FI1791" s="59"/>
      <c r="FJ1791" s="59"/>
      <c r="FK1791" s="59"/>
      <c r="FL1791" s="59"/>
      <c r="FM1791" s="59"/>
      <c r="FN1791" s="59"/>
      <c r="FO1791" s="59"/>
      <c r="FP1791" s="59"/>
      <c r="FQ1791" s="59"/>
      <c r="FR1791" s="59"/>
      <c r="FS1791" s="59"/>
      <c r="FT1791" s="59"/>
      <c r="FU1791" s="59"/>
      <c r="FV1791" s="59"/>
      <c r="FW1791" s="59"/>
      <c r="FX1791" s="59"/>
      <c r="FY1791" s="59"/>
      <c r="FZ1791" s="59"/>
      <c r="GA1791" s="59"/>
      <c r="GB1791" s="59"/>
      <c r="GC1791" s="59"/>
    </row>
    <row r="1792">
      <c r="A1792" s="59"/>
      <c r="B1792" s="59"/>
      <c r="C1792" s="59"/>
      <c r="D1792" s="59"/>
      <c r="E1792" s="59"/>
      <c r="F1792" s="59"/>
      <c r="G1792" s="59"/>
      <c r="H1792" s="59"/>
      <c r="I1792" s="59"/>
      <c r="J1792" s="59"/>
      <c r="K1792" s="59"/>
      <c r="L1792" s="59"/>
      <c r="M1792" s="59"/>
      <c r="N1792" s="59"/>
      <c r="O1792" s="59"/>
      <c r="P1792" s="59"/>
      <c r="Q1792" s="59"/>
      <c r="R1792" s="59"/>
      <c r="S1792" s="59"/>
      <c r="T1792" s="59"/>
      <c r="U1792" s="59"/>
      <c r="V1792" s="59"/>
      <c r="W1792" s="59"/>
      <c r="X1792" s="59"/>
      <c r="Y1792" s="59"/>
      <c r="Z1792" s="59"/>
      <c r="AA1792" s="59"/>
      <c r="AB1792" s="59"/>
      <c r="AC1792" s="59"/>
      <c r="AD1792" s="59"/>
      <c r="AE1792" s="59"/>
      <c r="AF1792" s="59"/>
      <c r="AG1792" s="59"/>
      <c r="AH1792" s="59"/>
      <c r="AI1792" s="59"/>
      <c r="AJ1792" s="59"/>
      <c r="AK1792" s="59"/>
      <c r="AL1792" s="59"/>
      <c r="AM1792" s="59"/>
      <c r="AN1792" s="59"/>
      <c r="AO1792" s="59"/>
      <c r="AP1792" s="59"/>
      <c r="AQ1792" s="59"/>
      <c r="AR1792" s="59"/>
      <c r="AS1792" s="59"/>
      <c r="AT1792" s="59"/>
      <c r="AU1792" s="59"/>
      <c r="AV1792" s="59"/>
      <c r="AW1792" s="59"/>
      <c r="AX1792" s="59"/>
      <c r="AY1792" s="59"/>
      <c r="AZ1792" s="59"/>
      <c r="BA1792" s="59"/>
      <c r="BB1792" s="59"/>
      <c r="BC1792" s="59"/>
      <c r="BD1792" s="59"/>
      <c r="BE1792" s="59"/>
      <c r="BF1792" s="59"/>
      <c r="BG1792" s="59"/>
      <c r="BH1792" s="59"/>
      <c r="BI1792" s="59"/>
      <c r="BJ1792" s="59"/>
      <c r="BK1792" s="59"/>
      <c r="BL1792" s="59"/>
      <c r="BM1792" s="59"/>
      <c r="BN1792" s="59"/>
      <c r="BO1792" s="59"/>
      <c r="BP1792" s="59"/>
      <c r="BQ1792" s="59"/>
      <c r="BR1792" s="59"/>
      <c r="BS1792" s="59"/>
      <c r="BT1792" s="59"/>
      <c r="BU1792" s="59"/>
      <c r="BV1792" s="59"/>
      <c r="BW1792" s="59"/>
      <c r="BX1792" s="59"/>
      <c r="BY1792" s="59"/>
      <c r="BZ1792" s="59"/>
      <c r="CA1792" s="59"/>
      <c r="CB1792" s="59"/>
      <c r="CC1792" s="59"/>
      <c r="CD1792" s="59"/>
      <c r="CE1792" s="59"/>
      <c r="CF1792" s="59"/>
      <c r="CG1792" s="59"/>
      <c r="CH1792" s="59"/>
      <c r="CI1792" s="59"/>
      <c r="CJ1792" s="59"/>
      <c r="CK1792" s="59"/>
      <c r="CL1792" s="59"/>
      <c r="CM1792" s="59"/>
      <c r="CN1792" s="59"/>
      <c r="CO1792" s="59"/>
      <c r="CP1792" s="59"/>
      <c r="CQ1792" s="59"/>
      <c r="CR1792" s="59"/>
      <c r="CS1792" s="59"/>
      <c r="CT1792" s="59"/>
      <c r="CU1792" s="59"/>
      <c r="CV1792" s="59"/>
      <c r="CW1792" s="59"/>
      <c r="CX1792" s="59"/>
      <c r="CY1792" s="59"/>
      <c r="CZ1792" s="59"/>
      <c r="DA1792" s="59"/>
      <c r="DB1792" s="59"/>
      <c r="DC1792" s="59"/>
      <c r="DD1792" s="59"/>
      <c r="DE1792" s="59"/>
      <c r="DF1792" s="59"/>
      <c r="DG1792" s="59"/>
      <c r="DH1792" s="59"/>
      <c r="DI1792" s="59"/>
      <c r="DJ1792" s="59"/>
      <c r="DK1792" s="59"/>
      <c r="DL1792" s="59"/>
      <c r="DM1792" s="59"/>
      <c r="DN1792" s="59"/>
      <c r="DO1792" s="59"/>
      <c r="DP1792" s="59"/>
      <c r="DQ1792" s="59"/>
      <c r="DR1792" s="59"/>
      <c r="DS1792" s="59"/>
      <c r="DT1792" s="59"/>
      <c r="DU1792" s="59"/>
      <c r="DV1792" s="59"/>
      <c r="DW1792" s="59"/>
      <c r="DX1792" s="59"/>
      <c r="DY1792" s="59"/>
      <c r="DZ1792" s="59"/>
      <c r="EA1792" s="59"/>
      <c r="EB1792" s="59"/>
      <c r="EC1792" s="59"/>
      <c r="ED1792" s="59"/>
      <c r="EE1792" s="59"/>
      <c r="EF1792" s="59"/>
      <c r="EG1792" s="59"/>
      <c r="EH1792" s="59"/>
      <c r="EI1792" s="59"/>
      <c r="EJ1792" s="59"/>
      <c r="EK1792" s="59"/>
      <c r="EL1792" s="59"/>
      <c r="EM1792" s="59"/>
      <c r="EN1792" s="59"/>
      <c r="EO1792" s="59"/>
      <c r="EP1792" s="59"/>
      <c r="EQ1792" s="59"/>
      <c r="ER1792" s="59"/>
      <c r="ES1792" s="59"/>
      <c r="ET1792" s="59"/>
      <c r="EU1792" s="59"/>
      <c r="EV1792" s="59"/>
      <c r="EW1792" s="59"/>
      <c r="EX1792" s="59"/>
      <c r="EY1792" s="59"/>
      <c r="EZ1792" s="59"/>
      <c r="FA1792" s="59"/>
      <c r="FB1792" s="59"/>
      <c r="FC1792" s="59"/>
      <c r="FD1792" s="59"/>
      <c r="FE1792" s="59"/>
      <c r="FF1792" s="59"/>
      <c r="FG1792" s="59"/>
      <c r="FH1792" s="59"/>
      <c r="FI1792" s="59"/>
      <c r="FJ1792" s="59"/>
      <c r="FK1792" s="59"/>
      <c r="FL1792" s="59"/>
      <c r="FM1792" s="59"/>
      <c r="FN1792" s="59"/>
      <c r="FO1792" s="59"/>
      <c r="FP1792" s="59"/>
      <c r="FQ1792" s="59"/>
      <c r="FR1792" s="59"/>
      <c r="FS1792" s="59"/>
      <c r="FT1792" s="59"/>
      <c r="FU1792" s="59"/>
      <c r="FV1792" s="59"/>
      <c r="FW1792" s="59"/>
      <c r="FX1792" s="59"/>
      <c r="FY1792" s="59"/>
      <c r="FZ1792" s="59"/>
      <c r="GA1792" s="59"/>
      <c r="GB1792" s="59"/>
      <c r="GC1792" s="59"/>
    </row>
    <row r="1793">
      <c r="A1793" s="59"/>
      <c r="B1793" s="59"/>
      <c r="C1793" s="59"/>
      <c r="D1793" s="59"/>
      <c r="E1793" s="59"/>
      <c r="F1793" s="59"/>
      <c r="G1793" s="59"/>
      <c r="H1793" s="59"/>
      <c r="I1793" s="59"/>
      <c r="J1793" s="59"/>
      <c r="K1793" s="59"/>
      <c r="L1793" s="59"/>
      <c r="M1793" s="59"/>
      <c r="N1793" s="59"/>
      <c r="O1793" s="59"/>
      <c r="P1793" s="59"/>
      <c r="Q1793" s="59"/>
      <c r="R1793" s="59"/>
      <c r="S1793" s="59"/>
      <c r="T1793" s="59"/>
      <c r="U1793" s="59"/>
      <c r="V1793" s="59"/>
      <c r="W1793" s="59"/>
      <c r="X1793" s="59"/>
      <c r="Y1793" s="59"/>
      <c r="Z1793" s="59"/>
      <c r="AA1793" s="59"/>
      <c r="AB1793" s="59"/>
      <c r="AC1793" s="59"/>
      <c r="AD1793" s="59"/>
      <c r="AE1793" s="59"/>
      <c r="AF1793" s="59"/>
      <c r="AG1793" s="59"/>
      <c r="AH1793" s="59"/>
      <c r="AI1793" s="59"/>
      <c r="AJ1793" s="59"/>
      <c r="AK1793" s="59"/>
      <c r="AL1793" s="59"/>
      <c r="AM1793" s="59"/>
      <c r="AN1793" s="59"/>
      <c r="AO1793" s="59"/>
      <c r="AP1793" s="59"/>
      <c r="AQ1793" s="59"/>
      <c r="AR1793" s="59"/>
      <c r="AS1793" s="59"/>
      <c r="AT1793" s="59"/>
      <c r="AU1793" s="59"/>
      <c r="AV1793" s="59"/>
      <c r="AW1793" s="59"/>
      <c r="AX1793" s="59"/>
      <c r="AY1793" s="59"/>
      <c r="AZ1793" s="59"/>
      <c r="BA1793" s="59"/>
      <c r="BB1793" s="59"/>
      <c r="BC1793" s="59"/>
      <c r="BD1793" s="59"/>
      <c r="BE1793" s="59"/>
      <c r="BF1793" s="59"/>
      <c r="BG1793" s="59"/>
      <c r="BH1793" s="59"/>
      <c r="BI1793" s="59"/>
      <c r="BJ1793" s="59"/>
      <c r="BK1793" s="59"/>
      <c r="BL1793" s="59"/>
      <c r="BM1793" s="59"/>
      <c r="BN1793" s="59"/>
      <c r="BO1793" s="59"/>
      <c r="BP1793" s="59"/>
      <c r="BQ1793" s="59"/>
      <c r="BR1793" s="59"/>
      <c r="BS1793" s="59"/>
      <c r="BT1793" s="59"/>
      <c r="BU1793" s="59"/>
      <c r="BV1793" s="59"/>
      <c r="BW1793" s="59"/>
      <c r="BX1793" s="59"/>
      <c r="BY1793" s="59"/>
      <c r="BZ1793" s="59"/>
      <c r="CA1793" s="59"/>
      <c r="CB1793" s="59"/>
      <c r="CC1793" s="59"/>
      <c r="CD1793" s="59"/>
      <c r="CE1793" s="59"/>
      <c r="CF1793" s="59"/>
      <c r="CG1793" s="59"/>
      <c r="CH1793" s="59"/>
      <c r="CI1793" s="59"/>
      <c r="CJ1793" s="59"/>
      <c r="CK1793" s="59"/>
      <c r="CL1793" s="59"/>
      <c r="CM1793" s="59"/>
      <c r="CN1793" s="59"/>
      <c r="CO1793" s="59"/>
      <c r="CP1793" s="59"/>
      <c r="CQ1793" s="59"/>
      <c r="CR1793" s="59"/>
      <c r="CS1793" s="59"/>
      <c r="CT1793" s="59"/>
      <c r="CU1793" s="59"/>
      <c r="CV1793" s="59"/>
      <c r="CW1793" s="59"/>
      <c r="CX1793" s="59"/>
      <c r="CY1793" s="59"/>
      <c r="CZ1793" s="59"/>
      <c r="DA1793" s="59"/>
      <c r="DB1793" s="59"/>
      <c r="DC1793" s="59"/>
      <c r="DD1793" s="59"/>
      <c r="DE1793" s="59"/>
      <c r="DF1793" s="59"/>
      <c r="DG1793" s="59"/>
      <c r="DH1793" s="59"/>
      <c r="DI1793" s="59"/>
      <c r="DJ1793" s="59"/>
      <c r="DK1793" s="59"/>
      <c r="DL1793" s="59"/>
      <c r="DM1793" s="59"/>
      <c r="DN1793" s="59"/>
      <c r="DO1793" s="59"/>
      <c r="DP1793" s="59"/>
      <c r="DQ1793" s="59"/>
      <c r="DR1793" s="59"/>
      <c r="DS1793" s="59"/>
      <c r="DT1793" s="59"/>
      <c r="DU1793" s="59"/>
      <c r="DV1793" s="59"/>
      <c r="DW1793" s="59"/>
      <c r="DX1793" s="59"/>
      <c r="DY1793" s="59"/>
      <c r="DZ1793" s="59"/>
      <c r="EA1793" s="59"/>
      <c r="EB1793" s="59"/>
      <c r="EC1793" s="59"/>
      <c r="ED1793" s="59"/>
      <c r="EE1793" s="59"/>
      <c r="EF1793" s="59"/>
      <c r="EG1793" s="59"/>
      <c r="EH1793" s="59"/>
      <c r="EI1793" s="59"/>
      <c r="EJ1793" s="59"/>
      <c r="EK1793" s="59"/>
      <c r="EL1793" s="59"/>
      <c r="EM1793" s="59"/>
      <c r="EN1793" s="59"/>
      <c r="EO1793" s="59"/>
      <c r="EP1793" s="59"/>
      <c r="EQ1793" s="59"/>
      <c r="ER1793" s="59"/>
      <c r="ES1793" s="59"/>
      <c r="ET1793" s="59"/>
      <c r="EU1793" s="59"/>
      <c r="EV1793" s="59"/>
      <c r="EW1793" s="59"/>
      <c r="EX1793" s="59"/>
      <c r="EY1793" s="59"/>
      <c r="EZ1793" s="59"/>
      <c r="FA1793" s="59"/>
      <c r="FB1793" s="59"/>
      <c r="FC1793" s="59"/>
      <c r="FD1793" s="59"/>
      <c r="FE1793" s="59"/>
      <c r="FF1793" s="59"/>
      <c r="FG1793" s="59"/>
      <c r="FH1793" s="59"/>
      <c r="FI1793" s="59"/>
      <c r="FJ1793" s="59"/>
      <c r="FK1793" s="59"/>
      <c r="FL1793" s="59"/>
      <c r="FM1793" s="59"/>
      <c r="FN1793" s="59"/>
      <c r="FO1793" s="59"/>
      <c r="FP1793" s="59"/>
      <c r="FQ1793" s="59"/>
      <c r="FR1793" s="59"/>
      <c r="FS1793" s="59"/>
      <c r="FT1793" s="59"/>
      <c r="FU1793" s="59"/>
      <c r="FV1793" s="59"/>
      <c r="FW1793" s="59"/>
      <c r="FX1793" s="59"/>
      <c r="FY1793" s="59"/>
      <c r="FZ1793" s="59"/>
      <c r="GA1793" s="59"/>
      <c r="GB1793" s="59"/>
      <c r="GC1793" s="59"/>
    </row>
    <row r="1794">
      <c r="A1794" s="59"/>
      <c r="B1794" s="59"/>
      <c r="C1794" s="59"/>
      <c r="D1794" s="59"/>
      <c r="E1794" s="59"/>
      <c r="F1794" s="59"/>
      <c r="G1794" s="59"/>
      <c r="H1794" s="59"/>
      <c r="I1794" s="59"/>
      <c r="J1794" s="59"/>
      <c r="K1794" s="59"/>
      <c r="L1794" s="59"/>
      <c r="M1794" s="59"/>
      <c r="N1794" s="59"/>
      <c r="O1794" s="59"/>
      <c r="P1794" s="59"/>
      <c r="Q1794" s="59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59"/>
      <c r="AG1794" s="59"/>
      <c r="AH1794" s="59"/>
      <c r="AI1794" s="59"/>
      <c r="AJ1794" s="59"/>
      <c r="AK1794" s="59"/>
      <c r="AL1794" s="59"/>
      <c r="AM1794" s="59"/>
      <c r="AN1794" s="59"/>
      <c r="AO1794" s="59"/>
      <c r="AP1794" s="59"/>
      <c r="AQ1794" s="59"/>
      <c r="AR1794" s="59"/>
      <c r="AS1794" s="59"/>
      <c r="AT1794" s="59"/>
      <c r="AU1794" s="59"/>
      <c r="AV1794" s="59"/>
      <c r="AW1794" s="59"/>
      <c r="AX1794" s="59"/>
      <c r="AY1794" s="59"/>
      <c r="AZ1794" s="59"/>
      <c r="BA1794" s="59"/>
      <c r="BB1794" s="59"/>
      <c r="BC1794" s="59"/>
      <c r="BD1794" s="59"/>
      <c r="BE1794" s="59"/>
      <c r="BF1794" s="59"/>
      <c r="BG1794" s="59"/>
      <c r="BH1794" s="59"/>
      <c r="BI1794" s="59"/>
      <c r="BJ1794" s="59"/>
      <c r="BK1794" s="59"/>
      <c r="BL1794" s="59"/>
      <c r="BM1794" s="59"/>
      <c r="BN1794" s="59"/>
      <c r="BO1794" s="59"/>
      <c r="BP1794" s="59"/>
      <c r="BQ1794" s="59"/>
      <c r="BR1794" s="59"/>
      <c r="BS1794" s="59"/>
      <c r="BT1794" s="59"/>
      <c r="BU1794" s="59"/>
      <c r="BV1794" s="59"/>
      <c r="BW1794" s="59"/>
      <c r="BX1794" s="59"/>
      <c r="BY1794" s="59"/>
      <c r="BZ1794" s="59"/>
      <c r="CA1794" s="59"/>
      <c r="CB1794" s="59"/>
      <c r="CC1794" s="59"/>
      <c r="CD1794" s="59"/>
      <c r="CE1794" s="59"/>
      <c r="CF1794" s="59"/>
      <c r="CG1794" s="59"/>
      <c r="CH1794" s="59"/>
      <c r="CI1794" s="59"/>
      <c r="CJ1794" s="59"/>
      <c r="CK1794" s="59"/>
      <c r="CL1794" s="59"/>
      <c r="CM1794" s="59"/>
      <c r="CN1794" s="59"/>
      <c r="CO1794" s="59"/>
      <c r="CP1794" s="59"/>
      <c r="CQ1794" s="59"/>
      <c r="CR1794" s="59"/>
      <c r="CS1794" s="59"/>
      <c r="CT1794" s="59"/>
      <c r="CU1794" s="59"/>
      <c r="CV1794" s="59"/>
      <c r="CW1794" s="59"/>
      <c r="CX1794" s="59"/>
      <c r="CY1794" s="59"/>
      <c r="CZ1794" s="59"/>
      <c r="DA1794" s="59"/>
      <c r="DB1794" s="59"/>
      <c r="DC1794" s="59"/>
      <c r="DD1794" s="59"/>
      <c r="DE1794" s="59"/>
      <c r="DF1794" s="59"/>
      <c r="DG1794" s="59"/>
      <c r="DH1794" s="59"/>
      <c r="DI1794" s="59"/>
      <c r="DJ1794" s="59"/>
      <c r="DK1794" s="59"/>
      <c r="DL1794" s="59"/>
      <c r="DM1794" s="59"/>
      <c r="DN1794" s="59"/>
      <c r="DO1794" s="59"/>
      <c r="DP1794" s="59"/>
      <c r="DQ1794" s="59"/>
      <c r="DR1794" s="59"/>
      <c r="DS1794" s="59"/>
      <c r="DT1794" s="59"/>
      <c r="DU1794" s="59"/>
      <c r="DV1794" s="59"/>
      <c r="DW1794" s="59"/>
      <c r="DX1794" s="59"/>
      <c r="DY1794" s="59"/>
      <c r="DZ1794" s="59"/>
      <c r="EA1794" s="59"/>
      <c r="EB1794" s="59"/>
      <c r="EC1794" s="59"/>
      <c r="ED1794" s="59"/>
      <c r="EE1794" s="59"/>
      <c r="EF1794" s="59"/>
      <c r="EG1794" s="59"/>
      <c r="EH1794" s="59"/>
      <c r="EI1794" s="59"/>
      <c r="EJ1794" s="59"/>
      <c r="EK1794" s="59"/>
      <c r="EL1794" s="59"/>
      <c r="EM1794" s="59"/>
      <c r="EN1794" s="59"/>
      <c r="EO1794" s="59"/>
      <c r="EP1794" s="59"/>
      <c r="EQ1794" s="59"/>
      <c r="ER1794" s="59"/>
      <c r="ES1794" s="59"/>
      <c r="ET1794" s="59"/>
      <c r="EU1794" s="59"/>
      <c r="EV1794" s="59"/>
      <c r="EW1794" s="59"/>
      <c r="EX1794" s="59"/>
      <c r="EY1794" s="59"/>
      <c r="EZ1794" s="59"/>
      <c r="FA1794" s="59"/>
      <c r="FB1794" s="59"/>
      <c r="FC1794" s="59"/>
      <c r="FD1794" s="59"/>
      <c r="FE1794" s="59"/>
      <c r="FF1794" s="59"/>
      <c r="FG1794" s="59"/>
      <c r="FH1794" s="59"/>
      <c r="FI1794" s="59"/>
      <c r="FJ1794" s="59"/>
      <c r="FK1794" s="59"/>
      <c r="FL1794" s="59"/>
      <c r="FM1794" s="59"/>
      <c r="FN1794" s="59"/>
      <c r="FO1794" s="59"/>
      <c r="FP1794" s="59"/>
      <c r="FQ1794" s="59"/>
      <c r="FR1794" s="59"/>
      <c r="FS1794" s="59"/>
      <c r="FT1794" s="59"/>
      <c r="FU1794" s="59"/>
      <c r="FV1794" s="59"/>
      <c r="FW1794" s="59"/>
      <c r="FX1794" s="59"/>
      <c r="FY1794" s="59"/>
      <c r="FZ1794" s="59"/>
      <c r="GA1794" s="59"/>
      <c r="GB1794" s="59"/>
      <c r="GC1794" s="59"/>
    </row>
    <row r="1795">
      <c r="A1795" s="59"/>
      <c r="B1795" s="59"/>
      <c r="C1795" s="59"/>
      <c r="D1795" s="59"/>
      <c r="E1795" s="59"/>
      <c r="F1795" s="59"/>
      <c r="G1795" s="59"/>
      <c r="H1795" s="59"/>
      <c r="I1795" s="59"/>
      <c r="J1795" s="59"/>
      <c r="K1795" s="59"/>
      <c r="L1795" s="59"/>
      <c r="M1795" s="59"/>
      <c r="N1795" s="59"/>
      <c r="O1795" s="59"/>
      <c r="P1795" s="59"/>
      <c r="Q1795" s="59"/>
      <c r="R1795" s="59"/>
      <c r="S1795" s="59"/>
      <c r="T1795" s="59"/>
      <c r="U1795" s="59"/>
      <c r="V1795" s="59"/>
      <c r="W1795" s="59"/>
      <c r="X1795" s="59"/>
      <c r="Y1795" s="59"/>
      <c r="Z1795" s="59"/>
      <c r="AA1795" s="59"/>
      <c r="AB1795" s="59"/>
      <c r="AC1795" s="59"/>
      <c r="AD1795" s="59"/>
      <c r="AE1795" s="59"/>
      <c r="AF1795" s="59"/>
      <c r="AG1795" s="59"/>
      <c r="AH1795" s="59"/>
      <c r="AI1795" s="59"/>
      <c r="AJ1795" s="59"/>
      <c r="AK1795" s="59"/>
      <c r="AL1795" s="59"/>
      <c r="AM1795" s="59"/>
      <c r="AN1795" s="59"/>
      <c r="AO1795" s="59"/>
      <c r="AP1795" s="59"/>
      <c r="AQ1795" s="59"/>
      <c r="AR1795" s="59"/>
      <c r="AS1795" s="59"/>
      <c r="AT1795" s="59"/>
      <c r="AU1795" s="59"/>
      <c r="AV1795" s="59"/>
      <c r="AW1795" s="59"/>
      <c r="AX1795" s="59"/>
      <c r="AY1795" s="59"/>
      <c r="AZ1795" s="59"/>
      <c r="BA1795" s="59"/>
      <c r="BB1795" s="59"/>
      <c r="BC1795" s="59"/>
      <c r="BD1795" s="59"/>
      <c r="BE1795" s="59"/>
      <c r="BF1795" s="59"/>
      <c r="BG1795" s="59"/>
      <c r="BH1795" s="59"/>
      <c r="BI1795" s="59"/>
      <c r="BJ1795" s="59"/>
      <c r="BK1795" s="59"/>
      <c r="BL1795" s="59"/>
      <c r="BM1795" s="59"/>
      <c r="BN1795" s="59"/>
      <c r="BO1795" s="59"/>
      <c r="BP1795" s="59"/>
      <c r="BQ1795" s="59"/>
      <c r="BR1795" s="59"/>
      <c r="BS1795" s="59"/>
      <c r="BT1795" s="59"/>
      <c r="BU1795" s="59"/>
      <c r="BV1795" s="59"/>
      <c r="BW1795" s="59"/>
      <c r="BX1795" s="59"/>
      <c r="BY1795" s="59"/>
      <c r="BZ1795" s="59"/>
      <c r="CA1795" s="59"/>
      <c r="CB1795" s="59"/>
      <c r="CC1795" s="59"/>
      <c r="CD1795" s="59"/>
      <c r="CE1795" s="59"/>
      <c r="CF1795" s="59"/>
      <c r="CG1795" s="59"/>
      <c r="CH1795" s="59"/>
      <c r="CI1795" s="59"/>
      <c r="CJ1795" s="59"/>
      <c r="CK1795" s="59"/>
      <c r="CL1795" s="59"/>
      <c r="CM1795" s="59"/>
      <c r="CN1795" s="59"/>
      <c r="CO1795" s="59"/>
      <c r="CP1795" s="59"/>
      <c r="CQ1795" s="59"/>
      <c r="CR1795" s="59"/>
      <c r="CS1795" s="59"/>
      <c r="CT1795" s="59"/>
      <c r="CU1795" s="59"/>
      <c r="CV1795" s="59"/>
      <c r="CW1795" s="59"/>
      <c r="CX1795" s="59"/>
      <c r="CY1795" s="59"/>
      <c r="CZ1795" s="59"/>
      <c r="DA1795" s="59"/>
      <c r="DB1795" s="59"/>
      <c r="DC1795" s="59"/>
      <c r="DD1795" s="59"/>
      <c r="DE1795" s="59"/>
      <c r="DF1795" s="59"/>
      <c r="DG1795" s="59"/>
      <c r="DH1795" s="59"/>
      <c r="DI1795" s="59"/>
      <c r="DJ1795" s="59"/>
      <c r="DK1795" s="59"/>
      <c r="DL1795" s="59"/>
      <c r="DM1795" s="59"/>
      <c r="DN1795" s="59"/>
      <c r="DO1795" s="59"/>
      <c r="DP1795" s="59"/>
      <c r="DQ1795" s="59"/>
      <c r="DR1795" s="59"/>
      <c r="DS1795" s="59"/>
      <c r="DT1795" s="59"/>
      <c r="DU1795" s="59"/>
      <c r="DV1795" s="59"/>
      <c r="DW1795" s="59"/>
      <c r="DX1795" s="59"/>
      <c r="DY1795" s="59"/>
      <c r="DZ1795" s="59"/>
      <c r="EA1795" s="59"/>
      <c r="EB1795" s="59"/>
      <c r="EC1795" s="59"/>
      <c r="ED1795" s="59"/>
      <c r="EE1795" s="59"/>
      <c r="EF1795" s="59"/>
      <c r="EG1795" s="59"/>
      <c r="EH1795" s="59"/>
      <c r="EI1795" s="59"/>
      <c r="EJ1795" s="59"/>
      <c r="EK1795" s="59"/>
      <c r="EL1795" s="59"/>
      <c r="EM1795" s="59"/>
      <c r="EN1795" s="59"/>
      <c r="EO1795" s="59"/>
      <c r="EP1795" s="59"/>
      <c r="EQ1795" s="59"/>
      <c r="ER1795" s="59"/>
      <c r="ES1795" s="59"/>
      <c r="ET1795" s="59"/>
      <c r="EU1795" s="59"/>
      <c r="EV1795" s="59"/>
      <c r="EW1795" s="59"/>
      <c r="EX1795" s="59"/>
      <c r="EY1795" s="59"/>
      <c r="EZ1795" s="59"/>
      <c r="FA1795" s="59"/>
      <c r="FB1795" s="59"/>
      <c r="FC1795" s="59"/>
      <c r="FD1795" s="59"/>
      <c r="FE1795" s="59"/>
      <c r="FF1795" s="59"/>
      <c r="FG1795" s="59"/>
      <c r="FH1795" s="59"/>
      <c r="FI1795" s="59"/>
      <c r="FJ1795" s="59"/>
      <c r="FK1795" s="59"/>
      <c r="FL1795" s="59"/>
      <c r="FM1795" s="59"/>
      <c r="FN1795" s="59"/>
      <c r="FO1795" s="59"/>
      <c r="FP1795" s="59"/>
      <c r="FQ1795" s="59"/>
      <c r="FR1795" s="59"/>
      <c r="FS1795" s="59"/>
      <c r="FT1795" s="59"/>
      <c r="FU1795" s="59"/>
      <c r="FV1795" s="59"/>
      <c r="FW1795" s="59"/>
      <c r="FX1795" s="59"/>
      <c r="FY1795" s="59"/>
      <c r="FZ1795" s="59"/>
      <c r="GA1795" s="59"/>
      <c r="GB1795" s="59"/>
      <c r="GC1795" s="59"/>
    </row>
    <row r="1796">
      <c r="A1796" s="59"/>
      <c r="B1796" s="59"/>
      <c r="C1796" s="59"/>
      <c r="D1796" s="59"/>
      <c r="E1796" s="59"/>
      <c r="F1796" s="59"/>
      <c r="G1796" s="59"/>
      <c r="H1796" s="59"/>
      <c r="I1796" s="59"/>
      <c r="J1796" s="59"/>
      <c r="K1796" s="59"/>
      <c r="L1796" s="59"/>
      <c r="M1796" s="59"/>
      <c r="N1796" s="59"/>
      <c r="O1796" s="59"/>
      <c r="P1796" s="59"/>
      <c r="Q1796" s="59"/>
      <c r="R1796" s="59"/>
      <c r="S1796" s="59"/>
      <c r="T1796" s="59"/>
      <c r="U1796" s="59"/>
      <c r="V1796" s="59"/>
      <c r="W1796" s="59"/>
      <c r="X1796" s="59"/>
      <c r="Y1796" s="59"/>
      <c r="Z1796" s="59"/>
      <c r="AA1796" s="59"/>
      <c r="AB1796" s="59"/>
      <c r="AC1796" s="59"/>
      <c r="AD1796" s="59"/>
      <c r="AE1796" s="59"/>
      <c r="AF1796" s="59"/>
      <c r="AG1796" s="59"/>
      <c r="AH1796" s="59"/>
      <c r="AI1796" s="59"/>
      <c r="AJ1796" s="59"/>
      <c r="AK1796" s="59"/>
      <c r="AL1796" s="59"/>
      <c r="AM1796" s="59"/>
      <c r="AN1796" s="59"/>
      <c r="AO1796" s="59"/>
      <c r="AP1796" s="59"/>
      <c r="AQ1796" s="59"/>
      <c r="AR1796" s="59"/>
      <c r="AS1796" s="59"/>
      <c r="AT1796" s="59"/>
      <c r="AU1796" s="59"/>
      <c r="AV1796" s="59"/>
      <c r="AW1796" s="59"/>
      <c r="AX1796" s="59"/>
      <c r="AY1796" s="59"/>
      <c r="AZ1796" s="59"/>
      <c r="BA1796" s="59"/>
      <c r="BB1796" s="59"/>
      <c r="BC1796" s="59"/>
      <c r="BD1796" s="59"/>
      <c r="BE1796" s="59"/>
      <c r="BF1796" s="59"/>
      <c r="BG1796" s="59"/>
      <c r="BH1796" s="59"/>
      <c r="BI1796" s="59"/>
      <c r="BJ1796" s="59"/>
      <c r="BK1796" s="59"/>
      <c r="BL1796" s="59"/>
      <c r="BM1796" s="59"/>
      <c r="BN1796" s="59"/>
      <c r="BO1796" s="59"/>
      <c r="BP1796" s="59"/>
      <c r="BQ1796" s="59"/>
      <c r="BR1796" s="59"/>
      <c r="BS1796" s="59"/>
      <c r="BT1796" s="59"/>
      <c r="BU1796" s="59"/>
      <c r="BV1796" s="59"/>
      <c r="BW1796" s="59"/>
      <c r="BX1796" s="59"/>
      <c r="BY1796" s="59"/>
      <c r="BZ1796" s="59"/>
      <c r="CA1796" s="59"/>
      <c r="CB1796" s="59"/>
      <c r="CC1796" s="59"/>
      <c r="CD1796" s="59"/>
      <c r="CE1796" s="59"/>
      <c r="CF1796" s="59"/>
      <c r="CG1796" s="59"/>
      <c r="CH1796" s="59"/>
      <c r="CI1796" s="59"/>
      <c r="CJ1796" s="59"/>
      <c r="CK1796" s="59"/>
      <c r="CL1796" s="59"/>
      <c r="CM1796" s="59"/>
      <c r="CN1796" s="59"/>
      <c r="CO1796" s="59"/>
      <c r="CP1796" s="59"/>
      <c r="CQ1796" s="59"/>
      <c r="CR1796" s="59"/>
      <c r="CS1796" s="59"/>
      <c r="CT1796" s="59"/>
      <c r="CU1796" s="59"/>
      <c r="CV1796" s="59"/>
      <c r="CW1796" s="59"/>
      <c r="CX1796" s="59"/>
      <c r="CY1796" s="59"/>
      <c r="CZ1796" s="59"/>
      <c r="DA1796" s="59"/>
      <c r="DB1796" s="59"/>
      <c r="DC1796" s="59"/>
      <c r="DD1796" s="59"/>
      <c r="DE1796" s="59"/>
      <c r="DF1796" s="59"/>
      <c r="DG1796" s="59"/>
      <c r="DH1796" s="59"/>
      <c r="DI1796" s="59"/>
      <c r="DJ1796" s="59"/>
      <c r="DK1796" s="59"/>
      <c r="DL1796" s="59"/>
      <c r="DM1796" s="59"/>
      <c r="DN1796" s="59"/>
      <c r="DO1796" s="59"/>
      <c r="DP1796" s="59"/>
      <c r="DQ1796" s="59"/>
      <c r="DR1796" s="59"/>
      <c r="DS1796" s="59"/>
      <c r="DT1796" s="59"/>
      <c r="DU1796" s="59"/>
      <c r="DV1796" s="59"/>
      <c r="DW1796" s="59"/>
      <c r="DX1796" s="59"/>
      <c r="DY1796" s="59"/>
      <c r="DZ1796" s="59"/>
      <c r="EA1796" s="59"/>
      <c r="EB1796" s="59"/>
      <c r="EC1796" s="59"/>
      <c r="ED1796" s="59"/>
      <c r="EE1796" s="59"/>
      <c r="EF1796" s="59"/>
      <c r="EG1796" s="59"/>
      <c r="EH1796" s="59"/>
      <c r="EI1796" s="59"/>
      <c r="EJ1796" s="59"/>
      <c r="EK1796" s="59"/>
      <c r="EL1796" s="59"/>
      <c r="EM1796" s="59"/>
      <c r="EN1796" s="59"/>
      <c r="EO1796" s="59"/>
      <c r="EP1796" s="59"/>
      <c r="EQ1796" s="59"/>
      <c r="ER1796" s="59"/>
      <c r="ES1796" s="59"/>
      <c r="ET1796" s="59"/>
      <c r="EU1796" s="59"/>
      <c r="EV1796" s="59"/>
      <c r="EW1796" s="59"/>
      <c r="EX1796" s="59"/>
      <c r="EY1796" s="59"/>
      <c r="EZ1796" s="59"/>
      <c r="FA1796" s="59"/>
      <c r="FB1796" s="59"/>
      <c r="FC1796" s="59"/>
      <c r="FD1796" s="59"/>
      <c r="FE1796" s="59"/>
      <c r="FF1796" s="59"/>
      <c r="FG1796" s="59"/>
      <c r="FH1796" s="59"/>
      <c r="FI1796" s="59"/>
      <c r="FJ1796" s="59"/>
      <c r="FK1796" s="59"/>
      <c r="FL1796" s="59"/>
      <c r="FM1796" s="59"/>
      <c r="FN1796" s="59"/>
      <c r="FO1796" s="59"/>
      <c r="FP1796" s="59"/>
      <c r="FQ1796" s="59"/>
      <c r="FR1796" s="59"/>
      <c r="FS1796" s="59"/>
      <c r="FT1796" s="59"/>
      <c r="FU1796" s="59"/>
      <c r="FV1796" s="59"/>
      <c r="FW1796" s="59"/>
      <c r="FX1796" s="59"/>
      <c r="FY1796" s="59"/>
      <c r="FZ1796" s="59"/>
      <c r="GA1796" s="59"/>
      <c r="GB1796" s="59"/>
      <c r="GC1796" s="59"/>
    </row>
    <row r="1797">
      <c r="A1797" s="59"/>
      <c r="B1797" s="59"/>
      <c r="C1797" s="59"/>
      <c r="D1797" s="59"/>
      <c r="E1797" s="59"/>
      <c r="F1797" s="59"/>
      <c r="G1797" s="59"/>
      <c r="H1797" s="59"/>
      <c r="I1797" s="59"/>
      <c r="J1797" s="59"/>
      <c r="K1797" s="59"/>
      <c r="L1797" s="59"/>
      <c r="M1797" s="59"/>
      <c r="N1797" s="59"/>
      <c r="O1797" s="59"/>
      <c r="P1797" s="59"/>
      <c r="Q1797" s="59"/>
      <c r="R1797" s="59"/>
      <c r="S1797" s="59"/>
      <c r="T1797" s="59"/>
      <c r="U1797" s="59"/>
      <c r="V1797" s="59"/>
      <c r="W1797" s="59"/>
      <c r="X1797" s="59"/>
      <c r="Y1797" s="59"/>
      <c r="Z1797" s="59"/>
      <c r="AA1797" s="59"/>
      <c r="AB1797" s="59"/>
      <c r="AC1797" s="59"/>
      <c r="AD1797" s="59"/>
      <c r="AE1797" s="59"/>
      <c r="AF1797" s="59"/>
      <c r="AG1797" s="59"/>
      <c r="AH1797" s="59"/>
      <c r="AI1797" s="59"/>
      <c r="AJ1797" s="59"/>
      <c r="AK1797" s="59"/>
      <c r="AL1797" s="59"/>
      <c r="AM1797" s="59"/>
      <c r="AN1797" s="59"/>
      <c r="AO1797" s="59"/>
      <c r="AP1797" s="59"/>
      <c r="AQ1797" s="59"/>
      <c r="AR1797" s="59"/>
      <c r="AS1797" s="59"/>
      <c r="AT1797" s="59"/>
      <c r="AU1797" s="59"/>
      <c r="AV1797" s="59"/>
      <c r="AW1797" s="59"/>
      <c r="AX1797" s="59"/>
      <c r="AY1797" s="59"/>
      <c r="AZ1797" s="59"/>
      <c r="BA1797" s="59"/>
      <c r="BB1797" s="59"/>
      <c r="BC1797" s="59"/>
      <c r="BD1797" s="59"/>
      <c r="BE1797" s="59"/>
      <c r="BF1797" s="59"/>
      <c r="BG1797" s="59"/>
      <c r="BH1797" s="59"/>
      <c r="BI1797" s="59"/>
      <c r="BJ1797" s="59"/>
      <c r="BK1797" s="59"/>
      <c r="BL1797" s="59"/>
      <c r="BM1797" s="59"/>
      <c r="BN1797" s="59"/>
      <c r="BO1797" s="59"/>
      <c r="BP1797" s="59"/>
      <c r="BQ1797" s="59"/>
      <c r="BR1797" s="59"/>
      <c r="BS1797" s="59"/>
      <c r="BT1797" s="59"/>
      <c r="BU1797" s="59"/>
      <c r="BV1797" s="59"/>
      <c r="BW1797" s="59"/>
      <c r="BX1797" s="59"/>
      <c r="BY1797" s="59"/>
      <c r="BZ1797" s="59"/>
      <c r="CA1797" s="59"/>
      <c r="CB1797" s="59"/>
      <c r="CC1797" s="59"/>
      <c r="CD1797" s="59"/>
      <c r="CE1797" s="59"/>
      <c r="CF1797" s="59"/>
      <c r="CG1797" s="59"/>
      <c r="CH1797" s="59"/>
      <c r="CI1797" s="59"/>
      <c r="CJ1797" s="59"/>
      <c r="CK1797" s="59"/>
      <c r="CL1797" s="59"/>
      <c r="CM1797" s="59"/>
      <c r="CN1797" s="59"/>
      <c r="CO1797" s="59"/>
      <c r="CP1797" s="59"/>
      <c r="CQ1797" s="59"/>
      <c r="CR1797" s="59"/>
      <c r="CS1797" s="59"/>
      <c r="CT1797" s="59"/>
      <c r="CU1797" s="59"/>
      <c r="CV1797" s="59"/>
      <c r="CW1797" s="59"/>
      <c r="CX1797" s="59"/>
      <c r="CY1797" s="59"/>
      <c r="CZ1797" s="59"/>
      <c r="DA1797" s="59"/>
      <c r="DB1797" s="59"/>
      <c r="DC1797" s="59"/>
      <c r="DD1797" s="59"/>
      <c r="DE1797" s="59"/>
      <c r="DF1797" s="59"/>
      <c r="DG1797" s="59"/>
      <c r="DH1797" s="59"/>
      <c r="DI1797" s="59"/>
      <c r="DJ1797" s="59"/>
      <c r="DK1797" s="59"/>
      <c r="DL1797" s="59"/>
      <c r="DM1797" s="59"/>
      <c r="DN1797" s="59"/>
      <c r="DO1797" s="59"/>
      <c r="DP1797" s="59"/>
      <c r="DQ1797" s="59"/>
      <c r="DR1797" s="59"/>
      <c r="DS1797" s="59"/>
      <c r="DT1797" s="59"/>
      <c r="DU1797" s="59"/>
      <c r="DV1797" s="59"/>
      <c r="DW1797" s="59"/>
      <c r="DX1797" s="59"/>
      <c r="DY1797" s="59"/>
      <c r="DZ1797" s="59"/>
      <c r="EA1797" s="59"/>
      <c r="EB1797" s="59"/>
      <c r="EC1797" s="59"/>
      <c r="ED1797" s="59"/>
      <c r="EE1797" s="59"/>
      <c r="EF1797" s="59"/>
      <c r="EG1797" s="59"/>
      <c r="EH1797" s="59"/>
      <c r="EI1797" s="59"/>
      <c r="EJ1797" s="59"/>
      <c r="EK1797" s="59"/>
      <c r="EL1797" s="59"/>
      <c r="EM1797" s="59"/>
      <c r="EN1797" s="59"/>
      <c r="EO1797" s="59"/>
      <c r="EP1797" s="59"/>
      <c r="EQ1797" s="59"/>
      <c r="ER1797" s="59"/>
      <c r="ES1797" s="59"/>
      <c r="ET1797" s="59"/>
      <c r="EU1797" s="59"/>
      <c r="EV1797" s="59"/>
      <c r="EW1797" s="59"/>
      <c r="EX1797" s="59"/>
      <c r="EY1797" s="59"/>
      <c r="EZ1797" s="59"/>
      <c r="FA1797" s="59"/>
      <c r="FB1797" s="59"/>
      <c r="FC1797" s="59"/>
      <c r="FD1797" s="59"/>
      <c r="FE1797" s="59"/>
      <c r="FF1797" s="59"/>
      <c r="FG1797" s="59"/>
      <c r="FH1797" s="59"/>
      <c r="FI1797" s="59"/>
      <c r="FJ1797" s="59"/>
      <c r="FK1797" s="59"/>
      <c r="FL1797" s="59"/>
      <c r="FM1797" s="59"/>
      <c r="FN1797" s="59"/>
      <c r="FO1797" s="59"/>
      <c r="FP1797" s="59"/>
      <c r="FQ1797" s="59"/>
      <c r="FR1797" s="59"/>
      <c r="FS1797" s="59"/>
      <c r="FT1797" s="59"/>
      <c r="FU1797" s="59"/>
      <c r="FV1797" s="59"/>
      <c r="FW1797" s="59"/>
      <c r="FX1797" s="59"/>
      <c r="FY1797" s="59"/>
      <c r="FZ1797" s="59"/>
      <c r="GA1797" s="59"/>
      <c r="GB1797" s="59"/>
      <c r="GC1797" s="59"/>
    </row>
    <row r="1798">
      <c r="A1798" s="59"/>
      <c r="B1798" s="59"/>
      <c r="C1798" s="59"/>
      <c r="D1798" s="59"/>
      <c r="E1798" s="59"/>
      <c r="F1798" s="59"/>
      <c r="G1798" s="59"/>
      <c r="H1798" s="59"/>
      <c r="I1798" s="59"/>
      <c r="J1798" s="59"/>
      <c r="K1798" s="59"/>
      <c r="L1798" s="59"/>
      <c r="M1798" s="59"/>
      <c r="N1798" s="59"/>
      <c r="O1798" s="59"/>
      <c r="P1798" s="59"/>
      <c r="Q1798" s="59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59"/>
      <c r="AG1798" s="59"/>
      <c r="AH1798" s="59"/>
      <c r="AI1798" s="59"/>
      <c r="AJ1798" s="59"/>
      <c r="AK1798" s="59"/>
      <c r="AL1798" s="59"/>
      <c r="AM1798" s="59"/>
      <c r="AN1798" s="59"/>
      <c r="AO1798" s="59"/>
      <c r="AP1798" s="59"/>
      <c r="AQ1798" s="59"/>
      <c r="AR1798" s="59"/>
      <c r="AS1798" s="59"/>
      <c r="AT1798" s="59"/>
      <c r="AU1798" s="59"/>
      <c r="AV1798" s="59"/>
      <c r="AW1798" s="59"/>
      <c r="AX1798" s="59"/>
      <c r="AY1798" s="59"/>
      <c r="AZ1798" s="59"/>
      <c r="BA1798" s="59"/>
      <c r="BB1798" s="59"/>
      <c r="BC1798" s="59"/>
      <c r="BD1798" s="59"/>
      <c r="BE1798" s="59"/>
      <c r="BF1798" s="59"/>
      <c r="BG1798" s="59"/>
      <c r="BH1798" s="59"/>
      <c r="BI1798" s="59"/>
      <c r="BJ1798" s="59"/>
      <c r="BK1798" s="59"/>
      <c r="BL1798" s="59"/>
      <c r="BM1798" s="59"/>
      <c r="BN1798" s="59"/>
      <c r="BO1798" s="59"/>
      <c r="BP1798" s="59"/>
      <c r="BQ1798" s="59"/>
      <c r="BR1798" s="59"/>
      <c r="BS1798" s="59"/>
      <c r="BT1798" s="59"/>
      <c r="BU1798" s="59"/>
      <c r="BV1798" s="59"/>
      <c r="BW1798" s="59"/>
      <c r="BX1798" s="59"/>
      <c r="BY1798" s="59"/>
      <c r="BZ1798" s="59"/>
      <c r="CA1798" s="59"/>
      <c r="CB1798" s="59"/>
      <c r="CC1798" s="59"/>
      <c r="CD1798" s="59"/>
      <c r="CE1798" s="59"/>
      <c r="CF1798" s="59"/>
      <c r="CG1798" s="59"/>
      <c r="CH1798" s="59"/>
      <c r="CI1798" s="59"/>
      <c r="CJ1798" s="59"/>
      <c r="CK1798" s="59"/>
      <c r="CL1798" s="59"/>
      <c r="CM1798" s="59"/>
      <c r="CN1798" s="59"/>
      <c r="CO1798" s="59"/>
      <c r="CP1798" s="59"/>
      <c r="CQ1798" s="59"/>
      <c r="CR1798" s="59"/>
      <c r="CS1798" s="59"/>
      <c r="CT1798" s="59"/>
      <c r="CU1798" s="59"/>
      <c r="CV1798" s="59"/>
      <c r="CW1798" s="59"/>
      <c r="CX1798" s="59"/>
      <c r="CY1798" s="59"/>
      <c r="CZ1798" s="59"/>
      <c r="DA1798" s="59"/>
      <c r="DB1798" s="59"/>
      <c r="DC1798" s="59"/>
      <c r="DD1798" s="59"/>
      <c r="DE1798" s="59"/>
      <c r="DF1798" s="59"/>
      <c r="DG1798" s="59"/>
      <c r="DH1798" s="59"/>
      <c r="DI1798" s="59"/>
      <c r="DJ1798" s="59"/>
      <c r="DK1798" s="59"/>
      <c r="DL1798" s="59"/>
      <c r="DM1798" s="59"/>
      <c r="DN1798" s="59"/>
      <c r="DO1798" s="59"/>
      <c r="DP1798" s="59"/>
      <c r="DQ1798" s="59"/>
      <c r="DR1798" s="59"/>
      <c r="DS1798" s="59"/>
      <c r="DT1798" s="59"/>
      <c r="DU1798" s="59"/>
      <c r="DV1798" s="59"/>
      <c r="DW1798" s="59"/>
      <c r="DX1798" s="59"/>
      <c r="DY1798" s="59"/>
      <c r="DZ1798" s="59"/>
      <c r="EA1798" s="59"/>
      <c r="EB1798" s="59"/>
      <c r="EC1798" s="59"/>
      <c r="ED1798" s="59"/>
      <c r="EE1798" s="59"/>
      <c r="EF1798" s="59"/>
      <c r="EG1798" s="59"/>
      <c r="EH1798" s="59"/>
      <c r="EI1798" s="59"/>
      <c r="EJ1798" s="59"/>
      <c r="EK1798" s="59"/>
      <c r="EL1798" s="59"/>
      <c r="EM1798" s="59"/>
      <c r="EN1798" s="59"/>
      <c r="EO1798" s="59"/>
      <c r="EP1798" s="59"/>
      <c r="EQ1798" s="59"/>
      <c r="ER1798" s="59"/>
      <c r="ES1798" s="59"/>
      <c r="ET1798" s="59"/>
      <c r="EU1798" s="59"/>
      <c r="EV1798" s="59"/>
      <c r="EW1798" s="59"/>
      <c r="EX1798" s="59"/>
      <c r="EY1798" s="59"/>
      <c r="EZ1798" s="59"/>
      <c r="FA1798" s="59"/>
      <c r="FB1798" s="59"/>
      <c r="FC1798" s="59"/>
      <c r="FD1798" s="59"/>
      <c r="FE1798" s="59"/>
      <c r="FF1798" s="59"/>
      <c r="FG1798" s="59"/>
      <c r="FH1798" s="59"/>
      <c r="FI1798" s="59"/>
      <c r="FJ1798" s="59"/>
      <c r="FK1798" s="59"/>
      <c r="FL1798" s="59"/>
      <c r="FM1798" s="59"/>
      <c r="FN1798" s="59"/>
      <c r="FO1798" s="59"/>
      <c r="FP1798" s="59"/>
      <c r="FQ1798" s="59"/>
      <c r="FR1798" s="59"/>
      <c r="FS1798" s="59"/>
      <c r="FT1798" s="59"/>
      <c r="FU1798" s="59"/>
      <c r="FV1798" s="59"/>
      <c r="FW1798" s="59"/>
      <c r="FX1798" s="59"/>
      <c r="FY1798" s="59"/>
      <c r="FZ1798" s="59"/>
      <c r="GA1798" s="59"/>
      <c r="GB1798" s="59"/>
      <c r="GC1798" s="59"/>
    </row>
    <row r="1799">
      <c r="A1799" s="59"/>
      <c r="B1799" s="59"/>
      <c r="C1799" s="59"/>
      <c r="D1799" s="59"/>
      <c r="E1799" s="59"/>
      <c r="F1799" s="59"/>
      <c r="G1799" s="59"/>
      <c r="H1799" s="59"/>
      <c r="I1799" s="59"/>
      <c r="J1799" s="59"/>
      <c r="K1799" s="59"/>
      <c r="L1799" s="59"/>
      <c r="M1799" s="59"/>
      <c r="N1799" s="59"/>
      <c r="O1799" s="59"/>
      <c r="P1799" s="59"/>
      <c r="Q1799" s="59"/>
      <c r="R1799" s="59"/>
      <c r="S1799" s="59"/>
      <c r="T1799" s="59"/>
      <c r="U1799" s="59"/>
      <c r="V1799" s="59"/>
      <c r="W1799" s="59"/>
      <c r="X1799" s="59"/>
      <c r="Y1799" s="59"/>
      <c r="Z1799" s="59"/>
      <c r="AA1799" s="59"/>
      <c r="AB1799" s="59"/>
      <c r="AC1799" s="59"/>
      <c r="AD1799" s="59"/>
      <c r="AE1799" s="59"/>
      <c r="AF1799" s="59"/>
      <c r="AG1799" s="59"/>
      <c r="AH1799" s="59"/>
      <c r="AI1799" s="59"/>
      <c r="AJ1799" s="59"/>
      <c r="AK1799" s="59"/>
      <c r="AL1799" s="59"/>
      <c r="AM1799" s="59"/>
      <c r="AN1799" s="59"/>
      <c r="AO1799" s="59"/>
      <c r="AP1799" s="59"/>
      <c r="AQ1799" s="59"/>
      <c r="AR1799" s="59"/>
      <c r="AS1799" s="59"/>
      <c r="AT1799" s="59"/>
      <c r="AU1799" s="59"/>
      <c r="AV1799" s="59"/>
      <c r="AW1799" s="59"/>
      <c r="AX1799" s="59"/>
      <c r="AY1799" s="59"/>
      <c r="AZ1799" s="59"/>
      <c r="BA1799" s="59"/>
      <c r="BB1799" s="59"/>
      <c r="BC1799" s="59"/>
      <c r="BD1799" s="59"/>
      <c r="BE1799" s="59"/>
      <c r="BF1799" s="59"/>
      <c r="BG1799" s="59"/>
      <c r="BH1799" s="59"/>
      <c r="BI1799" s="59"/>
      <c r="BJ1799" s="59"/>
      <c r="BK1799" s="59"/>
      <c r="BL1799" s="59"/>
      <c r="BM1799" s="59"/>
      <c r="BN1799" s="59"/>
      <c r="BO1799" s="59"/>
      <c r="BP1799" s="59"/>
      <c r="BQ1799" s="59"/>
      <c r="BR1799" s="59"/>
      <c r="BS1799" s="59"/>
      <c r="BT1799" s="59"/>
      <c r="BU1799" s="59"/>
      <c r="BV1799" s="59"/>
      <c r="BW1799" s="59"/>
      <c r="BX1799" s="59"/>
      <c r="BY1799" s="59"/>
      <c r="BZ1799" s="59"/>
      <c r="CA1799" s="59"/>
      <c r="CB1799" s="59"/>
      <c r="CC1799" s="59"/>
      <c r="CD1799" s="59"/>
      <c r="CE1799" s="59"/>
      <c r="CF1799" s="59"/>
      <c r="CG1799" s="59"/>
      <c r="CH1799" s="59"/>
      <c r="CI1799" s="59"/>
      <c r="CJ1799" s="59"/>
      <c r="CK1799" s="59"/>
      <c r="CL1799" s="59"/>
      <c r="CM1799" s="59"/>
      <c r="CN1799" s="59"/>
      <c r="CO1799" s="59"/>
      <c r="CP1799" s="59"/>
      <c r="CQ1799" s="59"/>
      <c r="CR1799" s="59"/>
      <c r="CS1799" s="59"/>
      <c r="CT1799" s="59"/>
      <c r="CU1799" s="59"/>
      <c r="CV1799" s="59"/>
      <c r="CW1799" s="59"/>
      <c r="CX1799" s="59"/>
      <c r="CY1799" s="59"/>
      <c r="CZ1799" s="59"/>
      <c r="DA1799" s="59"/>
      <c r="DB1799" s="59"/>
      <c r="DC1799" s="59"/>
      <c r="DD1799" s="59"/>
      <c r="DE1799" s="59"/>
      <c r="DF1799" s="59"/>
      <c r="DG1799" s="59"/>
      <c r="DH1799" s="59"/>
      <c r="DI1799" s="59"/>
      <c r="DJ1799" s="59"/>
      <c r="DK1799" s="59"/>
      <c r="DL1799" s="59"/>
      <c r="DM1799" s="59"/>
      <c r="DN1799" s="59"/>
      <c r="DO1799" s="59"/>
      <c r="DP1799" s="59"/>
      <c r="DQ1799" s="59"/>
      <c r="DR1799" s="59"/>
      <c r="DS1799" s="59"/>
      <c r="DT1799" s="59"/>
      <c r="DU1799" s="59"/>
      <c r="DV1799" s="59"/>
      <c r="DW1799" s="59"/>
      <c r="DX1799" s="59"/>
      <c r="DY1799" s="59"/>
      <c r="DZ1799" s="59"/>
      <c r="EA1799" s="59"/>
      <c r="EB1799" s="59"/>
      <c r="EC1799" s="59"/>
      <c r="ED1799" s="59"/>
      <c r="EE1799" s="59"/>
      <c r="EF1799" s="59"/>
      <c r="EG1799" s="59"/>
      <c r="EH1799" s="59"/>
      <c r="EI1799" s="59"/>
      <c r="EJ1799" s="59"/>
      <c r="EK1799" s="59"/>
      <c r="EL1799" s="59"/>
      <c r="EM1799" s="59"/>
      <c r="EN1799" s="59"/>
      <c r="EO1799" s="59"/>
      <c r="EP1799" s="59"/>
      <c r="EQ1799" s="59"/>
      <c r="ER1799" s="59"/>
      <c r="ES1799" s="59"/>
      <c r="ET1799" s="59"/>
      <c r="EU1799" s="59"/>
      <c r="EV1799" s="59"/>
      <c r="EW1799" s="59"/>
      <c r="EX1799" s="59"/>
      <c r="EY1799" s="59"/>
      <c r="EZ1799" s="59"/>
      <c r="FA1799" s="59"/>
      <c r="FB1799" s="59"/>
      <c r="FC1799" s="59"/>
      <c r="FD1799" s="59"/>
      <c r="FE1799" s="59"/>
      <c r="FF1799" s="59"/>
      <c r="FG1799" s="59"/>
      <c r="FH1799" s="59"/>
      <c r="FI1799" s="59"/>
      <c r="FJ1799" s="59"/>
      <c r="FK1799" s="59"/>
      <c r="FL1799" s="59"/>
      <c r="FM1799" s="59"/>
      <c r="FN1799" s="59"/>
      <c r="FO1799" s="59"/>
      <c r="FP1799" s="59"/>
      <c r="FQ1799" s="59"/>
      <c r="FR1799" s="59"/>
      <c r="FS1799" s="59"/>
      <c r="FT1799" s="59"/>
      <c r="FU1799" s="59"/>
      <c r="FV1799" s="59"/>
      <c r="FW1799" s="59"/>
      <c r="FX1799" s="59"/>
      <c r="FY1799" s="59"/>
      <c r="FZ1799" s="59"/>
      <c r="GA1799" s="59"/>
      <c r="GB1799" s="59"/>
      <c r="GC1799" s="59"/>
    </row>
    <row r="1800">
      <c r="A1800" s="59"/>
      <c r="B1800" s="59"/>
      <c r="C1800" s="59"/>
      <c r="D1800" s="59"/>
      <c r="E1800" s="59"/>
      <c r="F1800" s="59"/>
      <c r="G1800" s="59"/>
      <c r="H1800" s="59"/>
      <c r="I1800" s="59"/>
      <c r="J1800" s="59"/>
      <c r="K1800" s="59"/>
      <c r="L1800" s="59"/>
      <c r="M1800" s="59"/>
      <c r="N1800" s="59"/>
      <c r="O1800" s="59"/>
      <c r="P1800" s="59"/>
      <c r="Q1800" s="59"/>
      <c r="R1800" s="59"/>
      <c r="S1800" s="59"/>
      <c r="T1800" s="59"/>
      <c r="U1800" s="59"/>
      <c r="V1800" s="59"/>
      <c r="W1800" s="59"/>
      <c r="X1800" s="59"/>
      <c r="Y1800" s="59"/>
      <c r="Z1800" s="59"/>
      <c r="AA1800" s="59"/>
      <c r="AB1800" s="59"/>
      <c r="AC1800" s="59"/>
      <c r="AD1800" s="59"/>
      <c r="AE1800" s="59"/>
      <c r="AF1800" s="59"/>
      <c r="AG1800" s="59"/>
      <c r="AH1800" s="59"/>
      <c r="AI1800" s="59"/>
      <c r="AJ1800" s="59"/>
      <c r="AK1800" s="59"/>
      <c r="AL1800" s="59"/>
      <c r="AM1800" s="59"/>
      <c r="AN1800" s="59"/>
      <c r="AO1800" s="59"/>
      <c r="AP1800" s="59"/>
      <c r="AQ1800" s="59"/>
      <c r="AR1800" s="59"/>
      <c r="AS1800" s="59"/>
      <c r="AT1800" s="59"/>
      <c r="AU1800" s="59"/>
      <c r="AV1800" s="59"/>
      <c r="AW1800" s="59"/>
      <c r="AX1800" s="59"/>
      <c r="AY1800" s="59"/>
      <c r="AZ1800" s="59"/>
      <c r="BA1800" s="59"/>
      <c r="BB1800" s="59"/>
      <c r="BC1800" s="59"/>
      <c r="BD1800" s="59"/>
      <c r="BE1800" s="59"/>
      <c r="BF1800" s="59"/>
      <c r="BG1800" s="59"/>
      <c r="BH1800" s="59"/>
      <c r="BI1800" s="59"/>
      <c r="BJ1800" s="59"/>
      <c r="BK1800" s="59"/>
      <c r="BL1800" s="59"/>
      <c r="BM1800" s="59"/>
      <c r="BN1800" s="59"/>
      <c r="BO1800" s="59"/>
      <c r="BP1800" s="59"/>
      <c r="BQ1800" s="59"/>
      <c r="BR1800" s="59"/>
      <c r="BS1800" s="59"/>
      <c r="BT1800" s="59"/>
      <c r="BU1800" s="59"/>
      <c r="BV1800" s="59"/>
      <c r="BW1800" s="59"/>
      <c r="BX1800" s="59"/>
      <c r="BY1800" s="59"/>
      <c r="BZ1800" s="59"/>
      <c r="CA1800" s="59"/>
      <c r="CB1800" s="59"/>
      <c r="CC1800" s="59"/>
      <c r="CD1800" s="59"/>
      <c r="CE1800" s="59"/>
      <c r="CF1800" s="59"/>
      <c r="CG1800" s="59"/>
      <c r="CH1800" s="59"/>
      <c r="CI1800" s="59"/>
      <c r="CJ1800" s="59"/>
      <c r="CK1800" s="59"/>
      <c r="CL1800" s="59"/>
      <c r="CM1800" s="59"/>
      <c r="CN1800" s="59"/>
      <c r="CO1800" s="59"/>
      <c r="CP1800" s="59"/>
      <c r="CQ1800" s="59"/>
      <c r="CR1800" s="59"/>
      <c r="CS1800" s="59"/>
      <c r="CT1800" s="59"/>
      <c r="CU1800" s="59"/>
      <c r="CV1800" s="59"/>
      <c r="CW1800" s="59"/>
      <c r="CX1800" s="59"/>
      <c r="CY1800" s="59"/>
      <c r="CZ1800" s="59"/>
      <c r="DA1800" s="59"/>
      <c r="DB1800" s="59"/>
      <c r="DC1800" s="59"/>
      <c r="DD1800" s="59"/>
      <c r="DE1800" s="59"/>
      <c r="DF1800" s="59"/>
      <c r="DG1800" s="59"/>
      <c r="DH1800" s="59"/>
      <c r="DI1800" s="59"/>
      <c r="DJ1800" s="59"/>
      <c r="DK1800" s="59"/>
      <c r="DL1800" s="59"/>
      <c r="DM1800" s="59"/>
      <c r="DN1800" s="59"/>
      <c r="DO1800" s="59"/>
      <c r="DP1800" s="59"/>
      <c r="DQ1800" s="59"/>
      <c r="DR1800" s="59"/>
      <c r="DS1800" s="59"/>
      <c r="DT1800" s="59"/>
      <c r="DU1800" s="59"/>
      <c r="DV1800" s="59"/>
      <c r="DW1800" s="59"/>
      <c r="DX1800" s="59"/>
      <c r="DY1800" s="59"/>
      <c r="DZ1800" s="59"/>
      <c r="EA1800" s="59"/>
      <c r="EB1800" s="59"/>
      <c r="EC1800" s="59"/>
      <c r="ED1800" s="59"/>
      <c r="EE1800" s="59"/>
      <c r="EF1800" s="59"/>
      <c r="EG1800" s="59"/>
      <c r="EH1800" s="59"/>
      <c r="EI1800" s="59"/>
      <c r="EJ1800" s="59"/>
      <c r="EK1800" s="59"/>
      <c r="EL1800" s="59"/>
      <c r="EM1800" s="59"/>
      <c r="EN1800" s="59"/>
      <c r="EO1800" s="59"/>
      <c r="EP1800" s="59"/>
      <c r="EQ1800" s="59"/>
      <c r="ER1800" s="59"/>
      <c r="ES1800" s="59"/>
      <c r="ET1800" s="59"/>
      <c r="EU1800" s="59"/>
      <c r="EV1800" s="59"/>
      <c r="EW1800" s="59"/>
      <c r="EX1800" s="59"/>
      <c r="EY1800" s="59"/>
      <c r="EZ1800" s="59"/>
      <c r="FA1800" s="59"/>
      <c r="FB1800" s="59"/>
      <c r="FC1800" s="59"/>
      <c r="FD1800" s="59"/>
      <c r="FE1800" s="59"/>
      <c r="FF1800" s="59"/>
      <c r="FG1800" s="59"/>
      <c r="FH1800" s="59"/>
      <c r="FI1800" s="59"/>
      <c r="FJ1800" s="59"/>
      <c r="FK1800" s="59"/>
      <c r="FL1800" s="59"/>
      <c r="FM1800" s="59"/>
      <c r="FN1800" s="59"/>
      <c r="FO1800" s="59"/>
      <c r="FP1800" s="59"/>
      <c r="FQ1800" s="59"/>
      <c r="FR1800" s="59"/>
      <c r="FS1800" s="59"/>
      <c r="FT1800" s="59"/>
      <c r="FU1800" s="59"/>
      <c r="FV1800" s="59"/>
      <c r="FW1800" s="59"/>
      <c r="FX1800" s="59"/>
      <c r="FY1800" s="59"/>
      <c r="FZ1800" s="59"/>
      <c r="GA1800" s="59"/>
      <c r="GB1800" s="59"/>
      <c r="GC1800" s="59"/>
    </row>
    <row r="1801">
      <c r="A1801" s="59"/>
      <c r="B1801" s="59"/>
      <c r="C1801" s="59"/>
      <c r="D1801" s="59"/>
      <c r="E1801" s="59"/>
      <c r="F1801" s="59"/>
      <c r="G1801" s="59"/>
      <c r="H1801" s="59"/>
      <c r="I1801" s="59"/>
      <c r="J1801" s="59"/>
      <c r="K1801" s="59"/>
      <c r="L1801" s="59"/>
      <c r="M1801" s="59"/>
      <c r="N1801" s="59"/>
      <c r="O1801" s="59"/>
      <c r="P1801" s="59"/>
      <c r="Q1801" s="59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59"/>
      <c r="AJ1801" s="59"/>
      <c r="AK1801" s="59"/>
      <c r="AL1801" s="59"/>
      <c r="AM1801" s="59"/>
      <c r="AN1801" s="59"/>
      <c r="AO1801" s="59"/>
      <c r="AP1801" s="59"/>
      <c r="AQ1801" s="59"/>
      <c r="AR1801" s="59"/>
      <c r="AS1801" s="59"/>
      <c r="AT1801" s="59"/>
      <c r="AU1801" s="59"/>
      <c r="AV1801" s="59"/>
      <c r="AW1801" s="59"/>
      <c r="AX1801" s="59"/>
      <c r="AY1801" s="59"/>
      <c r="AZ1801" s="59"/>
      <c r="BA1801" s="59"/>
      <c r="BB1801" s="59"/>
      <c r="BC1801" s="59"/>
      <c r="BD1801" s="59"/>
      <c r="BE1801" s="59"/>
      <c r="BF1801" s="59"/>
      <c r="BG1801" s="59"/>
      <c r="BH1801" s="59"/>
      <c r="BI1801" s="59"/>
      <c r="BJ1801" s="59"/>
      <c r="BK1801" s="59"/>
      <c r="BL1801" s="59"/>
      <c r="BM1801" s="59"/>
      <c r="BN1801" s="59"/>
      <c r="BO1801" s="59"/>
      <c r="BP1801" s="59"/>
      <c r="BQ1801" s="59"/>
      <c r="BR1801" s="59"/>
      <c r="BS1801" s="59"/>
      <c r="BT1801" s="59"/>
      <c r="BU1801" s="59"/>
      <c r="BV1801" s="59"/>
      <c r="BW1801" s="59"/>
      <c r="BX1801" s="59"/>
      <c r="BY1801" s="59"/>
      <c r="BZ1801" s="59"/>
      <c r="CA1801" s="59"/>
      <c r="CB1801" s="59"/>
      <c r="CC1801" s="59"/>
      <c r="CD1801" s="59"/>
      <c r="CE1801" s="59"/>
      <c r="CF1801" s="59"/>
      <c r="CG1801" s="59"/>
      <c r="CH1801" s="59"/>
      <c r="CI1801" s="59"/>
      <c r="CJ1801" s="59"/>
      <c r="CK1801" s="59"/>
      <c r="CL1801" s="59"/>
      <c r="CM1801" s="59"/>
      <c r="CN1801" s="59"/>
      <c r="CO1801" s="59"/>
      <c r="CP1801" s="59"/>
      <c r="CQ1801" s="59"/>
      <c r="CR1801" s="59"/>
      <c r="CS1801" s="59"/>
      <c r="CT1801" s="59"/>
      <c r="CU1801" s="59"/>
      <c r="CV1801" s="59"/>
      <c r="CW1801" s="59"/>
      <c r="CX1801" s="59"/>
      <c r="CY1801" s="59"/>
      <c r="CZ1801" s="59"/>
      <c r="DA1801" s="59"/>
      <c r="DB1801" s="59"/>
      <c r="DC1801" s="59"/>
      <c r="DD1801" s="59"/>
      <c r="DE1801" s="59"/>
      <c r="DF1801" s="59"/>
      <c r="DG1801" s="59"/>
      <c r="DH1801" s="59"/>
      <c r="DI1801" s="59"/>
      <c r="DJ1801" s="59"/>
      <c r="DK1801" s="59"/>
      <c r="DL1801" s="59"/>
      <c r="DM1801" s="59"/>
      <c r="DN1801" s="59"/>
      <c r="DO1801" s="59"/>
      <c r="DP1801" s="59"/>
      <c r="DQ1801" s="59"/>
      <c r="DR1801" s="59"/>
      <c r="DS1801" s="59"/>
      <c r="DT1801" s="59"/>
      <c r="DU1801" s="59"/>
      <c r="DV1801" s="59"/>
      <c r="DW1801" s="59"/>
      <c r="DX1801" s="59"/>
      <c r="DY1801" s="59"/>
      <c r="DZ1801" s="59"/>
      <c r="EA1801" s="59"/>
      <c r="EB1801" s="59"/>
      <c r="EC1801" s="59"/>
      <c r="ED1801" s="59"/>
      <c r="EE1801" s="59"/>
      <c r="EF1801" s="59"/>
      <c r="EG1801" s="59"/>
      <c r="EH1801" s="59"/>
      <c r="EI1801" s="59"/>
      <c r="EJ1801" s="59"/>
      <c r="EK1801" s="59"/>
      <c r="EL1801" s="59"/>
      <c r="EM1801" s="59"/>
      <c r="EN1801" s="59"/>
      <c r="EO1801" s="59"/>
      <c r="EP1801" s="59"/>
      <c r="EQ1801" s="59"/>
      <c r="ER1801" s="59"/>
      <c r="ES1801" s="59"/>
      <c r="ET1801" s="59"/>
      <c r="EU1801" s="59"/>
      <c r="EV1801" s="59"/>
      <c r="EW1801" s="59"/>
      <c r="EX1801" s="59"/>
      <c r="EY1801" s="59"/>
      <c r="EZ1801" s="59"/>
      <c r="FA1801" s="59"/>
      <c r="FB1801" s="59"/>
      <c r="FC1801" s="59"/>
      <c r="FD1801" s="59"/>
      <c r="FE1801" s="59"/>
      <c r="FF1801" s="59"/>
      <c r="FG1801" s="59"/>
      <c r="FH1801" s="59"/>
      <c r="FI1801" s="59"/>
      <c r="FJ1801" s="59"/>
      <c r="FK1801" s="59"/>
      <c r="FL1801" s="59"/>
      <c r="FM1801" s="59"/>
      <c r="FN1801" s="59"/>
      <c r="FO1801" s="59"/>
      <c r="FP1801" s="59"/>
      <c r="FQ1801" s="59"/>
      <c r="FR1801" s="59"/>
      <c r="FS1801" s="59"/>
      <c r="FT1801" s="59"/>
      <c r="FU1801" s="59"/>
      <c r="FV1801" s="59"/>
      <c r="FW1801" s="59"/>
      <c r="FX1801" s="59"/>
      <c r="FY1801" s="59"/>
      <c r="FZ1801" s="59"/>
      <c r="GA1801" s="59"/>
      <c r="GB1801" s="59"/>
      <c r="GC1801" s="59"/>
    </row>
    <row r="1802">
      <c r="A1802" s="59"/>
      <c r="B1802" s="59"/>
      <c r="C1802" s="59"/>
      <c r="D1802" s="59"/>
      <c r="E1802" s="59"/>
      <c r="F1802" s="59"/>
      <c r="G1802" s="59"/>
      <c r="H1802" s="59"/>
      <c r="I1802" s="59"/>
      <c r="J1802" s="59"/>
      <c r="K1802" s="59"/>
      <c r="L1802" s="59"/>
      <c r="M1802" s="59"/>
      <c r="N1802" s="59"/>
      <c r="O1802" s="59"/>
      <c r="P1802" s="59"/>
      <c r="Q1802" s="59"/>
      <c r="R1802" s="59"/>
      <c r="S1802" s="59"/>
      <c r="T1802" s="59"/>
      <c r="U1802" s="59"/>
      <c r="V1802" s="59"/>
      <c r="W1802" s="59"/>
      <c r="X1802" s="59"/>
      <c r="Y1802" s="59"/>
      <c r="Z1802" s="59"/>
      <c r="AA1802" s="59"/>
      <c r="AB1802" s="59"/>
      <c r="AC1802" s="59"/>
      <c r="AD1802" s="59"/>
      <c r="AE1802" s="59"/>
      <c r="AF1802" s="59"/>
      <c r="AG1802" s="59"/>
      <c r="AH1802" s="59"/>
      <c r="AI1802" s="59"/>
      <c r="AJ1802" s="59"/>
      <c r="AK1802" s="59"/>
      <c r="AL1802" s="59"/>
      <c r="AM1802" s="59"/>
      <c r="AN1802" s="59"/>
      <c r="AO1802" s="59"/>
      <c r="AP1802" s="59"/>
      <c r="AQ1802" s="59"/>
      <c r="AR1802" s="59"/>
      <c r="AS1802" s="59"/>
      <c r="AT1802" s="59"/>
      <c r="AU1802" s="59"/>
      <c r="AV1802" s="59"/>
      <c r="AW1802" s="59"/>
      <c r="AX1802" s="59"/>
      <c r="AY1802" s="59"/>
      <c r="AZ1802" s="59"/>
      <c r="BA1802" s="59"/>
      <c r="BB1802" s="59"/>
      <c r="BC1802" s="59"/>
      <c r="BD1802" s="59"/>
      <c r="BE1802" s="59"/>
      <c r="BF1802" s="59"/>
      <c r="BG1802" s="59"/>
      <c r="BH1802" s="59"/>
      <c r="BI1802" s="59"/>
      <c r="BJ1802" s="59"/>
      <c r="BK1802" s="59"/>
      <c r="BL1802" s="59"/>
      <c r="BM1802" s="59"/>
      <c r="BN1802" s="59"/>
      <c r="BO1802" s="59"/>
      <c r="BP1802" s="59"/>
      <c r="BQ1802" s="59"/>
      <c r="BR1802" s="59"/>
      <c r="BS1802" s="59"/>
      <c r="BT1802" s="59"/>
      <c r="BU1802" s="59"/>
      <c r="BV1802" s="59"/>
      <c r="BW1802" s="59"/>
      <c r="BX1802" s="59"/>
      <c r="BY1802" s="59"/>
      <c r="BZ1802" s="59"/>
      <c r="CA1802" s="59"/>
      <c r="CB1802" s="59"/>
      <c r="CC1802" s="59"/>
      <c r="CD1802" s="59"/>
      <c r="CE1802" s="59"/>
      <c r="CF1802" s="59"/>
      <c r="CG1802" s="59"/>
      <c r="CH1802" s="59"/>
      <c r="CI1802" s="59"/>
      <c r="CJ1802" s="59"/>
      <c r="CK1802" s="59"/>
      <c r="CL1802" s="59"/>
      <c r="CM1802" s="59"/>
      <c r="CN1802" s="59"/>
      <c r="CO1802" s="59"/>
      <c r="CP1802" s="59"/>
      <c r="CQ1802" s="59"/>
      <c r="CR1802" s="59"/>
      <c r="CS1802" s="59"/>
      <c r="CT1802" s="59"/>
      <c r="CU1802" s="59"/>
      <c r="CV1802" s="59"/>
      <c r="CW1802" s="59"/>
      <c r="CX1802" s="59"/>
      <c r="CY1802" s="59"/>
      <c r="CZ1802" s="59"/>
      <c r="DA1802" s="59"/>
      <c r="DB1802" s="59"/>
      <c r="DC1802" s="59"/>
      <c r="DD1802" s="59"/>
      <c r="DE1802" s="59"/>
      <c r="DF1802" s="59"/>
      <c r="DG1802" s="59"/>
      <c r="DH1802" s="59"/>
      <c r="DI1802" s="59"/>
      <c r="DJ1802" s="59"/>
      <c r="DK1802" s="59"/>
      <c r="DL1802" s="59"/>
      <c r="DM1802" s="59"/>
      <c r="DN1802" s="59"/>
      <c r="DO1802" s="59"/>
      <c r="DP1802" s="59"/>
      <c r="DQ1802" s="59"/>
      <c r="DR1802" s="59"/>
      <c r="DS1802" s="59"/>
      <c r="DT1802" s="59"/>
      <c r="DU1802" s="59"/>
      <c r="DV1802" s="59"/>
      <c r="DW1802" s="59"/>
      <c r="DX1802" s="59"/>
      <c r="DY1802" s="59"/>
      <c r="DZ1802" s="59"/>
      <c r="EA1802" s="59"/>
      <c r="EB1802" s="59"/>
      <c r="EC1802" s="59"/>
      <c r="ED1802" s="59"/>
      <c r="EE1802" s="59"/>
      <c r="EF1802" s="59"/>
      <c r="EG1802" s="59"/>
      <c r="EH1802" s="59"/>
      <c r="EI1802" s="59"/>
      <c r="EJ1802" s="59"/>
      <c r="EK1802" s="59"/>
      <c r="EL1802" s="59"/>
      <c r="EM1802" s="59"/>
      <c r="EN1802" s="59"/>
      <c r="EO1802" s="59"/>
      <c r="EP1802" s="59"/>
      <c r="EQ1802" s="59"/>
      <c r="ER1802" s="59"/>
      <c r="ES1802" s="59"/>
      <c r="ET1802" s="59"/>
      <c r="EU1802" s="59"/>
      <c r="EV1802" s="59"/>
      <c r="EW1802" s="59"/>
      <c r="EX1802" s="59"/>
      <c r="EY1802" s="59"/>
      <c r="EZ1802" s="59"/>
      <c r="FA1802" s="59"/>
      <c r="FB1802" s="59"/>
      <c r="FC1802" s="59"/>
      <c r="FD1802" s="59"/>
      <c r="FE1802" s="59"/>
      <c r="FF1802" s="59"/>
      <c r="FG1802" s="59"/>
      <c r="FH1802" s="59"/>
      <c r="FI1802" s="59"/>
      <c r="FJ1802" s="59"/>
      <c r="FK1802" s="59"/>
      <c r="FL1802" s="59"/>
      <c r="FM1802" s="59"/>
      <c r="FN1802" s="59"/>
      <c r="FO1802" s="59"/>
      <c r="FP1802" s="59"/>
      <c r="FQ1802" s="59"/>
      <c r="FR1802" s="59"/>
      <c r="FS1802" s="59"/>
      <c r="FT1802" s="59"/>
      <c r="FU1802" s="59"/>
      <c r="FV1802" s="59"/>
      <c r="FW1802" s="59"/>
      <c r="FX1802" s="59"/>
      <c r="FY1802" s="59"/>
      <c r="FZ1802" s="59"/>
      <c r="GA1802" s="59"/>
      <c r="GB1802" s="59"/>
      <c r="GC1802" s="59"/>
    </row>
    <row r="1803">
      <c r="A1803" s="59"/>
      <c r="B1803" s="59"/>
      <c r="C1803" s="59"/>
      <c r="D1803" s="59"/>
      <c r="E1803" s="59"/>
      <c r="F1803" s="59"/>
      <c r="G1803" s="59"/>
      <c r="H1803" s="59"/>
      <c r="I1803" s="59"/>
      <c r="J1803" s="59"/>
      <c r="K1803" s="59"/>
      <c r="L1803" s="59"/>
      <c r="M1803" s="59"/>
      <c r="N1803" s="59"/>
      <c r="O1803" s="59"/>
      <c r="P1803" s="59"/>
      <c r="Q1803" s="59"/>
      <c r="R1803" s="59"/>
      <c r="S1803" s="59"/>
      <c r="T1803" s="59"/>
      <c r="U1803" s="59"/>
      <c r="V1803" s="59"/>
      <c r="W1803" s="59"/>
      <c r="X1803" s="59"/>
      <c r="Y1803" s="59"/>
      <c r="Z1803" s="59"/>
      <c r="AA1803" s="59"/>
      <c r="AB1803" s="59"/>
      <c r="AC1803" s="59"/>
      <c r="AD1803" s="59"/>
      <c r="AE1803" s="59"/>
      <c r="AF1803" s="59"/>
      <c r="AG1803" s="59"/>
      <c r="AH1803" s="59"/>
      <c r="AI1803" s="59"/>
      <c r="AJ1803" s="59"/>
      <c r="AK1803" s="59"/>
      <c r="AL1803" s="59"/>
      <c r="AM1803" s="59"/>
      <c r="AN1803" s="59"/>
      <c r="AO1803" s="59"/>
      <c r="AP1803" s="59"/>
      <c r="AQ1803" s="59"/>
      <c r="AR1803" s="59"/>
      <c r="AS1803" s="59"/>
      <c r="AT1803" s="59"/>
      <c r="AU1803" s="59"/>
      <c r="AV1803" s="59"/>
      <c r="AW1803" s="59"/>
      <c r="AX1803" s="59"/>
      <c r="AY1803" s="59"/>
      <c r="AZ1803" s="59"/>
      <c r="BA1803" s="59"/>
      <c r="BB1803" s="59"/>
      <c r="BC1803" s="59"/>
      <c r="BD1803" s="59"/>
      <c r="BE1803" s="59"/>
      <c r="BF1803" s="59"/>
      <c r="BG1803" s="59"/>
      <c r="BH1803" s="59"/>
      <c r="BI1803" s="59"/>
      <c r="BJ1803" s="59"/>
      <c r="BK1803" s="59"/>
      <c r="BL1803" s="59"/>
      <c r="BM1803" s="59"/>
      <c r="BN1803" s="59"/>
      <c r="BO1803" s="59"/>
      <c r="BP1803" s="59"/>
      <c r="BQ1803" s="59"/>
      <c r="BR1803" s="59"/>
      <c r="BS1803" s="59"/>
      <c r="BT1803" s="59"/>
      <c r="BU1803" s="59"/>
      <c r="BV1803" s="59"/>
      <c r="BW1803" s="59"/>
      <c r="BX1803" s="59"/>
      <c r="BY1803" s="59"/>
      <c r="BZ1803" s="59"/>
      <c r="CA1803" s="59"/>
      <c r="CB1803" s="59"/>
      <c r="CC1803" s="59"/>
      <c r="CD1803" s="59"/>
      <c r="CE1803" s="59"/>
      <c r="CF1803" s="59"/>
      <c r="CG1803" s="59"/>
      <c r="CH1803" s="59"/>
      <c r="CI1803" s="59"/>
      <c r="CJ1803" s="59"/>
      <c r="CK1803" s="59"/>
      <c r="CL1803" s="59"/>
      <c r="CM1803" s="59"/>
      <c r="CN1803" s="59"/>
      <c r="CO1803" s="59"/>
      <c r="CP1803" s="59"/>
      <c r="CQ1803" s="59"/>
      <c r="CR1803" s="59"/>
      <c r="CS1803" s="59"/>
      <c r="CT1803" s="59"/>
      <c r="CU1803" s="59"/>
      <c r="CV1803" s="59"/>
      <c r="CW1803" s="59"/>
      <c r="CX1803" s="59"/>
      <c r="CY1803" s="59"/>
      <c r="CZ1803" s="59"/>
      <c r="DA1803" s="59"/>
      <c r="DB1803" s="59"/>
      <c r="DC1803" s="59"/>
      <c r="DD1803" s="59"/>
      <c r="DE1803" s="59"/>
      <c r="DF1803" s="59"/>
      <c r="DG1803" s="59"/>
      <c r="DH1803" s="59"/>
      <c r="DI1803" s="59"/>
      <c r="DJ1803" s="59"/>
      <c r="DK1803" s="59"/>
      <c r="DL1803" s="59"/>
      <c r="DM1803" s="59"/>
      <c r="DN1803" s="59"/>
      <c r="DO1803" s="59"/>
      <c r="DP1803" s="59"/>
      <c r="DQ1803" s="59"/>
      <c r="DR1803" s="59"/>
      <c r="DS1803" s="59"/>
      <c r="DT1803" s="59"/>
      <c r="DU1803" s="59"/>
      <c r="DV1803" s="59"/>
      <c r="DW1803" s="59"/>
      <c r="DX1803" s="59"/>
      <c r="DY1803" s="59"/>
      <c r="DZ1803" s="59"/>
      <c r="EA1803" s="59"/>
      <c r="EB1803" s="59"/>
      <c r="EC1803" s="59"/>
      <c r="ED1803" s="59"/>
      <c r="EE1803" s="59"/>
      <c r="EF1803" s="59"/>
      <c r="EG1803" s="59"/>
      <c r="EH1803" s="59"/>
      <c r="EI1803" s="59"/>
      <c r="EJ1803" s="59"/>
      <c r="EK1803" s="59"/>
      <c r="EL1803" s="59"/>
      <c r="EM1803" s="59"/>
      <c r="EN1803" s="59"/>
      <c r="EO1803" s="59"/>
      <c r="EP1803" s="59"/>
      <c r="EQ1803" s="59"/>
      <c r="ER1803" s="59"/>
      <c r="ES1803" s="59"/>
      <c r="ET1803" s="59"/>
      <c r="EU1803" s="59"/>
      <c r="EV1803" s="59"/>
      <c r="EW1803" s="59"/>
      <c r="EX1803" s="59"/>
      <c r="EY1803" s="59"/>
      <c r="EZ1803" s="59"/>
      <c r="FA1803" s="59"/>
      <c r="FB1803" s="59"/>
      <c r="FC1803" s="59"/>
      <c r="FD1803" s="59"/>
      <c r="FE1803" s="59"/>
      <c r="FF1803" s="59"/>
      <c r="FG1803" s="59"/>
      <c r="FH1803" s="59"/>
      <c r="FI1803" s="59"/>
      <c r="FJ1803" s="59"/>
      <c r="FK1803" s="59"/>
      <c r="FL1803" s="59"/>
      <c r="FM1803" s="59"/>
      <c r="FN1803" s="59"/>
      <c r="FO1803" s="59"/>
      <c r="FP1803" s="59"/>
      <c r="FQ1803" s="59"/>
      <c r="FR1803" s="59"/>
      <c r="FS1803" s="59"/>
      <c r="FT1803" s="59"/>
      <c r="FU1803" s="59"/>
      <c r="FV1803" s="59"/>
      <c r="FW1803" s="59"/>
      <c r="FX1803" s="59"/>
      <c r="FY1803" s="59"/>
      <c r="FZ1803" s="59"/>
      <c r="GA1803" s="59"/>
      <c r="GB1803" s="59"/>
      <c r="GC1803" s="59"/>
    </row>
    <row r="1804">
      <c r="A1804" s="59"/>
      <c r="B1804" s="59"/>
      <c r="C1804" s="59"/>
      <c r="D1804" s="59"/>
      <c r="E1804" s="59"/>
      <c r="F1804" s="59"/>
      <c r="G1804" s="59"/>
      <c r="H1804" s="59"/>
      <c r="I1804" s="59"/>
      <c r="J1804" s="59"/>
      <c r="K1804" s="59"/>
      <c r="L1804" s="59"/>
      <c r="M1804" s="59"/>
      <c r="N1804" s="59"/>
      <c r="O1804" s="59"/>
      <c r="P1804" s="59"/>
      <c r="Q1804" s="59"/>
      <c r="R1804" s="59"/>
      <c r="S1804" s="59"/>
      <c r="T1804" s="59"/>
      <c r="U1804" s="59"/>
      <c r="V1804" s="59"/>
      <c r="W1804" s="59"/>
      <c r="X1804" s="59"/>
      <c r="Y1804" s="59"/>
      <c r="Z1804" s="59"/>
      <c r="AA1804" s="59"/>
      <c r="AB1804" s="59"/>
      <c r="AC1804" s="59"/>
      <c r="AD1804" s="59"/>
      <c r="AE1804" s="59"/>
      <c r="AF1804" s="59"/>
      <c r="AG1804" s="59"/>
      <c r="AH1804" s="59"/>
      <c r="AI1804" s="59"/>
      <c r="AJ1804" s="59"/>
      <c r="AK1804" s="59"/>
      <c r="AL1804" s="59"/>
      <c r="AM1804" s="59"/>
      <c r="AN1804" s="59"/>
      <c r="AO1804" s="59"/>
      <c r="AP1804" s="59"/>
      <c r="AQ1804" s="59"/>
      <c r="AR1804" s="59"/>
      <c r="AS1804" s="59"/>
      <c r="AT1804" s="59"/>
      <c r="AU1804" s="59"/>
      <c r="AV1804" s="59"/>
      <c r="AW1804" s="59"/>
      <c r="AX1804" s="59"/>
      <c r="AY1804" s="59"/>
      <c r="AZ1804" s="59"/>
      <c r="BA1804" s="59"/>
      <c r="BB1804" s="59"/>
      <c r="BC1804" s="59"/>
      <c r="BD1804" s="59"/>
      <c r="BE1804" s="59"/>
      <c r="BF1804" s="59"/>
      <c r="BG1804" s="59"/>
      <c r="BH1804" s="59"/>
      <c r="BI1804" s="59"/>
      <c r="BJ1804" s="59"/>
      <c r="BK1804" s="59"/>
      <c r="BL1804" s="59"/>
      <c r="BM1804" s="59"/>
      <c r="BN1804" s="59"/>
      <c r="BO1804" s="59"/>
      <c r="BP1804" s="59"/>
      <c r="BQ1804" s="59"/>
      <c r="BR1804" s="59"/>
      <c r="BS1804" s="59"/>
      <c r="BT1804" s="59"/>
      <c r="BU1804" s="59"/>
      <c r="BV1804" s="59"/>
      <c r="BW1804" s="59"/>
      <c r="BX1804" s="59"/>
      <c r="BY1804" s="59"/>
      <c r="BZ1804" s="59"/>
      <c r="CA1804" s="59"/>
      <c r="CB1804" s="59"/>
      <c r="CC1804" s="59"/>
      <c r="CD1804" s="59"/>
      <c r="CE1804" s="59"/>
      <c r="CF1804" s="59"/>
      <c r="CG1804" s="59"/>
      <c r="CH1804" s="59"/>
      <c r="CI1804" s="59"/>
      <c r="CJ1804" s="59"/>
      <c r="CK1804" s="59"/>
      <c r="CL1804" s="59"/>
      <c r="CM1804" s="59"/>
      <c r="CN1804" s="59"/>
      <c r="CO1804" s="59"/>
      <c r="CP1804" s="59"/>
      <c r="CQ1804" s="59"/>
      <c r="CR1804" s="59"/>
      <c r="CS1804" s="59"/>
      <c r="CT1804" s="59"/>
      <c r="CU1804" s="59"/>
      <c r="CV1804" s="59"/>
      <c r="CW1804" s="59"/>
      <c r="CX1804" s="59"/>
      <c r="CY1804" s="59"/>
      <c r="CZ1804" s="59"/>
      <c r="DA1804" s="59"/>
      <c r="DB1804" s="59"/>
      <c r="DC1804" s="59"/>
      <c r="DD1804" s="59"/>
      <c r="DE1804" s="59"/>
      <c r="DF1804" s="59"/>
      <c r="DG1804" s="59"/>
      <c r="DH1804" s="59"/>
      <c r="DI1804" s="59"/>
      <c r="DJ1804" s="59"/>
      <c r="DK1804" s="59"/>
      <c r="DL1804" s="59"/>
      <c r="DM1804" s="59"/>
      <c r="DN1804" s="59"/>
      <c r="DO1804" s="59"/>
      <c r="DP1804" s="59"/>
      <c r="DQ1804" s="59"/>
      <c r="DR1804" s="59"/>
      <c r="DS1804" s="59"/>
      <c r="DT1804" s="59"/>
      <c r="DU1804" s="59"/>
      <c r="DV1804" s="59"/>
      <c r="DW1804" s="59"/>
      <c r="DX1804" s="59"/>
      <c r="DY1804" s="59"/>
      <c r="DZ1804" s="59"/>
      <c r="EA1804" s="59"/>
      <c r="EB1804" s="59"/>
      <c r="EC1804" s="59"/>
      <c r="ED1804" s="59"/>
      <c r="EE1804" s="59"/>
      <c r="EF1804" s="59"/>
      <c r="EG1804" s="59"/>
      <c r="EH1804" s="59"/>
      <c r="EI1804" s="59"/>
      <c r="EJ1804" s="59"/>
      <c r="EK1804" s="59"/>
      <c r="EL1804" s="59"/>
      <c r="EM1804" s="59"/>
      <c r="EN1804" s="59"/>
      <c r="EO1804" s="59"/>
      <c r="EP1804" s="59"/>
      <c r="EQ1804" s="59"/>
      <c r="ER1804" s="59"/>
      <c r="ES1804" s="59"/>
      <c r="ET1804" s="59"/>
      <c r="EU1804" s="59"/>
      <c r="EV1804" s="59"/>
      <c r="EW1804" s="59"/>
      <c r="EX1804" s="59"/>
      <c r="EY1804" s="59"/>
      <c r="EZ1804" s="59"/>
      <c r="FA1804" s="59"/>
      <c r="FB1804" s="59"/>
      <c r="FC1804" s="59"/>
      <c r="FD1804" s="59"/>
      <c r="FE1804" s="59"/>
      <c r="FF1804" s="59"/>
      <c r="FG1804" s="59"/>
      <c r="FH1804" s="59"/>
      <c r="FI1804" s="59"/>
      <c r="FJ1804" s="59"/>
      <c r="FK1804" s="59"/>
      <c r="FL1804" s="59"/>
      <c r="FM1804" s="59"/>
      <c r="FN1804" s="59"/>
      <c r="FO1804" s="59"/>
      <c r="FP1804" s="59"/>
      <c r="FQ1804" s="59"/>
      <c r="FR1804" s="59"/>
      <c r="FS1804" s="59"/>
      <c r="FT1804" s="59"/>
      <c r="FU1804" s="59"/>
      <c r="FV1804" s="59"/>
      <c r="FW1804" s="59"/>
      <c r="FX1804" s="59"/>
      <c r="FY1804" s="59"/>
      <c r="FZ1804" s="59"/>
      <c r="GA1804" s="59"/>
      <c r="GB1804" s="59"/>
      <c r="GC1804" s="59"/>
    </row>
    <row r="1805">
      <c r="A1805" s="59"/>
      <c r="B1805" s="59"/>
      <c r="C1805" s="59"/>
      <c r="D1805" s="59"/>
      <c r="E1805" s="59"/>
      <c r="F1805" s="59"/>
      <c r="G1805" s="59"/>
      <c r="H1805" s="59"/>
      <c r="I1805" s="59"/>
      <c r="J1805" s="59"/>
      <c r="K1805" s="59"/>
      <c r="L1805" s="59"/>
      <c r="M1805" s="59"/>
      <c r="N1805" s="59"/>
      <c r="O1805" s="59"/>
      <c r="P1805" s="59"/>
      <c r="Q1805" s="59"/>
      <c r="R1805" s="59"/>
      <c r="S1805" s="59"/>
      <c r="T1805" s="59"/>
      <c r="U1805" s="59"/>
      <c r="V1805" s="59"/>
      <c r="W1805" s="59"/>
      <c r="X1805" s="59"/>
      <c r="Y1805" s="59"/>
      <c r="Z1805" s="59"/>
      <c r="AA1805" s="59"/>
      <c r="AB1805" s="59"/>
      <c r="AC1805" s="59"/>
      <c r="AD1805" s="59"/>
      <c r="AE1805" s="59"/>
      <c r="AF1805" s="59"/>
      <c r="AG1805" s="59"/>
      <c r="AH1805" s="59"/>
      <c r="AI1805" s="59"/>
      <c r="AJ1805" s="59"/>
      <c r="AK1805" s="59"/>
      <c r="AL1805" s="59"/>
      <c r="AM1805" s="59"/>
      <c r="AN1805" s="59"/>
      <c r="AO1805" s="59"/>
      <c r="AP1805" s="59"/>
      <c r="AQ1805" s="59"/>
      <c r="AR1805" s="59"/>
      <c r="AS1805" s="59"/>
      <c r="AT1805" s="59"/>
      <c r="AU1805" s="59"/>
      <c r="AV1805" s="59"/>
      <c r="AW1805" s="59"/>
      <c r="AX1805" s="59"/>
      <c r="AY1805" s="59"/>
      <c r="AZ1805" s="59"/>
      <c r="BA1805" s="59"/>
      <c r="BB1805" s="59"/>
      <c r="BC1805" s="59"/>
      <c r="BD1805" s="59"/>
      <c r="BE1805" s="59"/>
      <c r="BF1805" s="59"/>
      <c r="BG1805" s="59"/>
      <c r="BH1805" s="59"/>
      <c r="BI1805" s="59"/>
      <c r="BJ1805" s="59"/>
      <c r="BK1805" s="59"/>
      <c r="BL1805" s="59"/>
      <c r="BM1805" s="59"/>
      <c r="BN1805" s="59"/>
      <c r="BO1805" s="59"/>
      <c r="BP1805" s="59"/>
      <c r="BQ1805" s="59"/>
      <c r="BR1805" s="59"/>
      <c r="BS1805" s="59"/>
      <c r="BT1805" s="59"/>
      <c r="BU1805" s="59"/>
      <c r="BV1805" s="59"/>
      <c r="BW1805" s="59"/>
      <c r="BX1805" s="59"/>
      <c r="BY1805" s="59"/>
      <c r="BZ1805" s="59"/>
      <c r="CA1805" s="59"/>
      <c r="CB1805" s="59"/>
      <c r="CC1805" s="59"/>
      <c r="CD1805" s="59"/>
      <c r="CE1805" s="59"/>
      <c r="CF1805" s="59"/>
      <c r="CG1805" s="59"/>
      <c r="CH1805" s="59"/>
      <c r="CI1805" s="59"/>
      <c r="CJ1805" s="59"/>
      <c r="CK1805" s="59"/>
      <c r="CL1805" s="59"/>
      <c r="CM1805" s="59"/>
      <c r="CN1805" s="59"/>
      <c r="CO1805" s="59"/>
      <c r="CP1805" s="59"/>
      <c r="CQ1805" s="59"/>
      <c r="CR1805" s="59"/>
      <c r="CS1805" s="59"/>
      <c r="CT1805" s="59"/>
      <c r="CU1805" s="59"/>
      <c r="CV1805" s="59"/>
      <c r="CW1805" s="59"/>
      <c r="CX1805" s="59"/>
      <c r="CY1805" s="59"/>
      <c r="CZ1805" s="59"/>
      <c r="DA1805" s="59"/>
      <c r="DB1805" s="59"/>
      <c r="DC1805" s="59"/>
      <c r="DD1805" s="59"/>
      <c r="DE1805" s="59"/>
      <c r="DF1805" s="59"/>
      <c r="DG1805" s="59"/>
      <c r="DH1805" s="59"/>
      <c r="DI1805" s="59"/>
      <c r="DJ1805" s="59"/>
      <c r="DK1805" s="59"/>
      <c r="DL1805" s="59"/>
      <c r="DM1805" s="59"/>
      <c r="DN1805" s="59"/>
      <c r="DO1805" s="59"/>
      <c r="DP1805" s="59"/>
      <c r="DQ1805" s="59"/>
      <c r="DR1805" s="59"/>
      <c r="DS1805" s="59"/>
      <c r="DT1805" s="59"/>
      <c r="DU1805" s="59"/>
      <c r="DV1805" s="59"/>
      <c r="DW1805" s="59"/>
      <c r="DX1805" s="59"/>
      <c r="DY1805" s="59"/>
      <c r="DZ1805" s="59"/>
      <c r="EA1805" s="59"/>
      <c r="EB1805" s="59"/>
      <c r="EC1805" s="59"/>
      <c r="ED1805" s="59"/>
      <c r="EE1805" s="59"/>
      <c r="EF1805" s="59"/>
      <c r="EG1805" s="59"/>
      <c r="EH1805" s="59"/>
      <c r="EI1805" s="59"/>
      <c r="EJ1805" s="59"/>
      <c r="EK1805" s="59"/>
      <c r="EL1805" s="59"/>
      <c r="EM1805" s="59"/>
      <c r="EN1805" s="59"/>
      <c r="EO1805" s="59"/>
      <c r="EP1805" s="59"/>
      <c r="EQ1805" s="59"/>
      <c r="ER1805" s="59"/>
      <c r="ES1805" s="59"/>
      <c r="ET1805" s="59"/>
      <c r="EU1805" s="59"/>
      <c r="EV1805" s="59"/>
      <c r="EW1805" s="59"/>
      <c r="EX1805" s="59"/>
      <c r="EY1805" s="59"/>
      <c r="EZ1805" s="59"/>
      <c r="FA1805" s="59"/>
      <c r="FB1805" s="59"/>
      <c r="FC1805" s="59"/>
      <c r="FD1805" s="59"/>
      <c r="FE1805" s="59"/>
      <c r="FF1805" s="59"/>
      <c r="FG1805" s="59"/>
      <c r="FH1805" s="59"/>
      <c r="FI1805" s="59"/>
      <c r="FJ1805" s="59"/>
      <c r="FK1805" s="59"/>
      <c r="FL1805" s="59"/>
      <c r="FM1805" s="59"/>
      <c r="FN1805" s="59"/>
      <c r="FO1805" s="59"/>
      <c r="FP1805" s="59"/>
      <c r="FQ1805" s="59"/>
      <c r="FR1805" s="59"/>
      <c r="FS1805" s="59"/>
      <c r="FT1805" s="59"/>
      <c r="FU1805" s="59"/>
      <c r="FV1805" s="59"/>
      <c r="FW1805" s="59"/>
      <c r="FX1805" s="59"/>
      <c r="FY1805" s="59"/>
      <c r="FZ1805" s="59"/>
      <c r="GA1805" s="59"/>
      <c r="GB1805" s="59"/>
      <c r="GC1805" s="59"/>
    </row>
    <row r="1806">
      <c r="A1806" s="59"/>
      <c r="B1806" s="59"/>
      <c r="C1806" s="59"/>
      <c r="D1806" s="59"/>
      <c r="E1806" s="59"/>
      <c r="F1806" s="59"/>
      <c r="G1806" s="59"/>
      <c r="H1806" s="59"/>
      <c r="I1806" s="59"/>
      <c r="J1806" s="59"/>
      <c r="K1806" s="59"/>
      <c r="L1806" s="59"/>
      <c r="M1806" s="59"/>
      <c r="N1806" s="59"/>
      <c r="O1806" s="59"/>
      <c r="P1806" s="59"/>
      <c r="Q1806" s="59"/>
      <c r="R1806" s="59"/>
      <c r="S1806" s="59"/>
      <c r="T1806" s="59"/>
      <c r="U1806" s="59"/>
      <c r="V1806" s="59"/>
      <c r="W1806" s="59"/>
      <c r="X1806" s="59"/>
      <c r="Y1806" s="59"/>
      <c r="Z1806" s="59"/>
      <c r="AA1806" s="59"/>
      <c r="AB1806" s="59"/>
      <c r="AC1806" s="59"/>
      <c r="AD1806" s="59"/>
      <c r="AE1806" s="59"/>
      <c r="AF1806" s="59"/>
      <c r="AG1806" s="59"/>
      <c r="AH1806" s="59"/>
      <c r="AI1806" s="59"/>
      <c r="AJ1806" s="59"/>
      <c r="AK1806" s="59"/>
      <c r="AL1806" s="59"/>
      <c r="AM1806" s="59"/>
      <c r="AN1806" s="59"/>
      <c r="AO1806" s="59"/>
      <c r="AP1806" s="59"/>
      <c r="AQ1806" s="59"/>
      <c r="AR1806" s="59"/>
      <c r="AS1806" s="59"/>
      <c r="AT1806" s="59"/>
      <c r="AU1806" s="59"/>
      <c r="AV1806" s="59"/>
      <c r="AW1806" s="59"/>
      <c r="AX1806" s="59"/>
      <c r="AY1806" s="59"/>
      <c r="AZ1806" s="59"/>
      <c r="BA1806" s="59"/>
      <c r="BB1806" s="59"/>
      <c r="BC1806" s="59"/>
      <c r="BD1806" s="59"/>
      <c r="BE1806" s="59"/>
      <c r="BF1806" s="59"/>
      <c r="BG1806" s="59"/>
      <c r="BH1806" s="59"/>
      <c r="BI1806" s="59"/>
      <c r="BJ1806" s="59"/>
      <c r="BK1806" s="59"/>
      <c r="BL1806" s="59"/>
      <c r="BM1806" s="59"/>
      <c r="BN1806" s="59"/>
      <c r="BO1806" s="59"/>
      <c r="BP1806" s="59"/>
      <c r="BQ1806" s="59"/>
      <c r="BR1806" s="59"/>
      <c r="BS1806" s="59"/>
      <c r="BT1806" s="59"/>
      <c r="BU1806" s="59"/>
      <c r="BV1806" s="59"/>
      <c r="BW1806" s="59"/>
      <c r="BX1806" s="59"/>
      <c r="BY1806" s="59"/>
      <c r="BZ1806" s="59"/>
      <c r="CA1806" s="59"/>
      <c r="CB1806" s="59"/>
      <c r="CC1806" s="59"/>
      <c r="CD1806" s="59"/>
      <c r="CE1806" s="59"/>
      <c r="CF1806" s="59"/>
      <c r="CG1806" s="59"/>
      <c r="CH1806" s="59"/>
      <c r="CI1806" s="59"/>
      <c r="CJ1806" s="59"/>
      <c r="CK1806" s="59"/>
      <c r="CL1806" s="59"/>
      <c r="CM1806" s="59"/>
      <c r="CN1806" s="59"/>
      <c r="CO1806" s="59"/>
      <c r="CP1806" s="59"/>
      <c r="CQ1806" s="59"/>
      <c r="CR1806" s="59"/>
      <c r="CS1806" s="59"/>
      <c r="CT1806" s="59"/>
      <c r="CU1806" s="59"/>
      <c r="CV1806" s="59"/>
      <c r="CW1806" s="59"/>
      <c r="CX1806" s="59"/>
      <c r="CY1806" s="59"/>
      <c r="CZ1806" s="59"/>
      <c r="DA1806" s="59"/>
      <c r="DB1806" s="59"/>
      <c r="DC1806" s="59"/>
      <c r="DD1806" s="59"/>
      <c r="DE1806" s="59"/>
      <c r="DF1806" s="59"/>
      <c r="DG1806" s="59"/>
      <c r="DH1806" s="59"/>
      <c r="DI1806" s="59"/>
      <c r="DJ1806" s="59"/>
      <c r="DK1806" s="59"/>
      <c r="DL1806" s="59"/>
      <c r="DM1806" s="59"/>
      <c r="DN1806" s="59"/>
      <c r="DO1806" s="59"/>
      <c r="DP1806" s="59"/>
      <c r="DQ1806" s="59"/>
      <c r="DR1806" s="59"/>
      <c r="DS1806" s="59"/>
      <c r="DT1806" s="59"/>
      <c r="DU1806" s="59"/>
      <c r="DV1806" s="59"/>
      <c r="DW1806" s="59"/>
      <c r="DX1806" s="59"/>
      <c r="DY1806" s="59"/>
      <c r="DZ1806" s="59"/>
      <c r="EA1806" s="59"/>
      <c r="EB1806" s="59"/>
      <c r="EC1806" s="59"/>
      <c r="ED1806" s="59"/>
      <c r="EE1806" s="59"/>
      <c r="EF1806" s="59"/>
      <c r="EG1806" s="59"/>
      <c r="EH1806" s="59"/>
      <c r="EI1806" s="59"/>
      <c r="EJ1806" s="59"/>
      <c r="EK1806" s="59"/>
      <c r="EL1806" s="59"/>
      <c r="EM1806" s="59"/>
      <c r="EN1806" s="59"/>
      <c r="EO1806" s="59"/>
      <c r="EP1806" s="59"/>
      <c r="EQ1806" s="59"/>
      <c r="ER1806" s="59"/>
      <c r="ES1806" s="59"/>
      <c r="ET1806" s="59"/>
      <c r="EU1806" s="59"/>
      <c r="EV1806" s="59"/>
      <c r="EW1806" s="59"/>
      <c r="EX1806" s="59"/>
      <c r="EY1806" s="59"/>
      <c r="EZ1806" s="59"/>
      <c r="FA1806" s="59"/>
      <c r="FB1806" s="59"/>
      <c r="FC1806" s="59"/>
      <c r="FD1806" s="59"/>
      <c r="FE1806" s="59"/>
      <c r="FF1806" s="59"/>
      <c r="FG1806" s="59"/>
      <c r="FH1806" s="59"/>
      <c r="FI1806" s="59"/>
      <c r="FJ1806" s="59"/>
      <c r="FK1806" s="59"/>
      <c r="FL1806" s="59"/>
      <c r="FM1806" s="59"/>
      <c r="FN1806" s="59"/>
      <c r="FO1806" s="59"/>
      <c r="FP1806" s="59"/>
      <c r="FQ1806" s="59"/>
      <c r="FR1806" s="59"/>
      <c r="FS1806" s="59"/>
      <c r="FT1806" s="59"/>
      <c r="FU1806" s="59"/>
      <c r="FV1806" s="59"/>
      <c r="FW1806" s="59"/>
      <c r="FX1806" s="59"/>
      <c r="FY1806" s="59"/>
      <c r="FZ1806" s="59"/>
      <c r="GA1806" s="59"/>
      <c r="GB1806" s="59"/>
      <c r="GC1806" s="59"/>
    </row>
    <row r="1807">
      <c r="A1807" s="59"/>
      <c r="B1807" s="59"/>
      <c r="C1807" s="59"/>
      <c r="D1807" s="59"/>
      <c r="E1807" s="59"/>
      <c r="F1807" s="59"/>
      <c r="G1807" s="59"/>
      <c r="H1807" s="59"/>
      <c r="I1807" s="59"/>
      <c r="J1807" s="59"/>
      <c r="K1807" s="59"/>
      <c r="L1807" s="59"/>
      <c r="M1807" s="59"/>
      <c r="N1807" s="59"/>
      <c r="O1807" s="59"/>
      <c r="P1807" s="59"/>
      <c r="Q1807" s="59"/>
      <c r="R1807" s="59"/>
      <c r="S1807" s="59"/>
      <c r="T1807" s="59"/>
      <c r="U1807" s="59"/>
      <c r="V1807" s="59"/>
      <c r="W1807" s="59"/>
      <c r="X1807" s="59"/>
      <c r="Y1807" s="59"/>
      <c r="Z1807" s="59"/>
      <c r="AA1807" s="59"/>
      <c r="AB1807" s="59"/>
      <c r="AC1807" s="59"/>
      <c r="AD1807" s="59"/>
      <c r="AE1807" s="59"/>
      <c r="AF1807" s="59"/>
      <c r="AG1807" s="59"/>
      <c r="AH1807" s="59"/>
      <c r="AI1807" s="59"/>
      <c r="AJ1807" s="59"/>
      <c r="AK1807" s="59"/>
      <c r="AL1807" s="59"/>
      <c r="AM1807" s="59"/>
      <c r="AN1807" s="59"/>
      <c r="AO1807" s="59"/>
      <c r="AP1807" s="59"/>
      <c r="AQ1807" s="59"/>
      <c r="AR1807" s="59"/>
      <c r="AS1807" s="59"/>
      <c r="AT1807" s="59"/>
      <c r="AU1807" s="59"/>
      <c r="AV1807" s="59"/>
      <c r="AW1807" s="59"/>
      <c r="AX1807" s="59"/>
      <c r="AY1807" s="59"/>
      <c r="AZ1807" s="59"/>
      <c r="BA1807" s="59"/>
      <c r="BB1807" s="59"/>
      <c r="BC1807" s="59"/>
      <c r="BD1807" s="59"/>
      <c r="BE1807" s="59"/>
      <c r="BF1807" s="59"/>
      <c r="BG1807" s="59"/>
      <c r="BH1807" s="59"/>
      <c r="BI1807" s="59"/>
      <c r="BJ1807" s="59"/>
      <c r="BK1807" s="59"/>
      <c r="BL1807" s="59"/>
      <c r="BM1807" s="59"/>
      <c r="BN1807" s="59"/>
      <c r="BO1807" s="59"/>
      <c r="BP1807" s="59"/>
      <c r="BQ1807" s="59"/>
      <c r="BR1807" s="59"/>
      <c r="BS1807" s="59"/>
      <c r="BT1807" s="59"/>
      <c r="BU1807" s="59"/>
      <c r="BV1807" s="59"/>
      <c r="BW1807" s="59"/>
      <c r="BX1807" s="59"/>
      <c r="BY1807" s="59"/>
      <c r="BZ1807" s="59"/>
      <c r="CA1807" s="59"/>
      <c r="CB1807" s="59"/>
      <c r="CC1807" s="59"/>
      <c r="CD1807" s="59"/>
      <c r="CE1807" s="59"/>
      <c r="CF1807" s="59"/>
      <c r="CG1807" s="59"/>
      <c r="CH1807" s="59"/>
      <c r="CI1807" s="59"/>
      <c r="CJ1807" s="59"/>
      <c r="CK1807" s="59"/>
      <c r="CL1807" s="59"/>
      <c r="CM1807" s="59"/>
      <c r="CN1807" s="59"/>
      <c r="CO1807" s="59"/>
      <c r="CP1807" s="59"/>
      <c r="CQ1807" s="59"/>
      <c r="CR1807" s="59"/>
      <c r="CS1807" s="59"/>
      <c r="CT1807" s="59"/>
      <c r="CU1807" s="59"/>
      <c r="CV1807" s="59"/>
      <c r="CW1807" s="59"/>
      <c r="CX1807" s="59"/>
      <c r="CY1807" s="59"/>
      <c r="CZ1807" s="59"/>
      <c r="DA1807" s="59"/>
      <c r="DB1807" s="59"/>
      <c r="DC1807" s="59"/>
      <c r="DD1807" s="59"/>
      <c r="DE1807" s="59"/>
      <c r="DF1807" s="59"/>
      <c r="DG1807" s="59"/>
      <c r="DH1807" s="59"/>
      <c r="DI1807" s="59"/>
      <c r="DJ1807" s="59"/>
      <c r="DK1807" s="59"/>
      <c r="DL1807" s="59"/>
      <c r="DM1807" s="59"/>
      <c r="DN1807" s="59"/>
      <c r="DO1807" s="59"/>
      <c r="DP1807" s="59"/>
      <c r="DQ1807" s="59"/>
      <c r="DR1807" s="59"/>
      <c r="DS1807" s="59"/>
      <c r="DT1807" s="59"/>
      <c r="DU1807" s="59"/>
      <c r="DV1807" s="59"/>
      <c r="DW1807" s="59"/>
      <c r="DX1807" s="59"/>
      <c r="DY1807" s="59"/>
      <c r="DZ1807" s="59"/>
      <c r="EA1807" s="59"/>
      <c r="EB1807" s="59"/>
      <c r="EC1807" s="59"/>
      <c r="ED1807" s="59"/>
      <c r="EE1807" s="59"/>
      <c r="EF1807" s="59"/>
      <c r="EG1807" s="59"/>
      <c r="EH1807" s="59"/>
      <c r="EI1807" s="59"/>
      <c r="EJ1807" s="59"/>
      <c r="EK1807" s="59"/>
      <c r="EL1807" s="59"/>
      <c r="EM1807" s="59"/>
      <c r="EN1807" s="59"/>
      <c r="EO1807" s="59"/>
      <c r="EP1807" s="59"/>
      <c r="EQ1807" s="59"/>
      <c r="ER1807" s="59"/>
      <c r="ES1807" s="59"/>
      <c r="ET1807" s="59"/>
      <c r="EU1807" s="59"/>
      <c r="EV1807" s="59"/>
      <c r="EW1807" s="59"/>
      <c r="EX1807" s="59"/>
      <c r="EY1807" s="59"/>
      <c r="EZ1807" s="59"/>
      <c r="FA1807" s="59"/>
      <c r="FB1807" s="59"/>
      <c r="FC1807" s="59"/>
      <c r="FD1807" s="59"/>
      <c r="FE1807" s="59"/>
      <c r="FF1807" s="59"/>
      <c r="FG1807" s="59"/>
      <c r="FH1807" s="59"/>
      <c r="FI1807" s="59"/>
      <c r="FJ1807" s="59"/>
      <c r="FK1807" s="59"/>
      <c r="FL1807" s="59"/>
      <c r="FM1807" s="59"/>
      <c r="FN1807" s="59"/>
      <c r="FO1807" s="59"/>
      <c r="FP1807" s="59"/>
      <c r="FQ1807" s="59"/>
      <c r="FR1807" s="59"/>
      <c r="FS1807" s="59"/>
      <c r="FT1807" s="59"/>
      <c r="FU1807" s="59"/>
      <c r="FV1807" s="59"/>
      <c r="FW1807" s="59"/>
      <c r="FX1807" s="59"/>
      <c r="FY1807" s="59"/>
      <c r="FZ1807" s="59"/>
      <c r="GA1807" s="59"/>
      <c r="GB1807" s="59"/>
      <c r="GC1807" s="59"/>
    </row>
    <row r="1808">
      <c r="A1808" s="59"/>
      <c r="B1808" s="59"/>
      <c r="C1808" s="59"/>
      <c r="D1808" s="59"/>
      <c r="E1808" s="59"/>
      <c r="F1808" s="59"/>
      <c r="G1808" s="59"/>
      <c r="H1808" s="59"/>
      <c r="I1808" s="59"/>
      <c r="J1808" s="59"/>
      <c r="K1808" s="59"/>
      <c r="L1808" s="59"/>
      <c r="M1808" s="59"/>
      <c r="N1808" s="59"/>
      <c r="O1808" s="59"/>
      <c r="P1808" s="59"/>
      <c r="Q1808" s="59"/>
      <c r="R1808" s="59"/>
      <c r="S1808" s="59"/>
      <c r="T1808" s="59"/>
      <c r="U1808" s="59"/>
      <c r="V1808" s="59"/>
      <c r="W1808" s="59"/>
      <c r="X1808" s="59"/>
      <c r="Y1808" s="59"/>
      <c r="Z1808" s="59"/>
      <c r="AA1808" s="59"/>
      <c r="AB1808" s="59"/>
      <c r="AC1808" s="59"/>
      <c r="AD1808" s="59"/>
      <c r="AE1808" s="59"/>
      <c r="AF1808" s="59"/>
      <c r="AG1808" s="59"/>
      <c r="AH1808" s="59"/>
      <c r="AI1808" s="59"/>
      <c r="AJ1808" s="59"/>
      <c r="AK1808" s="59"/>
      <c r="AL1808" s="59"/>
      <c r="AM1808" s="59"/>
      <c r="AN1808" s="59"/>
      <c r="AO1808" s="59"/>
      <c r="AP1808" s="59"/>
      <c r="AQ1808" s="59"/>
      <c r="AR1808" s="59"/>
      <c r="AS1808" s="59"/>
      <c r="AT1808" s="59"/>
      <c r="AU1808" s="59"/>
      <c r="AV1808" s="59"/>
      <c r="AW1808" s="59"/>
      <c r="AX1808" s="59"/>
      <c r="AY1808" s="59"/>
      <c r="AZ1808" s="59"/>
      <c r="BA1808" s="59"/>
      <c r="BB1808" s="59"/>
      <c r="BC1808" s="59"/>
      <c r="BD1808" s="59"/>
      <c r="BE1808" s="59"/>
      <c r="BF1808" s="59"/>
      <c r="BG1808" s="59"/>
      <c r="BH1808" s="59"/>
      <c r="BI1808" s="59"/>
      <c r="BJ1808" s="59"/>
      <c r="BK1808" s="59"/>
      <c r="BL1808" s="59"/>
      <c r="BM1808" s="59"/>
      <c r="BN1808" s="59"/>
      <c r="BO1808" s="59"/>
      <c r="BP1808" s="59"/>
      <c r="BQ1808" s="59"/>
      <c r="BR1808" s="59"/>
      <c r="BS1808" s="59"/>
      <c r="BT1808" s="59"/>
      <c r="BU1808" s="59"/>
      <c r="BV1808" s="59"/>
      <c r="BW1808" s="59"/>
      <c r="BX1808" s="59"/>
      <c r="BY1808" s="59"/>
      <c r="BZ1808" s="59"/>
      <c r="CA1808" s="59"/>
      <c r="CB1808" s="59"/>
      <c r="CC1808" s="59"/>
      <c r="CD1808" s="59"/>
      <c r="CE1808" s="59"/>
      <c r="CF1808" s="59"/>
      <c r="CG1808" s="59"/>
      <c r="CH1808" s="59"/>
      <c r="CI1808" s="59"/>
      <c r="CJ1808" s="59"/>
      <c r="CK1808" s="59"/>
      <c r="CL1808" s="59"/>
      <c r="CM1808" s="59"/>
      <c r="CN1808" s="59"/>
      <c r="CO1808" s="59"/>
      <c r="CP1808" s="59"/>
      <c r="CQ1808" s="59"/>
      <c r="CR1808" s="59"/>
      <c r="CS1808" s="59"/>
      <c r="CT1808" s="59"/>
      <c r="CU1808" s="59"/>
      <c r="CV1808" s="59"/>
      <c r="CW1808" s="59"/>
      <c r="CX1808" s="59"/>
      <c r="CY1808" s="59"/>
      <c r="CZ1808" s="59"/>
      <c r="DA1808" s="59"/>
      <c r="DB1808" s="59"/>
      <c r="DC1808" s="59"/>
      <c r="DD1808" s="59"/>
      <c r="DE1808" s="59"/>
      <c r="DF1808" s="59"/>
      <c r="DG1808" s="59"/>
      <c r="DH1808" s="59"/>
      <c r="DI1808" s="59"/>
      <c r="DJ1808" s="59"/>
      <c r="DK1808" s="59"/>
      <c r="DL1808" s="59"/>
      <c r="DM1808" s="59"/>
      <c r="DN1808" s="59"/>
      <c r="DO1808" s="59"/>
      <c r="DP1808" s="59"/>
      <c r="DQ1808" s="59"/>
      <c r="DR1808" s="59"/>
      <c r="DS1808" s="59"/>
      <c r="DT1808" s="59"/>
      <c r="DU1808" s="59"/>
      <c r="DV1808" s="59"/>
      <c r="DW1808" s="59"/>
      <c r="DX1808" s="59"/>
      <c r="DY1808" s="59"/>
      <c r="DZ1808" s="59"/>
      <c r="EA1808" s="59"/>
      <c r="EB1808" s="59"/>
      <c r="EC1808" s="59"/>
      <c r="ED1808" s="59"/>
      <c r="EE1808" s="59"/>
      <c r="EF1808" s="59"/>
      <c r="EG1808" s="59"/>
      <c r="EH1808" s="59"/>
      <c r="EI1808" s="59"/>
      <c r="EJ1808" s="59"/>
      <c r="EK1808" s="59"/>
      <c r="EL1808" s="59"/>
      <c r="EM1808" s="59"/>
      <c r="EN1808" s="59"/>
      <c r="EO1808" s="59"/>
      <c r="EP1808" s="59"/>
      <c r="EQ1808" s="59"/>
      <c r="ER1808" s="59"/>
      <c r="ES1808" s="59"/>
      <c r="ET1808" s="59"/>
      <c r="EU1808" s="59"/>
      <c r="EV1808" s="59"/>
      <c r="EW1808" s="59"/>
      <c r="EX1808" s="59"/>
      <c r="EY1808" s="59"/>
      <c r="EZ1808" s="59"/>
      <c r="FA1808" s="59"/>
      <c r="FB1808" s="59"/>
      <c r="FC1808" s="59"/>
      <c r="FD1808" s="59"/>
      <c r="FE1808" s="59"/>
      <c r="FF1808" s="59"/>
      <c r="FG1808" s="59"/>
      <c r="FH1808" s="59"/>
      <c r="FI1808" s="59"/>
      <c r="FJ1808" s="59"/>
      <c r="FK1808" s="59"/>
      <c r="FL1808" s="59"/>
      <c r="FM1808" s="59"/>
      <c r="FN1808" s="59"/>
      <c r="FO1808" s="59"/>
      <c r="FP1808" s="59"/>
      <c r="FQ1808" s="59"/>
      <c r="FR1808" s="59"/>
      <c r="FS1808" s="59"/>
      <c r="FT1808" s="59"/>
      <c r="FU1808" s="59"/>
      <c r="FV1808" s="59"/>
      <c r="FW1808" s="59"/>
      <c r="FX1808" s="59"/>
      <c r="FY1808" s="59"/>
      <c r="FZ1808" s="59"/>
      <c r="GA1808" s="59"/>
      <c r="GB1808" s="59"/>
      <c r="GC1808" s="5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